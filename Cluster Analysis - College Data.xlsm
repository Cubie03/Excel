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/>
  <workbookPr/>
  <mc:AlternateContent xmlns:mc="http://schemas.openxmlformats.org/markup-compatibility/2006">
    <mc:Choice Requires="x15">
      <x15ac:absPath xmlns:x15ac="http://schemas.microsoft.com/office/spreadsheetml/2010/11/ac" url="/Users/cubie.sth/Downloads/"/>
    </mc:Choice>
  </mc:AlternateContent>
  <xr:revisionPtr revIDLastSave="0" documentId="13_ncr:1_{95E236AD-E22B-CE42-8779-A3AD62F58DD7}" xr6:coauthVersionLast="47" xr6:coauthVersionMax="47" xr10:uidLastSave="{00000000-0000-0000-0000-000000000000}"/>
  <bookViews>
    <workbookView xWindow="20" yWindow="500" windowWidth="28800" windowHeight="15800" activeTab="3" xr2:uid="{00000000-000D-0000-FFFF-FFFF00000000}"/>
  </bookViews>
  <sheets>
    <sheet name="Data" sheetId="1" r:id="rId1"/>
    <sheet name="HC_Output" sheetId="8" r:id="rId2"/>
    <sheet name="HC_Clusters" sheetId="7" r:id="rId3"/>
    <sheet name="HC_Dendrogram" sheetId="6" r:id="rId4"/>
    <sheet name="KMC_Output1" sheetId="5" r:id="rId5"/>
    <sheet name="KMC_Clusters1" sheetId="4" r:id="rId6"/>
    <sheet name="KMC_Output" sheetId="3" r:id="rId7"/>
    <sheet name="KMC_Clusters" sheetId="2" r:id="rId8"/>
  </sheets>
  <definedNames>
    <definedName name="BuildDate" hidden="1">4202</definedName>
    <definedName name="BuildNo" hidden="1">83</definedName>
    <definedName name="Vers" hidden="1">" 12.5.0E"</definedName>
    <definedName name="VersionMajor" hidden="1">3</definedName>
    <definedName name="VersionMinor" hidden="1">2</definedName>
    <definedName name="VersionPatch" hidden="1">10</definedName>
    <definedName name="xlm_20_1" localSheetId="0" hidden="1">"'{""wkbk"":""Colleges.xlsm"",""wksheet"":""Data"",""data_range"":""A1:L308"",""has_header"":true,""input_cols"":[{""varName"":""Math SAT""},{""varName"":""Verbal SAT""},{""varName"":""Applications""},{""varName"":""Acceptance Rate""}"</definedName>
    <definedName name="xlm_20_2" localSheetId="0" hidden="1">"',{""varName"":""# FT undergrad""},{""varName"":""# PT undergrad""},{""varName"":""in-state tuition""},{""varName"":""out-of-state tuition""},{""varName"":""% fac. w/PHD""},{""varName"":""stud./fac. ratio""},{""varName"":""Gradu"</definedName>
    <definedName name="xlm_20_3" localSheetId="0" hidden="1">"'ation rate""}],""cat_cols"":[],""firstRow"":""1"",""rows"":307,""isPartitionSheet"":false,""clusteringTypeCode"":0,""normalizeData"":false,""numClusters"":2,""numIterations"":50,""startCode"":1,""setSeed"":true,""seedValue"":"</definedName>
    <definedName name="xlm_20_4" localSheetId="0" hidden="1">"'12345,""numStarts"":1,""showDataSummary"":true,""showClusterDistances"":true}"</definedName>
    <definedName name="xlm_21_1" localSheetId="0" hidden="1">"'{""wkbk"":""Colleges.xlsm"",""wksheet"":""Data"",""data_range"":""A1:L308"",""has_header"":true,""input_cols"":[{""varName"":""Math SAT""},{""varName"":""Verbal SAT""},{""varName"":""Applications""},{""varName"":""Acceptance Rate""}"</definedName>
    <definedName name="xlm_21_2" localSheetId="0" hidden="1">"',{""varName"":""# FT undergrad""},{""varName"":""# PT undergrad""},{""varName"":""in-state tuition""},{""varName"":""out-of-state tuition""},{""varName"":""% fac. w/PHD""},{""varName"":""stud./fac. ratio""},{""varName"":""Gradu"</definedName>
    <definedName name="xlm_21_3" localSheetId="0" hidden="1">"'ation rate""}],""cat_cols"":[],""firstRow"":""1"",""rows"":307,""isPartitionSheet"":false,""clusteringTypeCode"":1,""normalizeData"":false,""similarityMeasureCode"":1,""clusteringMethodCode"":7,""dataTypeCode"":1,""drawDen"</definedName>
    <definedName name="xlm_21_4" localSheetId="0" hidden="1">"'drogram"":true,""showClusterMembership"":true,""numClusters"":4,""numSubClusters"":10}"</definedName>
    <definedName name="xlmHCDGramData" localSheetId="3" hidden="1">"{""xValsRange"":""CA1:CA80"",""yValsRange"":""CB1:CB80"",""xSubClusterRange"":""CC1:CC10"",""ySubClusterRange"":""CD1:CD10"",""chartTitle"":""Dendrogram""}"</definedName>
    <definedName name="XLMRasonModelRange" localSheetId="1" hidden="1">"CV1:CV1"</definedName>
    <definedName name="XLMRasonModelRange" localSheetId="6" hidden="1">"CV1:CV1"</definedName>
    <definedName name="XLMRasonModelRange" localSheetId="4" hidden="1">"CV1:CV1"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5" i="7" l="1"/>
  <c r="D324" i="7"/>
  <c r="D323" i="7"/>
  <c r="D322" i="7"/>
</calcChain>
</file>

<file path=xl/sharedStrings.xml><?xml version="1.0" encoding="utf-8"?>
<sst xmlns="http://schemas.openxmlformats.org/spreadsheetml/2006/main" count="1862" uniqueCount="1006">
  <si>
    <t>College Name</t>
  </si>
  <si>
    <t>Math SAT</t>
  </si>
  <si>
    <t>Verbal SAT</t>
  </si>
  <si>
    <t># FT undergrad</t>
  </si>
  <si>
    <t># PT undergrad</t>
  </si>
  <si>
    <t>in-state tuition</t>
  </si>
  <si>
    <t>out-of-state tuition</t>
  </si>
  <si>
    <t>% fac. w/PHD</t>
  </si>
  <si>
    <t>stud./fac. ratio</t>
  </si>
  <si>
    <t>Graduation rate</t>
  </si>
  <si>
    <t>Northern Arizona University</t>
  </si>
  <si>
    <t>University of Arizona</t>
  </si>
  <si>
    <t>California Polytechnic-San Luis</t>
  </si>
  <si>
    <t>Westmont College</t>
  </si>
  <si>
    <t>Mesa State College</t>
  </si>
  <si>
    <t>University of Southern Colorado</t>
  </si>
  <si>
    <t>Western State College of Colorado</t>
  </si>
  <si>
    <t>University of Central Florida</t>
  </si>
  <si>
    <t>University of Illinois - Urbana</t>
  </si>
  <si>
    <t>University of Southern Indiana</t>
  </si>
  <si>
    <t>Louisiana State University at Baton Rouge</t>
  </si>
  <si>
    <t>Salisbury State University</t>
  </si>
  <si>
    <t>Michigan State University</t>
  </si>
  <si>
    <t>Michigan Technological University</t>
  </si>
  <si>
    <t>University of Minnesota at Morris</t>
  </si>
  <si>
    <t>University of Minnesota Twin Cities</t>
  </si>
  <si>
    <t>Appalachian State University</t>
  </si>
  <si>
    <t>University of North Carolina at Asheville</t>
  </si>
  <si>
    <t>East Carolina University</t>
  </si>
  <si>
    <t>University of North Carolina at Wilmington</t>
  </si>
  <si>
    <t>University of North Dakota</t>
  </si>
  <si>
    <t>University of Nebraska at Lincoln</t>
  </si>
  <si>
    <t>SUNY at Binghamton</t>
  </si>
  <si>
    <t>SUNY College at Brockport</t>
  </si>
  <si>
    <t>SUNY College at Cortland</t>
  </si>
  <si>
    <t>SUNY College at Fredonia</t>
  </si>
  <si>
    <t>SUNY College at Geneseo</t>
  </si>
  <si>
    <t>SUNY College at New Paltz</t>
  </si>
  <si>
    <t>SUNY College at Oswego</t>
  </si>
  <si>
    <t>SUNY College at Plattsburgh</t>
  </si>
  <si>
    <t>SUNY College at Potsdam</t>
  </si>
  <si>
    <t>Bowling Green State University</t>
  </si>
  <si>
    <t>Ohio University</t>
  </si>
  <si>
    <t>University of Cincinnati</t>
  </si>
  <si>
    <t>Oklahoma State University</t>
  </si>
  <si>
    <t>Lander University</t>
  </si>
  <si>
    <t>University of Tennessee at Knoxville</t>
  </si>
  <si>
    <t>Angelo State University</t>
  </si>
  <si>
    <t>Lamar University</t>
  </si>
  <si>
    <t>University of North Texas</t>
  </si>
  <si>
    <t>Prairie View A. and M. University</t>
  </si>
  <si>
    <t>University of Texas at Austin</t>
  </si>
  <si>
    <t>Texas A&amp;M Univ. at College Station</t>
  </si>
  <si>
    <t>University of Utah</t>
  </si>
  <si>
    <t>Castleton State College</t>
  </si>
  <si>
    <t>Univ. of Wisconsin at Eau Claire</t>
  </si>
  <si>
    <t>Alaska Pacific University</t>
  </si>
  <si>
    <t>Birmingham-Southern College</t>
  </si>
  <si>
    <t>Huntingdon College</t>
  </si>
  <si>
    <t>Hendrix College</t>
  </si>
  <si>
    <t>John Brown University</t>
  </si>
  <si>
    <t>Harding University</t>
  </si>
  <si>
    <t>Claremont McKenna College</t>
  </si>
  <si>
    <t>Pitzer College</t>
  </si>
  <si>
    <t>Scripps College</t>
  </si>
  <si>
    <t>Fresno Pacific College</t>
  </si>
  <si>
    <t>Pepperdine University</t>
  </si>
  <si>
    <t>Southern California College</t>
  </si>
  <si>
    <t>University of San Francisco</t>
  </si>
  <si>
    <t>University of Southern California</t>
  </si>
  <si>
    <t>Concordia University</t>
  </si>
  <si>
    <t>Wesleyan University</t>
  </si>
  <si>
    <t>Trinity College</t>
  </si>
  <si>
    <t>Bethune Cookman College</t>
  </si>
  <si>
    <t>Embry Riddle Aeronautical University</t>
  </si>
  <si>
    <t>Florida Southern College</t>
  </si>
  <si>
    <t>Rollins College</t>
  </si>
  <si>
    <t>Emory University</t>
  </si>
  <si>
    <t>Morehouse College</t>
  </si>
  <si>
    <t>Spelman College</t>
  </si>
  <si>
    <t>Covenant College</t>
  </si>
  <si>
    <t>Savannah Coll. of Art and Design</t>
  </si>
  <si>
    <t>Coe College</t>
  </si>
  <si>
    <t>Cornell College</t>
  </si>
  <si>
    <t>Graceland College</t>
  </si>
  <si>
    <t>Grinnell College</t>
  </si>
  <si>
    <t>University of Dubuque</t>
  </si>
  <si>
    <t>Wartburg College</t>
  </si>
  <si>
    <t>Albertson College</t>
  </si>
  <si>
    <t>Illinois Wesleyan University</t>
  </si>
  <si>
    <t>Knox College</t>
  </si>
  <si>
    <t>Monmouth College</t>
  </si>
  <si>
    <t>Quincy University</t>
  </si>
  <si>
    <t>Anderson University</t>
  </si>
  <si>
    <t>Butler University</t>
  </si>
  <si>
    <t>Earlham College</t>
  </si>
  <si>
    <t>Franklin College</t>
  </si>
  <si>
    <t>Hanover College</t>
  </si>
  <si>
    <t>Manchester College</t>
  </si>
  <si>
    <t>Saint Mary-of-the-Woods College</t>
  </si>
  <si>
    <t>Saint Mary's College</t>
  </si>
  <si>
    <t>Taylor University</t>
  </si>
  <si>
    <t>Bellarmine College</t>
  </si>
  <si>
    <t>Centre College</t>
  </si>
  <si>
    <t>Kentucky Wesleyan College</t>
  </si>
  <si>
    <t>Transylvania University</t>
  </si>
  <si>
    <t>Centenary College of Louisiana</t>
  </si>
  <si>
    <t>Loyola University</t>
  </si>
  <si>
    <t>Amherst College</t>
  </si>
  <si>
    <t>Boston University</t>
  </si>
  <si>
    <t>Massachusetts Institute of Technology</t>
  </si>
  <si>
    <t>Mount Holyoke College</t>
  </si>
  <si>
    <t>Northeastern University</t>
  </si>
  <si>
    <t>Wheaton College</t>
  </si>
  <si>
    <t>Worcester Polytechnic Institute</t>
  </si>
  <si>
    <t>Colby College</t>
  </si>
  <si>
    <t>Hillsdale College</t>
  </si>
  <si>
    <t>University of Detroit Mercy</t>
  </si>
  <si>
    <t>Center for Creative Studies</t>
  </si>
  <si>
    <t>College of Saint Benedict</t>
  </si>
  <si>
    <t>College of Saint Catherine</t>
  </si>
  <si>
    <t>University of St. Thomas</t>
  </si>
  <si>
    <t>Hamline University</t>
  </si>
  <si>
    <t>Saint John's University</t>
  </si>
  <si>
    <t>Lindenwood College</t>
  </si>
  <si>
    <t>Missouri Valley College</t>
  </si>
  <si>
    <t>Webster University</t>
  </si>
  <si>
    <t>Westminster College</t>
  </si>
  <si>
    <t>William Jewell College</t>
  </si>
  <si>
    <t>William Woods University</t>
  </si>
  <si>
    <t>Millsaps College</t>
  </si>
  <si>
    <t>Rocky Mountain College</t>
  </si>
  <si>
    <t>Bennett College</t>
  </si>
  <si>
    <t>Davidson College</t>
  </si>
  <si>
    <t>Duke University</t>
  </si>
  <si>
    <t>Gardner Webb University</t>
  </si>
  <si>
    <t>Guilford College</t>
  </si>
  <si>
    <t>Lenoir-Rhyne College</t>
  </si>
  <si>
    <t>North Carolina Wesleyan College</t>
  </si>
  <si>
    <t>Queens College</t>
  </si>
  <si>
    <t>Salem College</t>
  </si>
  <si>
    <t>Wingate College</t>
  </si>
  <si>
    <t>College of Santa Fe</t>
  </si>
  <si>
    <t>College of the Southwest</t>
  </si>
  <si>
    <t>Cazenovia College</t>
  </si>
  <si>
    <t>Colgate University</t>
  </si>
  <si>
    <t>Elmira College</t>
  </si>
  <si>
    <t>Hartwick College</t>
  </si>
  <si>
    <t>Hofstra University</t>
  </si>
  <si>
    <t>Houghton College</t>
  </si>
  <si>
    <t>Marist College</t>
  </si>
  <si>
    <t>Nyack College</t>
  </si>
  <si>
    <t>Skidmore College</t>
  </si>
  <si>
    <t>Siena College</t>
  </si>
  <si>
    <t>St. Bonaventure University</t>
  </si>
  <si>
    <t>St. John Fisher College</t>
  </si>
  <si>
    <t>Ashland University</t>
  </si>
  <si>
    <t>Baldwin-Wallace College</t>
  </si>
  <si>
    <t>Cedarville College</t>
  </si>
  <si>
    <t>College of Mount St. Joseph</t>
  </si>
  <si>
    <t>Franciscan University of Steubenville</t>
  </si>
  <si>
    <t>Heidelberg College</t>
  </si>
  <si>
    <t>Kenyon College</t>
  </si>
  <si>
    <t>Malone College</t>
  </si>
  <si>
    <t>Muskingum College</t>
  </si>
  <si>
    <t>Oberlin College</t>
  </si>
  <si>
    <t>Tiffin University</t>
  </si>
  <si>
    <t>University of Dayton</t>
  </si>
  <si>
    <t>Ursuline College</t>
  </si>
  <si>
    <t>Wittenberg University</t>
  </si>
  <si>
    <t>Xavier University</t>
  </si>
  <si>
    <t>Antioch University</t>
  </si>
  <si>
    <t>Oklahoma Christian University</t>
  </si>
  <si>
    <t>Oral Roberts University</t>
  </si>
  <si>
    <t>Linfield College</t>
  </si>
  <si>
    <t>Pacific University</t>
  </si>
  <si>
    <t>Reed College</t>
  </si>
  <si>
    <t>Albright College</t>
  </si>
  <si>
    <t>Carnegie Mellon University</t>
  </si>
  <si>
    <t>Chatham College</t>
  </si>
  <si>
    <t>Eastern College</t>
  </si>
  <si>
    <t>Gannon University</t>
  </si>
  <si>
    <t>Geneva College</t>
  </si>
  <si>
    <t>Messiah College</t>
  </si>
  <si>
    <t>Thiel College</t>
  </si>
  <si>
    <t>University of Pennsylvania</t>
  </si>
  <si>
    <t>Brown University</t>
  </si>
  <si>
    <t>Providence College</t>
  </si>
  <si>
    <t>Central Wesleyan College</t>
  </si>
  <si>
    <t>Newberry College</t>
  </si>
  <si>
    <t>Presbyterian College</t>
  </si>
  <si>
    <t>Belmont University</t>
  </si>
  <si>
    <t>Christian Brothers University</t>
  </si>
  <si>
    <t>Freed-Hardeman University</t>
  </si>
  <si>
    <t>Maryville College</t>
  </si>
  <si>
    <t>Tennessee Wesleyan College</t>
  </si>
  <si>
    <t>University of the South</t>
  </si>
  <si>
    <t>Vanderbilt University</t>
  </si>
  <si>
    <t>Hardin-Simmons University</t>
  </si>
  <si>
    <t>Incarnate Word College</t>
  </si>
  <si>
    <t>Schreiner College</t>
  </si>
  <si>
    <t>Southwestern Adventist College</t>
  </si>
  <si>
    <t>Texas College</t>
  </si>
  <si>
    <t>Texas Lutheran College</t>
  </si>
  <si>
    <t>University of Dallas</t>
  </si>
  <si>
    <t>Emory &amp; Henry College</t>
  </si>
  <si>
    <t>Hollins College</t>
  </si>
  <si>
    <t>Seattle University</t>
  </si>
  <si>
    <t>Whitman College</t>
  </si>
  <si>
    <t>Beloit College</t>
  </si>
  <si>
    <t>Ripon College</t>
  </si>
  <si>
    <t>St. Norbert College</t>
  </si>
  <si>
    <t>Alderson-Broaddus College</t>
  </si>
  <si>
    <t>Marshall University</t>
  </si>
  <si>
    <t>Central Connecticut State University</t>
  </si>
  <si>
    <t>Eastern Connecticut State University</t>
  </si>
  <si>
    <t>University of Connecticut at Storrs</t>
  </si>
  <si>
    <t>University of Georgia</t>
  </si>
  <si>
    <t>University of Hawaii at Manoa</t>
  </si>
  <si>
    <t>Bridgewater State College</t>
  </si>
  <si>
    <t>North Adams State College</t>
  </si>
  <si>
    <t>Westfield State College</t>
  </si>
  <si>
    <t>Worcester State College</t>
  </si>
  <si>
    <t>University of Maryland at College Park</t>
  </si>
  <si>
    <t>University of Maine at Presque Isle</t>
  </si>
  <si>
    <t>Fayetteville State University</t>
  </si>
  <si>
    <t>Pembroke State University</t>
  </si>
  <si>
    <t>North Carolina State University at Raleigh</t>
  </si>
  <si>
    <t>University of North Carolina at Chapel Hill</t>
  </si>
  <si>
    <t>University of North Carolina at Greensboro</t>
  </si>
  <si>
    <t>Western Carolina University</t>
  </si>
  <si>
    <t>University of New Hampshire</t>
  </si>
  <si>
    <t>Keene State College</t>
  </si>
  <si>
    <t>Jersey City State College</t>
  </si>
  <si>
    <t>Montclair State University</t>
  </si>
  <si>
    <t>New Jersey Institute of Technology</t>
  </si>
  <si>
    <t>Rutgers State University at Newark</t>
  </si>
  <si>
    <t>Rutgers State University at Camden</t>
  </si>
  <si>
    <t>Rutgers at New Brunswick</t>
  </si>
  <si>
    <t>Stockton College of New Jersey</t>
  </si>
  <si>
    <t>SUNY at Albany</t>
  </si>
  <si>
    <t>SUNY College at Buffalo</t>
  </si>
  <si>
    <t>SUNY College at Purchase</t>
  </si>
  <si>
    <t>Lincoln University</t>
  </si>
  <si>
    <t>Bloomsburg Univ. of Pennsylvania</t>
  </si>
  <si>
    <t>Millersville University of Penn.</t>
  </si>
  <si>
    <t>Shippensburg University of Penn.</t>
  </si>
  <si>
    <t>Temple University</t>
  </si>
  <si>
    <t>University of Pittsburgh-Main Campus</t>
  </si>
  <si>
    <t>Pennsylvania State Univ. Main Campus</t>
  </si>
  <si>
    <t>University of Rhode Island</t>
  </si>
  <si>
    <t>College of William and Mary</t>
  </si>
  <si>
    <t>Virginia Commonwealth University</t>
  </si>
  <si>
    <t>Johnson State College</t>
  </si>
  <si>
    <t>University of Vermont</t>
  </si>
  <si>
    <t>Harvey Mudd College</t>
  </si>
  <si>
    <t>Occidental College</t>
  </si>
  <si>
    <t>St. Mary's College of California</t>
  </si>
  <si>
    <t>Loyola Marymount University</t>
  </si>
  <si>
    <t>Sacred Heart University</t>
  </si>
  <si>
    <t>University of Bridgeport</t>
  </si>
  <si>
    <t>University of Hartford</t>
  </si>
  <si>
    <t>Wesley College</t>
  </si>
  <si>
    <t>Florida Institute of Technology</t>
  </si>
  <si>
    <t>Brewton-Parker College</t>
  </si>
  <si>
    <t>University of Evansville</t>
  </si>
  <si>
    <t>Merrimack College</t>
  </si>
  <si>
    <t>Gordon College</t>
  </si>
  <si>
    <t>Lesley College</t>
  </si>
  <si>
    <t>Wellesley College</t>
  </si>
  <si>
    <t>Goucher College</t>
  </si>
  <si>
    <t>Bowdoin College</t>
  </si>
  <si>
    <t>Thomas College</t>
  </si>
  <si>
    <t>Elon College</t>
  </si>
  <si>
    <t>Dartmouth College</t>
  </si>
  <si>
    <t>Franklin Pierce College</t>
  </si>
  <si>
    <t>Notre Dame College</t>
  </si>
  <si>
    <t>Daniel Webster College</t>
  </si>
  <si>
    <t>Drew University</t>
  </si>
  <si>
    <t>Georgian Court College</t>
  </si>
  <si>
    <t>Princeton University</t>
  </si>
  <si>
    <t>Seton Hall University</t>
  </si>
  <si>
    <t>Saint Peter's College</t>
  </si>
  <si>
    <t>Clarkson University</t>
  </si>
  <si>
    <t>Columbia University</t>
  </si>
  <si>
    <t>Barnard College</t>
  </si>
  <si>
    <t>King's College</t>
  </si>
  <si>
    <t>Manhattanville College</t>
  </si>
  <si>
    <t>Pace University</t>
  </si>
  <si>
    <t>Sarah Lawrence College</t>
  </si>
  <si>
    <t>St. Lawrence University</t>
  </si>
  <si>
    <t>George Fox College</t>
  </si>
  <si>
    <t>University of Portland</t>
  </si>
  <si>
    <t>Elizabethtown College</t>
  </si>
  <si>
    <t>Juniata College</t>
  </si>
  <si>
    <t>La Salle University</t>
  </si>
  <si>
    <t>Marywood College</t>
  </si>
  <si>
    <t>Philadelphia Coll. of Textiles and Sci.</t>
  </si>
  <si>
    <t>University of Scranton</t>
  </si>
  <si>
    <t>Villanova University</t>
  </si>
  <si>
    <t>York College of Pennsylvania</t>
  </si>
  <si>
    <t>Allentown Coll. of St. Francis de Sales</t>
  </si>
  <si>
    <t>La Roche College</t>
  </si>
  <si>
    <t>Roger Williams University</t>
  </si>
  <si>
    <t>Coker College</t>
  </si>
  <si>
    <t>Erskine College</t>
  </si>
  <si>
    <t>Furman University</t>
  </si>
  <si>
    <t>Our Lady of the Lake University</t>
  </si>
  <si>
    <t>Trinity University</t>
  </si>
  <si>
    <t>Hampden - Sydney College</t>
  </si>
  <si>
    <t>Hampton University</t>
  </si>
  <si>
    <t>Randolph-Macon College</t>
  </si>
  <si>
    <t>Saint Michael's College</t>
  </si>
  <si>
    <t>Acceptance Rate</t>
  </si>
  <si>
    <t>Applications</t>
  </si>
  <si>
    <t>Data Mining: K-Means Clustering - Predicted Clusters</t>
  </si>
  <si>
    <t>Output Navigator</t>
  </si>
  <si>
    <t>Cluster Labels</t>
  </si>
  <si>
    <t>Date: 28-Oct-2021 01:59:50</t>
  </si>
  <si>
    <t>Elapsed Times in Milliseconds</t>
  </si>
  <si>
    <t>Data Reading Time</t>
  </si>
  <si>
    <t>Algorithm Time</t>
  </si>
  <si>
    <t>Report Time</t>
  </si>
  <si>
    <t>Total</t>
  </si>
  <si>
    <t>Record ID</t>
  </si>
  <si>
    <t>Cluster</t>
  </si>
  <si>
    <t>Cluster 1</t>
  </si>
  <si>
    <t>Cluster 2</t>
  </si>
  <si>
    <t>Record 1</t>
  </si>
  <si>
    <t>Record 2</t>
  </si>
  <si>
    <t>Record 3</t>
  </si>
  <si>
    <t>Record 4</t>
  </si>
  <si>
    <t>Record 5</t>
  </si>
  <si>
    <t>Record 6</t>
  </si>
  <si>
    <t>Record 7</t>
  </si>
  <si>
    <t>Record 8</t>
  </si>
  <si>
    <t>Record 9</t>
  </si>
  <si>
    <t>Record 10</t>
  </si>
  <si>
    <t>Record 11</t>
  </si>
  <si>
    <t>Record 12</t>
  </si>
  <si>
    <t>Record 13</t>
  </si>
  <si>
    <t>Record 14</t>
  </si>
  <si>
    <t>Record 15</t>
  </si>
  <si>
    <t>Record 16</t>
  </si>
  <si>
    <t>Record 17</t>
  </si>
  <si>
    <t>Record 18</t>
  </si>
  <si>
    <t>Record 19</t>
  </si>
  <si>
    <t>Record 20</t>
  </si>
  <si>
    <t>Record 21</t>
  </si>
  <si>
    <t>Record 22</t>
  </si>
  <si>
    <t>Record 23</t>
  </si>
  <si>
    <t>Record 24</t>
  </si>
  <si>
    <t>Record 25</t>
  </si>
  <si>
    <t>Record 26</t>
  </si>
  <si>
    <t>Record 27</t>
  </si>
  <si>
    <t>Record 28</t>
  </si>
  <si>
    <t>Record 29</t>
  </si>
  <si>
    <t>Record 30</t>
  </si>
  <si>
    <t>Record 31</t>
  </si>
  <si>
    <t>Record 32</t>
  </si>
  <si>
    <t>Record 33</t>
  </si>
  <si>
    <t>Record 34</t>
  </si>
  <si>
    <t>Record 35</t>
  </si>
  <si>
    <t>Record 36</t>
  </si>
  <si>
    <t>Record 37</t>
  </si>
  <si>
    <t>Record 38</t>
  </si>
  <si>
    <t>Record 39</t>
  </si>
  <si>
    <t>Record 40</t>
  </si>
  <si>
    <t>Record 41</t>
  </si>
  <si>
    <t>Record 42</t>
  </si>
  <si>
    <t>Record 43</t>
  </si>
  <si>
    <t>Record 44</t>
  </si>
  <si>
    <t>Record 45</t>
  </si>
  <si>
    <t>Record 46</t>
  </si>
  <si>
    <t>Record 47</t>
  </si>
  <si>
    <t>Record 48</t>
  </si>
  <si>
    <t>Record 49</t>
  </si>
  <si>
    <t>Record 50</t>
  </si>
  <si>
    <t>Record 51</t>
  </si>
  <si>
    <t>Record 52</t>
  </si>
  <si>
    <t>Record 53</t>
  </si>
  <si>
    <t>Record 54</t>
  </si>
  <si>
    <t>Record 55</t>
  </si>
  <si>
    <t>Record 56</t>
  </si>
  <si>
    <t>Record 57</t>
  </si>
  <si>
    <t>Record 58</t>
  </si>
  <si>
    <t>Record 59</t>
  </si>
  <si>
    <t>Record 60</t>
  </si>
  <si>
    <t>Record 61</t>
  </si>
  <si>
    <t>Record 62</t>
  </si>
  <si>
    <t>Record 63</t>
  </si>
  <si>
    <t>Record 64</t>
  </si>
  <si>
    <t>Record 65</t>
  </si>
  <si>
    <t>Record 66</t>
  </si>
  <si>
    <t>Record 67</t>
  </si>
  <si>
    <t>Record 68</t>
  </si>
  <si>
    <t>Record 69</t>
  </si>
  <si>
    <t>Record 70</t>
  </si>
  <si>
    <t>Record 71</t>
  </si>
  <si>
    <t>Record 72</t>
  </si>
  <si>
    <t>Record 73</t>
  </si>
  <si>
    <t>Record 74</t>
  </si>
  <si>
    <t>Record 75</t>
  </si>
  <si>
    <t>Record 76</t>
  </si>
  <si>
    <t>Record 77</t>
  </si>
  <si>
    <t>Record 78</t>
  </si>
  <si>
    <t>Record 79</t>
  </si>
  <si>
    <t>Record 80</t>
  </si>
  <si>
    <t>Record 81</t>
  </si>
  <si>
    <t>Record 82</t>
  </si>
  <si>
    <t>Record 83</t>
  </si>
  <si>
    <t>Record 84</t>
  </si>
  <si>
    <t>Record 85</t>
  </si>
  <si>
    <t>Record 86</t>
  </si>
  <si>
    <t>Record 87</t>
  </si>
  <si>
    <t>Record 88</t>
  </si>
  <si>
    <t>Record 89</t>
  </si>
  <si>
    <t>Record 90</t>
  </si>
  <si>
    <t>Record 91</t>
  </si>
  <si>
    <t>Record 92</t>
  </si>
  <si>
    <t>Record 93</t>
  </si>
  <si>
    <t>Record 94</t>
  </si>
  <si>
    <t>Record 95</t>
  </si>
  <si>
    <t>Record 96</t>
  </si>
  <si>
    <t>Record 97</t>
  </si>
  <si>
    <t>Record 98</t>
  </si>
  <si>
    <t>Record 99</t>
  </si>
  <si>
    <t>Record 100</t>
  </si>
  <si>
    <t>Record 101</t>
  </si>
  <si>
    <t>Record 102</t>
  </si>
  <si>
    <t>Record 103</t>
  </si>
  <si>
    <t>Record 104</t>
  </si>
  <si>
    <t>Record 105</t>
  </si>
  <si>
    <t>Record 106</t>
  </si>
  <si>
    <t>Record 107</t>
  </si>
  <si>
    <t>Record 108</t>
  </si>
  <si>
    <t>Record 109</t>
  </si>
  <si>
    <t>Record 110</t>
  </si>
  <si>
    <t>Record 111</t>
  </si>
  <si>
    <t>Record 112</t>
  </si>
  <si>
    <t>Record 113</t>
  </si>
  <si>
    <t>Record 114</t>
  </si>
  <si>
    <t>Record 115</t>
  </si>
  <si>
    <t>Record 116</t>
  </si>
  <si>
    <t>Record 117</t>
  </si>
  <si>
    <t>Record 118</t>
  </si>
  <si>
    <t>Record 119</t>
  </si>
  <si>
    <t>Record 120</t>
  </si>
  <si>
    <t>Record 121</t>
  </si>
  <si>
    <t>Record 122</t>
  </si>
  <si>
    <t>Record 123</t>
  </si>
  <si>
    <t>Record 124</t>
  </si>
  <si>
    <t>Record 125</t>
  </si>
  <si>
    <t>Record 126</t>
  </si>
  <si>
    <t>Record 127</t>
  </si>
  <si>
    <t>Record 128</t>
  </si>
  <si>
    <t>Record 129</t>
  </si>
  <si>
    <t>Record 130</t>
  </si>
  <si>
    <t>Record 131</t>
  </si>
  <si>
    <t>Record 132</t>
  </si>
  <si>
    <t>Record 133</t>
  </si>
  <si>
    <t>Record 134</t>
  </si>
  <si>
    <t>Record 135</t>
  </si>
  <si>
    <t>Record 136</t>
  </si>
  <si>
    <t>Record 137</t>
  </si>
  <si>
    <t>Record 138</t>
  </si>
  <si>
    <t>Record 139</t>
  </si>
  <si>
    <t>Record 140</t>
  </si>
  <si>
    <t>Record 141</t>
  </si>
  <si>
    <t>Record 142</t>
  </si>
  <si>
    <t>Record 143</t>
  </si>
  <si>
    <t>Record 144</t>
  </si>
  <si>
    <t>Record 145</t>
  </si>
  <si>
    <t>Record 146</t>
  </si>
  <si>
    <t>Record 147</t>
  </si>
  <si>
    <t>Record 148</t>
  </si>
  <si>
    <t>Record 149</t>
  </si>
  <si>
    <t>Record 150</t>
  </si>
  <si>
    <t>Record 151</t>
  </si>
  <si>
    <t>Record 152</t>
  </si>
  <si>
    <t>Record 153</t>
  </si>
  <si>
    <t>Record 154</t>
  </si>
  <si>
    <t>Record 155</t>
  </si>
  <si>
    <t>Record 156</t>
  </si>
  <si>
    <t>Record 157</t>
  </si>
  <si>
    <t>Record 158</t>
  </si>
  <si>
    <t>Record 159</t>
  </si>
  <si>
    <t>Record 160</t>
  </si>
  <si>
    <t>Record 161</t>
  </si>
  <si>
    <t>Record 162</t>
  </si>
  <si>
    <t>Record 163</t>
  </si>
  <si>
    <t>Record 164</t>
  </si>
  <si>
    <t>Record 165</t>
  </si>
  <si>
    <t>Record 166</t>
  </si>
  <si>
    <t>Record 167</t>
  </si>
  <si>
    <t>Record 168</t>
  </si>
  <si>
    <t>Record 169</t>
  </si>
  <si>
    <t>Record 170</t>
  </si>
  <si>
    <t>Record 171</t>
  </si>
  <si>
    <t>Record 172</t>
  </si>
  <si>
    <t>Record 173</t>
  </si>
  <si>
    <t>Record 174</t>
  </si>
  <si>
    <t>Record 175</t>
  </si>
  <si>
    <t>Record 176</t>
  </si>
  <si>
    <t>Record 177</t>
  </si>
  <si>
    <t>Record 178</t>
  </si>
  <si>
    <t>Record 179</t>
  </si>
  <si>
    <t>Record 180</t>
  </si>
  <si>
    <t>Record 181</t>
  </si>
  <si>
    <t>Record 182</t>
  </si>
  <si>
    <t>Record 183</t>
  </si>
  <si>
    <t>Record 184</t>
  </si>
  <si>
    <t>Record 185</t>
  </si>
  <si>
    <t>Record 186</t>
  </si>
  <si>
    <t>Record 187</t>
  </si>
  <si>
    <t>Record 188</t>
  </si>
  <si>
    <t>Record 189</t>
  </si>
  <si>
    <t>Record 190</t>
  </si>
  <si>
    <t>Record 191</t>
  </si>
  <si>
    <t>Record 192</t>
  </si>
  <si>
    <t>Record 193</t>
  </si>
  <si>
    <t>Record 194</t>
  </si>
  <si>
    <t>Record 195</t>
  </si>
  <si>
    <t>Record 196</t>
  </si>
  <si>
    <t>Record 197</t>
  </si>
  <si>
    <t>Record 198</t>
  </si>
  <si>
    <t>Record 199</t>
  </si>
  <si>
    <t>Record 200</t>
  </si>
  <si>
    <t>Record 201</t>
  </si>
  <si>
    <t>Record 202</t>
  </si>
  <si>
    <t>Record 203</t>
  </si>
  <si>
    <t>Record 204</t>
  </si>
  <si>
    <t>Record 205</t>
  </si>
  <si>
    <t>Record 206</t>
  </si>
  <si>
    <t>Record 207</t>
  </si>
  <si>
    <t>Record 208</t>
  </si>
  <si>
    <t>Record 209</t>
  </si>
  <si>
    <t>Record 210</t>
  </si>
  <si>
    <t>Record 211</t>
  </si>
  <si>
    <t>Record 212</t>
  </si>
  <si>
    <t>Record 213</t>
  </si>
  <si>
    <t>Record 214</t>
  </si>
  <si>
    <t>Record 215</t>
  </si>
  <si>
    <t>Record 216</t>
  </si>
  <si>
    <t>Record 217</t>
  </si>
  <si>
    <t>Record 218</t>
  </si>
  <si>
    <t>Record 219</t>
  </si>
  <si>
    <t>Record 220</t>
  </si>
  <si>
    <t>Record 221</t>
  </si>
  <si>
    <t>Record 222</t>
  </si>
  <si>
    <t>Record 223</t>
  </si>
  <si>
    <t>Record 224</t>
  </si>
  <si>
    <t>Record 225</t>
  </si>
  <si>
    <t>Record 226</t>
  </si>
  <si>
    <t>Record 227</t>
  </si>
  <si>
    <t>Record 228</t>
  </si>
  <si>
    <t>Record 229</t>
  </si>
  <si>
    <t>Record 230</t>
  </si>
  <si>
    <t>Record 231</t>
  </si>
  <si>
    <t>Record 232</t>
  </si>
  <si>
    <t>Record 233</t>
  </si>
  <si>
    <t>Record 234</t>
  </si>
  <si>
    <t>Record 235</t>
  </si>
  <si>
    <t>Record 236</t>
  </si>
  <si>
    <t>Record 237</t>
  </si>
  <si>
    <t>Record 238</t>
  </si>
  <si>
    <t>Record 239</t>
  </si>
  <si>
    <t>Record 240</t>
  </si>
  <si>
    <t>Record 241</t>
  </si>
  <si>
    <t>Record 242</t>
  </si>
  <si>
    <t>Record 243</t>
  </si>
  <si>
    <t>Record 244</t>
  </si>
  <si>
    <t>Record 245</t>
  </si>
  <si>
    <t>Record 246</t>
  </si>
  <si>
    <t>Record 247</t>
  </si>
  <si>
    <t>Record 248</t>
  </si>
  <si>
    <t>Record 249</t>
  </si>
  <si>
    <t>Record 250</t>
  </si>
  <si>
    <t>Record 251</t>
  </si>
  <si>
    <t>Record 252</t>
  </si>
  <si>
    <t>Record 253</t>
  </si>
  <si>
    <t>Record 254</t>
  </si>
  <si>
    <t>Record 255</t>
  </si>
  <si>
    <t>Record 256</t>
  </si>
  <si>
    <t>Record 257</t>
  </si>
  <si>
    <t>Record 258</t>
  </si>
  <si>
    <t>Record 259</t>
  </si>
  <si>
    <t>Record 260</t>
  </si>
  <si>
    <t>Record 261</t>
  </si>
  <si>
    <t>Record 262</t>
  </si>
  <si>
    <t>Record 263</t>
  </si>
  <si>
    <t>Record 264</t>
  </si>
  <si>
    <t>Record 265</t>
  </si>
  <si>
    <t>Record 266</t>
  </si>
  <si>
    <t>Record 267</t>
  </si>
  <si>
    <t>Record 268</t>
  </si>
  <si>
    <t>Record 269</t>
  </si>
  <si>
    <t>Record 270</t>
  </si>
  <si>
    <t>Record 271</t>
  </si>
  <si>
    <t>Record 272</t>
  </si>
  <si>
    <t>Record 273</t>
  </si>
  <si>
    <t>Record 274</t>
  </si>
  <si>
    <t>Record 275</t>
  </si>
  <si>
    <t>Record 276</t>
  </si>
  <si>
    <t>Record 277</t>
  </si>
  <si>
    <t>Record 278</t>
  </si>
  <si>
    <t>Record 279</t>
  </si>
  <si>
    <t>Record 280</t>
  </si>
  <si>
    <t>Record 281</t>
  </si>
  <si>
    <t>Record 282</t>
  </si>
  <si>
    <t>Record 283</t>
  </si>
  <si>
    <t>Record 284</t>
  </si>
  <si>
    <t>Record 285</t>
  </si>
  <si>
    <t>Record 286</t>
  </si>
  <si>
    <t>Record 287</t>
  </si>
  <si>
    <t>Record 288</t>
  </si>
  <si>
    <t>Record 289</t>
  </si>
  <si>
    <t>Record 290</t>
  </si>
  <si>
    <t>Record 291</t>
  </si>
  <si>
    <t>Record 292</t>
  </si>
  <si>
    <t>Record 293</t>
  </si>
  <si>
    <t>Record 294</t>
  </si>
  <si>
    <t>Record 295</t>
  </si>
  <si>
    <t>Record 296</t>
  </si>
  <si>
    <t>Record 297</t>
  </si>
  <si>
    <t>Record 298</t>
  </si>
  <si>
    <t>Record 299</t>
  </si>
  <si>
    <t>Record 300</t>
  </si>
  <si>
    <t>Record 301</t>
  </si>
  <si>
    <t>Record 302</t>
  </si>
  <si>
    <t>Record 303</t>
  </si>
  <si>
    <t>Record 304</t>
  </si>
  <si>
    <t>Record 305</t>
  </si>
  <si>
    <t>Record 306</t>
  </si>
  <si>
    <t>Record 307</t>
  </si>
  <si>
    <t>Inputs</t>
  </si>
  <si>
    <t>Random Starts Summary</t>
  </si>
  <si>
    <t>Cluster Centers</t>
  </si>
  <si>
    <t>Inter-Cluster Distances</t>
  </si>
  <si>
    <t>Cluster Summary</t>
  </si>
  <si>
    <t>Data Mining: K-Means Clustering</t>
  </si>
  <si>
    <t>Data</t>
  </si>
  <si>
    <t>Workbook</t>
  </si>
  <si>
    <t>Worksheet</t>
  </si>
  <si>
    <t>Range</t>
  </si>
  <si>
    <t># Records in the input data</t>
  </si>
  <si>
    <t>Variables</t>
  </si>
  <si>
    <t># Selected Variables</t>
  </si>
  <si>
    <t>Selected Variables</t>
  </si>
  <si>
    <t>K-Means Clustering: Fitting Parameters</t>
  </si>
  <si>
    <t># Clusters</t>
  </si>
  <si>
    <t>Start type</t>
  </si>
  <si>
    <t># Iterations</t>
  </si>
  <si>
    <t>Random seed: initial centroids</t>
  </si>
  <si>
    <t>K-Means Clustering: Reporting Parameters</t>
  </si>
  <si>
    <t>Show data summary</t>
  </si>
  <si>
    <t>Show distance from each cluster</t>
  </si>
  <si>
    <t>Normalized?</t>
  </si>
  <si>
    <t>Colleges.xlsm</t>
  </si>
  <si>
    <t>A1:L308</t>
  </si>
  <si>
    <t>Random Start</t>
  </si>
  <si>
    <t>{"comment":"this RASON template was auto-generated by Analytic Solver Data Mining","datasources":{},"datasets":{},"estimator":{"kmeansClusteringEstimator":{"type":"clustering","algorithm":"kMeans","parameters":{"maxIterations":10,"numClusters":2,"numStarts":1,"randomSeed":12345}}},"actions":{}}</t>
  </si>
  <si>
    <t>Best: Start 1. Sum of Squares: 28820629041.331192</t>
  </si>
  <si>
    <t>Size</t>
  </si>
  <si>
    <t>Average Distance</t>
  </si>
  <si>
    <t>Date: 28-Oct-2021 02:00:53</t>
  </si>
  <si>
    <t>{"comment":"this RASON template was auto-generated by Analytic Solver Data Mining","datasources":{},"datasets":{},"estimator":{"kmeansClusteringEstimator":{"type":"clustering","algorithm":"kMeans","parameters":{"maxIterations":50,"numClusters":2,"numStarts":1,"randomSeed":12345}}},"actions":{}}</t>
  </si>
  <si>
    <t>Data Mining: Hierarchical Clustering - Dendrogram</t>
  </si>
  <si>
    <t>Cluster Legend (Numbers show the record sequence relative to the original data)</t>
  </si>
  <si>
    <t>Sub-Cluster
1</t>
  </si>
  <si>
    <t>Sub-Cluster
2</t>
  </si>
  <si>
    <t>Sub-Cluster
3</t>
  </si>
  <si>
    <t>Sub-Cluster
4</t>
  </si>
  <si>
    <t>Sub-Cluster
5</t>
  </si>
  <si>
    <t>Sub-Cluster
6</t>
  </si>
  <si>
    <t>Sub-Cluster
7</t>
  </si>
  <si>
    <t>Sub-Cluster
8</t>
  </si>
  <si>
    <t>Sub-Cluster
9</t>
  </si>
  <si>
    <t>Sub-Cluster
10</t>
  </si>
  <si>
    <t>Date: 28-Oct-2021 02:02:57</t>
  </si>
  <si>
    <t>Dendrogram</t>
  </si>
  <si>
    <t>Clustering Stages</t>
  </si>
  <si>
    <t>Data Mining: Hierarchical Clustering - Predicted Clusters</t>
  </si>
  <si>
    <t>Sub-Cluster</t>
  </si>
  <si>
    <t>Data Mining: Hierarchical Clustering</t>
  </si>
  <si>
    <t>Hierarchical Clustering: Fitting Parameters</t>
  </si>
  <si>
    <t>Similarity Measure</t>
  </si>
  <si>
    <t>Clustering Method</t>
  </si>
  <si>
    <t>Hierarchical Clustering: Model Parameters</t>
  </si>
  <si>
    <t>Cluster Assignment</t>
  </si>
  <si>
    <t>Hierarchical Clustering: Reporting Parameters</t>
  </si>
  <si>
    <t>Draw Dendrogram?</t>
  </si>
  <si>
    <t>EUCLIDEAN</t>
  </si>
  <si>
    <t>WARD</t>
  </si>
  <si>
    <t>{"comment":"this RASON template was auto-generated by Analytic Solver Data Mining","datasources":{},"datasets":{},"estimator":{"hierarchicalClusteringEstimator":{"type":"clustering","algorithm":"hierarchical","parameters":{"dissimilarity":"EUCLIDEAN","inputDataType":"RAW_DATA","linkage":"WARD"}}},"actions":{}}</t>
  </si>
  <si>
    <t>Maximum Number of Leaves in Dendrogram</t>
  </si>
  <si>
    <t>Data Type</t>
  </si>
  <si>
    <t>Raw Data</t>
  </si>
  <si>
    <t>Stage</t>
  </si>
  <si>
    <t>Distance</t>
  </si>
  <si>
    <t>Stage1</t>
  </si>
  <si>
    <t>Stage2</t>
  </si>
  <si>
    <t>Stage3</t>
  </si>
  <si>
    <t>Stage4</t>
  </si>
  <si>
    <t>Stage5</t>
  </si>
  <si>
    <t>Stage6</t>
  </si>
  <si>
    <t>Stage7</t>
  </si>
  <si>
    <t>Stage8</t>
  </si>
  <si>
    <t>Stage9</t>
  </si>
  <si>
    <t>Stage10</t>
  </si>
  <si>
    <t>Stage11</t>
  </si>
  <si>
    <t>Stage12</t>
  </si>
  <si>
    <t>Stage13</t>
  </si>
  <si>
    <t>Stage14</t>
  </si>
  <si>
    <t>Stage15</t>
  </si>
  <si>
    <t>Stage16</t>
  </si>
  <si>
    <t>Stage17</t>
  </si>
  <si>
    <t>Stage18</t>
  </si>
  <si>
    <t>Stage19</t>
  </si>
  <si>
    <t>Stage20</t>
  </si>
  <si>
    <t>Stage21</t>
  </si>
  <si>
    <t>Stage22</t>
  </si>
  <si>
    <t>Stage23</t>
  </si>
  <si>
    <t>Stage24</t>
  </si>
  <si>
    <t>Stage25</t>
  </si>
  <si>
    <t>Stage26</t>
  </si>
  <si>
    <t>Stage27</t>
  </si>
  <si>
    <t>Stage28</t>
  </si>
  <si>
    <t>Stage29</t>
  </si>
  <si>
    <t>Stage30</t>
  </si>
  <si>
    <t>Stage31</t>
  </si>
  <si>
    <t>Stage32</t>
  </si>
  <si>
    <t>Stage33</t>
  </si>
  <si>
    <t>Stage34</t>
  </si>
  <si>
    <t>Stage35</t>
  </si>
  <si>
    <t>Stage36</t>
  </si>
  <si>
    <t>Stage37</t>
  </si>
  <si>
    <t>Stage38</t>
  </si>
  <si>
    <t>Stage39</t>
  </si>
  <si>
    <t>Stage40</t>
  </si>
  <si>
    <t>Stage41</t>
  </si>
  <si>
    <t>Stage42</t>
  </si>
  <si>
    <t>Stage43</t>
  </si>
  <si>
    <t>Stage44</t>
  </si>
  <si>
    <t>Stage45</t>
  </si>
  <si>
    <t>Stage46</t>
  </si>
  <si>
    <t>Stage47</t>
  </si>
  <si>
    <t>Stage48</t>
  </si>
  <si>
    <t>Stage49</t>
  </si>
  <si>
    <t>Stage50</t>
  </si>
  <si>
    <t>Stage51</t>
  </si>
  <si>
    <t>Stage52</t>
  </si>
  <si>
    <t>Stage53</t>
  </si>
  <si>
    <t>Stage54</t>
  </si>
  <si>
    <t>Stage55</t>
  </si>
  <si>
    <t>Stage56</t>
  </si>
  <si>
    <t>Stage57</t>
  </si>
  <si>
    <t>Stage58</t>
  </si>
  <si>
    <t>Stage59</t>
  </si>
  <si>
    <t>Stage60</t>
  </si>
  <si>
    <t>Stage61</t>
  </si>
  <si>
    <t>Stage62</t>
  </si>
  <si>
    <t>Stage63</t>
  </si>
  <si>
    <t>Stage64</t>
  </si>
  <si>
    <t>Stage65</t>
  </si>
  <si>
    <t>Stage66</t>
  </si>
  <si>
    <t>Stage67</t>
  </si>
  <si>
    <t>Stage68</t>
  </si>
  <si>
    <t>Stage69</t>
  </si>
  <si>
    <t>Stage70</t>
  </si>
  <si>
    <t>Stage71</t>
  </si>
  <si>
    <t>Stage72</t>
  </si>
  <si>
    <t>Stage73</t>
  </si>
  <si>
    <t>Stage74</t>
  </si>
  <si>
    <t>Stage75</t>
  </si>
  <si>
    <t>Stage76</t>
  </si>
  <si>
    <t>Stage77</t>
  </si>
  <si>
    <t>Stage78</t>
  </si>
  <si>
    <t>Stage79</t>
  </si>
  <si>
    <t>Stage80</t>
  </si>
  <si>
    <t>Stage81</t>
  </si>
  <si>
    <t>Stage82</t>
  </si>
  <si>
    <t>Stage83</t>
  </si>
  <si>
    <t>Stage84</t>
  </si>
  <si>
    <t>Stage85</t>
  </si>
  <si>
    <t>Stage86</t>
  </si>
  <si>
    <t>Stage87</t>
  </si>
  <si>
    <t>Stage88</t>
  </si>
  <si>
    <t>Stage89</t>
  </si>
  <si>
    <t>Stage90</t>
  </si>
  <si>
    <t>Stage91</t>
  </si>
  <si>
    <t>Stage92</t>
  </si>
  <si>
    <t>Stage93</t>
  </si>
  <si>
    <t>Stage94</t>
  </si>
  <si>
    <t>Stage95</t>
  </si>
  <si>
    <t>Stage96</t>
  </si>
  <si>
    <t>Stage97</t>
  </si>
  <si>
    <t>Stage98</t>
  </si>
  <si>
    <t>Stage99</t>
  </si>
  <si>
    <t>Stage100</t>
  </si>
  <si>
    <t>Stage101</t>
  </si>
  <si>
    <t>Stage102</t>
  </si>
  <si>
    <t>Stage103</t>
  </si>
  <si>
    <t>Stage104</t>
  </si>
  <si>
    <t>Stage105</t>
  </si>
  <si>
    <t>Stage106</t>
  </si>
  <si>
    <t>Stage107</t>
  </si>
  <si>
    <t>Stage108</t>
  </si>
  <si>
    <t>Stage109</t>
  </si>
  <si>
    <t>Stage110</t>
  </si>
  <si>
    <t>Stage111</t>
  </si>
  <si>
    <t>Stage112</t>
  </si>
  <si>
    <t>Stage113</t>
  </si>
  <si>
    <t>Stage114</t>
  </si>
  <si>
    <t>Stage115</t>
  </si>
  <si>
    <t>Stage116</t>
  </si>
  <si>
    <t>Stage117</t>
  </si>
  <si>
    <t>Stage118</t>
  </si>
  <si>
    <t>Stage119</t>
  </si>
  <si>
    <t>Stage120</t>
  </si>
  <si>
    <t>Stage121</t>
  </si>
  <si>
    <t>Stage122</t>
  </si>
  <si>
    <t>Stage123</t>
  </si>
  <si>
    <t>Stage124</t>
  </si>
  <si>
    <t>Stage125</t>
  </si>
  <si>
    <t>Stage126</t>
  </si>
  <si>
    <t>Stage127</t>
  </si>
  <si>
    <t>Stage128</t>
  </si>
  <si>
    <t>Stage129</t>
  </si>
  <si>
    <t>Stage130</t>
  </si>
  <si>
    <t>Stage131</t>
  </si>
  <si>
    <t>Stage132</t>
  </si>
  <si>
    <t>Stage133</t>
  </si>
  <si>
    <t>Stage134</t>
  </si>
  <si>
    <t>Stage135</t>
  </si>
  <si>
    <t>Stage136</t>
  </si>
  <si>
    <t>Stage137</t>
  </si>
  <si>
    <t>Stage138</t>
  </si>
  <si>
    <t>Stage139</t>
  </si>
  <si>
    <t>Stage140</t>
  </si>
  <si>
    <t>Stage141</t>
  </si>
  <si>
    <t>Stage142</t>
  </si>
  <si>
    <t>Stage143</t>
  </si>
  <si>
    <t>Stage144</t>
  </si>
  <si>
    <t>Stage145</t>
  </si>
  <si>
    <t>Stage146</t>
  </si>
  <si>
    <t>Stage147</t>
  </si>
  <si>
    <t>Stage148</t>
  </si>
  <si>
    <t>Stage149</t>
  </si>
  <si>
    <t>Stage150</t>
  </si>
  <si>
    <t>Stage151</t>
  </si>
  <si>
    <t>Stage152</t>
  </si>
  <si>
    <t>Stage153</t>
  </si>
  <si>
    <t>Stage154</t>
  </si>
  <si>
    <t>Stage155</t>
  </si>
  <si>
    <t>Stage156</t>
  </si>
  <si>
    <t>Stage157</t>
  </si>
  <si>
    <t>Stage158</t>
  </si>
  <si>
    <t>Stage159</t>
  </si>
  <si>
    <t>Stage160</t>
  </si>
  <si>
    <t>Stage161</t>
  </si>
  <si>
    <t>Stage162</t>
  </si>
  <si>
    <t>Stage163</t>
  </si>
  <si>
    <t>Stage164</t>
  </si>
  <si>
    <t>Stage165</t>
  </si>
  <si>
    <t>Stage166</t>
  </si>
  <si>
    <t>Stage167</t>
  </si>
  <si>
    <t>Stage168</t>
  </si>
  <si>
    <t>Stage169</t>
  </si>
  <si>
    <t>Stage170</t>
  </si>
  <si>
    <t>Stage171</t>
  </si>
  <si>
    <t>Stage172</t>
  </si>
  <si>
    <t>Stage173</t>
  </si>
  <si>
    <t>Stage174</t>
  </si>
  <si>
    <t>Stage175</t>
  </si>
  <si>
    <t>Stage176</t>
  </si>
  <si>
    <t>Stage177</t>
  </si>
  <si>
    <t>Stage178</t>
  </si>
  <si>
    <t>Stage179</t>
  </si>
  <si>
    <t>Stage180</t>
  </si>
  <si>
    <t>Stage181</t>
  </si>
  <si>
    <t>Stage182</t>
  </si>
  <si>
    <t>Stage183</t>
  </si>
  <si>
    <t>Stage184</t>
  </si>
  <si>
    <t>Stage185</t>
  </si>
  <si>
    <t>Stage186</t>
  </si>
  <si>
    <t>Stage187</t>
  </si>
  <si>
    <t>Stage188</t>
  </si>
  <si>
    <t>Stage189</t>
  </si>
  <si>
    <t>Stage190</t>
  </si>
  <si>
    <t>Stage191</t>
  </si>
  <si>
    <t>Stage192</t>
  </si>
  <si>
    <t>Stage193</t>
  </si>
  <si>
    <t>Stage194</t>
  </si>
  <si>
    <t>Stage195</t>
  </si>
  <si>
    <t>Stage196</t>
  </si>
  <si>
    <t>Stage197</t>
  </si>
  <si>
    <t>Stage198</t>
  </si>
  <si>
    <t>Stage199</t>
  </si>
  <si>
    <t>Stage200</t>
  </si>
  <si>
    <t>Stage201</t>
  </si>
  <si>
    <t>Stage202</t>
  </si>
  <si>
    <t>Stage203</t>
  </si>
  <si>
    <t>Stage204</t>
  </si>
  <si>
    <t>Stage205</t>
  </si>
  <si>
    <t>Stage206</t>
  </si>
  <si>
    <t>Stage207</t>
  </si>
  <si>
    <t>Stage208</t>
  </si>
  <si>
    <t>Stage209</t>
  </si>
  <si>
    <t>Stage210</t>
  </si>
  <si>
    <t>Stage211</t>
  </si>
  <si>
    <t>Stage212</t>
  </si>
  <si>
    <t>Stage213</t>
  </si>
  <si>
    <t>Stage214</t>
  </si>
  <si>
    <t>Stage215</t>
  </si>
  <si>
    <t>Stage216</t>
  </si>
  <si>
    <t>Stage217</t>
  </si>
  <si>
    <t>Stage218</t>
  </si>
  <si>
    <t>Stage219</t>
  </si>
  <si>
    <t>Stage220</t>
  </si>
  <si>
    <t>Stage221</t>
  </si>
  <si>
    <t>Stage222</t>
  </si>
  <si>
    <t>Stage223</t>
  </si>
  <si>
    <t>Stage224</t>
  </si>
  <si>
    <t>Stage225</t>
  </si>
  <si>
    <t>Stage226</t>
  </si>
  <si>
    <t>Stage227</t>
  </si>
  <si>
    <t>Stage228</t>
  </si>
  <si>
    <t>Stage229</t>
  </si>
  <si>
    <t>Stage230</t>
  </si>
  <si>
    <t>Stage231</t>
  </si>
  <si>
    <t>Stage232</t>
  </si>
  <si>
    <t>Stage233</t>
  </si>
  <si>
    <t>Stage234</t>
  </si>
  <si>
    <t>Stage235</t>
  </si>
  <si>
    <t>Stage236</t>
  </si>
  <si>
    <t>Stage237</t>
  </si>
  <si>
    <t>Stage238</t>
  </si>
  <si>
    <t>Stage239</t>
  </si>
  <si>
    <t>Stage240</t>
  </si>
  <si>
    <t>Stage241</t>
  </si>
  <si>
    <t>Stage242</t>
  </si>
  <si>
    <t>Stage243</t>
  </si>
  <si>
    <t>Stage244</t>
  </si>
  <si>
    <t>Stage245</t>
  </si>
  <si>
    <t>Stage246</t>
  </si>
  <si>
    <t>Stage247</t>
  </si>
  <si>
    <t>Stage248</t>
  </si>
  <si>
    <t>Stage249</t>
  </si>
  <si>
    <t>Stage250</t>
  </si>
  <si>
    <t>Stage251</t>
  </si>
  <si>
    <t>Stage252</t>
  </si>
  <si>
    <t>Stage253</t>
  </si>
  <si>
    <t>Stage254</t>
  </si>
  <si>
    <t>Stage255</t>
  </si>
  <si>
    <t>Stage256</t>
  </si>
  <si>
    <t>Stage257</t>
  </si>
  <si>
    <t>Stage258</t>
  </si>
  <si>
    <t>Stage259</t>
  </si>
  <si>
    <t>Stage260</t>
  </si>
  <si>
    <t>Stage261</t>
  </si>
  <si>
    <t>Stage262</t>
  </si>
  <si>
    <t>Stage263</t>
  </si>
  <si>
    <t>Stage264</t>
  </si>
  <si>
    <t>Stage265</t>
  </si>
  <si>
    <t>Stage266</t>
  </si>
  <si>
    <t>Stage267</t>
  </si>
  <si>
    <t>Stage268</t>
  </si>
  <si>
    <t>Stage269</t>
  </si>
  <si>
    <t>Stage270</t>
  </si>
  <si>
    <t>Stage271</t>
  </si>
  <si>
    <t>Stage272</t>
  </si>
  <si>
    <t>Stage273</t>
  </si>
  <si>
    <t>Stage274</t>
  </si>
  <si>
    <t>Stage275</t>
  </si>
  <si>
    <t>Stage276</t>
  </si>
  <si>
    <t>Stage277</t>
  </si>
  <si>
    <t>Stage278</t>
  </si>
  <si>
    <t>Stage279</t>
  </si>
  <si>
    <t>Stage280</t>
  </si>
  <si>
    <t>Stage281</t>
  </si>
  <si>
    <t>Stage282</t>
  </si>
  <si>
    <t>Stage283</t>
  </si>
  <si>
    <t>Stage284</t>
  </si>
  <si>
    <t>Stage285</t>
  </si>
  <si>
    <t>Stage286</t>
  </si>
  <si>
    <t>Stage287</t>
  </si>
  <si>
    <t>Stage288</t>
  </si>
  <si>
    <t>Stage289</t>
  </si>
  <si>
    <t>Stage290</t>
  </si>
  <si>
    <t>Stage291</t>
  </si>
  <si>
    <t>Stage292</t>
  </si>
  <si>
    <t>Stage293</t>
  </si>
  <si>
    <t>Stage294</t>
  </si>
  <si>
    <t>Stage295</t>
  </si>
  <si>
    <t>Stage296</t>
  </si>
  <si>
    <t>Stage297</t>
  </si>
  <si>
    <t>Stage298</t>
  </si>
  <si>
    <t>Stage299</t>
  </si>
  <si>
    <t>Stage300</t>
  </si>
  <si>
    <t>Stage301</t>
  </si>
  <si>
    <t>Stage302</t>
  </si>
  <si>
    <t>Stage303</t>
  </si>
  <si>
    <t>Stage304</t>
  </si>
  <si>
    <t>Stage305</t>
  </si>
  <si>
    <t>Stage306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</si>
</sst>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11" x14ac:knownFonts="1">
    <font>
      <sz val="9"/>
      <color indexed="8"/>
      <name val="Geneva"/>
    </font>
    <font>
      <sz val="9"/>
      <color indexed="8"/>
      <name val="Geneva"/>
    </font>
    <font>
      <b/>
      <sz val="9"/>
      <color indexed="8"/>
      <name val="Geneva"/>
    </font>
    <font>
      <sz val="10"/>
      <name val="Arial"/>
      <family val="2"/>
    </font>
    <font>
      <u/>
      <sz val="9"/>
      <color theme="10"/>
      <name val="Geneva"/>
    </font>
    <font>
      <sz val="9"/>
      <color indexed="8"/>
      <name val="Calibri"/>
    </font>
    <font>
      <u/>
      <sz val="9"/>
      <color theme="10"/>
      <name val="Calibri"/>
    </font>
    <font>
      <b/>
      <sz val="14"/>
      <color rgb="FF4169E1"/>
      <name val="Calibri"/>
    </font>
    <font>
      <b/>
      <sz val="14"/>
      <color indexed="8"/>
      <name val="Calibri"/>
    </font>
    <font>
      <b/>
      <sz val="12"/>
      <color indexed="8"/>
      <name val="Calibri"/>
    </font>
    <font>
      <b/>
      <sz val="10"/>
      <color rgb="FF4169E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rgb="FFEBEBFA"/>
        <bgColor indexed="64"/>
      </patternFill>
    </fill>
  </fills>
  <borders count="7">
    <border>
      <left/>
      <right/>
      <top/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</borders>
  <cellStyleXfs count="4">
    <xf numFmtId="0" fontId="0" fillId="0" borderId="0" applyNumberFormat="0" applyFont="0" applyFill="0" applyBorder="0" applyAlignment="0" applyProtection="0">
      <alignment vertical="justify" textRotation="180"/>
    </xf>
    <xf numFmtId="9" fontId="1" fillId="0" borderId="0" applyFon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>
      <alignment vertical="justify" textRotation="180"/>
    </xf>
  </cellStyleXfs>
  <cellXfs count="26">
    <xf numFmtId="0" fontId="0" fillId="0" borderId="0" xfId="0" applyAlignment="1"/>
    <xf numFmtId="0" fontId="0" fillId="0" borderId="0" xfId="0" applyAlignment="1">
      <alignment vertical="top"/>
    </xf>
    <xf numFmtId="0" fontId="0" fillId="0" borderId="0" xfId="0" applyBorder="1" applyAlignment="1">
      <alignment vertical="top"/>
    </xf>
    <xf numFmtId="9" fontId="0" fillId="0" borderId="0" xfId="1" applyFont="1" applyAlignment="1">
      <alignment vertical="top"/>
    </xf>
    <xf numFmtId="164" fontId="0" fillId="0" borderId="0" xfId="1" applyNumberFormat="1" applyFont="1" applyAlignment="1">
      <alignment vertical="top"/>
    </xf>
    <xf numFmtId="9" fontId="0" fillId="0" borderId="0" xfId="1" applyFont="1" applyBorder="1" applyAlignment="1">
      <alignment vertical="top"/>
    </xf>
    <xf numFmtId="0" fontId="2" fillId="0" borderId="0" xfId="0" applyFont="1" applyAlignment="1"/>
    <xf numFmtId="0" fontId="2" fillId="0" borderId="0" xfId="0" applyFont="1" applyAlignment="1">
      <alignment horizontal="center" wrapText="1"/>
    </xf>
    <xf numFmtId="0" fontId="7" fillId="0" borderId="0" xfId="0" applyFont="1" applyAlignment="1"/>
    <xf numFmtId="0" fontId="8" fillId="0" borderId="0" xfId="0" applyFont="1" applyAlignme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0" borderId="4" xfId="0" applyFont="1" applyBorder="1" applyAlignment="1"/>
    <xf numFmtId="0" fontId="5" fillId="0" borderId="6" xfId="0" applyFont="1" applyBorder="1" applyAlignment="1"/>
    <xf numFmtId="0" fontId="10" fillId="3" borderId="1" xfId="0" applyFont="1" applyFill="1" applyBorder="1" applyAlignment="1">
      <alignment horizontal="center"/>
    </xf>
    <xf numFmtId="165" fontId="0" fillId="0" borderId="0" xfId="0" applyNumberFormat="1" applyAlignment="1"/>
    <xf numFmtId="0" fontId="5" fillId="0" borderId="3" xfId="0" applyFont="1" applyBorder="1" applyAlignment="1"/>
    <xf numFmtId="0" fontId="5" fillId="0" borderId="2" xfId="0" applyFont="1" applyBorder="1" applyAlignment="1"/>
    <xf numFmtId="0" fontId="10" fillId="3" borderId="4" xfId="0" applyFont="1" applyFill="1" applyBorder="1" applyAlignment="1">
      <alignment horizontal="center" wrapText="1"/>
    </xf>
    <xf numFmtId="0" fontId="6" fillId="0" borderId="4" xfId="3" applyFont="1" applyBorder="1" applyAlignment="1"/>
    <xf numFmtId="0" fontId="9" fillId="2" borderId="5" xfId="0" applyFont="1" applyFill="1" applyBorder="1" applyAlignment="1"/>
    <xf numFmtId="0" fontId="9" fillId="2" borderId="4" xfId="0" applyFont="1" applyFill="1" applyBorder="1" applyAlignment="1"/>
    <xf numFmtId="0" fontId="10" fillId="3" borderId="4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5" fillId="0" borderId="4" xfId="0" applyFont="1" applyBorder="1" applyAlignment="1">
      <alignment horizontal="left"/>
    </xf>
    <xf numFmtId="0" fontId="5" fillId="0" borderId="4" xfId="0" applyFont="1" applyBorder="1" applyAlignment="1"/>
  </cellXfs>
  <cellStyles count="4">
    <cellStyle name="Hyperlink" xfId="3" builtinId="8"/>
    <cellStyle name="Normal" xfId="0" builtinId="0"/>
    <cellStyle name="Normal 2" xfId="2" xr:uid="{00000000-0005-0000-0000-000001000000}"/>
    <cellStyle name="Percent" xfId="1" builtinId="5"/>
  </cellStyles>
  <dxfs count="69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793374966060276E-2"/>
          <c:y val="0.13599004669870812"/>
          <c:w val="0.93800006175698625"/>
          <c:h val="0.25752736829834361"/>
        </c:manualLayout>
      </c:layout>
      <c:lineChart>
        <c:grouping val="standard"/>
        <c:varyColors val="0"/>
        <c:ser>
          <c:idx val="0"/>
          <c:order val="0"/>
          <c:tx>
            <c:strRef>
              <c:f>HC_Dendrogram!$B$10:$B$11</c:f>
              <c:strCache>
                <c:ptCount val="2"/>
                <c:pt idx="0">
                  <c:v>Cluster Legend (Numbers show the record sequence relative to the original data)</c:v>
                </c:pt>
                <c:pt idx="1">
                  <c:v>Sub-Cluster
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HC_Dendrogram!$B$12:$B$69</c:f>
              <c:numCache>
                <c:formatCode>General</c:formatCode>
                <c:ptCount val="58"/>
                <c:pt idx="0">
                  <c:v>1</c:v>
                </c:pt>
                <c:pt idx="1">
                  <c:v>3</c:v>
                </c:pt>
                <c:pt idx="2">
                  <c:v>8</c:v>
                </c:pt>
                <c:pt idx="3">
                  <c:v>11</c:v>
                </c:pt>
                <c:pt idx="4">
                  <c:v>17</c:v>
                </c:pt>
                <c:pt idx="5">
                  <c:v>19</c:v>
                </c:pt>
                <c:pt idx="6">
                  <c:v>22</c:v>
                </c:pt>
                <c:pt idx="7">
                  <c:v>23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35</c:v>
                </c:pt>
                <c:pt idx="12">
                  <c:v>37</c:v>
                </c:pt>
                <c:pt idx="13">
                  <c:v>40</c:v>
                </c:pt>
                <c:pt idx="14">
                  <c:v>44</c:v>
                </c:pt>
                <c:pt idx="15">
                  <c:v>209</c:v>
                </c:pt>
                <c:pt idx="16">
                  <c:v>211</c:v>
                </c:pt>
                <c:pt idx="17">
                  <c:v>221</c:v>
                </c:pt>
                <c:pt idx="18">
                  <c:v>224</c:v>
                </c:pt>
                <c:pt idx="19">
                  <c:v>233</c:v>
                </c:pt>
                <c:pt idx="20">
                  <c:v>240</c:v>
                </c:pt>
                <c:pt idx="21">
                  <c:v>241</c:v>
                </c:pt>
                <c:pt idx="22">
                  <c:v>243</c:v>
                </c:pt>
                <c:pt idx="23">
                  <c:v>244</c:v>
                </c:pt>
                <c:pt idx="24">
                  <c:v>245</c:v>
                </c:pt>
                <c:pt idx="25">
                  <c:v>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3F-1F45-9182-B2E40416EAF5}"/>
            </c:ext>
          </c:extLst>
        </c:ser>
        <c:ser>
          <c:idx val="1"/>
          <c:order val="1"/>
          <c:tx>
            <c:strRef>
              <c:f>HC_Dendrogram!$C$10:$C$11</c:f>
              <c:strCache>
                <c:ptCount val="2"/>
                <c:pt idx="0">
                  <c:v>Cluster Legend (Numbers show the record sequence relative to the original data)</c:v>
                </c:pt>
                <c:pt idx="1">
                  <c:v>Sub-Cluster
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HC_Dendrogram!$C$12:$C$69</c:f>
              <c:numCache>
                <c:formatCode>General</c:formatCode>
                <c:ptCount val="58"/>
                <c:pt idx="0">
                  <c:v>2</c:v>
                </c:pt>
                <c:pt idx="1">
                  <c:v>9</c:v>
                </c:pt>
                <c:pt idx="2">
                  <c:v>13</c:v>
                </c:pt>
                <c:pt idx="3">
                  <c:v>16</c:v>
                </c:pt>
                <c:pt idx="4">
                  <c:v>42</c:v>
                </c:pt>
                <c:pt idx="5">
                  <c:v>43</c:v>
                </c:pt>
                <c:pt idx="6">
                  <c:v>210</c:v>
                </c:pt>
                <c:pt idx="7">
                  <c:v>216</c:v>
                </c:pt>
                <c:pt idx="8">
                  <c:v>220</c:v>
                </c:pt>
                <c:pt idx="9">
                  <c:v>231</c:v>
                </c:pt>
                <c:pt idx="10">
                  <c:v>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3F-1F45-9182-B2E40416EAF5}"/>
            </c:ext>
          </c:extLst>
        </c:ser>
        <c:ser>
          <c:idx val="2"/>
          <c:order val="2"/>
          <c:tx>
            <c:strRef>
              <c:f>HC_Dendrogram!$D$10:$D$11</c:f>
              <c:strCache>
                <c:ptCount val="2"/>
                <c:pt idx="0">
                  <c:v>Cluster Legend (Numbers show the record sequence relative to the original data)</c:v>
                </c:pt>
                <c:pt idx="1">
                  <c:v>Sub-Cluster
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HC_Dendrogram!$D$12:$D$69</c:f>
              <c:numCache>
                <c:formatCode>General</c:formatCode>
                <c:ptCount val="58"/>
                <c:pt idx="0">
                  <c:v>4</c:v>
                </c:pt>
                <c:pt idx="1">
                  <c:v>48</c:v>
                </c:pt>
                <c:pt idx="2">
                  <c:v>59</c:v>
                </c:pt>
                <c:pt idx="3">
                  <c:v>73</c:v>
                </c:pt>
                <c:pt idx="4">
                  <c:v>78</c:v>
                </c:pt>
                <c:pt idx="5">
                  <c:v>79</c:v>
                </c:pt>
                <c:pt idx="6">
                  <c:v>80</c:v>
                </c:pt>
                <c:pt idx="7">
                  <c:v>82</c:v>
                </c:pt>
                <c:pt idx="8">
                  <c:v>85</c:v>
                </c:pt>
                <c:pt idx="9">
                  <c:v>91</c:v>
                </c:pt>
                <c:pt idx="10">
                  <c:v>94</c:v>
                </c:pt>
                <c:pt idx="11">
                  <c:v>98</c:v>
                </c:pt>
                <c:pt idx="12">
                  <c:v>108</c:v>
                </c:pt>
                <c:pt idx="13">
                  <c:v>110</c:v>
                </c:pt>
                <c:pt idx="14">
                  <c:v>111</c:v>
                </c:pt>
                <c:pt idx="15">
                  <c:v>112</c:v>
                </c:pt>
                <c:pt idx="16">
                  <c:v>113</c:v>
                </c:pt>
                <c:pt idx="17">
                  <c:v>114</c:v>
                </c:pt>
                <c:pt idx="18">
                  <c:v>127</c:v>
                </c:pt>
                <c:pt idx="19">
                  <c:v>144</c:v>
                </c:pt>
                <c:pt idx="20">
                  <c:v>147</c:v>
                </c:pt>
                <c:pt idx="21">
                  <c:v>148</c:v>
                </c:pt>
                <c:pt idx="22">
                  <c:v>152</c:v>
                </c:pt>
                <c:pt idx="23">
                  <c:v>155</c:v>
                </c:pt>
                <c:pt idx="24">
                  <c:v>161</c:v>
                </c:pt>
                <c:pt idx="25">
                  <c:v>165</c:v>
                </c:pt>
                <c:pt idx="26">
                  <c:v>166</c:v>
                </c:pt>
                <c:pt idx="27">
                  <c:v>170</c:v>
                </c:pt>
                <c:pt idx="28">
                  <c:v>172</c:v>
                </c:pt>
                <c:pt idx="29">
                  <c:v>177</c:v>
                </c:pt>
                <c:pt idx="30">
                  <c:v>179</c:v>
                </c:pt>
                <c:pt idx="31">
                  <c:v>182</c:v>
                </c:pt>
                <c:pt idx="32">
                  <c:v>199</c:v>
                </c:pt>
                <c:pt idx="33">
                  <c:v>200</c:v>
                </c:pt>
                <c:pt idx="34">
                  <c:v>204</c:v>
                </c:pt>
                <c:pt idx="35">
                  <c:v>250</c:v>
                </c:pt>
                <c:pt idx="36">
                  <c:v>251</c:v>
                </c:pt>
                <c:pt idx="37">
                  <c:v>252</c:v>
                </c:pt>
                <c:pt idx="38">
                  <c:v>253</c:v>
                </c:pt>
                <c:pt idx="39">
                  <c:v>254</c:v>
                </c:pt>
                <c:pt idx="40">
                  <c:v>256</c:v>
                </c:pt>
                <c:pt idx="41">
                  <c:v>258</c:v>
                </c:pt>
                <c:pt idx="42">
                  <c:v>259</c:v>
                </c:pt>
                <c:pt idx="43">
                  <c:v>260</c:v>
                </c:pt>
                <c:pt idx="44">
                  <c:v>261</c:v>
                </c:pt>
                <c:pt idx="45">
                  <c:v>268</c:v>
                </c:pt>
                <c:pt idx="46">
                  <c:v>270</c:v>
                </c:pt>
                <c:pt idx="47">
                  <c:v>273</c:v>
                </c:pt>
                <c:pt idx="48">
                  <c:v>284</c:v>
                </c:pt>
                <c:pt idx="49">
                  <c:v>285</c:v>
                </c:pt>
                <c:pt idx="50">
                  <c:v>286</c:v>
                </c:pt>
                <c:pt idx="51">
                  <c:v>289</c:v>
                </c:pt>
                <c:pt idx="52">
                  <c:v>291</c:v>
                </c:pt>
                <c:pt idx="53">
                  <c:v>297</c:v>
                </c:pt>
                <c:pt idx="54">
                  <c:v>300</c:v>
                </c:pt>
                <c:pt idx="55">
                  <c:v>302</c:v>
                </c:pt>
                <c:pt idx="56">
                  <c:v>303</c:v>
                </c:pt>
                <c:pt idx="57">
                  <c:v>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3F-1F45-9182-B2E40416EAF5}"/>
            </c:ext>
          </c:extLst>
        </c:ser>
        <c:ser>
          <c:idx val="3"/>
          <c:order val="3"/>
          <c:tx>
            <c:strRef>
              <c:f>HC_Dendrogram!$E$10:$E$11</c:f>
              <c:strCache>
                <c:ptCount val="2"/>
                <c:pt idx="0">
                  <c:v>Cluster Legend (Numbers show the record sequence relative to the original data)</c:v>
                </c:pt>
                <c:pt idx="1">
                  <c:v>Sub-Cluster
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HC_Dendrogram!$E$12:$E$69</c:f>
              <c:numCache>
                <c:formatCode>General</c:formatCode>
                <c:ptCount val="58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10</c:v>
                </c:pt>
                <c:pt idx="4">
                  <c:v>14</c:v>
                </c:pt>
                <c:pt idx="5">
                  <c:v>15</c:v>
                </c:pt>
                <c:pt idx="6">
                  <c:v>18</c:v>
                </c:pt>
                <c:pt idx="7">
                  <c:v>31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41</c:v>
                </c:pt>
                <c:pt idx="12">
                  <c:v>45</c:v>
                </c:pt>
                <c:pt idx="13">
                  <c:v>51</c:v>
                </c:pt>
                <c:pt idx="14">
                  <c:v>52</c:v>
                </c:pt>
                <c:pt idx="15">
                  <c:v>64</c:v>
                </c:pt>
                <c:pt idx="16">
                  <c:v>123</c:v>
                </c:pt>
                <c:pt idx="17">
                  <c:v>134</c:v>
                </c:pt>
                <c:pt idx="18">
                  <c:v>163</c:v>
                </c:pt>
                <c:pt idx="19">
                  <c:v>185</c:v>
                </c:pt>
                <c:pt idx="20">
                  <c:v>190</c:v>
                </c:pt>
                <c:pt idx="21">
                  <c:v>194</c:v>
                </c:pt>
                <c:pt idx="22">
                  <c:v>208</c:v>
                </c:pt>
                <c:pt idx="23">
                  <c:v>213</c:v>
                </c:pt>
                <c:pt idx="24">
                  <c:v>214</c:v>
                </c:pt>
                <c:pt idx="25">
                  <c:v>215</c:v>
                </c:pt>
                <c:pt idx="26">
                  <c:v>217</c:v>
                </c:pt>
                <c:pt idx="27">
                  <c:v>218</c:v>
                </c:pt>
                <c:pt idx="28">
                  <c:v>219</c:v>
                </c:pt>
                <c:pt idx="29">
                  <c:v>223</c:v>
                </c:pt>
                <c:pt idx="30">
                  <c:v>225</c:v>
                </c:pt>
                <c:pt idx="31">
                  <c:v>226</c:v>
                </c:pt>
                <c:pt idx="32">
                  <c:v>228</c:v>
                </c:pt>
                <c:pt idx="33">
                  <c:v>230</c:v>
                </c:pt>
                <c:pt idx="34">
                  <c:v>232</c:v>
                </c:pt>
                <c:pt idx="35">
                  <c:v>235</c:v>
                </c:pt>
                <c:pt idx="36">
                  <c:v>236</c:v>
                </c:pt>
                <c:pt idx="37">
                  <c:v>246</c:v>
                </c:pt>
                <c:pt idx="38">
                  <c:v>257</c:v>
                </c:pt>
                <c:pt idx="39">
                  <c:v>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3F-1F45-9182-B2E40416EAF5}"/>
            </c:ext>
          </c:extLst>
        </c:ser>
        <c:ser>
          <c:idx val="4"/>
          <c:order val="4"/>
          <c:tx>
            <c:strRef>
              <c:f>HC_Dendrogram!$F$10:$F$11</c:f>
              <c:strCache>
                <c:ptCount val="2"/>
                <c:pt idx="0">
                  <c:v>Cluster Legend (Numbers show the record sequence relative to the original data)</c:v>
                </c:pt>
                <c:pt idx="1">
                  <c:v>Sub-Cluster
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HC_Dendrogram!$F$12:$F$69</c:f>
              <c:numCache>
                <c:formatCode>General</c:formatCode>
                <c:ptCount val="58"/>
                <c:pt idx="0">
                  <c:v>12</c:v>
                </c:pt>
                <c:pt idx="1">
                  <c:v>20</c:v>
                </c:pt>
                <c:pt idx="2">
                  <c:v>21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46</c:v>
                </c:pt>
                <c:pt idx="11">
                  <c:v>206</c:v>
                </c:pt>
                <c:pt idx="12">
                  <c:v>207</c:v>
                </c:pt>
                <c:pt idx="13">
                  <c:v>212</c:v>
                </c:pt>
                <c:pt idx="14">
                  <c:v>222</c:v>
                </c:pt>
                <c:pt idx="15">
                  <c:v>227</c:v>
                </c:pt>
                <c:pt idx="16">
                  <c:v>229</c:v>
                </c:pt>
                <c:pt idx="17">
                  <c:v>234</c:v>
                </c:pt>
                <c:pt idx="18">
                  <c:v>237</c:v>
                </c:pt>
                <c:pt idx="19">
                  <c:v>238</c:v>
                </c:pt>
                <c:pt idx="20">
                  <c:v>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3F-1F45-9182-B2E40416EAF5}"/>
            </c:ext>
          </c:extLst>
        </c:ser>
        <c:ser>
          <c:idx val="5"/>
          <c:order val="5"/>
          <c:tx>
            <c:strRef>
              <c:f>HC_Dendrogram!$G$10:$G$11</c:f>
              <c:strCache>
                <c:ptCount val="2"/>
                <c:pt idx="0">
                  <c:v>Cluster Legend (Numbers show the record sequence relative to the original data)</c:v>
                </c:pt>
                <c:pt idx="1">
                  <c:v>Sub-Cluster
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HC_Dendrogram!$G$12:$G$69</c:f>
              <c:numCache>
                <c:formatCode>General</c:formatCode>
                <c:ptCount val="58"/>
                <c:pt idx="0">
                  <c:v>47</c:v>
                </c:pt>
                <c:pt idx="1">
                  <c:v>49</c:v>
                </c:pt>
                <c:pt idx="2">
                  <c:v>50</c:v>
                </c:pt>
                <c:pt idx="3">
                  <c:v>65</c:v>
                </c:pt>
                <c:pt idx="4">
                  <c:v>66</c:v>
                </c:pt>
                <c:pt idx="5">
                  <c:v>69</c:v>
                </c:pt>
                <c:pt idx="6">
                  <c:v>70</c:v>
                </c:pt>
                <c:pt idx="7">
                  <c:v>72</c:v>
                </c:pt>
                <c:pt idx="8">
                  <c:v>88</c:v>
                </c:pt>
                <c:pt idx="9">
                  <c:v>95</c:v>
                </c:pt>
                <c:pt idx="10">
                  <c:v>97</c:v>
                </c:pt>
                <c:pt idx="11">
                  <c:v>116</c:v>
                </c:pt>
                <c:pt idx="12">
                  <c:v>122</c:v>
                </c:pt>
                <c:pt idx="13">
                  <c:v>126</c:v>
                </c:pt>
                <c:pt idx="14">
                  <c:v>129</c:v>
                </c:pt>
                <c:pt idx="15">
                  <c:v>132</c:v>
                </c:pt>
                <c:pt idx="16">
                  <c:v>135</c:v>
                </c:pt>
                <c:pt idx="17">
                  <c:v>139</c:v>
                </c:pt>
                <c:pt idx="18">
                  <c:v>141</c:v>
                </c:pt>
                <c:pt idx="19">
                  <c:v>142</c:v>
                </c:pt>
                <c:pt idx="20">
                  <c:v>149</c:v>
                </c:pt>
                <c:pt idx="21">
                  <c:v>157</c:v>
                </c:pt>
                <c:pt idx="22">
                  <c:v>158</c:v>
                </c:pt>
                <c:pt idx="23">
                  <c:v>164</c:v>
                </c:pt>
                <c:pt idx="24">
                  <c:v>180</c:v>
                </c:pt>
                <c:pt idx="25">
                  <c:v>183</c:v>
                </c:pt>
                <c:pt idx="26">
                  <c:v>187</c:v>
                </c:pt>
                <c:pt idx="27">
                  <c:v>192</c:v>
                </c:pt>
                <c:pt idx="28">
                  <c:v>193</c:v>
                </c:pt>
                <c:pt idx="29">
                  <c:v>195</c:v>
                </c:pt>
                <c:pt idx="30">
                  <c:v>197</c:v>
                </c:pt>
                <c:pt idx="31">
                  <c:v>198</c:v>
                </c:pt>
                <c:pt idx="32">
                  <c:v>265</c:v>
                </c:pt>
                <c:pt idx="33">
                  <c:v>266</c:v>
                </c:pt>
                <c:pt idx="34">
                  <c:v>275</c:v>
                </c:pt>
                <c:pt idx="35">
                  <c:v>281</c:v>
                </c:pt>
                <c:pt idx="36">
                  <c:v>292</c:v>
                </c:pt>
                <c:pt idx="37">
                  <c:v>296</c:v>
                </c:pt>
                <c:pt idx="38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3F-1F45-9182-B2E40416EAF5}"/>
            </c:ext>
          </c:extLst>
        </c:ser>
        <c:ser>
          <c:idx val="6"/>
          <c:order val="6"/>
          <c:tx>
            <c:strRef>
              <c:f>HC_Dendrogram!$H$10:$H$11</c:f>
              <c:strCache>
                <c:ptCount val="2"/>
                <c:pt idx="0">
                  <c:v>Cluster Legend (Numbers show the record sequence relative to the original data)</c:v>
                </c:pt>
                <c:pt idx="1">
                  <c:v>Sub-Cluster
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HC_Dendrogram!$H$12:$H$69</c:f>
              <c:numCache>
                <c:formatCode>General</c:formatCode>
                <c:ptCount val="58"/>
                <c:pt idx="0">
                  <c:v>53</c:v>
                </c:pt>
                <c:pt idx="1">
                  <c:v>54</c:v>
                </c:pt>
                <c:pt idx="2">
                  <c:v>55</c:v>
                </c:pt>
                <c:pt idx="3">
                  <c:v>67</c:v>
                </c:pt>
                <c:pt idx="4">
                  <c:v>74</c:v>
                </c:pt>
                <c:pt idx="5">
                  <c:v>76</c:v>
                </c:pt>
                <c:pt idx="6">
                  <c:v>81</c:v>
                </c:pt>
                <c:pt idx="7">
                  <c:v>86</c:v>
                </c:pt>
                <c:pt idx="8">
                  <c:v>105</c:v>
                </c:pt>
                <c:pt idx="9">
                  <c:v>124</c:v>
                </c:pt>
                <c:pt idx="10">
                  <c:v>137</c:v>
                </c:pt>
                <c:pt idx="11">
                  <c:v>138</c:v>
                </c:pt>
                <c:pt idx="12">
                  <c:v>160</c:v>
                </c:pt>
                <c:pt idx="13">
                  <c:v>162</c:v>
                </c:pt>
                <c:pt idx="14">
                  <c:v>168</c:v>
                </c:pt>
                <c:pt idx="15">
                  <c:v>188</c:v>
                </c:pt>
                <c:pt idx="16">
                  <c:v>201</c:v>
                </c:pt>
                <c:pt idx="17">
                  <c:v>202</c:v>
                </c:pt>
                <c:pt idx="18">
                  <c:v>203</c:v>
                </c:pt>
                <c:pt idx="19">
                  <c:v>248</c:v>
                </c:pt>
                <c:pt idx="20">
                  <c:v>249</c:v>
                </c:pt>
                <c:pt idx="21">
                  <c:v>263</c:v>
                </c:pt>
                <c:pt idx="22">
                  <c:v>277</c:v>
                </c:pt>
                <c:pt idx="23">
                  <c:v>280</c:v>
                </c:pt>
                <c:pt idx="24">
                  <c:v>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3F-1F45-9182-B2E40416EAF5}"/>
            </c:ext>
          </c:extLst>
        </c:ser>
        <c:ser>
          <c:idx val="7"/>
          <c:order val="7"/>
          <c:tx>
            <c:strRef>
              <c:f>HC_Dendrogram!$I$10:$I$11</c:f>
              <c:strCache>
                <c:ptCount val="2"/>
                <c:pt idx="0">
                  <c:v>Cluster Legend (Numbers show the record sequence relative to the original data)</c:v>
                </c:pt>
                <c:pt idx="1">
                  <c:v>Sub-Cluster
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HC_Dendrogram!$I$12:$I$69</c:f>
              <c:numCache>
                <c:formatCode>General</c:formatCode>
                <c:ptCount val="58"/>
                <c:pt idx="0">
                  <c:v>56</c:v>
                </c:pt>
                <c:pt idx="1">
                  <c:v>58</c:v>
                </c:pt>
                <c:pt idx="2">
                  <c:v>61</c:v>
                </c:pt>
                <c:pt idx="3">
                  <c:v>63</c:v>
                </c:pt>
                <c:pt idx="4">
                  <c:v>71</c:v>
                </c:pt>
                <c:pt idx="5">
                  <c:v>75</c:v>
                </c:pt>
                <c:pt idx="6">
                  <c:v>77</c:v>
                </c:pt>
                <c:pt idx="7">
                  <c:v>83</c:v>
                </c:pt>
                <c:pt idx="8">
                  <c:v>84</c:v>
                </c:pt>
                <c:pt idx="9">
                  <c:v>87</c:v>
                </c:pt>
                <c:pt idx="10">
                  <c:v>89</c:v>
                </c:pt>
                <c:pt idx="11">
                  <c:v>90</c:v>
                </c:pt>
                <c:pt idx="12">
                  <c:v>92</c:v>
                </c:pt>
                <c:pt idx="13">
                  <c:v>93</c:v>
                </c:pt>
                <c:pt idx="14">
                  <c:v>96</c:v>
                </c:pt>
                <c:pt idx="15">
                  <c:v>107</c:v>
                </c:pt>
                <c:pt idx="16">
                  <c:v>109</c:v>
                </c:pt>
                <c:pt idx="17">
                  <c:v>115</c:v>
                </c:pt>
                <c:pt idx="18">
                  <c:v>117</c:v>
                </c:pt>
                <c:pt idx="19">
                  <c:v>118</c:v>
                </c:pt>
                <c:pt idx="20">
                  <c:v>119</c:v>
                </c:pt>
                <c:pt idx="21">
                  <c:v>120</c:v>
                </c:pt>
                <c:pt idx="22">
                  <c:v>121</c:v>
                </c:pt>
                <c:pt idx="23">
                  <c:v>128</c:v>
                </c:pt>
                <c:pt idx="24">
                  <c:v>130</c:v>
                </c:pt>
                <c:pt idx="25">
                  <c:v>131</c:v>
                </c:pt>
                <c:pt idx="26">
                  <c:v>133</c:v>
                </c:pt>
                <c:pt idx="27">
                  <c:v>140</c:v>
                </c:pt>
                <c:pt idx="28">
                  <c:v>145</c:v>
                </c:pt>
                <c:pt idx="29">
                  <c:v>146</c:v>
                </c:pt>
                <c:pt idx="30">
                  <c:v>150</c:v>
                </c:pt>
                <c:pt idx="31">
                  <c:v>151</c:v>
                </c:pt>
                <c:pt idx="32">
                  <c:v>154</c:v>
                </c:pt>
                <c:pt idx="33">
                  <c:v>159</c:v>
                </c:pt>
                <c:pt idx="34">
                  <c:v>171</c:v>
                </c:pt>
                <c:pt idx="35">
                  <c:v>173</c:v>
                </c:pt>
                <c:pt idx="36">
                  <c:v>174</c:v>
                </c:pt>
                <c:pt idx="37">
                  <c:v>175</c:v>
                </c:pt>
                <c:pt idx="38">
                  <c:v>181</c:v>
                </c:pt>
                <c:pt idx="39">
                  <c:v>184</c:v>
                </c:pt>
                <c:pt idx="40">
                  <c:v>186</c:v>
                </c:pt>
                <c:pt idx="41">
                  <c:v>191</c:v>
                </c:pt>
                <c:pt idx="42">
                  <c:v>196</c:v>
                </c:pt>
                <c:pt idx="43">
                  <c:v>205</c:v>
                </c:pt>
                <c:pt idx="44">
                  <c:v>255</c:v>
                </c:pt>
                <c:pt idx="45">
                  <c:v>269</c:v>
                </c:pt>
                <c:pt idx="46">
                  <c:v>272</c:v>
                </c:pt>
                <c:pt idx="47">
                  <c:v>276</c:v>
                </c:pt>
                <c:pt idx="48">
                  <c:v>288</c:v>
                </c:pt>
                <c:pt idx="49">
                  <c:v>290</c:v>
                </c:pt>
                <c:pt idx="50">
                  <c:v>295</c:v>
                </c:pt>
                <c:pt idx="51">
                  <c:v>298</c:v>
                </c:pt>
                <c:pt idx="52">
                  <c:v>299</c:v>
                </c:pt>
                <c:pt idx="53">
                  <c:v>301</c:v>
                </c:pt>
                <c:pt idx="54">
                  <c:v>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3F-1F45-9182-B2E40416EAF5}"/>
            </c:ext>
          </c:extLst>
        </c:ser>
        <c:ser>
          <c:idx val="8"/>
          <c:order val="8"/>
          <c:tx>
            <c:strRef>
              <c:f>HC_Dendrogram!$J$10:$J$11</c:f>
              <c:strCache>
                <c:ptCount val="2"/>
                <c:pt idx="0">
                  <c:v>Cluster Legend (Numbers show the record sequence relative to the original data)</c:v>
                </c:pt>
                <c:pt idx="1">
                  <c:v>Sub-Cluster
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HC_Dendrogram!$J$12:$J$69</c:f>
              <c:numCache>
                <c:formatCode>General</c:formatCode>
                <c:ptCount val="58"/>
                <c:pt idx="0">
                  <c:v>57</c:v>
                </c:pt>
                <c:pt idx="1">
                  <c:v>62</c:v>
                </c:pt>
                <c:pt idx="2">
                  <c:v>99</c:v>
                </c:pt>
                <c:pt idx="3">
                  <c:v>102</c:v>
                </c:pt>
                <c:pt idx="4">
                  <c:v>104</c:v>
                </c:pt>
                <c:pt idx="5">
                  <c:v>106</c:v>
                </c:pt>
                <c:pt idx="6">
                  <c:v>136</c:v>
                </c:pt>
                <c:pt idx="7">
                  <c:v>143</c:v>
                </c:pt>
                <c:pt idx="8">
                  <c:v>153</c:v>
                </c:pt>
                <c:pt idx="9">
                  <c:v>156</c:v>
                </c:pt>
                <c:pt idx="10">
                  <c:v>167</c:v>
                </c:pt>
                <c:pt idx="11">
                  <c:v>262</c:v>
                </c:pt>
                <c:pt idx="12">
                  <c:v>264</c:v>
                </c:pt>
                <c:pt idx="13">
                  <c:v>271</c:v>
                </c:pt>
                <c:pt idx="14">
                  <c:v>279</c:v>
                </c:pt>
                <c:pt idx="15">
                  <c:v>282</c:v>
                </c:pt>
                <c:pt idx="16">
                  <c:v>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3F-1F45-9182-B2E40416EAF5}"/>
            </c:ext>
          </c:extLst>
        </c:ser>
        <c:ser>
          <c:idx val="9"/>
          <c:order val="9"/>
          <c:tx>
            <c:strRef>
              <c:f>HC_Dendrogram!$K$10:$K$11</c:f>
              <c:strCache>
                <c:ptCount val="2"/>
                <c:pt idx="0">
                  <c:v>Cluster Legend (Numbers show the record sequence relative to the original data)</c:v>
                </c:pt>
                <c:pt idx="1">
                  <c:v>Sub-Cluster
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HC_Dendrogram!$K$12:$K$69</c:f>
              <c:numCache>
                <c:formatCode>General</c:formatCode>
                <c:ptCount val="58"/>
                <c:pt idx="0">
                  <c:v>60</c:v>
                </c:pt>
                <c:pt idx="1">
                  <c:v>68</c:v>
                </c:pt>
                <c:pt idx="2">
                  <c:v>100</c:v>
                </c:pt>
                <c:pt idx="3">
                  <c:v>101</c:v>
                </c:pt>
                <c:pt idx="4">
                  <c:v>103</c:v>
                </c:pt>
                <c:pt idx="5">
                  <c:v>125</c:v>
                </c:pt>
                <c:pt idx="6">
                  <c:v>169</c:v>
                </c:pt>
                <c:pt idx="7">
                  <c:v>176</c:v>
                </c:pt>
                <c:pt idx="8">
                  <c:v>178</c:v>
                </c:pt>
                <c:pt idx="9">
                  <c:v>189</c:v>
                </c:pt>
                <c:pt idx="10">
                  <c:v>267</c:v>
                </c:pt>
                <c:pt idx="11">
                  <c:v>274</c:v>
                </c:pt>
                <c:pt idx="12">
                  <c:v>278</c:v>
                </c:pt>
                <c:pt idx="13">
                  <c:v>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3F-1F45-9182-B2E40416E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7331471"/>
        <c:axId val="7126016"/>
      </c:lineChart>
      <c:catAx>
        <c:axId val="2037331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016"/>
        <c:crosses val="autoZero"/>
        <c:auto val="1"/>
        <c:lblAlgn val="ctr"/>
        <c:lblOffset val="100"/>
        <c:noMultiLvlLbl val="0"/>
      </c:catAx>
      <c:valAx>
        <c:axId val="71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331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577850</xdr:colOff>
      <xdr:row>8</xdr:row>
      <xdr:rowOff>139700</xdr:rowOff>
    </xdr:from>
    <xdr:to>
      <xdr:col>21</xdr:col>
      <xdr:colOff>381000</xdr:colOff>
      <xdr:row>42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E45AC-6C95-A441-8926-81FFBE9DB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11E05D-FCFE-7F47-A179-9C718F246D26}" name="Table12" displayName="Table12" ref="C38:F344" totalsRowShown="0">
  <autoFilter ref="C38:F344" xr:uid="{AF11E05D-FCFE-7F47-A179-9C718F246D26}"/>
  <tableColumns count="4">
    <tableColumn id="1" xr3:uid="{C58547DF-754A-854B-877E-CDA896DC4AA3}" name="Stage" dataDxfId="68"/>
    <tableColumn id="2" xr3:uid="{FF1EFF1D-B614-F94A-810B-CBCC01698294}" name="Cluster 1" dataDxfId="67"/>
    <tableColumn id="3" xr3:uid="{7741CDDC-0C98-124E-B084-9E3D862A87E1}" name="Cluster 2" dataDxfId="66"/>
    <tableColumn id="4" xr3:uid="{9C650814-6364-434F-A0B0-48D12B738C9D}" name="Distance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8A3CA8-A3B8-5642-8CF2-61B16907AEA5}" name="Table11" displayName="Table11" ref="C12:E319" totalsRowShown="0">
  <autoFilter ref="C12:E319" xr:uid="{B48A3CA8-A3B8-5642-8CF2-61B16907AEA5}"/>
  <tableColumns count="3">
    <tableColumn id="1" xr3:uid="{190FB349-D1B1-7C42-85C1-F650CADA3D51}" name="Record ID" dataDxfId="65"/>
    <tableColumn id="2" xr3:uid="{CBC491A2-B70A-E04E-A12E-EF8F6776870D}" name="Cluster" dataDxfId="64"/>
    <tableColumn id="3" xr3:uid="{25609135-8D1E-564C-B366-1AA3B3C36CB5}" name="Sub-Cluster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D7AD1C7-C82C-1C49-B050-F8B7F3DFA450}" name="Table7" displayName="Table7" ref="C36:N38" totalsRowShown="0" dataDxfId="63" tableBorderDxfId="62">
  <autoFilter ref="C36:N38" xr:uid="{7D7AD1C7-C82C-1C49-B050-F8B7F3DFA450}"/>
  <tableColumns count="12">
    <tableColumn id="1" xr3:uid="{0D23F317-2184-234E-8C33-C9AABAE19BB5}" name="Cluster" dataDxfId="61"/>
    <tableColumn id="2" xr3:uid="{83806A02-37AF-AA4A-B4CB-5CB60DCF9A04}" name="Math SAT" dataDxfId="60"/>
    <tableColumn id="3" xr3:uid="{361199B5-074F-DD46-8C4E-EA597445F1B8}" name="Verbal SAT" dataDxfId="59"/>
    <tableColumn id="4" xr3:uid="{DDC4B94E-FF1B-F347-914C-1F29E4BAE540}" name="Applications" dataDxfId="58"/>
    <tableColumn id="5" xr3:uid="{D71B98F8-62B9-6B41-878B-7A0CED5E1169}" name="Acceptance Rate" dataDxfId="57"/>
    <tableColumn id="6" xr3:uid="{12D90F5B-4CD9-1C40-BF1D-016225D9D87E}" name="# FT undergrad" dataDxfId="56"/>
    <tableColumn id="7" xr3:uid="{2E57F5E0-D257-EE48-8516-4DE21AC88D29}" name="# PT undergrad" dataDxfId="55"/>
    <tableColumn id="8" xr3:uid="{230EE1D7-594B-264E-99EB-7DF06CC56048}" name="in-state tuition" dataDxfId="54"/>
    <tableColumn id="9" xr3:uid="{A142CEB6-498F-C64A-A6A4-4DDFB452F873}" name="out-of-state tuition" dataDxfId="53"/>
    <tableColumn id="10" xr3:uid="{452D1F3D-A4A7-B844-B761-FE1F33FBD61E}" name="% fac. w/PHD" dataDxfId="52"/>
    <tableColumn id="11" xr3:uid="{7B456423-C7DF-4844-9442-D76DF4CF0D5F}" name="stud./fac. ratio" dataDxfId="51"/>
    <tableColumn id="12" xr3:uid="{41C6515B-DFCC-D147-8051-9AD5FAE215D2}" name="Graduation rate"/>
  </tableColumns>
  <tableStyleInfo name="TableStyleMedium9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4961A31-D3F9-9B46-ADE9-F23762704DA0}" name="Table8" displayName="Table8" ref="C42:N44" totalsRowShown="0" dataDxfId="50">
  <autoFilter ref="C42:N44" xr:uid="{54961A31-D3F9-9B46-ADE9-F23762704DA0}"/>
  <tableColumns count="12">
    <tableColumn id="1" xr3:uid="{1EC14CE8-C5CB-B24C-A12A-58AA6BD09C6C}" name="Cluster" dataDxfId="49"/>
    <tableColumn id="2" xr3:uid="{48711D37-8383-734D-A500-8444192572D4}" name="Math SAT" dataDxfId="48"/>
    <tableColumn id="3" xr3:uid="{C92DAB6D-3B8B-8241-89D1-9B48900581D7}" name="Verbal SAT" dataDxfId="47"/>
    <tableColumn id="4" xr3:uid="{9B03138A-E438-CD44-8D3E-375943DC9306}" name="Applications" dataDxfId="46"/>
    <tableColumn id="5" xr3:uid="{E864E078-DE00-4B45-9548-D956A1A97EFA}" name="Acceptance Rate" dataDxfId="45"/>
    <tableColumn id="6" xr3:uid="{3E42E684-65AA-8348-AE08-D793A28F2C94}" name="# FT undergrad" dataDxfId="44"/>
    <tableColumn id="7" xr3:uid="{C63B4040-9D62-7E4A-98FC-0BC11BF277F4}" name="# PT undergrad" dataDxfId="43"/>
    <tableColumn id="8" xr3:uid="{739DE4EF-9311-A642-9EBC-8EA7F45196FB}" name="in-state tuition" dataDxfId="42"/>
    <tableColumn id="9" xr3:uid="{54C70CE7-92AD-794E-9C23-13F64DC4EFE5}" name="out-of-state tuition" dataDxfId="41"/>
    <tableColumn id="10" xr3:uid="{C2CE5222-AC52-7C4A-AE01-31428F044121}" name="% fac. w/PHD" dataDxfId="40"/>
    <tableColumn id="11" xr3:uid="{4B45B9CB-7AC9-3840-8A68-74DD4116241B}" name="stud./fac. ratio" dataDxfId="39"/>
    <tableColumn id="12" xr3:uid="{8C2F0658-57FF-0244-B773-A5184B9D6293}" name="Graduation rate"/>
  </tableColumns>
  <tableStyleInfo name="TableStyleMedium9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5604271-294B-2F44-929A-09EE92B66351}" name="Table9" displayName="Table9" ref="C48:E50" totalsRowShown="0">
  <autoFilter ref="C48:E50" xr:uid="{55604271-294B-2F44-929A-09EE92B66351}"/>
  <tableColumns count="3">
    <tableColumn id="1" xr3:uid="{1A22265D-039B-9143-81F1-ED1D704C93CA}" name="Cluster" dataDxfId="38"/>
    <tableColumn id="2" xr3:uid="{55556CEE-AACE-5549-BB1E-D7AD4DEA3EC9}" name="Cluster 1" dataDxfId="37"/>
    <tableColumn id="3" xr3:uid="{AACAA68E-0B7B-A24C-90C0-57B0BEF355C7}" name="Cluster 2"/>
  </tableColumns>
  <tableStyleInfo name="TableStyleMedium9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E2F1AD-B79C-6441-9734-399E5ACD6030}" name="Table10" displayName="Table10" ref="C54:E57" totalsRowShown="0">
  <autoFilter ref="C54:E57" xr:uid="{8FE2F1AD-B79C-6441-9734-399E5ACD6030}"/>
  <tableColumns count="3">
    <tableColumn id="1" xr3:uid="{7F9CF148-45B3-B24A-B96E-E16ED70F3AC6}" name="Cluster" dataDxfId="36"/>
    <tableColumn id="2" xr3:uid="{4E3641BA-5A34-F343-A57B-AFEA66F9B169}" name="Size" dataDxfId="35"/>
    <tableColumn id="3" xr3:uid="{0E37528A-3B36-4449-B903-93127F0C3D01}" name="Average Distance"/>
  </tableColumns>
  <tableStyleInfo name="TableStyleMedium9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D1B98B-FF94-5445-9B3F-231A9C798781}" name="Table6" displayName="Table6" ref="C12:F319" totalsRowShown="0">
  <autoFilter ref="C12:F319" xr:uid="{B6D1B98B-FF94-5445-9B3F-231A9C798781}"/>
  <tableColumns count="4">
    <tableColumn id="1" xr3:uid="{F4F918DE-9220-524E-9782-1A6505F2D6DB}" name="Record ID" dataDxfId="34"/>
    <tableColumn id="2" xr3:uid="{24152ABC-4A71-3A44-8005-14430DD415E4}" name="Cluster" dataDxfId="33"/>
    <tableColumn id="3" xr3:uid="{BA12C2FD-F916-0C46-B3D8-777A2A2D3C51}" name="Cluster 1" dataDxfId="32"/>
    <tableColumn id="4" xr3:uid="{2E07CD96-A318-9F4C-8730-700A6BD47C20}" name="Cluster 2"/>
  </tableColumns>
  <tableStyleInfo name="TableStyleMedium9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23C396-B30E-D848-856F-D80C9B6A58DE}" name="Table2" displayName="Table2" ref="C36:N38" totalsRowShown="0" dataDxfId="31" tableBorderDxfId="30">
  <autoFilter ref="C36:N38" xr:uid="{2623C396-B30E-D848-856F-D80C9B6A58DE}"/>
  <tableColumns count="12">
    <tableColumn id="1" xr3:uid="{1AEC348A-7BE9-4E4A-A66D-AF8A5AFD6559}" name="Cluster" dataDxfId="29"/>
    <tableColumn id="2" xr3:uid="{3DABB350-3F67-6045-8160-AAAFB769F338}" name="Math SAT" dataDxfId="28"/>
    <tableColumn id="3" xr3:uid="{062F2733-D8AE-C747-B86A-DCB7A0B3C6E5}" name="Verbal SAT" dataDxfId="27"/>
    <tableColumn id="4" xr3:uid="{D4E42A63-9E68-D04C-A0FA-AA8467EA51E9}" name="Applications" dataDxfId="26"/>
    <tableColumn id="5" xr3:uid="{103B443B-D9AF-2840-B6FC-EBCA7BE738F9}" name="Acceptance Rate" dataDxfId="25"/>
    <tableColumn id="6" xr3:uid="{8A76AB9A-5696-9649-90DA-F1D13398EE0B}" name="# FT undergrad" dataDxfId="24"/>
    <tableColumn id="7" xr3:uid="{FAF15F2F-6738-0949-BEC7-47AE41A2C0AE}" name="# PT undergrad" dataDxfId="23"/>
    <tableColumn id="8" xr3:uid="{A2A5245B-5A2A-B642-8868-015925F0F130}" name="in-state tuition" dataDxfId="22"/>
    <tableColumn id="9" xr3:uid="{4FA052D8-A251-4948-9483-B205D94D5061}" name="out-of-state tuition" dataDxfId="21"/>
    <tableColumn id="10" xr3:uid="{61EC468F-75A7-B54A-ACE2-50041EE84584}" name="% fac. w/PHD" dataDxfId="20"/>
    <tableColumn id="11" xr3:uid="{048E1971-B19A-854D-BB9C-DCA4667667C0}" name="stud./fac. ratio" dataDxfId="19"/>
    <tableColumn id="12" xr3:uid="{C5AD4772-39C6-E444-AEA9-E6E51633350F}" name="Graduation rate"/>
  </tableColumns>
  <tableStyleInfo name="TableStyleMedium9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D8DCB9-766C-5D48-96E5-5D13D87DAB57}" name="Table4" displayName="Table4" ref="C48:E50" totalsRowShown="0">
  <autoFilter ref="C48:E50" xr:uid="{C0D8DCB9-766C-5D48-96E5-5D13D87DAB57}"/>
  <tableColumns count="3">
    <tableColumn id="1" xr3:uid="{C00C7357-D5F2-F941-925C-B9280C9AB695}" name="Cluster" dataDxfId="6"/>
    <tableColumn id="2" xr3:uid="{52712A96-E909-654A-B6CA-6D9191DFD0E8}" name="Cluster 1" dataDxfId="5"/>
    <tableColumn id="3" xr3:uid="{4E38D5EC-DEA3-B241-BC57-097962164449}" name="Cluster 2"/>
  </tableColumns>
  <tableStyleInfo name="TableStyleMedium9" showFirstColumn="1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9B7D0F6-7B9F-6448-85EF-3BBA0E6ED399}" name="Table5" displayName="Table5" ref="C54:E57" totalsRowShown="0">
  <autoFilter ref="C54:E57" xr:uid="{89B7D0F6-7B9F-6448-85EF-3BBA0E6ED399}"/>
  <tableColumns count="3">
    <tableColumn id="1" xr3:uid="{A6EAAD81-34D6-C147-B7D2-3F9582DB805A}" name="Cluster" dataDxfId="4"/>
    <tableColumn id="2" xr3:uid="{F018992D-4EA6-3346-8FF1-28B6FC2E1AB5}" name="Size" dataDxfId="3"/>
    <tableColumn id="3" xr3:uid="{811E2765-5903-C741-BD67-FCDBD5DC9B81}" name="Average Distance"/>
  </tableColumns>
  <tableStyleInfo name="TableStyleMedium9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B71B76-E50F-FA46-9287-0DEE600DBF91}" name="Table3" displayName="Table3" ref="C42:N44" totalsRowShown="0" dataDxfId="18">
  <autoFilter ref="C42:N44" xr:uid="{5BB71B76-E50F-FA46-9287-0DEE600DBF91}"/>
  <tableColumns count="12">
    <tableColumn id="1" xr3:uid="{285A05B4-401F-274F-B9B8-AC83F28CB5F5}" name="Cluster" dataDxfId="17"/>
    <tableColumn id="2" xr3:uid="{89CA7E0C-F3FD-1E43-8E2C-2A0C7DC97D5A}" name="Math SAT" dataDxfId="16"/>
    <tableColumn id="3" xr3:uid="{B9EA4467-10EC-E944-9086-A6AC7672D6EB}" name="Verbal SAT" dataDxfId="15"/>
    <tableColumn id="4" xr3:uid="{CD4A3E38-5A26-B947-BD0C-487777290882}" name="Applications" dataDxfId="14"/>
    <tableColumn id="5" xr3:uid="{03254867-6746-5F48-B8DA-AEAA9416BF9A}" name="Acceptance Rate" dataDxfId="13"/>
    <tableColumn id="6" xr3:uid="{32070821-6E41-AA4D-A7F1-205F6ECFB047}" name="# FT undergrad" dataDxfId="12"/>
    <tableColumn id="7" xr3:uid="{D2B52A9D-B826-714C-8078-BDA83CAF4638}" name="# PT undergrad" dataDxfId="11"/>
    <tableColumn id="8" xr3:uid="{E4B9EF00-B2DA-B240-95F7-6533F42B9A8E}" name="in-state tuition" dataDxfId="10"/>
    <tableColumn id="9" xr3:uid="{952436ED-DE1D-2B44-8D56-838A9D903CD6}" name="out-of-state tuition" dataDxfId="9"/>
    <tableColumn id="10" xr3:uid="{45B7B29B-4BBC-0E44-81C4-6BDCC0A8CB89}" name="% fac. w/PHD" dataDxfId="8"/>
    <tableColumn id="11" xr3:uid="{669EDEE1-93A5-AF42-8B31-A674C61B664D}" name="stud./fac. ratio" dataDxfId="7"/>
    <tableColumn id="12" xr3:uid="{2C19187D-2E15-064A-80A7-94F8919E3CCF}" name="Graduation rate"/>
  </tableColumns>
  <tableStyleInfo name="TableStyleMedium9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5B9033-8CDD-9646-80C7-1E0E671EEBB2}" name="Table1" displayName="Table1" ref="C12:F319" totalsRowShown="0">
  <autoFilter ref="C12:F319" xr:uid="{B65B9033-8CDD-9646-80C7-1E0E671EEBB2}"/>
  <tableColumns count="4">
    <tableColumn id="1" xr3:uid="{627CB8DF-733B-2347-8537-1FE97E1B2AB6}" name="Record ID" dataDxfId="2"/>
    <tableColumn id="2" xr3:uid="{28C00134-6D8E-DF4A-9453-EECA8FB0BFEF}" name="Cluster" dataDxfId="1"/>
    <tableColumn id="3" xr3:uid="{2DB68048-D221-0C46-845C-F49629BF5031}" name="Cluster 1" dataDxfId="0"/>
    <tableColumn id="4" xr3:uid="{E656D8CD-7DC6-C748-B625-522131D4F8F7}" name="Cluster 2"/>
  </tableColumns>
  <tableStyleInfo name="TableStyleMedium9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189B224-339B-D34F-8D40-ED115092B438}">
  <we:reference id="wa200000019" version="21.5.0.0" store="en-US" storeType="OMEX"/>
  <we:alternateReferences>
    <we:reference id="wa200000019" version="21.5.0.0" store="WA20000001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PsiForecast</we:customFunctionIds>
        <we:customFunctionIds>PsiPredict</we:customFunctionIds>
        <we:customFunctionIds>PsiPosteriors</we:customFunctionIds>
        <we:customFunctionIds>PsiTransform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308"/>
  <sheetViews>
    <sheetView zoomScale="130" zoomScaleNormal="130" workbookViewId="0"/>
  </sheetViews>
  <sheetFormatPr baseColWidth="10" defaultColWidth="8.5" defaultRowHeight="14" customHeight="1" x14ac:dyDescent="0.2"/>
  <cols>
    <col min="1" max="1" width="28.83203125" style="1" customWidth="1"/>
    <col min="2" max="12" width="11.1640625" style="1" customWidth="1"/>
    <col min="13" max="16384" width="8.5" style="1"/>
  </cols>
  <sheetData>
    <row r="1" spans="1:12" ht="38" customHeight="1" x14ac:dyDescent="0.2">
      <c r="A1" s="6" t="s">
        <v>0</v>
      </c>
      <c r="B1" s="7" t="s">
        <v>1</v>
      </c>
      <c r="C1" s="7" t="s">
        <v>2</v>
      </c>
      <c r="D1" s="7" t="s">
        <v>314</v>
      </c>
      <c r="E1" s="7" t="s">
        <v>313</v>
      </c>
      <c r="F1" s="7" t="s">
        <v>3</v>
      </c>
      <c r="G1" s="7" t="s">
        <v>4</v>
      </c>
      <c r="H1" s="7" t="s">
        <v>5</v>
      </c>
      <c r="I1" s="7" t="s">
        <v>6</v>
      </c>
      <c r="J1" s="7" t="s">
        <v>7</v>
      </c>
      <c r="K1" s="7" t="s">
        <v>8</v>
      </c>
      <c r="L1" s="7" t="s">
        <v>9</v>
      </c>
    </row>
    <row r="2" spans="1:12" ht="14" customHeight="1" x14ac:dyDescent="0.2">
      <c r="A2" s="1" t="s">
        <v>10</v>
      </c>
      <c r="B2" s="1">
        <v>495</v>
      </c>
      <c r="C2" s="1">
        <v>444</v>
      </c>
      <c r="D2" s="1">
        <v>5891</v>
      </c>
      <c r="E2" s="4">
        <v>0.83699999999999997</v>
      </c>
      <c r="F2" s="1">
        <v>11249</v>
      </c>
      <c r="G2" s="1">
        <v>2682</v>
      </c>
      <c r="H2" s="1">
        <v>16828</v>
      </c>
      <c r="I2" s="1">
        <v>21746</v>
      </c>
      <c r="J2" s="1">
        <v>78</v>
      </c>
      <c r="K2" s="1">
        <v>21.7</v>
      </c>
      <c r="L2" s="3">
        <v>0.41</v>
      </c>
    </row>
    <row r="3" spans="1:12" ht="14" customHeight="1" x14ac:dyDescent="0.2">
      <c r="A3" s="1" t="s">
        <v>11</v>
      </c>
      <c r="B3" s="1">
        <v>526</v>
      </c>
      <c r="C3" s="1">
        <v>462</v>
      </c>
      <c r="D3" s="1">
        <v>14079</v>
      </c>
      <c r="E3" s="4">
        <v>0.86899999999999999</v>
      </c>
      <c r="F3" s="1">
        <v>21664</v>
      </c>
      <c r="G3" s="1">
        <v>4894</v>
      </c>
      <c r="H3" s="1">
        <v>16828</v>
      </c>
      <c r="I3" s="1">
        <v>22434</v>
      </c>
      <c r="J3" s="1">
        <v>91</v>
      </c>
      <c r="K3" s="1">
        <v>19.600000000000001</v>
      </c>
      <c r="L3" s="3">
        <v>0.49</v>
      </c>
    </row>
    <row r="4" spans="1:12" ht="14" customHeight="1" x14ac:dyDescent="0.2">
      <c r="A4" s="1" t="s">
        <v>12</v>
      </c>
      <c r="B4" s="1">
        <v>547</v>
      </c>
      <c r="C4" s="1">
        <v>455</v>
      </c>
      <c r="D4" s="1">
        <v>7811</v>
      </c>
      <c r="E4" s="4">
        <v>0.48899999999999999</v>
      </c>
      <c r="F4" s="1">
        <v>12911</v>
      </c>
      <c r="G4" s="1">
        <v>1404</v>
      </c>
      <c r="H4" s="1">
        <v>17033</v>
      </c>
      <c r="I4" s="1">
        <v>22380</v>
      </c>
      <c r="J4" s="1">
        <v>72</v>
      </c>
      <c r="K4" s="1">
        <v>19.8</v>
      </c>
      <c r="L4" s="3">
        <v>0.59</v>
      </c>
    </row>
    <row r="5" spans="1:12" ht="14" customHeight="1" x14ac:dyDescent="0.2">
      <c r="A5" s="1" t="s">
        <v>13</v>
      </c>
      <c r="B5" s="1">
        <v>550</v>
      </c>
      <c r="C5" s="1">
        <v>501</v>
      </c>
      <c r="D5" s="1">
        <v>950</v>
      </c>
      <c r="E5" s="4">
        <v>0.751</v>
      </c>
      <c r="F5" s="1">
        <v>1276</v>
      </c>
      <c r="G5" s="1">
        <v>9</v>
      </c>
      <c r="H5" s="1">
        <v>29320</v>
      </c>
      <c r="I5" s="1">
        <v>29320</v>
      </c>
      <c r="J5" s="1">
        <v>77</v>
      </c>
      <c r="K5" s="1">
        <v>14.9</v>
      </c>
      <c r="L5" s="3">
        <v>0.87</v>
      </c>
    </row>
    <row r="6" spans="1:12" ht="14" customHeight="1" x14ac:dyDescent="0.2">
      <c r="A6" s="1" t="s">
        <v>14</v>
      </c>
      <c r="B6" s="1">
        <v>451</v>
      </c>
      <c r="C6" s="1">
        <v>400</v>
      </c>
      <c r="D6" s="1">
        <v>1584</v>
      </c>
      <c r="E6" s="4">
        <v>0.91900000000000004</v>
      </c>
      <c r="F6" s="1">
        <v>3471</v>
      </c>
      <c r="G6" s="1">
        <v>911</v>
      </c>
      <c r="H6" s="1">
        <v>16434</v>
      </c>
      <c r="I6" s="1">
        <v>20016</v>
      </c>
      <c r="J6" s="1">
        <v>48</v>
      </c>
      <c r="K6" s="1">
        <v>28.8</v>
      </c>
      <c r="L6" s="3">
        <v>0.59</v>
      </c>
    </row>
    <row r="7" spans="1:12" ht="14" customHeight="1" x14ac:dyDescent="0.2">
      <c r="A7" s="1" t="s">
        <v>15</v>
      </c>
      <c r="B7" s="1">
        <v>480</v>
      </c>
      <c r="C7" s="1">
        <v>428</v>
      </c>
      <c r="D7" s="1">
        <v>1401</v>
      </c>
      <c r="E7" s="4">
        <v>0.88400000000000001</v>
      </c>
      <c r="F7" s="1">
        <v>3716</v>
      </c>
      <c r="G7" s="1">
        <v>675</v>
      </c>
      <c r="H7" s="1">
        <v>16644</v>
      </c>
      <c r="I7" s="1">
        <v>22100</v>
      </c>
      <c r="J7" s="1">
        <v>63</v>
      </c>
      <c r="K7" s="1">
        <v>19.399999999999999</v>
      </c>
      <c r="L7" s="3">
        <v>0.36</v>
      </c>
    </row>
    <row r="8" spans="1:12" ht="14" customHeight="1" x14ac:dyDescent="0.2">
      <c r="A8" s="1" t="s">
        <v>16</v>
      </c>
      <c r="B8" s="1">
        <v>470</v>
      </c>
      <c r="C8" s="1">
        <v>420</v>
      </c>
      <c r="D8" s="1">
        <v>2702</v>
      </c>
      <c r="E8" s="4">
        <v>0.60099999999999998</v>
      </c>
      <c r="F8" s="1">
        <v>2315</v>
      </c>
      <c r="G8" s="1">
        <v>146</v>
      </c>
      <c r="H8" s="1">
        <v>16819</v>
      </c>
      <c r="I8" s="1">
        <v>20918</v>
      </c>
      <c r="J8" s="1">
        <v>76</v>
      </c>
      <c r="K8" s="1">
        <v>19.399999999999999</v>
      </c>
      <c r="L8" s="3">
        <v>0.52</v>
      </c>
    </row>
    <row r="9" spans="1:12" ht="14" customHeight="1" x14ac:dyDescent="0.2">
      <c r="A9" s="1" t="s">
        <v>17</v>
      </c>
      <c r="B9" s="1">
        <v>533</v>
      </c>
      <c r="C9" s="1">
        <v>464</v>
      </c>
      <c r="D9" s="1">
        <v>6986</v>
      </c>
      <c r="E9" s="4">
        <v>0.42399999999999999</v>
      </c>
      <c r="F9" s="1">
        <v>12330</v>
      </c>
      <c r="G9" s="1">
        <v>7152</v>
      </c>
      <c r="H9" s="1">
        <v>16716</v>
      </c>
      <c r="I9" s="1">
        <v>21618</v>
      </c>
      <c r="J9" s="1">
        <v>80</v>
      </c>
      <c r="K9" s="1">
        <v>22.2</v>
      </c>
      <c r="L9" s="3">
        <v>0.46</v>
      </c>
    </row>
    <row r="10" spans="1:12" ht="14" customHeight="1" x14ac:dyDescent="0.2">
      <c r="A10" s="1" t="s">
        <v>18</v>
      </c>
      <c r="B10" s="1">
        <v>617</v>
      </c>
      <c r="C10" s="1">
        <v>522</v>
      </c>
      <c r="D10" s="1">
        <v>14939</v>
      </c>
      <c r="E10" s="4">
        <v>0.78</v>
      </c>
      <c r="F10" s="1">
        <v>25422</v>
      </c>
      <c r="G10" s="1">
        <v>911</v>
      </c>
      <c r="H10" s="1">
        <v>17760</v>
      </c>
      <c r="I10" s="1">
        <v>22560</v>
      </c>
      <c r="J10" s="1">
        <v>87</v>
      </c>
      <c r="K10" s="1">
        <v>17.399999999999999</v>
      </c>
      <c r="L10" s="3">
        <v>0.81</v>
      </c>
    </row>
    <row r="11" spans="1:12" ht="14" customHeight="1" x14ac:dyDescent="0.2">
      <c r="A11" s="1" t="s">
        <v>19</v>
      </c>
      <c r="B11" s="1">
        <v>429</v>
      </c>
      <c r="C11" s="1">
        <v>384</v>
      </c>
      <c r="D11" s="1">
        <v>2379</v>
      </c>
      <c r="E11" s="4">
        <v>0.89700000000000002</v>
      </c>
      <c r="F11" s="1">
        <v>4283</v>
      </c>
      <c r="G11" s="1">
        <v>2973</v>
      </c>
      <c r="H11" s="1">
        <v>17040</v>
      </c>
      <c r="I11" s="1">
        <v>19973</v>
      </c>
      <c r="J11" s="1">
        <v>56</v>
      </c>
      <c r="K11" s="1">
        <v>22</v>
      </c>
      <c r="L11" s="3">
        <v>0.38</v>
      </c>
    </row>
    <row r="12" spans="1:12" ht="14" customHeight="1" x14ac:dyDescent="0.2">
      <c r="A12" s="1" t="s">
        <v>20</v>
      </c>
      <c r="B12" s="1">
        <v>529</v>
      </c>
      <c r="C12" s="1">
        <v>468</v>
      </c>
      <c r="D12" s="1">
        <v>5996</v>
      </c>
      <c r="E12" s="4">
        <v>0.83299999999999996</v>
      </c>
      <c r="F12" s="1">
        <v>16269</v>
      </c>
      <c r="G12" s="1">
        <v>3757</v>
      </c>
      <c r="H12" s="1">
        <v>17625</v>
      </c>
      <c r="I12" s="1">
        <v>20925</v>
      </c>
      <c r="J12" s="1">
        <v>83</v>
      </c>
      <c r="K12" s="1">
        <v>15.9</v>
      </c>
      <c r="L12" s="3">
        <v>0.37</v>
      </c>
    </row>
    <row r="13" spans="1:12" ht="14" customHeight="1" x14ac:dyDescent="0.2">
      <c r="A13" s="1" t="s">
        <v>21</v>
      </c>
      <c r="B13" s="1">
        <v>554</v>
      </c>
      <c r="C13" s="1">
        <v>491</v>
      </c>
      <c r="D13" s="1">
        <v>4216</v>
      </c>
      <c r="E13" s="4">
        <v>0.54300000000000004</v>
      </c>
      <c r="F13" s="1">
        <v>4296</v>
      </c>
      <c r="G13" s="1">
        <v>1027</v>
      </c>
      <c r="H13" s="1">
        <v>17328</v>
      </c>
      <c r="I13" s="1">
        <v>20130</v>
      </c>
      <c r="J13" s="1">
        <v>73</v>
      </c>
      <c r="K13" s="1">
        <v>17.899999999999999</v>
      </c>
      <c r="L13" s="3">
        <v>0.56000000000000005</v>
      </c>
    </row>
    <row r="14" spans="1:12" ht="14" customHeight="1" x14ac:dyDescent="0.2">
      <c r="A14" s="1" t="s">
        <v>22</v>
      </c>
      <c r="B14" s="1">
        <v>524</v>
      </c>
      <c r="C14" s="1">
        <v>461</v>
      </c>
      <c r="D14" s="1">
        <v>18114</v>
      </c>
      <c r="E14" s="4">
        <v>0.83299999999999996</v>
      </c>
      <c r="F14" s="1">
        <v>26640</v>
      </c>
      <c r="G14" s="1">
        <v>4120</v>
      </c>
      <c r="H14" s="1">
        <v>19103</v>
      </c>
      <c r="I14" s="1">
        <v>25658</v>
      </c>
      <c r="J14" s="1">
        <v>93</v>
      </c>
      <c r="K14" s="1">
        <v>14</v>
      </c>
      <c r="L14" s="3">
        <v>0.71</v>
      </c>
    </row>
    <row r="15" spans="1:12" ht="14" customHeight="1" x14ac:dyDescent="0.2">
      <c r="A15" s="1" t="s">
        <v>23</v>
      </c>
      <c r="B15" s="1">
        <v>620</v>
      </c>
      <c r="C15" s="1">
        <v>512</v>
      </c>
      <c r="D15" s="1">
        <v>2618</v>
      </c>
      <c r="E15" s="4">
        <v>0.874</v>
      </c>
      <c r="F15" s="1">
        <v>5524</v>
      </c>
      <c r="G15" s="1">
        <v>414</v>
      </c>
      <c r="H15" s="1">
        <v>18510</v>
      </c>
      <c r="I15" s="1">
        <v>23127</v>
      </c>
      <c r="J15" s="1">
        <v>82</v>
      </c>
      <c r="K15" s="1">
        <v>17</v>
      </c>
      <c r="L15" s="3">
        <v>0.65</v>
      </c>
    </row>
    <row r="16" spans="1:12" ht="14" customHeight="1" x14ac:dyDescent="0.2">
      <c r="A16" s="1" t="s">
        <v>24</v>
      </c>
      <c r="B16" s="1">
        <v>650</v>
      </c>
      <c r="C16" s="1">
        <v>550</v>
      </c>
      <c r="D16" s="1">
        <v>1458</v>
      </c>
      <c r="E16" s="4">
        <v>0.59899999999999998</v>
      </c>
      <c r="F16" s="1">
        <v>1846</v>
      </c>
      <c r="G16" s="1">
        <v>154</v>
      </c>
      <c r="H16" s="1">
        <v>18330</v>
      </c>
      <c r="I16" s="1">
        <v>24843</v>
      </c>
      <c r="J16" s="1">
        <v>74</v>
      </c>
      <c r="K16" s="1">
        <v>14.6</v>
      </c>
      <c r="L16" s="3">
        <v>0.51</v>
      </c>
    </row>
    <row r="17" spans="1:12" ht="14" customHeight="1" x14ac:dyDescent="0.2">
      <c r="A17" s="1" t="s">
        <v>25</v>
      </c>
      <c r="B17" s="1">
        <v>568</v>
      </c>
      <c r="C17" s="1">
        <v>484</v>
      </c>
      <c r="D17" s="1">
        <v>11054</v>
      </c>
      <c r="E17" s="4">
        <v>0.57899999999999996</v>
      </c>
      <c r="F17" s="1">
        <v>16502</v>
      </c>
      <c r="G17" s="1">
        <v>21836</v>
      </c>
      <c r="H17" s="1">
        <v>18171</v>
      </c>
      <c r="I17" s="1">
        <v>23949</v>
      </c>
      <c r="J17" s="1">
        <v>88</v>
      </c>
      <c r="K17" s="1">
        <v>12.2</v>
      </c>
      <c r="L17" s="3">
        <v>0.45</v>
      </c>
    </row>
    <row r="18" spans="1:12" ht="14" customHeight="1" x14ac:dyDescent="0.2">
      <c r="A18" s="1" t="s">
        <v>26</v>
      </c>
      <c r="B18" s="1">
        <v>519</v>
      </c>
      <c r="C18" s="1">
        <v>471</v>
      </c>
      <c r="D18" s="1">
        <v>7313</v>
      </c>
      <c r="E18" s="4">
        <v>0.63800000000000001</v>
      </c>
      <c r="F18" s="1">
        <v>9940</v>
      </c>
      <c r="G18" s="1">
        <v>1035</v>
      </c>
      <c r="H18" s="1">
        <v>15740</v>
      </c>
      <c r="I18" s="1">
        <v>21806</v>
      </c>
      <c r="J18" s="1">
        <v>83</v>
      </c>
      <c r="K18" s="1">
        <v>18.3</v>
      </c>
      <c r="L18" s="3">
        <v>0.7</v>
      </c>
    </row>
    <row r="19" spans="1:12" ht="14" customHeight="1" x14ac:dyDescent="0.2">
      <c r="A19" s="1" t="s">
        <v>27</v>
      </c>
      <c r="B19" s="1">
        <v>550</v>
      </c>
      <c r="C19" s="1">
        <v>504</v>
      </c>
      <c r="D19" s="1">
        <v>1757</v>
      </c>
      <c r="E19" s="4">
        <v>0.55700000000000005</v>
      </c>
      <c r="F19" s="1">
        <v>2033</v>
      </c>
      <c r="G19" s="1">
        <v>1078</v>
      </c>
      <c r="H19" s="1">
        <v>15608</v>
      </c>
      <c r="I19" s="1">
        <v>20972</v>
      </c>
      <c r="J19" s="1">
        <v>77</v>
      </c>
      <c r="K19" s="1">
        <v>13</v>
      </c>
      <c r="L19" s="3">
        <v>0.37</v>
      </c>
    </row>
    <row r="20" spans="1:12" ht="14" customHeight="1" x14ac:dyDescent="0.2">
      <c r="A20" s="1" t="s">
        <v>28</v>
      </c>
      <c r="B20" s="1">
        <v>486</v>
      </c>
      <c r="C20" s="1">
        <v>435</v>
      </c>
      <c r="D20" s="1">
        <v>9274</v>
      </c>
      <c r="E20" s="4">
        <v>0.68600000000000005</v>
      </c>
      <c r="F20" s="1">
        <v>13171</v>
      </c>
      <c r="G20" s="1">
        <v>1687</v>
      </c>
      <c r="H20" s="1">
        <v>15764</v>
      </c>
      <c r="I20" s="1">
        <v>22248</v>
      </c>
      <c r="J20" s="1">
        <v>74</v>
      </c>
      <c r="K20" s="1">
        <v>13.2</v>
      </c>
      <c r="L20" s="3">
        <v>0.57999999999999996</v>
      </c>
    </row>
    <row r="21" spans="1:12" ht="14" customHeight="1" x14ac:dyDescent="0.2">
      <c r="A21" s="1" t="s">
        <v>29</v>
      </c>
      <c r="B21" s="1">
        <v>494</v>
      </c>
      <c r="C21" s="1">
        <v>441</v>
      </c>
      <c r="D21" s="1">
        <v>6071</v>
      </c>
      <c r="E21" s="4">
        <v>0.63500000000000001</v>
      </c>
      <c r="F21" s="1">
        <v>6635</v>
      </c>
      <c r="G21" s="1">
        <v>1145</v>
      </c>
      <c r="H21" s="1">
        <v>16492</v>
      </c>
      <c r="I21" s="1">
        <v>22558</v>
      </c>
      <c r="J21" s="1">
        <v>82</v>
      </c>
      <c r="K21" s="1">
        <v>19.100000000000001</v>
      </c>
      <c r="L21" s="3">
        <v>0.55000000000000004</v>
      </c>
    </row>
    <row r="22" spans="1:12" ht="14" customHeight="1" x14ac:dyDescent="0.2">
      <c r="A22" s="1" t="s">
        <v>30</v>
      </c>
      <c r="B22" s="1">
        <v>535</v>
      </c>
      <c r="C22" s="1">
        <v>465</v>
      </c>
      <c r="D22" s="1">
        <v>2777</v>
      </c>
      <c r="E22" s="4">
        <v>0.81</v>
      </c>
      <c r="F22" s="1">
        <v>8334</v>
      </c>
      <c r="G22" s="1">
        <v>1435</v>
      </c>
      <c r="H22" s="1">
        <v>17110</v>
      </c>
      <c r="I22" s="1">
        <v>20634</v>
      </c>
      <c r="J22" s="1">
        <v>97</v>
      </c>
      <c r="K22" s="1">
        <v>15.9</v>
      </c>
      <c r="L22" s="3">
        <v>0.49</v>
      </c>
    </row>
    <row r="23" spans="1:12" ht="14" customHeight="1" x14ac:dyDescent="0.2">
      <c r="A23" s="1" t="s">
        <v>31</v>
      </c>
      <c r="B23" s="1">
        <v>513</v>
      </c>
      <c r="C23" s="1">
        <v>447</v>
      </c>
      <c r="D23" s="1">
        <v>6277</v>
      </c>
      <c r="E23" s="4">
        <v>0.95599999999999996</v>
      </c>
      <c r="F23" s="1">
        <v>16454</v>
      </c>
      <c r="G23" s="1">
        <v>3171</v>
      </c>
      <c r="H23" s="1">
        <v>17055</v>
      </c>
      <c r="I23" s="1">
        <v>20595</v>
      </c>
      <c r="J23" s="1">
        <v>86</v>
      </c>
      <c r="K23" s="1">
        <v>15.1</v>
      </c>
      <c r="L23" s="3">
        <v>0.53</v>
      </c>
    </row>
    <row r="24" spans="1:12" ht="14" customHeight="1" x14ac:dyDescent="0.2">
      <c r="A24" s="1" t="s">
        <v>32</v>
      </c>
      <c r="B24" s="1">
        <v>615</v>
      </c>
      <c r="C24" s="1">
        <v>533</v>
      </c>
      <c r="D24" s="1">
        <v>14463</v>
      </c>
      <c r="E24" s="4">
        <v>0.42599999999999999</v>
      </c>
      <c r="F24" s="1">
        <v>8544</v>
      </c>
      <c r="G24" s="1">
        <v>671</v>
      </c>
      <c r="H24" s="1">
        <v>17650</v>
      </c>
      <c r="I24" s="1">
        <v>21550</v>
      </c>
      <c r="J24" s="1">
        <v>83</v>
      </c>
      <c r="K24" s="1">
        <v>18</v>
      </c>
      <c r="L24" s="3">
        <v>0.8</v>
      </c>
    </row>
    <row r="25" spans="1:12" ht="14" customHeight="1" x14ac:dyDescent="0.2">
      <c r="A25" s="1" t="s">
        <v>33</v>
      </c>
      <c r="B25" s="1">
        <v>506</v>
      </c>
      <c r="C25" s="1">
        <v>446</v>
      </c>
      <c r="D25" s="1">
        <v>7294</v>
      </c>
      <c r="E25" s="4">
        <v>0.48899999999999999</v>
      </c>
      <c r="F25" s="1">
        <v>5758</v>
      </c>
      <c r="G25" s="1">
        <v>1363</v>
      </c>
      <c r="H25" s="1">
        <v>17650</v>
      </c>
      <c r="I25" s="1">
        <v>21550</v>
      </c>
      <c r="J25" s="1">
        <v>79</v>
      </c>
      <c r="K25" s="1">
        <v>19</v>
      </c>
      <c r="L25" s="3">
        <v>0.49</v>
      </c>
    </row>
    <row r="26" spans="1:12" ht="14" customHeight="1" x14ac:dyDescent="0.2">
      <c r="A26" s="1" t="s">
        <v>34</v>
      </c>
      <c r="B26" s="1">
        <v>524</v>
      </c>
      <c r="C26" s="1">
        <v>460</v>
      </c>
      <c r="D26" s="1">
        <v>7888</v>
      </c>
      <c r="E26" s="4">
        <v>0.44600000000000001</v>
      </c>
      <c r="F26" s="1">
        <v>5011</v>
      </c>
      <c r="G26" s="1">
        <v>346</v>
      </c>
      <c r="H26" s="1">
        <v>17650</v>
      </c>
      <c r="I26" s="1">
        <v>21550</v>
      </c>
      <c r="J26" s="1">
        <v>82</v>
      </c>
      <c r="K26" s="1">
        <v>17.8</v>
      </c>
      <c r="L26" s="3">
        <v>0.53</v>
      </c>
    </row>
    <row r="27" spans="1:12" ht="14" customHeight="1" x14ac:dyDescent="0.2">
      <c r="A27" s="1" t="s">
        <v>35</v>
      </c>
      <c r="B27" s="1">
        <v>525</v>
      </c>
      <c r="C27" s="1">
        <v>472</v>
      </c>
      <c r="D27" s="1">
        <v>4877</v>
      </c>
      <c r="E27" s="4">
        <v>0.57399999999999995</v>
      </c>
      <c r="F27" s="1">
        <v>4123</v>
      </c>
      <c r="G27" s="1">
        <v>298</v>
      </c>
      <c r="H27" s="1">
        <v>17650</v>
      </c>
      <c r="I27" s="1">
        <v>21550</v>
      </c>
      <c r="J27" s="1">
        <v>82</v>
      </c>
      <c r="K27" s="1">
        <v>16.3</v>
      </c>
      <c r="L27" s="3">
        <v>0.66</v>
      </c>
    </row>
    <row r="28" spans="1:12" ht="14" customHeight="1" x14ac:dyDescent="0.2">
      <c r="A28" s="1" t="s">
        <v>36</v>
      </c>
      <c r="B28" s="1">
        <v>608</v>
      </c>
      <c r="C28" s="1">
        <v>541</v>
      </c>
      <c r="D28" s="1">
        <v>8598</v>
      </c>
      <c r="E28" s="4">
        <v>0.53100000000000003</v>
      </c>
      <c r="F28" s="1">
        <v>5060</v>
      </c>
      <c r="G28" s="1">
        <v>146</v>
      </c>
      <c r="H28" s="1">
        <v>17650</v>
      </c>
      <c r="I28" s="1">
        <v>21550</v>
      </c>
      <c r="J28" s="1">
        <v>79</v>
      </c>
      <c r="K28" s="1">
        <v>19.100000000000001</v>
      </c>
      <c r="L28" s="3">
        <v>0.76</v>
      </c>
    </row>
    <row r="29" spans="1:12" ht="14" customHeight="1" x14ac:dyDescent="0.2">
      <c r="A29" s="1" t="s">
        <v>37</v>
      </c>
      <c r="B29" s="1">
        <v>537</v>
      </c>
      <c r="C29" s="1">
        <v>479</v>
      </c>
      <c r="D29" s="1">
        <v>8399</v>
      </c>
      <c r="E29" s="4">
        <v>0.43</v>
      </c>
      <c r="F29" s="1">
        <v>4658</v>
      </c>
      <c r="G29" s="1">
        <v>1478</v>
      </c>
      <c r="H29" s="1">
        <v>17650</v>
      </c>
      <c r="I29" s="1">
        <v>21550</v>
      </c>
      <c r="J29" s="1">
        <v>85</v>
      </c>
      <c r="K29" s="1">
        <v>15.3</v>
      </c>
      <c r="L29" s="3">
        <v>0.53</v>
      </c>
    </row>
    <row r="30" spans="1:12" ht="14" customHeight="1" x14ac:dyDescent="0.2">
      <c r="A30" s="1" t="s">
        <v>38</v>
      </c>
      <c r="B30" s="1">
        <v>550</v>
      </c>
      <c r="C30" s="1">
        <v>480</v>
      </c>
      <c r="D30" s="1">
        <v>8000</v>
      </c>
      <c r="E30" s="4">
        <v>0.56999999999999995</v>
      </c>
      <c r="F30" s="1">
        <v>6943</v>
      </c>
      <c r="G30" s="1">
        <v>869</v>
      </c>
      <c r="H30" s="1">
        <v>17650</v>
      </c>
      <c r="I30" s="1">
        <v>21550</v>
      </c>
      <c r="J30" s="1">
        <v>69</v>
      </c>
      <c r="K30" s="1">
        <v>22</v>
      </c>
      <c r="L30" s="3">
        <v>0.63</v>
      </c>
    </row>
    <row r="31" spans="1:12" ht="14" customHeight="1" x14ac:dyDescent="0.2">
      <c r="A31" s="1" t="s">
        <v>39</v>
      </c>
      <c r="B31" s="1">
        <v>520</v>
      </c>
      <c r="C31" s="1">
        <v>460</v>
      </c>
      <c r="D31" s="1">
        <v>5549</v>
      </c>
      <c r="E31" s="4">
        <v>0.64600000000000002</v>
      </c>
      <c r="F31" s="1">
        <v>5004</v>
      </c>
      <c r="G31" s="1">
        <v>475</v>
      </c>
      <c r="H31" s="1">
        <v>17650</v>
      </c>
      <c r="I31" s="1">
        <v>21550</v>
      </c>
      <c r="J31" s="1">
        <v>80</v>
      </c>
      <c r="K31" s="1">
        <v>17.899999999999999</v>
      </c>
      <c r="L31" s="3">
        <v>0.65</v>
      </c>
    </row>
    <row r="32" spans="1:12" ht="14" customHeight="1" x14ac:dyDescent="0.2">
      <c r="A32" s="1" t="s">
        <v>40</v>
      </c>
      <c r="B32" s="1">
        <v>540</v>
      </c>
      <c r="C32" s="1">
        <v>500</v>
      </c>
      <c r="D32" s="1">
        <v>3150</v>
      </c>
      <c r="E32" s="4">
        <v>0.72699999999999998</v>
      </c>
      <c r="F32" s="1">
        <v>3598</v>
      </c>
      <c r="G32" s="1">
        <v>234</v>
      </c>
      <c r="H32" s="1">
        <v>17650</v>
      </c>
      <c r="I32" s="1">
        <v>21840</v>
      </c>
      <c r="J32" s="1">
        <v>71</v>
      </c>
      <c r="K32" s="1">
        <v>15.1</v>
      </c>
      <c r="L32" s="3">
        <v>0.59</v>
      </c>
    </row>
    <row r="33" spans="1:12" ht="14" customHeight="1" x14ac:dyDescent="0.2">
      <c r="A33" s="1" t="s">
        <v>41</v>
      </c>
      <c r="B33" s="1">
        <v>497</v>
      </c>
      <c r="C33" s="1">
        <v>449</v>
      </c>
      <c r="D33" s="1">
        <v>9251</v>
      </c>
      <c r="E33" s="4">
        <v>0.79300000000000004</v>
      </c>
      <c r="F33" s="1">
        <v>13699</v>
      </c>
      <c r="G33" s="1">
        <v>1213</v>
      </c>
      <c r="H33" s="1">
        <v>18070</v>
      </c>
      <c r="I33" s="1">
        <v>22452</v>
      </c>
      <c r="J33" s="1">
        <v>81</v>
      </c>
      <c r="K33" s="1">
        <v>21.1</v>
      </c>
      <c r="L33" s="3">
        <v>0.67</v>
      </c>
    </row>
    <row r="34" spans="1:12" ht="14" customHeight="1" x14ac:dyDescent="0.2">
      <c r="A34" s="1" t="s">
        <v>42</v>
      </c>
      <c r="B34" s="1">
        <v>520</v>
      </c>
      <c r="C34" s="1">
        <v>473</v>
      </c>
      <c r="D34" s="1">
        <v>11023</v>
      </c>
      <c r="E34" s="4">
        <v>0.753</v>
      </c>
      <c r="F34" s="1">
        <v>14861</v>
      </c>
      <c r="G34" s="1">
        <v>1310</v>
      </c>
      <c r="H34" s="1">
        <v>18552</v>
      </c>
      <c r="I34" s="1">
        <v>22629</v>
      </c>
      <c r="J34" s="1">
        <v>79</v>
      </c>
      <c r="K34" s="1">
        <v>20.399999999999999</v>
      </c>
      <c r="L34" s="3">
        <v>0.64</v>
      </c>
    </row>
    <row r="35" spans="1:12" ht="14" customHeight="1" x14ac:dyDescent="0.2">
      <c r="A35" s="1" t="s">
        <v>43</v>
      </c>
      <c r="B35" s="1">
        <v>533</v>
      </c>
      <c r="C35" s="1">
        <v>464</v>
      </c>
      <c r="D35" s="1">
        <v>6855</v>
      </c>
      <c r="E35" s="4">
        <v>0.81</v>
      </c>
      <c r="F35" s="1">
        <v>11036</v>
      </c>
      <c r="G35" s="1">
        <v>2011</v>
      </c>
      <c r="H35" s="1">
        <v>18234</v>
      </c>
      <c r="I35" s="1">
        <v>23907</v>
      </c>
      <c r="J35" s="1">
        <v>89</v>
      </c>
      <c r="K35" s="1">
        <v>10.8</v>
      </c>
      <c r="L35" s="3">
        <v>0.54</v>
      </c>
    </row>
    <row r="36" spans="1:12" ht="14" customHeight="1" x14ac:dyDescent="0.2">
      <c r="A36" s="1" t="s">
        <v>44</v>
      </c>
      <c r="B36" s="1">
        <v>540</v>
      </c>
      <c r="C36" s="1">
        <v>477</v>
      </c>
      <c r="D36" s="1">
        <v>4522</v>
      </c>
      <c r="E36" s="4">
        <v>0.86499999999999999</v>
      </c>
      <c r="F36" s="1">
        <v>12830</v>
      </c>
      <c r="G36" s="1">
        <v>1658</v>
      </c>
      <c r="H36" s="1">
        <v>16889</v>
      </c>
      <c r="I36" s="1">
        <v>20336</v>
      </c>
      <c r="J36" s="1">
        <v>84</v>
      </c>
      <c r="K36" s="1">
        <v>15.3</v>
      </c>
      <c r="L36" s="3">
        <v>0.48</v>
      </c>
    </row>
    <row r="37" spans="1:12" ht="14" customHeight="1" x14ac:dyDescent="0.2">
      <c r="A37" s="1" t="s">
        <v>45</v>
      </c>
      <c r="B37" s="1">
        <v>455</v>
      </c>
      <c r="C37" s="1">
        <v>406</v>
      </c>
      <c r="D37" s="1">
        <v>1166</v>
      </c>
      <c r="E37" s="4">
        <v>0.86499999999999999</v>
      </c>
      <c r="F37" s="1">
        <v>2074</v>
      </c>
      <c r="G37" s="1">
        <v>341</v>
      </c>
      <c r="H37" s="1">
        <v>18340</v>
      </c>
      <c r="I37" s="1">
        <v>19938</v>
      </c>
      <c r="J37" s="1">
        <v>67</v>
      </c>
      <c r="K37" s="1">
        <v>17</v>
      </c>
      <c r="L37" s="3">
        <v>0.51</v>
      </c>
    </row>
    <row r="38" spans="1:12" ht="14" customHeight="1" x14ac:dyDescent="0.2">
      <c r="A38" s="1" t="s">
        <v>46</v>
      </c>
      <c r="B38" s="1">
        <v>525</v>
      </c>
      <c r="C38" s="1">
        <v>468</v>
      </c>
      <c r="D38" s="1">
        <v>7473</v>
      </c>
      <c r="E38" s="4">
        <v>0.71899999999999997</v>
      </c>
      <c r="F38" s="1">
        <v>15749</v>
      </c>
      <c r="G38" s="1">
        <v>3237</v>
      </c>
      <c r="H38" s="1">
        <v>16830</v>
      </c>
      <c r="I38" s="1">
        <v>20764</v>
      </c>
      <c r="J38" s="1">
        <v>86</v>
      </c>
      <c r="K38" s="1">
        <v>16.5</v>
      </c>
      <c r="L38" s="3">
        <v>0.53</v>
      </c>
    </row>
    <row r="39" spans="1:12" ht="14" customHeight="1" x14ac:dyDescent="0.2">
      <c r="A39" s="1" t="s">
        <v>47</v>
      </c>
      <c r="B39" s="1">
        <v>509</v>
      </c>
      <c r="C39" s="1">
        <v>441</v>
      </c>
      <c r="D39" s="1">
        <v>3540</v>
      </c>
      <c r="E39" s="4">
        <v>0.56499999999999995</v>
      </c>
      <c r="F39" s="1">
        <v>4190</v>
      </c>
      <c r="G39" s="1">
        <v>1512</v>
      </c>
      <c r="H39" s="1">
        <v>15840</v>
      </c>
      <c r="I39" s="1">
        <v>20130</v>
      </c>
      <c r="J39" s="1">
        <v>60</v>
      </c>
      <c r="K39" s="1">
        <v>23.1</v>
      </c>
      <c r="L39" s="3">
        <v>0.34</v>
      </c>
    </row>
    <row r="40" spans="1:12" ht="14" customHeight="1" x14ac:dyDescent="0.2">
      <c r="A40" s="1" t="s">
        <v>48</v>
      </c>
      <c r="B40" s="1">
        <v>459</v>
      </c>
      <c r="C40" s="1">
        <v>413</v>
      </c>
      <c r="D40" s="1">
        <v>2336</v>
      </c>
      <c r="E40" s="4">
        <v>0.73799999999999999</v>
      </c>
      <c r="F40" s="1">
        <v>5438</v>
      </c>
      <c r="G40" s="1">
        <v>4058</v>
      </c>
      <c r="H40" s="1">
        <v>15864</v>
      </c>
      <c r="I40" s="1">
        <v>19752</v>
      </c>
      <c r="J40" s="1">
        <v>48</v>
      </c>
      <c r="K40" s="1">
        <v>18.399999999999999</v>
      </c>
      <c r="L40" s="3">
        <v>0.26</v>
      </c>
    </row>
    <row r="41" spans="1:12" ht="14" customHeight="1" x14ac:dyDescent="0.2">
      <c r="A41" s="1" t="s">
        <v>49</v>
      </c>
      <c r="B41" s="1">
        <v>526</v>
      </c>
      <c r="C41" s="1">
        <v>467</v>
      </c>
      <c r="D41" s="1">
        <v>4418</v>
      </c>
      <c r="E41" s="4">
        <v>0.62</v>
      </c>
      <c r="F41" s="1">
        <v>14047</v>
      </c>
      <c r="G41" s="1">
        <v>5134</v>
      </c>
      <c r="H41" s="1">
        <v>15672</v>
      </c>
      <c r="I41" s="1">
        <v>19104</v>
      </c>
      <c r="J41" s="1">
        <v>86</v>
      </c>
      <c r="K41" s="1">
        <v>22.6</v>
      </c>
      <c r="L41" s="3">
        <v>0.35</v>
      </c>
    </row>
    <row r="42" spans="1:12" ht="14" customHeight="1" x14ac:dyDescent="0.2">
      <c r="A42" s="1" t="s">
        <v>50</v>
      </c>
      <c r="B42" s="1">
        <v>377</v>
      </c>
      <c r="C42" s="1">
        <v>332</v>
      </c>
      <c r="D42" s="1">
        <v>2405</v>
      </c>
      <c r="E42" s="4">
        <v>0.92900000000000005</v>
      </c>
      <c r="F42" s="1">
        <v>4564</v>
      </c>
      <c r="G42" s="1">
        <v>448</v>
      </c>
      <c r="H42" s="1">
        <v>15840</v>
      </c>
      <c r="I42" s="1">
        <v>19290</v>
      </c>
      <c r="J42" s="1">
        <v>55</v>
      </c>
      <c r="K42" s="1">
        <v>19.399999999999999</v>
      </c>
      <c r="L42" s="3">
        <v>0.35</v>
      </c>
    </row>
    <row r="43" spans="1:12" ht="14" customHeight="1" x14ac:dyDescent="0.2">
      <c r="A43" s="1" t="s">
        <v>51</v>
      </c>
      <c r="B43" s="1">
        <v>603</v>
      </c>
      <c r="C43" s="1">
        <v>523</v>
      </c>
      <c r="D43" s="1">
        <v>14752</v>
      </c>
      <c r="E43" s="4">
        <v>0.64900000000000002</v>
      </c>
      <c r="F43" s="1">
        <v>30017</v>
      </c>
      <c r="G43" s="1">
        <v>5189</v>
      </c>
      <c r="H43" s="1">
        <v>15840</v>
      </c>
      <c r="I43" s="1">
        <v>20130</v>
      </c>
      <c r="J43" s="1">
        <v>91</v>
      </c>
      <c r="K43" s="1">
        <v>19.7</v>
      </c>
      <c r="L43" s="3">
        <v>0.65</v>
      </c>
    </row>
    <row r="44" spans="1:12" ht="14" customHeight="1" x14ac:dyDescent="0.2">
      <c r="A44" s="1" t="s">
        <v>52</v>
      </c>
      <c r="B44" s="1">
        <v>578</v>
      </c>
      <c r="C44" s="1">
        <v>491</v>
      </c>
      <c r="D44" s="1">
        <v>14474</v>
      </c>
      <c r="E44" s="4">
        <v>0.72699999999999998</v>
      </c>
      <c r="F44" s="1">
        <v>31643</v>
      </c>
      <c r="G44" s="1">
        <v>2798</v>
      </c>
      <c r="H44" s="1">
        <v>15840</v>
      </c>
      <c r="I44" s="1">
        <v>20130</v>
      </c>
      <c r="J44" s="1">
        <v>89</v>
      </c>
      <c r="K44" s="1">
        <v>23.1</v>
      </c>
      <c r="L44" s="3">
        <v>0.69</v>
      </c>
    </row>
    <row r="45" spans="1:12" ht="14" customHeight="1" x14ac:dyDescent="0.2">
      <c r="A45" s="1" t="s">
        <v>53</v>
      </c>
      <c r="B45" s="1">
        <v>543</v>
      </c>
      <c r="C45" s="1">
        <v>484</v>
      </c>
      <c r="D45" s="1">
        <v>5095</v>
      </c>
      <c r="E45" s="4">
        <v>0.88100000000000001</v>
      </c>
      <c r="F45" s="1">
        <v>13894</v>
      </c>
      <c r="G45" s="1">
        <v>8374</v>
      </c>
      <c r="H45" s="1">
        <v>16954</v>
      </c>
      <c r="I45" s="1">
        <v>21857</v>
      </c>
      <c r="J45" s="1">
        <v>89</v>
      </c>
      <c r="K45" s="1">
        <v>12.8</v>
      </c>
      <c r="L45" s="3">
        <v>0.37</v>
      </c>
    </row>
    <row r="46" spans="1:12" ht="14" customHeight="1" x14ac:dyDescent="0.2">
      <c r="A46" s="1" t="s">
        <v>54</v>
      </c>
      <c r="B46" s="1">
        <v>459</v>
      </c>
      <c r="C46" s="1">
        <v>416</v>
      </c>
      <c r="D46" s="1">
        <v>1257</v>
      </c>
      <c r="E46" s="4">
        <v>0.748</v>
      </c>
      <c r="F46" s="1">
        <v>1547</v>
      </c>
      <c r="G46" s="1">
        <v>294</v>
      </c>
      <c r="H46" s="1">
        <v>18660</v>
      </c>
      <c r="I46" s="1">
        <v>22656</v>
      </c>
      <c r="J46" s="1">
        <v>89</v>
      </c>
      <c r="K46" s="1">
        <v>14.7</v>
      </c>
      <c r="L46" s="3">
        <v>0.79</v>
      </c>
    </row>
    <row r="47" spans="1:12" ht="14" customHeight="1" x14ac:dyDescent="0.2">
      <c r="A47" s="1" t="s">
        <v>55</v>
      </c>
      <c r="B47" s="1">
        <v>525</v>
      </c>
      <c r="C47" s="1">
        <v>460</v>
      </c>
      <c r="D47" s="1">
        <v>5729</v>
      </c>
      <c r="E47" s="4">
        <v>0.78900000000000003</v>
      </c>
      <c r="F47" s="1">
        <v>8516</v>
      </c>
      <c r="G47" s="1">
        <v>1264</v>
      </c>
      <c r="H47" s="1">
        <v>17208</v>
      </c>
      <c r="I47" s="1">
        <v>21996</v>
      </c>
      <c r="J47" s="1">
        <v>80</v>
      </c>
      <c r="K47" s="1">
        <v>19.3</v>
      </c>
      <c r="L47" s="3">
        <v>0.61</v>
      </c>
    </row>
    <row r="48" spans="1:12" ht="14" customHeight="1" x14ac:dyDescent="0.2">
      <c r="A48" s="1" t="s">
        <v>56</v>
      </c>
      <c r="B48" s="1">
        <v>490</v>
      </c>
      <c r="C48" s="1">
        <v>482</v>
      </c>
      <c r="D48" s="1">
        <v>193</v>
      </c>
      <c r="E48" s="4">
        <v>0.75600000000000001</v>
      </c>
      <c r="F48" s="1">
        <v>249</v>
      </c>
      <c r="G48" s="1">
        <v>869</v>
      </c>
      <c r="H48" s="1">
        <v>22560</v>
      </c>
      <c r="I48" s="1">
        <v>22560</v>
      </c>
      <c r="J48" s="1">
        <v>76</v>
      </c>
      <c r="K48" s="1">
        <v>11.9</v>
      </c>
      <c r="L48" s="3">
        <v>0.15</v>
      </c>
    </row>
    <row r="49" spans="1:12" ht="14" customHeight="1" x14ac:dyDescent="0.2">
      <c r="A49" s="1" t="s">
        <v>57</v>
      </c>
      <c r="B49" s="1">
        <v>575</v>
      </c>
      <c r="C49" s="1">
        <v>525</v>
      </c>
      <c r="D49" s="1">
        <v>805</v>
      </c>
      <c r="E49" s="4">
        <v>0.73</v>
      </c>
      <c r="F49" s="1">
        <v>1376</v>
      </c>
      <c r="G49" s="1">
        <v>207</v>
      </c>
      <c r="H49" s="1">
        <v>26660</v>
      </c>
      <c r="I49" s="1">
        <v>26660</v>
      </c>
      <c r="J49" s="1">
        <v>74</v>
      </c>
      <c r="K49" s="1">
        <v>14</v>
      </c>
      <c r="L49" s="3">
        <v>0.72</v>
      </c>
    </row>
    <row r="50" spans="1:12" ht="14" customHeight="1" x14ac:dyDescent="0.2">
      <c r="A50" s="1" t="s">
        <v>58</v>
      </c>
      <c r="B50" s="1">
        <v>513</v>
      </c>
      <c r="C50" s="1">
        <v>446</v>
      </c>
      <c r="D50" s="1">
        <v>608</v>
      </c>
      <c r="E50" s="4">
        <v>0.85499999999999998</v>
      </c>
      <c r="F50" s="1">
        <v>538</v>
      </c>
      <c r="G50" s="1">
        <v>126</v>
      </c>
      <c r="H50" s="1">
        <v>23080</v>
      </c>
      <c r="I50" s="1">
        <v>23080</v>
      </c>
      <c r="J50" s="1">
        <v>63</v>
      </c>
      <c r="K50" s="1">
        <v>11.4</v>
      </c>
      <c r="L50" s="3">
        <v>0.44</v>
      </c>
    </row>
    <row r="51" spans="1:12" ht="14" customHeight="1" x14ac:dyDescent="0.2">
      <c r="A51" s="1" t="s">
        <v>59</v>
      </c>
      <c r="B51" s="1">
        <v>564</v>
      </c>
      <c r="C51" s="1">
        <v>525</v>
      </c>
      <c r="D51" s="1">
        <v>823</v>
      </c>
      <c r="E51" s="4">
        <v>0.876</v>
      </c>
      <c r="F51" s="1">
        <v>954</v>
      </c>
      <c r="G51" s="1">
        <v>6</v>
      </c>
      <c r="H51" s="1">
        <v>23800</v>
      </c>
      <c r="I51" s="1">
        <v>23800</v>
      </c>
      <c r="J51" s="1">
        <v>82</v>
      </c>
      <c r="K51" s="1">
        <v>13.1</v>
      </c>
      <c r="L51" s="3">
        <v>0.63</v>
      </c>
    </row>
    <row r="52" spans="1:12" ht="14" customHeight="1" x14ac:dyDescent="0.2">
      <c r="A52" s="1" t="s">
        <v>60</v>
      </c>
      <c r="B52" s="1">
        <v>509</v>
      </c>
      <c r="C52" s="1">
        <v>484</v>
      </c>
      <c r="D52" s="1">
        <v>605</v>
      </c>
      <c r="E52" s="4">
        <v>0.66900000000000004</v>
      </c>
      <c r="F52" s="1">
        <v>961</v>
      </c>
      <c r="G52" s="1">
        <v>99</v>
      </c>
      <c r="H52" s="1">
        <v>21398</v>
      </c>
      <c r="I52" s="1">
        <v>21398</v>
      </c>
      <c r="J52" s="1">
        <v>68</v>
      </c>
      <c r="K52" s="1">
        <v>13.3</v>
      </c>
      <c r="L52" s="3">
        <v>0.75</v>
      </c>
    </row>
    <row r="53" spans="1:12" ht="14" customHeight="1" x14ac:dyDescent="0.2">
      <c r="A53" s="1" t="s">
        <v>61</v>
      </c>
      <c r="B53" s="1">
        <v>530</v>
      </c>
      <c r="C53" s="1">
        <v>490</v>
      </c>
      <c r="D53" s="1">
        <v>1721</v>
      </c>
      <c r="E53" s="4">
        <v>0.621</v>
      </c>
      <c r="F53" s="1">
        <v>3128</v>
      </c>
      <c r="G53" s="1">
        <v>213</v>
      </c>
      <c r="H53" s="1">
        <v>20504</v>
      </c>
      <c r="I53" s="1">
        <v>20504</v>
      </c>
      <c r="J53" s="1">
        <v>71</v>
      </c>
      <c r="K53" s="1">
        <v>17.7</v>
      </c>
      <c r="L53" s="3">
        <v>0.73</v>
      </c>
    </row>
    <row r="54" spans="1:12" ht="14" customHeight="1" x14ac:dyDescent="0.2">
      <c r="A54" s="1" t="s">
        <v>62</v>
      </c>
      <c r="B54" s="1">
        <v>670</v>
      </c>
      <c r="C54" s="1">
        <v>600</v>
      </c>
      <c r="D54" s="1">
        <v>1860</v>
      </c>
      <c r="E54" s="4">
        <v>0.41199999999999998</v>
      </c>
      <c r="F54" s="1">
        <v>887</v>
      </c>
      <c r="G54" s="1">
        <v>1</v>
      </c>
      <c r="H54" s="1">
        <v>32000</v>
      </c>
      <c r="I54" s="1">
        <v>32000</v>
      </c>
      <c r="J54" s="1">
        <v>99</v>
      </c>
      <c r="K54" s="1">
        <v>9.6</v>
      </c>
      <c r="L54" s="3">
        <v>0.87</v>
      </c>
    </row>
    <row r="55" spans="1:12" ht="14" customHeight="1" x14ac:dyDescent="0.2">
      <c r="A55" s="1" t="s">
        <v>63</v>
      </c>
      <c r="B55" s="1">
        <v>590</v>
      </c>
      <c r="C55" s="1">
        <v>560</v>
      </c>
      <c r="D55" s="1">
        <v>1133</v>
      </c>
      <c r="E55" s="4">
        <v>0.55600000000000005</v>
      </c>
      <c r="F55" s="1">
        <v>750</v>
      </c>
      <c r="G55" s="1">
        <v>30</v>
      </c>
      <c r="H55" s="1">
        <v>32688</v>
      </c>
      <c r="I55" s="1">
        <v>32688</v>
      </c>
      <c r="J55" s="1">
        <v>100</v>
      </c>
      <c r="K55" s="1">
        <v>10.4</v>
      </c>
      <c r="L55" s="3">
        <v>0.73</v>
      </c>
    </row>
    <row r="56" spans="1:12" ht="14" customHeight="1" x14ac:dyDescent="0.2">
      <c r="A56" s="1" t="s">
        <v>64</v>
      </c>
      <c r="B56" s="1">
        <v>590</v>
      </c>
      <c r="C56" s="1">
        <v>560</v>
      </c>
      <c r="D56" s="1">
        <v>855</v>
      </c>
      <c r="E56" s="4">
        <v>0.73899999999999999</v>
      </c>
      <c r="F56" s="1">
        <v>569</v>
      </c>
      <c r="G56" s="1">
        <v>7</v>
      </c>
      <c r="H56" s="1">
        <v>32238</v>
      </c>
      <c r="I56" s="1">
        <v>32238</v>
      </c>
      <c r="J56" s="1">
        <v>95</v>
      </c>
      <c r="K56" s="1">
        <v>8.1999999999999993</v>
      </c>
      <c r="L56" s="3">
        <v>0.73</v>
      </c>
    </row>
    <row r="57" spans="1:12" ht="14" customHeight="1" x14ac:dyDescent="0.2">
      <c r="A57" s="1" t="s">
        <v>65</v>
      </c>
      <c r="B57" s="1">
        <v>532</v>
      </c>
      <c r="C57" s="1">
        <v>476</v>
      </c>
      <c r="D57" s="1">
        <v>346</v>
      </c>
      <c r="E57" s="4">
        <v>0.79200000000000004</v>
      </c>
      <c r="F57" s="1">
        <v>704</v>
      </c>
      <c r="G57" s="1">
        <v>63</v>
      </c>
      <c r="H57" s="1">
        <v>24900</v>
      </c>
      <c r="I57" s="1">
        <v>24900</v>
      </c>
      <c r="J57" s="1">
        <v>59</v>
      </c>
      <c r="K57" s="1">
        <v>10.5</v>
      </c>
      <c r="L57" s="3">
        <v>0.54</v>
      </c>
    </row>
    <row r="58" spans="1:12" ht="14" customHeight="1" x14ac:dyDescent="0.2">
      <c r="A58" s="1" t="s">
        <v>66</v>
      </c>
      <c r="B58" s="1">
        <v>585</v>
      </c>
      <c r="C58" s="1">
        <v>514</v>
      </c>
      <c r="D58" s="1">
        <v>3821</v>
      </c>
      <c r="E58" s="4">
        <v>0.53300000000000003</v>
      </c>
      <c r="F58" s="1">
        <v>2488</v>
      </c>
      <c r="G58" s="1">
        <v>625</v>
      </c>
      <c r="H58" s="1">
        <v>33200</v>
      </c>
      <c r="I58" s="1">
        <v>33200</v>
      </c>
      <c r="J58" s="1">
        <v>95</v>
      </c>
      <c r="K58" s="1">
        <v>11.6</v>
      </c>
      <c r="L58" s="3">
        <v>0.66</v>
      </c>
    </row>
    <row r="59" spans="1:12" ht="14" customHeight="1" x14ac:dyDescent="0.2">
      <c r="A59" s="1" t="s">
        <v>67</v>
      </c>
      <c r="B59" s="1">
        <v>466</v>
      </c>
      <c r="C59" s="1">
        <v>443</v>
      </c>
      <c r="D59" s="1">
        <v>385</v>
      </c>
      <c r="E59" s="4">
        <v>0.88300000000000001</v>
      </c>
      <c r="F59" s="1">
        <v>784</v>
      </c>
      <c r="G59" s="1">
        <v>127</v>
      </c>
      <c r="H59" s="1">
        <v>24520</v>
      </c>
      <c r="I59" s="1">
        <v>24520</v>
      </c>
      <c r="J59" s="1">
        <v>63</v>
      </c>
      <c r="K59" s="1">
        <v>18.600000000000001</v>
      </c>
      <c r="L59" s="3">
        <v>0.43</v>
      </c>
    </row>
    <row r="60" spans="1:12" ht="14" customHeight="1" x14ac:dyDescent="0.2">
      <c r="A60" s="1" t="s">
        <v>68</v>
      </c>
      <c r="B60" s="1">
        <v>514</v>
      </c>
      <c r="C60" s="1">
        <v>463</v>
      </c>
      <c r="D60" s="1">
        <v>2306</v>
      </c>
      <c r="E60" s="4">
        <v>0.746</v>
      </c>
      <c r="F60" s="1">
        <v>4309</v>
      </c>
      <c r="G60" s="1">
        <v>549</v>
      </c>
      <c r="H60" s="1">
        <v>28226</v>
      </c>
      <c r="I60" s="1">
        <v>28226</v>
      </c>
      <c r="J60" s="1">
        <v>86</v>
      </c>
      <c r="K60" s="1">
        <v>13.6</v>
      </c>
      <c r="L60" s="3">
        <v>0.62</v>
      </c>
    </row>
    <row r="61" spans="1:12" ht="14" customHeight="1" x14ac:dyDescent="0.2">
      <c r="A61" s="1" t="s">
        <v>69</v>
      </c>
      <c r="B61" s="1">
        <v>592</v>
      </c>
      <c r="C61" s="1">
        <v>498</v>
      </c>
      <c r="D61" s="1">
        <v>12229</v>
      </c>
      <c r="E61" s="4">
        <v>0.69499999999999995</v>
      </c>
      <c r="F61" s="1">
        <v>13259</v>
      </c>
      <c r="G61" s="1">
        <v>1429</v>
      </c>
      <c r="H61" s="1">
        <v>32230</v>
      </c>
      <c r="I61" s="1">
        <v>32230</v>
      </c>
      <c r="J61" s="1">
        <v>90</v>
      </c>
      <c r="K61" s="1">
        <v>11.4</v>
      </c>
      <c r="L61" s="3">
        <v>0.68</v>
      </c>
    </row>
    <row r="62" spans="1:12" ht="14" customHeight="1" x14ac:dyDescent="0.2">
      <c r="A62" s="1" t="s">
        <v>70</v>
      </c>
      <c r="B62" s="1">
        <v>485</v>
      </c>
      <c r="C62" s="1">
        <v>420</v>
      </c>
      <c r="D62" s="1">
        <v>688</v>
      </c>
      <c r="E62" s="4">
        <v>0.72199999999999998</v>
      </c>
      <c r="F62" s="1">
        <v>641</v>
      </c>
      <c r="G62" s="1">
        <v>101</v>
      </c>
      <c r="H62" s="1">
        <v>25800</v>
      </c>
      <c r="I62" s="1">
        <v>25800</v>
      </c>
      <c r="J62" s="1">
        <v>55</v>
      </c>
      <c r="K62" s="1">
        <v>13.1</v>
      </c>
      <c r="L62" s="3">
        <v>0.55000000000000004</v>
      </c>
    </row>
    <row r="63" spans="1:12" ht="14" customHeight="1" x14ac:dyDescent="0.2">
      <c r="A63" s="1" t="s">
        <v>71</v>
      </c>
      <c r="B63" s="1">
        <v>660</v>
      </c>
      <c r="C63" s="1">
        <v>620</v>
      </c>
      <c r="D63" s="1">
        <v>4772</v>
      </c>
      <c r="E63" s="4">
        <v>0.41299999999999998</v>
      </c>
      <c r="F63" s="1">
        <v>2714</v>
      </c>
      <c r="G63" s="1">
        <v>27</v>
      </c>
      <c r="H63" s="1">
        <v>34130</v>
      </c>
      <c r="I63" s="1">
        <v>34130</v>
      </c>
      <c r="J63" s="1">
        <v>90</v>
      </c>
      <c r="K63" s="1">
        <v>12.1</v>
      </c>
      <c r="L63" s="3">
        <v>0.92</v>
      </c>
    </row>
    <row r="64" spans="1:12" ht="14" customHeight="1" x14ac:dyDescent="0.2">
      <c r="A64" s="1" t="s">
        <v>72</v>
      </c>
      <c r="B64" s="1">
        <v>470</v>
      </c>
      <c r="C64" s="1">
        <v>480</v>
      </c>
      <c r="D64" s="1">
        <v>247</v>
      </c>
      <c r="E64" s="4">
        <v>0.76500000000000001</v>
      </c>
      <c r="F64" s="1">
        <v>309</v>
      </c>
      <c r="G64" s="1">
        <v>639</v>
      </c>
      <c r="H64" s="1">
        <v>26412</v>
      </c>
      <c r="I64" s="1">
        <v>26412</v>
      </c>
      <c r="J64" s="1">
        <v>89</v>
      </c>
      <c r="K64" s="1">
        <v>8.3000000000000007</v>
      </c>
      <c r="L64" s="3">
        <v>0.96</v>
      </c>
    </row>
    <row r="65" spans="1:12" ht="14" customHeight="1" x14ac:dyDescent="0.2">
      <c r="A65" s="1" t="s">
        <v>73</v>
      </c>
      <c r="B65" s="1">
        <v>408</v>
      </c>
      <c r="C65" s="1">
        <v>367</v>
      </c>
      <c r="D65" s="1">
        <v>1646</v>
      </c>
      <c r="E65" s="4">
        <v>0.69899999999999995</v>
      </c>
      <c r="F65" s="1">
        <v>2128</v>
      </c>
      <c r="G65" s="1">
        <v>82</v>
      </c>
      <c r="H65" s="1">
        <v>20188</v>
      </c>
      <c r="I65" s="1">
        <v>20188</v>
      </c>
      <c r="J65" s="1">
        <v>48</v>
      </c>
      <c r="K65" s="1">
        <v>13.8</v>
      </c>
      <c r="L65" s="3">
        <v>0.57999999999999996</v>
      </c>
    </row>
    <row r="66" spans="1:12" ht="14" customHeight="1" x14ac:dyDescent="0.2">
      <c r="A66" s="1" t="s">
        <v>74</v>
      </c>
      <c r="B66" s="1">
        <v>544</v>
      </c>
      <c r="C66" s="1">
        <v>461</v>
      </c>
      <c r="D66" s="1">
        <v>3151</v>
      </c>
      <c r="E66" s="4">
        <v>0.82</v>
      </c>
      <c r="F66" s="1">
        <v>4772</v>
      </c>
      <c r="G66" s="1">
        <v>856</v>
      </c>
      <c r="H66" s="1">
        <v>22800</v>
      </c>
      <c r="I66" s="1">
        <v>22800</v>
      </c>
      <c r="J66" s="1">
        <v>37</v>
      </c>
      <c r="K66" s="1">
        <v>16.5</v>
      </c>
      <c r="L66" s="3">
        <v>0.44</v>
      </c>
    </row>
    <row r="67" spans="1:12" ht="14" customHeight="1" x14ac:dyDescent="0.2">
      <c r="A67" s="1" t="s">
        <v>75</v>
      </c>
      <c r="B67" s="1">
        <v>505</v>
      </c>
      <c r="C67" s="1">
        <v>478</v>
      </c>
      <c r="D67" s="1">
        <v>1381</v>
      </c>
      <c r="E67" s="4">
        <v>0.753</v>
      </c>
      <c r="F67" s="1">
        <v>1506</v>
      </c>
      <c r="G67" s="1">
        <v>970</v>
      </c>
      <c r="H67" s="1">
        <v>23025</v>
      </c>
      <c r="I67" s="1">
        <v>23025</v>
      </c>
      <c r="J67" s="1">
        <v>65</v>
      </c>
      <c r="K67" s="1">
        <v>17.399999999999999</v>
      </c>
      <c r="L67" s="3">
        <v>0.68</v>
      </c>
    </row>
    <row r="68" spans="1:12" ht="14" customHeight="1" x14ac:dyDescent="0.2">
      <c r="A68" s="1" t="s">
        <v>76</v>
      </c>
      <c r="B68" s="1">
        <v>557</v>
      </c>
      <c r="C68" s="1">
        <v>502</v>
      </c>
      <c r="D68" s="1">
        <v>1777</v>
      </c>
      <c r="E68" s="4">
        <v>0.64800000000000002</v>
      </c>
      <c r="F68" s="1">
        <v>1668</v>
      </c>
      <c r="G68" s="1">
        <v>1052</v>
      </c>
      <c r="H68" s="1">
        <v>31425</v>
      </c>
      <c r="I68" s="1">
        <v>31425</v>
      </c>
      <c r="J68" s="1">
        <v>81</v>
      </c>
      <c r="K68" s="1">
        <v>13.3</v>
      </c>
      <c r="L68" s="3">
        <v>0.9</v>
      </c>
    </row>
    <row r="69" spans="1:12" ht="14" customHeight="1" x14ac:dyDescent="0.2">
      <c r="A69" s="1" t="s">
        <v>77</v>
      </c>
      <c r="B69" s="1">
        <v>650</v>
      </c>
      <c r="C69" s="1">
        <v>570</v>
      </c>
      <c r="D69" s="1">
        <v>8506</v>
      </c>
      <c r="E69" s="4">
        <v>0.49</v>
      </c>
      <c r="F69" s="1">
        <v>5544</v>
      </c>
      <c r="G69" s="1">
        <v>192</v>
      </c>
      <c r="H69" s="1">
        <v>32600</v>
      </c>
      <c r="I69" s="1">
        <v>32600</v>
      </c>
      <c r="J69" s="1">
        <v>97</v>
      </c>
      <c r="K69" s="1">
        <v>5</v>
      </c>
      <c r="L69" s="3">
        <v>0.96</v>
      </c>
    </row>
    <row r="70" spans="1:12" ht="14" customHeight="1" x14ac:dyDescent="0.2">
      <c r="A70" s="1" t="s">
        <v>78</v>
      </c>
      <c r="B70" s="1">
        <v>538</v>
      </c>
      <c r="C70" s="1">
        <v>488</v>
      </c>
      <c r="D70" s="1">
        <v>3708</v>
      </c>
      <c r="E70" s="4">
        <v>0.45300000000000001</v>
      </c>
      <c r="F70" s="1">
        <v>2852</v>
      </c>
      <c r="G70" s="1">
        <v>153</v>
      </c>
      <c r="H70" s="1">
        <v>22050</v>
      </c>
      <c r="I70" s="1">
        <v>22050</v>
      </c>
      <c r="J70" s="1">
        <v>71</v>
      </c>
      <c r="K70" s="1">
        <v>17.8</v>
      </c>
      <c r="L70" s="3">
        <v>0.83</v>
      </c>
    </row>
    <row r="71" spans="1:12" ht="14" customHeight="1" x14ac:dyDescent="0.2">
      <c r="A71" s="1" t="s">
        <v>79</v>
      </c>
      <c r="B71" s="1">
        <v>515</v>
      </c>
      <c r="C71" s="1">
        <v>487</v>
      </c>
      <c r="D71" s="1">
        <v>3713</v>
      </c>
      <c r="E71" s="4">
        <v>0.33300000000000002</v>
      </c>
      <c r="F71" s="1">
        <v>1971</v>
      </c>
      <c r="G71" s="1">
        <v>107</v>
      </c>
      <c r="H71" s="1">
        <v>22000</v>
      </c>
      <c r="I71" s="1">
        <v>22000</v>
      </c>
      <c r="J71" s="1">
        <v>73</v>
      </c>
      <c r="K71" s="1">
        <v>12.5</v>
      </c>
      <c r="L71" s="3">
        <v>0.65</v>
      </c>
    </row>
    <row r="72" spans="1:12" ht="14" customHeight="1" x14ac:dyDescent="0.2">
      <c r="A72" s="1" t="s">
        <v>80</v>
      </c>
      <c r="B72" s="1">
        <v>536</v>
      </c>
      <c r="C72" s="1">
        <v>512</v>
      </c>
      <c r="D72" s="1">
        <v>407</v>
      </c>
      <c r="E72" s="4">
        <v>0.77900000000000003</v>
      </c>
      <c r="F72" s="1">
        <v>468</v>
      </c>
      <c r="G72" s="1">
        <v>31</v>
      </c>
      <c r="H72" s="1">
        <v>24700</v>
      </c>
      <c r="I72" s="1">
        <v>24700</v>
      </c>
      <c r="J72" s="1">
        <v>73</v>
      </c>
      <c r="K72" s="1">
        <v>19</v>
      </c>
      <c r="L72" s="3">
        <v>0.56000000000000005</v>
      </c>
    </row>
    <row r="73" spans="1:12" ht="14" customHeight="1" x14ac:dyDescent="0.2">
      <c r="A73" s="1" t="s">
        <v>81</v>
      </c>
      <c r="B73" s="1">
        <v>515</v>
      </c>
      <c r="C73" s="1">
        <v>490</v>
      </c>
      <c r="D73" s="1">
        <v>1109</v>
      </c>
      <c r="E73" s="4">
        <v>0.62</v>
      </c>
      <c r="F73" s="1">
        <v>1897</v>
      </c>
      <c r="G73" s="1">
        <v>208</v>
      </c>
      <c r="H73" s="1">
        <v>23325</v>
      </c>
      <c r="I73" s="1">
        <v>23325</v>
      </c>
      <c r="J73" s="1">
        <v>14</v>
      </c>
      <c r="K73" s="1">
        <v>16.100000000000001</v>
      </c>
      <c r="L73" s="3">
        <v>0.55000000000000004</v>
      </c>
    </row>
    <row r="74" spans="1:12" ht="14" customHeight="1" x14ac:dyDescent="0.2">
      <c r="A74" s="1" t="s">
        <v>82</v>
      </c>
      <c r="B74" s="1">
        <v>560</v>
      </c>
      <c r="C74" s="1">
        <v>500</v>
      </c>
      <c r="D74" s="1">
        <v>1006</v>
      </c>
      <c r="E74" s="4">
        <v>0.73799999999999999</v>
      </c>
      <c r="F74" s="1">
        <v>1127</v>
      </c>
      <c r="G74" s="1">
        <v>205</v>
      </c>
      <c r="H74" s="1">
        <v>28925</v>
      </c>
      <c r="I74" s="1">
        <v>28925</v>
      </c>
      <c r="J74" s="1">
        <v>73</v>
      </c>
      <c r="K74" s="1">
        <v>12.7</v>
      </c>
      <c r="L74" s="3">
        <v>0.67</v>
      </c>
    </row>
    <row r="75" spans="1:12" ht="14" customHeight="1" x14ac:dyDescent="0.2">
      <c r="A75" s="1" t="s">
        <v>83</v>
      </c>
      <c r="B75" s="1">
        <v>560</v>
      </c>
      <c r="C75" s="1">
        <v>510</v>
      </c>
      <c r="D75" s="1">
        <v>1538</v>
      </c>
      <c r="E75" s="4">
        <v>0.86399999999999999</v>
      </c>
      <c r="F75" s="1">
        <v>1140</v>
      </c>
      <c r="G75" s="1">
        <v>10</v>
      </c>
      <c r="H75" s="1">
        <v>30248</v>
      </c>
      <c r="I75" s="1">
        <v>30248</v>
      </c>
      <c r="J75" s="1">
        <v>71</v>
      </c>
      <c r="K75" s="1">
        <v>12.2</v>
      </c>
      <c r="L75" s="3">
        <v>0.64</v>
      </c>
    </row>
    <row r="76" spans="1:12" ht="14" customHeight="1" x14ac:dyDescent="0.2">
      <c r="A76" s="1" t="s">
        <v>84</v>
      </c>
      <c r="B76" s="1">
        <v>502</v>
      </c>
      <c r="C76" s="1">
        <v>447</v>
      </c>
      <c r="D76" s="1">
        <v>555</v>
      </c>
      <c r="E76" s="4">
        <v>0.746</v>
      </c>
      <c r="F76" s="1">
        <v>996</v>
      </c>
      <c r="G76" s="1">
        <v>2281</v>
      </c>
      <c r="H76" s="1">
        <v>24100</v>
      </c>
      <c r="I76" s="1">
        <v>24100</v>
      </c>
      <c r="J76" s="1">
        <v>51</v>
      </c>
      <c r="K76" s="1">
        <v>23.6</v>
      </c>
      <c r="L76" s="3">
        <v>0.47</v>
      </c>
    </row>
    <row r="77" spans="1:12" ht="14" customHeight="1" x14ac:dyDescent="0.2">
      <c r="A77" s="1" t="s">
        <v>85</v>
      </c>
      <c r="B77" s="1">
        <v>642</v>
      </c>
      <c r="C77" s="1">
        <v>602</v>
      </c>
      <c r="D77" s="1">
        <v>2039</v>
      </c>
      <c r="E77" s="4">
        <v>0.68100000000000005</v>
      </c>
      <c r="F77" s="1">
        <v>1333</v>
      </c>
      <c r="G77" s="1">
        <v>30</v>
      </c>
      <c r="H77" s="1">
        <v>30688</v>
      </c>
      <c r="I77" s="1">
        <v>30688</v>
      </c>
      <c r="J77" s="1">
        <v>88</v>
      </c>
      <c r="K77" s="1">
        <v>9.5</v>
      </c>
      <c r="L77" s="3">
        <v>0.83</v>
      </c>
    </row>
    <row r="78" spans="1:12" ht="14" customHeight="1" x14ac:dyDescent="0.2">
      <c r="A78" s="1" t="s">
        <v>86</v>
      </c>
      <c r="B78" s="1">
        <v>480</v>
      </c>
      <c r="C78" s="1">
        <v>430</v>
      </c>
      <c r="D78" s="1">
        <v>576</v>
      </c>
      <c r="E78" s="4">
        <v>0.96899999999999997</v>
      </c>
      <c r="F78" s="1">
        <v>662</v>
      </c>
      <c r="G78" s="1">
        <v>131</v>
      </c>
      <c r="H78" s="1">
        <v>25430</v>
      </c>
      <c r="I78" s="1">
        <v>25430</v>
      </c>
      <c r="J78" s="1">
        <v>85</v>
      </c>
      <c r="K78" s="1">
        <v>16.5</v>
      </c>
      <c r="L78" s="3">
        <v>0.45</v>
      </c>
    </row>
    <row r="79" spans="1:12" ht="14" customHeight="1" x14ac:dyDescent="0.2">
      <c r="A79" s="1" t="s">
        <v>87</v>
      </c>
      <c r="B79" s="1">
        <v>557</v>
      </c>
      <c r="C79" s="1">
        <v>478</v>
      </c>
      <c r="D79" s="1">
        <v>1231</v>
      </c>
      <c r="E79" s="4">
        <v>0.872</v>
      </c>
      <c r="F79" s="1">
        <v>1295</v>
      </c>
      <c r="G79" s="1">
        <v>105</v>
      </c>
      <c r="H79" s="1">
        <v>26600</v>
      </c>
      <c r="I79" s="1">
        <v>26600</v>
      </c>
      <c r="J79" s="1">
        <v>66</v>
      </c>
      <c r="K79" s="1">
        <v>12.4</v>
      </c>
      <c r="L79" s="3">
        <v>0.67</v>
      </c>
    </row>
    <row r="80" spans="1:12" ht="14" customHeight="1" x14ac:dyDescent="0.2">
      <c r="A80" s="1" t="s">
        <v>88</v>
      </c>
      <c r="B80" s="1">
        <v>524</v>
      </c>
      <c r="C80" s="1">
        <v>487</v>
      </c>
      <c r="D80" s="1">
        <v>587</v>
      </c>
      <c r="E80" s="4">
        <v>0.81599999999999995</v>
      </c>
      <c r="F80" s="1">
        <v>678</v>
      </c>
      <c r="G80" s="1">
        <v>41</v>
      </c>
      <c r="H80" s="1">
        <v>28500</v>
      </c>
      <c r="I80" s="1">
        <v>28500</v>
      </c>
      <c r="J80" s="1">
        <v>67</v>
      </c>
      <c r="K80" s="1">
        <v>9.4</v>
      </c>
      <c r="L80" s="3">
        <v>0.55000000000000004</v>
      </c>
    </row>
    <row r="81" spans="1:12" ht="14" customHeight="1" x14ac:dyDescent="0.2">
      <c r="A81" s="1" t="s">
        <v>89</v>
      </c>
      <c r="B81" s="1">
        <v>617</v>
      </c>
      <c r="C81" s="1">
        <v>534</v>
      </c>
      <c r="D81" s="1">
        <v>3050</v>
      </c>
      <c r="E81" s="4">
        <v>0.44</v>
      </c>
      <c r="F81" s="1">
        <v>1818</v>
      </c>
      <c r="G81" s="1">
        <v>23</v>
      </c>
      <c r="H81" s="1">
        <v>29360</v>
      </c>
      <c r="I81" s="1">
        <v>29360</v>
      </c>
      <c r="J81" s="1">
        <v>77</v>
      </c>
      <c r="K81" s="1">
        <v>12.9</v>
      </c>
      <c r="L81" s="3">
        <v>0.83</v>
      </c>
    </row>
    <row r="82" spans="1:12" ht="14" customHeight="1" x14ac:dyDescent="0.2">
      <c r="A82" s="1" t="s">
        <v>90</v>
      </c>
      <c r="B82" s="1">
        <v>570</v>
      </c>
      <c r="C82" s="1">
        <v>530</v>
      </c>
      <c r="D82" s="1">
        <v>1040</v>
      </c>
      <c r="E82" s="4">
        <v>0.81299999999999994</v>
      </c>
      <c r="F82" s="1">
        <v>967</v>
      </c>
      <c r="G82" s="1">
        <v>24</v>
      </c>
      <c r="H82" s="1">
        <v>30747</v>
      </c>
      <c r="I82" s="1">
        <v>30747</v>
      </c>
      <c r="J82" s="1">
        <v>88</v>
      </c>
      <c r="K82" s="1">
        <v>12.7</v>
      </c>
      <c r="L82" s="3">
        <v>0.79</v>
      </c>
    </row>
    <row r="83" spans="1:12" ht="14" customHeight="1" x14ac:dyDescent="0.2">
      <c r="A83" s="1" t="s">
        <v>91</v>
      </c>
      <c r="B83" s="1">
        <v>470</v>
      </c>
      <c r="C83" s="1">
        <v>470</v>
      </c>
      <c r="D83" s="1">
        <v>601</v>
      </c>
      <c r="E83" s="4">
        <v>0.83699999999999997</v>
      </c>
      <c r="F83" s="1">
        <v>671</v>
      </c>
      <c r="G83" s="1">
        <v>11</v>
      </c>
      <c r="H83" s="1">
        <v>28000</v>
      </c>
      <c r="I83" s="1">
        <v>28000</v>
      </c>
      <c r="J83" s="1">
        <v>91</v>
      </c>
      <c r="K83" s="1">
        <v>11.6</v>
      </c>
      <c r="L83" s="3">
        <v>0.56000000000000005</v>
      </c>
    </row>
    <row r="84" spans="1:12" ht="14" customHeight="1" x14ac:dyDescent="0.2">
      <c r="A84" s="1" t="s">
        <v>92</v>
      </c>
      <c r="B84" s="1">
        <v>528</v>
      </c>
      <c r="C84" s="1">
        <v>496</v>
      </c>
      <c r="D84" s="1">
        <v>1025</v>
      </c>
      <c r="E84" s="4">
        <v>0.69</v>
      </c>
      <c r="F84" s="1">
        <v>1070</v>
      </c>
      <c r="G84" s="1">
        <v>72</v>
      </c>
      <c r="H84" s="1">
        <v>25100</v>
      </c>
      <c r="I84" s="1">
        <v>25100</v>
      </c>
      <c r="J84" s="1">
        <v>69</v>
      </c>
      <c r="K84" s="1">
        <v>16.3</v>
      </c>
      <c r="L84" s="3">
        <v>0.8</v>
      </c>
    </row>
    <row r="85" spans="1:12" ht="14" customHeight="1" x14ac:dyDescent="0.2">
      <c r="A85" s="1" t="s">
        <v>93</v>
      </c>
      <c r="B85" s="1">
        <v>462</v>
      </c>
      <c r="C85" s="1">
        <v>423</v>
      </c>
      <c r="D85" s="1">
        <v>1216</v>
      </c>
      <c r="E85" s="4">
        <v>0.747</v>
      </c>
      <c r="F85" s="1">
        <v>1819</v>
      </c>
      <c r="G85" s="1">
        <v>281</v>
      </c>
      <c r="H85" s="1">
        <v>25100</v>
      </c>
      <c r="I85" s="1">
        <v>25100</v>
      </c>
      <c r="J85" s="1">
        <v>48</v>
      </c>
      <c r="K85" s="1">
        <v>12.1</v>
      </c>
      <c r="L85" s="3">
        <v>0.59</v>
      </c>
    </row>
    <row r="86" spans="1:12" ht="14" customHeight="1" x14ac:dyDescent="0.2">
      <c r="A86" s="1" t="s">
        <v>94</v>
      </c>
      <c r="B86" s="1">
        <v>544</v>
      </c>
      <c r="C86" s="1">
        <v>484</v>
      </c>
      <c r="D86" s="1">
        <v>2362</v>
      </c>
      <c r="E86" s="4">
        <v>0.86199999999999999</v>
      </c>
      <c r="F86" s="1">
        <v>2607</v>
      </c>
      <c r="G86" s="1">
        <v>148</v>
      </c>
      <c r="H86" s="1">
        <v>28130</v>
      </c>
      <c r="I86" s="1">
        <v>28130</v>
      </c>
      <c r="J86" s="1">
        <v>77</v>
      </c>
      <c r="K86" s="1">
        <v>10.9</v>
      </c>
      <c r="L86" s="3">
        <v>0.83</v>
      </c>
    </row>
    <row r="87" spans="1:12" ht="14" customHeight="1" x14ac:dyDescent="0.2">
      <c r="A87" s="1" t="s">
        <v>95</v>
      </c>
      <c r="B87" s="1">
        <v>570</v>
      </c>
      <c r="C87" s="1">
        <v>550</v>
      </c>
      <c r="D87" s="1">
        <v>1358</v>
      </c>
      <c r="E87" s="4">
        <v>0.74099999999999999</v>
      </c>
      <c r="F87" s="1">
        <v>1028</v>
      </c>
      <c r="G87" s="1">
        <v>13</v>
      </c>
      <c r="H87" s="1">
        <v>30036</v>
      </c>
      <c r="I87" s="1">
        <v>30036</v>
      </c>
      <c r="J87" s="1">
        <v>90</v>
      </c>
      <c r="K87" s="1">
        <v>10.6</v>
      </c>
      <c r="L87" s="3">
        <v>0.78</v>
      </c>
    </row>
    <row r="88" spans="1:12" ht="14" customHeight="1" x14ac:dyDescent="0.2">
      <c r="A88" s="1" t="s">
        <v>96</v>
      </c>
      <c r="B88" s="1">
        <v>532</v>
      </c>
      <c r="C88" s="1">
        <v>481</v>
      </c>
      <c r="D88" s="1">
        <v>804</v>
      </c>
      <c r="E88" s="4">
        <v>0.78600000000000003</v>
      </c>
      <c r="F88" s="1">
        <v>840</v>
      </c>
      <c r="G88" s="1">
        <v>68</v>
      </c>
      <c r="H88" s="1">
        <v>25390</v>
      </c>
      <c r="I88" s="1">
        <v>25390</v>
      </c>
      <c r="J88" s="1">
        <v>54</v>
      </c>
      <c r="K88" s="1">
        <v>12.5</v>
      </c>
      <c r="L88" s="3">
        <v>0.6</v>
      </c>
    </row>
    <row r="89" spans="1:12" ht="14" customHeight="1" x14ac:dyDescent="0.2">
      <c r="A89" s="1" t="s">
        <v>97</v>
      </c>
      <c r="B89" s="1">
        <v>541</v>
      </c>
      <c r="C89" s="1">
        <v>486</v>
      </c>
      <c r="D89" s="1">
        <v>1006</v>
      </c>
      <c r="E89" s="4">
        <v>0.83199999999999996</v>
      </c>
      <c r="F89" s="1">
        <v>1024</v>
      </c>
      <c r="G89" s="1">
        <v>15</v>
      </c>
      <c r="H89" s="1">
        <v>23200</v>
      </c>
      <c r="I89" s="1">
        <v>23200</v>
      </c>
      <c r="J89" s="1">
        <v>84</v>
      </c>
      <c r="K89" s="1">
        <v>10.6</v>
      </c>
      <c r="L89" s="3">
        <v>0.64</v>
      </c>
    </row>
    <row r="90" spans="1:12" ht="14" customHeight="1" x14ac:dyDescent="0.2">
      <c r="A90" s="1" t="s">
        <v>98</v>
      </c>
      <c r="B90" s="1">
        <v>508</v>
      </c>
      <c r="C90" s="1">
        <v>442</v>
      </c>
      <c r="D90" s="1">
        <v>1004</v>
      </c>
      <c r="E90" s="4">
        <v>0.79900000000000004</v>
      </c>
      <c r="F90" s="1">
        <v>909</v>
      </c>
      <c r="G90" s="1">
        <v>51</v>
      </c>
      <c r="H90" s="1">
        <v>25440</v>
      </c>
      <c r="I90" s="1">
        <v>25440</v>
      </c>
      <c r="J90" s="1">
        <v>63</v>
      </c>
      <c r="K90" s="1">
        <v>11.8</v>
      </c>
      <c r="L90" s="3">
        <v>0.64</v>
      </c>
    </row>
    <row r="91" spans="1:12" ht="14" customHeight="1" x14ac:dyDescent="0.2">
      <c r="A91" s="1" t="s">
        <v>99</v>
      </c>
      <c r="B91" s="1">
        <v>422</v>
      </c>
      <c r="C91" s="1">
        <v>392</v>
      </c>
      <c r="D91" s="1">
        <v>150</v>
      </c>
      <c r="E91" s="4">
        <v>0.86699999999999999</v>
      </c>
      <c r="F91" s="1">
        <v>341</v>
      </c>
      <c r="G91" s="1">
        <v>768</v>
      </c>
      <c r="H91" s="1">
        <v>25300</v>
      </c>
      <c r="I91" s="1">
        <v>25300</v>
      </c>
      <c r="J91" s="1">
        <v>44</v>
      </c>
      <c r="K91" s="1">
        <v>10.199999999999999</v>
      </c>
      <c r="L91" s="3">
        <v>0.75</v>
      </c>
    </row>
    <row r="92" spans="1:12" ht="14" customHeight="1" x14ac:dyDescent="0.2">
      <c r="A92" s="1" t="s">
        <v>100</v>
      </c>
      <c r="B92" s="1">
        <v>538</v>
      </c>
      <c r="C92" s="1">
        <v>488</v>
      </c>
      <c r="D92" s="1">
        <v>888</v>
      </c>
      <c r="E92" s="4">
        <v>0.82699999999999996</v>
      </c>
      <c r="F92" s="1">
        <v>1433</v>
      </c>
      <c r="G92" s="1">
        <v>27</v>
      </c>
      <c r="H92" s="1">
        <v>27730</v>
      </c>
      <c r="I92" s="1">
        <v>27730</v>
      </c>
      <c r="J92" s="1">
        <v>74</v>
      </c>
      <c r="K92" s="1">
        <v>9.9</v>
      </c>
      <c r="L92" s="3">
        <v>0.98</v>
      </c>
    </row>
    <row r="93" spans="1:12" ht="14" customHeight="1" x14ac:dyDescent="0.2">
      <c r="A93" s="1" t="s">
        <v>101</v>
      </c>
      <c r="B93" s="1">
        <v>579</v>
      </c>
      <c r="C93" s="1">
        <v>513</v>
      </c>
      <c r="D93" s="1">
        <v>1769</v>
      </c>
      <c r="E93" s="4">
        <v>0.61699999999999999</v>
      </c>
      <c r="F93" s="1">
        <v>1757</v>
      </c>
      <c r="G93" s="1">
        <v>81</v>
      </c>
      <c r="H93" s="1">
        <v>25965</v>
      </c>
      <c r="I93" s="1">
        <v>25965</v>
      </c>
      <c r="J93" s="1">
        <v>60</v>
      </c>
      <c r="K93" s="1">
        <v>14.2</v>
      </c>
      <c r="L93" s="3">
        <v>0.98</v>
      </c>
    </row>
    <row r="94" spans="1:12" ht="14" customHeight="1" x14ac:dyDescent="0.2">
      <c r="A94" s="1" t="s">
        <v>102</v>
      </c>
      <c r="B94" s="1">
        <v>515</v>
      </c>
      <c r="C94" s="1">
        <v>474</v>
      </c>
      <c r="D94" s="1">
        <v>807</v>
      </c>
      <c r="E94" s="4">
        <v>0.876</v>
      </c>
      <c r="F94" s="1">
        <v>1198</v>
      </c>
      <c r="G94" s="1">
        <v>605</v>
      </c>
      <c r="H94" s="1">
        <v>23840</v>
      </c>
      <c r="I94" s="1">
        <v>23840</v>
      </c>
      <c r="J94" s="1">
        <v>74</v>
      </c>
      <c r="K94" s="1">
        <v>13.1</v>
      </c>
      <c r="L94" s="3">
        <v>0.84</v>
      </c>
    </row>
    <row r="95" spans="1:12" ht="14" customHeight="1" x14ac:dyDescent="0.2">
      <c r="A95" s="1" t="s">
        <v>103</v>
      </c>
      <c r="B95" s="1">
        <v>575</v>
      </c>
      <c r="C95" s="1">
        <v>534</v>
      </c>
      <c r="D95" s="1">
        <v>1013</v>
      </c>
      <c r="E95" s="4">
        <v>0.877</v>
      </c>
      <c r="F95" s="1">
        <v>943</v>
      </c>
      <c r="G95" s="1">
        <v>7</v>
      </c>
      <c r="H95" s="1">
        <v>26850</v>
      </c>
      <c r="I95" s="1">
        <v>26850</v>
      </c>
      <c r="J95" s="1">
        <v>95</v>
      </c>
      <c r="K95" s="1">
        <v>11.4</v>
      </c>
      <c r="L95" s="3">
        <v>0.74</v>
      </c>
    </row>
    <row r="96" spans="1:12" ht="14" customHeight="1" x14ac:dyDescent="0.2">
      <c r="A96" s="1" t="s">
        <v>104</v>
      </c>
      <c r="B96" s="1">
        <v>450</v>
      </c>
      <c r="C96" s="1">
        <v>410</v>
      </c>
      <c r="D96" s="1">
        <v>584</v>
      </c>
      <c r="E96" s="4">
        <v>0.85099999999999998</v>
      </c>
      <c r="F96" s="1">
        <v>662</v>
      </c>
      <c r="G96" s="1">
        <v>121</v>
      </c>
      <c r="H96" s="1">
        <v>23000</v>
      </c>
      <c r="I96" s="1">
        <v>23000</v>
      </c>
      <c r="J96" s="1">
        <v>57</v>
      </c>
      <c r="K96" s="1">
        <v>11.3</v>
      </c>
      <c r="L96" s="3">
        <v>0.62</v>
      </c>
    </row>
    <row r="97" spans="1:12" ht="14" customHeight="1" x14ac:dyDescent="0.2">
      <c r="A97" s="1" t="s">
        <v>105</v>
      </c>
      <c r="B97" s="1">
        <v>564</v>
      </c>
      <c r="C97" s="1">
        <v>532</v>
      </c>
      <c r="D97" s="1">
        <v>759</v>
      </c>
      <c r="E97" s="4">
        <v>0.96</v>
      </c>
      <c r="F97" s="1">
        <v>867</v>
      </c>
      <c r="G97" s="1">
        <v>51</v>
      </c>
      <c r="H97" s="1">
        <v>25900</v>
      </c>
      <c r="I97" s="1">
        <v>25900</v>
      </c>
      <c r="J97" s="1">
        <v>81</v>
      </c>
      <c r="K97" s="1">
        <v>12.1</v>
      </c>
      <c r="L97" s="3">
        <v>0.7</v>
      </c>
    </row>
    <row r="98" spans="1:12" ht="14" customHeight="1" x14ac:dyDescent="0.2">
      <c r="A98" s="1" t="s">
        <v>106</v>
      </c>
      <c r="B98" s="1">
        <v>550</v>
      </c>
      <c r="C98" s="1">
        <v>500</v>
      </c>
      <c r="D98" s="1">
        <v>495</v>
      </c>
      <c r="E98" s="4">
        <v>0.877</v>
      </c>
      <c r="F98" s="1">
        <v>775</v>
      </c>
      <c r="G98" s="1">
        <v>44</v>
      </c>
      <c r="H98" s="1">
        <v>23950</v>
      </c>
      <c r="I98" s="1">
        <v>23950</v>
      </c>
      <c r="J98" s="1">
        <v>86</v>
      </c>
      <c r="K98" s="1">
        <v>11.3</v>
      </c>
      <c r="L98" s="3">
        <v>0.66</v>
      </c>
    </row>
    <row r="99" spans="1:12" ht="14" customHeight="1" x14ac:dyDescent="0.2">
      <c r="A99" s="1" t="s">
        <v>107</v>
      </c>
      <c r="B99" s="1">
        <v>540</v>
      </c>
      <c r="C99" s="1">
        <v>510</v>
      </c>
      <c r="D99" s="1">
        <v>1891</v>
      </c>
      <c r="E99" s="4">
        <v>0.89800000000000002</v>
      </c>
      <c r="F99" s="1">
        <v>2740</v>
      </c>
      <c r="G99" s="1">
        <v>761</v>
      </c>
      <c r="H99" s="1">
        <v>26100</v>
      </c>
      <c r="I99" s="1">
        <v>26100</v>
      </c>
      <c r="J99" s="1">
        <v>77</v>
      </c>
      <c r="K99" s="1">
        <v>11.7</v>
      </c>
      <c r="L99" s="3">
        <v>0.53</v>
      </c>
    </row>
    <row r="100" spans="1:12" ht="14" customHeight="1" x14ac:dyDescent="0.2">
      <c r="A100" s="1" t="s">
        <v>108</v>
      </c>
      <c r="B100" s="1">
        <v>685</v>
      </c>
      <c r="C100" s="1">
        <v>639</v>
      </c>
      <c r="D100" s="1">
        <v>4302</v>
      </c>
      <c r="E100" s="4">
        <v>0.23100000000000001</v>
      </c>
      <c r="F100" s="1">
        <v>1593</v>
      </c>
      <c r="G100" s="1">
        <v>5</v>
      </c>
      <c r="H100" s="1">
        <v>34760</v>
      </c>
      <c r="I100" s="1">
        <v>34760</v>
      </c>
      <c r="J100" s="1">
        <v>93</v>
      </c>
      <c r="K100" s="1">
        <v>8.4</v>
      </c>
      <c r="L100" s="3">
        <v>1</v>
      </c>
    </row>
    <row r="101" spans="1:12" ht="14" customHeight="1" x14ac:dyDescent="0.2">
      <c r="A101" s="1" t="s">
        <v>109</v>
      </c>
      <c r="B101" s="1">
        <v>600</v>
      </c>
      <c r="C101" s="1">
        <v>550</v>
      </c>
      <c r="D101" s="1">
        <v>20192</v>
      </c>
      <c r="E101" s="4">
        <v>0.64400000000000002</v>
      </c>
      <c r="F101" s="1">
        <v>14971</v>
      </c>
      <c r="G101" s="1">
        <v>3113</v>
      </c>
      <c r="H101" s="1">
        <v>33420</v>
      </c>
      <c r="I101" s="1">
        <v>33420</v>
      </c>
      <c r="J101" s="1">
        <v>80</v>
      </c>
      <c r="K101" s="1">
        <v>11.9</v>
      </c>
      <c r="L101" s="3">
        <v>0.72</v>
      </c>
    </row>
    <row r="102" spans="1:12" ht="14" customHeight="1" x14ac:dyDescent="0.2">
      <c r="A102" s="1" t="s">
        <v>110</v>
      </c>
      <c r="B102" s="1">
        <v>742</v>
      </c>
      <c r="C102" s="1">
        <v>639</v>
      </c>
      <c r="D102" s="1">
        <v>6411</v>
      </c>
      <c r="E102" s="4">
        <v>0.33400000000000002</v>
      </c>
      <c r="F102" s="1">
        <v>4481</v>
      </c>
      <c r="G102" s="1">
        <v>28</v>
      </c>
      <c r="H102" s="1">
        <v>35100</v>
      </c>
      <c r="I102" s="1">
        <v>35100</v>
      </c>
      <c r="J102" s="1">
        <v>99</v>
      </c>
      <c r="K102" s="1">
        <v>10.1</v>
      </c>
      <c r="L102" s="3">
        <v>0.94</v>
      </c>
    </row>
    <row r="103" spans="1:12" ht="14" customHeight="1" x14ac:dyDescent="0.2">
      <c r="A103" s="1" t="s">
        <v>111</v>
      </c>
      <c r="B103" s="1">
        <v>571</v>
      </c>
      <c r="C103" s="1">
        <v>549</v>
      </c>
      <c r="D103" s="1">
        <v>1800</v>
      </c>
      <c r="E103" s="4">
        <v>0.73</v>
      </c>
      <c r="F103" s="1">
        <v>1891</v>
      </c>
      <c r="G103" s="1">
        <v>40</v>
      </c>
      <c r="H103" s="1">
        <v>34300</v>
      </c>
      <c r="I103" s="1">
        <v>34300</v>
      </c>
      <c r="J103" s="1">
        <v>79</v>
      </c>
      <c r="K103" s="1">
        <v>9</v>
      </c>
      <c r="L103" s="3">
        <v>0.84</v>
      </c>
    </row>
    <row r="104" spans="1:12" ht="14" customHeight="1" x14ac:dyDescent="0.2">
      <c r="A104" s="1" t="s">
        <v>112</v>
      </c>
      <c r="B104" s="1">
        <v>531</v>
      </c>
      <c r="C104" s="1">
        <v>467</v>
      </c>
      <c r="D104" s="1">
        <v>11901</v>
      </c>
      <c r="E104" s="4">
        <v>0.71399999999999997</v>
      </c>
      <c r="F104" s="1">
        <v>11160</v>
      </c>
      <c r="G104" s="1">
        <v>10221</v>
      </c>
      <c r="H104" s="1">
        <v>28380</v>
      </c>
      <c r="I104" s="1">
        <v>28380</v>
      </c>
      <c r="J104" s="1">
        <v>73</v>
      </c>
      <c r="K104" s="1">
        <v>12.9</v>
      </c>
      <c r="L104" s="3">
        <v>0.46</v>
      </c>
    </row>
    <row r="105" spans="1:12" ht="14" customHeight="1" x14ac:dyDescent="0.2">
      <c r="A105" s="1" t="s">
        <v>113</v>
      </c>
      <c r="B105" s="1">
        <v>550</v>
      </c>
      <c r="C105" s="1">
        <v>530</v>
      </c>
      <c r="D105" s="1">
        <v>1738</v>
      </c>
      <c r="E105" s="4">
        <v>0.79</v>
      </c>
      <c r="F105" s="1">
        <v>1335</v>
      </c>
      <c r="G105" s="1">
        <v>30</v>
      </c>
      <c r="H105" s="1">
        <v>33460</v>
      </c>
      <c r="I105" s="1">
        <v>33460</v>
      </c>
      <c r="J105" s="1">
        <v>92</v>
      </c>
      <c r="K105" s="1">
        <v>13.2</v>
      </c>
      <c r="L105" s="3">
        <v>0.71</v>
      </c>
    </row>
    <row r="106" spans="1:12" ht="14" customHeight="1" x14ac:dyDescent="0.2">
      <c r="A106" s="1" t="s">
        <v>114</v>
      </c>
      <c r="B106" s="1">
        <v>660</v>
      </c>
      <c r="C106" s="1">
        <v>540</v>
      </c>
      <c r="D106" s="1">
        <v>2768</v>
      </c>
      <c r="E106" s="4">
        <v>0.83599999999999997</v>
      </c>
      <c r="F106" s="1">
        <v>2802</v>
      </c>
      <c r="G106" s="1">
        <v>86</v>
      </c>
      <c r="H106" s="1">
        <v>30884</v>
      </c>
      <c r="I106" s="1">
        <v>30884</v>
      </c>
      <c r="J106" s="1">
        <v>92</v>
      </c>
      <c r="K106" s="1">
        <v>15.2</v>
      </c>
      <c r="L106" s="3">
        <v>0.82</v>
      </c>
    </row>
    <row r="107" spans="1:12" ht="14" customHeight="1" x14ac:dyDescent="0.2">
      <c r="A107" s="1" t="s">
        <v>115</v>
      </c>
      <c r="B107" s="1">
        <v>610</v>
      </c>
      <c r="C107" s="1">
        <v>560</v>
      </c>
      <c r="D107" s="1">
        <v>2848</v>
      </c>
      <c r="E107" s="4">
        <v>0.46300000000000002</v>
      </c>
      <c r="F107" s="1">
        <v>1720</v>
      </c>
      <c r="G107" s="1">
        <v>35</v>
      </c>
      <c r="H107" s="1">
        <v>33930</v>
      </c>
      <c r="I107" s="1">
        <v>33930</v>
      </c>
      <c r="J107" s="1">
        <v>83</v>
      </c>
      <c r="K107" s="1">
        <v>10.199999999999999</v>
      </c>
      <c r="L107" s="3">
        <v>0.91</v>
      </c>
    </row>
    <row r="108" spans="1:12" ht="14" customHeight="1" x14ac:dyDescent="0.2">
      <c r="A108" s="1" t="s">
        <v>116</v>
      </c>
      <c r="B108" s="1">
        <v>550</v>
      </c>
      <c r="C108" s="1">
        <v>520</v>
      </c>
      <c r="D108" s="1">
        <v>920</v>
      </c>
      <c r="E108" s="4">
        <v>0.81</v>
      </c>
      <c r="F108" s="1">
        <v>1133</v>
      </c>
      <c r="G108" s="1">
        <v>42</v>
      </c>
      <c r="H108" s="1">
        <v>26090</v>
      </c>
      <c r="I108" s="1">
        <v>26090</v>
      </c>
      <c r="J108" s="1">
        <v>80</v>
      </c>
      <c r="K108" s="1">
        <v>12</v>
      </c>
      <c r="L108" s="3">
        <v>0.79</v>
      </c>
    </row>
    <row r="109" spans="1:12" ht="14" customHeight="1" x14ac:dyDescent="0.2">
      <c r="A109" s="1" t="s">
        <v>117</v>
      </c>
      <c r="B109" s="1">
        <v>498</v>
      </c>
      <c r="C109" s="1">
        <v>439</v>
      </c>
      <c r="D109" s="1">
        <v>927</v>
      </c>
      <c r="E109" s="4">
        <v>0.78900000000000003</v>
      </c>
      <c r="F109" s="1">
        <v>2149</v>
      </c>
      <c r="G109" s="1">
        <v>2217</v>
      </c>
      <c r="H109" s="1">
        <v>26130</v>
      </c>
      <c r="I109" s="1">
        <v>26130</v>
      </c>
      <c r="J109" s="1">
        <v>72</v>
      </c>
      <c r="K109" s="1">
        <v>13.5</v>
      </c>
      <c r="L109" s="3">
        <v>0.51</v>
      </c>
    </row>
    <row r="110" spans="1:12" ht="14" customHeight="1" x14ac:dyDescent="0.2">
      <c r="A110" s="1" t="s">
        <v>118</v>
      </c>
      <c r="B110" s="1">
        <v>470</v>
      </c>
      <c r="C110" s="1">
        <v>450</v>
      </c>
      <c r="D110" s="1">
        <v>601</v>
      </c>
      <c r="E110" s="4">
        <v>0.65900000000000003</v>
      </c>
      <c r="F110" s="1">
        <v>525</v>
      </c>
      <c r="G110" s="1">
        <v>323</v>
      </c>
      <c r="H110" s="1">
        <v>26230</v>
      </c>
      <c r="I110" s="1">
        <v>26230</v>
      </c>
      <c r="J110" s="1">
        <v>8</v>
      </c>
      <c r="K110" s="1">
        <v>6.8</v>
      </c>
      <c r="L110" s="3">
        <v>0.47</v>
      </c>
    </row>
    <row r="111" spans="1:12" ht="14" customHeight="1" x14ac:dyDescent="0.2">
      <c r="A111" s="1" t="s">
        <v>119</v>
      </c>
      <c r="B111" s="1">
        <v>526</v>
      </c>
      <c r="C111" s="1">
        <v>484</v>
      </c>
      <c r="D111" s="1">
        <v>938</v>
      </c>
      <c r="E111" s="4">
        <v>0.92100000000000004</v>
      </c>
      <c r="F111" s="1">
        <v>1715</v>
      </c>
      <c r="G111" s="1">
        <v>103</v>
      </c>
      <c r="H111" s="1">
        <v>27247</v>
      </c>
      <c r="I111" s="1">
        <v>27247</v>
      </c>
      <c r="J111" s="1">
        <v>70</v>
      </c>
      <c r="K111" s="1">
        <v>13.1</v>
      </c>
      <c r="L111" s="3">
        <v>0.72</v>
      </c>
    </row>
    <row r="112" spans="1:12" ht="14" customHeight="1" x14ac:dyDescent="0.2">
      <c r="A112" s="1" t="s">
        <v>120</v>
      </c>
      <c r="B112" s="1">
        <v>469</v>
      </c>
      <c r="C112" s="1">
        <v>482</v>
      </c>
      <c r="D112" s="1">
        <v>511</v>
      </c>
      <c r="E112" s="4">
        <v>0.80400000000000005</v>
      </c>
      <c r="F112" s="1">
        <v>1692</v>
      </c>
      <c r="G112" s="1">
        <v>562</v>
      </c>
      <c r="H112" s="1">
        <v>27224</v>
      </c>
      <c r="I112" s="1">
        <v>27224</v>
      </c>
      <c r="J112" s="1">
        <v>63</v>
      </c>
      <c r="K112" s="1">
        <v>11.5</v>
      </c>
      <c r="L112" s="3">
        <v>0.77</v>
      </c>
    </row>
    <row r="113" spans="1:12" ht="14" customHeight="1" x14ac:dyDescent="0.2">
      <c r="A113" s="1" t="s">
        <v>121</v>
      </c>
      <c r="B113" s="1">
        <v>530</v>
      </c>
      <c r="C113" s="1">
        <v>464</v>
      </c>
      <c r="D113" s="1">
        <v>2057</v>
      </c>
      <c r="E113" s="4">
        <v>0.878</v>
      </c>
      <c r="F113" s="1">
        <v>4106</v>
      </c>
      <c r="G113" s="1">
        <v>982</v>
      </c>
      <c r="H113" s="1">
        <v>26712</v>
      </c>
      <c r="I113" s="1">
        <v>26712</v>
      </c>
      <c r="J113" s="1">
        <v>80</v>
      </c>
      <c r="K113" s="1">
        <v>13.8</v>
      </c>
      <c r="L113" s="3">
        <v>0.89</v>
      </c>
    </row>
    <row r="114" spans="1:12" ht="14" customHeight="1" x14ac:dyDescent="0.2">
      <c r="A114" s="1" t="s">
        <v>122</v>
      </c>
      <c r="B114" s="1">
        <v>575</v>
      </c>
      <c r="C114" s="1">
        <v>535</v>
      </c>
      <c r="D114" s="1">
        <v>1006</v>
      </c>
      <c r="E114" s="4">
        <v>0.82</v>
      </c>
      <c r="F114" s="1">
        <v>1362</v>
      </c>
      <c r="G114" s="1">
        <v>102</v>
      </c>
      <c r="H114" s="1">
        <v>28252</v>
      </c>
      <c r="I114" s="1">
        <v>28252</v>
      </c>
      <c r="J114" s="1">
        <v>89</v>
      </c>
      <c r="K114" s="1">
        <v>13</v>
      </c>
      <c r="L114" s="3">
        <v>0.65</v>
      </c>
    </row>
    <row r="115" spans="1:12" ht="14" customHeight="1" x14ac:dyDescent="0.2">
      <c r="A115" s="1" t="s">
        <v>123</v>
      </c>
      <c r="B115" s="1">
        <v>555</v>
      </c>
      <c r="C115" s="1">
        <v>465</v>
      </c>
      <c r="D115" s="1">
        <v>933</v>
      </c>
      <c r="E115" s="4">
        <v>0.85699999999999998</v>
      </c>
      <c r="F115" s="1">
        <v>1691</v>
      </c>
      <c r="G115" s="1">
        <v>72</v>
      </c>
      <c r="H115" s="1">
        <v>27247</v>
      </c>
      <c r="I115" s="1">
        <v>27247</v>
      </c>
      <c r="J115" s="1">
        <v>76</v>
      </c>
      <c r="K115" s="1">
        <v>12</v>
      </c>
      <c r="L115" s="3">
        <v>0.7</v>
      </c>
    </row>
    <row r="116" spans="1:12" ht="14" customHeight="1" x14ac:dyDescent="0.2">
      <c r="A116" s="1" t="s">
        <v>124</v>
      </c>
      <c r="B116" s="1">
        <v>435</v>
      </c>
      <c r="C116" s="1">
        <v>435</v>
      </c>
      <c r="D116" s="1">
        <v>810</v>
      </c>
      <c r="E116" s="4">
        <v>0.59799999999999998</v>
      </c>
      <c r="F116" s="1">
        <v>2155</v>
      </c>
      <c r="G116" s="1">
        <v>191</v>
      </c>
      <c r="H116" s="1">
        <v>24200</v>
      </c>
      <c r="I116" s="1">
        <v>24200</v>
      </c>
      <c r="J116" s="1">
        <v>65</v>
      </c>
      <c r="K116" s="1">
        <v>24.1</v>
      </c>
      <c r="L116" s="3">
        <v>1</v>
      </c>
    </row>
    <row r="117" spans="1:12" ht="14" customHeight="1" x14ac:dyDescent="0.2">
      <c r="A117" s="1" t="s">
        <v>125</v>
      </c>
      <c r="B117" s="1">
        <v>400</v>
      </c>
      <c r="C117" s="1">
        <v>400</v>
      </c>
      <c r="D117" s="1">
        <v>1310</v>
      </c>
      <c r="E117" s="4">
        <v>0.75</v>
      </c>
      <c r="F117" s="1">
        <v>1057</v>
      </c>
      <c r="G117" s="1">
        <v>175</v>
      </c>
      <c r="H117" s="1">
        <v>23550</v>
      </c>
      <c r="I117" s="1">
        <v>23550</v>
      </c>
      <c r="J117" s="1">
        <v>35</v>
      </c>
      <c r="K117" s="1">
        <v>17.399999999999999</v>
      </c>
      <c r="L117" s="3">
        <v>0.27</v>
      </c>
    </row>
    <row r="118" spans="1:12" ht="14" customHeight="1" x14ac:dyDescent="0.2">
      <c r="A118" s="1" t="s">
        <v>126</v>
      </c>
      <c r="B118" s="1">
        <v>494</v>
      </c>
      <c r="C118" s="1">
        <v>511</v>
      </c>
      <c r="D118" s="1">
        <v>665</v>
      </c>
      <c r="E118" s="4">
        <v>0.69499999999999995</v>
      </c>
      <c r="F118" s="1">
        <v>1739</v>
      </c>
      <c r="G118" s="1">
        <v>1550</v>
      </c>
      <c r="H118" s="1">
        <v>24160</v>
      </c>
      <c r="I118" s="1">
        <v>24160</v>
      </c>
      <c r="J118" s="1">
        <v>68</v>
      </c>
      <c r="K118" s="1">
        <v>20.6</v>
      </c>
      <c r="L118" s="3">
        <v>0.48</v>
      </c>
    </row>
    <row r="119" spans="1:12" ht="14" customHeight="1" x14ac:dyDescent="0.2">
      <c r="A119" s="1" t="s">
        <v>127</v>
      </c>
      <c r="B119" s="1">
        <v>520</v>
      </c>
      <c r="C119" s="1">
        <v>480</v>
      </c>
      <c r="D119" s="1">
        <v>662</v>
      </c>
      <c r="E119" s="4">
        <v>0.83499999999999996</v>
      </c>
      <c r="F119" s="1">
        <v>665</v>
      </c>
      <c r="G119" s="1">
        <v>37</v>
      </c>
      <c r="H119" s="1">
        <v>25720</v>
      </c>
      <c r="I119" s="1">
        <v>25720</v>
      </c>
      <c r="J119" s="1">
        <v>66</v>
      </c>
      <c r="K119" s="1">
        <v>12.5</v>
      </c>
      <c r="L119" s="3">
        <v>0.62</v>
      </c>
    </row>
    <row r="120" spans="1:12" ht="14" customHeight="1" x14ac:dyDescent="0.2">
      <c r="A120" s="1" t="s">
        <v>128</v>
      </c>
      <c r="B120" s="1">
        <v>550</v>
      </c>
      <c r="C120" s="1">
        <v>510</v>
      </c>
      <c r="D120" s="1">
        <v>663</v>
      </c>
      <c r="E120" s="4">
        <v>0.82499999999999996</v>
      </c>
      <c r="F120" s="1">
        <v>1279</v>
      </c>
      <c r="G120" s="1">
        <v>75</v>
      </c>
      <c r="H120" s="1">
        <v>25060</v>
      </c>
      <c r="I120" s="1">
        <v>25060</v>
      </c>
      <c r="J120" s="1">
        <v>74</v>
      </c>
      <c r="K120" s="1">
        <v>11.2</v>
      </c>
      <c r="L120" s="3">
        <v>0.59</v>
      </c>
    </row>
    <row r="121" spans="1:12" ht="14" customHeight="1" x14ac:dyDescent="0.2">
      <c r="A121" s="1" t="s">
        <v>129</v>
      </c>
      <c r="B121" s="1">
        <v>482</v>
      </c>
      <c r="C121" s="1">
        <v>459</v>
      </c>
      <c r="D121" s="1">
        <v>469</v>
      </c>
      <c r="E121" s="4">
        <v>0.92800000000000005</v>
      </c>
      <c r="F121" s="1">
        <v>851</v>
      </c>
      <c r="G121" s="1">
        <v>120</v>
      </c>
      <c r="H121" s="1">
        <v>25535</v>
      </c>
      <c r="I121" s="1">
        <v>25535</v>
      </c>
      <c r="J121" s="1">
        <v>39</v>
      </c>
      <c r="K121" s="1">
        <v>12.9</v>
      </c>
      <c r="L121" s="3">
        <v>0.52</v>
      </c>
    </row>
    <row r="122" spans="1:12" ht="14" customHeight="1" x14ac:dyDescent="0.2">
      <c r="A122" s="1" t="s">
        <v>130</v>
      </c>
      <c r="B122" s="1">
        <v>570</v>
      </c>
      <c r="C122" s="1">
        <v>550</v>
      </c>
      <c r="D122" s="1">
        <v>905</v>
      </c>
      <c r="E122" s="4">
        <v>0.92200000000000004</v>
      </c>
      <c r="F122" s="1">
        <v>1073</v>
      </c>
      <c r="G122" s="1">
        <v>179</v>
      </c>
      <c r="H122" s="1">
        <v>26320</v>
      </c>
      <c r="I122" s="1">
        <v>26320</v>
      </c>
      <c r="J122" s="1">
        <v>82</v>
      </c>
      <c r="K122" s="1">
        <v>12.7</v>
      </c>
      <c r="L122" s="3">
        <v>0.57999999999999996</v>
      </c>
    </row>
    <row r="123" spans="1:12" ht="14" customHeight="1" x14ac:dyDescent="0.2">
      <c r="A123" s="1" t="s">
        <v>131</v>
      </c>
      <c r="B123" s="1">
        <v>444</v>
      </c>
      <c r="C123" s="1">
        <v>426</v>
      </c>
      <c r="D123" s="1">
        <v>560</v>
      </c>
      <c r="E123" s="4">
        <v>0.7</v>
      </c>
      <c r="F123" s="1">
        <v>743</v>
      </c>
      <c r="G123" s="1">
        <v>118</v>
      </c>
      <c r="H123" s="1">
        <v>23734</v>
      </c>
      <c r="I123" s="1">
        <v>23734</v>
      </c>
      <c r="J123" s="1">
        <v>56</v>
      </c>
      <c r="K123" s="1">
        <v>11.3</v>
      </c>
      <c r="L123" s="3">
        <v>0.68</v>
      </c>
    </row>
    <row r="124" spans="1:12" ht="14" customHeight="1" x14ac:dyDescent="0.2">
      <c r="A124" s="1" t="s">
        <v>132</v>
      </c>
      <c r="B124" s="1">
        <v>395</v>
      </c>
      <c r="C124" s="1">
        <v>385</v>
      </c>
      <c r="D124" s="1">
        <v>774</v>
      </c>
      <c r="E124" s="4">
        <v>0.7</v>
      </c>
      <c r="F124" s="1">
        <v>650</v>
      </c>
      <c r="G124" s="1">
        <v>14</v>
      </c>
      <c r="H124" s="1">
        <v>20600</v>
      </c>
      <c r="I124" s="1">
        <v>20600</v>
      </c>
      <c r="J124" s="1">
        <v>63</v>
      </c>
      <c r="K124" s="1">
        <v>12.1</v>
      </c>
      <c r="L124" s="3">
        <v>0.44</v>
      </c>
    </row>
    <row r="125" spans="1:12" ht="14" customHeight="1" x14ac:dyDescent="0.2">
      <c r="A125" s="1" t="s">
        <v>133</v>
      </c>
      <c r="B125" s="1">
        <v>650</v>
      </c>
      <c r="C125" s="1">
        <v>580</v>
      </c>
      <c r="D125" s="1">
        <v>2373</v>
      </c>
      <c r="E125" s="4">
        <v>0.40300000000000002</v>
      </c>
      <c r="F125" s="1">
        <v>1601</v>
      </c>
      <c r="G125" s="1">
        <v>6</v>
      </c>
      <c r="H125" s="1">
        <v>32295</v>
      </c>
      <c r="I125" s="1">
        <v>32295</v>
      </c>
      <c r="J125" s="1">
        <v>95</v>
      </c>
      <c r="K125" s="1">
        <v>12</v>
      </c>
      <c r="L125" s="3">
        <v>0.94</v>
      </c>
    </row>
    <row r="126" spans="1:12" ht="14" customHeight="1" x14ac:dyDescent="0.2">
      <c r="A126" s="1" t="s">
        <v>134</v>
      </c>
      <c r="B126" s="1">
        <v>687</v>
      </c>
      <c r="C126" s="1">
        <v>615</v>
      </c>
      <c r="D126" s="1">
        <v>13789</v>
      </c>
      <c r="E126" s="4">
        <v>0.28199999999999997</v>
      </c>
      <c r="F126" s="1">
        <v>6188</v>
      </c>
      <c r="G126" s="1">
        <v>53</v>
      </c>
      <c r="H126" s="1">
        <v>33590</v>
      </c>
      <c r="I126" s="1">
        <v>33590</v>
      </c>
      <c r="J126" s="1">
        <v>95</v>
      </c>
      <c r="K126" s="1">
        <v>5</v>
      </c>
      <c r="L126" s="3">
        <v>0.97</v>
      </c>
    </row>
    <row r="127" spans="1:12" ht="14" customHeight="1" x14ac:dyDescent="0.2">
      <c r="A127" s="1" t="s">
        <v>135</v>
      </c>
      <c r="B127" s="1">
        <v>445</v>
      </c>
      <c r="C127" s="1">
        <v>400</v>
      </c>
      <c r="D127" s="1">
        <v>1110</v>
      </c>
      <c r="E127" s="4">
        <v>0.83799999999999997</v>
      </c>
      <c r="F127" s="1">
        <v>1603</v>
      </c>
      <c r="G127" s="1">
        <v>374</v>
      </c>
      <c r="H127" s="1">
        <v>23180</v>
      </c>
      <c r="I127" s="1">
        <v>23180</v>
      </c>
      <c r="J127" s="1">
        <v>65</v>
      </c>
      <c r="K127" s="1">
        <v>15.2</v>
      </c>
      <c r="L127" s="3">
        <v>0.28999999999999998</v>
      </c>
    </row>
    <row r="128" spans="1:12" ht="14" customHeight="1" x14ac:dyDescent="0.2">
      <c r="A128" s="1" t="s">
        <v>136</v>
      </c>
      <c r="B128" s="1">
        <v>530</v>
      </c>
      <c r="C128" s="1">
        <v>500</v>
      </c>
      <c r="D128" s="1">
        <v>1202</v>
      </c>
      <c r="E128" s="4">
        <v>0.877</v>
      </c>
      <c r="F128" s="1">
        <v>1410</v>
      </c>
      <c r="G128" s="1">
        <v>299</v>
      </c>
      <c r="H128" s="1">
        <v>28404</v>
      </c>
      <c r="I128" s="1">
        <v>28404</v>
      </c>
      <c r="J128" s="1">
        <v>78</v>
      </c>
      <c r="K128" s="1">
        <v>15.6</v>
      </c>
      <c r="L128" s="3">
        <v>0.65</v>
      </c>
    </row>
    <row r="129" spans="1:12" ht="14" customHeight="1" x14ac:dyDescent="0.2">
      <c r="A129" s="1" t="s">
        <v>137</v>
      </c>
      <c r="B129" s="1">
        <v>482</v>
      </c>
      <c r="C129" s="1">
        <v>439</v>
      </c>
      <c r="D129" s="1">
        <v>979</v>
      </c>
      <c r="E129" s="4">
        <v>0.75900000000000001</v>
      </c>
      <c r="F129" s="1">
        <v>1188</v>
      </c>
      <c r="G129" s="1">
        <v>166</v>
      </c>
      <c r="H129" s="1">
        <v>25100</v>
      </c>
      <c r="I129" s="1">
        <v>25100</v>
      </c>
      <c r="J129" s="1">
        <v>88</v>
      </c>
      <c r="K129" s="1">
        <v>12</v>
      </c>
      <c r="L129" s="3">
        <v>0.66</v>
      </c>
    </row>
    <row r="130" spans="1:12" ht="14" customHeight="1" x14ac:dyDescent="0.2">
      <c r="A130" s="1" t="s">
        <v>138</v>
      </c>
      <c r="B130" s="1">
        <v>432</v>
      </c>
      <c r="C130" s="1">
        <v>394</v>
      </c>
      <c r="D130" s="1">
        <v>812</v>
      </c>
      <c r="E130" s="4">
        <v>0.84899999999999998</v>
      </c>
      <c r="F130" s="1">
        <v>646</v>
      </c>
      <c r="G130" s="1">
        <v>84</v>
      </c>
      <c r="H130" s="1">
        <v>23242</v>
      </c>
      <c r="I130" s="1">
        <v>23242</v>
      </c>
      <c r="J130" s="1">
        <v>77</v>
      </c>
      <c r="K130" s="1">
        <v>12.7</v>
      </c>
      <c r="L130" s="3">
        <v>0.52</v>
      </c>
    </row>
    <row r="131" spans="1:12" ht="14" customHeight="1" x14ac:dyDescent="0.2">
      <c r="A131" s="1" t="s">
        <v>139</v>
      </c>
      <c r="B131" s="1">
        <v>514</v>
      </c>
      <c r="C131" s="1">
        <v>491</v>
      </c>
      <c r="D131" s="1">
        <v>516</v>
      </c>
      <c r="E131" s="4">
        <v>0.76</v>
      </c>
      <c r="F131" s="1">
        <v>630</v>
      </c>
      <c r="G131" s="1">
        <v>549</v>
      </c>
      <c r="H131" s="1">
        <v>26020</v>
      </c>
      <c r="I131" s="1">
        <v>26020</v>
      </c>
      <c r="J131" s="1">
        <v>73</v>
      </c>
      <c r="K131" s="1">
        <v>14</v>
      </c>
      <c r="L131" s="3">
        <v>0.57999999999999996</v>
      </c>
    </row>
    <row r="132" spans="1:12" ht="14" customHeight="1" x14ac:dyDescent="0.2">
      <c r="A132" s="1" t="s">
        <v>140</v>
      </c>
      <c r="B132" s="1">
        <v>508</v>
      </c>
      <c r="C132" s="1">
        <v>494</v>
      </c>
      <c r="D132" s="1">
        <v>335</v>
      </c>
      <c r="E132" s="4">
        <v>0.84799999999999998</v>
      </c>
      <c r="F132" s="1">
        <v>534</v>
      </c>
      <c r="G132" s="1">
        <v>216</v>
      </c>
      <c r="H132" s="1">
        <v>25475</v>
      </c>
      <c r="I132" s="1">
        <v>25475</v>
      </c>
      <c r="J132" s="1">
        <v>68</v>
      </c>
      <c r="K132" s="1">
        <v>11.2</v>
      </c>
      <c r="L132" s="3">
        <v>0.6</v>
      </c>
    </row>
    <row r="133" spans="1:12" ht="14" customHeight="1" x14ac:dyDescent="0.2">
      <c r="A133" s="1" t="s">
        <v>141</v>
      </c>
      <c r="B133" s="1">
        <v>442</v>
      </c>
      <c r="C133" s="1">
        <v>400</v>
      </c>
      <c r="D133" s="1">
        <v>1239</v>
      </c>
      <c r="E133" s="4">
        <v>0.82099999999999995</v>
      </c>
      <c r="F133" s="1">
        <v>1207</v>
      </c>
      <c r="G133" s="1">
        <v>157</v>
      </c>
      <c r="H133" s="1">
        <v>22820</v>
      </c>
      <c r="I133" s="1">
        <v>22820</v>
      </c>
      <c r="J133" s="1">
        <v>69</v>
      </c>
      <c r="K133" s="1">
        <v>13.9</v>
      </c>
      <c r="L133" s="3">
        <v>0.91</v>
      </c>
    </row>
    <row r="134" spans="1:12" ht="14" customHeight="1" x14ac:dyDescent="0.2">
      <c r="A134" s="1" t="s">
        <v>142</v>
      </c>
      <c r="B134" s="1">
        <v>480</v>
      </c>
      <c r="C134" s="1">
        <v>484</v>
      </c>
      <c r="D134" s="1">
        <v>546</v>
      </c>
      <c r="E134" s="4">
        <v>0.81899999999999995</v>
      </c>
      <c r="F134" s="1">
        <v>873</v>
      </c>
      <c r="G134" s="1">
        <v>683</v>
      </c>
      <c r="H134" s="1">
        <v>26138</v>
      </c>
      <c r="I134" s="1">
        <v>26138</v>
      </c>
      <c r="J134" s="1">
        <v>40</v>
      </c>
      <c r="K134" s="1">
        <v>14</v>
      </c>
      <c r="L134" s="3">
        <v>0.8</v>
      </c>
    </row>
    <row r="135" spans="1:12" ht="14" customHeight="1" x14ac:dyDescent="0.2">
      <c r="A135" s="1" t="s">
        <v>143</v>
      </c>
      <c r="B135" s="1">
        <v>460</v>
      </c>
      <c r="C135" s="1">
        <v>390</v>
      </c>
      <c r="D135" s="1">
        <v>77</v>
      </c>
      <c r="E135" s="4">
        <v>0.79200000000000004</v>
      </c>
      <c r="F135" s="1">
        <v>352</v>
      </c>
      <c r="G135" s="1">
        <v>147</v>
      </c>
      <c r="H135" s="1">
        <v>18120</v>
      </c>
      <c r="I135" s="1">
        <v>18120</v>
      </c>
      <c r="J135" s="1">
        <v>24</v>
      </c>
      <c r="K135" s="1">
        <v>14.3</v>
      </c>
      <c r="L135" s="3">
        <v>0.2</v>
      </c>
    </row>
    <row r="136" spans="1:12" ht="14" customHeight="1" x14ac:dyDescent="0.2">
      <c r="A136" s="1" t="s">
        <v>144</v>
      </c>
      <c r="B136" s="1">
        <v>392</v>
      </c>
      <c r="C136" s="1">
        <v>375</v>
      </c>
      <c r="D136" s="1">
        <v>3847</v>
      </c>
      <c r="E136" s="4">
        <v>0.89200000000000002</v>
      </c>
      <c r="F136" s="1">
        <v>1010</v>
      </c>
      <c r="G136" s="1">
        <v>12</v>
      </c>
      <c r="H136" s="1">
        <v>24384</v>
      </c>
      <c r="I136" s="1">
        <v>24384</v>
      </c>
      <c r="J136" s="1">
        <v>22</v>
      </c>
      <c r="K136" s="1">
        <v>14.3</v>
      </c>
      <c r="L136" s="3">
        <v>1.18</v>
      </c>
    </row>
    <row r="137" spans="1:12" ht="14" customHeight="1" x14ac:dyDescent="0.2">
      <c r="A137" s="1" t="s">
        <v>145</v>
      </c>
      <c r="B137" s="1">
        <v>623</v>
      </c>
      <c r="C137" s="1">
        <v>563</v>
      </c>
      <c r="D137" s="1">
        <v>4856</v>
      </c>
      <c r="E137" s="4">
        <v>0.51300000000000001</v>
      </c>
      <c r="F137" s="1">
        <v>2649</v>
      </c>
      <c r="G137" s="1">
        <v>25</v>
      </c>
      <c r="H137" s="1">
        <v>34510</v>
      </c>
      <c r="I137" s="1">
        <v>34510</v>
      </c>
      <c r="J137" s="1">
        <v>95</v>
      </c>
      <c r="K137" s="1">
        <v>10.5</v>
      </c>
      <c r="L137" s="3">
        <v>0.93</v>
      </c>
    </row>
    <row r="138" spans="1:12" ht="14" customHeight="1" x14ac:dyDescent="0.2">
      <c r="A138" s="1" t="s">
        <v>146</v>
      </c>
      <c r="B138" s="1">
        <v>496</v>
      </c>
      <c r="C138" s="1">
        <v>463</v>
      </c>
      <c r="D138" s="1">
        <v>1457</v>
      </c>
      <c r="E138" s="4">
        <v>0.71699999999999997</v>
      </c>
      <c r="F138" s="1">
        <v>1109</v>
      </c>
      <c r="G138" s="1">
        <v>502</v>
      </c>
      <c r="H138" s="1">
        <v>29990</v>
      </c>
      <c r="I138" s="1">
        <v>29990</v>
      </c>
      <c r="J138" s="1">
        <v>77</v>
      </c>
      <c r="K138" s="1">
        <v>21.5</v>
      </c>
      <c r="L138" s="3">
        <v>0.64</v>
      </c>
    </row>
    <row r="139" spans="1:12" ht="14" customHeight="1" x14ac:dyDescent="0.2">
      <c r="A139" s="1" t="s">
        <v>147</v>
      </c>
      <c r="B139" s="1">
        <v>524</v>
      </c>
      <c r="C139" s="1">
        <v>478</v>
      </c>
      <c r="D139" s="1">
        <v>2083</v>
      </c>
      <c r="E139" s="4">
        <v>0.82799999999999996</v>
      </c>
      <c r="F139" s="1">
        <v>1464</v>
      </c>
      <c r="G139" s="1">
        <v>67</v>
      </c>
      <c r="H139" s="1">
        <v>32480</v>
      </c>
      <c r="I139" s="1">
        <v>32480</v>
      </c>
      <c r="J139" s="1">
        <v>75</v>
      </c>
      <c r="K139" s="1">
        <v>12.3</v>
      </c>
      <c r="L139" s="3">
        <v>0.73</v>
      </c>
    </row>
    <row r="140" spans="1:12" ht="14" customHeight="1" x14ac:dyDescent="0.2">
      <c r="A140" s="1" t="s">
        <v>148</v>
      </c>
      <c r="B140" s="1">
        <v>540</v>
      </c>
      <c r="C140" s="1">
        <v>470</v>
      </c>
      <c r="D140" s="1">
        <v>7428</v>
      </c>
      <c r="E140" s="4">
        <v>0.78900000000000003</v>
      </c>
      <c r="F140" s="1">
        <v>6534</v>
      </c>
      <c r="G140" s="1">
        <v>1350</v>
      </c>
      <c r="H140" s="1">
        <v>26600</v>
      </c>
      <c r="I140" s="1">
        <v>26600</v>
      </c>
      <c r="J140" s="1">
        <v>81</v>
      </c>
      <c r="K140" s="1">
        <v>13.9</v>
      </c>
      <c r="L140" s="3">
        <v>0.6</v>
      </c>
    </row>
    <row r="141" spans="1:12" ht="14" customHeight="1" x14ac:dyDescent="0.2">
      <c r="A141" s="1" t="s">
        <v>149</v>
      </c>
      <c r="B141" s="1">
        <v>535</v>
      </c>
      <c r="C141" s="1">
        <v>508</v>
      </c>
      <c r="D141" s="1">
        <v>949</v>
      </c>
      <c r="E141" s="4">
        <v>0.82799999999999996</v>
      </c>
      <c r="F141" s="1">
        <v>1210</v>
      </c>
      <c r="G141" s="1">
        <v>26</v>
      </c>
      <c r="H141" s="1">
        <v>24990</v>
      </c>
      <c r="I141" s="1">
        <v>24990</v>
      </c>
      <c r="J141" s="1">
        <v>85</v>
      </c>
      <c r="K141" s="1">
        <v>15</v>
      </c>
      <c r="L141" s="3">
        <v>0.67</v>
      </c>
    </row>
    <row r="142" spans="1:12" ht="14" customHeight="1" x14ac:dyDescent="0.2">
      <c r="A142" s="1" t="s">
        <v>150</v>
      </c>
      <c r="B142" s="1">
        <v>515</v>
      </c>
      <c r="C142" s="1">
        <v>475</v>
      </c>
      <c r="D142" s="1">
        <v>4731</v>
      </c>
      <c r="E142" s="4">
        <v>0.67</v>
      </c>
      <c r="F142" s="1">
        <v>3557</v>
      </c>
      <c r="G142" s="1">
        <v>658</v>
      </c>
      <c r="H142" s="1">
        <v>25700</v>
      </c>
      <c r="I142" s="1">
        <v>25700</v>
      </c>
      <c r="J142" s="1">
        <v>74</v>
      </c>
      <c r="K142" s="1">
        <v>17.600000000000001</v>
      </c>
      <c r="L142" s="3">
        <v>0.69</v>
      </c>
    </row>
    <row r="143" spans="1:12" ht="14" customHeight="1" x14ac:dyDescent="0.2">
      <c r="A143" s="1" t="s">
        <v>151</v>
      </c>
      <c r="B143" s="1">
        <v>472</v>
      </c>
      <c r="C143" s="1">
        <v>433</v>
      </c>
      <c r="D143" s="1">
        <v>460</v>
      </c>
      <c r="E143" s="4">
        <v>0.61499999999999999</v>
      </c>
      <c r="F143" s="1">
        <v>508</v>
      </c>
      <c r="G143" s="1">
        <v>34</v>
      </c>
      <c r="H143" s="1">
        <v>22950</v>
      </c>
      <c r="I143" s="1">
        <v>22950</v>
      </c>
      <c r="J143" s="1">
        <v>35</v>
      </c>
      <c r="K143" s="1">
        <v>11.6</v>
      </c>
      <c r="L143" s="3">
        <v>0.55000000000000004</v>
      </c>
    </row>
    <row r="144" spans="1:12" ht="14" customHeight="1" x14ac:dyDescent="0.2">
      <c r="A144" s="1" t="s">
        <v>152</v>
      </c>
      <c r="B144" s="1">
        <v>570</v>
      </c>
      <c r="C144" s="1">
        <v>520</v>
      </c>
      <c r="D144" s="1">
        <v>4293</v>
      </c>
      <c r="E144" s="4">
        <v>0.63500000000000001</v>
      </c>
      <c r="F144" s="1">
        <v>2322</v>
      </c>
      <c r="G144" s="1">
        <v>263</v>
      </c>
      <c r="H144" s="1">
        <v>33710</v>
      </c>
      <c r="I144" s="1">
        <v>33710</v>
      </c>
      <c r="J144" s="1">
        <v>87</v>
      </c>
      <c r="K144" s="1">
        <v>12.7</v>
      </c>
      <c r="L144" s="3">
        <v>0.81</v>
      </c>
    </row>
    <row r="145" spans="1:12" ht="14" customHeight="1" x14ac:dyDescent="0.2">
      <c r="A145" s="1" t="s">
        <v>153</v>
      </c>
      <c r="B145" s="1">
        <v>560</v>
      </c>
      <c r="C145" s="1">
        <v>491</v>
      </c>
      <c r="D145" s="1">
        <v>2961</v>
      </c>
      <c r="E145" s="4">
        <v>0.65200000000000002</v>
      </c>
      <c r="F145" s="1">
        <v>2669</v>
      </c>
      <c r="G145" s="1">
        <v>616</v>
      </c>
      <c r="H145" s="1">
        <v>25800</v>
      </c>
      <c r="I145" s="1">
        <v>25800</v>
      </c>
      <c r="J145" s="1">
        <v>71</v>
      </c>
      <c r="K145" s="1">
        <v>14.1</v>
      </c>
      <c r="L145" s="3">
        <v>1</v>
      </c>
    </row>
    <row r="146" spans="1:12" ht="14" customHeight="1" x14ac:dyDescent="0.2">
      <c r="A146" s="1" t="s">
        <v>154</v>
      </c>
      <c r="B146" s="1">
        <v>535</v>
      </c>
      <c r="C146" s="1">
        <v>478</v>
      </c>
      <c r="D146" s="1">
        <v>1489</v>
      </c>
      <c r="E146" s="4">
        <v>0.88200000000000001</v>
      </c>
      <c r="F146" s="1">
        <v>1688</v>
      </c>
      <c r="G146" s="1">
        <v>131</v>
      </c>
      <c r="H146" s="1">
        <v>25456</v>
      </c>
      <c r="I146" s="1">
        <v>25456</v>
      </c>
      <c r="J146" s="1">
        <v>91</v>
      </c>
      <c r="K146" s="1">
        <v>17.7</v>
      </c>
      <c r="L146" s="3">
        <v>0.78</v>
      </c>
    </row>
    <row r="147" spans="1:12" ht="14" customHeight="1" x14ac:dyDescent="0.2">
      <c r="A147" s="1" t="s">
        <v>155</v>
      </c>
      <c r="B147" s="1">
        <v>525</v>
      </c>
      <c r="C147" s="1">
        <v>465</v>
      </c>
      <c r="D147" s="1">
        <v>1368</v>
      </c>
      <c r="E147" s="4">
        <v>0.77800000000000002</v>
      </c>
      <c r="F147" s="1">
        <v>1687</v>
      </c>
      <c r="G147" s="1">
        <v>677</v>
      </c>
      <c r="H147" s="1">
        <v>25570</v>
      </c>
      <c r="I147" s="1">
        <v>25570</v>
      </c>
      <c r="J147" s="1">
        <v>86</v>
      </c>
      <c r="K147" s="1">
        <v>14.5</v>
      </c>
      <c r="L147" s="3">
        <v>0.66</v>
      </c>
    </row>
    <row r="148" spans="1:12" ht="14" customHeight="1" x14ac:dyDescent="0.2">
      <c r="A148" s="1" t="s">
        <v>156</v>
      </c>
      <c r="B148" s="1">
        <v>438</v>
      </c>
      <c r="C148" s="1">
        <v>410</v>
      </c>
      <c r="D148" s="1">
        <v>1454</v>
      </c>
      <c r="E148" s="4">
        <v>0.871</v>
      </c>
      <c r="F148" s="1">
        <v>1874</v>
      </c>
      <c r="G148" s="1">
        <v>757</v>
      </c>
      <c r="H148" s="1">
        <v>26431</v>
      </c>
      <c r="I148" s="1">
        <v>26431</v>
      </c>
      <c r="J148" s="1">
        <v>43</v>
      </c>
      <c r="K148" s="1">
        <v>17.399999999999999</v>
      </c>
      <c r="L148" s="3">
        <v>0.66</v>
      </c>
    </row>
    <row r="149" spans="1:12" ht="14" customHeight="1" x14ac:dyDescent="0.2">
      <c r="A149" s="1" t="s">
        <v>157</v>
      </c>
      <c r="B149" s="1">
        <v>529</v>
      </c>
      <c r="C149" s="1">
        <v>468</v>
      </c>
      <c r="D149" s="1">
        <v>1690</v>
      </c>
      <c r="E149" s="4">
        <v>0.80800000000000005</v>
      </c>
      <c r="F149" s="1">
        <v>2718</v>
      </c>
      <c r="G149" s="1">
        <v>1460</v>
      </c>
      <c r="H149" s="1">
        <v>25995</v>
      </c>
      <c r="I149" s="1">
        <v>25995</v>
      </c>
      <c r="J149" s="1">
        <v>68</v>
      </c>
      <c r="K149" s="1">
        <v>17.600000000000001</v>
      </c>
      <c r="L149" s="3">
        <v>0.85</v>
      </c>
    </row>
    <row r="150" spans="1:12" ht="14" customHeight="1" x14ac:dyDescent="0.2">
      <c r="A150" s="1" t="s">
        <v>158</v>
      </c>
      <c r="B150" s="1">
        <v>524</v>
      </c>
      <c r="C150" s="1">
        <v>486</v>
      </c>
      <c r="D150" s="1">
        <v>1307</v>
      </c>
      <c r="E150" s="4">
        <v>0.83399999999999996</v>
      </c>
      <c r="F150" s="1">
        <v>2196</v>
      </c>
      <c r="G150" s="1">
        <v>82</v>
      </c>
      <c r="H150" s="1">
        <v>22344</v>
      </c>
      <c r="I150" s="1">
        <v>22344</v>
      </c>
      <c r="J150" s="1">
        <v>50</v>
      </c>
      <c r="K150" s="1">
        <v>15.3</v>
      </c>
      <c r="L150" s="3">
        <v>0.64</v>
      </c>
    </row>
    <row r="151" spans="1:12" ht="14" customHeight="1" x14ac:dyDescent="0.2">
      <c r="A151" s="1" t="s">
        <v>159</v>
      </c>
      <c r="B151" s="1">
        <v>480</v>
      </c>
      <c r="C151" s="1">
        <v>440</v>
      </c>
      <c r="D151" s="1">
        <v>798</v>
      </c>
      <c r="E151" s="4">
        <v>0.77700000000000002</v>
      </c>
      <c r="F151" s="1">
        <v>1165</v>
      </c>
      <c r="G151" s="1">
        <v>1232</v>
      </c>
      <c r="H151" s="1">
        <v>24800</v>
      </c>
      <c r="I151" s="1">
        <v>24800</v>
      </c>
      <c r="J151" s="1">
        <v>46</v>
      </c>
      <c r="K151" s="1">
        <v>11.1</v>
      </c>
      <c r="L151" s="3">
        <v>1</v>
      </c>
    </row>
    <row r="152" spans="1:12" ht="14" customHeight="1" x14ac:dyDescent="0.2">
      <c r="A152" s="1" t="s">
        <v>160</v>
      </c>
      <c r="B152" s="1">
        <v>516</v>
      </c>
      <c r="C152" s="1">
        <v>488</v>
      </c>
      <c r="D152" s="1">
        <v>553</v>
      </c>
      <c r="E152" s="4">
        <v>0.81699999999999995</v>
      </c>
      <c r="F152" s="1">
        <v>1301</v>
      </c>
      <c r="G152" s="1">
        <v>242</v>
      </c>
      <c r="H152" s="1">
        <v>24650</v>
      </c>
      <c r="I152" s="1">
        <v>24650</v>
      </c>
      <c r="J152" s="1">
        <v>57</v>
      </c>
      <c r="K152" s="1">
        <v>14.9</v>
      </c>
      <c r="L152" s="3">
        <v>0.83</v>
      </c>
    </row>
    <row r="153" spans="1:12" ht="14" customHeight="1" x14ac:dyDescent="0.2">
      <c r="A153" s="1" t="s">
        <v>161</v>
      </c>
      <c r="B153" s="1">
        <v>500</v>
      </c>
      <c r="C153" s="1">
        <v>420</v>
      </c>
      <c r="D153" s="1">
        <v>738</v>
      </c>
      <c r="E153" s="4">
        <v>0.93100000000000005</v>
      </c>
      <c r="F153" s="1">
        <v>964</v>
      </c>
      <c r="G153" s="1">
        <v>242</v>
      </c>
      <c r="H153" s="1">
        <v>28780</v>
      </c>
      <c r="I153" s="1">
        <v>28780</v>
      </c>
      <c r="J153" s="1">
        <v>68</v>
      </c>
      <c r="K153" s="1">
        <v>12.5</v>
      </c>
      <c r="L153" s="3">
        <v>0.65</v>
      </c>
    </row>
    <row r="154" spans="1:12" ht="14" customHeight="1" x14ac:dyDescent="0.2">
      <c r="A154" s="1" t="s">
        <v>162</v>
      </c>
      <c r="B154" s="1">
        <v>593</v>
      </c>
      <c r="C154" s="1">
        <v>570</v>
      </c>
      <c r="D154" s="1">
        <v>2212</v>
      </c>
      <c r="E154" s="4">
        <v>0.69499999999999995</v>
      </c>
      <c r="F154" s="1">
        <v>1445</v>
      </c>
      <c r="G154" s="1">
        <v>1</v>
      </c>
      <c r="H154" s="1">
        <v>34240</v>
      </c>
      <c r="I154" s="1">
        <v>34240</v>
      </c>
      <c r="J154" s="1">
        <v>95</v>
      </c>
      <c r="K154" s="1">
        <v>11.1</v>
      </c>
      <c r="L154" s="3">
        <v>0.88</v>
      </c>
    </row>
    <row r="155" spans="1:12" ht="14" customHeight="1" x14ac:dyDescent="0.2">
      <c r="A155" s="1" t="s">
        <v>163</v>
      </c>
      <c r="B155" s="1">
        <v>479</v>
      </c>
      <c r="C155" s="1">
        <v>433</v>
      </c>
      <c r="D155" s="1">
        <v>874</v>
      </c>
      <c r="E155" s="4">
        <v>0.86699999999999999</v>
      </c>
      <c r="F155" s="1">
        <v>1605</v>
      </c>
      <c r="G155" s="1">
        <v>246</v>
      </c>
      <c r="H155" s="1">
        <v>24858</v>
      </c>
      <c r="I155" s="1">
        <v>24858</v>
      </c>
      <c r="J155" s="1">
        <v>42</v>
      </c>
      <c r="K155" s="1">
        <v>17.600000000000001</v>
      </c>
      <c r="L155" s="3">
        <v>0.55000000000000004</v>
      </c>
    </row>
    <row r="156" spans="1:12" ht="14" customHeight="1" x14ac:dyDescent="0.2">
      <c r="A156" s="1" t="s">
        <v>164</v>
      </c>
      <c r="B156" s="1">
        <v>490</v>
      </c>
      <c r="C156" s="1">
        <v>436</v>
      </c>
      <c r="D156" s="1">
        <v>1109</v>
      </c>
      <c r="E156" s="4">
        <v>0.83099999999999996</v>
      </c>
      <c r="F156" s="1">
        <v>1115</v>
      </c>
      <c r="G156" s="1">
        <v>70</v>
      </c>
      <c r="H156" s="1">
        <v>28240</v>
      </c>
      <c r="I156" s="1">
        <v>28240</v>
      </c>
      <c r="J156" s="1">
        <v>73</v>
      </c>
      <c r="K156" s="1">
        <v>13.4</v>
      </c>
      <c r="L156" s="3">
        <v>0.73</v>
      </c>
    </row>
    <row r="157" spans="1:12" ht="14" customHeight="1" x14ac:dyDescent="0.2">
      <c r="A157" s="1" t="s">
        <v>165</v>
      </c>
      <c r="B157" s="1">
        <v>623</v>
      </c>
      <c r="C157" s="1">
        <v>596</v>
      </c>
      <c r="D157" s="1">
        <v>4778</v>
      </c>
      <c r="E157" s="4">
        <v>0.57899999999999996</v>
      </c>
      <c r="F157" s="1">
        <v>2587</v>
      </c>
      <c r="G157" s="1">
        <v>120</v>
      </c>
      <c r="H157" s="1">
        <v>34670</v>
      </c>
      <c r="I157" s="1">
        <v>34670</v>
      </c>
      <c r="J157" s="1">
        <v>77</v>
      </c>
      <c r="K157" s="1">
        <v>10.1</v>
      </c>
      <c r="L157" s="3">
        <v>0.83</v>
      </c>
    </row>
    <row r="158" spans="1:12" ht="14" customHeight="1" x14ac:dyDescent="0.2">
      <c r="A158" s="1" t="s">
        <v>166</v>
      </c>
      <c r="B158" s="1">
        <v>372</v>
      </c>
      <c r="C158" s="1">
        <v>308</v>
      </c>
      <c r="D158" s="1">
        <v>845</v>
      </c>
      <c r="E158" s="4">
        <v>0.86899999999999999</v>
      </c>
      <c r="F158" s="1">
        <v>662</v>
      </c>
      <c r="G158" s="1">
        <v>351</v>
      </c>
      <c r="H158" s="1">
        <v>22600</v>
      </c>
      <c r="I158" s="1">
        <v>22600</v>
      </c>
      <c r="J158" s="1">
        <v>59</v>
      </c>
      <c r="K158" s="1">
        <v>19</v>
      </c>
      <c r="L158" s="3">
        <v>0.39</v>
      </c>
    </row>
    <row r="159" spans="1:12" ht="14" customHeight="1" x14ac:dyDescent="0.2">
      <c r="A159" s="1" t="s">
        <v>167</v>
      </c>
      <c r="B159" s="1">
        <v>578</v>
      </c>
      <c r="C159" s="1">
        <v>504</v>
      </c>
      <c r="D159" s="1">
        <v>6361</v>
      </c>
      <c r="E159" s="4">
        <v>0.83199999999999996</v>
      </c>
      <c r="F159" s="1">
        <v>5889</v>
      </c>
      <c r="G159" s="1">
        <v>665</v>
      </c>
      <c r="H159" s="1">
        <v>26380</v>
      </c>
      <c r="I159" s="1">
        <v>26380</v>
      </c>
      <c r="J159" s="1">
        <v>81</v>
      </c>
      <c r="K159" s="1">
        <v>14.8</v>
      </c>
      <c r="L159" s="3">
        <v>0.93</v>
      </c>
    </row>
    <row r="160" spans="1:12" ht="14" customHeight="1" x14ac:dyDescent="0.2">
      <c r="A160" s="1" t="s">
        <v>168</v>
      </c>
      <c r="B160" s="1">
        <v>434</v>
      </c>
      <c r="C160" s="1">
        <v>404</v>
      </c>
      <c r="D160" s="1">
        <v>325</v>
      </c>
      <c r="E160" s="4">
        <v>0.8</v>
      </c>
      <c r="F160" s="1">
        <v>699</v>
      </c>
      <c r="G160" s="1">
        <v>717</v>
      </c>
      <c r="H160" s="1">
        <v>24600</v>
      </c>
      <c r="I160" s="1">
        <v>24600</v>
      </c>
      <c r="J160" s="1">
        <v>39</v>
      </c>
      <c r="K160" s="1">
        <v>10.5</v>
      </c>
      <c r="L160" s="3">
        <v>0.68</v>
      </c>
    </row>
    <row r="161" spans="1:12" ht="14" customHeight="1" x14ac:dyDescent="0.2">
      <c r="A161" s="1" t="s">
        <v>169</v>
      </c>
      <c r="B161" s="1">
        <v>577</v>
      </c>
      <c r="C161" s="1">
        <v>524</v>
      </c>
      <c r="D161" s="1">
        <v>1979</v>
      </c>
      <c r="E161" s="4">
        <v>0.879</v>
      </c>
      <c r="F161" s="1">
        <v>1980</v>
      </c>
      <c r="G161" s="1">
        <v>144</v>
      </c>
      <c r="H161" s="1">
        <v>30948</v>
      </c>
      <c r="I161" s="1">
        <v>30948</v>
      </c>
      <c r="J161" s="1">
        <v>82</v>
      </c>
      <c r="K161" s="1">
        <v>12.8</v>
      </c>
      <c r="L161" s="3">
        <v>0.78</v>
      </c>
    </row>
    <row r="162" spans="1:12" ht="14" customHeight="1" x14ac:dyDescent="0.2">
      <c r="A162" s="1" t="s">
        <v>170</v>
      </c>
      <c r="B162" s="1">
        <v>521</v>
      </c>
      <c r="C162" s="1">
        <v>475</v>
      </c>
      <c r="D162" s="1">
        <v>1959</v>
      </c>
      <c r="E162" s="4">
        <v>0.92100000000000004</v>
      </c>
      <c r="F162" s="1">
        <v>2849</v>
      </c>
      <c r="G162" s="1">
        <v>1107</v>
      </c>
      <c r="H162" s="1">
        <v>26520</v>
      </c>
      <c r="I162" s="1">
        <v>26520</v>
      </c>
      <c r="J162" s="1">
        <v>73</v>
      </c>
      <c r="K162" s="1">
        <v>13.3</v>
      </c>
      <c r="L162" s="3">
        <v>0.83</v>
      </c>
    </row>
    <row r="163" spans="1:12" ht="14" customHeight="1" x14ac:dyDescent="0.2">
      <c r="A163" s="1" t="s">
        <v>171</v>
      </c>
      <c r="B163" s="1">
        <v>504</v>
      </c>
      <c r="C163" s="1">
        <v>516</v>
      </c>
      <c r="D163" s="1">
        <v>713</v>
      </c>
      <c r="E163" s="4">
        <v>0.92700000000000005</v>
      </c>
      <c r="F163" s="1">
        <v>712</v>
      </c>
      <c r="G163" s="1">
        <v>23</v>
      </c>
      <c r="H163" s="1">
        <v>30476</v>
      </c>
      <c r="I163" s="1">
        <v>30476</v>
      </c>
      <c r="J163" s="1">
        <v>69</v>
      </c>
      <c r="K163" s="1">
        <v>11.3</v>
      </c>
      <c r="L163" s="3">
        <v>0.48</v>
      </c>
    </row>
    <row r="164" spans="1:12" ht="14" customHeight="1" x14ac:dyDescent="0.2">
      <c r="A164" s="1" t="s">
        <v>172</v>
      </c>
      <c r="B164" s="1">
        <v>480</v>
      </c>
      <c r="C164" s="1">
        <v>440</v>
      </c>
      <c r="D164" s="1">
        <v>776</v>
      </c>
      <c r="E164" s="4">
        <v>0.98599999999999999</v>
      </c>
      <c r="F164" s="1">
        <v>1419</v>
      </c>
      <c r="G164" s="1">
        <v>228</v>
      </c>
      <c r="H164" s="1">
        <v>21400</v>
      </c>
      <c r="I164" s="1">
        <v>21400</v>
      </c>
      <c r="J164" s="1">
        <v>58</v>
      </c>
      <c r="K164" s="1">
        <v>16.2</v>
      </c>
      <c r="L164" s="3">
        <v>0.45</v>
      </c>
    </row>
    <row r="165" spans="1:12" ht="14" customHeight="1" x14ac:dyDescent="0.2">
      <c r="A165" s="1" t="s">
        <v>173</v>
      </c>
      <c r="B165" s="1">
        <v>520</v>
      </c>
      <c r="C165" s="1">
        <v>490</v>
      </c>
      <c r="D165" s="1">
        <v>1223</v>
      </c>
      <c r="E165" s="4">
        <v>0.53100000000000003</v>
      </c>
      <c r="F165" s="1">
        <v>2645</v>
      </c>
      <c r="G165" s="1">
        <v>167</v>
      </c>
      <c r="H165" s="1">
        <v>22950</v>
      </c>
      <c r="I165" s="1">
        <v>22950</v>
      </c>
      <c r="J165" s="1">
        <v>51</v>
      </c>
      <c r="K165" s="1">
        <v>15.5</v>
      </c>
      <c r="L165" s="3">
        <v>0.45</v>
      </c>
    </row>
    <row r="166" spans="1:12" ht="14" customHeight="1" x14ac:dyDescent="0.2">
      <c r="A166" s="1" t="s">
        <v>174</v>
      </c>
      <c r="B166" s="1">
        <v>556</v>
      </c>
      <c r="C166" s="1">
        <v>495</v>
      </c>
      <c r="D166" s="1">
        <v>1561</v>
      </c>
      <c r="E166" s="4">
        <v>0.76100000000000001</v>
      </c>
      <c r="F166" s="1">
        <v>1548</v>
      </c>
      <c r="G166" s="1">
        <v>840</v>
      </c>
      <c r="H166" s="1">
        <v>28380</v>
      </c>
      <c r="I166" s="1">
        <v>28380</v>
      </c>
      <c r="J166" s="1">
        <v>89</v>
      </c>
      <c r="K166" s="1">
        <v>17.8</v>
      </c>
      <c r="L166" s="3">
        <v>0.81</v>
      </c>
    </row>
    <row r="167" spans="1:12" ht="14" customHeight="1" x14ac:dyDescent="0.2">
      <c r="A167" s="1" t="s">
        <v>175</v>
      </c>
      <c r="B167" s="1">
        <v>542</v>
      </c>
      <c r="C167" s="1">
        <v>479</v>
      </c>
      <c r="D167" s="1">
        <v>943</v>
      </c>
      <c r="E167" s="4">
        <v>0.9</v>
      </c>
      <c r="F167" s="1">
        <v>1041</v>
      </c>
      <c r="G167" s="1">
        <v>35</v>
      </c>
      <c r="H167" s="1">
        <v>29210</v>
      </c>
      <c r="I167" s="1">
        <v>29210</v>
      </c>
      <c r="J167" s="1">
        <v>76</v>
      </c>
      <c r="K167" s="1">
        <v>10.9</v>
      </c>
      <c r="L167" s="3">
        <v>0.42</v>
      </c>
    </row>
    <row r="168" spans="1:12" ht="14" customHeight="1" x14ac:dyDescent="0.2">
      <c r="A168" s="1" t="s">
        <v>176</v>
      </c>
      <c r="B168" s="1">
        <v>632</v>
      </c>
      <c r="C168" s="1">
        <v>603</v>
      </c>
      <c r="D168" s="1">
        <v>1966</v>
      </c>
      <c r="E168" s="4">
        <v>0.73</v>
      </c>
      <c r="F168" s="1">
        <v>1199</v>
      </c>
      <c r="G168" s="1">
        <v>61</v>
      </c>
      <c r="H168" s="1">
        <v>34960</v>
      </c>
      <c r="I168" s="1">
        <v>34960</v>
      </c>
      <c r="J168" s="1">
        <v>90</v>
      </c>
      <c r="K168" s="1">
        <v>11.8</v>
      </c>
      <c r="L168" s="3">
        <v>0.68</v>
      </c>
    </row>
    <row r="169" spans="1:12" ht="14" customHeight="1" x14ac:dyDescent="0.2">
      <c r="A169" s="1" t="s">
        <v>177</v>
      </c>
      <c r="B169" s="1">
        <v>537</v>
      </c>
      <c r="C169" s="1">
        <v>486</v>
      </c>
      <c r="D169" s="1">
        <v>1038</v>
      </c>
      <c r="E169" s="4">
        <v>0.80800000000000005</v>
      </c>
      <c r="F169" s="1">
        <v>973</v>
      </c>
      <c r="G169" s="1">
        <v>306</v>
      </c>
      <c r="H169" s="1">
        <v>30595</v>
      </c>
      <c r="I169" s="1">
        <v>30595</v>
      </c>
      <c r="J169" s="1">
        <v>79</v>
      </c>
      <c r="K169" s="1">
        <v>11.3</v>
      </c>
      <c r="L169" s="3">
        <v>0.8</v>
      </c>
    </row>
    <row r="170" spans="1:12" ht="14" customHeight="1" x14ac:dyDescent="0.2">
      <c r="A170" s="1" t="s">
        <v>178</v>
      </c>
      <c r="B170" s="1">
        <v>679</v>
      </c>
      <c r="C170" s="1">
        <v>555</v>
      </c>
      <c r="D170" s="1">
        <v>8728</v>
      </c>
      <c r="E170" s="4">
        <v>0.59599999999999997</v>
      </c>
      <c r="F170" s="1">
        <v>4265</v>
      </c>
      <c r="G170" s="1">
        <v>291</v>
      </c>
      <c r="H170" s="1">
        <v>32900</v>
      </c>
      <c r="I170" s="1">
        <v>32900</v>
      </c>
      <c r="J170" s="1">
        <v>86</v>
      </c>
      <c r="K170" s="1">
        <v>9.1999999999999993</v>
      </c>
      <c r="L170" s="3">
        <v>0.74</v>
      </c>
    </row>
    <row r="171" spans="1:12" ht="14" customHeight="1" x14ac:dyDescent="0.2">
      <c r="A171" s="1" t="s">
        <v>179</v>
      </c>
      <c r="B171" s="1">
        <v>481</v>
      </c>
      <c r="C171" s="1">
        <v>491</v>
      </c>
      <c r="D171" s="1">
        <v>212</v>
      </c>
      <c r="E171" s="4">
        <v>0.92900000000000005</v>
      </c>
      <c r="F171" s="1">
        <v>471</v>
      </c>
      <c r="G171" s="1">
        <v>148</v>
      </c>
      <c r="H171" s="1">
        <v>28500</v>
      </c>
      <c r="I171" s="1">
        <v>28500</v>
      </c>
      <c r="J171" s="1">
        <v>95</v>
      </c>
      <c r="K171" s="1">
        <v>9.3000000000000007</v>
      </c>
      <c r="L171" s="3">
        <v>0.52</v>
      </c>
    </row>
    <row r="172" spans="1:12" ht="14" customHeight="1" x14ac:dyDescent="0.2">
      <c r="A172" s="1" t="s">
        <v>180</v>
      </c>
      <c r="B172" s="1">
        <v>479</v>
      </c>
      <c r="C172" s="1">
        <v>452</v>
      </c>
      <c r="D172" s="1">
        <v>458</v>
      </c>
      <c r="E172" s="4">
        <v>0.80600000000000005</v>
      </c>
      <c r="F172" s="1">
        <v>1057</v>
      </c>
      <c r="G172" s="1">
        <v>355</v>
      </c>
      <c r="H172" s="1">
        <v>26190</v>
      </c>
      <c r="I172" s="1">
        <v>26190</v>
      </c>
      <c r="J172" s="1">
        <v>60</v>
      </c>
      <c r="K172" s="1">
        <v>13.6</v>
      </c>
      <c r="L172" s="3">
        <v>0.54</v>
      </c>
    </row>
    <row r="173" spans="1:12" ht="14" customHeight="1" x14ac:dyDescent="0.2">
      <c r="A173" s="1" t="s">
        <v>181</v>
      </c>
      <c r="B173" s="1">
        <v>518</v>
      </c>
      <c r="C173" s="1">
        <v>464</v>
      </c>
      <c r="D173" s="1">
        <v>2464</v>
      </c>
      <c r="E173" s="4">
        <v>0.77400000000000002</v>
      </c>
      <c r="F173" s="1">
        <v>2693</v>
      </c>
      <c r="G173" s="1">
        <v>691</v>
      </c>
      <c r="H173" s="1">
        <v>25970</v>
      </c>
      <c r="I173" s="1">
        <v>25970</v>
      </c>
      <c r="J173" s="1">
        <v>47</v>
      </c>
      <c r="K173" s="1">
        <v>13.3</v>
      </c>
      <c r="L173" s="3">
        <v>0.65</v>
      </c>
    </row>
    <row r="174" spans="1:12" ht="14" customHeight="1" x14ac:dyDescent="0.2">
      <c r="A174" s="1" t="s">
        <v>182</v>
      </c>
      <c r="B174" s="1">
        <v>502</v>
      </c>
      <c r="C174" s="1">
        <v>460</v>
      </c>
      <c r="D174" s="1">
        <v>668</v>
      </c>
      <c r="E174" s="4">
        <v>0.79900000000000004</v>
      </c>
      <c r="F174" s="1">
        <v>1306</v>
      </c>
      <c r="G174" s="1">
        <v>258</v>
      </c>
      <c r="H174" s="1">
        <v>24476</v>
      </c>
      <c r="I174" s="1">
        <v>24476</v>
      </c>
      <c r="J174" s="1">
        <v>67</v>
      </c>
      <c r="K174" s="1">
        <v>20.100000000000001</v>
      </c>
      <c r="L174" s="3">
        <v>0.74</v>
      </c>
    </row>
    <row r="175" spans="1:12" ht="14" customHeight="1" x14ac:dyDescent="0.2">
      <c r="A175" s="1" t="s">
        <v>183</v>
      </c>
      <c r="B175" s="1">
        <v>555</v>
      </c>
      <c r="C175" s="1">
        <v>509</v>
      </c>
      <c r="D175" s="1">
        <v>1742</v>
      </c>
      <c r="E175" s="4">
        <v>0.79300000000000004</v>
      </c>
      <c r="F175" s="1">
        <v>2258</v>
      </c>
      <c r="G175" s="1">
        <v>53</v>
      </c>
      <c r="H175" s="1">
        <v>25300</v>
      </c>
      <c r="I175" s="1">
        <v>25300</v>
      </c>
      <c r="J175" s="1">
        <v>68</v>
      </c>
      <c r="K175" s="1">
        <v>14.1</v>
      </c>
      <c r="L175" s="3">
        <v>0.89</v>
      </c>
    </row>
    <row r="176" spans="1:12" ht="14" customHeight="1" x14ac:dyDescent="0.2">
      <c r="A176" s="1" t="s">
        <v>184</v>
      </c>
      <c r="B176" s="1">
        <v>444</v>
      </c>
      <c r="C176" s="1">
        <v>418</v>
      </c>
      <c r="D176" s="1">
        <v>1154</v>
      </c>
      <c r="E176" s="4">
        <v>0.82399999999999995</v>
      </c>
      <c r="F176" s="1">
        <v>791</v>
      </c>
      <c r="G176" s="1">
        <v>140</v>
      </c>
      <c r="H176" s="1">
        <v>26172</v>
      </c>
      <c r="I176" s="1">
        <v>26172</v>
      </c>
      <c r="J176" s="1">
        <v>68</v>
      </c>
      <c r="K176" s="1">
        <v>11.6</v>
      </c>
      <c r="L176" s="3">
        <v>0.6</v>
      </c>
    </row>
    <row r="177" spans="1:12" ht="14" customHeight="1" x14ac:dyDescent="0.2">
      <c r="A177" s="1" t="s">
        <v>185</v>
      </c>
      <c r="B177" s="1">
        <v>680</v>
      </c>
      <c r="C177" s="1">
        <v>594</v>
      </c>
      <c r="D177" s="1">
        <v>12394</v>
      </c>
      <c r="E177" s="4">
        <v>0.42199999999999999</v>
      </c>
      <c r="F177" s="1">
        <v>9205</v>
      </c>
      <c r="G177" s="1">
        <v>531</v>
      </c>
      <c r="H177" s="1">
        <v>32020</v>
      </c>
      <c r="I177" s="1">
        <v>32020</v>
      </c>
      <c r="J177" s="1">
        <v>95</v>
      </c>
      <c r="K177" s="1">
        <v>6.3</v>
      </c>
      <c r="L177" s="3">
        <v>0.93</v>
      </c>
    </row>
    <row r="178" spans="1:12" ht="14" customHeight="1" x14ac:dyDescent="0.2">
      <c r="A178" s="1" t="s">
        <v>127</v>
      </c>
      <c r="B178" s="1">
        <v>530</v>
      </c>
      <c r="C178" s="1">
        <v>470</v>
      </c>
      <c r="D178" s="1">
        <v>996</v>
      </c>
      <c r="E178" s="4">
        <v>0.86899999999999999</v>
      </c>
      <c r="F178" s="1">
        <v>1411</v>
      </c>
      <c r="G178" s="1">
        <v>72</v>
      </c>
      <c r="H178" s="1">
        <v>27065</v>
      </c>
      <c r="I178" s="1">
        <v>27065</v>
      </c>
      <c r="J178" s="1">
        <v>62</v>
      </c>
      <c r="K178" s="1">
        <v>12.5</v>
      </c>
      <c r="L178" s="3">
        <v>0.8</v>
      </c>
    </row>
    <row r="179" spans="1:12" ht="14" customHeight="1" x14ac:dyDescent="0.2">
      <c r="A179" s="1" t="s">
        <v>186</v>
      </c>
      <c r="B179" s="1">
        <v>680</v>
      </c>
      <c r="C179" s="1">
        <v>620</v>
      </c>
      <c r="D179" s="1">
        <v>12586</v>
      </c>
      <c r="E179" s="4">
        <v>0.25700000000000001</v>
      </c>
      <c r="F179" s="1">
        <v>5643</v>
      </c>
      <c r="G179" s="1">
        <v>349</v>
      </c>
      <c r="H179" s="1">
        <v>34528</v>
      </c>
      <c r="I179" s="1">
        <v>34528</v>
      </c>
      <c r="J179" s="1">
        <v>99</v>
      </c>
      <c r="K179" s="1">
        <v>7.6</v>
      </c>
      <c r="L179" s="3">
        <v>0.97</v>
      </c>
    </row>
    <row r="180" spans="1:12" ht="14" customHeight="1" x14ac:dyDescent="0.2">
      <c r="A180" s="1" t="s">
        <v>187</v>
      </c>
      <c r="B180" s="1">
        <v>537</v>
      </c>
      <c r="C180" s="1">
        <v>485</v>
      </c>
      <c r="D180" s="1">
        <v>5139</v>
      </c>
      <c r="E180" s="4">
        <v>0.65100000000000002</v>
      </c>
      <c r="F180" s="1">
        <v>3717</v>
      </c>
      <c r="G180" s="1">
        <v>1358</v>
      </c>
      <c r="H180" s="1">
        <v>29400</v>
      </c>
      <c r="I180" s="1">
        <v>29400</v>
      </c>
      <c r="J180" s="1">
        <v>66</v>
      </c>
      <c r="K180" s="1">
        <v>18.399999999999999</v>
      </c>
      <c r="L180" s="3">
        <v>0.96</v>
      </c>
    </row>
    <row r="181" spans="1:12" ht="14" customHeight="1" x14ac:dyDescent="0.2">
      <c r="A181" s="1" t="s">
        <v>188</v>
      </c>
      <c r="B181" s="1">
        <v>429</v>
      </c>
      <c r="C181" s="1">
        <v>384</v>
      </c>
      <c r="D181" s="1">
        <v>174</v>
      </c>
      <c r="E181" s="4">
        <v>0.83899999999999997</v>
      </c>
      <c r="F181" s="1">
        <v>1047</v>
      </c>
      <c r="G181" s="1">
        <v>33</v>
      </c>
      <c r="H181" s="1">
        <v>23300</v>
      </c>
      <c r="I181" s="1">
        <v>23300</v>
      </c>
      <c r="J181" s="1">
        <v>62</v>
      </c>
      <c r="K181" s="1">
        <v>15.2</v>
      </c>
      <c r="L181" s="3">
        <v>0.57999999999999996</v>
      </c>
    </row>
    <row r="182" spans="1:12" ht="14" customHeight="1" x14ac:dyDescent="0.2">
      <c r="A182" s="1" t="s">
        <v>189</v>
      </c>
      <c r="B182" s="1">
        <v>466</v>
      </c>
      <c r="C182" s="1">
        <v>418</v>
      </c>
      <c r="D182" s="1">
        <v>872</v>
      </c>
      <c r="E182" s="4">
        <v>0.82799999999999996</v>
      </c>
      <c r="F182" s="1">
        <v>601</v>
      </c>
      <c r="G182" s="1">
        <v>36</v>
      </c>
      <c r="H182" s="1">
        <v>25194</v>
      </c>
      <c r="I182" s="1">
        <v>25194</v>
      </c>
      <c r="J182" s="1">
        <v>57</v>
      </c>
      <c r="K182" s="1">
        <v>11.4</v>
      </c>
      <c r="L182" s="3">
        <v>0.83</v>
      </c>
    </row>
    <row r="183" spans="1:12" ht="14" customHeight="1" x14ac:dyDescent="0.2">
      <c r="A183" s="1" t="s">
        <v>190</v>
      </c>
      <c r="B183" s="1">
        <v>580</v>
      </c>
      <c r="C183" s="1">
        <v>520</v>
      </c>
      <c r="D183" s="1">
        <v>1082</v>
      </c>
      <c r="E183" s="4">
        <v>0.76900000000000002</v>
      </c>
      <c r="F183" s="1">
        <v>1133</v>
      </c>
      <c r="G183" s="1">
        <v>30</v>
      </c>
      <c r="H183" s="1">
        <v>26859</v>
      </c>
      <c r="I183" s="1">
        <v>26859</v>
      </c>
      <c r="J183" s="1">
        <v>80</v>
      </c>
      <c r="K183" s="1">
        <v>13.4</v>
      </c>
      <c r="L183" s="3">
        <v>0.85</v>
      </c>
    </row>
    <row r="184" spans="1:12" ht="14" customHeight="1" x14ac:dyDescent="0.2">
      <c r="A184" s="1" t="s">
        <v>191</v>
      </c>
      <c r="B184" s="1">
        <v>522</v>
      </c>
      <c r="C184" s="1">
        <v>490</v>
      </c>
      <c r="D184" s="1">
        <v>1220</v>
      </c>
      <c r="E184" s="4">
        <v>0.79800000000000004</v>
      </c>
      <c r="F184" s="1">
        <v>1964</v>
      </c>
      <c r="G184" s="1">
        <v>623</v>
      </c>
      <c r="H184" s="1">
        <v>22800</v>
      </c>
      <c r="I184" s="1">
        <v>22800</v>
      </c>
      <c r="J184" s="1">
        <v>61</v>
      </c>
      <c r="K184" s="1">
        <v>11.1</v>
      </c>
      <c r="L184" s="3">
        <v>0.49</v>
      </c>
    </row>
    <row r="185" spans="1:12" ht="14" customHeight="1" x14ac:dyDescent="0.2">
      <c r="A185" s="1" t="s">
        <v>192</v>
      </c>
      <c r="B185" s="1">
        <v>530</v>
      </c>
      <c r="C185" s="1">
        <v>480</v>
      </c>
      <c r="D185" s="1">
        <v>880</v>
      </c>
      <c r="E185" s="4">
        <v>0.59099999999999997</v>
      </c>
      <c r="F185" s="1">
        <v>1068</v>
      </c>
      <c r="G185" s="1">
        <v>364</v>
      </c>
      <c r="H185" s="1">
        <v>24300</v>
      </c>
      <c r="I185" s="1">
        <v>24300</v>
      </c>
      <c r="J185" s="1">
        <v>81</v>
      </c>
      <c r="K185" s="1">
        <v>11.1</v>
      </c>
      <c r="L185" s="3">
        <v>0.63</v>
      </c>
    </row>
    <row r="186" spans="1:12" ht="14" customHeight="1" x14ac:dyDescent="0.2">
      <c r="A186" s="1" t="s">
        <v>193</v>
      </c>
      <c r="B186" s="1">
        <v>485</v>
      </c>
      <c r="C186" s="1">
        <v>458</v>
      </c>
      <c r="D186" s="1">
        <v>895</v>
      </c>
      <c r="E186" s="4">
        <v>0.61199999999999999</v>
      </c>
      <c r="F186" s="1">
        <v>1174</v>
      </c>
      <c r="G186" s="1">
        <v>50</v>
      </c>
      <c r="H186" s="1">
        <v>20500</v>
      </c>
      <c r="I186" s="1">
        <v>20500</v>
      </c>
      <c r="J186" s="1">
        <v>68</v>
      </c>
      <c r="K186" s="1">
        <v>16.100000000000001</v>
      </c>
      <c r="L186" s="3">
        <v>0.62</v>
      </c>
    </row>
    <row r="187" spans="1:12" ht="14" customHeight="1" x14ac:dyDescent="0.2">
      <c r="A187" s="1" t="s">
        <v>194</v>
      </c>
      <c r="B187" s="1">
        <v>505</v>
      </c>
      <c r="C187" s="1">
        <v>448</v>
      </c>
      <c r="D187" s="1">
        <v>1464</v>
      </c>
      <c r="E187" s="4">
        <v>0.60699999999999998</v>
      </c>
      <c r="F187" s="1">
        <v>624</v>
      </c>
      <c r="G187" s="1">
        <v>128</v>
      </c>
      <c r="H187" s="1">
        <v>26200</v>
      </c>
      <c r="I187" s="1">
        <v>26200</v>
      </c>
      <c r="J187" s="1">
        <v>80</v>
      </c>
      <c r="K187" s="1">
        <v>11.1</v>
      </c>
      <c r="L187" s="3">
        <v>0.51</v>
      </c>
    </row>
    <row r="188" spans="1:12" ht="14" customHeight="1" x14ac:dyDescent="0.2">
      <c r="A188" s="1" t="s">
        <v>195</v>
      </c>
      <c r="B188" s="1">
        <v>440</v>
      </c>
      <c r="C188" s="1">
        <v>370</v>
      </c>
      <c r="D188" s="1">
        <v>232</v>
      </c>
      <c r="E188" s="4">
        <v>0.78400000000000003</v>
      </c>
      <c r="F188" s="1">
        <v>402</v>
      </c>
      <c r="G188" s="1">
        <v>237</v>
      </c>
      <c r="H188" s="1">
        <v>22070</v>
      </c>
      <c r="I188" s="1">
        <v>22070</v>
      </c>
      <c r="J188" s="1">
        <v>59</v>
      </c>
      <c r="K188" s="1">
        <v>8.9</v>
      </c>
      <c r="L188" s="3">
        <v>0.36</v>
      </c>
    </row>
    <row r="189" spans="1:12" ht="14" customHeight="1" x14ac:dyDescent="0.2">
      <c r="A189" s="1" t="s">
        <v>196</v>
      </c>
      <c r="B189" s="1">
        <v>601</v>
      </c>
      <c r="C189" s="1">
        <v>557</v>
      </c>
      <c r="D189" s="1">
        <v>1445</v>
      </c>
      <c r="E189" s="4">
        <v>0.66900000000000004</v>
      </c>
      <c r="F189" s="1">
        <v>1129</v>
      </c>
      <c r="G189" s="1">
        <v>24</v>
      </c>
      <c r="H189" s="1">
        <v>30350</v>
      </c>
      <c r="I189" s="1">
        <v>30350</v>
      </c>
      <c r="J189" s="1">
        <v>89</v>
      </c>
      <c r="K189" s="1">
        <v>10.3</v>
      </c>
      <c r="L189" s="3">
        <v>0.82</v>
      </c>
    </row>
    <row r="190" spans="1:12" ht="14" customHeight="1" x14ac:dyDescent="0.2">
      <c r="A190" s="1" t="s">
        <v>197</v>
      </c>
      <c r="B190" s="1">
        <v>640</v>
      </c>
      <c r="C190" s="1">
        <v>559</v>
      </c>
      <c r="D190" s="1">
        <v>7791</v>
      </c>
      <c r="E190" s="4">
        <v>0.60199999999999998</v>
      </c>
      <c r="F190" s="1">
        <v>5500</v>
      </c>
      <c r="G190" s="1">
        <v>90</v>
      </c>
      <c r="H190" s="1">
        <v>32865</v>
      </c>
      <c r="I190" s="1">
        <v>32865</v>
      </c>
      <c r="J190" s="1">
        <v>93</v>
      </c>
      <c r="K190" s="1">
        <v>5.8</v>
      </c>
      <c r="L190" s="3">
        <v>0.83</v>
      </c>
    </row>
    <row r="191" spans="1:12" ht="14" customHeight="1" x14ac:dyDescent="0.2">
      <c r="A191" s="1" t="s">
        <v>198</v>
      </c>
      <c r="B191" s="1">
        <v>510</v>
      </c>
      <c r="C191" s="1">
        <v>470</v>
      </c>
      <c r="D191" s="1">
        <v>467</v>
      </c>
      <c r="E191" s="4">
        <v>0.90800000000000003</v>
      </c>
      <c r="F191" s="1">
        <v>1365</v>
      </c>
      <c r="G191" s="1">
        <v>334</v>
      </c>
      <c r="H191" s="1">
        <v>21300</v>
      </c>
      <c r="I191" s="1">
        <v>21300</v>
      </c>
      <c r="J191" s="1">
        <v>75</v>
      </c>
      <c r="K191" s="1">
        <v>13.7</v>
      </c>
      <c r="L191" s="3">
        <v>0.38</v>
      </c>
    </row>
    <row r="192" spans="1:12" ht="14" customHeight="1" x14ac:dyDescent="0.2">
      <c r="A192" s="1" t="s">
        <v>199</v>
      </c>
      <c r="B192" s="1">
        <v>480</v>
      </c>
      <c r="C192" s="1">
        <v>441</v>
      </c>
      <c r="D192" s="1">
        <v>1163</v>
      </c>
      <c r="E192" s="4">
        <v>0.79700000000000004</v>
      </c>
      <c r="F192" s="1">
        <v>1685</v>
      </c>
      <c r="G192" s="1">
        <v>556</v>
      </c>
      <c r="H192" s="1">
        <v>23840</v>
      </c>
      <c r="I192" s="1">
        <v>23840</v>
      </c>
      <c r="J192" s="1">
        <v>67</v>
      </c>
      <c r="K192" s="1">
        <v>11.4</v>
      </c>
      <c r="L192" s="3">
        <v>0.95</v>
      </c>
    </row>
    <row r="193" spans="1:12" ht="14" customHeight="1" x14ac:dyDescent="0.2">
      <c r="A193" s="1" t="s">
        <v>200</v>
      </c>
      <c r="B193" s="1">
        <v>470</v>
      </c>
      <c r="C193" s="1">
        <v>420</v>
      </c>
      <c r="D193" s="1">
        <v>584</v>
      </c>
      <c r="E193" s="4">
        <v>0.70699999999999996</v>
      </c>
      <c r="F193" s="1">
        <v>521</v>
      </c>
      <c r="G193" s="1">
        <v>99</v>
      </c>
      <c r="H193" s="1">
        <v>23955</v>
      </c>
      <c r="I193" s="1">
        <v>23955</v>
      </c>
      <c r="J193" s="1">
        <v>51</v>
      </c>
      <c r="K193" s="1">
        <v>11.8</v>
      </c>
      <c r="L193" s="3">
        <v>0.52</v>
      </c>
    </row>
    <row r="194" spans="1:12" ht="14" customHeight="1" x14ac:dyDescent="0.2">
      <c r="A194" s="1" t="s">
        <v>201</v>
      </c>
      <c r="B194" s="1">
        <v>419</v>
      </c>
      <c r="C194" s="1">
        <v>395</v>
      </c>
      <c r="D194" s="1">
        <v>321</v>
      </c>
      <c r="E194" s="4">
        <v>0.99099999999999999</v>
      </c>
      <c r="F194" s="1">
        <v>620</v>
      </c>
      <c r="G194" s="1">
        <v>280</v>
      </c>
      <c r="H194" s="1">
        <v>22536</v>
      </c>
      <c r="I194" s="1">
        <v>22536</v>
      </c>
      <c r="J194" s="1">
        <v>44</v>
      </c>
      <c r="K194" s="1">
        <v>13</v>
      </c>
      <c r="L194" s="3">
        <v>0.36</v>
      </c>
    </row>
    <row r="195" spans="1:12" ht="14" customHeight="1" x14ac:dyDescent="0.2">
      <c r="A195" s="1" t="s">
        <v>202</v>
      </c>
      <c r="B195" s="1">
        <v>330</v>
      </c>
      <c r="C195" s="1">
        <v>290</v>
      </c>
      <c r="D195" s="1">
        <v>254</v>
      </c>
      <c r="E195" s="4">
        <v>0.74399999999999999</v>
      </c>
      <c r="F195" s="1">
        <v>503</v>
      </c>
      <c r="G195" s="1">
        <v>40</v>
      </c>
      <c r="H195" s="1">
        <v>18605</v>
      </c>
      <c r="I195" s="1">
        <v>18605</v>
      </c>
      <c r="J195" s="1">
        <v>37</v>
      </c>
      <c r="K195" s="1">
        <v>18.399999999999999</v>
      </c>
      <c r="L195" s="3">
        <v>0.26</v>
      </c>
    </row>
    <row r="196" spans="1:12" ht="14" customHeight="1" x14ac:dyDescent="0.2">
      <c r="A196" s="1" t="s">
        <v>203</v>
      </c>
      <c r="B196" s="1">
        <v>498</v>
      </c>
      <c r="C196" s="1">
        <v>436</v>
      </c>
      <c r="D196" s="1">
        <v>497</v>
      </c>
      <c r="E196" s="4">
        <v>0.85099999999999998</v>
      </c>
      <c r="F196" s="1">
        <v>895</v>
      </c>
      <c r="G196" s="1">
        <v>429</v>
      </c>
      <c r="H196" s="1">
        <v>22850</v>
      </c>
      <c r="I196" s="1">
        <v>22850</v>
      </c>
      <c r="J196" s="1">
        <v>54</v>
      </c>
      <c r="K196" s="1">
        <v>13.8</v>
      </c>
      <c r="L196" s="3">
        <v>0.5</v>
      </c>
    </row>
    <row r="197" spans="1:12" ht="14" customHeight="1" x14ac:dyDescent="0.2">
      <c r="A197" s="1" t="s">
        <v>204</v>
      </c>
      <c r="B197" s="1">
        <v>593</v>
      </c>
      <c r="C197" s="1">
        <v>550</v>
      </c>
      <c r="D197" s="1">
        <v>681</v>
      </c>
      <c r="E197" s="4">
        <v>0.86299999999999999</v>
      </c>
      <c r="F197" s="1">
        <v>1058</v>
      </c>
      <c r="G197" s="1">
        <v>73</v>
      </c>
      <c r="H197" s="1">
        <v>25760</v>
      </c>
      <c r="I197" s="1">
        <v>25760</v>
      </c>
      <c r="J197" s="1">
        <v>85</v>
      </c>
      <c r="K197" s="1">
        <v>13.4</v>
      </c>
      <c r="L197" s="3">
        <v>0.63</v>
      </c>
    </row>
    <row r="198" spans="1:12" ht="14" customHeight="1" x14ac:dyDescent="0.2">
      <c r="A198" s="1" t="s">
        <v>121</v>
      </c>
      <c r="B198" s="1">
        <v>560</v>
      </c>
      <c r="C198" s="1">
        <v>500</v>
      </c>
      <c r="D198" s="1">
        <v>374</v>
      </c>
      <c r="E198" s="4">
        <v>0.749</v>
      </c>
      <c r="F198" s="1">
        <v>995</v>
      </c>
      <c r="G198" s="1">
        <v>408</v>
      </c>
      <c r="H198" s="1">
        <v>23550</v>
      </c>
      <c r="I198" s="1">
        <v>23550</v>
      </c>
      <c r="J198" s="1">
        <v>75</v>
      </c>
      <c r="K198" s="1">
        <v>12.6</v>
      </c>
      <c r="L198" s="3">
        <v>0.62</v>
      </c>
    </row>
    <row r="199" spans="1:12" ht="14" customHeight="1" x14ac:dyDescent="0.2">
      <c r="A199" s="1" t="s">
        <v>205</v>
      </c>
      <c r="B199" s="1">
        <v>485</v>
      </c>
      <c r="C199" s="1">
        <v>445</v>
      </c>
      <c r="D199" s="1">
        <v>765</v>
      </c>
      <c r="E199" s="4">
        <v>0.84399999999999997</v>
      </c>
      <c r="F199" s="1">
        <v>809</v>
      </c>
      <c r="G199" s="1">
        <v>32</v>
      </c>
      <c r="H199" s="1">
        <v>23578</v>
      </c>
      <c r="I199" s="1">
        <v>23578</v>
      </c>
      <c r="J199" s="1">
        <v>79</v>
      </c>
      <c r="K199" s="1">
        <v>13.9</v>
      </c>
      <c r="L199" s="3">
        <v>0.82</v>
      </c>
    </row>
    <row r="200" spans="1:12" ht="14" customHeight="1" x14ac:dyDescent="0.2">
      <c r="A200" s="1" t="s">
        <v>206</v>
      </c>
      <c r="B200" s="1">
        <v>502</v>
      </c>
      <c r="C200" s="1">
        <v>505</v>
      </c>
      <c r="D200" s="1">
        <v>602</v>
      </c>
      <c r="E200" s="4">
        <v>0.82699999999999996</v>
      </c>
      <c r="F200" s="1">
        <v>795</v>
      </c>
      <c r="G200" s="1">
        <v>74</v>
      </c>
      <c r="H200" s="1">
        <v>28470</v>
      </c>
      <c r="I200" s="1">
        <v>28470</v>
      </c>
      <c r="J200" s="1">
        <v>78</v>
      </c>
      <c r="K200" s="1">
        <v>11.1</v>
      </c>
      <c r="L200" s="3">
        <v>0.72</v>
      </c>
    </row>
    <row r="201" spans="1:12" ht="14" customHeight="1" x14ac:dyDescent="0.2">
      <c r="A201" s="1" t="s">
        <v>207</v>
      </c>
      <c r="B201" s="1">
        <v>525</v>
      </c>
      <c r="C201" s="1">
        <v>464</v>
      </c>
      <c r="D201" s="1">
        <v>2115</v>
      </c>
      <c r="E201" s="4">
        <v>0.72799999999999998</v>
      </c>
      <c r="F201" s="1">
        <v>2993</v>
      </c>
      <c r="G201" s="1">
        <v>347</v>
      </c>
      <c r="H201" s="1">
        <v>27825</v>
      </c>
      <c r="I201" s="1">
        <v>27825</v>
      </c>
      <c r="J201" s="1">
        <v>85</v>
      </c>
      <c r="K201" s="1">
        <v>12.2</v>
      </c>
      <c r="L201" s="3">
        <v>0.89</v>
      </c>
    </row>
    <row r="202" spans="1:12" ht="14" customHeight="1" x14ac:dyDescent="0.2">
      <c r="A202" s="1" t="s">
        <v>208</v>
      </c>
      <c r="B202" s="1">
        <v>600</v>
      </c>
      <c r="C202" s="1">
        <v>550</v>
      </c>
      <c r="D202" s="1">
        <v>1861</v>
      </c>
      <c r="E202" s="4">
        <v>0.53600000000000003</v>
      </c>
      <c r="F202" s="1">
        <v>1220</v>
      </c>
      <c r="G202" s="1">
        <v>46</v>
      </c>
      <c r="H202" s="1">
        <v>31670</v>
      </c>
      <c r="I202" s="1">
        <v>31670</v>
      </c>
      <c r="J202" s="1">
        <v>80</v>
      </c>
      <c r="K202" s="1">
        <v>10.5</v>
      </c>
      <c r="L202" s="3">
        <v>0.72</v>
      </c>
    </row>
    <row r="203" spans="1:12" ht="14" customHeight="1" x14ac:dyDescent="0.2">
      <c r="A203" s="1" t="s">
        <v>209</v>
      </c>
      <c r="B203" s="1">
        <v>575</v>
      </c>
      <c r="C203" s="1">
        <v>549</v>
      </c>
      <c r="D203" s="1">
        <v>1320</v>
      </c>
      <c r="E203" s="4">
        <v>0.69899999999999995</v>
      </c>
      <c r="F203" s="1">
        <v>1085</v>
      </c>
      <c r="G203" s="1">
        <v>81</v>
      </c>
      <c r="H203" s="1">
        <v>31304</v>
      </c>
      <c r="I203" s="1">
        <v>31304</v>
      </c>
      <c r="J203" s="1">
        <v>87</v>
      </c>
      <c r="K203" s="1">
        <v>11.1</v>
      </c>
      <c r="L203" s="3">
        <v>0.69</v>
      </c>
    </row>
    <row r="204" spans="1:12" ht="14" customHeight="1" x14ac:dyDescent="0.2">
      <c r="A204" s="1" t="s">
        <v>210</v>
      </c>
      <c r="B204" s="1">
        <v>557</v>
      </c>
      <c r="C204" s="1">
        <v>513</v>
      </c>
      <c r="D204" s="1">
        <v>587</v>
      </c>
      <c r="E204" s="4">
        <v>0.85299999999999998</v>
      </c>
      <c r="F204" s="1">
        <v>735</v>
      </c>
      <c r="G204" s="1">
        <v>28</v>
      </c>
      <c r="H204" s="1">
        <v>30200</v>
      </c>
      <c r="I204" s="1">
        <v>30200</v>
      </c>
      <c r="J204" s="1">
        <v>87</v>
      </c>
      <c r="K204" s="1">
        <v>9.4</v>
      </c>
      <c r="L204" s="3">
        <v>0.64</v>
      </c>
    </row>
    <row r="205" spans="1:12" ht="14" customHeight="1" x14ac:dyDescent="0.2">
      <c r="A205" s="1" t="s">
        <v>211</v>
      </c>
      <c r="B205" s="1">
        <v>614</v>
      </c>
      <c r="C205" s="1">
        <v>553</v>
      </c>
      <c r="D205" s="1">
        <v>1334</v>
      </c>
      <c r="E205" s="4">
        <v>0.93200000000000005</v>
      </c>
      <c r="F205" s="1">
        <v>1946</v>
      </c>
      <c r="G205" s="1">
        <v>95</v>
      </c>
      <c r="H205" s="1">
        <v>27140</v>
      </c>
      <c r="I205" s="1">
        <v>27140</v>
      </c>
      <c r="J205" s="1">
        <v>74</v>
      </c>
      <c r="K205" s="1">
        <v>15.1</v>
      </c>
      <c r="L205" s="3">
        <v>0.88</v>
      </c>
    </row>
    <row r="206" spans="1:12" ht="14" customHeight="1" x14ac:dyDescent="0.2">
      <c r="A206" s="1" t="s">
        <v>212</v>
      </c>
      <c r="B206" s="1">
        <v>443</v>
      </c>
      <c r="C206" s="1">
        <v>394</v>
      </c>
      <c r="D206" s="1">
        <v>582</v>
      </c>
      <c r="E206" s="4">
        <v>0.85599999999999998</v>
      </c>
      <c r="F206" s="1">
        <v>799</v>
      </c>
      <c r="G206" s="1">
        <v>78</v>
      </c>
      <c r="H206" s="1">
        <v>25468</v>
      </c>
      <c r="I206" s="1">
        <v>25468</v>
      </c>
      <c r="J206" s="1">
        <v>40</v>
      </c>
      <c r="K206" s="1">
        <v>11.5</v>
      </c>
      <c r="L206" s="3">
        <v>0.52</v>
      </c>
    </row>
    <row r="207" spans="1:12" ht="14" customHeight="1" x14ac:dyDescent="0.2">
      <c r="A207" s="2" t="s">
        <v>213</v>
      </c>
      <c r="B207" s="2">
        <v>465</v>
      </c>
      <c r="C207" s="2">
        <v>450</v>
      </c>
      <c r="D207" s="2">
        <v>4226</v>
      </c>
      <c r="E207" s="4">
        <v>0.86699999999999999</v>
      </c>
      <c r="F207" s="2">
        <v>7703</v>
      </c>
      <c r="G207" s="2">
        <v>2339</v>
      </c>
      <c r="H207" s="2">
        <v>16660</v>
      </c>
      <c r="I207" s="2">
        <v>20094</v>
      </c>
      <c r="J207" s="2">
        <v>77</v>
      </c>
      <c r="K207" s="2">
        <v>16.600000000000001</v>
      </c>
      <c r="L207" s="5">
        <v>0.5</v>
      </c>
    </row>
    <row r="208" spans="1:12" ht="14" customHeight="1" x14ac:dyDescent="0.2">
      <c r="A208" s="1" t="s">
        <v>214</v>
      </c>
      <c r="B208" s="1">
        <v>457</v>
      </c>
      <c r="C208" s="1">
        <v>414</v>
      </c>
      <c r="D208" s="1">
        <v>4158</v>
      </c>
      <c r="E208" s="4">
        <v>0.60899999999999999</v>
      </c>
      <c r="F208" s="1">
        <v>6394</v>
      </c>
      <c r="G208" s="1">
        <v>3881</v>
      </c>
      <c r="H208" s="1">
        <v>16842</v>
      </c>
      <c r="I208" s="1">
        <v>20962</v>
      </c>
      <c r="J208" s="1">
        <v>69</v>
      </c>
      <c r="K208" s="1">
        <v>16.7</v>
      </c>
      <c r="L208" s="3">
        <v>0.49</v>
      </c>
    </row>
    <row r="209" spans="1:12" ht="14" customHeight="1" x14ac:dyDescent="0.2">
      <c r="A209" s="1" t="s">
        <v>215</v>
      </c>
      <c r="B209" s="1">
        <v>444</v>
      </c>
      <c r="C209" s="1">
        <v>411</v>
      </c>
      <c r="D209" s="1">
        <v>2172</v>
      </c>
      <c r="E209" s="4">
        <v>0.68700000000000006</v>
      </c>
      <c r="F209" s="1">
        <v>2766</v>
      </c>
      <c r="G209" s="1">
        <v>1531</v>
      </c>
      <c r="H209" s="1">
        <v>16842</v>
      </c>
      <c r="I209" s="1">
        <v>20962</v>
      </c>
      <c r="J209" s="1">
        <v>71</v>
      </c>
      <c r="K209" s="1">
        <v>16.899999999999999</v>
      </c>
      <c r="L209" s="3">
        <v>0.5</v>
      </c>
    </row>
    <row r="210" spans="1:12" ht="14" customHeight="1" x14ac:dyDescent="0.2">
      <c r="A210" s="1" t="s">
        <v>216</v>
      </c>
      <c r="B210" s="1">
        <v>551</v>
      </c>
      <c r="C210" s="1">
        <v>481</v>
      </c>
      <c r="D210" s="1">
        <v>9735</v>
      </c>
      <c r="E210" s="4">
        <v>0.73799999999999999</v>
      </c>
      <c r="F210" s="1">
        <v>12478</v>
      </c>
      <c r="G210" s="1">
        <v>1660</v>
      </c>
      <c r="H210" s="1">
        <v>18824</v>
      </c>
      <c r="I210" s="1">
        <v>26656</v>
      </c>
      <c r="J210" s="1">
        <v>89</v>
      </c>
      <c r="K210" s="1">
        <v>16</v>
      </c>
      <c r="L210" s="3">
        <v>0.71</v>
      </c>
    </row>
    <row r="211" spans="1:12" ht="14" customHeight="1" x14ac:dyDescent="0.2">
      <c r="A211" s="1" t="s">
        <v>217</v>
      </c>
      <c r="B211" s="1">
        <v>571</v>
      </c>
      <c r="C211" s="1">
        <v>515</v>
      </c>
      <c r="D211" s="1">
        <v>11220</v>
      </c>
      <c r="E211" s="4">
        <v>0.70199999999999996</v>
      </c>
      <c r="F211" s="1">
        <v>19553</v>
      </c>
      <c r="G211" s="1">
        <v>2748</v>
      </c>
      <c r="H211" s="1">
        <v>16899</v>
      </c>
      <c r="I211" s="1">
        <v>20697</v>
      </c>
      <c r="J211" s="1">
        <v>88</v>
      </c>
      <c r="K211" s="1">
        <v>14.7</v>
      </c>
      <c r="L211" s="3">
        <v>0.63</v>
      </c>
    </row>
    <row r="212" spans="1:12" ht="14" customHeight="1" x14ac:dyDescent="0.2">
      <c r="A212" s="1" t="s">
        <v>218</v>
      </c>
      <c r="B212" s="1">
        <v>537</v>
      </c>
      <c r="C212" s="1">
        <v>441</v>
      </c>
      <c r="D212" s="1">
        <v>3580</v>
      </c>
      <c r="E212" s="4">
        <v>0.72699999999999998</v>
      </c>
      <c r="F212" s="1">
        <v>11028</v>
      </c>
      <c r="G212" s="1">
        <v>2411</v>
      </c>
      <c r="H212" s="1">
        <v>16460</v>
      </c>
      <c r="I212" s="1">
        <v>19460</v>
      </c>
      <c r="J212" s="1">
        <v>85</v>
      </c>
      <c r="K212" s="1">
        <v>11.8</v>
      </c>
      <c r="L212" s="3">
        <v>0.54</v>
      </c>
    </row>
    <row r="213" spans="1:12" ht="14" customHeight="1" x14ac:dyDescent="0.2">
      <c r="A213" s="1" t="s">
        <v>219</v>
      </c>
      <c r="B213" s="1">
        <v>482</v>
      </c>
      <c r="C213" s="1">
        <v>441</v>
      </c>
      <c r="D213" s="1">
        <v>4915</v>
      </c>
      <c r="E213" s="4">
        <v>0.68</v>
      </c>
      <c r="F213" s="1">
        <v>5356</v>
      </c>
      <c r="G213" s="1">
        <v>1502</v>
      </c>
      <c r="H213" s="1">
        <v>16408</v>
      </c>
      <c r="I213" s="1">
        <v>20542</v>
      </c>
      <c r="J213" s="1">
        <v>73</v>
      </c>
      <c r="K213" s="1">
        <v>17.100000000000001</v>
      </c>
      <c r="L213" s="3">
        <v>0.51</v>
      </c>
    </row>
    <row r="214" spans="1:12" ht="14" customHeight="1" x14ac:dyDescent="0.2">
      <c r="A214" s="1" t="s">
        <v>220</v>
      </c>
      <c r="B214" s="1">
        <v>470</v>
      </c>
      <c r="C214" s="1">
        <v>427</v>
      </c>
      <c r="D214" s="1">
        <v>1563</v>
      </c>
      <c r="E214" s="4">
        <v>0.64300000000000002</v>
      </c>
      <c r="F214" s="1">
        <v>1380</v>
      </c>
      <c r="G214" s="1">
        <v>136</v>
      </c>
      <c r="H214" s="1">
        <v>16408</v>
      </c>
      <c r="I214" s="1">
        <v>20542</v>
      </c>
      <c r="J214" s="1">
        <v>65</v>
      </c>
      <c r="K214" s="1">
        <v>14.2</v>
      </c>
      <c r="L214" s="3">
        <v>0.56999999999999995</v>
      </c>
    </row>
    <row r="215" spans="1:12" ht="14" customHeight="1" x14ac:dyDescent="0.2">
      <c r="A215" s="1" t="s">
        <v>221</v>
      </c>
      <c r="B215" s="1">
        <v>460</v>
      </c>
      <c r="C215" s="1">
        <v>420</v>
      </c>
      <c r="D215" s="1">
        <v>3100</v>
      </c>
      <c r="E215" s="4">
        <v>0.69399999999999995</v>
      </c>
      <c r="F215" s="1">
        <v>3234</v>
      </c>
      <c r="G215" s="1">
        <v>941</v>
      </c>
      <c r="H215" s="1">
        <v>16408</v>
      </c>
      <c r="I215" s="1">
        <v>20542</v>
      </c>
      <c r="J215" s="1">
        <v>75</v>
      </c>
      <c r="K215" s="1">
        <v>15.7</v>
      </c>
      <c r="L215" s="3">
        <v>0.65</v>
      </c>
    </row>
    <row r="216" spans="1:12" ht="14" customHeight="1" x14ac:dyDescent="0.2">
      <c r="A216" s="1" t="s">
        <v>222</v>
      </c>
      <c r="B216" s="1">
        <v>436</v>
      </c>
      <c r="C216" s="1">
        <v>400</v>
      </c>
      <c r="D216" s="1">
        <v>2197</v>
      </c>
      <c r="E216" s="4">
        <v>0.69</v>
      </c>
      <c r="F216" s="1">
        <v>3089</v>
      </c>
      <c r="G216" s="1">
        <v>2029</v>
      </c>
      <c r="H216" s="1">
        <v>17663</v>
      </c>
      <c r="I216" s="1">
        <v>21797</v>
      </c>
      <c r="J216" s="1">
        <v>60</v>
      </c>
      <c r="K216" s="1">
        <v>21</v>
      </c>
      <c r="L216" s="3">
        <v>0.4</v>
      </c>
    </row>
    <row r="217" spans="1:12" ht="14" customHeight="1" x14ac:dyDescent="0.2">
      <c r="A217" s="1" t="s">
        <v>223</v>
      </c>
      <c r="B217" s="1">
        <v>584</v>
      </c>
      <c r="C217" s="1">
        <v>501</v>
      </c>
      <c r="D217" s="1">
        <v>14292</v>
      </c>
      <c r="E217" s="4">
        <v>0.72199999999999998</v>
      </c>
      <c r="F217" s="1">
        <v>19340</v>
      </c>
      <c r="G217" s="1">
        <v>3991</v>
      </c>
      <c r="H217" s="1">
        <v>17919</v>
      </c>
      <c r="I217" s="1">
        <v>23723</v>
      </c>
      <c r="J217" s="1">
        <v>89</v>
      </c>
      <c r="K217" s="1">
        <v>18.100000000000001</v>
      </c>
      <c r="L217" s="3">
        <v>0.63</v>
      </c>
    </row>
    <row r="218" spans="1:12" ht="14" customHeight="1" x14ac:dyDescent="0.2">
      <c r="A218" s="1" t="s">
        <v>224</v>
      </c>
      <c r="B218" s="1">
        <v>433</v>
      </c>
      <c r="C218" s="1">
        <v>388</v>
      </c>
      <c r="D218" s="1">
        <v>461</v>
      </c>
      <c r="E218" s="4">
        <v>0.82599999999999996</v>
      </c>
      <c r="F218" s="1">
        <v>974</v>
      </c>
      <c r="G218" s="1">
        <v>503</v>
      </c>
      <c r="H218" s="1">
        <v>17700</v>
      </c>
      <c r="I218" s="1">
        <v>21600</v>
      </c>
      <c r="J218" s="1">
        <v>67</v>
      </c>
      <c r="K218" s="1">
        <v>15.2</v>
      </c>
      <c r="L218" s="3">
        <v>0.35</v>
      </c>
    </row>
    <row r="219" spans="1:12" ht="14" customHeight="1" x14ac:dyDescent="0.2">
      <c r="A219" s="1" t="s">
        <v>225</v>
      </c>
      <c r="B219" s="1">
        <v>426</v>
      </c>
      <c r="C219" s="1">
        <v>390</v>
      </c>
      <c r="D219" s="1">
        <v>1455</v>
      </c>
      <c r="E219" s="4">
        <v>0.73099999999999998</v>
      </c>
      <c r="F219" s="1">
        <v>2632</v>
      </c>
      <c r="G219" s="1">
        <v>617</v>
      </c>
      <c r="H219" s="1">
        <v>15740</v>
      </c>
      <c r="I219" s="1">
        <v>21806</v>
      </c>
      <c r="J219" s="1">
        <v>75</v>
      </c>
      <c r="K219" s="1">
        <v>15.1</v>
      </c>
      <c r="L219" s="3">
        <v>0.24</v>
      </c>
    </row>
    <row r="220" spans="1:12" ht="14" customHeight="1" x14ac:dyDescent="0.2">
      <c r="A220" s="1" t="s">
        <v>226</v>
      </c>
      <c r="B220" s="1">
        <v>433</v>
      </c>
      <c r="C220" s="1">
        <v>385</v>
      </c>
      <c r="D220" s="1">
        <v>944</v>
      </c>
      <c r="E220" s="4">
        <v>0.82</v>
      </c>
      <c r="F220" s="1">
        <v>2174</v>
      </c>
      <c r="G220" s="1">
        <v>529</v>
      </c>
      <c r="H220" s="1">
        <v>15628</v>
      </c>
      <c r="I220" s="1">
        <v>21360</v>
      </c>
      <c r="J220" s="1">
        <v>77</v>
      </c>
      <c r="K220" s="1">
        <v>15</v>
      </c>
      <c r="L220" s="3">
        <v>0.48</v>
      </c>
    </row>
    <row r="221" spans="1:12" ht="14" customHeight="1" x14ac:dyDescent="0.2">
      <c r="A221" s="1" t="s">
        <v>227</v>
      </c>
      <c r="B221" s="1">
        <v>578</v>
      </c>
      <c r="C221" s="1">
        <v>493</v>
      </c>
      <c r="D221" s="1">
        <v>10634</v>
      </c>
      <c r="E221" s="4">
        <v>0.66400000000000003</v>
      </c>
      <c r="F221" s="1">
        <v>16505</v>
      </c>
      <c r="G221" s="1">
        <v>5481</v>
      </c>
      <c r="H221" s="1">
        <v>15874</v>
      </c>
      <c r="I221" s="1">
        <v>23400</v>
      </c>
      <c r="J221" s="1">
        <v>92</v>
      </c>
      <c r="K221" s="1">
        <v>17.5</v>
      </c>
      <c r="L221" s="3">
        <v>0.62</v>
      </c>
    </row>
    <row r="222" spans="1:12" ht="14" customHeight="1" x14ac:dyDescent="0.2">
      <c r="A222" s="1" t="s">
        <v>228</v>
      </c>
      <c r="B222" s="1">
        <v>594</v>
      </c>
      <c r="C222" s="1">
        <v>527</v>
      </c>
      <c r="D222" s="1">
        <v>14596</v>
      </c>
      <c r="E222" s="4">
        <v>0.41</v>
      </c>
      <c r="F222" s="1">
        <v>14609</v>
      </c>
      <c r="G222" s="1">
        <v>1100</v>
      </c>
      <c r="H222" s="1">
        <v>15874</v>
      </c>
      <c r="I222" s="1">
        <v>23400</v>
      </c>
      <c r="J222" s="1">
        <v>88</v>
      </c>
      <c r="K222" s="1">
        <v>8.9</v>
      </c>
      <c r="L222" s="3">
        <v>0.83</v>
      </c>
    </row>
    <row r="223" spans="1:12" ht="14" customHeight="1" x14ac:dyDescent="0.2">
      <c r="A223" s="1" t="s">
        <v>229</v>
      </c>
      <c r="B223" s="1">
        <v>499</v>
      </c>
      <c r="C223" s="1">
        <v>457</v>
      </c>
      <c r="D223" s="1">
        <v>5191</v>
      </c>
      <c r="E223" s="4">
        <v>0.79600000000000004</v>
      </c>
      <c r="F223" s="1">
        <v>7532</v>
      </c>
      <c r="G223" s="1">
        <v>1847</v>
      </c>
      <c r="H223" s="1">
        <v>15931</v>
      </c>
      <c r="I223" s="1">
        <v>23677</v>
      </c>
      <c r="J223" s="1">
        <v>75</v>
      </c>
      <c r="K223" s="1">
        <v>15.5</v>
      </c>
      <c r="L223" s="3">
        <v>0.53</v>
      </c>
    </row>
    <row r="224" spans="1:12" ht="14" customHeight="1" x14ac:dyDescent="0.2">
      <c r="A224" s="1" t="s">
        <v>230</v>
      </c>
      <c r="B224" s="1">
        <v>457</v>
      </c>
      <c r="C224" s="1">
        <v>410</v>
      </c>
      <c r="D224" s="1">
        <v>3224</v>
      </c>
      <c r="E224" s="4">
        <v>0.78100000000000003</v>
      </c>
      <c r="F224" s="1">
        <v>5000</v>
      </c>
      <c r="G224" s="1">
        <v>706</v>
      </c>
      <c r="H224" s="1">
        <v>15718</v>
      </c>
      <c r="I224" s="1">
        <v>21390</v>
      </c>
      <c r="J224" s="1">
        <v>67</v>
      </c>
      <c r="K224" s="1">
        <v>14.6</v>
      </c>
      <c r="L224" s="3">
        <v>0.55000000000000004</v>
      </c>
    </row>
    <row r="225" spans="1:12" ht="14" customHeight="1" x14ac:dyDescent="0.2">
      <c r="A225" s="1" t="s">
        <v>231</v>
      </c>
      <c r="B225" s="1">
        <v>536</v>
      </c>
      <c r="C225" s="1">
        <v>476</v>
      </c>
      <c r="D225" s="1">
        <v>9750</v>
      </c>
      <c r="E225" s="4">
        <v>0.78400000000000003</v>
      </c>
      <c r="F225" s="1">
        <v>10358</v>
      </c>
      <c r="G225" s="1">
        <v>1338</v>
      </c>
      <c r="H225" s="1">
        <v>18550</v>
      </c>
      <c r="I225" s="1">
        <v>26180</v>
      </c>
      <c r="J225" s="1">
        <v>89</v>
      </c>
      <c r="K225" s="1">
        <v>17.5</v>
      </c>
      <c r="L225" s="3">
        <v>0.75</v>
      </c>
    </row>
    <row r="226" spans="1:12" ht="14" customHeight="1" x14ac:dyDescent="0.2">
      <c r="A226" s="1" t="s">
        <v>232</v>
      </c>
      <c r="B226" s="1">
        <v>463</v>
      </c>
      <c r="C226" s="1">
        <v>424</v>
      </c>
      <c r="D226" s="1">
        <v>3121</v>
      </c>
      <c r="E226" s="4">
        <v>0.78400000000000003</v>
      </c>
      <c r="F226" s="1">
        <v>3480</v>
      </c>
      <c r="G226" s="1">
        <v>776</v>
      </c>
      <c r="H226" s="1">
        <v>17590</v>
      </c>
      <c r="I226" s="1">
        <v>22870</v>
      </c>
      <c r="J226" s="1">
        <v>73</v>
      </c>
      <c r="K226" s="1">
        <v>16.100000000000001</v>
      </c>
      <c r="L226" s="3">
        <v>0.61</v>
      </c>
    </row>
    <row r="227" spans="1:12" ht="14" customHeight="1" x14ac:dyDescent="0.2">
      <c r="A227" s="1" t="s">
        <v>233</v>
      </c>
      <c r="B227" s="1">
        <v>440</v>
      </c>
      <c r="C227" s="1">
        <v>400</v>
      </c>
      <c r="D227" s="1">
        <v>2957</v>
      </c>
      <c r="E227" s="4">
        <v>0.48099999999999998</v>
      </c>
      <c r="F227" s="1">
        <v>3817</v>
      </c>
      <c r="G227" s="1">
        <v>1394</v>
      </c>
      <c r="H227" s="1">
        <v>17798</v>
      </c>
      <c r="I227" s="1">
        <v>18946</v>
      </c>
      <c r="J227" s="1">
        <v>63</v>
      </c>
      <c r="K227" s="1">
        <v>14.9</v>
      </c>
      <c r="L227" s="3">
        <v>0.26</v>
      </c>
    </row>
    <row r="228" spans="1:12" ht="14" customHeight="1" x14ac:dyDescent="0.2">
      <c r="A228" s="1" t="s">
        <v>234</v>
      </c>
      <c r="B228" s="1">
        <v>487</v>
      </c>
      <c r="C228" s="1">
        <v>431</v>
      </c>
      <c r="D228" s="1">
        <v>5220</v>
      </c>
      <c r="E228" s="4">
        <v>0.40799999999999997</v>
      </c>
      <c r="F228" s="1">
        <v>6411</v>
      </c>
      <c r="G228" s="1">
        <v>3186</v>
      </c>
      <c r="H228" s="1">
        <v>17400</v>
      </c>
      <c r="I228" s="1">
        <v>18648</v>
      </c>
      <c r="J228" s="1">
        <v>82</v>
      </c>
      <c r="K228" s="1">
        <v>21.5</v>
      </c>
      <c r="L228" s="3">
        <v>0.57999999999999996</v>
      </c>
    </row>
    <row r="229" spans="1:12" ht="14" customHeight="1" x14ac:dyDescent="0.2">
      <c r="A229" s="1" t="s">
        <v>235</v>
      </c>
      <c r="B229" s="1">
        <v>600</v>
      </c>
      <c r="C229" s="1">
        <v>466</v>
      </c>
      <c r="D229" s="1">
        <v>1879</v>
      </c>
      <c r="E229" s="4">
        <v>0.64700000000000002</v>
      </c>
      <c r="F229" s="1">
        <v>3311</v>
      </c>
      <c r="G229" s="1">
        <v>1646</v>
      </c>
      <c r="H229" s="1">
        <v>19188</v>
      </c>
      <c r="I229" s="1">
        <v>23832</v>
      </c>
      <c r="J229" s="1">
        <v>92</v>
      </c>
      <c r="K229" s="1">
        <v>13.5</v>
      </c>
      <c r="L229" s="3">
        <v>0.72</v>
      </c>
    </row>
    <row r="230" spans="1:12" ht="14" customHeight="1" x14ac:dyDescent="0.2">
      <c r="A230" s="1" t="s">
        <v>236</v>
      </c>
      <c r="B230" s="1">
        <v>529</v>
      </c>
      <c r="C230" s="1">
        <v>459</v>
      </c>
      <c r="D230" s="1">
        <v>5785</v>
      </c>
      <c r="E230" s="4">
        <v>0.46500000000000002</v>
      </c>
      <c r="F230" s="1">
        <v>4005</v>
      </c>
      <c r="G230" s="1">
        <v>1886</v>
      </c>
      <c r="H230" s="1">
        <v>18640</v>
      </c>
      <c r="I230" s="1">
        <v>22410</v>
      </c>
      <c r="J230" s="1">
        <v>90</v>
      </c>
      <c r="K230" s="1">
        <v>17.399999999999999</v>
      </c>
      <c r="L230" s="3">
        <v>0.57999999999999996</v>
      </c>
    </row>
    <row r="231" spans="1:12" ht="14" customHeight="1" x14ac:dyDescent="0.2">
      <c r="A231" s="1" t="s">
        <v>237</v>
      </c>
      <c r="B231" s="1">
        <v>545</v>
      </c>
      <c r="C231" s="1">
        <v>489</v>
      </c>
      <c r="D231" s="1">
        <v>3366</v>
      </c>
      <c r="E231" s="4">
        <v>0.52</v>
      </c>
      <c r="F231" s="1">
        <v>2585</v>
      </c>
      <c r="G231" s="1">
        <v>1300</v>
      </c>
      <c r="H231" s="1">
        <v>18641</v>
      </c>
      <c r="I231" s="1">
        <v>22411</v>
      </c>
      <c r="J231" s="1">
        <v>90</v>
      </c>
      <c r="K231" s="1">
        <v>18.600000000000001</v>
      </c>
      <c r="L231" s="3">
        <v>0.56999999999999995</v>
      </c>
    </row>
    <row r="232" spans="1:12" ht="14" customHeight="1" x14ac:dyDescent="0.2">
      <c r="A232" s="1" t="s">
        <v>238</v>
      </c>
      <c r="B232" s="1">
        <v>594</v>
      </c>
      <c r="C232" s="1">
        <v>513</v>
      </c>
      <c r="D232" s="1">
        <v>48094</v>
      </c>
      <c r="E232" s="4">
        <v>0.54700000000000004</v>
      </c>
      <c r="F232" s="1">
        <v>21401</v>
      </c>
      <c r="G232" s="1">
        <v>3712</v>
      </c>
      <c r="H232" s="1">
        <v>18640</v>
      </c>
      <c r="I232" s="1">
        <v>22410</v>
      </c>
      <c r="J232" s="1">
        <v>90</v>
      </c>
      <c r="K232" s="1">
        <v>19.5</v>
      </c>
      <c r="L232" s="3">
        <v>0.77</v>
      </c>
    </row>
    <row r="233" spans="1:12" ht="14" customHeight="1" x14ac:dyDescent="0.2">
      <c r="A233" s="1" t="s">
        <v>239</v>
      </c>
      <c r="B233" s="1">
        <v>552</v>
      </c>
      <c r="C233" s="1">
        <v>489</v>
      </c>
      <c r="D233" s="1">
        <v>4019</v>
      </c>
      <c r="E233" s="4">
        <v>0.39300000000000002</v>
      </c>
      <c r="F233" s="1">
        <v>4365</v>
      </c>
      <c r="G233" s="1">
        <v>765</v>
      </c>
      <c r="H233" s="1">
        <v>17288</v>
      </c>
      <c r="I233" s="1">
        <v>18040</v>
      </c>
      <c r="J233" s="1">
        <v>78</v>
      </c>
      <c r="K233" s="1">
        <v>19.5</v>
      </c>
      <c r="L233" s="3">
        <v>0.64</v>
      </c>
    </row>
    <row r="234" spans="1:12" ht="14" customHeight="1" x14ac:dyDescent="0.2">
      <c r="A234" s="1" t="s">
        <v>240</v>
      </c>
      <c r="B234" s="1">
        <v>580</v>
      </c>
      <c r="C234" s="1">
        <v>506</v>
      </c>
      <c r="D234" s="1">
        <v>13528</v>
      </c>
      <c r="E234" s="4">
        <v>0.68</v>
      </c>
      <c r="F234" s="1">
        <v>10168</v>
      </c>
      <c r="G234" s="1">
        <v>1231</v>
      </c>
      <c r="H234" s="1">
        <v>17650</v>
      </c>
      <c r="I234" s="1">
        <v>21550</v>
      </c>
      <c r="J234" s="1">
        <v>93</v>
      </c>
      <c r="K234" s="1">
        <v>17.399999999999999</v>
      </c>
      <c r="L234" s="3">
        <v>0.74</v>
      </c>
    </row>
    <row r="235" spans="1:12" ht="14" customHeight="1" x14ac:dyDescent="0.2">
      <c r="A235" s="1" t="s">
        <v>241</v>
      </c>
      <c r="B235" s="1">
        <v>455</v>
      </c>
      <c r="C235" s="1">
        <v>409</v>
      </c>
      <c r="D235" s="1">
        <v>5318</v>
      </c>
      <c r="E235" s="4">
        <v>0.66100000000000003</v>
      </c>
      <c r="F235" s="1">
        <v>7626</v>
      </c>
      <c r="G235" s="1">
        <v>2091</v>
      </c>
      <c r="H235" s="1">
        <v>17650</v>
      </c>
      <c r="I235" s="1">
        <v>21550</v>
      </c>
      <c r="J235" s="1">
        <v>71</v>
      </c>
      <c r="K235" s="1">
        <v>18.7</v>
      </c>
      <c r="L235" s="3">
        <v>0.42</v>
      </c>
    </row>
    <row r="236" spans="1:12" ht="14" customHeight="1" x14ac:dyDescent="0.2">
      <c r="A236" s="1" t="s">
        <v>242</v>
      </c>
      <c r="B236" s="1">
        <v>486</v>
      </c>
      <c r="C236" s="1">
        <v>466</v>
      </c>
      <c r="D236" s="1">
        <v>2119</v>
      </c>
      <c r="E236" s="4">
        <v>0.59699999999999998</v>
      </c>
      <c r="F236" s="1">
        <v>2478</v>
      </c>
      <c r="G236" s="1">
        <v>1441</v>
      </c>
      <c r="H236" s="1">
        <v>17650</v>
      </c>
      <c r="I236" s="1">
        <v>21550</v>
      </c>
      <c r="J236" s="1">
        <v>80</v>
      </c>
      <c r="K236" s="1">
        <v>14.9</v>
      </c>
      <c r="L236" s="3">
        <v>0.46</v>
      </c>
    </row>
    <row r="237" spans="1:12" ht="14" customHeight="1" x14ac:dyDescent="0.2">
      <c r="A237" s="1" t="s">
        <v>243</v>
      </c>
      <c r="B237" s="1">
        <v>399</v>
      </c>
      <c r="C237" s="1">
        <v>375</v>
      </c>
      <c r="D237" s="1">
        <v>1660</v>
      </c>
      <c r="E237" s="4">
        <v>0.65700000000000003</v>
      </c>
      <c r="F237" s="1">
        <v>1196</v>
      </c>
      <c r="G237" s="1">
        <v>33</v>
      </c>
      <c r="H237" s="1">
        <v>18020</v>
      </c>
      <c r="I237" s="1">
        <v>19818</v>
      </c>
      <c r="J237" s="1">
        <v>71</v>
      </c>
      <c r="K237" s="1">
        <v>12.6</v>
      </c>
      <c r="L237" s="3">
        <v>0.45</v>
      </c>
    </row>
    <row r="238" spans="1:12" ht="14" customHeight="1" x14ac:dyDescent="0.2">
      <c r="A238" s="1" t="s">
        <v>244</v>
      </c>
      <c r="B238" s="1">
        <v>524</v>
      </c>
      <c r="C238" s="1">
        <v>465</v>
      </c>
      <c r="D238" s="1">
        <v>6773</v>
      </c>
      <c r="E238" s="4">
        <v>0.44700000000000001</v>
      </c>
      <c r="F238" s="1">
        <v>5847</v>
      </c>
      <c r="G238" s="1">
        <v>946</v>
      </c>
      <c r="H238" s="1">
        <v>18086</v>
      </c>
      <c r="I238" s="1">
        <v>22844</v>
      </c>
      <c r="J238" s="1">
        <v>66</v>
      </c>
      <c r="K238" s="1">
        <v>18</v>
      </c>
      <c r="L238" s="3">
        <v>0.75</v>
      </c>
    </row>
    <row r="239" spans="1:12" ht="14" customHeight="1" x14ac:dyDescent="0.2">
      <c r="A239" s="1" t="s">
        <v>245</v>
      </c>
      <c r="B239" s="1">
        <v>536</v>
      </c>
      <c r="C239" s="1">
        <v>479</v>
      </c>
      <c r="D239" s="1">
        <v>6011</v>
      </c>
      <c r="E239" s="4">
        <v>0.51200000000000001</v>
      </c>
      <c r="F239" s="1">
        <v>5146</v>
      </c>
      <c r="G239" s="1">
        <v>1532</v>
      </c>
      <c r="H239" s="1">
        <v>18086</v>
      </c>
      <c r="I239" s="1">
        <v>22844</v>
      </c>
      <c r="J239" s="1">
        <v>72</v>
      </c>
      <c r="K239" s="1">
        <v>16.8</v>
      </c>
      <c r="L239" s="3">
        <v>0.71</v>
      </c>
    </row>
    <row r="240" spans="1:12" ht="14" customHeight="1" x14ac:dyDescent="0.2">
      <c r="A240" s="1" t="s">
        <v>246</v>
      </c>
      <c r="B240" s="1">
        <v>529</v>
      </c>
      <c r="C240" s="1">
        <v>468</v>
      </c>
      <c r="D240" s="1">
        <v>5818</v>
      </c>
      <c r="E240" s="4">
        <v>0.56399999999999995</v>
      </c>
      <c r="F240" s="1">
        <v>5268</v>
      </c>
      <c r="G240" s="1">
        <v>300</v>
      </c>
      <c r="H240" s="1">
        <v>18086</v>
      </c>
      <c r="I240" s="1">
        <v>22844</v>
      </c>
      <c r="J240" s="1">
        <v>80</v>
      </c>
      <c r="K240" s="1">
        <v>18.8</v>
      </c>
      <c r="L240" s="3">
        <v>0.72</v>
      </c>
    </row>
    <row r="241" spans="1:12" ht="14" customHeight="1" x14ac:dyDescent="0.2">
      <c r="A241" s="1" t="s">
        <v>247</v>
      </c>
      <c r="B241" s="1">
        <v>508</v>
      </c>
      <c r="C241" s="1">
        <v>455</v>
      </c>
      <c r="D241" s="1">
        <v>7987</v>
      </c>
      <c r="E241" s="4">
        <v>0.64400000000000002</v>
      </c>
      <c r="F241" s="1">
        <v>14726</v>
      </c>
      <c r="G241" s="1">
        <v>4666</v>
      </c>
      <c r="H241" s="1">
        <v>20314</v>
      </c>
      <c r="I241" s="1">
        <v>25096</v>
      </c>
      <c r="J241" s="1">
        <v>87</v>
      </c>
      <c r="K241" s="1">
        <v>11.2</v>
      </c>
      <c r="L241" s="3">
        <v>0.45</v>
      </c>
    </row>
    <row r="242" spans="1:12" ht="14" customHeight="1" x14ac:dyDescent="0.2">
      <c r="A242" s="1" t="s">
        <v>248</v>
      </c>
      <c r="B242" s="1">
        <v>537</v>
      </c>
      <c r="C242" s="1">
        <v>480</v>
      </c>
      <c r="D242" s="1">
        <v>8586</v>
      </c>
      <c r="E242" s="4">
        <v>0.74299999999999999</v>
      </c>
      <c r="F242" s="1">
        <v>13138</v>
      </c>
      <c r="G242" s="1">
        <v>4289</v>
      </c>
      <c r="H242" s="1">
        <v>19962</v>
      </c>
      <c r="I242" s="1">
        <v>25786</v>
      </c>
      <c r="J242" s="1">
        <v>93</v>
      </c>
      <c r="K242" s="1">
        <v>7.8</v>
      </c>
      <c r="L242" s="3">
        <v>0.66</v>
      </c>
    </row>
    <row r="243" spans="1:12" ht="14" customHeight="1" x14ac:dyDescent="0.2">
      <c r="A243" s="1" t="s">
        <v>249</v>
      </c>
      <c r="B243" s="1">
        <v>583</v>
      </c>
      <c r="C243" s="1">
        <v>500</v>
      </c>
      <c r="D243" s="1">
        <v>19315</v>
      </c>
      <c r="E243" s="4">
        <v>0.53600000000000003</v>
      </c>
      <c r="F243" s="1">
        <v>28938</v>
      </c>
      <c r="G243" s="1">
        <v>2025</v>
      </c>
      <c r="H243" s="1">
        <v>19966</v>
      </c>
      <c r="I243" s="1">
        <v>25645</v>
      </c>
      <c r="J243" s="1">
        <v>77</v>
      </c>
      <c r="K243" s="1">
        <v>18.100000000000001</v>
      </c>
      <c r="L243" s="3">
        <v>0.63</v>
      </c>
    </row>
    <row r="244" spans="1:12" ht="14" customHeight="1" x14ac:dyDescent="0.2">
      <c r="A244" s="2" t="s">
        <v>250</v>
      </c>
      <c r="B244" s="2">
        <v>515</v>
      </c>
      <c r="C244" s="2">
        <v>449</v>
      </c>
      <c r="D244" s="2">
        <v>9643</v>
      </c>
      <c r="E244" s="4">
        <v>0.80400000000000005</v>
      </c>
      <c r="F244" s="2">
        <v>8894</v>
      </c>
      <c r="G244" s="2">
        <v>2456</v>
      </c>
      <c r="H244" s="2">
        <v>18004</v>
      </c>
      <c r="I244" s="2">
        <v>25330</v>
      </c>
      <c r="J244" s="2">
        <v>84</v>
      </c>
      <c r="K244" s="2">
        <v>16.600000000000001</v>
      </c>
      <c r="L244" s="5">
        <v>0.63</v>
      </c>
    </row>
    <row r="245" spans="1:12" ht="14" customHeight="1" x14ac:dyDescent="0.2">
      <c r="A245" s="1" t="s">
        <v>251</v>
      </c>
      <c r="B245" s="1">
        <v>640</v>
      </c>
      <c r="C245" s="1">
        <v>600</v>
      </c>
      <c r="D245" s="1">
        <v>7117</v>
      </c>
      <c r="E245" s="4">
        <v>0.436</v>
      </c>
      <c r="F245" s="1">
        <v>5186</v>
      </c>
      <c r="G245" s="1">
        <v>134</v>
      </c>
      <c r="H245" s="1">
        <v>17808</v>
      </c>
      <c r="I245" s="1">
        <v>26720</v>
      </c>
      <c r="J245" s="1">
        <v>89</v>
      </c>
      <c r="K245" s="1">
        <v>12.1</v>
      </c>
      <c r="L245" s="3">
        <v>0.93</v>
      </c>
    </row>
    <row r="246" spans="1:12" ht="14" customHeight="1" x14ac:dyDescent="0.2">
      <c r="A246" s="1" t="s">
        <v>252</v>
      </c>
      <c r="B246" s="1">
        <v>488</v>
      </c>
      <c r="C246" s="1">
        <v>449</v>
      </c>
      <c r="D246" s="1">
        <v>4963</v>
      </c>
      <c r="E246" s="4">
        <v>0.70499999999999996</v>
      </c>
      <c r="F246" s="1">
        <v>10262</v>
      </c>
      <c r="G246" s="1">
        <v>5065</v>
      </c>
      <c r="H246" s="1">
        <v>18034</v>
      </c>
      <c r="I246" s="1">
        <v>25217</v>
      </c>
      <c r="J246" s="1">
        <v>81</v>
      </c>
      <c r="K246" s="1">
        <v>8.6999999999999993</v>
      </c>
      <c r="L246" s="3">
        <v>0.45</v>
      </c>
    </row>
    <row r="247" spans="1:12" ht="14" customHeight="1" x14ac:dyDescent="0.2">
      <c r="A247" s="1" t="s">
        <v>253</v>
      </c>
      <c r="B247" s="1">
        <v>436</v>
      </c>
      <c r="C247" s="1">
        <v>412</v>
      </c>
      <c r="D247" s="1">
        <v>833</v>
      </c>
      <c r="E247" s="4">
        <v>0.80300000000000005</v>
      </c>
      <c r="F247" s="1">
        <v>1224</v>
      </c>
      <c r="G247" s="1">
        <v>345</v>
      </c>
      <c r="H247" s="1">
        <v>18312</v>
      </c>
      <c r="I247" s="1">
        <v>22656</v>
      </c>
      <c r="J247" s="1">
        <v>80</v>
      </c>
      <c r="K247" s="1">
        <v>14.4</v>
      </c>
      <c r="L247" s="3">
        <v>0.36</v>
      </c>
    </row>
    <row r="248" spans="1:12" ht="14" customHeight="1" x14ac:dyDescent="0.2">
      <c r="A248" s="1" t="s">
        <v>254</v>
      </c>
      <c r="B248" s="1">
        <v>553</v>
      </c>
      <c r="C248" s="1">
        <v>488</v>
      </c>
      <c r="D248" s="1">
        <v>7663</v>
      </c>
      <c r="E248" s="4">
        <v>0.78400000000000003</v>
      </c>
      <c r="F248" s="1">
        <v>7353</v>
      </c>
      <c r="G248" s="1">
        <v>1674</v>
      </c>
      <c r="H248" s="1">
        <v>21210</v>
      </c>
      <c r="I248" s="1">
        <v>30516</v>
      </c>
      <c r="J248" s="1">
        <v>87</v>
      </c>
      <c r="K248" s="1">
        <v>9.9</v>
      </c>
      <c r="L248" s="3">
        <v>0.79</v>
      </c>
    </row>
    <row r="249" spans="1:12" ht="14" customHeight="1" x14ac:dyDescent="0.2">
      <c r="A249" s="1" t="s">
        <v>255</v>
      </c>
      <c r="B249" s="1">
        <v>740</v>
      </c>
      <c r="C249" s="1">
        <v>630</v>
      </c>
      <c r="D249" s="1">
        <v>1377</v>
      </c>
      <c r="E249" s="4">
        <v>0.41499999999999998</v>
      </c>
      <c r="F249" s="1">
        <v>654</v>
      </c>
      <c r="G249" s="1">
        <v>5</v>
      </c>
      <c r="H249" s="1">
        <v>32230</v>
      </c>
      <c r="I249" s="1">
        <v>32230</v>
      </c>
      <c r="J249" s="1">
        <v>100</v>
      </c>
      <c r="K249" s="1">
        <v>8.1999999999999993</v>
      </c>
      <c r="L249" s="3">
        <v>1</v>
      </c>
    </row>
    <row r="250" spans="1:12" ht="14" customHeight="1" x14ac:dyDescent="0.2">
      <c r="A250" s="1" t="s">
        <v>256</v>
      </c>
      <c r="B250" s="1">
        <v>570</v>
      </c>
      <c r="C250" s="1">
        <v>510</v>
      </c>
      <c r="D250" s="1">
        <v>2324</v>
      </c>
      <c r="E250" s="4">
        <v>0.56799999999999995</v>
      </c>
      <c r="F250" s="1">
        <v>1686</v>
      </c>
      <c r="G250" s="1">
        <v>35</v>
      </c>
      <c r="H250" s="1">
        <v>31560</v>
      </c>
      <c r="I250" s="1">
        <v>31560</v>
      </c>
      <c r="J250" s="1">
        <v>91</v>
      </c>
      <c r="K250" s="1">
        <v>10.5</v>
      </c>
      <c r="L250" s="3">
        <v>0.79</v>
      </c>
    </row>
    <row r="251" spans="1:12" ht="14" customHeight="1" x14ac:dyDescent="0.2">
      <c r="A251" s="1" t="s">
        <v>257</v>
      </c>
      <c r="B251" s="1">
        <v>549</v>
      </c>
      <c r="C251" s="1">
        <v>483</v>
      </c>
      <c r="D251" s="1">
        <v>2643</v>
      </c>
      <c r="E251" s="4">
        <v>0.61</v>
      </c>
      <c r="F251" s="1">
        <v>2615</v>
      </c>
      <c r="G251" s="1">
        <v>248</v>
      </c>
      <c r="H251" s="1">
        <v>28332</v>
      </c>
      <c r="I251" s="1">
        <v>28332</v>
      </c>
      <c r="J251" s="1">
        <v>88</v>
      </c>
      <c r="K251" s="1">
        <v>16.100000000000001</v>
      </c>
      <c r="L251" s="3">
        <v>0.78</v>
      </c>
    </row>
    <row r="252" spans="1:12" ht="14" customHeight="1" x14ac:dyDescent="0.2">
      <c r="A252" s="1" t="s">
        <v>258</v>
      </c>
      <c r="B252" s="1">
        <v>549</v>
      </c>
      <c r="C252" s="1">
        <v>485</v>
      </c>
      <c r="D252" s="1">
        <v>3768</v>
      </c>
      <c r="E252" s="4">
        <v>0.70599999999999996</v>
      </c>
      <c r="F252" s="1">
        <v>3558</v>
      </c>
      <c r="G252" s="1">
        <v>436</v>
      </c>
      <c r="H252" s="1">
        <v>28592</v>
      </c>
      <c r="I252" s="1">
        <v>28592</v>
      </c>
      <c r="J252" s="1">
        <v>84</v>
      </c>
      <c r="K252" s="1">
        <v>14.2</v>
      </c>
      <c r="L252" s="3">
        <v>0.84</v>
      </c>
    </row>
    <row r="253" spans="1:12" ht="14" customHeight="1" x14ac:dyDescent="0.2">
      <c r="A253" s="1" t="s">
        <v>259</v>
      </c>
      <c r="B253" s="1">
        <v>480</v>
      </c>
      <c r="C253" s="1">
        <v>420</v>
      </c>
      <c r="D253" s="1">
        <v>2307</v>
      </c>
      <c r="E253" s="4">
        <v>0.82199999999999995</v>
      </c>
      <c r="F253" s="1">
        <v>1707</v>
      </c>
      <c r="G253" s="1">
        <v>1889</v>
      </c>
      <c r="H253" s="1">
        <v>26070</v>
      </c>
      <c r="I253" s="1">
        <v>26070</v>
      </c>
      <c r="J253" s="1">
        <v>71</v>
      </c>
      <c r="K253" s="1">
        <v>14.8</v>
      </c>
      <c r="L253" s="3">
        <v>0.82</v>
      </c>
    </row>
    <row r="254" spans="1:12" ht="14" customHeight="1" x14ac:dyDescent="0.2">
      <c r="A254" s="1" t="s">
        <v>260</v>
      </c>
      <c r="B254" s="1">
        <v>489</v>
      </c>
      <c r="C254" s="1">
        <v>422</v>
      </c>
      <c r="D254" s="1">
        <v>598</v>
      </c>
      <c r="E254" s="4">
        <v>0.73699999999999999</v>
      </c>
      <c r="F254" s="1">
        <v>527</v>
      </c>
      <c r="G254" s="1">
        <v>312</v>
      </c>
      <c r="H254" s="1">
        <v>27500</v>
      </c>
      <c r="I254" s="1">
        <v>27500</v>
      </c>
      <c r="J254" s="1">
        <v>76</v>
      </c>
      <c r="K254" s="1">
        <v>7.9</v>
      </c>
      <c r="L254" s="3">
        <v>0.51</v>
      </c>
    </row>
    <row r="255" spans="1:12" ht="14" customHeight="1" x14ac:dyDescent="0.2">
      <c r="A255" s="1" t="s">
        <v>261</v>
      </c>
      <c r="B255" s="1">
        <v>506</v>
      </c>
      <c r="C255" s="1">
        <v>457</v>
      </c>
      <c r="D255" s="1">
        <v>5081</v>
      </c>
      <c r="E255" s="4">
        <v>0.79500000000000004</v>
      </c>
      <c r="F255" s="1">
        <v>3768</v>
      </c>
      <c r="G255" s="1">
        <v>1415</v>
      </c>
      <c r="H255" s="1">
        <v>29220</v>
      </c>
      <c r="I255" s="1">
        <v>29220</v>
      </c>
      <c r="J255" s="1">
        <v>61</v>
      </c>
      <c r="K255" s="1">
        <v>10.7</v>
      </c>
      <c r="L255" s="3">
        <v>0.66</v>
      </c>
    </row>
    <row r="256" spans="1:12" ht="14" customHeight="1" x14ac:dyDescent="0.2">
      <c r="A256" s="2" t="s">
        <v>262</v>
      </c>
      <c r="B256" s="2">
        <v>413</v>
      </c>
      <c r="C256" s="2">
        <v>387</v>
      </c>
      <c r="D256" s="2">
        <v>980</v>
      </c>
      <c r="E256" s="4">
        <v>0.82299999999999995</v>
      </c>
      <c r="F256" s="2">
        <v>872</v>
      </c>
      <c r="G256" s="2">
        <v>448</v>
      </c>
      <c r="H256" s="2">
        <v>24890</v>
      </c>
      <c r="I256" s="2">
        <v>24890</v>
      </c>
      <c r="J256" s="2">
        <v>52</v>
      </c>
      <c r="K256" s="2">
        <v>14.4</v>
      </c>
      <c r="L256" s="5">
        <v>0.84</v>
      </c>
    </row>
    <row r="257" spans="1:12" ht="14" customHeight="1" x14ac:dyDescent="0.2">
      <c r="A257" s="1" t="s">
        <v>263</v>
      </c>
      <c r="B257" s="1">
        <v>596</v>
      </c>
      <c r="C257" s="1">
        <v>500</v>
      </c>
      <c r="D257" s="1">
        <v>1947</v>
      </c>
      <c r="E257" s="4">
        <v>0.81200000000000006</v>
      </c>
      <c r="F257" s="1">
        <v>1863</v>
      </c>
      <c r="G257" s="1">
        <v>233</v>
      </c>
      <c r="H257" s="1">
        <v>28900</v>
      </c>
      <c r="I257" s="1">
        <v>28900</v>
      </c>
      <c r="J257" s="1">
        <v>90</v>
      </c>
      <c r="K257" s="1">
        <v>10.6</v>
      </c>
      <c r="L257" s="3">
        <v>0.56999999999999995</v>
      </c>
    </row>
    <row r="258" spans="1:12" ht="14" customHeight="1" x14ac:dyDescent="0.2">
      <c r="A258" s="1" t="s">
        <v>264</v>
      </c>
      <c r="B258" s="1">
        <v>393</v>
      </c>
      <c r="C258" s="1">
        <v>373</v>
      </c>
      <c r="D258" s="1">
        <v>1436</v>
      </c>
      <c r="E258" s="4">
        <v>0.85499999999999998</v>
      </c>
      <c r="F258" s="1">
        <v>1320</v>
      </c>
      <c r="G258" s="1">
        <v>822</v>
      </c>
      <c r="H258" s="1">
        <v>19371</v>
      </c>
      <c r="I258" s="1">
        <v>19371</v>
      </c>
      <c r="J258" s="1">
        <v>62</v>
      </c>
      <c r="K258" s="1">
        <v>12.6</v>
      </c>
      <c r="L258" s="3">
        <v>0.18</v>
      </c>
    </row>
    <row r="259" spans="1:12" ht="14" customHeight="1" x14ac:dyDescent="0.2">
      <c r="A259" s="1" t="s">
        <v>265</v>
      </c>
      <c r="B259" s="1">
        <v>538</v>
      </c>
      <c r="C259" s="1">
        <v>498</v>
      </c>
      <c r="D259" s="1">
        <v>2096</v>
      </c>
      <c r="E259" s="4">
        <v>0.77600000000000002</v>
      </c>
      <c r="F259" s="1">
        <v>2551</v>
      </c>
      <c r="G259" s="1">
        <v>407</v>
      </c>
      <c r="H259" s="1">
        <v>26800</v>
      </c>
      <c r="I259" s="1">
        <v>26800</v>
      </c>
      <c r="J259" s="1">
        <v>60</v>
      </c>
      <c r="K259" s="1">
        <v>15.8</v>
      </c>
      <c r="L259" s="3">
        <v>0.77</v>
      </c>
    </row>
    <row r="260" spans="1:12" ht="14" customHeight="1" x14ac:dyDescent="0.2">
      <c r="A260" s="1" t="s">
        <v>266</v>
      </c>
      <c r="B260" s="1">
        <v>520</v>
      </c>
      <c r="C260" s="1">
        <v>480</v>
      </c>
      <c r="D260" s="1">
        <v>1981</v>
      </c>
      <c r="E260" s="4">
        <v>0.77800000000000002</v>
      </c>
      <c r="F260" s="1">
        <v>1927</v>
      </c>
      <c r="G260" s="1">
        <v>1084</v>
      </c>
      <c r="H260" s="1">
        <v>27500</v>
      </c>
      <c r="I260" s="1">
        <v>27500</v>
      </c>
      <c r="J260" s="1">
        <v>73</v>
      </c>
      <c r="K260" s="1">
        <v>16.8</v>
      </c>
      <c r="L260" s="3">
        <v>0.8</v>
      </c>
    </row>
    <row r="261" spans="1:12" ht="14" customHeight="1" x14ac:dyDescent="0.2">
      <c r="A261" s="1" t="s">
        <v>267</v>
      </c>
      <c r="B261" s="1">
        <v>509</v>
      </c>
      <c r="C261" s="1">
        <v>483</v>
      </c>
      <c r="D261" s="1">
        <v>674</v>
      </c>
      <c r="E261" s="4">
        <v>0.83799999999999997</v>
      </c>
      <c r="F261" s="1">
        <v>1151</v>
      </c>
      <c r="G261" s="1">
        <v>39</v>
      </c>
      <c r="H261" s="1">
        <v>27200</v>
      </c>
      <c r="I261" s="1">
        <v>27200</v>
      </c>
      <c r="J261" s="1">
        <v>73</v>
      </c>
      <c r="K261" s="1">
        <v>14.2</v>
      </c>
      <c r="L261" s="3">
        <v>0.66</v>
      </c>
    </row>
    <row r="262" spans="1:12" ht="14" customHeight="1" x14ac:dyDescent="0.2">
      <c r="A262" s="1" t="s">
        <v>268</v>
      </c>
      <c r="B262" s="1">
        <v>435</v>
      </c>
      <c r="C262" s="1">
        <v>411</v>
      </c>
      <c r="D262" s="1">
        <v>244</v>
      </c>
      <c r="E262" s="4">
        <v>0.81100000000000005</v>
      </c>
      <c r="F262" s="1">
        <v>1134</v>
      </c>
      <c r="G262" s="1">
        <v>336</v>
      </c>
      <c r="H262" s="1">
        <v>26700</v>
      </c>
      <c r="I262" s="1">
        <v>26700</v>
      </c>
      <c r="J262" s="1">
        <v>71</v>
      </c>
      <c r="K262" s="1">
        <v>27.8</v>
      </c>
      <c r="L262" s="3">
        <v>0.57999999999999996</v>
      </c>
    </row>
    <row r="263" spans="1:12" ht="14" customHeight="1" x14ac:dyDescent="0.2">
      <c r="A263" s="1" t="s">
        <v>269</v>
      </c>
      <c r="B263" s="1">
        <v>630</v>
      </c>
      <c r="C263" s="1">
        <v>600</v>
      </c>
      <c r="D263" s="1">
        <v>2895</v>
      </c>
      <c r="E263" s="4">
        <v>0.43099999999999999</v>
      </c>
      <c r="F263" s="1">
        <v>2195</v>
      </c>
      <c r="G263" s="1">
        <v>156</v>
      </c>
      <c r="H263" s="1">
        <v>33345</v>
      </c>
      <c r="I263" s="1">
        <v>33345</v>
      </c>
      <c r="J263" s="1">
        <v>94</v>
      </c>
      <c r="K263" s="1">
        <v>10.6</v>
      </c>
      <c r="L263" s="3">
        <v>0.91</v>
      </c>
    </row>
    <row r="264" spans="1:12" ht="14" customHeight="1" x14ac:dyDescent="0.2">
      <c r="A264" s="1" t="s">
        <v>270</v>
      </c>
      <c r="B264" s="1">
        <v>572</v>
      </c>
      <c r="C264" s="1">
        <v>539</v>
      </c>
      <c r="D264" s="1">
        <v>1151</v>
      </c>
      <c r="E264" s="4">
        <v>0.70599999999999996</v>
      </c>
      <c r="F264" s="1">
        <v>850</v>
      </c>
      <c r="G264" s="1">
        <v>80</v>
      </c>
      <c r="H264" s="1">
        <v>30588</v>
      </c>
      <c r="I264" s="1">
        <v>30588</v>
      </c>
      <c r="J264" s="1">
        <v>78</v>
      </c>
      <c r="K264" s="1">
        <v>9.1999999999999993</v>
      </c>
      <c r="L264" s="3">
        <v>0.77</v>
      </c>
    </row>
    <row r="265" spans="1:12" ht="14" customHeight="1" x14ac:dyDescent="0.2">
      <c r="A265" s="1" t="s">
        <v>271</v>
      </c>
      <c r="B265" s="1">
        <v>640</v>
      </c>
      <c r="C265" s="1">
        <v>580</v>
      </c>
      <c r="D265" s="1">
        <v>3356</v>
      </c>
      <c r="E265" s="4">
        <v>0.30399999999999999</v>
      </c>
      <c r="F265" s="1">
        <v>1490</v>
      </c>
      <c r="G265" s="1">
        <v>8</v>
      </c>
      <c r="H265" s="1">
        <v>34030</v>
      </c>
      <c r="I265" s="1">
        <v>34030</v>
      </c>
      <c r="J265" s="1">
        <v>93</v>
      </c>
      <c r="K265" s="1">
        <v>11.2</v>
      </c>
      <c r="L265" s="3">
        <v>0.96</v>
      </c>
    </row>
    <row r="266" spans="1:12" ht="14" customHeight="1" x14ac:dyDescent="0.2">
      <c r="A266" s="1" t="s">
        <v>272</v>
      </c>
      <c r="B266" s="1">
        <v>460</v>
      </c>
      <c r="C266" s="1">
        <v>370</v>
      </c>
      <c r="D266" s="1">
        <v>356</v>
      </c>
      <c r="E266" s="4">
        <v>0.876</v>
      </c>
      <c r="F266" s="1">
        <v>388</v>
      </c>
      <c r="G266" s="1">
        <v>412</v>
      </c>
      <c r="H266" s="1">
        <v>23850</v>
      </c>
      <c r="I266" s="1">
        <v>23850</v>
      </c>
      <c r="J266" s="1">
        <v>29</v>
      </c>
      <c r="K266" s="1">
        <v>21.8</v>
      </c>
      <c r="L266" s="3">
        <v>0.75</v>
      </c>
    </row>
    <row r="267" spans="1:12" ht="14" customHeight="1" x14ac:dyDescent="0.2">
      <c r="A267" s="1" t="s">
        <v>273</v>
      </c>
      <c r="B267" s="1">
        <v>483</v>
      </c>
      <c r="C267" s="1">
        <v>439</v>
      </c>
      <c r="D267" s="1">
        <v>3624</v>
      </c>
      <c r="E267" s="4">
        <v>0.76900000000000002</v>
      </c>
      <c r="F267" s="1">
        <v>2933</v>
      </c>
      <c r="G267" s="1">
        <v>334</v>
      </c>
      <c r="H267" s="1">
        <v>24100</v>
      </c>
      <c r="I267" s="1">
        <v>24100</v>
      </c>
      <c r="J267" s="1">
        <v>70</v>
      </c>
      <c r="K267" s="1">
        <v>18.899999999999999</v>
      </c>
      <c r="L267" s="3">
        <v>0.63</v>
      </c>
    </row>
    <row r="268" spans="1:12" ht="14" customHeight="1" x14ac:dyDescent="0.2">
      <c r="A268" s="1" t="s">
        <v>274</v>
      </c>
      <c r="B268" s="1">
        <v>692</v>
      </c>
      <c r="C268" s="1">
        <v>627</v>
      </c>
      <c r="D268" s="1">
        <v>8587</v>
      </c>
      <c r="E268" s="4">
        <v>0.26500000000000001</v>
      </c>
      <c r="F268" s="1">
        <v>3918</v>
      </c>
      <c r="G268" s="1">
        <v>32</v>
      </c>
      <c r="H268" s="1">
        <v>34545</v>
      </c>
      <c r="I268" s="1">
        <v>34545</v>
      </c>
      <c r="J268" s="1">
        <v>95</v>
      </c>
      <c r="K268" s="1">
        <v>4.7</v>
      </c>
      <c r="L268" s="3">
        <v>0.98</v>
      </c>
    </row>
    <row r="269" spans="1:12" ht="14" customHeight="1" x14ac:dyDescent="0.2">
      <c r="A269" s="1" t="s">
        <v>275</v>
      </c>
      <c r="B269" s="1">
        <v>424</v>
      </c>
      <c r="C269" s="1">
        <v>403</v>
      </c>
      <c r="D269" s="1">
        <v>5187</v>
      </c>
      <c r="E269" s="4">
        <v>0.86199999999999999</v>
      </c>
      <c r="F269" s="1">
        <v>1818</v>
      </c>
      <c r="G269" s="1">
        <v>1197</v>
      </c>
      <c r="H269" s="1">
        <v>28320</v>
      </c>
      <c r="I269" s="1">
        <v>28320</v>
      </c>
      <c r="J269" s="1">
        <v>50</v>
      </c>
      <c r="K269" s="1">
        <v>17.600000000000001</v>
      </c>
      <c r="L269" s="3">
        <v>0.51</v>
      </c>
    </row>
    <row r="270" spans="1:12" ht="14" customHeight="1" x14ac:dyDescent="0.2">
      <c r="A270" s="1" t="s">
        <v>276</v>
      </c>
      <c r="B270" s="1">
        <v>439</v>
      </c>
      <c r="C270" s="1">
        <v>430</v>
      </c>
      <c r="D270" s="1">
        <v>379</v>
      </c>
      <c r="E270" s="4">
        <v>0.85499999999999998</v>
      </c>
      <c r="F270" s="1">
        <v>500</v>
      </c>
      <c r="G270" s="1">
        <v>311</v>
      </c>
      <c r="H270" s="1">
        <v>24990</v>
      </c>
      <c r="I270" s="1">
        <v>24990</v>
      </c>
      <c r="J270" s="1">
        <v>44</v>
      </c>
      <c r="K270" s="1">
        <v>12.1</v>
      </c>
      <c r="L270" s="3">
        <v>0.33</v>
      </c>
    </row>
    <row r="271" spans="1:12" ht="14" customHeight="1" x14ac:dyDescent="0.2">
      <c r="A271" s="1" t="s">
        <v>277</v>
      </c>
      <c r="B271" s="1">
        <v>490</v>
      </c>
      <c r="C271" s="1">
        <v>438</v>
      </c>
      <c r="D271" s="1">
        <v>585</v>
      </c>
      <c r="E271" s="4">
        <v>0.86799999999999999</v>
      </c>
      <c r="F271" s="1">
        <v>460</v>
      </c>
      <c r="G271" s="1">
        <v>536</v>
      </c>
      <c r="H271" s="1">
        <v>27292</v>
      </c>
      <c r="I271" s="1">
        <v>27292</v>
      </c>
      <c r="J271" s="1">
        <v>61</v>
      </c>
      <c r="K271" s="1">
        <v>22.2</v>
      </c>
      <c r="L271" s="3">
        <v>0.72</v>
      </c>
    </row>
    <row r="272" spans="1:12" ht="14" customHeight="1" x14ac:dyDescent="0.2">
      <c r="A272" s="1" t="s">
        <v>278</v>
      </c>
      <c r="B272" s="1">
        <v>603</v>
      </c>
      <c r="C272" s="1">
        <v>564</v>
      </c>
      <c r="D272" s="1">
        <v>2153</v>
      </c>
      <c r="E272" s="4">
        <v>0.73399999999999999</v>
      </c>
      <c r="F272" s="1">
        <v>1192</v>
      </c>
      <c r="G272" s="1">
        <v>87</v>
      </c>
      <c r="H272" s="1">
        <v>33432</v>
      </c>
      <c r="I272" s="1">
        <v>33432</v>
      </c>
      <c r="J272" s="1">
        <v>93</v>
      </c>
      <c r="K272" s="1">
        <v>10.199999999999999</v>
      </c>
      <c r="L272" s="3">
        <v>0.83</v>
      </c>
    </row>
    <row r="273" spans="1:12" ht="14" customHeight="1" x14ac:dyDescent="0.2">
      <c r="A273" s="1" t="s">
        <v>279</v>
      </c>
      <c r="B273" s="1">
        <v>474</v>
      </c>
      <c r="C273" s="1">
        <v>441</v>
      </c>
      <c r="D273" s="1">
        <v>348</v>
      </c>
      <c r="E273" s="4">
        <v>0.80700000000000005</v>
      </c>
      <c r="F273" s="1">
        <v>1095</v>
      </c>
      <c r="G273" s="1">
        <v>785</v>
      </c>
      <c r="H273" s="1">
        <v>24150</v>
      </c>
      <c r="I273" s="1">
        <v>24150</v>
      </c>
      <c r="J273" s="1">
        <v>56</v>
      </c>
      <c r="K273" s="1">
        <v>12.2</v>
      </c>
      <c r="L273" s="3">
        <v>0.76</v>
      </c>
    </row>
    <row r="274" spans="1:12" ht="14" customHeight="1" x14ac:dyDescent="0.2">
      <c r="A274" s="1" t="s">
        <v>91</v>
      </c>
      <c r="B274" s="1">
        <v>494</v>
      </c>
      <c r="C274" s="1">
        <v>440</v>
      </c>
      <c r="D274" s="1">
        <v>2707</v>
      </c>
      <c r="E274" s="4">
        <v>0.69499999999999995</v>
      </c>
      <c r="F274" s="1">
        <v>1893</v>
      </c>
      <c r="G274" s="1">
        <v>847</v>
      </c>
      <c r="H274" s="1">
        <v>27480</v>
      </c>
      <c r="I274" s="1">
        <v>27480</v>
      </c>
      <c r="J274" s="1">
        <v>70</v>
      </c>
      <c r="K274" s="1">
        <v>14.2</v>
      </c>
      <c r="L274" s="3">
        <v>0.54</v>
      </c>
    </row>
    <row r="275" spans="1:12" ht="14" customHeight="1" x14ac:dyDescent="0.2">
      <c r="A275" s="1" t="s">
        <v>280</v>
      </c>
      <c r="B275" s="1">
        <v>708</v>
      </c>
      <c r="C275" s="1">
        <v>647</v>
      </c>
      <c r="D275" s="1">
        <v>13218</v>
      </c>
      <c r="E275" s="4">
        <v>0.154</v>
      </c>
      <c r="F275" s="1">
        <v>4540</v>
      </c>
      <c r="G275" s="1">
        <v>146</v>
      </c>
      <c r="H275" s="1">
        <v>34900</v>
      </c>
      <c r="I275" s="1">
        <v>34900</v>
      </c>
      <c r="J275" s="1">
        <v>91</v>
      </c>
      <c r="K275" s="1">
        <v>8.4</v>
      </c>
      <c r="L275" s="3">
        <v>0.99</v>
      </c>
    </row>
    <row r="276" spans="1:12" ht="14" customHeight="1" x14ac:dyDescent="0.2">
      <c r="A276" s="1" t="s">
        <v>281</v>
      </c>
      <c r="B276" s="1">
        <v>496</v>
      </c>
      <c r="C276" s="1">
        <v>443</v>
      </c>
      <c r="D276" s="1">
        <v>4576</v>
      </c>
      <c r="E276" s="4">
        <v>0.77900000000000003</v>
      </c>
      <c r="F276" s="1">
        <v>4384</v>
      </c>
      <c r="G276" s="1">
        <v>1530</v>
      </c>
      <c r="H276" s="1">
        <v>27000</v>
      </c>
      <c r="I276" s="1">
        <v>27000</v>
      </c>
      <c r="J276" s="1">
        <v>81</v>
      </c>
      <c r="K276" s="1">
        <v>14.4</v>
      </c>
      <c r="L276" s="3">
        <v>0.64</v>
      </c>
    </row>
    <row r="277" spans="1:12" ht="14" customHeight="1" x14ac:dyDescent="0.2">
      <c r="A277" s="1" t="s">
        <v>282</v>
      </c>
      <c r="B277" s="1">
        <v>428</v>
      </c>
      <c r="C277" s="1">
        <v>379</v>
      </c>
      <c r="D277" s="1">
        <v>1606</v>
      </c>
      <c r="E277" s="4">
        <v>0.88</v>
      </c>
      <c r="F277" s="1">
        <v>1921</v>
      </c>
      <c r="G277" s="1">
        <v>1154</v>
      </c>
      <c r="H277" s="1">
        <v>24408</v>
      </c>
      <c r="I277" s="1">
        <v>24408</v>
      </c>
      <c r="J277" s="1">
        <v>78</v>
      </c>
      <c r="K277" s="1">
        <v>12.1</v>
      </c>
      <c r="L277" s="3">
        <v>0.53</v>
      </c>
    </row>
    <row r="278" spans="1:12" ht="14" customHeight="1" x14ac:dyDescent="0.2">
      <c r="A278" s="1" t="s">
        <v>283</v>
      </c>
      <c r="B278" s="1">
        <v>612</v>
      </c>
      <c r="C278" s="1">
        <v>518</v>
      </c>
      <c r="D278" s="1">
        <v>2174</v>
      </c>
      <c r="E278" s="4">
        <v>0.89800000000000002</v>
      </c>
      <c r="F278" s="1">
        <v>2332</v>
      </c>
      <c r="G278" s="1">
        <v>53</v>
      </c>
      <c r="H278" s="1">
        <v>30960</v>
      </c>
      <c r="I278" s="1">
        <v>30960</v>
      </c>
      <c r="J278" s="1">
        <v>95</v>
      </c>
      <c r="K278" s="1">
        <v>15.8</v>
      </c>
      <c r="L278" s="3">
        <v>0.77</v>
      </c>
    </row>
    <row r="279" spans="1:12" ht="14" customHeight="1" x14ac:dyDescent="0.2">
      <c r="A279" s="1" t="s">
        <v>284</v>
      </c>
      <c r="B279" s="1">
        <v>680</v>
      </c>
      <c r="C279" s="1">
        <v>620</v>
      </c>
      <c r="D279" s="1">
        <v>6756</v>
      </c>
      <c r="E279" s="4">
        <v>0.28599999999999998</v>
      </c>
      <c r="F279" s="1">
        <v>3376</v>
      </c>
      <c r="G279" s="1">
        <v>55</v>
      </c>
      <c r="H279" s="1">
        <v>33624</v>
      </c>
      <c r="I279" s="1">
        <v>33624</v>
      </c>
      <c r="J279" s="1">
        <v>97</v>
      </c>
      <c r="K279" s="1">
        <v>5.9</v>
      </c>
      <c r="L279" s="3">
        <v>0.99</v>
      </c>
    </row>
    <row r="280" spans="1:12" ht="14" customHeight="1" x14ac:dyDescent="0.2">
      <c r="A280" s="1" t="s">
        <v>285</v>
      </c>
      <c r="B280" s="1">
        <v>620</v>
      </c>
      <c r="C280" s="1">
        <v>600</v>
      </c>
      <c r="D280" s="1">
        <v>2496</v>
      </c>
      <c r="E280" s="4">
        <v>0.56200000000000006</v>
      </c>
      <c r="F280" s="1">
        <v>2121</v>
      </c>
      <c r="G280" s="1">
        <v>69</v>
      </c>
      <c r="H280" s="1">
        <v>32926</v>
      </c>
      <c r="I280" s="1">
        <v>32926</v>
      </c>
      <c r="J280" s="1">
        <v>83</v>
      </c>
      <c r="K280" s="1">
        <v>10.3</v>
      </c>
      <c r="L280" s="3">
        <v>0.91</v>
      </c>
    </row>
    <row r="281" spans="1:12" ht="14" customHeight="1" x14ac:dyDescent="0.2">
      <c r="A281" s="1" t="s">
        <v>287</v>
      </c>
      <c r="B281" s="1">
        <v>524</v>
      </c>
      <c r="C281" s="1">
        <v>500</v>
      </c>
      <c r="D281" s="1">
        <v>962</v>
      </c>
      <c r="E281" s="4">
        <v>0.78</v>
      </c>
      <c r="F281" s="1">
        <v>830</v>
      </c>
      <c r="G281" s="1">
        <v>150</v>
      </c>
      <c r="H281" s="1">
        <v>29700</v>
      </c>
      <c r="I281" s="1">
        <v>29700</v>
      </c>
      <c r="J281" s="1">
        <v>97</v>
      </c>
      <c r="K281" s="1">
        <v>11.3</v>
      </c>
      <c r="L281" s="3">
        <v>0.7</v>
      </c>
    </row>
    <row r="282" spans="1:12" ht="14" customHeight="1" x14ac:dyDescent="0.2">
      <c r="A282" s="1" t="s">
        <v>288</v>
      </c>
      <c r="B282" s="1">
        <v>517</v>
      </c>
      <c r="C282" s="1">
        <v>441</v>
      </c>
      <c r="D282" s="1">
        <v>8256</v>
      </c>
      <c r="E282" s="4">
        <v>0.45400000000000001</v>
      </c>
      <c r="F282" s="1">
        <v>5809</v>
      </c>
      <c r="G282" s="1">
        <v>4379</v>
      </c>
      <c r="H282" s="1">
        <v>26100</v>
      </c>
      <c r="I282" s="1">
        <v>26000</v>
      </c>
      <c r="J282" s="1">
        <v>90</v>
      </c>
      <c r="K282" s="1">
        <v>13.8</v>
      </c>
      <c r="L282" s="3">
        <v>0.62</v>
      </c>
    </row>
    <row r="283" spans="1:12" ht="14" customHeight="1" x14ac:dyDescent="0.2">
      <c r="A283" s="1" t="s">
        <v>289</v>
      </c>
      <c r="B283" s="1">
        <v>560</v>
      </c>
      <c r="C283" s="1">
        <v>590</v>
      </c>
      <c r="D283" s="1">
        <v>1380</v>
      </c>
      <c r="E283" s="4">
        <v>0.55700000000000005</v>
      </c>
      <c r="F283" s="1">
        <v>1000</v>
      </c>
      <c r="G283" s="1">
        <v>105</v>
      </c>
      <c r="H283" s="1">
        <v>34300</v>
      </c>
      <c r="I283" s="1">
        <v>34300</v>
      </c>
      <c r="J283" s="1">
        <v>89</v>
      </c>
      <c r="K283" s="1">
        <v>6.1</v>
      </c>
      <c r="L283" s="3">
        <v>0.83</v>
      </c>
    </row>
    <row r="284" spans="1:12" ht="14" customHeight="1" x14ac:dyDescent="0.2">
      <c r="A284" s="1" t="s">
        <v>290</v>
      </c>
      <c r="B284" s="1">
        <v>573</v>
      </c>
      <c r="C284" s="1">
        <v>510</v>
      </c>
      <c r="D284" s="1">
        <v>2753</v>
      </c>
      <c r="E284" s="4">
        <v>0.66100000000000003</v>
      </c>
      <c r="F284" s="1">
        <v>1801</v>
      </c>
      <c r="G284" s="1">
        <v>45</v>
      </c>
      <c r="H284" s="1">
        <v>33720</v>
      </c>
      <c r="I284" s="1">
        <v>33720</v>
      </c>
      <c r="J284" s="1">
        <v>90</v>
      </c>
      <c r="K284" s="1">
        <v>11.5</v>
      </c>
      <c r="L284" s="3">
        <v>0.85</v>
      </c>
    </row>
    <row r="285" spans="1:12" ht="14" customHeight="1" x14ac:dyDescent="0.2">
      <c r="A285" s="1" t="s">
        <v>291</v>
      </c>
      <c r="B285" s="1">
        <v>497</v>
      </c>
      <c r="C285" s="1">
        <v>463</v>
      </c>
      <c r="D285" s="1">
        <v>809</v>
      </c>
      <c r="E285" s="4">
        <v>0.89700000000000002</v>
      </c>
      <c r="F285" s="1">
        <v>1271</v>
      </c>
      <c r="G285" s="1">
        <v>43</v>
      </c>
      <c r="H285" s="1">
        <v>27500</v>
      </c>
      <c r="I285" s="1">
        <v>27500</v>
      </c>
      <c r="J285" s="1">
        <v>53</v>
      </c>
      <c r="K285" s="1">
        <v>13.5</v>
      </c>
      <c r="L285" s="3">
        <v>0.52</v>
      </c>
    </row>
    <row r="286" spans="1:12" ht="14" customHeight="1" x14ac:dyDescent="0.2">
      <c r="A286" s="1" t="s">
        <v>292</v>
      </c>
      <c r="B286" s="1">
        <v>527</v>
      </c>
      <c r="C286" s="1">
        <v>474</v>
      </c>
      <c r="D286" s="1">
        <v>1758</v>
      </c>
      <c r="E286" s="4">
        <v>0.84499999999999997</v>
      </c>
      <c r="F286" s="1">
        <v>2041</v>
      </c>
      <c r="G286" s="1">
        <v>174</v>
      </c>
      <c r="H286" s="1">
        <v>27040</v>
      </c>
      <c r="I286" s="1">
        <v>27040</v>
      </c>
      <c r="J286" s="1">
        <v>92</v>
      </c>
      <c r="K286" s="1">
        <v>13.2</v>
      </c>
      <c r="L286" s="3">
        <v>0.72</v>
      </c>
    </row>
    <row r="287" spans="1:12" ht="14" customHeight="1" x14ac:dyDescent="0.2">
      <c r="A287" s="1" t="s">
        <v>293</v>
      </c>
      <c r="B287" s="1">
        <v>546</v>
      </c>
      <c r="C287" s="1">
        <v>492</v>
      </c>
      <c r="D287" s="1">
        <v>2417</v>
      </c>
      <c r="E287" s="4">
        <v>0.76300000000000001</v>
      </c>
      <c r="F287" s="1">
        <v>1476</v>
      </c>
      <c r="G287" s="1">
        <v>299</v>
      </c>
      <c r="H287" s="1">
        <v>29190</v>
      </c>
      <c r="I287" s="1">
        <v>29190</v>
      </c>
      <c r="J287" s="1">
        <v>65</v>
      </c>
      <c r="K287" s="1">
        <v>12.8</v>
      </c>
      <c r="L287" s="3">
        <v>0.81</v>
      </c>
    </row>
    <row r="288" spans="1:12" ht="14" customHeight="1" x14ac:dyDescent="0.2">
      <c r="A288" s="1" t="s">
        <v>294</v>
      </c>
      <c r="B288" s="1">
        <v>558</v>
      </c>
      <c r="C288" s="1">
        <v>509</v>
      </c>
      <c r="D288" s="1">
        <v>1005</v>
      </c>
      <c r="E288" s="4">
        <v>0.85499999999999998</v>
      </c>
      <c r="F288" s="1">
        <v>1075</v>
      </c>
      <c r="G288" s="1">
        <v>43</v>
      </c>
      <c r="H288" s="1">
        <v>29850</v>
      </c>
      <c r="I288" s="1">
        <v>29850</v>
      </c>
      <c r="J288" s="1">
        <v>97</v>
      </c>
      <c r="K288" s="1">
        <v>12.7</v>
      </c>
      <c r="L288" s="3">
        <v>0.8</v>
      </c>
    </row>
    <row r="289" spans="1:12" ht="14" customHeight="1" x14ac:dyDescent="0.2">
      <c r="A289" s="1" t="s">
        <v>286</v>
      </c>
      <c r="B289" s="1">
        <v>504</v>
      </c>
      <c r="C289" s="1">
        <v>455</v>
      </c>
      <c r="D289" s="1">
        <v>1456</v>
      </c>
      <c r="E289" s="4">
        <v>0.72299999999999998</v>
      </c>
      <c r="F289" s="1">
        <v>500</v>
      </c>
      <c r="G289" s="1">
        <v>541</v>
      </c>
      <c r="H289" s="1">
        <v>25910</v>
      </c>
      <c r="I289" s="1">
        <v>25910</v>
      </c>
      <c r="J289" s="1">
        <v>66</v>
      </c>
      <c r="K289" s="1">
        <v>15.6</v>
      </c>
      <c r="L289" s="3">
        <v>0.87</v>
      </c>
    </row>
    <row r="290" spans="1:12" ht="14" customHeight="1" x14ac:dyDescent="0.2">
      <c r="A290" s="1" t="s">
        <v>295</v>
      </c>
      <c r="B290" s="1">
        <v>540</v>
      </c>
      <c r="C290" s="1">
        <v>507</v>
      </c>
      <c r="D290" s="1">
        <v>2929</v>
      </c>
      <c r="E290" s="4">
        <v>0.626</v>
      </c>
      <c r="F290" s="1">
        <v>2738</v>
      </c>
      <c r="G290" s="1">
        <v>1662</v>
      </c>
      <c r="H290" s="1">
        <v>27600</v>
      </c>
      <c r="I290" s="1">
        <v>27600</v>
      </c>
      <c r="J290" s="1">
        <v>90</v>
      </c>
      <c r="K290" s="1">
        <v>15.1</v>
      </c>
      <c r="L290" s="3">
        <v>0.84</v>
      </c>
    </row>
    <row r="291" spans="1:12" ht="14" customHeight="1" x14ac:dyDescent="0.2">
      <c r="A291" s="1" t="s">
        <v>296</v>
      </c>
      <c r="B291" s="1">
        <v>470</v>
      </c>
      <c r="C291" s="1">
        <v>449</v>
      </c>
      <c r="D291" s="1">
        <v>1107</v>
      </c>
      <c r="E291" s="4">
        <v>0.77600000000000002</v>
      </c>
      <c r="F291" s="1">
        <v>1452</v>
      </c>
      <c r="G291" s="1">
        <v>402</v>
      </c>
      <c r="H291" s="1">
        <v>26040</v>
      </c>
      <c r="I291" s="1">
        <v>26040</v>
      </c>
      <c r="J291" s="1">
        <v>65</v>
      </c>
      <c r="K291" s="1">
        <v>11.8</v>
      </c>
      <c r="L291" s="3">
        <v>0.66</v>
      </c>
    </row>
    <row r="292" spans="1:12" ht="14" customHeight="1" x14ac:dyDescent="0.2">
      <c r="A292" s="1" t="s">
        <v>297</v>
      </c>
      <c r="B292" s="1">
        <v>490</v>
      </c>
      <c r="C292" s="1">
        <v>440</v>
      </c>
      <c r="D292" s="1">
        <v>1538</v>
      </c>
      <c r="E292" s="4">
        <v>0.81899999999999995</v>
      </c>
      <c r="F292" s="1">
        <v>1664</v>
      </c>
      <c r="G292" s="1">
        <v>1042</v>
      </c>
      <c r="H292" s="1">
        <v>26690</v>
      </c>
      <c r="I292" s="1">
        <v>26690</v>
      </c>
      <c r="J292" s="1">
        <v>48</v>
      </c>
      <c r="K292" s="1">
        <v>12.9</v>
      </c>
      <c r="L292" s="3">
        <v>0.68</v>
      </c>
    </row>
    <row r="293" spans="1:12" ht="14" customHeight="1" x14ac:dyDescent="0.2">
      <c r="A293" s="1" t="s">
        <v>298</v>
      </c>
      <c r="B293" s="1">
        <v>561</v>
      </c>
      <c r="C293" s="1">
        <v>509</v>
      </c>
      <c r="D293" s="1">
        <v>4471</v>
      </c>
      <c r="E293" s="4">
        <v>0.65800000000000003</v>
      </c>
      <c r="F293" s="1">
        <v>3674</v>
      </c>
      <c r="G293" s="1">
        <v>493</v>
      </c>
      <c r="H293" s="1">
        <v>26584</v>
      </c>
      <c r="I293" s="1">
        <v>26584</v>
      </c>
      <c r="J293" s="1">
        <v>83</v>
      </c>
      <c r="K293" s="1">
        <v>14.1</v>
      </c>
      <c r="L293" s="3">
        <v>0.92</v>
      </c>
    </row>
    <row r="294" spans="1:12" ht="14" customHeight="1" x14ac:dyDescent="0.2">
      <c r="A294" s="1" t="s">
        <v>299</v>
      </c>
      <c r="B294" s="1">
        <v>599</v>
      </c>
      <c r="C294" s="1">
        <v>528</v>
      </c>
      <c r="D294" s="1">
        <v>7759</v>
      </c>
      <c r="E294" s="4">
        <v>0.72</v>
      </c>
      <c r="F294" s="1">
        <v>6362</v>
      </c>
      <c r="G294" s="1">
        <v>1292</v>
      </c>
      <c r="H294" s="1">
        <v>30925</v>
      </c>
      <c r="I294" s="1">
        <v>30925</v>
      </c>
      <c r="J294" s="1">
        <v>89</v>
      </c>
      <c r="K294" s="1">
        <v>13.4</v>
      </c>
      <c r="L294" s="3">
        <v>0.96</v>
      </c>
    </row>
    <row r="295" spans="1:12" ht="14" customHeight="1" x14ac:dyDescent="0.2">
      <c r="A295" s="1" t="s">
        <v>300</v>
      </c>
      <c r="B295" s="1">
        <v>517</v>
      </c>
      <c r="C295" s="1">
        <v>469</v>
      </c>
      <c r="D295" s="1">
        <v>2989</v>
      </c>
      <c r="E295" s="4">
        <v>0.621</v>
      </c>
      <c r="F295" s="1">
        <v>2988</v>
      </c>
      <c r="G295" s="1">
        <v>1726</v>
      </c>
      <c r="H295" s="1">
        <v>19990</v>
      </c>
      <c r="I295" s="1">
        <v>19990</v>
      </c>
      <c r="J295" s="1">
        <v>75</v>
      </c>
      <c r="K295" s="1">
        <v>18.100000000000001</v>
      </c>
      <c r="L295" s="3">
        <v>0.99</v>
      </c>
    </row>
    <row r="296" spans="1:12" ht="14" customHeight="1" x14ac:dyDescent="0.2">
      <c r="A296" s="1" t="s">
        <v>301</v>
      </c>
      <c r="B296" s="1">
        <v>515</v>
      </c>
      <c r="C296" s="1">
        <v>470</v>
      </c>
      <c r="D296" s="1">
        <v>1179</v>
      </c>
      <c r="E296" s="4">
        <v>0.66200000000000003</v>
      </c>
      <c r="F296" s="1">
        <v>1130</v>
      </c>
      <c r="G296" s="1">
        <v>638</v>
      </c>
      <c r="H296" s="1">
        <v>24690</v>
      </c>
      <c r="I296" s="1">
        <v>24690</v>
      </c>
      <c r="J296" s="1">
        <v>60</v>
      </c>
      <c r="K296" s="1">
        <v>13.3</v>
      </c>
      <c r="L296" s="3">
        <v>0.74</v>
      </c>
    </row>
    <row r="297" spans="1:12" ht="14" customHeight="1" x14ac:dyDescent="0.2">
      <c r="A297" s="1" t="s">
        <v>302</v>
      </c>
      <c r="B297" s="1">
        <v>408</v>
      </c>
      <c r="C297" s="1">
        <v>380</v>
      </c>
      <c r="D297" s="1">
        <v>361</v>
      </c>
      <c r="E297" s="4">
        <v>0.88900000000000001</v>
      </c>
      <c r="F297" s="1">
        <v>650</v>
      </c>
      <c r="G297" s="1">
        <v>819</v>
      </c>
      <c r="H297" s="1">
        <v>23842</v>
      </c>
      <c r="I297" s="1">
        <v>23842</v>
      </c>
      <c r="J297" s="1">
        <v>57</v>
      </c>
      <c r="K297" s="1">
        <v>14.2</v>
      </c>
      <c r="L297" s="3">
        <v>0.52</v>
      </c>
    </row>
    <row r="298" spans="1:12" ht="14" customHeight="1" x14ac:dyDescent="0.2">
      <c r="A298" s="1" t="s">
        <v>303</v>
      </c>
      <c r="B298" s="1">
        <v>455</v>
      </c>
      <c r="C298" s="1">
        <v>406</v>
      </c>
      <c r="D298" s="1">
        <v>3304</v>
      </c>
      <c r="E298" s="4">
        <v>0.84899999999999998</v>
      </c>
      <c r="F298" s="1">
        <v>2111</v>
      </c>
      <c r="G298" s="1">
        <v>1489</v>
      </c>
      <c r="H298" s="1">
        <v>27520</v>
      </c>
      <c r="I298" s="1">
        <v>27520</v>
      </c>
      <c r="J298" s="1">
        <v>44</v>
      </c>
      <c r="K298" s="1">
        <v>16.399999999999999</v>
      </c>
      <c r="L298" s="3">
        <v>0.61</v>
      </c>
    </row>
    <row r="299" spans="1:12" ht="14" customHeight="1" x14ac:dyDescent="0.2">
      <c r="A299" s="1" t="s">
        <v>304</v>
      </c>
      <c r="B299" s="1">
        <v>469</v>
      </c>
      <c r="C299" s="1">
        <v>431</v>
      </c>
      <c r="D299" s="1">
        <v>604</v>
      </c>
      <c r="E299" s="4">
        <v>0.748</v>
      </c>
      <c r="F299" s="1">
        <v>690</v>
      </c>
      <c r="G299" s="1">
        <v>222</v>
      </c>
      <c r="H299" s="1">
        <v>24888</v>
      </c>
      <c r="I299" s="1">
        <v>24888</v>
      </c>
      <c r="J299" s="1">
        <v>64</v>
      </c>
      <c r="K299" s="1">
        <v>12.1</v>
      </c>
      <c r="L299" s="3">
        <v>0.75</v>
      </c>
    </row>
    <row r="300" spans="1:12" ht="14" customHeight="1" x14ac:dyDescent="0.2">
      <c r="A300" s="1" t="s">
        <v>305</v>
      </c>
      <c r="B300" s="1">
        <v>532</v>
      </c>
      <c r="C300" s="1">
        <v>482</v>
      </c>
      <c r="D300" s="1">
        <v>659</v>
      </c>
      <c r="E300" s="4">
        <v>0.84499999999999997</v>
      </c>
      <c r="F300" s="1">
        <v>532</v>
      </c>
      <c r="G300" s="1">
        <v>35</v>
      </c>
      <c r="H300" s="1">
        <v>25485</v>
      </c>
      <c r="I300" s="1">
        <v>25485</v>
      </c>
      <c r="J300" s="1">
        <v>76</v>
      </c>
      <c r="K300" s="1">
        <v>13.5</v>
      </c>
      <c r="L300" s="3">
        <v>0.67</v>
      </c>
    </row>
    <row r="301" spans="1:12" ht="14" customHeight="1" x14ac:dyDescent="0.2">
      <c r="A301" s="1" t="s">
        <v>306</v>
      </c>
      <c r="B301" s="1">
        <v>584</v>
      </c>
      <c r="C301" s="1">
        <v>528</v>
      </c>
      <c r="D301" s="1">
        <v>2161</v>
      </c>
      <c r="E301" s="4">
        <v>0.90300000000000002</v>
      </c>
      <c r="F301" s="1">
        <v>2371</v>
      </c>
      <c r="G301" s="1">
        <v>175</v>
      </c>
      <c r="H301" s="1">
        <v>28440</v>
      </c>
      <c r="I301" s="1">
        <v>28440</v>
      </c>
      <c r="J301" s="1">
        <v>92</v>
      </c>
      <c r="K301" s="1">
        <v>13.5</v>
      </c>
      <c r="L301" s="3">
        <v>0.82</v>
      </c>
    </row>
    <row r="302" spans="1:12" ht="14" customHeight="1" x14ac:dyDescent="0.2">
      <c r="A302" s="1" t="s">
        <v>307</v>
      </c>
      <c r="B302" s="1">
        <v>434</v>
      </c>
      <c r="C302" s="1">
        <v>407</v>
      </c>
      <c r="D302" s="1">
        <v>2308</v>
      </c>
      <c r="E302" s="4">
        <v>0.57899999999999996</v>
      </c>
      <c r="F302" s="1">
        <v>1202</v>
      </c>
      <c r="G302" s="1">
        <v>942</v>
      </c>
      <c r="H302" s="1">
        <v>23530</v>
      </c>
      <c r="I302" s="1">
        <v>23530</v>
      </c>
      <c r="J302" s="1">
        <v>56</v>
      </c>
      <c r="K302" s="1">
        <v>14.9</v>
      </c>
      <c r="L302" s="3">
        <v>0.37</v>
      </c>
    </row>
    <row r="303" spans="1:12" ht="14" customHeight="1" x14ac:dyDescent="0.2">
      <c r="A303" s="1" t="s">
        <v>308</v>
      </c>
      <c r="B303" s="1">
        <v>635</v>
      </c>
      <c r="C303" s="1">
        <v>575</v>
      </c>
      <c r="D303" s="1">
        <v>2425</v>
      </c>
      <c r="E303" s="4">
        <v>0.75</v>
      </c>
      <c r="F303" s="1">
        <v>2110</v>
      </c>
      <c r="G303" s="1">
        <v>95</v>
      </c>
      <c r="H303" s="1">
        <v>27240</v>
      </c>
      <c r="I303" s="1">
        <v>27240</v>
      </c>
      <c r="J303" s="1">
        <v>94</v>
      </c>
      <c r="K303" s="1">
        <v>9.6</v>
      </c>
      <c r="L303" s="3">
        <v>0.93</v>
      </c>
    </row>
    <row r="304" spans="1:12" ht="14" customHeight="1" x14ac:dyDescent="0.2">
      <c r="A304" s="1" t="s">
        <v>309</v>
      </c>
      <c r="B304" s="1">
        <v>564</v>
      </c>
      <c r="C304" s="1">
        <v>517</v>
      </c>
      <c r="D304" s="1">
        <v>817</v>
      </c>
      <c r="E304" s="4">
        <v>0.78800000000000003</v>
      </c>
      <c r="F304" s="1">
        <v>945</v>
      </c>
      <c r="G304" s="1">
        <v>1</v>
      </c>
      <c r="H304" s="1">
        <v>28218</v>
      </c>
      <c r="I304" s="1">
        <v>28218</v>
      </c>
      <c r="J304" s="1">
        <v>95</v>
      </c>
      <c r="K304" s="1">
        <v>13.3</v>
      </c>
      <c r="L304" s="3">
        <v>0.69</v>
      </c>
    </row>
    <row r="305" spans="1:12" ht="14" customHeight="1" x14ac:dyDescent="0.2">
      <c r="A305" s="1" t="s">
        <v>310</v>
      </c>
      <c r="B305" s="1">
        <v>475</v>
      </c>
      <c r="C305" s="1">
        <v>442</v>
      </c>
      <c r="D305" s="1">
        <v>7178</v>
      </c>
      <c r="E305" s="4">
        <v>0.52300000000000002</v>
      </c>
      <c r="F305" s="1">
        <v>4623</v>
      </c>
      <c r="G305" s="1">
        <v>740</v>
      </c>
      <c r="H305" s="1">
        <v>22161</v>
      </c>
      <c r="I305" s="1">
        <v>22161</v>
      </c>
      <c r="J305" s="1">
        <v>60</v>
      </c>
      <c r="K305" s="1">
        <v>14</v>
      </c>
      <c r="L305" s="3">
        <v>0.7</v>
      </c>
    </row>
    <row r="306" spans="1:12" ht="14" customHeight="1" x14ac:dyDescent="0.2">
      <c r="A306" s="1" t="s">
        <v>311</v>
      </c>
      <c r="B306" s="1">
        <v>533</v>
      </c>
      <c r="C306" s="1">
        <v>483</v>
      </c>
      <c r="D306" s="1">
        <v>1771</v>
      </c>
      <c r="E306" s="4">
        <v>0.748</v>
      </c>
      <c r="F306" s="1">
        <v>1071</v>
      </c>
      <c r="G306" s="1">
        <v>27</v>
      </c>
      <c r="H306" s="1">
        <v>28840</v>
      </c>
      <c r="I306" s="1">
        <v>28840</v>
      </c>
      <c r="J306" s="1">
        <v>77</v>
      </c>
      <c r="K306" s="1">
        <v>10.7</v>
      </c>
      <c r="L306" s="3">
        <v>0.74</v>
      </c>
    </row>
    <row r="307" spans="1:12" ht="14" customHeight="1" x14ac:dyDescent="0.2">
      <c r="A307" s="1" t="s">
        <v>312</v>
      </c>
      <c r="B307" s="1">
        <v>524</v>
      </c>
      <c r="C307" s="1">
        <v>479</v>
      </c>
      <c r="D307" s="1">
        <v>1910</v>
      </c>
      <c r="E307" s="4">
        <v>0.72299999999999998</v>
      </c>
      <c r="F307" s="1">
        <v>1715</v>
      </c>
      <c r="G307" s="1">
        <v>106</v>
      </c>
      <c r="H307" s="1">
        <v>28030</v>
      </c>
      <c r="I307" s="1">
        <v>28030</v>
      </c>
      <c r="J307" s="1">
        <v>79</v>
      </c>
      <c r="K307" s="1">
        <v>14.5</v>
      </c>
      <c r="L307" s="3">
        <v>0.84</v>
      </c>
    </row>
    <row r="308" spans="1:12" ht="14" customHeight="1" x14ac:dyDescent="0.2">
      <c r="A308" s="2" t="s">
        <v>72</v>
      </c>
      <c r="B308" s="2">
        <v>420</v>
      </c>
      <c r="C308" s="2">
        <v>410</v>
      </c>
      <c r="D308" s="2">
        <v>222</v>
      </c>
      <c r="E308" s="4">
        <v>0.83299999999999996</v>
      </c>
      <c r="F308" s="2">
        <v>484</v>
      </c>
      <c r="G308" s="2">
        <v>541</v>
      </c>
      <c r="H308" s="2">
        <v>26010</v>
      </c>
      <c r="I308" s="2">
        <v>26010</v>
      </c>
      <c r="J308" s="2">
        <v>58</v>
      </c>
      <c r="K308" s="2">
        <v>10.4</v>
      </c>
      <c r="L308" s="5">
        <v>0.78</v>
      </c>
    </row>
  </sheetData>
  <printOptions horizontalCentered="1" verticalCentered="1" headings="1" gridLines="1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BC31C-0E9D-B543-B223-CF3DCD6A6D2E}">
  <dimension ref="B1:CV344"/>
  <sheetViews>
    <sheetView showGridLines="0" topLeftCell="A234" workbookViewId="0">
      <selection activeCell="B36" sqref="B36"/>
    </sheetView>
  </sheetViews>
  <sheetFormatPr baseColWidth="10" defaultRowHeight="13" x14ac:dyDescent="0.2"/>
  <cols>
    <col min="12" max="12" width="13.83203125" bestFit="1" customWidth="1"/>
  </cols>
  <sheetData>
    <row r="1" spans="2:100" ht="19" x14ac:dyDescent="0.25">
      <c r="B1" s="8" t="s">
        <v>684</v>
      </c>
      <c r="N1" t="s">
        <v>679</v>
      </c>
      <c r="CV1" s="15" t="s">
        <v>694</v>
      </c>
    </row>
    <row r="3" spans="2:100" ht="16" x14ac:dyDescent="0.2">
      <c r="B3" s="20" t="s">
        <v>316</v>
      </c>
      <c r="C3" s="20"/>
      <c r="D3" s="20"/>
      <c r="E3" s="20"/>
      <c r="F3" s="20"/>
      <c r="G3" s="20"/>
      <c r="H3" s="20"/>
      <c r="I3" s="20"/>
      <c r="L3" s="21" t="s">
        <v>319</v>
      </c>
      <c r="M3" s="21"/>
      <c r="N3" s="21"/>
      <c r="O3" s="21"/>
    </row>
    <row r="4" spans="2:100" ht="14" x14ac:dyDescent="0.2">
      <c r="B4" s="19" t="s">
        <v>317</v>
      </c>
      <c r="C4" s="19"/>
      <c r="D4" s="19" t="s">
        <v>680</v>
      </c>
      <c r="E4" s="19"/>
      <c r="F4" s="19" t="s">
        <v>635</v>
      </c>
      <c r="G4" s="19"/>
      <c r="H4" s="19" t="s">
        <v>681</v>
      </c>
      <c r="I4" s="19"/>
      <c r="L4" s="14" t="s">
        <v>320</v>
      </c>
      <c r="M4" s="14" t="s">
        <v>321</v>
      </c>
      <c r="N4" s="14" t="s">
        <v>322</v>
      </c>
      <c r="O4" s="14" t="s">
        <v>323</v>
      </c>
    </row>
    <row r="5" spans="2:100" x14ac:dyDescent="0.2">
      <c r="L5" s="12">
        <v>59</v>
      </c>
      <c r="M5" s="12">
        <v>16</v>
      </c>
      <c r="N5" s="12">
        <v>6</v>
      </c>
      <c r="O5" s="12">
        <v>81</v>
      </c>
    </row>
    <row r="10" spans="2:100" ht="19" x14ac:dyDescent="0.25">
      <c r="B10" s="9" t="s">
        <v>635</v>
      </c>
    </row>
    <row r="12" spans="2:100" ht="16" x14ac:dyDescent="0.2">
      <c r="C12" s="20" t="s">
        <v>641</v>
      </c>
      <c r="D12" s="20"/>
      <c r="E12" s="20"/>
      <c r="F12" s="20"/>
      <c r="G12" s="20"/>
      <c r="H12" s="20"/>
      <c r="I12" s="20"/>
    </row>
    <row r="13" spans="2:100" ht="14" x14ac:dyDescent="0.2">
      <c r="C13" s="22" t="s">
        <v>642</v>
      </c>
      <c r="D13" s="22"/>
      <c r="E13" s="23"/>
      <c r="F13" s="25" t="s">
        <v>658</v>
      </c>
      <c r="G13" s="25"/>
      <c r="H13" s="25"/>
      <c r="I13" s="25"/>
    </row>
    <row r="14" spans="2:100" ht="14" x14ac:dyDescent="0.2">
      <c r="C14" s="22" t="s">
        <v>643</v>
      </c>
      <c r="D14" s="22"/>
      <c r="E14" s="23"/>
      <c r="F14" s="25" t="s">
        <v>641</v>
      </c>
      <c r="G14" s="25"/>
      <c r="H14" s="25"/>
      <c r="I14" s="25"/>
    </row>
    <row r="15" spans="2:100" ht="14" x14ac:dyDescent="0.2">
      <c r="C15" s="22" t="s">
        <v>644</v>
      </c>
      <c r="D15" s="22"/>
      <c r="E15" s="23"/>
      <c r="F15" s="25" t="s">
        <v>659</v>
      </c>
      <c r="G15" s="25"/>
      <c r="H15" s="25"/>
      <c r="I15" s="25"/>
    </row>
    <row r="16" spans="2:100" ht="14" x14ac:dyDescent="0.2">
      <c r="C16" s="22" t="s">
        <v>645</v>
      </c>
      <c r="D16" s="22"/>
      <c r="E16" s="23"/>
      <c r="F16" s="24">
        <v>307</v>
      </c>
      <c r="G16" s="24"/>
      <c r="H16" s="24"/>
      <c r="I16" s="24"/>
    </row>
    <row r="18" spans="3:16" ht="16" x14ac:dyDescent="0.2">
      <c r="C18" s="20" t="s">
        <v>646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3:16" ht="14" x14ac:dyDescent="0.2">
      <c r="C19" s="22" t="s">
        <v>647</v>
      </c>
      <c r="D19" s="22"/>
      <c r="E19" s="23"/>
      <c r="F19" s="24">
        <v>11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</row>
    <row r="20" spans="3:16" ht="14" x14ac:dyDescent="0.2">
      <c r="C20" s="22" t="s">
        <v>648</v>
      </c>
      <c r="D20" s="22"/>
      <c r="E20" s="23"/>
      <c r="F20" s="12" t="s">
        <v>1</v>
      </c>
      <c r="G20" s="12" t="s">
        <v>2</v>
      </c>
      <c r="H20" s="12" t="s">
        <v>314</v>
      </c>
      <c r="I20" s="12" t="s">
        <v>313</v>
      </c>
      <c r="J20" s="12" t="s">
        <v>3</v>
      </c>
      <c r="K20" s="12" t="s">
        <v>4</v>
      </c>
      <c r="L20" s="12" t="s">
        <v>5</v>
      </c>
      <c r="M20" s="12" t="s">
        <v>6</v>
      </c>
      <c r="N20" s="12" t="s">
        <v>7</v>
      </c>
      <c r="O20" s="12" t="s">
        <v>8</v>
      </c>
      <c r="P20" s="12" t="s">
        <v>9</v>
      </c>
    </row>
    <row r="22" spans="3:16" ht="16" x14ac:dyDescent="0.2">
      <c r="C22" s="20" t="s">
        <v>685</v>
      </c>
      <c r="D22" s="20"/>
      <c r="E22" s="20"/>
      <c r="F22" s="20"/>
      <c r="G22" s="20"/>
      <c r="H22" s="20"/>
      <c r="I22" s="20"/>
    </row>
    <row r="23" spans="3:16" ht="14" x14ac:dyDescent="0.2">
      <c r="C23" s="22" t="s">
        <v>686</v>
      </c>
      <c r="D23" s="22"/>
      <c r="E23" s="23"/>
      <c r="F23" s="24" t="s">
        <v>692</v>
      </c>
      <c r="G23" s="24"/>
      <c r="H23" s="24"/>
      <c r="I23" s="24"/>
    </row>
    <row r="24" spans="3:16" ht="14" x14ac:dyDescent="0.2">
      <c r="C24" s="22" t="s">
        <v>687</v>
      </c>
      <c r="D24" s="22"/>
      <c r="E24" s="23"/>
      <c r="F24" s="24" t="s">
        <v>693</v>
      </c>
      <c r="G24" s="24"/>
      <c r="H24" s="24"/>
      <c r="I24" s="24"/>
    </row>
    <row r="26" spans="3:16" ht="16" x14ac:dyDescent="0.2">
      <c r="C26" s="20" t="s">
        <v>688</v>
      </c>
      <c r="D26" s="20"/>
      <c r="E26" s="20"/>
      <c r="F26" s="20"/>
      <c r="G26" s="20"/>
      <c r="H26" s="20"/>
      <c r="I26" s="20"/>
    </row>
    <row r="27" spans="3:16" ht="14" x14ac:dyDescent="0.2">
      <c r="C27" s="22" t="s">
        <v>689</v>
      </c>
      <c r="D27" s="22"/>
      <c r="E27" s="23"/>
      <c r="F27" s="24" t="b">
        <v>1</v>
      </c>
      <c r="G27" s="24"/>
      <c r="H27" s="24"/>
      <c r="I27" s="24"/>
    </row>
    <row r="28" spans="3:16" ht="14" x14ac:dyDescent="0.2">
      <c r="C28" s="22" t="s">
        <v>650</v>
      </c>
      <c r="D28" s="22"/>
      <c r="E28" s="23"/>
      <c r="F28" s="24">
        <v>4</v>
      </c>
      <c r="G28" s="24"/>
      <c r="H28" s="24"/>
      <c r="I28" s="24"/>
    </row>
    <row r="30" spans="3:16" ht="16" x14ac:dyDescent="0.2">
      <c r="C30" s="20" t="s">
        <v>690</v>
      </c>
      <c r="D30" s="20"/>
      <c r="E30" s="20"/>
      <c r="F30" s="20"/>
      <c r="G30" s="20"/>
      <c r="H30" s="20"/>
      <c r="I30" s="20"/>
    </row>
    <row r="31" spans="3:16" ht="14" x14ac:dyDescent="0.2">
      <c r="C31" s="22" t="s">
        <v>657</v>
      </c>
      <c r="D31" s="22"/>
      <c r="E31" s="23"/>
      <c r="F31" s="24" t="b">
        <v>0</v>
      </c>
      <c r="G31" s="24"/>
      <c r="H31" s="24"/>
      <c r="I31" s="24"/>
    </row>
    <row r="32" spans="3:16" ht="14" x14ac:dyDescent="0.2">
      <c r="C32" s="22" t="s">
        <v>691</v>
      </c>
      <c r="D32" s="22"/>
      <c r="E32" s="23"/>
      <c r="F32" s="24" t="b">
        <v>1</v>
      </c>
      <c r="G32" s="24"/>
      <c r="H32" s="24"/>
      <c r="I32" s="24"/>
    </row>
    <row r="33" spans="2:9" ht="14" x14ac:dyDescent="0.2">
      <c r="C33" s="22" t="s">
        <v>695</v>
      </c>
      <c r="D33" s="22"/>
      <c r="E33" s="23"/>
      <c r="F33" s="24">
        <v>10</v>
      </c>
      <c r="G33" s="24"/>
      <c r="H33" s="24"/>
      <c r="I33" s="24"/>
    </row>
    <row r="34" spans="2:9" ht="14" x14ac:dyDescent="0.2">
      <c r="C34" s="22" t="s">
        <v>696</v>
      </c>
      <c r="D34" s="22"/>
      <c r="E34" s="23"/>
      <c r="F34" s="24" t="s">
        <v>697</v>
      </c>
      <c r="G34" s="24"/>
      <c r="H34" s="24"/>
      <c r="I34" s="24"/>
    </row>
    <row r="36" spans="2:9" ht="19" x14ac:dyDescent="0.25">
      <c r="B36" s="9" t="s">
        <v>681</v>
      </c>
    </row>
    <row r="38" spans="2:9" x14ac:dyDescent="0.2">
      <c r="C38" s="11" t="s">
        <v>698</v>
      </c>
      <c r="D38" t="s">
        <v>326</v>
      </c>
      <c r="E38" t="s">
        <v>327</v>
      </c>
      <c r="F38" t="s">
        <v>699</v>
      </c>
    </row>
    <row r="39" spans="2:9" x14ac:dyDescent="0.2">
      <c r="C39" s="11" t="s">
        <v>700</v>
      </c>
      <c r="D39" s="10">
        <v>110</v>
      </c>
      <c r="E39" s="10">
        <v>114</v>
      </c>
      <c r="F39">
        <v>52.926500882439548</v>
      </c>
    </row>
    <row r="40" spans="2:9" x14ac:dyDescent="0.2">
      <c r="C40" s="11" t="s">
        <v>701</v>
      </c>
      <c r="D40" s="10">
        <v>79</v>
      </c>
      <c r="E40" s="10">
        <v>199</v>
      </c>
      <c r="F40">
        <v>133.17251601440307</v>
      </c>
    </row>
    <row r="41" spans="2:9" x14ac:dyDescent="0.2">
      <c r="C41" s="11" t="s">
        <v>702</v>
      </c>
      <c r="D41" s="10">
        <v>61</v>
      </c>
      <c r="E41" s="10">
        <v>118</v>
      </c>
      <c r="F41">
        <v>151.96834430016801</v>
      </c>
    </row>
    <row r="42" spans="2:9" x14ac:dyDescent="0.2">
      <c r="C42" s="11" t="s">
        <v>703</v>
      </c>
      <c r="D42" s="10">
        <v>77</v>
      </c>
      <c r="E42" s="10">
        <v>205</v>
      </c>
      <c r="F42">
        <v>170.92986184163638</v>
      </c>
    </row>
    <row r="43" spans="2:9" x14ac:dyDescent="0.2">
      <c r="C43" s="11" t="s">
        <v>704</v>
      </c>
      <c r="D43" s="10">
        <v>83</v>
      </c>
      <c r="E43" s="10">
        <v>128</v>
      </c>
      <c r="F43">
        <v>174.98718341897128</v>
      </c>
    </row>
    <row r="44" spans="2:9" x14ac:dyDescent="0.2">
      <c r="C44" s="11" t="s">
        <v>705</v>
      </c>
      <c r="D44" s="10">
        <v>74</v>
      </c>
      <c r="E44" s="10">
        <v>188</v>
      </c>
      <c r="F44">
        <v>184.36832815092478</v>
      </c>
    </row>
    <row r="45" spans="2:9" x14ac:dyDescent="0.2">
      <c r="C45" s="11" t="s">
        <v>706</v>
      </c>
      <c r="D45" s="10">
        <v>49</v>
      </c>
      <c r="E45" s="10">
        <v>95</v>
      </c>
      <c r="F45">
        <v>184.60239006062662</v>
      </c>
    </row>
    <row r="46" spans="2:9" x14ac:dyDescent="0.2">
      <c r="C46" s="11" t="s">
        <v>707</v>
      </c>
      <c r="D46" s="10">
        <v>94</v>
      </c>
      <c r="E46" s="10">
        <v>182</v>
      </c>
      <c r="F46">
        <v>204.94395273862915</v>
      </c>
    </row>
    <row r="47" spans="2:9" x14ac:dyDescent="0.2">
      <c r="C47" s="11" t="s">
        <v>708</v>
      </c>
      <c r="D47" s="10">
        <v>87</v>
      </c>
      <c r="E47" s="10">
        <v>89</v>
      </c>
      <c r="F47">
        <v>228.53553721317351</v>
      </c>
    </row>
    <row r="48" spans="2:9" x14ac:dyDescent="0.2">
      <c r="C48" s="11" t="s">
        <v>709</v>
      </c>
      <c r="D48" s="10">
        <v>77</v>
      </c>
      <c r="E48" s="10">
        <v>120</v>
      </c>
      <c r="F48">
        <v>241.48945396709408</v>
      </c>
    </row>
    <row r="49" spans="3:6" x14ac:dyDescent="0.2">
      <c r="C49" s="11" t="s">
        <v>710</v>
      </c>
      <c r="D49" s="10">
        <v>83</v>
      </c>
      <c r="E49" s="10">
        <v>140</v>
      </c>
      <c r="F49">
        <v>247.0505382562514</v>
      </c>
    </row>
    <row r="50" spans="3:6" x14ac:dyDescent="0.2">
      <c r="C50" s="11" t="s">
        <v>711</v>
      </c>
      <c r="D50" s="10">
        <v>49</v>
      </c>
      <c r="E50" s="10">
        <v>142</v>
      </c>
      <c r="F50">
        <v>265.63707309174163</v>
      </c>
    </row>
    <row r="51" spans="3:6" x14ac:dyDescent="0.2">
      <c r="C51" s="11" t="s">
        <v>712</v>
      </c>
      <c r="D51" s="10">
        <v>136</v>
      </c>
      <c r="E51" s="10">
        <v>156</v>
      </c>
      <c r="F51">
        <v>267.51854955405781</v>
      </c>
    </row>
    <row r="52" spans="3:6" x14ac:dyDescent="0.2">
      <c r="C52" s="11" t="s">
        <v>713</v>
      </c>
      <c r="D52" s="10">
        <v>151</v>
      </c>
      <c r="E52" s="10">
        <v>173</v>
      </c>
      <c r="F52">
        <v>274.16244896820558</v>
      </c>
    </row>
    <row r="53" spans="3:6" x14ac:dyDescent="0.2">
      <c r="C53" s="11" t="s">
        <v>714</v>
      </c>
      <c r="D53" s="10">
        <v>179</v>
      </c>
      <c r="E53" s="10">
        <v>254</v>
      </c>
      <c r="F53">
        <v>275.39680596523829</v>
      </c>
    </row>
    <row r="54" spans="3:6" x14ac:dyDescent="0.2">
      <c r="C54" s="11" t="s">
        <v>715</v>
      </c>
      <c r="D54" s="10">
        <v>81</v>
      </c>
      <c r="E54" s="10">
        <v>263</v>
      </c>
      <c r="F54">
        <v>282.67518789133823</v>
      </c>
    </row>
    <row r="55" spans="3:6" x14ac:dyDescent="0.2">
      <c r="C55" s="11" t="s">
        <v>716</v>
      </c>
      <c r="D55" s="10">
        <v>4</v>
      </c>
      <c r="E55" s="10">
        <v>166</v>
      </c>
      <c r="F55">
        <v>284.10424970417824</v>
      </c>
    </row>
    <row r="56" spans="3:6" x14ac:dyDescent="0.2">
      <c r="C56" s="11" t="s">
        <v>717</v>
      </c>
      <c r="D56" s="10">
        <v>96</v>
      </c>
      <c r="E56" s="10">
        <v>196</v>
      </c>
      <c r="F56">
        <v>288.84546786908362</v>
      </c>
    </row>
    <row r="57" spans="3:6" x14ac:dyDescent="0.2">
      <c r="C57" s="11" t="s">
        <v>718</v>
      </c>
      <c r="D57" s="10">
        <v>97</v>
      </c>
      <c r="E57" s="10">
        <v>192</v>
      </c>
      <c r="F57">
        <v>299.2278371075476</v>
      </c>
    </row>
    <row r="58" spans="3:6" x14ac:dyDescent="0.2">
      <c r="C58" s="11" t="s">
        <v>719</v>
      </c>
      <c r="D58" s="10">
        <v>113</v>
      </c>
      <c r="E58" s="10">
        <v>155</v>
      </c>
      <c r="F58">
        <v>300.35340271265846</v>
      </c>
    </row>
    <row r="59" spans="3:6" x14ac:dyDescent="0.2">
      <c r="C59" s="11" t="s">
        <v>720</v>
      </c>
      <c r="D59" s="10">
        <v>56</v>
      </c>
      <c r="E59" s="10">
        <v>298</v>
      </c>
      <c r="F59">
        <v>313.60900184100166</v>
      </c>
    </row>
    <row r="60" spans="3:6" x14ac:dyDescent="0.2">
      <c r="C60" s="11" t="s">
        <v>721</v>
      </c>
      <c r="D60" s="10">
        <v>122</v>
      </c>
      <c r="E60" s="10">
        <v>198</v>
      </c>
      <c r="F60">
        <v>324.07838609799961</v>
      </c>
    </row>
    <row r="61" spans="3:6" x14ac:dyDescent="0.2">
      <c r="C61" s="11" t="s">
        <v>722</v>
      </c>
      <c r="D61" s="10">
        <v>106</v>
      </c>
      <c r="E61" s="10">
        <v>283</v>
      </c>
      <c r="F61">
        <v>328.33783334288239</v>
      </c>
    </row>
    <row r="62" spans="3:6" x14ac:dyDescent="0.2">
      <c r="C62" s="11" t="s">
        <v>723</v>
      </c>
      <c r="D62" s="10">
        <v>130</v>
      </c>
      <c r="E62" s="10">
        <v>133</v>
      </c>
      <c r="F62">
        <v>328.70511386547264</v>
      </c>
    </row>
    <row r="63" spans="3:6" x14ac:dyDescent="0.2">
      <c r="C63" s="11" t="s">
        <v>724</v>
      </c>
      <c r="D63" s="10">
        <v>81</v>
      </c>
      <c r="E63" s="10">
        <v>168</v>
      </c>
      <c r="F63">
        <v>337.30098214503539</v>
      </c>
    </row>
    <row r="64" spans="3:6" x14ac:dyDescent="0.2">
      <c r="C64" s="11" t="s">
        <v>725</v>
      </c>
      <c r="D64" s="10">
        <v>280</v>
      </c>
      <c r="E64" s="10">
        <v>287</v>
      </c>
      <c r="F64">
        <v>345.77734978532254</v>
      </c>
    </row>
    <row r="65" spans="3:6" x14ac:dyDescent="0.2">
      <c r="C65" s="11" t="s">
        <v>726</v>
      </c>
      <c r="D65" s="10">
        <v>77</v>
      </c>
      <c r="E65" s="10">
        <v>299</v>
      </c>
      <c r="F65">
        <v>354.36642979354531</v>
      </c>
    </row>
    <row r="66" spans="3:6" x14ac:dyDescent="0.2">
      <c r="C66" s="11" t="s">
        <v>727</v>
      </c>
      <c r="D66" s="10">
        <v>107</v>
      </c>
      <c r="E66" s="10">
        <v>121</v>
      </c>
      <c r="F66">
        <v>360.13684432967142</v>
      </c>
    </row>
    <row r="67" spans="3:6" x14ac:dyDescent="0.2">
      <c r="C67" s="11" t="s">
        <v>728</v>
      </c>
      <c r="D67" s="10">
        <v>175</v>
      </c>
      <c r="E67" s="10">
        <v>186</v>
      </c>
      <c r="F67">
        <v>361.20119765738968</v>
      </c>
    </row>
    <row r="68" spans="3:6" x14ac:dyDescent="0.2">
      <c r="C68" s="11" t="s">
        <v>729</v>
      </c>
      <c r="D68" s="10">
        <v>163</v>
      </c>
      <c r="E68" s="10">
        <v>190</v>
      </c>
      <c r="F68">
        <v>362.94388131492718</v>
      </c>
    </row>
    <row r="69" spans="3:6" x14ac:dyDescent="0.2">
      <c r="C69" s="11" t="s">
        <v>730</v>
      </c>
      <c r="D69" s="10">
        <v>56</v>
      </c>
      <c r="E69" s="10">
        <v>269</v>
      </c>
      <c r="F69">
        <v>364.92245270874116</v>
      </c>
    </row>
    <row r="70" spans="3:6" x14ac:dyDescent="0.2">
      <c r="C70" s="11" t="s">
        <v>731</v>
      </c>
      <c r="D70" s="10">
        <v>91</v>
      </c>
      <c r="E70" s="10">
        <v>284</v>
      </c>
      <c r="F70">
        <v>375.9004874961505</v>
      </c>
    </row>
    <row r="71" spans="3:6" x14ac:dyDescent="0.2">
      <c r="C71" s="11" t="s">
        <v>732</v>
      </c>
      <c r="D71" s="10">
        <v>253</v>
      </c>
      <c r="E71" s="10">
        <v>270</v>
      </c>
      <c r="F71">
        <v>376.89328895653125</v>
      </c>
    </row>
    <row r="72" spans="3:6" x14ac:dyDescent="0.2">
      <c r="C72" s="11" t="s">
        <v>733</v>
      </c>
      <c r="D72" s="10">
        <v>73</v>
      </c>
      <c r="E72" s="10">
        <v>152</v>
      </c>
      <c r="F72">
        <v>389.66277426717755</v>
      </c>
    </row>
    <row r="73" spans="3:6" x14ac:dyDescent="0.2">
      <c r="C73" s="11" t="s">
        <v>734</v>
      </c>
      <c r="D73" s="10">
        <v>50</v>
      </c>
      <c r="E73" s="10">
        <v>122</v>
      </c>
      <c r="F73">
        <v>404.60652103782502</v>
      </c>
    </row>
    <row r="74" spans="3:6" x14ac:dyDescent="0.2">
      <c r="C74" s="11" t="s">
        <v>735</v>
      </c>
      <c r="D74" s="10">
        <v>85</v>
      </c>
      <c r="E74" s="10">
        <v>250</v>
      </c>
      <c r="F74">
        <v>413.28816339663211</v>
      </c>
    </row>
    <row r="75" spans="3:6" x14ac:dyDescent="0.2">
      <c r="C75" s="11" t="s">
        <v>736</v>
      </c>
      <c r="D75" s="10">
        <v>72</v>
      </c>
      <c r="E75" s="10">
        <v>126</v>
      </c>
      <c r="F75">
        <v>414.3005251314176</v>
      </c>
    </row>
    <row r="76" spans="3:6" x14ac:dyDescent="0.2">
      <c r="C76" s="11" t="s">
        <v>737</v>
      </c>
      <c r="D76" s="10">
        <v>162</v>
      </c>
      <c r="E76" s="10">
        <v>203</v>
      </c>
      <c r="F76">
        <v>414.64158145995333</v>
      </c>
    </row>
    <row r="77" spans="3:6" x14ac:dyDescent="0.2">
      <c r="C77" s="11" t="s">
        <v>738</v>
      </c>
      <c r="D77" s="10">
        <v>160</v>
      </c>
      <c r="E77" s="10">
        <v>277</v>
      </c>
      <c r="F77">
        <v>414.65286742235168</v>
      </c>
    </row>
    <row r="78" spans="3:6" x14ac:dyDescent="0.2">
      <c r="C78" s="11" t="s">
        <v>739</v>
      </c>
      <c r="D78" s="10">
        <v>77</v>
      </c>
      <c r="E78" s="10">
        <v>131</v>
      </c>
      <c r="F78">
        <v>427.30339258920333</v>
      </c>
    </row>
    <row r="79" spans="3:6" x14ac:dyDescent="0.2">
      <c r="C79" s="11" t="s">
        <v>740</v>
      </c>
      <c r="D79" s="10">
        <v>58</v>
      </c>
      <c r="E79" s="10">
        <v>71</v>
      </c>
      <c r="F79">
        <v>429.08878768330732</v>
      </c>
    </row>
    <row r="80" spans="3:6" x14ac:dyDescent="0.2">
      <c r="C80" s="11" t="s">
        <v>741</v>
      </c>
      <c r="D80" s="10">
        <v>83</v>
      </c>
      <c r="E80" s="10">
        <v>119</v>
      </c>
      <c r="F80">
        <v>443.16951729650833</v>
      </c>
    </row>
    <row r="81" spans="3:6" x14ac:dyDescent="0.2">
      <c r="C81" s="11" t="s">
        <v>742</v>
      </c>
      <c r="D81" s="10">
        <v>113</v>
      </c>
      <c r="E81" s="10">
        <v>127</v>
      </c>
      <c r="F81">
        <v>443.21080167747755</v>
      </c>
    </row>
    <row r="82" spans="3:6" x14ac:dyDescent="0.2">
      <c r="C82" s="11" t="s">
        <v>743</v>
      </c>
      <c r="D82" s="10">
        <v>104</v>
      </c>
      <c r="E82" s="10">
        <v>271</v>
      </c>
      <c r="F82">
        <v>448.84966028299868</v>
      </c>
    </row>
    <row r="83" spans="3:6" x14ac:dyDescent="0.2">
      <c r="C83" s="11" t="s">
        <v>744</v>
      </c>
      <c r="D83" s="10">
        <v>124</v>
      </c>
      <c r="E83" s="10">
        <v>138</v>
      </c>
      <c r="F83">
        <v>449.1328475244257</v>
      </c>
    </row>
    <row r="84" spans="3:6" x14ac:dyDescent="0.2">
      <c r="C84" s="11" t="s">
        <v>745</v>
      </c>
      <c r="D84" s="10">
        <v>48</v>
      </c>
      <c r="E84" s="10">
        <v>78</v>
      </c>
      <c r="F84">
        <v>456.33385000949659</v>
      </c>
    </row>
    <row r="85" spans="3:6" x14ac:dyDescent="0.2">
      <c r="C85" s="11" t="s">
        <v>746</v>
      </c>
      <c r="D85" s="10">
        <v>88</v>
      </c>
      <c r="E85" s="10">
        <v>129</v>
      </c>
      <c r="F85">
        <v>457.39198144454798</v>
      </c>
    </row>
    <row r="86" spans="3:6" x14ac:dyDescent="0.2">
      <c r="C86" s="11" t="s">
        <v>747</v>
      </c>
      <c r="D86" s="10">
        <v>177</v>
      </c>
      <c r="E86" s="10">
        <v>260</v>
      </c>
      <c r="F86">
        <v>457.7738639995568</v>
      </c>
    </row>
    <row r="87" spans="3:6" x14ac:dyDescent="0.2">
      <c r="C87" s="11" t="s">
        <v>748</v>
      </c>
      <c r="D87" s="10">
        <v>82</v>
      </c>
      <c r="E87" s="10">
        <v>303</v>
      </c>
      <c r="F87">
        <v>477.43471731879845</v>
      </c>
    </row>
    <row r="88" spans="3:6" x14ac:dyDescent="0.2">
      <c r="C88" s="11" t="s">
        <v>749</v>
      </c>
      <c r="D88" s="10">
        <v>204</v>
      </c>
      <c r="E88" s="10">
        <v>285</v>
      </c>
      <c r="F88">
        <v>478.72710720088355</v>
      </c>
    </row>
    <row r="89" spans="3:6" x14ac:dyDescent="0.2">
      <c r="C89" s="11" t="s">
        <v>750</v>
      </c>
      <c r="D89" s="10">
        <v>265</v>
      </c>
      <c r="E89" s="10">
        <v>296</v>
      </c>
      <c r="F89">
        <v>487.94652685447363</v>
      </c>
    </row>
    <row r="90" spans="3:6" x14ac:dyDescent="0.2">
      <c r="C90" s="11" t="s">
        <v>751</v>
      </c>
      <c r="D90" s="10">
        <v>255</v>
      </c>
      <c r="E90" s="10">
        <v>295</v>
      </c>
      <c r="F90">
        <v>489.51327450913743</v>
      </c>
    </row>
    <row r="91" spans="3:6" x14ac:dyDescent="0.2">
      <c r="C91" s="11" t="s">
        <v>752</v>
      </c>
      <c r="D91" s="10">
        <v>74</v>
      </c>
      <c r="E91" s="10">
        <v>86</v>
      </c>
      <c r="F91">
        <v>495.1208450055662</v>
      </c>
    </row>
    <row r="92" spans="3:6" x14ac:dyDescent="0.2">
      <c r="C92" s="11" t="s">
        <v>753</v>
      </c>
      <c r="D92" s="10">
        <v>130</v>
      </c>
      <c r="E92" s="10">
        <v>307</v>
      </c>
      <c r="F92">
        <v>501.18112808242154</v>
      </c>
    </row>
    <row r="93" spans="3:6" x14ac:dyDescent="0.2">
      <c r="C93" s="11" t="s">
        <v>754</v>
      </c>
      <c r="D93" s="10">
        <v>87</v>
      </c>
      <c r="E93" s="10">
        <v>181</v>
      </c>
      <c r="F93">
        <v>504.04951078084048</v>
      </c>
    </row>
    <row r="94" spans="3:6" x14ac:dyDescent="0.2">
      <c r="C94" s="11" t="s">
        <v>755</v>
      </c>
      <c r="D94" s="10">
        <v>147</v>
      </c>
      <c r="E94" s="10">
        <v>291</v>
      </c>
      <c r="F94">
        <v>519.80020498669478</v>
      </c>
    </row>
    <row r="95" spans="3:6" x14ac:dyDescent="0.2">
      <c r="C95" s="11" t="s">
        <v>756</v>
      </c>
      <c r="D95" s="10">
        <v>109</v>
      </c>
      <c r="E95" s="10">
        <v>130</v>
      </c>
      <c r="F95">
        <v>529.27781360514018</v>
      </c>
    </row>
    <row r="96" spans="3:6" x14ac:dyDescent="0.2">
      <c r="C96" s="11" t="s">
        <v>757</v>
      </c>
      <c r="D96" s="10">
        <v>84</v>
      </c>
      <c r="E96" s="10">
        <v>154</v>
      </c>
      <c r="F96">
        <v>530.63006511063543</v>
      </c>
    </row>
    <row r="97" spans="3:6" x14ac:dyDescent="0.2">
      <c r="C97" s="11" t="s">
        <v>758</v>
      </c>
      <c r="D97" s="10">
        <v>61</v>
      </c>
      <c r="E97" s="10">
        <v>96</v>
      </c>
      <c r="F97">
        <v>543.2306339027989</v>
      </c>
    </row>
    <row r="98" spans="3:6" x14ac:dyDescent="0.2">
      <c r="C98" s="11" t="s">
        <v>759</v>
      </c>
      <c r="D98" s="10">
        <v>157</v>
      </c>
      <c r="E98" s="10">
        <v>193</v>
      </c>
      <c r="F98">
        <v>547.36826340593143</v>
      </c>
    </row>
    <row r="99" spans="3:6" x14ac:dyDescent="0.2">
      <c r="C99" s="11" t="s">
        <v>760</v>
      </c>
      <c r="D99" s="10">
        <v>55</v>
      </c>
      <c r="E99" s="10">
        <v>248</v>
      </c>
      <c r="F99">
        <v>554.31595491740597</v>
      </c>
    </row>
    <row r="100" spans="3:6" x14ac:dyDescent="0.2">
      <c r="C100" s="11" t="s">
        <v>761</v>
      </c>
      <c r="D100" s="10">
        <v>51</v>
      </c>
      <c r="E100" s="10">
        <v>163</v>
      </c>
      <c r="F100">
        <v>555.92520727961653</v>
      </c>
    </row>
    <row r="101" spans="3:6" x14ac:dyDescent="0.2">
      <c r="C101" s="11" t="s">
        <v>762</v>
      </c>
      <c r="D101" s="10">
        <v>144</v>
      </c>
      <c r="E101" s="10">
        <v>172</v>
      </c>
      <c r="F101">
        <v>560.42820894765919</v>
      </c>
    </row>
    <row r="102" spans="3:6" x14ac:dyDescent="0.2">
      <c r="C102" s="11" t="s">
        <v>763</v>
      </c>
      <c r="D102" s="10">
        <v>123</v>
      </c>
      <c r="E102" s="10">
        <v>185</v>
      </c>
      <c r="F102">
        <v>569.19508092059709</v>
      </c>
    </row>
    <row r="103" spans="3:6" x14ac:dyDescent="0.2">
      <c r="C103" s="11" t="s">
        <v>764</v>
      </c>
      <c r="D103" s="10">
        <v>53</v>
      </c>
      <c r="E103" s="10">
        <v>201</v>
      </c>
      <c r="F103">
        <v>581.78763125091336</v>
      </c>
    </row>
    <row r="104" spans="3:6" x14ac:dyDescent="0.2">
      <c r="C104" s="11" t="s">
        <v>765</v>
      </c>
      <c r="D104" s="10">
        <v>145</v>
      </c>
      <c r="E104" s="10">
        <v>146</v>
      </c>
      <c r="F104">
        <v>582.28366387515439</v>
      </c>
    </row>
    <row r="105" spans="3:6" x14ac:dyDescent="0.2">
      <c r="C105" s="11" t="s">
        <v>766</v>
      </c>
      <c r="D105" s="10">
        <v>180</v>
      </c>
      <c r="E105" s="10">
        <v>197</v>
      </c>
      <c r="F105">
        <v>582.34162628097738</v>
      </c>
    </row>
    <row r="106" spans="3:6" x14ac:dyDescent="0.2">
      <c r="C106" s="11" t="s">
        <v>767</v>
      </c>
      <c r="D106" s="10">
        <v>157</v>
      </c>
      <c r="E106" s="10">
        <v>195</v>
      </c>
      <c r="F106">
        <v>590.87567577059042</v>
      </c>
    </row>
    <row r="107" spans="3:6" x14ac:dyDescent="0.2">
      <c r="C107" s="11" t="s">
        <v>768</v>
      </c>
      <c r="D107" s="10">
        <v>79</v>
      </c>
      <c r="E107" s="10">
        <v>170</v>
      </c>
      <c r="F107">
        <v>595.30609093872374</v>
      </c>
    </row>
    <row r="108" spans="3:6" x14ac:dyDescent="0.2">
      <c r="C108" s="11" t="s">
        <v>769</v>
      </c>
      <c r="D108" s="10">
        <v>109</v>
      </c>
      <c r="E108" s="10">
        <v>171</v>
      </c>
      <c r="F108">
        <v>601.87080519323717</v>
      </c>
    </row>
    <row r="109" spans="3:6" x14ac:dyDescent="0.2">
      <c r="C109" s="11" t="s">
        <v>770</v>
      </c>
      <c r="D109" s="10">
        <v>85</v>
      </c>
      <c r="E109" s="10">
        <v>300</v>
      </c>
      <c r="F109">
        <v>602.32364867748799</v>
      </c>
    </row>
    <row r="110" spans="3:6" x14ac:dyDescent="0.2">
      <c r="C110" s="11" t="s">
        <v>771</v>
      </c>
      <c r="D110" s="10">
        <v>93</v>
      </c>
      <c r="E110" s="10">
        <v>191</v>
      </c>
      <c r="F110">
        <v>607.18358701543548</v>
      </c>
    </row>
    <row r="111" spans="3:6" x14ac:dyDescent="0.2">
      <c r="C111" s="11" t="s">
        <v>772</v>
      </c>
      <c r="D111" s="10">
        <v>102</v>
      </c>
      <c r="E111" s="10">
        <v>153</v>
      </c>
      <c r="F111">
        <v>615.27750879146458</v>
      </c>
    </row>
    <row r="112" spans="3:6" x14ac:dyDescent="0.2">
      <c r="C112" s="11" t="s">
        <v>773</v>
      </c>
      <c r="D112" s="10">
        <v>151</v>
      </c>
      <c r="E112" s="10">
        <v>184</v>
      </c>
      <c r="F112">
        <v>621.53565502342758</v>
      </c>
    </row>
    <row r="113" spans="3:6" x14ac:dyDescent="0.2">
      <c r="C113" s="11" t="s">
        <v>774</v>
      </c>
      <c r="D113" s="10">
        <v>45</v>
      </c>
      <c r="E113" s="10">
        <v>246</v>
      </c>
      <c r="F113">
        <v>639.09019545367346</v>
      </c>
    </row>
    <row r="114" spans="3:6" x14ac:dyDescent="0.2">
      <c r="C114" s="11" t="s">
        <v>775</v>
      </c>
      <c r="D114" s="10">
        <v>107</v>
      </c>
      <c r="E114" s="10">
        <v>290</v>
      </c>
      <c r="F114">
        <v>662.24037728857638</v>
      </c>
    </row>
    <row r="115" spans="3:6" x14ac:dyDescent="0.2">
      <c r="C115" s="11" t="s">
        <v>776</v>
      </c>
      <c r="D115" s="10">
        <v>66</v>
      </c>
      <c r="E115" s="10">
        <v>183</v>
      </c>
      <c r="F115">
        <v>676.63337792714253</v>
      </c>
    </row>
    <row r="116" spans="3:6" x14ac:dyDescent="0.2">
      <c r="C116" s="11" t="s">
        <v>777</v>
      </c>
      <c r="D116" s="10">
        <v>98</v>
      </c>
      <c r="E116" s="10">
        <v>161</v>
      </c>
      <c r="F116">
        <v>700.44675067440949</v>
      </c>
    </row>
    <row r="117" spans="3:6" x14ac:dyDescent="0.2">
      <c r="C117" s="11" t="s">
        <v>778</v>
      </c>
      <c r="D117" s="10">
        <v>48</v>
      </c>
      <c r="E117" s="10">
        <v>94</v>
      </c>
      <c r="F117">
        <v>707.48566301874394</v>
      </c>
    </row>
    <row r="118" spans="3:6" x14ac:dyDescent="0.2">
      <c r="C118" s="11" t="s">
        <v>779</v>
      </c>
      <c r="D118" s="10">
        <v>50</v>
      </c>
      <c r="E118" s="10">
        <v>97</v>
      </c>
      <c r="F118">
        <v>717.00158602877389</v>
      </c>
    </row>
    <row r="119" spans="3:6" x14ac:dyDescent="0.2">
      <c r="C119" s="11" t="s">
        <v>780</v>
      </c>
      <c r="D119" s="10">
        <v>262</v>
      </c>
      <c r="E119" s="10">
        <v>279</v>
      </c>
      <c r="F119">
        <v>723.59457375074464</v>
      </c>
    </row>
    <row r="120" spans="3:6" x14ac:dyDescent="0.2">
      <c r="C120" s="11" t="s">
        <v>781</v>
      </c>
      <c r="D120" s="10">
        <v>175</v>
      </c>
      <c r="E120" s="10">
        <v>288</v>
      </c>
      <c r="F120">
        <v>737.89956704239694</v>
      </c>
    </row>
    <row r="121" spans="3:6" x14ac:dyDescent="0.2">
      <c r="C121" s="11" t="s">
        <v>782</v>
      </c>
      <c r="D121" s="10">
        <v>256</v>
      </c>
      <c r="E121" s="10">
        <v>286</v>
      </c>
      <c r="F121">
        <v>739.20152867878255</v>
      </c>
    </row>
    <row r="122" spans="3:6" x14ac:dyDescent="0.2">
      <c r="C122" s="11" t="s">
        <v>783</v>
      </c>
      <c r="D122" s="10">
        <v>25</v>
      </c>
      <c r="E122" s="10">
        <v>27</v>
      </c>
      <c r="F122">
        <v>748.4174972067193</v>
      </c>
    </row>
    <row r="123" spans="3:6" x14ac:dyDescent="0.2">
      <c r="C123" s="11" t="s">
        <v>784</v>
      </c>
      <c r="D123" s="10">
        <v>134</v>
      </c>
      <c r="E123" s="10">
        <v>194</v>
      </c>
      <c r="F123">
        <v>750.40976533100934</v>
      </c>
    </row>
    <row r="124" spans="3:6" x14ac:dyDescent="0.2">
      <c r="C124" s="11" t="s">
        <v>785</v>
      </c>
      <c r="D124" s="10">
        <v>159</v>
      </c>
      <c r="E124" s="10">
        <v>272</v>
      </c>
      <c r="F124">
        <v>755.13568082169365</v>
      </c>
    </row>
    <row r="125" spans="3:6" x14ac:dyDescent="0.2">
      <c r="C125" s="11" t="s">
        <v>786</v>
      </c>
      <c r="D125" s="10">
        <v>110</v>
      </c>
      <c r="E125" s="10">
        <v>177</v>
      </c>
      <c r="F125">
        <v>757.62094349153483</v>
      </c>
    </row>
    <row r="126" spans="3:6" x14ac:dyDescent="0.2">
      <c r="C126" s="11" t="s">
        <v>787</v>
      </c>
      <c r="D126" s="10">
        <v>74</v>
      </c>
      <c r="E126" s="10">
        <v>137</v>
      </c>
      <c r="F126">
        <v>759.79995044091811</v>
      </c>
    </row>
    <row r="127" spans="3:6" x14ac:dyDescent="0.2">
      <c r="C127" s="11" t="s">
        <v>788</v>
      </c>
      <c r="D127" s="10">
        <v>56</v>
      </c>
      <c r="E127" s="10">
        <v>58</v>
      </c>
      <c r="F127">
        <v>761.9571033891491</v>
      </c>
    </row>
    <row r="128" spans="3:6" x14ac:dyDescent="0.2">
      <c r="C128" s="11" t="s">
        <v>789</v>
      </c>
      <c r="D128" s="10">
        <v>259</v>
      </c>
      <c r="E128" s="10">
        <v>273</v>
      </c>
      <c r="F128">
        <v>766.48081155978434</v>
      </c>
    </row>
    <row r="129" spans="3:6" x14ac:dyDescent="0.2">
      <c r="C129" s="11" t="s">
        <v>790</v>
      </c>
      <c r="D129" s="10">
        <v>289</v>
      </c>
      <c r="E129" s="10">
        <v>297</v>
      </c>
      <c r="F129">
        <v>772.02771493534362</v>
      </c>
    </row>
    <row r="130" spans="3:6" x14ac:dyDescent="0.2">
      <c r="C130" s="11" t="s">
        <v>791</v>
      </c>
      <c r="D130" s="10">
        <v>54</v>
      </c>
      <c r="E130" s="10">
        <v>55</v>
      </c>
      <c r="F130">
        <v>772.96316073772152</v>
      </c>
    </row>
    <row r="131" spans="3:6" x14ac:dyDescent="0.2">
      <c r="C131" s="11" t="s">
        <v>792</v>
      </c>
      <c r="D131" s="10">
        <v>88</v>
      </c>
      <c r="E131" s="10">
        <v>116</v>
      </c>
      <c r="F131">
        <v>789.90147029320872</v>
      </c>
    </row>
    <row r="132" spans="3:6" x14ac:dyDescent="0.2">
      <c r="C132" s="11" t="s">
        <v>793</v>
      </c>
      <c r="D132" s="10">
        <v>62</v>
      </c>
      <c r="E132" s="10">
        <v>136</v>
      </c>
      <c r="F132">
        <v>799.58285466802874</v>
      </c>
    </row>
    <row r="133" spans="3:6" x14ac:dyDescent="0.2">
      <c r="C133" s="11" t="s">
        <v>794</v>
      </c>
      <c r="D133" s="10">
        <v>68</v>
      </c>
      <c r="E133" s="10">
        <v>189</v>
      </c>
      <c r="F133">
        <v>815.01697494170662</v>
      </c>
    </row>
    <row r="134" spans="3:6" x14ac:dyDescent="0.2">
      <c r="C134" s="11" t="s">
        <v>795</v>
      </c>
      <c r="D134" s="10">
        <v>106</v>
      </c>
      <c r="E134" s="10">
        <v>264</v>
      </c>
      <c r="F134">
        <v>818.26979160095777</v>
      </c>
    </row>
    <row r="135" spans="3:6" x14ac:dyDescent="0.2">
      <c r="C135" s="11" t="s">
        <v>796</v>
      </c>
      <c r="D135" s="10">
        <v>218</v>
      </c>
      <c r="E135" s="10">
        <v>219</v>
      </c>
      <c r="F135">
        <v>830.76294785034338</v>
      </c>
    </row>
    <row r="136" spans="3:6" x14ac:dyDescent="0.2">
      <c r="C136" s="11" t="s">
        <v>797</v>
      </c>
      <c r="D136" s="10">
        <v>98</v>
      </c>
      <c r="E136" s="10">
        <v>148</v>
      </c>
      <c r="F136">
        <v>845.81816244022536</v>
      </c>
    </row>
    <row r="137" spans="3:6" x14ac:dyDescent="0.2">
      <c r="C137" s="11" t="s">
        <v>798</v>
      </c>
      <c r="D137" s="10">
        <v>63</v>
      </c>
      <c r="E137" s="10">
        <v>109</v>
      </c>
      <c r="F137">
        <v>851.86358622088369</v>
      </c>
    </row>
    <row r="138" spans="3:6" x14ac:dyDescent="0.2">
      <c r="C138" s="11" t="s">
        <v>799</v>
      </c>
      <c r="D138" s="10">
        <v>110</v>
      </c>
      <c r="E138" s="10">
        <v>111</v>
      </c>
      <c r="F138">
        <v>880.85565987530595</v>
      </c>
    </row>
    <row r="139" spans="3:6" x14ac:dyDescent="0.2">
      <c r="C139" s="11" t="s">
        <v>800</v>
      </c>
      <c r="D139" s="10">
        <v>69</v>
      </c>
      <c r="E139" s="10">
        <v>70</v>
      </c>
      <c r="F139">
        <v>885.36102060122948</v>
      </c>
    </row>
    <row r="140" spans="3:6" x14ac:dyDescent="0.2">
      <c r="C140" s="11" t="s">
        <v>801</v>
      </c>
      <c r="D140" s="10">
        <v>215</v>
      </c>
      <c r="E140" s="10">
        <v>235</v>
      </c>
      <c r="F140">
        <v>890.85364805269364</v>
      </c>
    </row>
    <row r="141" spans="3:6" x14ac:dyDescent="0.2">
      <c r="C141" s="11" t="s">
        <v>802</v>
      </c>
      <c r="D141" s="10">
        <v>258</v>
      </c>
      <c r="E141" s="10">
        <v>302</v>
      </c>
      <c r="F141">
        <v>896.54808363840255</v>
      </c>
    </row>
    <row r="142" spans="3:6" x14ac:dyDescent="0.2">
      <c r="C142" s="11" t="s">
        <v>803</v>
      </c>
      <c r="D142" s="10">
        <v>150</v>
      </c>
      <c r="E142" s="10">
        <v>255</v>
      </c>
      <c r="F142">
        <v>900.3236936714618</v>
      </c>
    </row>
    <row r="143" spans="3:6" x14ac:dyDescent="0.2">
      <c r="C143" s="11" t="s">
        <v>804</v>
      </c>
      <c r="D143" s="10">
        <v>145</v>
      </c>
      <c r="E143" s="10">
        <v>174</v>
      </c>
      <c r="F143">
        <v>918.99420311203539</v>
      </c>
    </row>
    <row r="144" spans="3:6" x14ac:dyDescent="0.2">
      <c r="C144" s="11" t="s">
        <v>805</v>
      </c>
      <c r="D144" s="10">
        <v>11</v>
      </c>
      <c r="E144" s="10">
        <v>22</v>
      </c>
      <c r="F144">
        <v>943.97493649403236</v>
      </c>
    </row>
    <row r="145" spans="3:6" x14ac:dyDescent="0.2">
      <c r="C145" s="11" t="s">
        <v>806</v>
      </c>
      <c r="D145" s="10">
        <v>256</v>
      </c>
      <c r="E145" s="10">
        <v>305</v>
      </c>
      <c r="F145">
        <v>948.96280390402671</v>
      </c>
    </row>
    <row r="146" spans="3:6" x14ac:dyDescent="0.2">
      <c r="C146" s="11" t="s">
        <v>807</v>
      </c>
      <c r="D146" s="10">
        <v>57</v>
      </c>
      <c r="E146" s="10">
        <v>143</v>
      </c>
      <c r="F146">
        <v>949.68955080263436</v>
      </c>
    </row>
    <row r="147" spans="3:6" x14ac:dyDescent="0.2">
      <c r="C147" s="11" t="s">
        <v>808</v>
      </c>
      <c r="D147" s="10">
        <v>47</v>
      </c>
      <c r="E147" s="10">
        <v>187</v>
      </c>
      <c r="F147">
        <v>959.11211278125768</v>
      </c>
    </row>
    <row r="148" spans="3:6" x14ac:dyDescent="0.2">
      <c r="C148" s="11" t="s">
        <v>809</v>
      </c>
      <c r="D148" s="10">
        <v>165</v>
      </c>
      <c r="E148" s="10">
        <v>306</v>
      </c>
      <c r="F148">
        <v>966.86963565129849</v>
      </c>
    </row>
    <row r="149" spans="3:6" x14ac:dyDescent="0.2">
      <c r="C149" s="11" t="s">
        <v>810</v>
      </c>
      <c r="D149" s="10">
        <v>149</v>
      </c>
      <c r="E149" s="10">
        <v>164</v>
      </c>
      <c r="F149">
        <v>974.87802719578485</v>
      </c>
    </row>
    <row r="150" spans="3:6" x14ac:dyDescent="0.2">
      <c r="C150" s="11" t="s">
        <v>811</v>
      </c>
      <c r="D150" s="10">
        <v>4</v>
      </c>
      <c r="E150" s="10">
        <v>73</v>
      </c>
      <c r="F150">
        <v>980.62757125819712</v>
      </c>
    </row>
    <row r="151" spans="3:6" x14ac:dyDescent="0.2">
      <c r="C151" s="11" t="s">
        <v>812</v>
      </c>
      <c r="D151" s="10">
        <v>66</v>
      </c>
      <c r="E151" s="10">
        <v>132</v>
      </c>
      <c r="F151">
        <v>992.86508678640155</v>
      </c>
    </row>
    <row r="152" spans="3:6" x14ac:dyDescent="0.2">
      <c r="C152" s="11" t="s">
        <v>813</v>
      </c>
      <c r="D152" s="10">
        <v>77</v>
      </c>
      <c r="E152" s="10">
        <v>87</v>
      </c>
      <c r="F152">
        <v>998.58509178990653</v>
      </c>
    </row>
    <row r="153" spans="3:6" x14ac:dyDescent="0.2">
      <c r="C153" s="11" t="s">
        <v>814</v>
      </c>
      <c r="D153" s="10">
        <v>92</v>
      </c>
      <c r="E153" s="10">
        <v>145</v>
      </c>
      <c r="F153">
        <v>1005.7823819942032</v>
      </c>
    </row>
    <row r="154" spans="3:6" x14ac:dyDescent="0.2">
      <c r="C154" s="11" t="s">
        <v>815</v>
      </c>
      <c r="D154" s="10">
        <v>53</v>
      </c>
      <c r="E154" s="10">
        <v>249</v>
      </c>
      <c r="F154">
        <v>1005.8682314197274</v>
      </c>
    </row>
    <row r="155" spans="3:6" x14ac:dyDescent="0.2">
      <c r="C155" s="11" t="s">
        <v>816</v>
      </c>
      <c r="D155" s="10">
        <v>75</v>
      </c>
      <c r="E155" s="10">
        <v>117</v>
      </c>
      <c r="F155">
        <v>1053.6451028217846</v>
      </c>
    </row>
    <row r="156" spans="3:6" x14ac:dyDescent="0.2">
      <c r="C156" s="11" t="s">
        <v>817</v>
      </c>
      <c r="D156" s="10">
        <v>79</v>
      </c>
      <c r="E156" s="10">
        <v>82</v>
      </c>
      <c r="F156">
        <v>1064.9325618625742</v>
      </c>
    </row>
    <row r="157" spans="3:6" x14ac:dyDescent="0.2">
      <c r="C157" s="11" t="s">
        <v>818</v>
      </c>
      <c r="D157" s="10">
        <v>66</v>
      </c>
      <c r="E157" s="10">
        <v>72</v>
      </c>
      <c r="F157">
        <v>1074.3858959418071</v>
      </c>
    </row>
    <row r="158" spans="3:6" x14ac:dyDescent="0.2">
      <c r="C158" s="11" t="s">
        <v>819</v>
      </c>
      <c r="D158" s="10">
        <v>102</v>
      </c>
      <c r="E158" s="10">
        <v>282</v>
      </c>
      <c r="F158">
        <v>1089.560901285653</v>
      </c>
    </row>
    <row r="159" spans="3:6" x14ac:dyDescent="0.2">
      <c r="C159" s="11" t="s">
        <v>820</v>
      </c>
      <c r="D159" s="10">
        <v>76</v>
      </c>
      <c r="E159" s="10">
        <v>160</v>
      </c>
      <c r="F159">
        <v>1091.7962031725417</v>
      </c>
    </row>
    <row r="160" spans="3:6" x14ac:dyDescent="0.2">
      <c r="C160" s="11" t="s">
        <v>821</v>
      </c>
      <c r="D160" s="10">
        <v>85</v>
      </c>
      <c r="E160" s="10">
        <v>200</v>
      </c>
      <c r="F160">
        <v>1106.6309104507332</v>
      </c>
    </row>
    <row r="161" spans="3:6" x14ac:dyDescent="0.2">
      <c r="C161" s="11" t="s">
        <v>822</v>
      </c>
      <c r="D161" s="10">
        <v>36</v>
      </c>
      <c r="E161" s="10">
        <v>236</v>
      </c>
      <c r="F161">
        <v>1109.3765847825027</v>
      </c>
    </row>
    <row r="162" spans="3:6" x14ac:dyDescent="0.2">
      <c r="C162" s="11" t="s">
        <v>823</v>
      </c>
      <c r="D162" s="10">
        <v>52</v>
      </c>
      <c r="E162" s="10">
        <v>64</v>
      </c>
      <c r="F162">
        <v>1119.3994990993176</v>
      </c>
    </row>
    <row r="163" spans="3:6" x14ac:dyDescent="0.2">
      <c r="C163" s="11" t="s">
        <v>824</v>
      </c>
      <c r="D163" s="10">
        <v>26</v>
      </c>
      <c r="E163" s="10">
        <v>30</v>
      </c>
      <c r="F163">
        <v>1122.1628960556545</v>
      </c>
    </row>
    <row r="164" spans="3:6" x14ac:dyDescent="0.2">
      <c r="C164" s="11" t="s">
        <v>825</v>
      </c>
      <c r="D164" s="10">
        <v>83</v>
      </c>
      <c r="E164" s="10">
        <v>84</v>
      </c>
      <c r="F164">
        <v>1127.6915084792051</v>
      </c>
    </row>
    <row r="165" spans="3:6" x14ac:dyDescent="0.2">
      <c r="C165" s="11" t="s">
        <v>826</v>
      </c>
      <c r="D165" s="10">
        <v>48</v>
      </c>
      <c r="E165" s="10">
        <v>261</v>
      </c>
      <c r="F165">
        <v>1142.1332463611016</v>
      </c>
    </row>
    <row r="166" spans="3:6" x14ac:dyDescent="0.2">
      <c r="C166" s="11" t="s">
        <v>827</v>
      </c>
      <c r="D166" s="10">
        <v>93</v>
      </c>
      <c r="E166" s="10">
        <v>115</v>
      </c>
      <c r="F166">
        <v>1147.0646186209219</v>
      </c>
    </row>
    <row r="167" spans="3:6" x14ac:dyDescent="0.2">
      <c r="C167" s="11" t="s">
        <v>828</v>
      </c>
      <c r="D167" s="10">
        <v>81</v>
      </c>
      <c r="E167" s="10">
        <v>162</v>
      </c>
      <c r="F167">
        <v>1154.0082984211631</v>
      </c>
    </row>
    <row r="168" spans="3:6" x14ac:dyDescent="0.2">
      <c r="C168" s="11" t="s">
        <v>829</v>
      </c>
      <c r="D168" s="10">
        <v>53</v>
      </c>
      <c r="E168" s="10">
        <v>202</v>
      </c>
      <c r="F168">
        <v>1171.2713524478002</v>
      </c>
    </row>
    <row r="169" spans="3:6" x14ac:dyDescent="0.2">
      <c r="C169" s="11" t="s">
        <v>830</v>
      </c>
      <c r="D169" s="10">
        <v>31</v>
      </c>
      <c r="E169" s="10">
        <v>225</v>
      </c>
      <c r="F169">
        <v>1176.7493376454463</v>
      </c>
    </row>
    <row r="170" spans="3:6" x14ac:dyDescent="0.2">
      <c r="C170" s="11" t="s">
        <v>831</v>
      </c>
      <c r="D170" s="10">
        <v>204</v>
      </c>
      <c r="E170" s="10">
        <v>258</v>
      </c>
      <c r="F170">
        <v>1178.1557373343051</v>
      </c>
    </row>
    <row r="171" spans="3:6" x14ac:dyDescent="0.2">
      <c r="C171" s="11" t="s">
        <v>832</v>
      </c>
      <c r="D171" s="10">
        <v>151</v>
      </c>
      <c r="E171" s="10">
        <v>159</v>
      </c>
      <c r="F171">
        <v>1188.1534496397799</v>
      </c>
    </row>
    <row r="172" spans="3:6" x14ac:dyDescent="0.2">
      <c r="C172" s="11" t="s">
        <v>833</v>
      </c>
      <c r="D172" s="10">
        <v>237</v>
      </c>
      <c r="E172" s="10">
        <v>238</v>
      </c>
      <c r="F172">
        <v>1189.8816940456145</v>
      </c>
    </row>
    <row r="173" spans="3:6" x14ac:dyDescent="0.2">
      <c r="C173" s="11" t="s">
        <v>834</v>
      </c>
      <c r="D173" s="10">
        <v>47</v>
      </c>
      <c r="E173" s="10">
        <v>157</v>
      </c>
      <c r="F173">
        <v>1200.5199799226943</v>
      </c>
    </row>
    <row r="174" spans="3:6" x14ac:dyDescent="0.2">
      <c r="C174" s="11" t="s">
        <v>835</v>
      </c>
      <c r="D174" s="10">
        <v>91</v>
      </c>
      <c r="E174" s="10">
        <v>110</v>
      </c>
      <c r="F174">
        <v>1223.9385621118167</v>
      </c>
    </row>
    <row r="175" spans="3:6" x14ac:dyDescent="0.2">
      <c r="C175" s="11" t="s">
        <v>836</v>
      </c>
      <c r="D175" s="10">
        <v>18</v>
      </c>
      <c r="E175" s="10">
        <v>218</v>
      </c>
      <c r="F175">
        <v>1231.3303650042826</v>
      </c>
    </row>
    <row r="176" spans="3:6" x14ac:dyDescent="0.2">
      <c r="C176" s="11" t="s">
        <v>837</v>
      </c>
      <c r="D176" s="10">
        <v>102</v>
      </c>
      <c r="E176" s="10">
        <v>167</v>
      </c>
      <c r="F176">
        <v>1263.2304737681593</v>
      </c>
    </row>
    <row r="177" spans="3:6" x14ac:dyDescent="0.2">
      <c r="C177" s="11" t="s">
        <v>838</v>
      </c>
      <c r="D177" s="10">
        <v>208</v>
      </c>
      <c r="E177" s="10">
        <v>215</v>
      </c>
      <c r="F177">
        <v>1276.8871927183691</v>
      </c>
    </row>
    <row r="178" spans="3:6" x14ac:dyDescent="0.2">
      <c r="C178" s="11" t="s">
        <v>839</v>
      </c>
      <c r="D178" s="10">
        <v>141</v>
      </c>
      <c r="E178" s="10">
        <v>292</v>
      </c>
      <c r="F178">
        <v>1294.137281374678</v>
      </c>
    </row>
    <row r="179" spans="3:6" x14ac:dyDescent="0.2">
      <c r="C179" s="11" t="s">
        <v>840</v>
      </c>
      <c r="D179" s="10">
        <v>237</v>
      </c>
      <c r="E179" s="10">
        <v>239</v>
      </c>
      <c r="F179">
        <v>1298.9397112715972</v>
      </c>
    </row>
    <row r="180" spans="3:6" x14ac:dyDescent="0.2">
      <c r="C180" s="11" t="s">
        <v>841</v>
      </c>
      <c r="D180" s="10">
        <v>50</v>
      </c>
      <c r="E180" s="10">
        <v>265</v>
      </c>
      <c r="F180">
        <v>1321.8219594974998</v>
      </c>
    </row>
    <row r="181" spans="3:6" x14ac:dyDescent="0.2">
      <c r="C181" s="11" t="s">
        <v>842</v>
      </c>
      <c r="D181" s="10">
        <v>88</v>
      </c>
      <c r="E181" s="10">
        <v>180</v>
      </c>
      <c r="F181">
        <v>1349.6299760706108</v>
      </c>
    </row>
    <row r="182" spans="3:6" x14ac:dyDescent="0.2">
      <c r="C182" s="11" t="s">
        <v>843</v>
      </c>
      <c r="D182" s="10">
        <v>107</v>
      </c>
      <c r="E182" s="10">
        <v>175</v>
      </c>
      <c r="F182">
        <v>1359.5668724105242</v>
      </c>
    </row>
    <row r="183" spans="3:6" x14ac:dyDescent="0.2">
      <c r="C183" s="11" t="s">
        <v>844</v>
      </c>
      <c r="D183" s="10">
        <v>113</v>
      </c>
      <c r="E183" s="10">
        <v>165</v>
      </c>
      <c r="F183">
        <v>1388.4942895502818</v>
      </c>
    </row>
    <row r="184" spans="3:6" x14ac:dyDescent="0.2">
      <c r="C184" s="11" t="s">
        <v>845</v>
      </c>
      <c r="D184" s="10">
        <v>38</v>
      </c>
      <c r="E184" s="10">
        <v>214</v>
      </c>
      <c r="F184">
        <v>1388.9085184925689</v>
      </c>
    </row>
    <row r="185" spans="3:6" x14ac:dyDescent="0.2">
      <c r="C185" s="11" t="s">
        <v>846</v>
      </c>
      <c r="D185" s="10">
        <v>178</v>
      </c>
      <c r="E185" s="10">
        <v>274</v>
      </c>
      <c r="F185">
        <v>1391.2539850827404</v>
      </c>
    </row>
    <row r="186" spans="3:6" x14ac:dyDescent="0.2">
      <c r="C186" s="11" t="s">
        <v>847</v>
      </c>
      <c r="D186" s="10">
        <v>74</v>
      </c>
      <c r="E186" s="10">
        <v>280</v>
      </c>
      <c r="F186">
        <v>1393.6653090910038</v>
      </c>
    </row>
    <row r="187" spans="3:6" x14ac:dyDescent="0.2">
      <c r="C187" s="11" t="s">
        <v>848</v>
      </c>
      <c r="D187" s="10">
        <v>76</v>
      </c>
      <c r="E187" s="10">
        <v>105</v>
      </c>
      <c r="F187">
        <v>1413.6862759754119</v>
      </c>
    </row>
    <row r="188" spans="3:6" x14ac:dyDescent="0.2">
      <c r="C188" s="11" t="s">
        <v>849</v>
      </c>
      <c r="D188" s="10">
        <v>77</v>
      </c>
      <c r="E188" s="10">
        <v>90</v>
      </c>
      <c r="F188">
        <v>1417.9733309930286</v>
      </c>
    </row>
    <row r="189" spans="3:6" x14ac:dyDescent="0.2">
      <c r="C189" s="11" t="s">
        <v>850</v>
      </c>
      <c r="D189" s="10">
        <v>46</v>
      </c>
      <c r="E189" s="10">
        <v>234</v>
      </c>
      <c r="F189">
        <v>1430.6685194286513</v>
      </c>
    </row>
    <row r="190" spans="3:6" x14ac:dyDescent="0.2">
      <c r="C190" s="11" t="s">
        <v>851</v>
      </c>
      <c r="D190" s="10">
        <v>139</v>
      </c>
      <c r="E190" s="10">
        <v>158</v>
      </c>
      <c r="F190">
        <v>1457.0998321148718</v>
      </c>
    </row>
    <row r="191" spans="3:6" x14ac:dyDescent="0.2">
      <c r="C191" s="11" t="s">
        <v>852</v>
      </c>
      <c r="D191" s="10">
        <v>80</v>
      </c>
      <c r="E191" s="10">
        <v>256</v>
      </c>
      <c r="F191">
        <v>1461.58230701701</v>
      </c>
    </row>
    <row r="192" spans="3:6" x14ac:dyDescent="0.2">
      <c r="C192" s="11" t="s">
        <v>853</v>
      </c>
      <c r="D192" s="10">
        <v>24</v>
      </c>
      <c r="E192" s="10">
        <v>29</v>
      </c>
      <c r="F192">
        <v>1466.2530566586913</v>
      </c>
    </row>
    <row r="193" spans="3:6" x14ac:dyDescent="0.2">
      <c r="C193" s="11" t="s">
        <v>854</v>
      </c>
      <c r="D193" s="10">
        <v>108</v>
      </c>
      <c r="E193" s="10">
        <v>252</v>
      </c>
      <c r="F193">
        <v>1488.3668187610899</v>
      </c>
    </row>
    <row r="194" spans="3:6" x14ac:dyDescent="0.2">
      <c r="C194" s="11" t="s">
        <v>855</v>
      </c>
      <c r="D194" s="10">
        <v>53</v>
      </c>
      <c r="E194" s="10">
        <v>67</v>
      </c>
      <c r="F194">
        <v>1494.3182913942355</v>
      </c>
    </row>
    <row r="195" spans="3:6" x14ac:dyDescent="0.2">
      <c r="C195" s="11" t="s">
        <v>856</v>
      </c>
      <c r="D195" s="10">
        <v>93</v>
      </c>
      <c r="E195" s="10">
        <v>276</v>
      </c>
      <c r="F195">
        <v>1504.8026309983634</v>
      </c>
    </row>
    <row r="196" spans="3:6" x14ac:dyDescent="0.2">
      <c r="C196" s="11" t="s">
        <v>857</v>
      </c>
      <c r="D196" s="10">
        <v>25</v>
      </c>
      <c r="E196" s="10">
        <v>28</v>
      </c>
      <c r="F196">
        <v>1550.5735260068061</v>
      </c>
    </row>
    <row r="197" spans="3:6" x14ac:dyDescent="0.2">
      <c r="C197" s="11" t="s">
        <v>858</v>
      </c>
      <c r="D197" s="10">
        <v>49</v>
      </c>
      <c r="E197" s="10">
        <v>88</v>
      </c>
      <c r="F197">
        <v>1567.6999934425949</v>
      </c>
    </row>
    <row r="198" spans="3:6" x14ac:dyDescent="0.2">
      <c r="C198" s="11" t="s">
        <v>859</v>
      </c>
      <c r="D198" s="10">
        <v>7</v>
      </c>
      <c r="E198" s="10">
        <v>213</v>
      </c>
      <c r="F198">
        <v>1575.4808930176969</v>
      </c>
    </row>
    <row r="199" spans="3:6" x14ac:dyDescent="0.2">
      <c r="C199" s="11" t="s">
        <v>860</v>
      </c>
      <c r="D199" s="10">
        <v>150</v>
      </c>
      <c r="E199" s="10">
        <v>151</v>
      </c>
      <c r="F199">
        <v>1602.5790164095042</v>
      </c>
    </row>
    <row r="200" spans="3:6" x14ac:dyDescent="0.2">
      <c r="C200" s="11" t="s">
        <v>861</v>
      </c>
      <c r="D200" s="10">
        <v>62</v>
      </c>
      <c r="E200" s="10">
        <v>99</v>
      </c>
      <c r="F200">
        <v>1669.9503650628883</v>
      </c>
    </row>
    <row r="201" spans="3:6" x14ac:dyDescent="0.2">
      <c r="C201" s="11" t="s">
        <v>862</v>
      </c>
      <c r="D201" s="10">
        <v>259</v>
      </c>
      <c r="E201" s="10">
        <v>289</v>
      </c>
      <c r="F201">
        <v>1680.3730900598578</v>
      </c>
    </row>
    <row r="202" spans="3:6" x14ac:dyDescent="0.2">
      <c r="C202" s="11" t="s">
        <v>863</v>
      </c>
      <c r="D202" s="10">
        <v>68</v>
      </c>
      <c r="E202" s="10">
        <v>169</v>
      </c>
      <c r="F202">
        <v>1684.4700441485661</v>
      </c>
    </row>
    <row r="203" spans="3:6" x14ac:dyDescent="0.2">
      <c r="C203" s="11" t="s">
        <v>864</v>
      </c>
      <c r="D203" s="10">
        <v>12</v>
      </c>
      <c r="E203" s="10">
        <v>212</v>
      </c>
      <c r="F203">
        <v>1691.6425926503948</v>
      </c>
    </row>
    <row r="204" spans="3:6" x14ac:dyDescent="0.2">
      <c r="C204" s="11" t="s">
        <v>865</v>
      </c>
      <c r="D204" s="10">
        <v>226</v>
      </c>
      <c r="E204" s="10">
        <v>232</v>
      </c>
      <c r="F204">
        <v>1710.3906899137994</v>
      </c>
    </row>
    <row r="205" spans="3:6" x14ac:dyDescent="0.2">
      <c r="C205" s="11" t="s">
        <v>866</v>
      </c>
      <c r="D205" s="10">
        <v>5</v>
      </c>
      <c r="E205" s="10">
        <v>41</v>
      </c>
      <c r="F205">
        <v>1724.2993990893269</v>
      </c>
    </row>
    <row r="206" spans="3:6" x14ac:dyDescent="0.2">
      <c r="C206" s="11" t="s">
        <v>867</v>
      </c>
      <c r="D206" s="10">
        <v>59</v>
      </c>
      <c r="E206" s="10">
        <v>251</v>
      </c>
      <c r="F206">
        <v>1727.3793474510237</v>
      </c>
    </row>
    <row r="207" spans="3:6" x14ac:dyDescent="0.2">
      <c r="C207" s="11" t="s">
        <v>868</v>
      </c>
      <c r="D207" s="10">
        <v>36</v>
      </c>
      <c r="E207" s="10">
        <v>257</v>
      </c>
      <c r="F207">
        <v>1731.0366785315487</v>
      </c>
    </row>
    <row r="208" spans="3:6" x14ac:dyDescent="0.2">
      <c r="C208" s="11" t="s">
        <v>869</v>
      </c>
      <c r="D208" s="10">
        <v>45</v>
      </c>
      <c r="E208" s="10">
        <v>217</v>
      </c>
      <c r="F208">
        <v>1823.545806728019</v>
      </c>
    </row>
    <row r="209" spans="3:6" x14ac:dyDescent="0.2">
      <c r="C209" s="11" t="s">
        <v>870</v>
      </c>
      <c r="D209" s="10">
        <v>61</v>
      </c>
      <c r="E209" s="10">
        <v>77</v>
      </c>
      <c r="F209">
        <v>1827.0001291950916</v>
      </c>
    </row>
    <row r="210" spans="3:6" x14ac:dyDescent="0.2">
      <c r="C210" s="11" t="s">
        <v>871</v>
      </c>
      <c r="D210" s="10">
        <v>98</v>
      </c>
      <c r="E210" s="10">
        <v>144</v>
      </c>
      <c r="F210">
        <v>1832.2915821124316</v>
      </c>
    </row>
    <row r="211" spans="3:6" x14ac:dyDescent="0.2">
      <c r="C211" s="11" t="s">
        <v>872</v>
      </c>
      <c r="D211" s="10">
        <v>11</v>
      </c>
      <c r="E211" s="10">
        <v>37</v>
      </c>
      <c r="F211">
        <v>1856.5800936499957</v>
      </c>
    </row>
    <row r="212" spans="3:6" x14ac:dyDescent="0.2">
      <c r="C212" s="11" t="s">
        <v>873</v>
      </c>
      <c r="D212" s="10">
        <v>66</v>
      </c>
      <c r="E212" s="10">
        <v>149</v>
      </c>
      <c r="F212">
        <v>1868.8923526481137</v>
      </c>
    </row>
    <row r="213" spans="3:6" x14ac:dyDescent="0.2">
      <c r="C213" s="11" t="s">
        <v>874</v>
      </c>
      <c r="D213" s="10">
        <v>240</v>
      </c>
      <c r="E213" s="10">
        <v>241</v>
      </c>
      <c r="F213">
        <v>1903.7309720391529</v>
      </c>
    </row>
    <row r="214" spans="3:6" x14ac:dyDescent="0.2">
      <c r="C214" s="11" t="s">
        <v>875</v>
      </c>
      <c r="D214" s="10">
        <v>31</v>
      </c>
      <c r="E214" s="10">
        <v>230</v>
      </c>
      <c r="F214">
        <v>1904.2239224051252</v>
      </c>
    </row>
    <row r="215" spans="3:6" x14ac:dyDescent="0.2">
      <c r="C215" s="11" t="s">
        <v>876</v>
      </c>
      <c r="D215" s="10">
        <v>20</v>
      </c>
      <c r="E215" s="10">
        <v>222</v>
      </c>
      <c r="F215">
        <v>1907.6262700857344</v>
      </c>
    </row>
    <row r="216" spans="3:6" x14ac:dyDescent="0.2">
      <c r="C216" s="11" t="s">
        <v>877</v>
      </c>
      <c r="D216" s="10">
        <v>3</v>
      </c>
      <c r="E216" s="10">
        <v>32</v>
      </c>
      <c r="F216">
        <v>1952.9968737343065</v>
      </c>
    </row>
    <row r="217" spans="3:6" x14ac:dyDescent="0.2">
      <c r="C217" s="11" t="s">
        <v>878</v>
      </c>
      <c r="D217" s="10">
        <v>21</v>
      </c>
      <c r="E217" s="10">
        <v>206</v>
      </c>
      <c r="F217">
        <v>1953.1009941497744</v>
      </c>
    </row>
    <row r="218" spans="3:6" x14ac:dyDescent="0.2">
      <c r="C218" s="11" t="s">
        <v>879</v>
      </c>
      <c r="D218" s="10">
        <v>23</v>
      </c>
      <c r="E218" s="10">
        <v>233</v>
      </c>
      <c r="F218">
        <v>1956.3372480520441</v>
      </c>
    </row>
    <row r="219" spans="3:6" x14ac:dyDescent="0.2">
      <c r="C219" s="11" t="s">
        <v>880</v>
      </c>
      <c r="D219" s="10">
        <v>141</v>
      </c>
      <c r="E219" s="10">
        <v>275</v>
      </c>
      <c r="F219">
        <v>1966.5697237140466</v>
      </c>
    </row>
    <row r="220" spans="3:6" x14ac:dyDescent="0.2">
      <c r="C220" s="11" t="s">
        <v>881</v>
      </c>
      <c r="D220" s="10">
        <v>10</v>
      </c>
      <c r="E220" s="10">
        <v>39</v>
      </c>
      <c r="F220">
        <v>1986.6388699713982</v>
      </c>
    </row>
    <row r="221" spans="3:6" x14ac:dyDescent="0.2">
      <c r="C221" s="11" t="s">
        <v>882</v>
      </c>
      <c r="D221" s="10">
        <v>135</v>
      </c>
      <c r="E221" s="10">
        <v>266</v>
      </c>
      <c r="F221">
        <v>2006.8274658348646</v>
      </c>
    </row>
    <row r="222" spans="3:6" x14ac:dyDescent="0.2">
      <c r="C222" s="11" t="s">
        <v>883</v>
      </c>
      <c r="D222" s="10">
        <v>93</v>
      </c>
      <c r="E222" s="10">
        <v>301</v>
      </c>
      <c r="F222">
        <v>2043.2154292249065</v>
      </c>
    </row>
    <row r="223" spans="3:6" x14ac:dyDescent="0.2">
      <c r="C223" s="11" t="s">
        <v>884</v>
      </c>
      <c r="D223" s="10">
        <v>104</v>
      </c>
      <c r="E223" s="10">
        <v>262</v>
      </c>
      <c r="F223">
        <v>2049.2959349992407</v>
      </c>
    </row>
    <row r="224" spans="3:6" x14ac:dyDescent="0.2">
      <c r="C224" s="11" t="s">
        <v>885</v>
      </c>
      <c r="D224" s="10">
        <v>38</v>
      </c>
      <c r="E224" s="10">
        <v>223</v>
      </c>
      <c r="F224">
        <v>2089.9956469398885</v>
      </c>
    </row>
    <row r="225" spans="3:6" x14ac:dyDescent="0.2">
      <c r="C225" s="11" t="s">
        <v>886</v>
      </c>
      <c r="D225" s="10">
        <v>108</v>
      </c>
      <c r="E225" s="10">
        <v>147</v>
      </c>
      <c r="F225">
        <v>2101.5168127666307</v>
      </c>
    </row>
    <row r="226" spans="3:6" x14ac:dyDescent="0.2">
      <c r="C226" s="11" t="s">
        <v>887</v>
      </c>
      <c r="D226" s="10">
        <v>224</v>
      </c>
      <c r="E226" s="10">
        <v>243</v>
      </c>
      <c r="F226">
        <v>2103.9203465911</v>
      </c>
    </row>
    <row r="227" spans="3:6" x14ac:dyDescent="0.2">
      <c r="C227" s="11" t="s">
        <v>888</v>
      </c>
      <c r="D227" s="10">
        <v>98</v>
      </c>
      <c r="E227" s="10">
        <v>112</v>
      </c>
      <c r="F227">
        <v>2260.9685446541075</v>
      </c>
    </row>
    <row r="228" spans="3:6" x14ac:dyDescent="0.2">
      <c r="C228" s="11" t="s">
        <v>889</v>
      </c>
      <c r="D228" s="10">
        <v>3</v>
      </c>
      <c r="E228" s="10">
        <v>19</v>
      </c>
      <c r="F228">
        <v>2283.2699747188622</v>
      </c>
    </row>
    <row r="229" spans="3:6" x14ac:dyDescent="0.2">
      <c r="C229" s="11" t="s">
        <v>890</v>
      </c>
      <c r="D229" s="10">
        <v>267</v>
      </c>
      <c r="E229" s="10">
        <v>278</v>
      </c>
      <c r="F229">
        <v>2311.6086261608534</v>
      </c>
    </row>
    <row r="230" spans="3:6" x14ac:dyDescent="0.2">
      <c r="C230" s="11" t="s">
        <v>891</v>
      </c>
      <c r="D230" s="10">
        <v>229</v>
      </c>
      <c r="E230" s="10">
        <v>237</v>
      </c>
      <c r="F230">
        <v>2352.3694298628798</v>
      </c>
    </row>
    <row r="231" spans="3:6" x14ac:dyDescent="0.2">
      <c r="C231" s="11" t="s">
        <v>892</v>
      </c>
      <c r="D231" s="10">
        <v>35</v>
      </c>
      <c r="E231" s="10">
        <v>211</v>
      </c>
      <c r="F231">
        <v>2377.8797851540521</v>
      </c>
    </row>
    <row r="232" spans="3:6" x14ac:dyDescent="0.2">
      <c r="C232" s="11" t="s">
        <v>893</v>
      </c>
      <c r="D232" s="10">
        <v>104</v>
      </c>
      <c r="E232" s="10">
        <v>106</v>
      </c>
      <c r="F232">
        <v>2387.0082356715675</v>
      </c>
    </row>
    <row r="233" spans="3:6" x14ac:dyDescent="0.2">
      <c r="C233" s="11" t="s">
        <v>894</v>
      </c>
      <c r="D233" s="10">
        <v>6</v>
      </c>
      <c r="E233" s="10">
        <v>208</v>
      </c>
      <c r="F233">
        <v>2395.2094269109411</v>
      </c>
    </row>
    <row r="234" spans="3:6" x14ac:dyDescent="0.2">
      <c r="C234" s="11" t="s">
        <v>895</v>
      </c>
      <c r="D234" s="10">
        <v>51</v>
      </c>
      <c r="E234" s="10">
        <v>123</v>
      </c>
      <c r="F234">
        <v>2404.32101319394</v>
      </c>
    </row>
    <row r="235" spans="3:6" x14ac:dyDescent="0.2">
      <c r="C235" s="11" t="s">
        <v>896</v>
      </c>
      <c r="D235" s="10">
        <v>101</v>
      </c>
      <c r="E235" s="10">
        <v>267</v>
      </c>
      <c r="F235">
        <v>2408.9586579625902</v>
      </c>
    </row>
    <row r="236" spans="3:6" x14ac:dyDescent="0.2">
      <c r="C236" s="11" t="s">
        <v>897</v>
      </c>
      <c r="D236" s="10">
        <v>53</v>
      </c>
      <c r="E236" s="10">
        <v>124</v>
      </c>
      <c r="F236">
        <v>2421.4008986162494</v>
      </c>
    </row>
    <row r="237" spans="3:6" x14ac:dyDescent="0.2">
      <c r="C237" s="11" t="s">
        <v>898</v>
      </c>
      <c r="D237" s="10">
        <v>91</v>
      </c>
      <c r="E237" s="10">
        <v>253</v>
      </c>
      <c r="F237">
        <v>2440.230132969371</v>
      </c>
    </row>
    <row r="238" spans="3:6" x14ac:dyDescent="0.2">
      <c r="C238" s="11" t="s">
        <v>899</v>
      </c>
      <c r="D238" s="10">
        <v>125</v>
      </c>
      <c r="E238" s="10">
        <v>178</v>
      </c>
      <c r="F238">
        <v>2497.3067490745634</v>
      </c>
    </row>
    <row r="239" spans="3:6" x14ac:dyDescent="0.2">
      <c r="C239" s="11" t="s">
        <v>900</v>
      </c>
      <c r="D239" s="10">
        <v>15</v>
      </c>
      <c r="E239" s="10">
        <v>228</v>
      </c>
      <c r="F239">
        <v>2513.5027862335705</v>
      </c>
    </row>
    <row r="240" spans="3:6" x14ac:dyDescent="0.2">
      <c r="C240" s="11" t="s">
        <v>901</v>
      </c>
      <c r="D240" s="10">
        <v>56</v>
      </c>
      <c r="E240" s="10">
        <v>150</v>
      </c>
      <c r="F240">
        <v>2567.7598152190867</v>
      </c>
    </row>
    <row r="241" spans="3:6" x14ac:dyDescent="0.2">
      <c r="C241" s="11" t="s">
        <v>902</v>
      </c>
      <c r="D241" s="10">
        <v>52</v>
      </c>
      <c r="E241" s="10">
        <v>294</v>
      </c>
      <c r="F241">
        <v>2574.1414727083279</v>
      </c>
    </row>
    <row r="242" spans="3:6" x14ac:dyDescent="0.2">
      <c r="C242" s="11" t="s">
        <v>903</v>
      </c>
      <c r="D242" s="10">
        <v>7</v>
      </c>
      <c r="E242" s="10">
        <v>18</v>
      </c>
      <c r="F242">
        <v>2628.7183385222406</v>
      </c>
    </row>
    <row r="243" spans="3:6" x14ac:dyDescent="0.2">
      <c r="C243" s="11" t="s">
        <v>904</v>
      </c>
      <c r="D243" s="10">
        <v>75</v>
      </c>
      <c r="E243" s="10">
        <v>93</v>
      </c>
      <c r="F243">
        <v>2682.8087186013927</v>
      </c>
    </row>
    <row r="244" spans="3:6" x14ac:dyDescent="0.2">
      <c r="C244" s="11" t="s">
        <v>905</v>
      </c>
      <c r="D244" s="10">
        <v>207</v>
      </c>
      <c r="E244" s="10">
        <v>227</v>
      </c>
      <c r="F244">
        <v>2697.8693609033808</v>
      </c>
    </row>
    <row r="245" spans="3:6" x14ac:dyDescent="0.2">
      <c r="C245" s="11" t="s">
        <v>906</v>
      </c>
      <c r="D245" s="10">
        <v>5</v>
      </c>
      <c r="E245" s="10">
        <v>38</v>
      </c>
      <c r="F245">
        <v>2709.1341007186461</v>
      </c>
    </row>
    <row r="246" spans="3:6" x14ac:dyDescent="0.2">
      <c r="C246" s="11" t="s">
        <v>907</v>
      </c>
      <c r="D246" s="10">
        <v>74</v>
      </c>
      <c r="E246" s="10">
        <v>81</v>
      </c>
      <c r="F246">
        <v>2713.9069584630447</v>
      </c>
    </row>
    <row r="247" spans="3:6" x14ac:dyDescent="0.2">
      <c r="C247" s="11" t="s">
        <v>908</v>
      </c>
      <c r="D247" s="10">
        <v>12</v>
      </c>
      <c r="E247" s="10">
        <v>26</v>
      </c>
      <c r="F247">
        <v>2754.3719277774926</v>
      </c>
    </row>
    <row r="248" spans="3:6" x14ac:dyDescent="0.2">
      <c r="C248" s="11" t="s">
        <v>909</v>
      </c>
      <c r="D248" s="10">
        <v>24</v>
      </c>
      <c r="E248" s="10">
        <v>25</v>
      </c>
      <c r="F248">
        <v>2755.9296875163091</v>
      </c>
    </row>
    <row r="249" spans="3:6" x14ac:dyDescent="0.2">
      <c r="C249" s="11" t="s">
        <v>910</v>
      </c>
      <c r="D249" s="10">
        <v>8</v>
      </c>
      <c r="E249" s="10">
        <v>44</v>
      </c>
      <c r="F249">
        <v>2762.1903585649416</v>
      </c>
    </row>
    <row r="250" spans="3:6" x14ac:dyDescent="0.2">
      <c r="C250" s="11" t="s">
        <v>911</v>
      </c>
      <c r="D250" s="10">
        <v>1</v>
      </c>
      <c r="E250" s="10">
        <v>17</v>
      </c>
      <c r="F250">
        <v>2763.4868705497838</v>
      </c>
    </row>
    <row r="251" spans="3:6" x14ac:dyDescent="0.2">
      <c r="C251" s="11" t="s">
        <v>912</v>
      </c>
      <c r="D251" s="10">
        <v>63</v>
      </c>
      <c r="E251" s="10">
        <v>107</v>
      </c>
      <c r="F251">
        <v>2875.1874793076681</v>
      </c>
    </row>
    <row r="252" spans="3:6" x14ac:dyDescent="0.2">
      <c r="C252" s="11" t="s">
        <v>913</v>
      </c>
      <c r="D252" s="10">
        <v>42</v>
      </c>
      <c r="E252" s="10">
        <v>43</v>
      </c>
      <c r="F252">
        <v>2905.1171349335727</v>
      </c>
    </row>
    <row r="253" spans="3:6" x14ac:dyDescent="0.2">
      <c r="C253" s="11" t="s">
        <v>914</v>
      </c>
      <c r="D253" s="10">
        <v>59</v>
      </c>
      <c r="E253" s="10">
        <v>85</v>
      </c>
      <c r="F253">
        <v>2951.4311845789402</v>
      </c>
    </row>
    <row r="254" spans="3:6" x14ac:dyDescent="0.2">
      <c r="C254" s="11" t="s">
        <v>915</v>
      </c>
      <c r="D254" s="10">
        <v>2</v>
      </c>
      <c r="E254" s="10">
        <v>216</v>
      </c>
      <c r="F254">
        <v>3019.6766865359518</v>
      </c>
    </row>
    <row r="255" spans="3:6" x14ac:dyDescent="0.2">
      <c r="C255" s="11" t="s">
        <v>916</v>
      </c>
      <c r="D255" s="10">
        <v>48</v>
      </c>
      <c r="E255" s="10">
        <v>91</v>
      </c>
      <c r="F255">
        <v>3052.1083374990112</v>
      </c>
    </row>
    <row r="256" spans="3:6" x14ac:dyDescent="0.2">
      <c r="C256" s="11" t="s">
        <v>917</v>
      </c>
      <c r="D256" s="10">
        <v>20</v>
      </c>
      <c r="E256" s="10">
        <v>46</v>
      </c>
      <c r="F256">
        <v>3093.0878335118887</v>
      </c>
    </row>
    <row r="257" spans="3:6" x14ac:dyDescent="0.2">
      <c r="C257" s="11" t="s">
        <v>918</v>
      </c>
      <c r="D257" s="10">
        <v>179</v>
      </c>
      <c r="E257" s="10">
        <v>268</v>
      </c>
      <c r="F257">
        <v>3101.6228618962532</v>
      </c>
    </row>
    <row r="258" spans="3:6" x14ac:dyDescent="0.2">
      <c r="C258" s="11" t="s">
        <v>919</v>
      </c>
      <c r="D258" s="10">
        <v>57</v>
      </c>
      <c r="E258" s="10">
        <v>62</v>
      </c>
      <c r="F258">
        <v>3190.3035613784991</v>
      </c>
    </row>
    <row r="259" spans="3:6" x14ac:dyDescent="0.2">
      <c r="C259" s="11" t="s">
        <v>920</v>
      </c>
      <c r="D259" s="10">
        <v>79</v>
      </c>
      <c r="E259" s="10">
        <v>113</v>
      </c>
      <c r="F259">
        <v>3260.0428384068773</v>
      </c>
    </row>
    <row r="260" spans="3:6" x14ac:dyDescent="0.2">
      <c r="C260" s="11" t="s">
        <v>921</v>
      </c>
      <c r="D260" s="10">
        <v>14</v>
      </c>
      <c r="E260" s="10">
        <v>31</v>
      </c>
      <c r="F260">
        <v>3292.3199985703659</v>
      </c>
    </row>
    <row r="261" spans="3:6" x14ac:dyDescent="0.2">
      <c r="C261" s="11" t="s">
        <v>922</v>
      </c>
      <c r="D261" s="10">
        <v>1</v>
      </c>
      <c r="E261" s="10">
        <v>34</v>
      </c>
      <c r="F261">
        <v>3376.6549929872367</v>
      </c>
    </row>
    <row r="262" spans="3:6" x14ac:dyDescent="0.2">
      <c r="C262" s="11" t="s">
        <v>923</v>
      </c>
      <c r="D262" s="10">
        <v>65</v>
      </c>
      <c r="E262" s="10">
        <v>69</v>
      </c>
      <c r="F262">
        <v>3393.7446585965463</v>
      </c>
    </row>
    <row r="263" spans="3:6" x14ac:dyDescent="0.2">
      <c r="C263" s="11" t="s">
        <v>924</v>
      </c>
      <c r="D263" s="10">
        <v>83</v>
      </c>
      <c r="E263" s="10">
        <v>92</v>
      </c>
      <c r="F263">
        <v>3431.9072657287347</v>
      </c>
    </row>
    <row r="264" spans="3:6" x14ac:dyDescent="0.2">
      <c r="C264" s="11" t="s">
        <v>925</v>
      </c>
      <c r="D264" s="10">
        <v>209</v>
      </c>
      <c r="E264" s="10">
        <v>224</v>
      </c>
      <c r="F264">
        <v>3434.4596978092213</v>
      </c>
    </row>
    <row r="265" spans="3:6" x14ac:dyDescent="0.2">
      <c r="C265" s="11" t="s">
        <v>926</v>
      </c>
      <c r="D265" s="10">
        <v>13</v>
      </c>
      <c r="E265" s="10">
        <v>242</v>
      </c>
      <c r="F265">
        <v>3444.1897312152719</v>
      </c>
    </row>
    <row r="266" spans="3:6" x14ac:dyDescent="0.2">
      <c r="C266" s="11" t="s">
        <v>927</v>
      </c>
      <c r="D266" s="10">
        <v>49</v>
      </c>
      <c r="E266" s="10">
        <v>50</v>
      </c>
      <c r="F266">
        <v>3464.1345735121358</v>
      </c>
    </row>
    <row r="267" spans="3:6" x14ac:dyDescent="0.2">
      <c r="C267" s="11" t="s">
        <v>928</v>
      </c>
      <c r="D267" s="10">
        <v>53</v>
      </c>
      <c r="E267" s="10">
        <v>54</v>
      </c>
      <c r="F267">
        <v>3575.0861149961743</v>
      </c>
    </row>
    <row r="268" spans="3:6" x14ac:dyDescent="0.2">
      <c r="C268" s="11" t="s">
        <v>929</v>
      </c>
      <c r="D268" s="10">
        <v>98</v>
      </c>
      <c r="E268" s="10">
        <v>108</v>
      </c>
      <c r="F268">
        <v>3638.6886427868553</v>
      </c>
    </row>
    <row r="269" spans="3:6" x14ac:dyDescent="0.2">
      <c r="C269" s="11" t="s">
        <v>930</v>
      </c>
      <c r="D269" s="10">
        <v>4</v>
      </c>
      <c r="E269" s="10">
        <v>79</v>
      </c>
      <c r="F269">
        <v>3694.8885844960291</v>
      </c>
    </row>
    <row r="270" spans="3:6" x14ac:dyDescent="0.2">
      <c r="C270" s="11" t="s">
        <v>931</v>
      </c>
      <c r="D270" s="10">
        <v>21</v>
      </c>
      <c r="E270" s="10">
        <v>207</v>
      </c>
      <c r="F270">
        <v>3773.5261425201875</v>
      </c>
    </row>
    <row r="271" spans="3:6" x14ac:dyDescent="0.2">
      <c r="C271" s="11" t="s">
        <v>932</v>
      </c>
      <c r="D271" s="10">
        <v>204</v>
      </c>
      <c r="E271" s="10">
        <v>259</v>
      </c>
      <c r="F271">
        <v>3844.7679507982616</v>
      </c>
    </row>
    <row r="272" spans="3:6" x14ac:dyDescent="0.2">
      <c r="C272" s="11" t="s">
        <v>933</v>
      </c>
      <c r="D272" s="10">
        <v>3</v>
      </c>
      <c r="E272" s="10">
        <v>33</v>
      </c>
      <c r="F272">
        <v>3932.5998046538821</v>
      </c>
    </row>
    <row r="273" spans="3:6" x14ac:dyDescent="0.2">
      <c r="C273" s="11" t="s">
        <v>934</v>
      </c>
      <c r="D273" s="10">
        <v>36</v>
      </c>
      <c r="E273" s="10">
        <v>134</v>
      </c>
      <c r="F273">
        <v>4044.6277562236669</v>
      </c>
    </row>
    <row r="274" spans="3:6" x14ac:dyDescent="0.2">
      <c r="C274" s="11" t="s">
        <v>935</v>
      </c>
      <c r="D274" s="10">
        <v>60</v>
      </c>
      <c r="E274" s="10">
        <v>176</v>
      </c>
      <c r="F274">
        <v>4168.1837947753656</v>
      </c>
    </row>
    <row r="275" spans="3:6" x14ac:dyDescent="0.2">
      <c r="C275" s="11" t="s">
        <v>936</v>
      </c>
      <c r="D275" s="10">
        <v>68</v>
      </c>
      <c r="E275" s="10">
        <v>293</v>
      </c>
      <c r="F275">
        <v>4233.3668892002352</v>
      </c>
    </row>
    <row r="276" spans="3:6" x14ac:dyDescent="0.2">
      <c r="C276" s="11" t="s">
        <v>937</v>
      </c>
      <c r="D276" s="10">
        <v>102</v>
      </c>
      <c r="E276" s="10">
        <v>104</v>
      </c>
      <c r="F276">
        <v>4508.37198122064</v>
      </c>
    </row>
    <row r="277" spans="3:6" x14ac:dyDescent="0.2">
      <c r="C277" s="11" t="s">
        <v>938</v>
      </c>
      <c r="D277" s="10">
        <v>139</v>
      </c>
      <c r="E277" s="10">
        <v>281</v>
      </c>
      <c r="F277">
        <v>4523.6867345639703</v>
      </c>
    </row>
    <row r="278" spans="3:6" x14ac:dyDescent="0.2">
      <c r="C278" s="11" t="s">
        <v>939</v>
      </c>
      <c r="D278" s="10">
        <v>5</v>
      </c>
      <c r="E278" s="10">
        <v>226</v>
      </c>
      <c r="F278">
        <v>4606.9238090034878</v>
      </c>
    </row>
    <row r="279" spans="3:6" x14ac:dyDescent="0.2">
      <c r="C279" s="11" t="s">
        <v>940</v>
      </c>
      <c r="D279" s="10">
        <v>6</v>
      </c>
      <c r="E279" s="10">
        <v>14</v>
      </c>
      <c r="F279">
        <v>4669.3623473561784</v>
      </c>
    </row>
    <row r="280" spans="3:6" x14ac:dyDescent="0.2">
      <c r="C280" s="11" t="s">
        <v>941</v>
      </c>
      <c r="D280" s="10">
        <v>15</v>
      </c>
      <c r="E280" s="10">
        <v>45</v>
      </c>
      <c r="F280">
        <v>4677.1394912138667</v>
      </c>
    </row>
    <row r="281" spans="3:6" x14ac:dyDescent="0.2">
      <c r="C281" s="11" t="s">
        <v>942</v>
      </c>
      <c r="D281" s="10">
        <v>35</v>
      </c>
      <c r="E281" s="10">
        <v>40</v>
      </c>
      <c r="F281">
        <v>4748.2809752898893</v>
      </c>
    </row>
    <row r="282" spans="3:6" x14ac:dyDescent="0.2">
      <c r="C282" s="11" t="s">
        <v>943</v>
      </c>
      <c r="D282" s="10">
        <v>210</v>
      </c>
      <c r="E282" s="10">
        <v>220</v>
      </c>
      <c r="F282">
        <v>5045.8279639266493</v>
      </c>
    </row>
    <row r="283" spans="3:6" x14ac:dyDescent="0.2">
      <c r="C283" s="11" t="s">
        <v>944</v>
      </c>
      <c r="D283" s="10">
        <v>65</v>
      </c>
      <c r="E283" s="10">
        <v>304</v>
      </c>
      <c r="F283">
        <v>5175.8443624796691</v>
      </c>
    </row>
    <row r="284" spans="3:6" x14ac:dyDescent="0.2">
      <c r="C284" s="11" t="s">
        <v>945</v>
      </c>
      <c r="D284" s="10">
        <v>5</v>
      </c>
      <c r="E284" s="10">
        <v>10</v>
      </c>
      <c r="F284">
        <v>5433.8937289741052</v>
      </c>
    </row>
    <row r="285" spans="3:6" x14ac:dyDescent="0.2">
      <c r="C285" s="11" t="s">
        <v>946</v>
      </c>
      <c r="D285" s="10">
        <v>59</v>
      </c>
      <c r="E285" s="10">
        <v>80</v>
      </c>
      <c r="F285">
        <v>5742.0119893071369</v>
      </c>
    </row>
    <row r="286" spans="3:6" x14ac:dyDescent="0.2">
      <c r="C286" s="11" t="s">
        <v>947</v>
      </c>
      <c r="D286" s="10">
        <v>244</v>
      </c>
      <c r="E286" s="10">
        <v>247</v>
      </c>
      <c r="F286">
        <v>5776.5861008647516</v>
      </c>
    </row>
    <row r="287" spans="3:6" x14ac:dyDescent="0.2">
      <c r="C287" s="11" t="s">
        <v>948</v>
      </c>
      <c r="D287" s="10">
        <v>1</v>
      </c>
      <c r="E287" s="10">
        <v>245</v>
      </c>
      <c r="F287">
        <v>5823.7361557128388</v>
      </c>
    </row>
    <row r="288" spans="3:6" x14ac:dyDescent="0.2">
      <c r="C288" s="11" t="s">
        <v>949</v>
      </c>
      <c r="D288" s="10">
        <v>12</v>
      </c>
      <c r="E288" s="10">
        <v>229</v>
      </c>
      <c r="F288">
        <v>5913.7983791245542</v>
      </c>
    </row>
    <row r="289" spans="3:6" x14ac:dyDescent="0.2">
      <c r="C289" s="11" t="s">
        <v>950</v>
      </c>
      <c r="D289" s="10">
        <v>65</v>
      </c>
      <c r="E289" s="10">
        <v>135</v>
      </c>
      <c r="F289">
        <v>5926.8171343899958</v>
      </c>
    </row>
    <row r="290" spans="3:6" x14ac:dyDescent="0.2">
      <c r="C290" s="11" t="s">
        <v>951</v>
      </c>
      <c r="D290" s="10">
        <v>47</v>
      </c>
      <c r="E290" s="10">
        <v>66</v>
      </c>
      <c r="F290">
        <v>5971.5646282178841</v>
      </c>
    </row>
    <row r="291" spans="3:6" x14ac:dyDescent="0.2">
      <c r="C291" s="11" t="s">
        <v>952</v>
      </c>
      <c r="D291" s="10">
        <v>61</v>
      </c>
      <c r="E291" s="10">
        <v>63</v>
      </c>
      <c r="F291">
        <v>6087.3488007818605</v>
      </c>
    </row>
    <row r="292" spans="3:6" x14ac:dyDescent="0.2">
      <c r="C292" s="11" t="s">
        <v>953</v>
      </c>
      <c r="D292" s="10">
        <v>2</v>
      </c>
      <c r="E292" s="10">
        <v>210</v>
      </c>
      <c r="F292">
        <v>6352.5146082200381</v>
      </c>
    </row>
    <row r="293" spans="3:6" x14ac:dyDescent="0.2">
      <c r="C293" s="11" t="s">
        <v>954</v>
      </c>
      <c r="D293" s="10">
        <v>51</v>
      </c>
      <c r="E293" s="10">
        <v>52</v>
      </c>
      <c r="F293">
        <v>6364.7142947629291</v>
      </c>
    </row>
    <row r="294" spans="3:6" x14ac:dyDescent="0.2">
      <c r="C294" s="11" t="s">
        <v>955</v>
      </c>
      <c r="D294" s="10">
        <v>56</v>
      </c>
      <c r="E294" s="10">
        <v>75</v>
      </c>
      <c r="F294">
        <v>6606.519519597412</v>
      </c>
    </row>
    <row r="295" spans="3:6" x14ac:dyDescent="0.2">
      <c r="C295" s="11" t="s">
        <v>956</v>
      </c>
      <c r="D295" s="10">
        <v>53</v>
      </c>
      <c r="E295" s="10">
        <v>76</v>
      </c>
      <c r="F295">
        <v>6676.5229447640413</v>
      </c>
    </row>
    <row r="296" spans="3:6" x14ac:dyDescent="0.2">
      <c r="C296" s="11" t="s">
        <v>957</v>
      </c>
      <c r="D296" s="10">
        <v>23</v>
      </c>
      <c r="E296" s="10">
        <v>221</v>
      </c>
      <c r="F296">
        <v>7241.3881846815666</v>
      </c>
    </row>
    <row r="297" spans="3:6" x14ac:dyDescent="0.2">
      <c r="C297" s="11" t="s">
        <v>958</v>
      </c>
      <c r="D297" s="10">
        <v>20</v>
      </c>
      <c r="E297" s="10">
        <v>21</v>
      </c>
      <c r="F297">
        <v>7261.9616492011673</v>
      </c>
    </row>
    <row r="298" spans="3:6" x14ac:dyDescent="0.2">
      <c r="C298" s="11" t="s">
        <v>959</v>
      </c>
      <c r="D298" s="10">
        <v>9</v>
      </c>
      <c r="E298" s="10">
        <v>13</v>
      </c>
      <c r="F298">
        <v>7274.740833387631</v>
      </c>
    </row>
    <row r="299" spans="3:6" x14ac:dyDescent="0.2">
      <c r="C299" s="11" t="s">
        <v>960</v>
      </c>
      <c r="D299" s="10">
        <v>98</v>
      </c>
      <c r="E299" s="10">
        <v>204</v>
      </c>
      <c r="F299">
        <v>7405.705223495981</v>
      </c>
    </row>
    <row r="300" spans="3:6" x14ac:dyDescent="0.2">
      <c r="C300" s="11" t="s">
        <v>961</v>
      </c>
      <c r="D300" s="10">
        <v>68</v>
      </c>
      <c r="E300" s="10">
        <v>101</v>
      </c>
      <c r="F300">
        <v>7522.9997794331121</v>
      </c>
    </row>
    <row r="301" spans="3:6" x14ac:dyDescent="0.2">
      <c r="C301" s="11" t="s">
        <v>962</v>
      </c>
      <c r="D301" s="10">
        <v>139</v>
      </c>
      <c r="E301" s="10">
        <v>141</v>
      </c>
      <c r="F301">
        <v>7786.1919898330598</v>
      </c>
    </row>
    <row r="302" spans="3:6" x14ac:dyDescent="0.2">
      <c r="C302" s="11" t="s">
        <v>963</v>
      </c>
      <c r="D302" s="10">
        <v>47</v>
      </c>
      <c r="E302" s="10">
        <v>49</v>
      </c>
      <c r="F302">
        <v>8109.8857181880157</v>
      </c>
    </row>
    <row r="303" spans="3:6" x14ac:dyDescent="0.2">
      <c r="C303" s="11" t="s">
        <v>964</v>
      </c>
      <c r="D303" s="10">
        <v>6</v>
      </c>
      <c r="E303" s="10">
        <v>7</v>
      </c>
      <c r="F303">
        <v>8284.3873893059281</v>
      </c>
    </row>
    <row r="304" spans="3:6" x14ac:dyDescent="0.2">
      <c r="C304" s="11" t="s">
        <v>965</v>
      </c>
      <c r="D304" s="10">
        <v>56</v>
      </c>
      <c r="E304" s="10">
        <v>83</v>
      </c>
      <c r="F304">
        <v>8612.3270436369003</v>
      </c>
    </row>
    <row r="305" spans="3:6" x14ac:dyDescent="0.2">
      <c r="C305" s="11" t="s">
        <v>966</v>
      </c>
      <c r="D305" s="10">
        <v>209</v>
      </c>
      <c r="E305" s="10">
        <v>240</v>
      </c>
      <c r="F305">
        <v>8860.5805549924862</v>
      </c>
    </row>
    <row r="306" spans="3:6" x14ac:dyDescent="0.2">
      <c r="C306" s="11" t="s">
        <v>967</v>
      </c>
      <c r="D306" s="10">
        <v>12</v>
      </c>
      <c r="E306" s="10">
        <v>24</v>
      </c>
      <c r="F306">
        <v>9314.1808543372463</v>
      </c>
    </row>
    <row r="307" spans="3:6" x14ac:dyDescent="0.2">
      <c r="C307" s="11" t="s">
        <v>968</v>
      </c>
      <c r="D307" s="10">
        <v>6</v>
      </c>
      <c r="E307" s="10">
        <v>15</v>
      </c>
      <c r="F307">
        <v>9485.1183532261239</v>
      </c>
    </row>
    <row r="308" spans="3:6" x14ac:dyDescent="0.2">
      <c r="C308" s="11" t="s">
        <v>969</v>
      </c>
      <c r="D308" s="10">
        <v>59</v>
      </c>
      <c r="E308" s="10">
        <v>179</v>
      </c>
      <c r="F308">
        <v>9515.852280947558</v>
      </c>
    </row>
    <row r="309" spans="3:6" x14ac:dyDescent="0.2">
      <c r="C309" s="11" t="s">
        <v>970</v>
      </c>
      <c r="D309" s="10">
        <v>1</v>
      </c>
      <c r="E309" s="10">
        <v>35</v>
      </c>
      <c r="F309">
        <v>9707.0424681576787</v>
      </c>
    </row>
    <row r="310" spans="3:6" x14ac:dyDescent="0.2">
      <c r="C310" s="11" t="s">
        <v>971</v>
      </c>
      <c r="D310" s="10">
        <v>36</v>
      </c>
      <c r="E310" s="10">
        <v>51</v>
      </c>
      <c r="F310">
        <v>10441.96287097292</v>
      </c>
    </row>
    <row r="311" spans="3:6" x14ac:dyDescent="0.2">
      <c r="C311" s="11" t="s">
        <v>972</v>
      </c>
      <c r="D311" s="10">
        <v>1</v>
      </c>
      <c r="E311" s="10">
        <v>8</v>
      </c>
      <c r="F311">
        <v>10807.804855528806</v>
      </c>
    </row>
    <row r="312" spans="3:6" x14ac:dyDescent="0.2">
      <c r="C312" s="11" t="s">
        <v>973</v>
      </c>
      <c r="D312" s="10">
        <v>57</v>
      </c>
      <c r="E312" s="10">
        <v>102</v>
      </c>
      <c r="F312">
        <v>11037.353955003839</v>
      </c>
    </row>
    <row r="313" spans="3:6" x14ac:dyDescent="0.2">
      <c r="C313" s="11" t="s">
        <v>974</v>
      </c>
      <c r="D313" s="10">
        <v>60</v>
      </c>
      <c r="E313" s="10">
        <v>100</v>
      </c>
      <c r="F313">
        <v>11087.835139680496</v>
      </c>
    </row>
    <row r="314" spans="3:6" x14ac:dyDescent="0.2">
      <c r="C314" s="11" t="s">
        <v>975</v>
      </c>
      <c r="D314" s="10">
        <v>3</v>
      </c>
      <c r="E314" s="10">
        <v>11</v>
      </c>
      <c r="F314">
        <v>11639.607687153366</v>
      </c>
    </row>
    <row r="315" spans="3:6" x14ac:dyDescent="0.2">
      <c r="C315" s="11" t="s">
        <v>976</v>
      </c>
      <c r="D315" s="10">
        <v>209</v>
      </c>
      <c r="E315" s="10">
        <v>244</v>
      </c>
      <c r="F315">
        <v>13336.611782447762</v>
      </c>
    </row>
    <row r="316" spans="3:6" x14ac:dyDescent="0.2">
      <c r="C316" s="11" t="s">
        <v>977</v>
      </c>
      <c r="D316" s="10">
        <v>9</v>
      </c>
      <c r="E316" s="10">
        <v>42</v>
      </c>
      <c r="F316">
        <v>13604.399627490991</v>
      </c>
    </row>
    <row r="317" spans="3:6" x14ac:dyDescent="0.2">
      <c r="C317" s="11" t="s">
        <v>978</v>
      </c>
      <c r="D317" s="10">
        <v>60</v>
      </c>
      <c r="E317" s="10">
        <v>103</v>
      </c>
      <c r="F317">
        <v>13837.183166621664</v>
      </c>
    </row>
    <row r="318" spans="3:6" x14ac:dyDescent="0.2">
      <c r="C318" s="11" t="s">
        <v>979</v>
      </c>
      <c r="D318" s="10">
        <v>12</v>
      </c>
      <c r="E318" s="10">
        <v>20</v>
      </c>
      <c r="F318">
        <v>15683.034646458847</v>
      </c>
    </row>
    <row r="319" spans="3:6" x14ac:dyDescent="0.2">
      <c r="C319" s="11" t="s">
        <v>980</v>
      </c>
      <c r="D319" s="10">
        <v>53</v>
      </c>
      <c r="E319" s="10">
        <v>74</v>
      </c>
      <c r="F319">
        <v>16278.366736074271</v>
      </c>
    </row>
    <row r="320" spans="3:6" x14ac:dyDescent="0.2">
      <c r="C320" s="11" t="s">
        <v>981</v>
      </c>
      <c r="D320" s="10">
        <v>1</v>
      </c>
      <c r="E320" s="10">
        <v>3</v>
      </c>
      <c r="F320">
        <v>16460.946792838608</v>
      </c>
    </row>
    <row r="321" spans="3:6" x14ac:dyDescent="0.2">
      <c r="C321" s="11" t="s">
        <v>982</v>
      </c>
      <c r="D321" s="10">
        <v>48</v>
      </c>
      <c r="E321" s="10">
        <v>98</v>
      </c>
      <c r="F321">
        <v>16736.03024717464</v>
      </c>
    </row>
    <row r="322" spans="3:6" x14ac:dyDescent="0.2">
      <c r="C322" s="11" t="s">
        <v>983</v>
      </c>
      <c r="D322" s="10">
        <v>68</v>
      </c>
      <c r="E322" s="10">
        <v>125</v>
      </c>
      <c r="F322">
        <v>17308.865517737919</v>
      </c>
    </row>
    <row r="323" spans="3:6" x14ac:dyDescent="0.2">
      <c r="C323" s="11" t="s">
        <v>984</v>
      </c>
      <c r="D323" s="10">
        <v>5</v>
      </c>
      <c r="E323" s="10">
        <v>6</v>
      </c>
      <c r="F323">
        <v>18182.314976892278</v>
      </c>
    </row>
    <row r="324" spans="3:6" x14ac:dyDescent="0.2">
      <c r="C324" s="11" t="s">
        <v>985</v>
      </c>
      <c r="D324" s="10">
        <v>4</v>
      </c>
      <c r="E324" s="10">
        <v>59</v>
      </c>
      <c r="F324">
        <v>18673.656631373084</v>
      </c>
    </row>
    <row r="325" spans="3:6" x14ac:dyDescent="0.2">
      <c r="C325" s="11" t="s">
        <v>986</v>
      </c>
      <c r="D325" s="10">
        <v>23</v>
      </c>
      <c r="E325" s="10">
        <v>209</v>
      </c>
      <c r="F325">
        <v>20253.068486329055</v>
      </c>
    </row>
    <row r="326" spans="3:6" x14ac:dyDescent="0.2">
      <c r="C326" s="11" t="s">
        <v>987</v>
      </c>
      <c r="D326" s="10">
        <v>65</v>
      </c>
      <c r="E326" s="10">
        <v>139</v>
      </c>
      <c r="F326">
        <v>21303.611924063513</v>
      </c>
    </row>
    <row r="327" spans="3:6" x14ac:dyDescent="0.2">
      <c r="C327" s="11" t="s">
        <v>988</v>
      </c>
      <c r="D327" s="10">
        <v>56</v>
      </c>
      <c r="E327" s="10">
        <v>61</v>
      </c>
      <c r="F327">
        <v>23058.263093045171</v>
      </c>
    </row>
    <row r="328" spans="3:6" x14ac:dyDescent="0.2">
      <c r="C328" s="11" t="s">
        <v>989</v>
      </c>
      <c r="D328" s="10">
        <v>2</v>
      </c>
      <c r="E328" s="10">
        <v>16</v>
      </c>
      <c r="F328">
        <v>26162.512179772115</v>
      </c>
    </row>
    <row r="329" spans="3:6" x14ac:dyDescent="0.2">
      <c r="C329" s="11" t="s">
        <v>990</v>
      </c>
      <c r="D329" s="10">
        <v>5</v>
      </c>
      <c r="E329" s="10">
        <v>36</v>
      </c>
      <c r="F329">
        <v>32471.281504281429</v>
      </c>
    </row>
    <row r="330" spans="3:6" x14ac:dyDescent="0.2">
      <c r="C330" s="11" t="s">
        <v>991</v>
      </c>
      <c r="D330" s="10">
        <v>60</v>
      </c>
      <c r="E330" s="10">
        <v>68</v>
      </c>
      <c r="F330">
        <v>32599.695956525324</v>
      </c>
    </row>
    <row r="331" spans="3:6" x14ac:dyDescent="0.2">
      <c r="C331" s="11" t="s">
        <v>992</v>
      </c>
      <c r="D331" s="10">
        <v>1</v>
      </c>
      <c r="E331" s="10">
        <v>23</v>
      </c>
      <c r="F331">
        <v>33317.268078483932</v>
      </c>
    </row>
    <row r="332" spans="3:6" x14ac:dyDescent="0.2">
      <c r="C332" s="11" t="s">
        <v>993</v>
      </c>
      <c r="D332" s="10">
        <v>2</v>
      </c>
      <c r="E332" s="10">
        <v>9</v>
      </c>
      <c r="F332">
        <v>33897.264588799881</v>
      </c>
    </row>
    <row r="333" spans="3:6" x14ac:dyDescent="0.2">
      <c r="C333" s="11" t="s">
        <v>994</v>
      </c>
      <c r="D333" s="10">
        <v>4</v>
      </c>
      <c r="E333" s="10">
        <v>48</v>
      </c>
      <c r="F333">
        <v>33995.433127651515</v>
      </c>
    </row>
    <row r="334" spans="3:6" x14ac:dyDescent="0.2">
      <c r="C334" s="11" t="s">
        <v>995</v>
      </c>
      <c r="D334" s="10">
        <v>2</v>
      </c>
      <c r="E334" s="10">
        <v>231</v>
      </c>
      <c r="F334">
        <v>54141.454322459555</v>
      </c>
    </row>
    <row r="335" spans="3:6" x14ac:dyDescent="0.2">
      <c r="C335" s="11" t="s">
        <v>996</v>
      </c>
      <c r="D335" s="10">
        <v>47</v>
      </c>
      <c r="E335" s="10">
        <v>65</v>
      </c>
      <c r="F335">
        <v>57177.769437314579</v>
      </c>
    </row>
    <row r="336" spans="3:6" x14ac:dyDescent="0.2">
      <c r="C336" s="11" t="s">
        <v>997</v>
      </c>
      <c r="D336" s="10">
        <v>53</v>
      </c>
      <c r="E336" s="10">
        <v>57</v>
      </c>
      <c r="F336">
        <v>57638.664614412293</v>
      </c>
    </row>
    <row r="337" spans="3:6" x14ac:dyDescent="0.2">
      <c r="C337" s="11" t="s">
        <v>998</v>
      </c>
      <c r="D337" s="10">
        <v>47</v>
      </c>
      <c r="E337" s="10">
        <v>56</v>
      </c>
      <c r="F337">
        <v>63186.672104390418</v>
      </c>
    </row>
    <row r="338" spans="3:6" x14ac:dyDescent="0.2">
      <c r="C338" s="11" t="s">
        <v>999</v>
      </c>
      <c r="D338" s="10">
        <v>5</v>
      </c>
      <c r="E338" s="10">
        <v>12</v>
      </c>
      <c r="F338">
        <v>75895.685035012575</v>
      </c>
    </row>
    <row r="339" spans="3:6" x14ac:dyDescent="0.2">
      <c r="C339" s="11" t="s">
        <v>1000</v>
      </c>
      <c r="D339" s="10">
        <v>1</v>
      </c>
      <c r="E339" s="10">
        <v>2</v>
      </c>
      <c r="F339">
        <v>116857.89384681219</v>
      </c>
    </row>
    <row r="340" spans="3:6" x14ac:dyDescent="0.2">
      <c r="C340" s="11" t="s">
        <v>1001</v>
      </c>
      <c r="D340" s="10">
        <v>53</v>
      </c>
      <c r="E340" s="10">
        <v>60</v>
      </c>
      <c r="F340">
        <v>126767.09593361341</v>
      </c>
    </row>
    <row r="341" spans="3:6" x14ac:dyDescent="0.2">
      <c r="C341" s="11" t="s">
        <v>1002</v>
      </c>
      <c r="D341" s="10">
        <v>4</v>
      </c>
      <c r="E341" s="10">
        <v>47</v>
      </c>
      <c r="F341">
        <v>166515.25913932602</v>
      </c>
    </row>
    <row r="342" spans="3:6" x14ac:dyDescent="0.2">
      <c r="C342" s="11" t="s">
        <v>1003</v>
      </c>
      <c r="D342" s="10">
        <v>1</v>
      </c>
      <c r="E342" s="10">
        <v>5</v>
      </c>
      <c r="F342">
        <v>340757.38062655623</v>
      </c>
    </row>
    <row r="343" spans="3:6" x14ac:dyDescent="0.2">
      <c r="C343" s="11" t="s">
        <v>1004</v>
      </c>
      <c r="D343" s="10">
        <v>4</v>
      </c>
      <c r="E343" s="10">
        <v>53</v>
      </c>
      <c r="F343">
        <v>475736.64335071412</v>
      </c>
    </row>
    <row r="344" spans="3:6" x14ac:dyDescent="0.2">
      <c r="C344" s="11" t="s">
        <v>1005</v>
      </c>
      <c r="D344" s="10">
        <v>1</v>
      </c>
      <c r="E344" s="10">
        <v>4</v>
      </c>
      <c r="F344">
        <v>953160.30699940864</v>
      </c>
    </row>
  </sheetData>
  <mergeCells count="38">
    <mergeCell ref="F19:P19"/>
    <mergeCell ref="C22:I22"/>
    <mergeCell ref="C23:E23"/>
    <mergeCell ref="C12:I12"/>
    <mergeCell ref="C13:E13"/>
    <mergeCell ref="C14:E14"/>
    <mergeCell ref="C15:E15"/>
    <mergeCell ref="C16:E16"/>
    <mergeCell ref="F13:I13"/>
    <mergeCell ref="F14:I14"/>
    <mergeCell ref="F15:I15"/>
    <mergeCell ref="F16:I16"/>
    <mergeCell ref="C34:E34"/>
    <mergeCell ref="F31:I31"/>
    <mergeCell ref="F32:I32"/>
    <mergeCell ref="F33:I33"/>
    <mergeCell ref="F34:I34"/>
    <mergeCell ref="L3:O3"/>
    <mergeCell ref="C30:I30"/>
    <mergeCell ref="C31:E31"/>
    <mergeCell ref="C32:E32"/>
    <mergeCell ref="C33:E33"/>
    <mergeCell ref="C24:E24"/>
    <mergeCell ref="F23:I23"/>
    <mergeCell ref="F24:I24"/>
    <mergeCell ref="C26:I26"/>
    <mergeCell ref="C27:E27"/>
    <mergeCell ref="C28:E28"/>
    <mergeCell ref="F27:I27"/>
    <mergeCell ref="F28:I28"/>
    <mergeCell ref="C18:P18"/>
    <mergeCell ref="C19:E19"/>
    <mergeCell ref="C20:E20"/>
    <mergeCell ref="B4:C4"/>
    <mergeCell ref="D4:E4"/>
    <mergeCell ref="F4:G4"/>
    <mergeCell ref="H4:I4"/>
    <mergeCell ref="B3:I3"/>
  </mergeCells>
  <hyperlinks>
    <hyperlink ref="B4" location="'HC_Clusters'!$B$10:$B$10" display="Cluster Labels" xr:uid="{ED357D6C-EE74-634A-A58E-8D30F746AAFC}"/>
    <hyperlink ref="D4" location="'HC_Dendrogram'!$B$10:$B$10" display="Dendrogram" xr:uid="{54AB9A98-DDAD-1540-AEB6-E3F18B9394AD}"/>
    <hyperlink ref="F4" location="'HC_Output'!$B$10:$B$10" display="Inputs" xr:uid="{9F01C4AD-6168-B746-B5AA-ECCD8E4F1F57}"/>
    <hyperlink ref="H4" location="'HC_Output'!$B$36:$B$36" display="Clustering Stages" xr:uid="{69906E53-0ABF-5D4B-B7CB-1CD4642DAFC2}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3BE0E-910A-0842-AE0A-9396574467DB}">
  <dimension ref="B1:O325"/>
  <sheetViews>
    <sheetView showGridLines="0" topLeftCell="A301" workbookViewId="0">
      <selection activeCell="D326" sqref="D326"/>
    </sheetView>
  </sheetViews>
  <sheetFormatPr baseColWidth="10" defaultRowHeight="13" x14ac:dyDescent="0.2"/>
  <cols>
    <col min="5" max="5" width="12.1640625" customWidth="1"/>
    <col min="12" max="12" width="13.83203125" bestFit="1" customWidth="1"/>
  </cols>
  <sheetData>
    <row r="1" spans="2:15" ht="19" x14ac:dyDescent="0.25">
      <c r="B1" s="8" t="s">
        <v>682</v>
      </c>
      <c r="N1" t="s">
        <v>679</v>
      </c>
    </row>
    <row r="3" spans="2:15" ht="16" x14ac:dyDescent="0.2">
      <c r="B3" s="20" t="s">
        <v>316</v>
      </c>
      <c r="C3" s="20"/>
      <c r="D3" s="20"/>
      <c r="E3" s="20"/>
      <c r="F3" s="20"/>
      <c r="G3" s="20"/>
      <c r="H3" s="20"/>
      <c r="I3" s="20"/>
      <c r="L3" s="21" t="s">
        <v>319</v>
      </c>
      <c r="M3" s="21"/>
      <c r="N3" s="21"/>
      <c r="O3" s="21"/>
    </row>
    <row r="4" spans="2:15" ht="14" x14ac:dyDescent="0.2">
      <c r="B4" s="19" t="s">
        <v>317</v>
      </c>
      <c r="C4" s="19"/>
      <c r="D4" s="19" t="s">
        <v>680</v>
      </c>
      <c r="E4" s="19"/>
      <c r="F4" s="19" t="s">
        <v>635</v>
      </c>
      <c r="G4" s="19"/>
      <c r="H4" s="19" t="s">
        <v>681</v>
      </c>
      <c r="I4" s="19"/>
      <c r="L4" s="14" t="s">
        <v>320</v>
      </c>
      <c r="M4" s="14" t="s">
        <v>321</v>
      </c>
      <c r="N4" s="14" t="s">
        <v>322</v>
      </c>
      <c r="O4" s="14" t="s">
        <v>323</v>
      </c>
    </row>
    <row r="5" spans="2:15" x14ac:dyDescent="0.2">
      <c r="L5" s="12">
        <v>59</v>
      </c>
      <c r="M5" s="12">
        <v>16</v>
      </c>
      <c r="N5" s="12">
        <v>6</v>
      </c>
      <c r="O5" s="12">
        <v>81</v>
      </c>
    </row>
    <row r="10" spans="2:15" ht="19" x14ac:dyDescent="0.25">
      <c r="B10" s="9" t="s">
        <v>317</v>
      </c>
    </row>
    <row r="12" spans="2:15" x14ac:dyDescent="0.2">
      <c r="C12" s="11" t="s">
        <v>324</v>
      </c>
      <c r="D12" t="s">
        <v>325</v>
      </c>
      <c r="E12" t="s">
        <v>683</v>
      </c>
    </row>
    <row r="13" spans="2:15" x14ac:dyDescent="0.2">
      <c r="C13" s="11" t="s">
        <v>328</v>
      </c>
      <c r="D13" s="10">
        <v>1</v>
      </c>
      <c r="E13">
        <v>1</v>
      </c>
    </row>
    <row r="14" spans="2:15" x14ac:dyDescent="0.2">
      <c r="C14" s="11" t="s">
        <v>329</v>
      </c>
      <c r="D14" s="10">
        <v>1</v>
      </c>
      <c r="E14">
        <v>2</v>
      </c>
    </row>
    <row r="15" spans="2:15" x14ac:dyDescent="0.2">
      <c r="C15" s="11" t="s">
        <v>330</v>
      </c>
      <c r="D15" s="10">
        <v>1</v>
      </c>
      <c r="E15">
        <v>1</v>
      </c>
    </row>
    <row r="16" spans="2:15" x14ac:dyDescent="0.2">
      <c r="C16" s="11" t="s">
        <v>331</v>
      </c>
      <c r="D16" s="10">
        <v>2</v>
      </c>
      <c r="E16">
        <v>3</v>
      </c>
    </row>
    <row r="17" spans="3:5" x14ac:dyDescent="0.2">
      <c r="C17" s="11" t="s">
        <v>332</v>
      </c>
      <c r="D17" s="10">
        <v>3</v>
      </c>
      <c r="E17">
        <v>4</v>
      </c>
    </row>
    <row r="18" spans="3:5" x14ac:dyDescent="0.2">
      <c r="C18" s="11" t="s">
        <v>333</v>
      </c>
      <c r="D18" s="10">
        <v>3</v>
      </c>
      <c r="E18">
        <v>4</v>
      </c>
    </row>
    <row r="19" spans="3:5" x14ac:dyDescent="0.2">
      <c r="C19" s="11" t="s">
        <v>334</v>
      </c>
      <c r="D19" s="10">
        <v>3</v>
      </c>
      <c r="E19">
        <v>4</v>
      </c>
    </row>
    <row r="20" spans="3:5" x14ac:dyDescent="0.2">
      <c r="C20" s="11" t="s">
        <v>335</v>
      </c>
      <c r="D20" s="10">
        <v>1</v>
      </c>
      <c r="E20">
        <v>1</v>
      </c>
    </row>
    <row r="21" spans="3:5" x14ac:dyDescent="0.2">
      <c r="C21" s="11" t="s">
        <v>336</v>
      </c>
      <c r="D21" s="10">
        <v>1</v>
      </c>
      <c r="E21">
        <v>2</v>
      </c>
    </row>
    <row r="22" spans="3:5" x14ac:dyDescent="0.2">
      <c r="C22" s="11" t="s">
        <v>337</v>
      </c>
      <c r="D22" s="10">
        <v>3</v>
      </c>
      <c r="E22">
        <v>4</v>
      </c>
    </row>
    <row r="23" spans="3:5" x14ac:dyDescent="0.2">
      <c r="C23" s="11" t="s">
        <v>338</v>
      </c>
      <c r="D23" s="10">
        <v>1</v>
      </c>
      <c r="E23">
        <v>1</v>
      </c>
    </row>
    <row r="24" spans="3:5" x14ac:dyDescent="0.2">
      <c r="C24" s="11" t="s">
        <v>339</v>
      </c>
      <c r="D24" s="10">
        <v>3</v>
      </c>
      <c r="E24">
        <v>5</v>
      </c>
    </row>
    <row r="25" spans="3:5" x14ac:dyDescent="0.2">
      <c r="C25" s="11" t="s">
        <v>340</v>
      </c>
      <c r="D25" s="10">
        <v>1</v>
      </c>
      <c r="E25">
        <v>2</v>
      </c>
    </row>
    <row r="26" spans="3:5" x14ac:dyDescent="0.2">
      <c r="C26" s="11" t="s">
        <v>341</v>
      </c>
      <c r="D26" s="10">
        <v>3</v>
      </c>
      <c r="E26">
        <v>4</v>
      </c>
    </row>
    <row r="27" spans="3:5" x14ac:dyDescent="0.2">
      <c r="C27" s="11" t="s">
        <v>342</v>
      </c>
      <c r="D27" s="10">
        <v>3</v>
      </c>
      <c r="E27">
        <v>4</v>
      </c>
    </row>
    <row r="28" spans="3:5" x14ac:dyDescent="0.2">
      <c r="C28" s="11" t="s">
        <v>343</v>
      </c>
      <c r="D28" s="10">
        <v>1</v>
      </c>
      <c r="E28">
        <v>2</v>
      </c>
    </row>
    <row r="29" spans="3:5" x14ac:dyDescent="0.2">
      <c r="C29" s="11" t="s">
        <v>344</v>
      </c>
      <c r="D29" s="10">
        <v>1</v>
      </c>
      <c r="E29">
        <v>1</v>
      </c>
    </row>
    <row r="30" spans="3:5" x14ac:dyDescent="0.2">
      <c r="C30" s="11" t="s">
        <v>345</v>
      </c>
      <c r="D30" s="10">
        <v>3</v>
      </c>
      <c r="E30">
        <v>4</v>
      </c>
    </row>
    <row r="31" spans="3:5" x14ac:dyDescent="0.2">
      <c r="C31" s="11" t="s">
        <v>346</v>
      </c>
      <c r="D31" s="10">
        <v>1</v>
      </c>
      <c r="E31">
        <v>1</v>
      </c>
    </row>
    <row r="32" spans="3:5" x14ac:dyDescent="0.2">
      <c r="C32" s="11" t="s">
        <v>347</v>
      </c>
      <c r="D32" s="10">
        <v>3</v>
      </c>
      <c r="E32">
        <v>5</v>
      </c>
    </row>
    <row r="33" spans="3:5" x14ac:dyDescent="0.2">
      <c r="C33" s="11" t="s">
        <v>348</v>
      </c>
      <c r="D33" s="10">
        <v>3</v>
      </c>
      <c r="E33">
        <v>5</v>
      </c>
    </row>
    <row r="34" spans="3:5" x14ac:dyDescent="0.2">
      <c r="C34" s="11" t="s">
        <v>349</v>
      </c>
      <c r="D34" s="10">
        <v>1</v>
      </c>
      <c r="E34">
        <v>1</v>
      </c>
    </row>
    <row r="35" spans="3:5" x14ac:dyDescent="0.2">
      <c r="C35" s="11" t="s">
        <v>350</v>
      </c>
      <c r="D35" s="10">
        <v>1</v>
      </c>
      <c r="E35">
        <v>1</v>
      </c>
    </row>
    <row r="36" spans="3:5" x14ac:dyDescent="0.2">
      <c r="C36" s="11" t="s">
        <v>351</v>
      </c>
      <c r="D36" s="10">
        <v>3</v>
      </c>
      <c r="E36">
        <v>5</v>
      </c>
    </row>
    <row r="37" spans="3:5" x14ac:dyDescent="0.2">
      <c r="C37" s="11" t="s">
        <v>352</v>
      </c>
      <c r="D37" s="10">
        <v>3</v>
      </c>
      <c r="E37">
        <v>5</v>
      </c>
    </row>
    <row r="38" spans="3:5" x14ac:dyDescent="0.2">
      <c r="C38" s="11" t="s">
        <v>353</v>
      </c>
      <c r="D38" s="10">
        <v>3</v>
      </c>
      <c r="E38">
        <v>5</v>
      </c>
    </row>
    <row r="39" spans="3:5" x14ac:dyDescent="0.2">
      <c r="C39" s="11" t="s">
        <v>354</v>
      </c>
      <c r="D39" s="10">
        <v>3</v>
      </c>
      <c r="E39">
        <v>5</v>
      </c>
    </row>
    <row r="40" spans="3:5" x14ac:dyDescent="0.2">
      <c r="C40" s="11" t="s">
        <v>355</v>
      </c>
      <c r="D40" s="10">
        <v>3</v>
      </c>
      <c r="E40">
        <v>5</v>
      </c>
    </row>
    <row r="41" spans="3:5" x14ac:dyDescent="0.2">
      <c r="C41" s="11" t="s">
        <v>356</v>
      </c>
      <c r="D41" s="10">
        <v>3</v>
      </c>
      <c r="E41">
        <v>5</v>
      </c>
    </row>
    <row r="42" spans="3:5" x14ac:dyDescent="0.2">
      <c r="C42" s="11" t="s">
        <v>357</v>
      </c>
      <c r="D42" s="10">
        <v>3</v>
      </c>
      <c r="E42">
        <v>5</v>
      </c>
    </row>
    <row r="43" spans="3:5" x14ac:dyDescent="0.2">
      <c r="C43" s="11" t="s">
        <v>358</v>
      </c>
      <c r="D43" s="10">
        <v>3</v>
      </c>
      <c r="E43">
        <v>4</v>
      </c>
    </row>
    <row r="44" spans="3:5" x14ac:dyDescent="0.2">
      <c r="C44" s="11" t="s">
        <v>359</v>
      </c>
      <c r="D44" s="10">
        <v>1</v>
      </c>
      <c r="E44">
        <v>1</v>
      </c>
    </row>
    <row r="45" spans="3:5" x14ac:dyDescent="0.2">
      <c r="C45" s="11" t="s">
        <v>360</v>
      </c>
      <c r="D45" s="10">
        <v>1</v>
      </c>
      <c r="E45">
        <v>1</v>
      </c>
    </row>
    <row r="46" spans="3:5" x14ac:dyDescent="0.2">
      <c r="C46" s="11" t="s">
        <v>361</v>
      </c>
      <c r="D46" s="10">
        <v>1</v>
      </c>
      <c r="E46">
        <v>1</v>
      </c>
    </row>
    <row r="47" spans="3:5" x14ac:dyDescent="0.2">
      <c r="C47" s="11" t="s">
        <v>362</v>
      </c>
      <c r="D47" s="10">
        <v>1</v>
      </c>
      <c r="E47">
        <v>1</v>
      </c>
    </row>
    <row r="48" spans="3:5" x14ac:dyDescent="0.2">
      <c r="C48" s="11" t="s">
        <v>363</v>
      </c>
      <c r="D48" s="10">
        <v>3</v>
      </c>
      <c r="E48">
        <v>4</v>
      </c>
    </row>
    <row r="49" spans="3:5" x14ac:dyDescent="0.2">
      <c r="C49" s="11" t="s">
        <v>364</v>
      </c>
      <c r="D49" s="10">
        <v>1</v>
      </c>
      <c r="E49">
        <v>1</v>
      </c>
    </row>
    <row r="50" spans="3:5" x14ac:dyDescent="0.2">
      <c r="C50" s="11" t="s">
        <v>365</v>
      </c>
      <c r="D50" s="10">
        <v>3</v>
      </c>
      <c r="E50">
        <v>4</v>
      </c>
    </row>
    <row r="51" spans="3:5" x14ac:dyDescent="0.2">
      <c r="C51" s="11" t="s">
        <v>366</v>
      </c>
      <c r="D51" s="10">
        <v>3</v>
      </c>
      <c r="E51">
        <v>4</v>
      </c>
    </row>
    <row r="52" spans="3:5" x14ac:dyDescent="0.2">
      <c r="C52" s="11" t="s">
        <v>367</v>
      </c>
      <c r="D52" s="10">
        <v>1</v>
      </c>
      <c r="E52">
        <v>1</v>
      </c>
    </row>
    <row r="53" spans="3:5" x14ac:dyDescent="0.2">
      <c r="C53" s="11" t="s">
        <v>368</v>
      </c>
      <c r="D53" s="10">
        <v>3</v>
      </c>
      <c r="E53">
        <v>4</v>
      </c>
    </row>
    <row r="54" spans="3:5" x14ac:dyDescent="0.2">
      <c r="C54" s="11" t="s">
        <v>369</v>
      </c>
      <c r="D54" s="10">
        <v>1</v>
      </c>
      <c r="E54">
        <v>2</v>
      </c>
    </row>
    <row r="55" spans="3:5" x14ac:dyDescent="0.2">
      <c r="C55" s="11" t="s">
        <v>370</v>
      </c>
      <c r="D55" s="10">
        <v>1</v>
      </c>
      <c r="E55">
        <v>2</v>
      </c>
    </row>
    <row r="56" spans="3:5" x14ac:dyDescent="0.2">
      <c r="C56" s="11" t="s">
        <v>371</v>
      </c>
      <c r="D56" s="10">
        <v>1</v>
      </c>
      <c r="E56">
        <v>1</v>
      </c>
    </row>
    <row r="57" spans="3:5" x14ac:dyDescent="0.2">
      <c r="C57" s="11" t="s">
        <v>372</v>
      </c>
      <c r="D57" s="10">
        <v>3</v>
      </c>
      <c r="E57">
        <v>4</v>
      </c>
    </row>
    <row r="58" spans="3:5" x14ac:dyDescent="0.2">
      <c r="C58" s="11" t="s">
        <v>373</v>
      </c>
      <c r="D58" s="10">
        <v>3</v>
      </c>
      <c r="E58">
        <v>5</v>
      </c>
    </row>
    <row r="59" spans="3:5" x14ac:dyDescent="0.2">
      <c r="C59" s="11" t="s">
        <v>374</v>
      </c>
      <c r="D59" s="10">
        <v>2</v>
      </c>
      <c r="E59">
        <v>6</v>
      </c>
    </row>
    <row r="60" spans="3:5" x14ac:dyDescent="0.2">
      <c r="C60" s="11" t="s">
        <v>375</v>
      </c>
      <c r="D60" s="10">
        <v>2</v>
      </c>
      <c r="E60">
        <v>3</v>
      </c>
    </row>
    <row r="61" spans="3:5" x14ac:dyDescent="0.2">
      <c r="C61" s="11" t="s">
        <v>376</v>
      </c>
      <c r="D61" s="10">
        <v>2</v>
      </c>
      <c r="E61">
        <v>6</v>
      </c>
    </row>
    <row r="62" spans="3:5" x14ac:dyDescent="0.2">
      <c r="C62" s="11" t="s">
        <v>377</v>
      </c>
      <c r="D62" s="10">
        <v>2</v>
      </c>
      <c r="E62">
        <v>6</v>
      </c>
    </row>
    <row r="63" spans="3:5" x14ac:dyDescent="0.2">
      <c r="C63" s="11" t="s">
        <v>378</v>
      </c>
      <c r="D63" s="10">
        <v>3</v>
      </c>
      <c r="E63">
        <v>4</v>
      </c>
    </row>
    <row r="64" spans="3:5" x14ac:dyDescent="0.2">
      <c r="C64" s="11" t="s">
        <v>379</v>
      </c>
      <c r="D64" s="10">
        <v>3</v>
      </c>
      <c r="E64">
        <v>4</v>
      </c>
    </row>
    <row r="65" spans="3:5" x14ac:dyDescent="0.2">
      <c r="C65" s="11" t="s">
        <v>380</v>
      </c>
      <c r="D65" s="10">
        <v>4</v>
      </c>
      <c r="E65">
        <v>7</v>
      </c>
    </row>
    <row r="66" spans="3:5" x14ac:dyDescent="0.2">
      <c r="C66" s="11" t="s">
        <v>381</v>
      </c>
      <c r="D66" s="10">
        <v>4</v>
      </c>
      <c r="E66">
        <v>7</v>
      </c>
    </row>
    <row r="67" spans="3:5" x14ac:dyDescent="0.2">
      <c r="C67" s="11" t="s">
        <v>382</v>
      </c>
      <c r="D67" s="10">
        <v>4</v>
      </c>
      <c r="E67">
        <v>7</v>
      </c>
    </row>
    <row r="68" spans="3:5" x14ac:dyDescent="0.2">
      <c r="C68" s="11" t="s">
        <v>383</v>
      </c>
      <c r="D68" s="10">
        <v>2</v>
      </c>
      <c r="E68">
        <v>8</v>
      </c>
    </row>
    <row r="69" spans="3:5" x14ac:dyDescent="0.2">
      <c r="C69" s="11" t="s">
        <v>384</v>
      </c>
      <c r="D69" s="10">
        <v>4</v>
      </c>
      <c r="E69">
        <v>9</v>
      </c>
    </row>
    <row r="70" spans="3:5" x14ac:dyDescent="0.2">
      <c r="C70" s="11" t="s">
        <v>385</v>
      </c>
      <c r="D70" s="10">
        <v>2</v>
      </c>
      <c r="E70">
        <v>8</v>
      </c>
    </row>
    <row r="71" spans="3:5" x14ac:dyDescent="0.2">
      <c r="C71" s="11" t="s">
        <v>386</v>
      </c>
      <c r="D71" s="10">
        <v>2</v>
      </c>
      <c r="E71">
        <v>3</v>
      </c>
    </row>
    <row r="72" spans="3:5" x14ac:dyDescent="0.2">
      <c r="C72" s="11" t="s">
        <v>387</v>
      </c>
      <c r="D72" s="10">
        <v>4</v>
      </c>
      <c r="E72">
        <v>10</v>
      </c>
    </row>
    <row r="73" spans="3:5" x14ac:dyDescent="0.2">
      <c r="C73" s="11" t="s">
        <v>388</v>
      </c>
      <c r="D73" s="10">
        <v>2</v>
      </c>
      <c r="E73">
        <v>8</v>
      </c>
    </row>
    <row r="74" spans="3:5" x14ac:dyDescent="0.2">
      <c r="C74" s="11" t="s">
        <v>389</v>
      </c>
      <c r="D74" s="10">
        <v>4</v>
      </c>
      <c r="E74">
        <v>9</v>
      </c>
    </row>
    <row r="75" spans="3:5" x14ac:dyDescent="0.2">
      <c r="C75" s="11" t="s">
        <v>390</v>
      </c>
      <c r="D75" s="10">
        <v>2</v>
      </c>
      <c r="E75">
        <v>8</v>
      </c>
    </row>
    <row r="76" spans="3:5" x14ac:dyDescent="0.2">
      <c r="C76" s="11" t="s">
        <v>391</v>
      </c>
      <c r="D76" s="10">
        <v>3</v>
      </c>
      <c r="E76">
        <v>4</v>
      </c>
    </row>
    <row r="77" spans="3:5" x14ac:dyDescent="0.2">
      <c r="C77" s="11" t="s">
        <v>392</v>
      </c>
      <c r="D77" s="10">
        <v>2</v>
      </c>
      <c r="E77">
        <v>6</v>
      </c>
    </row>
    <row r="78" spans="3:5" x14ac:dyDescent="0.2">
      <c r="C78" s="11" t="s">
        <v>393</v>
      </c>
      <c r="D78" s="10">
        <v>2</v>
      </c>
      <c r="E78">
        <v>6</v>
      </c>
    </row>
    <row r="79" spans="3:5" x14ac:dyDescent="0.2">
      <c r="C79" s="11" t="s">
        <v>394</v>
      </c>
      <c r="D79" s="10">
        <v>4</v>
      </c>
      <c r="E79">
        <v>7</v>
      </c>
    </row>
    <row r="80" spans="3:5" x14ac:dyDescent="0.2">
      <c r="C80" s="11" t="s">
        <v>395</v>
      </c>
      <c r="D80" s="10">
        <v>4</v>
      </c>
      <c r="E80">
        <v>10</v>
      </c>
    </row>
    <row r="81" spans="3:5" x14ac:dyDescent="0.2">
      <c r="C81" s="11" t="s">
        <v>396</v>
      </c>
      <c r="D81" s="10">
        <v>2</v>
      </c>
      <c r="E81">
        <v>6</v>
      </c>
    </row>
    <row r="82" spans="3:5" x14ac:dyDescent="0.2">
      <c r="C82" s="11" t="s">
        <v>397</v>
      </c>
      <c r="D82" s="10">
        <v>2</v>
      </c>
      <c r="E82">
        <v>6</v>
      </c>
    </row>
    <row r="83" spans="3:5" x14ac:dyDescent="0.2">
      <c r="C83" s="11" t="s">
        <v>398</v>
      </c>
      <c r="D83" s="10">
        <v>2</v>
      </c>
      <c r="E83">
        <v>8</v>
      </c>
    </row>
    <row r="84" spans="3:5" x14ac:dyDescent="0.2">
      <c r="C84" s="11" t="s">
        <v>399</v>
      </c>
      <c r="D84" s="10">
        <v>2</v>
      </c>
      <c r="E84">
        <v>6</v>
      </c>
    </row>
    <row r="85" spans="3:5" x14ac:dyDescent="0.2">
      <c r="C85" s="11" t="s">
        <v>400</v>
      </c>
      <c r="D85" s="10">
        <v>2</v>
      </c>
      <c r="E85">
        <v>3</v>
      </c>
    </row>
    <row r="86" spans="3:5" x14ac:dyDescent="0.2">
      <c r="C86" s="11" t="s">
        <v>401</v>
      </c>
      <c r="D86" s="10">
        <v>4</v>
      </c>
      <c r="E86">
        <v>7</v>
      </c>
    </row>
    <row r="87" spans="3:5" x14ac:dyDescent="0.2">
      <c r="C87" s="11" t="s">
        <v>402</v>
      </c>
      <c r="D87" s="10">
        <v>2</v>
      </c>
      <c r="E87">
        <v>8</v>
      </c>
    </row>
    <row r="88" spans="3:5" x14ac:dyDescent="0.2">
      <c r="C88" s="11" t="s">
        <v>403</v>
      </c>
      <c r="D88" s="10">
        <v>4</v>
      </c>
      <c r="E88">
        <v>7</v>
      </c>
    </row>
    <row r="89" spans="3:5" x14ac:dyDescent="0.2">
      <c r="C89" s="11" t="s">
        <v>404</v>
      </c>
      <c r="D89" s="10">
        <v>2</v>
      </c>
      <c r="E89">
        <v>8</v>
      </c>
    </row>
    <row r="90" spans="3:5" x14ac:dyDescent="0.2">
      <c r="C90" s="11" t="s">
        <v>405</v>
      </c>
      <c r="D90" s="10">
        <v>2</v>
      </c>
      <c r="E90">
        <v>3</v>
      </c>
    </row>
    <row r="91" spans="3:5" x14ac:dyDescent="0.2">
      <c r="C91" s="11" t="s">
        <v>406</v>
      </c>
      <c r="D91" s="10">
        <v>2</v>
      </c>
      <c r="E91">
        <v>3</v>
      </c>
    </row>
    <row r="92" spans="3:5" x14ac:dyDescent="0.2">
      <c r="C92" s="11" t="s">
        <v>407</v>
      </c>
      <c r="D92" s="10">
        <v>2</v>
      </c>
      <c r="E92">
        <v>3</v>
      </c>
    </row>
    <row r="93" spans="3:5" x14ac:dyDescent="0.2">
      <c r="C93" s="11" t="s">
        <v>408</v>
      </c>
      <c r="D93" s="10">
        <v>4</v>
      </c>
      <c r="E93">
        <v>7</v>
      </c>
    </row>
    <row r="94" spans="3:5" x14ac:dyDescent="0.2">
      <c r="C94" s="11" t="s">
        <v>409</v>
      </c>
      <c r="D94" s="10">
        <v>2</v>
      </c>
      <c r="E94">
        <v>3</v>
      </c>
    </row>
    <row r="95" spans="3:5" x14ac:dyDescent="0.2">
      <c r="C95" s="11" t="s">
        <v>410</v>
      </c>
      <c r="D95" s="10">
        <v>2</v>
      </c>
      <c r="E95">
        <v>8</v>
      </c>
    </row>
    <row r="96" spans="3:5" x14ac:dyDescent="0.2">
      <c r="C96" s="11" t="s">
        <v>411</v>
      </c>
      <c r="D96" s="10">
        <v>2</v>
      </c>
      <c r="E96">
        <v>8</v>
      </c>
    </row>
    <row r="97" spans="3:5" x14ac:dyDescent="0.2">
      <c r="C97" s="11" t="s">
        <v>412</v>
      </c>
      <c r="D97" s="10">
        <v>2</v>
      </c>
      <c r="E97">
        <v>3</v>
      </c>
    </row>
    <row r="98" spans="3:5" x14ac:dyDescent="0.2">
      <c r="C98" s="11" t="s">
        <v>413</v>
      </c>
      <c r="D98" s="10">
        <v>4</v>
      </c>
      <c r="E98">
        <v>7</v>
      </c>
    </row>
    <row r="99" spans="3:5" x14ac:dyDescent="0.2">
      <c r="C99" s="11" t="s">
        <v>414</v>
      </c>
      <c r="D99" s="10">
        <v>2</v>
      </c>
      <c r="E99">
        <v>8</v>
      </c>
    </row>
    <row r="100" spans="3:5" x14ac:dyDescent="0.2">
      <c r="C100" s="11" t="s">
        <v>415</v>
      </c>
      <c r="D100" s="10">
        <v>2</v>
      </c>
      <c r="E100">
        <v>6</v>
      </c>
    </row>
    <row r="101" spans="3:5" x14ac:dyDescent="0.2">
      <c r="C101" s="11" t="s">
        <v>416</v>
      </c>
      <c r="D101" s="10">
        <v>2</v>
      </c>
      <c r="E101">
        <v>8</v>
      </c>
    </row>
    <row r="102" spans="3:5" x14ac:dyDescent="0.2">
      <c r="C102" s="11" t="s">
        <v>417</v>
      </c>
      <c r="D102" s="10">
        <v>2</v>
      </c>
      <c r="E102">
        <v>8</v>
      </c>
    </row>
    <row r="103" spans="3:5" x14ac:dyDescent="0.2">
      <c r="C103" s="11" t="s">
        <v>418</v>
      </c>
      <c r="D103" s="10">
        <v>2</v>
      </c>
      <c r="E103">
        <v>3</v>
      </c>
    </row>
    <row r="104" spans="3:5" x14ac:dyDescent="0.2">
      <c r="C104" s="11" t="s">
        <v>419</v>
      </c>
      <c r="D104" s="10">
        <v>2</v>
      </c>
      <c r="E104">
        <v>8</v>
      </c>
    </row>
    <row r="105" spans="3:5" x14ac:dyDescent="0.2">
      <c r="C105" s="11" t="s">
        <v>420</v>
      </c>
      <c r="D105" s="10">
        <v>2</v>
      </c>
      <c r="E105">
        <v>8</v>
      </c>
    </row>
    <row r="106" spans="3:5" x14ac:dyDescent="0.2">
      <c r="C106" s="11" t="s">
        <v>421</v>
      </c>
      <c r="D106" s="10">
        <v>2</v>
      </c>
      <c r="E106">
        <v>3</v>
      </c>
    </row>
    <row r="107" spans="3:5" x14ac:dyDescent="0.2">
      <c r="C107" s="11" t="s">
        <v>422</v>
      </c>
      <c r="D107" s="10">
        <v>2</v>
      </c>
      <c r="E107">
        <v>6</v>
      </c>
    </row>
    <row r="108" spans="3:5" x14ac:dyDescent="0.2">
      <c r="C108" s="11" t="s">
        <v>423</v>
      </c>
      <c r="D108" s="10">
        <v>2</v>
      </c>
      <c r="E108">
        <v>8</v>
      </c>
    </row>
    <row r="109" spans="3:5" x14ac:dyDescent="0.2">
      <c r="C109" s="11" t="s">
        <v>424</v>
      </c>
      <c r="D109" s="10">
        <v>2</v>
      </c>
      <c r="E109">
        <v>6</v>
      </c>
    </row>
    <row r="110" spans="3:5" x14ac:dyDescent="0.2">
      <c r="C110" s="11" t="s">
        <v>425</v>
      </c>
      <c r="D110" s="10">
        <v>2</v>
      </c>
      <c r="E110">
        <v>3</v>
      </c>
    </row>
    <row r="111" spans="3:5" x14ac:dyDescent="0.2">
      <c r="C111" s="11" t="s">
        <v>426</v>
      </c>
      <c r="D111" s="10">
        <v>4</v>
      </c>
      <c r="E111">
        <v>9</v>
      </c>
    </row>
    <row r="112" spans="3:5" x14ac:dyDescent="0.2">
      <c r="C112" s="11" t="s">
        <v>427</v>
      </c>
      <c r="D112" s="10">
        <v>4</v>
      </c>
      <c r="E112">
        <v>10</v>
      </c>
    </row>
    <row r="113" spans="3:5" x14ac:dyDescent="0.2">
      <c r="C113" s="11" t="s">
        <v>428</v>
      </c>
      <c r="D113" s="10">
        <v>4</v>
      </c>
      <c r="E113">
        <v>10</v>
      </c>
    </row>
    <row r="114" spans="3:5" x14ac:dyDescent="0.2">
      <c r="C114" s="11" t="s">
        <v>429</v>
      </c>
      <c r="D114" s="10">
        <v>4</v>
      </c>
      <c r="E114">
        <v>9</v>
      </c>
    </row>
    <row r="115" spans="3:5" x14ac:dyDescent="0.2">
      <c r="C115" s="11" t="s">
        <v>430</v>
      </c>
      <c r="D115" s="10">
        <v>4</v>
      </c>
      <c r="E115">
        <v>10</v>
      </c>
    </row>
    <row r="116" spans="3:5" x14ac:dyDescent="0.2">
      <c r="C116" s="11" t="s">
        <v>431</v>
      </c>
      <c r="D116" s="10">
        <v>4</v>
      </c>
      <c r="E116">
        <v>9</v>
      </c>
    </row>
    <row r="117" spans="3:5" x14ac:dyDescent="0.2">
      <c r="C117" s="11" t="s">
        <v>432</v>
      </c>
      <c r="D117" s="10">
        <v>4</v>
      </c>
      <c r="E117">
        <v>7</v>
      </c>
    </row>
    <row r="118" spans="3:5" x14ac:dyDescent="0.2">
      <c r="C118" s="11" t="s">
        <v>433</v>
      </c>
      <c r="D118" s="10">
        <v>4</v>
      </c>
      <c r="E118">
        <v>9</v>
      </c>
    </row>
    <row r="119" spans="3:5" x14ac:dyDescent="0.2">
      <c r="C119" s="11" t="s">
        <v>434</v>
      </c>
      <c r="D119" s="10">
        <v>2</v>
      </c>
      <c r="E119">
        <v>8</v>
      </c>
    </row>
    <row r="120" spans="3:5" x14ac:dyDescent="0.2">
      <c r="C120" s="11" t="s">
        <v>435</v>
      </c>
      <c r="D120" s="10">
        <v>2</v>
      </c>
      <c r="E120">
        <v>3</v>
      </c>
    </row>
    <row r="121" spans="3:5" x14ac:dyDescent="0.2">
      <c r="C121" s="11" t="s">
        <v>436</v>
      </c>
      <c r="D121" s="10">
        <v>2</v>
      </c>
      <c r="E121">
        <v>8</v>
      </c>
    </row>
    <row r="122" spans="3:5" x14ac:dyDescent="0.2">
      <c r="C122" s="11" t="s">
        <v>437</v>
      </c>
      <c r="D122" s="10">
        <v>2</v>
      </c>
      <c r="E122">
        <v>3</v>
      </c>
    </row>
    <row r="123" spans="3:5" x14ac:dyDescent="0.2">
      <c r="C123" s="11" t="s">
        <v>438</v>
      </c>
      <c r="D123" s="10">
        <v>2</v>
      </c>
      <c r="E123">
        <v>3</v>
      </c>
    </row>
    <row r="124" spans="3:5" x14ac:dyDescent="0.2">
      <c r="C124" s="11" t="s">
        <v>439</v>
      </c>
      <c r="D124" s="10">
        <v>2</v>
      </c>
      <c r="E124">
        <v>3</v>
      </c>
    </row>
    <row r="125" spans="3:5" x14ac:dyDescent="0.2">
      <c r="C125" s="11" t="s">
        <v>440</v>
      </c>
      <c r="D125" s="10">
        <v>2</v>
      </c>
      <c r="E125">
        <v>3</v>
      </c>
    </row>
    <row r="126" spans="3:5" x14ac:dyDescent="0.2">
      <c r="C126" s="11" t="s">
        <v>441</v>
      </c>
      <c r="D126" s="10">
        <v>2</v>
      </c>
      <c r="E126">
        <v>3</v>
      </c>
    </row>
    <row r="127" spans="3:5" x14ac:dyDescent="0.2">
      <c r="C127" s="11" t="s">
        <v>442</v>
      </c>
      <c r="D127" s="10">
        <v>2</v>
      </c>
      <c r="E127">
        <v>8</v>
      </c>
    </row>
    <row r="128" spans="3:5" x14ac:dyDescent="0.2">
      <c r="C128" s="11" t="s">
        <v>443</v>
      </c>
      <c r="D128" s="10">
        <v>2</v>
      </c>
      <c r="E128">
        <v>6</v>
      </c>
    </row>
    <row r="129" spans="3:5" x14ac:dyDescent="0.2">
      <c r="C129" s="11" t="s">
        <v>444</v>
      </c>
      <c r="D129" s="10">
        <v>2</v>
      </c>
      <c r="E129">
        <v>8</v>
      </c>
    </row>
    <row r="130" spans="3:5" x14ac:dyDescent="0.2">
      <c r="C130" s="11" t="s">
        <v>445</v>
      </c>
      <c r="D130" s="10">
        <v>2</v>
      </c>
      <c r="E130">
        <v>8</v>
      </c>
    </row>
    <row r="131" spans="3:5" x14ac:dyDescent="0.2">
      <c r="C131" s="11" t="s">
        <v>446</v>
      </c>
      <c r="D131" s="10">
        <v>2</v>
      </c>
      <c r="E131">
        <v>8</v>
      </c>
    </row>
    <row r="132" spans="3:5" x14ac:dyDescent="0.2">
      <c r="C132" s="11" t="s">
        <v>447</v>
      </c>
      <c r="D132" s="10">
        <v>2</v>
      </c>
      <c r="E132">
        <v>8</v>
      </c>
    </row>
    <row r="133" spans="3:5" x14ac:dyDescent="0.2">
      <c r="C133" s="11" t="s">
        <v>448</v>
      </c>
      <c r="D133" s="10">
        <v>2</v>
      </c>
      <c r="E133">
        <v>8</v>
      </c>
    </row>
    <row r="134" spans="3:5" x14ac:dyDescent="0.2">
      <c r="C134" s="11" t="s">
        <v>449</v>
      </c>
      <c r="D134" s="10">
        <v>2</v>
      </c>
      <c r="E134">
        <v>6</v>
      </c>
    </row>
    <row r="135" spans="3:5" x14ac:dyDescent="0.2">
      <c r="C135" s="11" t="s">
        <v>450</v>
      </c>
      <c r="D135" s="10">
        <v>3</v>
      </c>
      <c r="E135">
        <v>4</v>
      </c>
    </row>
    <row r="136" spans="3:5" x14ac:dyDescent="0.2">
      <c r="C136" s="11" t="s">
        <v>451</v>
      </c>
      <c r="D136" s="10">
        <v>4</v>
      </c>
      <c r="E136">
        <v>7</v>
      </c>
    </row>
    <row r="137" spans="3:5" x14ac:dyDescent="0.2">
      <c r="C137" s="11" t="s">
        <v>452</v>
      </c>
      <c r="D137" s="10">
        <v>4</v>
      </c>
      <c r="E137">
        <v>10</v>
      </c>
    </row>
    <row r="138" spans="3:5" x14ac:dyDescent="0.2">
      <c r="C138" s="11" t="s">
        <v>453</v>
      </c>
      <c r="D138" s="10">
        <v>2</v>
      </c>
      <c r="E138">
        <v>6</v>
      </c>
    </row>
    <row r="139" spans="3:5" x14ac:dyDescent="0.2">
      <c r="C139" s="11" t="s">
        <v>454</v>
      </c>
      <c r="D139" s="10">
        <v>2</v>
      </c>
      <c r="E139">
        <v>3</v>
      </c>
    </row>
    <row r="140" spans="3:5" x14ac:dyDescent="0.2">
      <c r="C140" s="11" t="s">
        <v>455</v>
      </c>
      <c r="D140" s="10">
        <v>2</v>
      </c>
      <c r="E140">
        <v>8</v>
      </c>
    </row>
    <row r="141" spans="3:5" x14ac:dyDescent="0.2">
      <c r="C141" s="11" t="s">
        <v>456</v>
      </c>
      <c r="D141" s="10">
        <v>2</v>
      </c>
      <c r="E141">
        <v>6</v>
      </c>
    </row>
    <row r="142" spans="3:5" x14ac:dyDescent="0.2">
      <c r="C142" s="11" t="s">
        <v>457</v>
      </c>
      <c r="D142" s="10">
        <v>2</v>
      </c>
      <c r="E142">
        <v>8</v>
      </c>
    </row>
    <row r="143" spans="3:5" x14ac:dyDescent="0.2">
      <c r="C143" s="11" t="s">
        <v>458</v>
      </c>
      <c r="D143" s="10">
        <v>2</v>
      </c>
      <c r="E143">
        <v>8</v>
      </c>
    </row>
    <row r="144" spans="3:5" x14ac:dyDescent="0.2">
      <c r="C144" s="11" t="s">
        <v>459</v>
      </c>
      <c r="D144" s="10">
        <v>2</v>
      </c>
      <c r="E144">
        <v>6</v>
      </c>
    </row>
    <row r="145" spans="3:5" x14ac:dyDescent="0.2">
      <c r="C145" s="11" t="s">
        <v>460</v>
      </c>
      <c r="D145" s="10">
        <v>2</v>
      </c>
      <c r="E145">
        <v>8</v>
      </c>
    </row>
    <row r="146" spans="3:5" x14ac:dyDescent="0.2">
      <c r="C146" s="11" t="s">
        <v>461</v>
      </c>
      <c r="D146" s="10">
        <v>3</v>
      </c>
      <c r="E146">
        <v>4</v>
      </c>
    </row>
    <row r="147" spans="3:5" x14ac:dyDescent="0.2">
      <c r="C147" s="11" t="s">
        <v>462</v>
      </c>
      <c r="D147" s="10">
        <v>2</v>
      </c>
      <c r="E147">
        <v>6</v>
      </c>
    </row>
    <row r="148" spans="3:5" x14ac:dyDescent="0.2">
      <c r="C148" s="11" t="s">
        <v>463</v>
      </c>
      <c r="D148" s="10">
        <v>4</v>
      </c>
      <c r="E148">
        <v>9</v>
      </c>
    </row>
    <row r="149" spans="3:5" x14ac:dyDescent="0.2">
      <c r="C149" s="11" t="s">
        <v>464</v>
      </c>
      <c r="D149" s="10">
        <v>4</v>
      </c>
      <c r="E149">
        <v>7</v>
      </c>
    </row>
    <row r="150" spans="3:5" x14ac:dyDescent="0.2">
      <c r="C150" s="11" t="s">
        <v>465</v>
      </c>
      <c r="D150" s="10">
        <v>4</v>
      </c>
      <c r="E150">
        <v>7</v>
      </c>
    </row>
    <row r="151" spans="3:5" x14ac:dyDescent="0.2">
      <c r="C151" s="11" t="s">
        <v>466</v>
      </c>
      <c r="D151" s="10">
        <v>2</v>
      </c>
      <c r="E151">
        <v>6</v>
      </c>
    </row>
    <row r="152" spans="3:5" x14ac:dyDescent="0.2">
      <c r="C152" s="11" t="s">
        <v>467</v>
      </c>
      <c r="D152" s="10">
        <v>2</v>
      </c>
      <c r="E152">
        <v>8</v>
      </c>
    </row>
    <row r="153" spans="3:5" x14ac:dyDescent="0.2">
      <c r="C153" s="11" t="s">
        <v>468</v>
      </c>
      <c r="D153" s="10">
        <v>2</v>
      </c>
      <c r="E153">
        <v>6</v>
      </c>
    </row>
    <row r="154" spans="3:5" x14ac:dyDescent="0.2">
      <c r="C154" s="11" t="s">
        <v>469</v>
      </c>
      <c r="D154" s="10">
        <v>2</v>
      </c>
      <c r="E154">
        <v>6</v>
      </c>
    </row>
    <row r="155" spans="3:5" x14ac:dyDescent="0.2">
      <c r="C155" s="11" t="s">
        <v>470</v>
      </c>
      <c r="D155" s="10">
        <v>4</v>
      </c>
      <c r="E155">
        <v>9</v>
      </c>
    </row>
    <row r="156" spans="3:5" x14ac:dyDescent="0.2">
      <c r="C156" s="11" t="s">
        <v>471</v>
      </c>
      <c r="D156" s="10">
        <v>2</v>
      </c>
      <c r="E156">
        <v>3</v>
      </c>
    </row>
    <row r="157" spans="3:5" x14ac:dyDescent="0.2">
      <c r="C157" s="11" t="s">
        <v>472</v>
      </c>
      <c r="D157" s="10">
        <v>2</v>
      </c>
      <c r="E157">
        <v>8</v>
      </c>
    </row>
    <row r="158" spans="3:5" x14ac:dyDescent="0.2">
      <c r="C158" s="11" t="s">
        <v>473</v>
      </c>
      <c r="D158" s="10">
        <v>2</v>
      </c>
      <c r="E158">
        <v>8</v>
      </c>
    </row>
    <row r="159" spans="3:5" x14ac:dyDescent="0.2">
      <c r="C159" s="11" t="s">
        <v>474</v>
      </c>
      <c r="D159" s="10">
        <v>2</v>
      </c>
      <c r="E159">
        <v>3</v>
      </c>
    </row>
    <row r="160" spans="3:5" x14ac:dyDescent="0.2">
      <c r="C160" s="11" t="s">
        <v>475</v>
      </c>
      <c r="D160" s="10">
        <v>2</v>
      </c>
      <c r="E160">
        <v>3</v>
      </c>
    </row>
    <row r="161" spans="3:5" x14ac:dyDescent="0.2">
      <c r="C161" s="11" t="s">
        <v>476</v>
      </c>
      <c r="D161" s="10">
        <v>2</v>
      </c>
      <c r="E161">
        <v>6</v>
      </c>
    </row>
    <row r="162" spans="3:5" x14ac:dyDescent="0.2">
      <c r="C162" s="11" t="s">
        <v>477</v>
      </c>
      <c r="D162" s="10">
        <v>2</v>
      </c>
      <c r="E162">
        <v>8</v>
      </c>
    </row>
    <row r="163" spans="3:5" x14ac:dyDescent="0.2">
      <c r="C163" s="11" t="s">
        <v>478</v>
      </c>
      <c r="D163" s="10">
        <v>2</v>
      </c>
      <c r="E163">
        <v>8</v>
      </c>
    </row>
    <row r="164" spans="3:5" x14ac:dyDescent="0.2">
      <c r="C164" s="11" t="s">
        <v>479</v>
      </c>
      <c r="D164" s="10">
        <v>2</v>
      </c>
      <c r="E164">
        <v>3</v>
      </c>
    </row>
    <row r="165" spans="3:5" x14ac:dyDescent="0.2">
      <c r="C165" s="11" t="s">
        <v>480</v>
      </c>
      <c r="D165" s="10">
        <v>4</v>
      </c>
      <c r="E165">
        <v>9</v>
      </c>
    </row>
    <row r="166" spans="3:5" x14ac:dyDescent="0.2">
      <c r="C166" s="11" t="s">
        <v>481</v>
      </c>
      <c r="D166" s="10">
        <v>2</v>
      </c>
      <c r="E166">
        <v>8</v>
      </c>
    </row>
    <row r="167" spans="3:5" x14ac:dyDescent="0.2">
      <c r="C167" s="11" t="s">
        <v>482</v>
      </c>
      <c r="D167" s="10">
        <v>2</v>
      </c>
      <c r="E167">
        <v>3</v>
      </c>
    </row>
    <row r="168" spans="3:5" x14ac:dyDescent="0.2">
      <c r="C168" s="11" t="s">
        <v>483</v>
      </c>
      <c r="D168" s="10">
        <v>4</v>
      </c>
      <c r="E168">
        <v>9</v>
      </c>
    </row>
    <row r="169" spans="3:5" x14ac:dyDescent="0.2">
      <c r="C169" s="11" t="s">
        <v>484</v>
      </c>
      <c r="D169" s="10">
        <v>2</v>
      </c>
      <c r="E169">
        <v>6</v>
      </c>
    </row>
    <row r="170" spans="3:5" x14ac:dyDescent="0.2">
      <c r="C170" s="11" t="s">
        <v>485</v>
      </c>
      <c r="D170" s="10">
        <v>2</v>
      </c>
      <c r="E170">
        <v>6</v>
      </c>
    </row>
    <row r="171" spans="3:5" x14ac:dyDescent="0.2">
      <c r="C171" s="11" t="s">
        <v>486</v>
      </c>
      <c r="D171" s="10">
        <v>2</v>
      </c>
      <c r="E171">
        <v>8</v>
      </c>
    </row>
    <row r="172" spans="3:5" x14ac:dyDescent="0.2">
      <c r="C172" s="11" t="s">
        <v>487</v>
      </c>
      <c r="D172" s="10">
        <v>4</v>
      </c>
      <c r="E172">
        <v>7</v>
      </c>
    </row>
    <row r="173" spans="3:5" x14ac:dyDescent="0.2">
      <c r="C173" s="11" t="s">
        <v>488</v>
      </c>
      <c r="D173" s="10">
        <v>2</v>
      </c>
      <c r="E173">
        <v>3</v>
      </c>
    </row>
    <row r="174" spans="3:5" x14ac:dyDescent="0.2">
      <c r="C174" s="11" t="s">
        <v>489</v>
      </c>
      <c r="D174" s="10">
        <v>4</v>
      </c>
      <c r="E174">
        <v>7</v>
      </c>
    </row>
    <row r="175" spans="3:5" x14ac:dyDescent="0.2">
      <c r="C175" s="11" t="s">
        <v>490</v>
      </c>
      <c r="D175" s="10">
        <v>3</v>
      </c>
      <c r="E175">
        <v>4</v>
      </c>
    </row>
    <row r="176" spans="3:5" x14ac:dyDescent="0.2">
      <c r="C176" s="11" t="s">
        <v>491</v>
      </c>
      <c r="D176" s="10">
        <v>2</v>
      </c>
      <c r="E176">
        <v>6</v>
      </c>
    </row>
    <row r="177" spans="3:5" x14ac:dyDescent="0.2">
      <c r="C177" s="11" t="s">
        <v>492</v>
      </c>
      <c r="D177" s="10">
        <v>2</v>
      </c>
      <c r="E177">
        <v>3</v>
      </c>
    </row>
    <row r="178" spans="3:5" x14ac:dyDescent="0.2">
      <c r="C178" s="11" t="s">
        <v>493</v>
      </c>
      <c r="D178" s="10">
        <v>2</v>
      </c>
      <c r="E178">
        <v>3</v>
      </c>
    </row>
    <row r="179" spans="3:5" x14ac:dyDescent="0.2">
      <c r="C179" s="11" t="s">
        <v>494</v>
      </c>
      <c r="D179" s="10">
        <v>4</v>
      </c>
      <c r="E179">
        <v>9</v>
      </c>
    </row>
    <row r="180" spans="3:5" x14ac:dyDescent="0.2">
      <c r="C180" s="11" t="s">
        <v>495</v>
      </c>
      <c r="D180" s="10">
        <v>4</v>
      </c>
      <c r="E180">
        <v>7</v>
      </c>
    </row>
    <row r="181" spans="3:5" x14ac:dyDescent="0.2">
      <c r="C181" s="11" t="s">
        <v>496</v>
      </c>
      <c r="D181" s="10">
        <v>4</v>
      </c>
      <c r="E181">
        <v>10</v>
      </c>
    </row>
    <row r="182" spans="3:5" x14ac:dyDescent="0.2">
      <c r="C182" s="11" t="s">
        <v>497</v>
      </c>
      <c r="D182" s="10">
        <v>2</v>
      </c>
      <c r="E182">
        <v>3</v>
      </c>
    </row>
    <row r="183" spans="3:5" x14ac:dyDescent="0.2">
      <c r="C183" s="11" t="s">
        <v>498</v>
      </c>
      <c r="D183" s="10">
        <v>2</v>
      </c>
      <c r="E183">
        <v>8</v>
      </c>
    </row>
    <row r="184" spans="3:5" x14ac:dyDescent="0.2">
      <c r="C184" s="11" t="s">
        <v>499</v>
      </c>
      <c r="D184" s="10">
        <v>2</v>
      </c>
      <c r="E184">
        <v>3</v>
      </c>
    </row>
    <row r="185" spans="3:5" x14ac:dyDescent="0.2">
      <c r="C185" s="11" t="s">
        <v>500</v>
      </c>
      <c r="D185" s="10">
        <v>2</v>
      </c>
      <c r="E185">
        <v>8</v>
      </c>
    </row>
    <row r="186" spans="3:5" x14ac:dyDescent="0.2">
      <c r="C186" s="11" t="s">
        <v>501</v>
      </c>
      <c r="D186" s="10">
        <v>2</v>
      </c>
      <c r="E186">
        <v>8</v>
      </c>
    </row>
    <row r="187" spans="3:5" x14ac:dyDescent="0.2">
      <c r="C187" s="11" t="s">
        <v>502</v>
      </c>
      <c r="D187" s="10">
        <v>2</v>
      </c>
      <c r="E187">
        <v>8</v>
      </c>
    </row>
    <row r="188" spans="3:5" x14ac:dyDescent="0.2">
      <c r="C188" s="11" t="s">
        <v>503</v>
      </c>
      <c r="D188" s="10">
        <v>4</v>
      </c>
      <c r="E188">
        <v>10</v>
      </c>
    </row>
    <row r="189" spans="3:5" x14ac:dyDescent="0.2">
      <c r="C189" s="11" t="s">
        <v>504</v>
      </c>
      <c r="D189" s="10">
        <v>2</v>
      </c>
      <c r="E189">
        <v>3</v>
      </c>
    </row>
    <row r="190" spans="3:5" x14ac:dyDescent="0.2">
      <c r="C190" s="11" t="s">
        <v>505</v>
      </c>
      <c r="D190" s="10">
        <v>4</v>
      </c>
      <c r="E190">
        <v>10</v>
      </c>
    </row>
    <row r="191" spans="3:5" x14ac:dyDescent="0.2">
      <c r="C191" s="11" t="s">
        <v>506</v>
      </c>
      <c r="D191" s="10">
        <v>2</v>
      </c>
      <c r="E191">
        <v>3</v>
      </c>
    </row>
    <row r="192" spans="3:5" x14ac:dyDescent="0.2">
      <c r="C192" s="11" t="s">
        <v>507</v>
      </c>
      <c r="D192" s="10">
        <v>2</v>
      </c>
      <c r="E192">
        <v>6</v>
      </c>
    </row>
    <row r="193" spans="3:5" x14ac:dyDescent="0.2">
      <c r="C193" s="11" t="s">
        <v>508</v>
      </c>
      <c r="D193" s="10">
        <v>2</v>
      </c>
      <c r="E193">
        <v>8</v>
      </c>
    </row>
    <row r="194" spans="3:5" x14ac:dyDescent="0.2">
      <c r="C194" s="11" t="s">
        <v>509</v>
      </c>
      <c r="D194" s="10">
        <v>2</v>
      </c>
      <c r="E194">
        <v>3</v>
      </c>
    </row>
    <row r="195" spans="3:5" x14ac:dyDescent="0.2">
      <c r="C195" s="11" t="s">
        <v>510</v>
      </c>
      <c r="D195" s="10">
        <v>2</v>
      </c>
      <c r="E195">
        <v>6</v>
      </c>
    </row>
    <row r="196" spans="3:5" x14ac:dyDescent="0.2">
      <c r="C196" s="11" t="s">
        <v>511</v>
      </c>
      <c r="D196" s="10">
        <v>2</v>
      </c>
      <c r="E196">
        <v>8</v>
      </c>
    </row>
    <row r="197" spans="3:5" x14ac:dyDescent="0.2">
      <c r="C197" s="11" t="s">
        <v>512</v>
      </c>
      <c r="D197" s="10">
        <v>3</v>
      </c>
      <c r="E197">
        <v>4</v>
      </c>
    </row>
    <row r="198" spans="3:5" x14ac:dyDescent="0.2">
      <c r="C198" s="11" t="s">
        <v>513</v>
      </c>
      <c r="D198" s="10">
        <v>2</v>
      </c>
      <c r="E198">
        <v>8</v>
      </c>
    </row>
    <row r="199" spans="3:5" x14ac:dyDescent="0.2">
      <c r="C199" s="11" t="s">
        <v>514</v>
      </c>
      <c r="D199" s="10">
        <v>2</v>
      </c>
      <c r="E199">
        <v>6</v>
      </c>
    </row>
    <row r="200" spans="3:5" x14ac:dyDescent="0.2">
      <c r="C200" s="11" t="s">
        <v>515</v>
      </c>
      <c r="D200" s="10">
        <v>4</v>
      </c>
      <c r="E200">
        <v>7</v>
      </c>
    </row>
    <row r="201" spans="3:5" x14ac:dyDescent="0.2">
      <c r="C201" s="11" t="s">
        <v>516</v>
      </c>
      <c r="D201" s="10">
        <v>4</v>
      </c>
      <c r="E201">
        <v>10</v>
      </c>
    </row>
    <row r="202" spans="3:5" x14ac:dyDescent="0.2">
      <c r="C202" s="11" t="s">
        <v>517</v>
      </c>
      <c r="D202" s="10">
        <v>3</v>
      </c>
      <c r="E202">
        <v>4</v>
      </c>
    </row>
    <row r="203" spans="3:5" x14ac:dyDescent="0.2">
      <c r="C203" s="11" t="s">
        <v>518</v>
      </c>
      <c r="D203" s="10">
        <v>2</v>
      </c>
      <c r="E203">
        <v>8</v>
      </c>
    </row>
    <row r="204" spans="3:5" x14ac:dyDescent="0.2">
      <c r="C204" s="11" t="s">
        <v>519</v>
      </c>
      <c r="D204" s="10">
        <v>2</v>
      </c>
      <c r="E204">
        <v>6</v>
      </c>
    </row>
    <row r="205" spans="3:5" x14ac:dyDescent="0.2">
      <c r="C205" s="11" t="s">
        <v>520</v>
      </c>
      <c r="D205" s="10">
        <v>2</v>
      </c>
      <c r="E205">
        <v>6</v>
      </c>
    </row>
    <row r="206" spans="3:5" x14ac:dyDescent="0.2">
      <c r="C206" s="11" t="s">
        <v>521</v>
      </c>
      <c r="D206" s="10">
        <v>3</v>
      </c>
      <c r="E206">
        <v>4</v>
      </c>
    </row>
    <row r="207" spans="3:5" x14ac:dyDescent="0.2">
      <c r="C207" s="11" t="s">
        <v>522</v>
      </c>
      <c r="D207" s="10">
        <v>2</v>
      </c>
      <c r="E207">
        <v>6</v>
      </c>
    </row>
    <row r="208" spans="3:5" x14ac:dyDescent="0.2">
      <c r="C208" s="11" t="s">
        <v>523</v>
      </c>
      <c r="D208" s="10">
        <v>2</v>
      </c>
      <c r="E208">
        <v>8</v>
      </c>
    </row>
    <row r="209" spans="3:5" x14ac:dyDescent="0.2">
      <c r="C209" s="11" t="s">
        <v>524</v>
      </c>
      <c r="D209" s="10">
        <v>2</v>
      </c>
      <c r="E209">
        <v>6</v>
      </c>
    </row>
    <row r="210" spans="3:5" x14ac:dyDescent="0.2">
      <c r="C210" s="11" t="s">
        <v>525</v>
      </c>
      <c r="D210" s="10">
        <v>2</v>
      </c>
      <c r="E210">
        <v>6</v>
      </c>
    </row>
    <row r="211" spans="3:5" x14ac:dyDescent="0.2">
      <c r="C211" s="11" t="s">
        <v>526</v>
      </c>
      <c r="D211" s="10">
        <v>2</v>
      </c>
      <c r="E211">
        <v>3</v>
      </c>
    </row>
    <row r="212" spans="3:5" x14ac:dyDescent="0.2">
      <c r="C212" s="11" t="s">
        <v>527</v>
      </c>
      <c r="D212" s="10">
        <v>2</v>
      </c>
      <c r="E212">
        <v>3</v>
      </c>
    </row>
    <row r="213" spans="3:5" x14ac:dyDescent="0.2">
      <c r="C213" s="11" t="s">
        <v>528</v>
      </c>
      <c r="D213" s="10">
        <v>4</v>
      </c>
      <c r="E213">
        <v>7</v>
      </c>
    </row>
    <row r="214" spans="3:5" x14ac:dyDescent="0.2">
      <c r="C214" s="11" t="s">
        <v>529</v>
      </c>
      <c r="D214" s="10">
        <v>4</v>
      </c>
      <c r="E214">
        <v>7</v>
      </c>
    </row>
    <row r="215" spans="3:5" x14ac:dyDescent="0.2">
      <c r="C215" s="11" t="s">
        <v>530</v>
      </c>
      <c r="D215" s="10">
        <v>4</v>
      </c>
      <c r="E215">
        <v>7</v>
      </c>
    </row>
    <row r="216" spans="3:5" x14ac:dyDescent="0.2">
      <c r="C216" s="11" t="s">
        <v>531</v>
      </c>
      <c r="D216" s="10">
        <v>2</v>
      </c>
      <c r="E216">
        <v>3</v>
      </c>
    </row>
    <row r="217" spans="3:5" x14ac:dyDescent="0.2">
      <c r="C217" s="11" t="s">
        <v>532</v>
      </c>
      <c r="D217" s="10">
        <v>2</v>
      </c>
      <c r="E217">
        <v>8</v>
      </c>
    </row>
    <row r="218" spans="3:5" x14ac:dyDescent="0.2">
      <c r="C218" s="11" t="s">
        <v>533</v>
      </c>
      <c r="D218" s="10">
        <v>3</v>
      </c>
      <c r="E218">
        <v>5</v>
      </c>
    </row>
    <row r="219" spans="3:5" x14ac:dyDescent="0.2">
      <c r="C219" s="11" t="s">
        <v>534</v>
      </c>
      <c r="D219" s="10">
        <v>3</v>
      </c>
      <c r="E219">
        <v>5</v>
      </c>
    </row>
    <row r="220" spans="3:5" x14ac:dyDescent="0.2">
      <c r="C220" s="11" t="s">
        <v>535</v>
      </c>
      <c r="D220" s="10">
        <v>3</v>
      </c>
      <c r="E220">
        <v>4</v>
      </c>
    </row>
    <row r="221" spans="3:5" x14ac:dyDescent="0.2">
      <c r="C221" s="11" t="s">
        <v>536</v>
      </c>
      <c r="D221" s="10">
        <v>1</v>
      </c>
      <c r="E221">
        <v>1</v>
      </c>
    </row>
    <row r="222" spans="3:5" x14ac:dyDescent="0.2">
      <c r="C222" s="11" t="s">
        <v>537</v>
      </c>
      <c r="D222" s="10">
        <v>1</v>
      </c>
      <c r="E222">
        <v>2</v>
      </c>
    </row>
    <row r="223" spans="3:5" x14ac:dyDescent="0.2">
      <c r="C223" s="11" t="s">
        <v>538</v>
      </c>
      <c r="D223" s="10">
        <v>1</v>
      </c>
      <c r="E223">
        <v>1</v>
      </c>
    </row>
    <row r="224" spans="3:5" x14ac:dyDescent="0.2">
      <c r="C224" s="11" t="s">
        <v>539</v>
      </c>
      <c r="D224" s="10">
        <v>3</v>
      </c>
      <c r="E224">
        <v>5</v>
      </c>
    </row>
    <row r="225" spans="3:5" x14ac:dyDescent="0.2">
      <c r="C225" s="11" t="s">
        <v>540</v>
      </c>
      <c r="D225" s="10">
        <v>3</v>
      </c>
      <c r="E225">
        <v>4</v>
      </c>
    </row>
    <row r="226" spans="3:5" x14ac:dyDescent="0.2">
      <c r="C226" s="11" t="s">
        <v>541</v>
      </c>
      <c r="D226" s="10">
        <v>3</v>
      </c>
      <c r="E226">
        <v>4</v>
      </c>
    </row>
    <row r="227" spans="3:5" x14ac:dyDescent="0.2">
      <c r="C227" s="11" t="s">
        <v>542</v>
      </c>
      <c r="D227" s="10">
        <v>3</v>
      </c>
      <c r="E227">
        <v>4</v>
      </c>
    </row>
    <row r="228" spans="3:5" x14ac:dyDescent="0.2">
      <c r="C228" s="11" t="s">
        <v>543</v>
      </c>
      <c r="D228" s="10">
        <v>1</v>
      </c>
      <c r="E228">
        <v>2</v>
      </c>
    </row>
    <row r="229" spans="3:5" x14ac:dyDescent="0.2">
      <c r="C229" s="11" t="s">
        <v>544</v>
      </c>
      <c r="D229" s="10">
        <v>3</v>
      </c>
      <c r="E229">
        <v>4</v>
      </c>
    </row>
    <row r="230" spans="3:5" x14ac:dyDescent="0.2">
      <c r="C230" s="11" t="s">
        <v>545</v>
      </c>
      <c r="D230" s="10">
        <v>3</v>
      </c>
      <c r="E230">
        <v>4</v>
      </c>
    </row>
    <row r="231" spans="3:5" x14ac:dyDescent="0.2">
      <c r="C231" s="11" t="s">
        <v>546</v>
      </c>
      <c r="D231" s="10">
        <v>3</v>
      </c>
      <c r="E231">
        <v>4</v>
      </c>
    </row>
    <row r="232" spans="3:5" x14ac:dyDescent="0.2">
      <c r="C232" s="11" t="s">
        <v>547</v>
      </c>
      <c r="D232" s="10">
        <v>1</v>
      </c>
      <c r="E232">
        <v>2</v>
      </c>
    </row>
    <row r="233" spans="3:5" x14ac:dyDescent="0.2">
      <c r="C233" s="11" t="s">
        <v>548</v>
      </c>
      <c r="D233" s="10">
        <v>1</v>
      </c>
      <c r="E233">
        <v>1</v>
      </c>
    </row>
    <row r="234" spans="3:5" x14ac:dyDescent="0.2">
      <c r="C234" s="11" t="s">
        <v>549</v>
      </c>
      <c r="D234" s="10">
        <v>3</v>
      </c>
      <c r="E234">
        <v>5</v>
      </c>
    </row>
    <row r="235" spans="3:5" x14ac:dyDescent="0.2">
      <c r="C235" s="11" t="s">
        <v>550</v>
      </c>
      <c r="D235" s="10">
        <v>3</v>
      </c>
      <c r="E235">
        <v>4</v>
      </c>
    </row>
    <row r="236" spans="3:5" x14ac:dyDescent="0.2">
      <c r="C236" s="11" t="s">
        <v>551</v>
      </c>
      <c r="D236" s="10">
        <v>1</v>
      </c>
      <c r="E236">
        <v>1</v>
      </c>
    </row>
    <row r="237" spans="3:5" x14ac:dyDescent="0.2">
      <c r="C237" s="11" t="s">
        <v>552</v>
      </c>
      <c r="D237" s="10">
        <v>3</v>
      </c>
      <c r="E237">
        <v>4</v>
      </c>
    </row>
    <row r="238" spans="3:5" x14ac:dyDescent="0.2">
      <c r="C238" s="11" t="s">
        <v>553</v>
      </c>
      <c r="D238" s="10">
        <v>3</v>
      </c>
      <c r="E238">
        <v>4</v>
      </c>
    </row>
    <row r="239" spans="3:5" x14ac:dyDescent="0.2">
      <c r="C239" s="11" t="s">
        <v>554</v>
      </c>
      <c r="D239" s="10">
        <v>3</v>
      </c>
      <c r="E239">
        <v>5</v>
      </c>
    </row>
    <row r="240" spans="3:5" x14ac:dyDescent="0.2">
      <c r="C240" s="11" t="s">
        <v>555</v>
      </c>
      <c r="D240" s="10">
        <v>3</v>
      </c>
      <c r="E240">
        <v>4</v>
      </c>
    </row>
    <row r="241" spans="3:5" x14ac:dyDescent="0.2">
      <c r="C241" s="11" t="s">
        <v>556</v>
      </c>
      <c r="D241" s="10">
        <v>3</v>
      </c>
      <c r="E241">
        <v>5</v>
      </c>
    </row>
    <row r="242" spans="3:5" x14ac:dyDescent="0.2">
      <c r="C242" s="11" t="s">
        <v>557</v>
      </c>
      <c r="D242" s="10">
        <v>3</v>
      </c>
      <c r="E242">
        <v>4</v>
      </c>
    </row>
    <row r="243" spans="3:5" x14ac:dyDescent="0.2">
      <c r="C243" s="11" t="s">
        <v>558</v>
      </c>
      <c r="D243" s="10">
        <v>1</v>
      </c>
      <c r="E243">
        <v>2</v>
      </c>
    </row>
    <row r="244" spans="3:5" x14ac:dyDescent="0.2">
      <c r="C244" s="11" t="s">
        <v>559</v>
      </c>
      <c r="D244" s="10">
        <v>3</v>
      </c>
      <c r="E244">
        <v>4</v>
      </c>
    </row>
    <row r="245" spans="3:5" x14ac:dyDescent="0.2">
      <c r="C245" s="11" t="s">
        <v>560</v>
      </c>
      <c r="D245" s="10">
        <v>1</v>
      </c>
      <c r="E245">
        <v>1</v>
      </c>
    </row>
    <row r="246" spans="3:5" x14ac:dyDescent="0.2">
      <c r="C246" s="11" t="s">
        <v>561</v>
      </c>
      <c r="D246" s="10">
        <v>3</v>
      </c>
      <c r="E246">
        <v>5</v>
      </c>
    </row>
    <row r="247" spans="3:5" x14ac:dyDescent="0.2">
      <c r="C247" s="11" t="s">
        <v>562</v>
      </c>
      <c r="D247" s="10">
        <v>3</v>
      </c>
      <c r="E247">
        <v>4</v>
      </c>
    </row>
    <row r="248" spans="3:5" x14ac:dyDescent="0.2">
      <c r="C248" s="11" t="s">
        <v>563</v>
      </c>
      <c r="D248" s="10">
        <v>3</v>
      </c>
      <c r="E248">
        <v>4</v>
      </c>
    </row>
    <row r="249" spans="3:5" x14ac:dyDescent="0.2">
      <c r="C249" s="11" t="s">
        <v>564</v>
      </c>
      <c r="D249" s="10">
        <v>3</v>
      </c>
      <c r="E249">
        <v>5</v>
      </c>
    </row>
    <row r="250" spans="3:5" x14ac:dyDescent="0.2">
      <c r="C250" s="11" t="s">
        <v>565</v>
      </c>
      <c r="D250" s="10">
        <v>3</v>
      </c>
      <c r="E250">
        <v>5</v>
      </c>
    </row>
    <row r="251" spans="3:5" x14ac:dyDescent="0.2">
      <c r="C251" s="11" t="s">
        <v>566</v>
      </c>
      <c r="D251" s="10">
        <v>3</v>
      </c>
      <c r="E251">
        <v>5</v>
      </c>
    </row>
    <row r="252" spans="3:5" x14ac:dyDescent="0.2">
      <c r="C252" s="11" t="s">
        <v>567</v>
      </c>
      <c r="D252" s="10">
        <v>1</v>
      </c>
      <c r="E252">
        <v>1</v>
      </c>
    </row>
    <row r="253" spans="3:5" x14ac:dyDescent="0.2">
      <c r="C253" s="11" t="s">
        <v>568</v>
      </c>
      <c r="D253" s="10">
        <v>1</v>
      </c>
      <c r="E253">
        <v>1</v>
      </c>
    </row>
    <row r="254" spans="3:5" x14ac:dyDescent="0.2">
      <c r="C254" s="11" t="s">
        <v>569</v>
      </c>
      <c r="D254" s="10">
        <v>1</v>
      </c>
      <c r="E254">
        <v>2</v>
      </c>
    </row>
    <row r="255" spans="3:5" x14ac:dyDescent="0.2">
      <c r="C255" s="11" t="s">
        <v>570</v>
      </c>
      <c r="D255" s="10">
        <v>1</v>
      </c>
      <c r="E255">
        <v>1</v>
      </c>
    </row>
    <row r="256" spans="3:5" x14ac:dyDescent="0.2">
      <c r="C256" s="11" t="s">
        <v>571</v>
      </c>
      <c r="D256" s="10">
        <v>1</v>
      </c>
      <c r="E256">
        <v>1</v>
      </c>
    </row>
    <row r="257" spans="3:5" x14ac:dyDescent="0.2">
      <c r="C257" s="11" t="s">
        <v>572</v>
      </c>
      <c r="D257" s="10">
        <v>1</v>
      </c>
      <c r="E257">
        <v>1</v>
      </c>
    </row>
    <row r="258" spans="3:5" x14ac:dyDescent="0.2">
      <c r="C258" s="11" t="s">
        <v>573</v>
      </c>
      <c r="D258" s="10">
        <v>3</v>
      </c>
      <c r="E258">
        <v>4</v>
      </c>
    </row>
    <row r="259" spans="3:5" x14ac:dyDescent="0.2">
      <c r="C259" s="11" t="s">
        <v>574</v>
      </c>
      <c r="D259" s="10">
        <v>1</v>
      </c>
      <c r="E259">
        <v>1</v>
      </c>
    </row>
    <row r="260" spans="3:5" x14ac:dyDescent="0.2">
      <c r="C260" s="11" t="s">
        <v>575</v>
      </c>
      <c r="D260" s="10">
        <v>4</v>
      </c>
      <c r="E260">
        <v>7</v>
      </c>
    </row>
    <row r="261" spans="3:5" x14ac:dyDescent="0.2">
      <c r="C261" s="11" t="s">
        <v>576</v>
      </c>
      <c r="D261" s="10">
        <v>4</v>
      </c>
      <c r="E261">
        <v>7</v>
      </c>
    </row>
    <row r="262" spans="3:5" x14ac:dyDescent="0.2">
      <c r="C262" s="11" t="s">
        <v>577</v>
      </c>
      <c r="D262" s="10">
        <v>2</v>
      </c>
      <c r="E262">
        <v>3</v>
      </c>
    </row>
    <row r="263" spans="3:5" x14ac:dyDescent="0.2">
      <c r="C263" s="11" t="s">
        <v>578</v>
      </c>
      <c r="D263" s="10">
        <v>2</v>
      </c>
      <c r="E263">
        <v>3</v>
      </c>
    </row>
    <row r="264" spans="3:5" x14ac:dyDescent="0.2">
      <c r="C264" s="11" t="s">
        <v>579</v>
      </c>
      <c r="D264" s="10">
        <v>2</v>
      </c>
      <c r="E264">
        <v>3</v>
      </c>
    </row>
    <row r="265" spans="3:5" x14ac:dyDescent="0.2">
      <c r="C265" s="11" t="s">
        <v>580</v>
      </c>
      <c r="D265" s="10">
        <v>2</v>
      </c>
      <c r="E265">
        <v>3</v>
      </c>
    </row>
    <row r="266" spans="3:5" x14ac:dyDescent="0.2">
      <c r="C266" s="11" t="s">
        <v>581</v>
      </c>
      <c r="D266" s="10">
        <v>2</v>
      </c>
      <c r="E266">
        <v>3</v>
      </c>
    </row>
    <row r="267" spans="3:5" x14ac:dyDescent="0.2">
      <c r="C267" s="11" t="s">
        <v>582</v>
      </c>
      <c r="D267" s="10">
        <v>2</v>
      </c>
      <c r="E267">
        <v>8</v>
      </c>
    </row>
    <row r="268" spans="3:5" x14ac:dyDescent="0.2">
      <c r="C268" s="11" t="s">
        <v>583</v>
      </c>
      <c r="D268" s="10">
        <v>2</v>
      </c>
      <c r="E268">
        <v>3</v>
      </c>
    </row>
    <row r="269" spans="3:5" x14ac:dyDescent="0.2">
      <c r="C269" s="11" t="s">
        <v>584</v>
      </c>
      <c r="D269" s="10">
        <v>3</v>
      </c>
      <c r="E269">
        <v>4</v>
      </c>
    </row>
    <row r="270" spans="3:5" x14ac:dyDescent="0.2">
      <c r="C270" s="11" t="s">
        <v>585</v>
      </c>
      <c r="D270" s="10">
        <v>2</v>
      </c>
      <c r="E270">
        <v>3</v>
      </c>
    </row>
    <row r="271" spans="3:5" x14ac:dyDescent="0.2">
      <c r="C271" s="11" t="s">
        <v>586</v>
      </c>
      <c r="D271" s="10">
        <v>2</v>
      </c>
      <c r="E271">
        <v>3</v>
      </c>
    </row>
    <row r="272" spans="3:5" x14ac:dyDescent="0.2">
      <c r="C272" s="11" t="s">
        <v>587</v>
      </c>
      <c r="D272" s="10">
        <v>2</v>
      </c>
      <c r="E272">
        <v>3</v>
      </c>
    </row>
    <row r="273" spans="3:5" x14ac:dyDescent="0.2">
      <c r="C273" s="11" t="s">
        <v>588</v>
      </c>
      <c r="D273" s="10">
        <v>2</v>
      </c>
      <c r="E273">
        <v>3</v>
      </c>
    </row>
    <row r="274" spans="3:5" x14ac:dyDescent="0.2">
      <c r="C274" s="11" t="s">
        <v>589</v>
      </c>
      <c r="D274" s="10">
        <v>4</v>
      </c>
      <c r="E274">
        <v>9</v>
      </c>
    </row>
    <row r="275" spans="3:5" x14ac:dyDescent="0.2">
      <c r="C275" s="11" t="s">
        <v>590</v>
      </c>
      <c r="D275" s="10">
        <v>4</v>
      </c>
      <c r="E275">
        <v>7</v>
      </c>
    </row>
    <row r="276" spans="3:5" x14ac:dyDescent="0.2">
      <c r="C276" s="11" t="s">
        <v>591</v>
      </c>
      <c r="D276" s="10">
        <v>4</v>
      </c>
      <c r="E276">
        <v>9</v>
      </c>
    </row>
    <row r="277" spans="3:5" x14ac:dyDescent="0.2">
      <c r="C277" s="11" t="s">
        <v>592</v>
      </c>
      <c r="D277" s="10">
        <v>2</v>
      </c>
      <c r="E277">
        <v>6</v>
      </c>
    </row>
    <row r="278" spans="3:5" x14ac:dyDescent="0.2">
      <c r="C278" s="11" t="s">
        <v>593</v>
      </c>
      <c r="D278" s="10">
        <v>2</v>
      </c>
      <c r="E278">
        <v>6</v>
      </c>
    </row>
    <row r="279" spans="3:5" x14ac:dyDescent="0.2">
      <c r="C279" s="11" t="s">
        <v>594</v>
      </c>
      <c r="D279" s="10">
        <v>4</v>
      </c>
      <c r="E279">
        <v>10</v>
      </c>
    </row>
    <row r="280" spans="3:5" x14ac:dyDescent="0.2">
      <c r="C280" s="11" t="s">
        <v>595</v>
      </c>
      <c r="D280" s="10">
        <v>2</v>
      </c>
      <c r="E280">
        <v>3</v>
      </c>
    </row>
    <row r="281" spans="3:5" x14ac:dyDescent="0.2">
      <c r="C281" s="11" t="s">
        <v>596</v>
      </c>
      <c r="D281" s="10">
        <v>2</v>
      </c>
      <c r="E281">
        <v>8</v>
      </c>
    </row>
    <row r="282" spans="3:5" x14ac:dyDescent="0.2">
      <c r="C282" s="11" t="s">
        <v>597</v>
      </c>
      <c r="D282" s="10">
        <v>2</v>
      </c>
      <c r="E282">
        <v>3</v>
      </c>
    </row>
    <row r="283" spans="3:5" x14ac:dyDescent="0.2">
      <c r="C283" s="11" t="s">
        <v>598</v>
      </c>
      <c r="D283" s="10">
        <v>4</v>
      </c>
      <c r="E283">
        <v>9</v>
      </c>
    </row>
    <row r="284" spans="3:5" x14ac:dyDescent="0.2">
      <c r="C284" s="11" t="s">
        <v>599</v>
      </c>
      <c r="D284" s="10">
        <v>2</v>
      </c>
      <c r="E284">
        <v>8</v>
      </c>
    </row>
    <row r="285" spans="3:5" x14ac:dyDescent="0.2">
      <c r="C285" s="11" t="s">
        <v>600</v>
      </c>
      <c r="D285" s="10">
        <v>2</v>
      </c>
      <c r="E285">
        <v>3</v>
      </c>
    </row>
    <row r="286" spans="3:5" x14ac:dyDescent="0.2">
      <c r="C286" s="11" t="s">
        <v>601</v>
      </c>
      <c r="D286" s="10">
        <v>4</v>
      </c>
      <c r="E286">
        <v>10</v>
      </c>
    </row>
    <row r="287" spans="3:5" x14ac:dyDescent="0.2">
      <c r="C287" s="11" t="s">
        <v>602</v>
      </c>
      <c r="D287" s="10">
        <v>2</v>
      </c>
      <c r="E287">
        <v>6</v>
      </c>
    </row>
    <row r="288" spans="3:5" x14ac:dyDescent="0.2">
      <c r="C288" s="11" t="s">
        <v>603</v>
      </c>
      <c r="D288" s="10">
        <v>2</v>
      </c>
      <c r="E288">
        <v>8</v>
      </c>
    </row>
    <row r="289" spans="3:5" x14ac:dyDescent="0.2">
      <c r="C289" s="11" t="s">
        <v>604</v>
      </c>
      <c r="D289" s="10">
        <v>4</v>
      </c>
      <c r="E289">
        <v>7</v>
      </c>
    </row>
    <row r="290" spans="3:5" x14ac:dyDescent="0.2">
      <c r="C290" s="11" t="s">
        <v>605</v>
      </c>
      <c r="D290" s="10">
        <v>4</v>
      </c>
      <c r="E290">
        <v>10</v>
      </c>
    </row>
    <row r="291" spans="3:5" x14ac:dyDescent="0.2">
      <c r="C291" s="11" t="s">
        <v>606</v>
      </c>
      <c r="D291" s="10">
        <v>4</v>
      </c>
      <c r="E291">
        <v>9</v>
      </c>
    </row>
    <row r="292" spans="3:5" x14ac:dyDescent="0.2">
      <c r="C292" s="11" t="s">
        <v>607</v>
      </c>
      <c r="D292" s="10">
        <v>4</v>
      </c>
      <c r="E292">
        <v>7</v>
      </c>
    </row>
    <row r="293" spans="3:5" x14ac:dyDescent="0.2">
      <c r="C293" s="11" t="s">
        <v>608</v>
      </c>
      <c r="D293" s="10">
        <v>2</v>
      </c>
      <c r="E293">
        <v>6</v>
      </c>
    </row>
    <row r="294" spans="3:5" x14ac:dyDescent="0.2">
      <c r="C294" s="11" t="s">
        <v>609</v>
      </c>
      <c r="D294" s="10">
        <v>4</v>
      </c>
      <c r="E294">
        <v>9</v>
      </c>
    </row>
    <row r="295" spans="3:5" x14ac:dyDescent="0.2">
      <c r="C295" s="11" t="s">
        <v>610</v>
      </c>
      <c r="D295" s="10">
        <v>4</v>
      </c>
      <c r="E295">
        <v>9</v>
      </c>
    </row>
    <row r="296" spans="3:5" x14ac:dyDescent="0.2">
      <c r="C296" s="11" t="s">
        <v>611</v>
      </c>
      <c r="D296" s="10">
        <v>2</v>
      </c>
      <c r="E296">
        <v>3</v>
      </c>
    </row>
    <row r="297" spans="3:5" x14ac:dyDescent="0.2">
      <c r="C297" s="11" t="s">
        <v>612</v>
      </c>
      <c r="D297" s="10">
        <v>2</v>
      </c>
      <c r="E297">
        <v>3</v>
      </c>
    </row>
    <row r="298" spans="3:5" x14ac:dyDescent="0.2">
      <c r="C298" s="11" t="s">
        <v>613</v>
      </c>
      <c r="D298" s="10">
        <v>2</v>
      </c>
      <c r="E298">
        <v>3</v>
      </c>
    </row>
    <row r="299" spans="3:5" x14ac:dyDescent="0.2">
      <c r="C299" s="11" t="s">
        <v>614</v>
      </c>
      <c r="D299" s="10">
        <v>4</v>
      </c>
      <c r="E299">
        <v>7</v>
      </c>
    </row>
    <row r="300" spans="3:5" x14ac:dyDescent="0.2">
      <c r="C300" s="11" t="s">
        <v>615</v>
      </c>
      <c r="D300" s="10">
        <v>2</v>
      </c>
      <c r="E300">
        <v>8</v>
      </c>
    </row>
    <row r="301" spans="3:5" x14ac:dyDescent="0.2">
      <c r="C301" s="11" t="s">
        <v>616</v>
      </c>
      <c r="D301" s="10">
        <v>2</v>
      </c>
      <c r="E301">
        <v>3</v>
      </c>
    </row>
    <row r="302" spans="3:5" x14ac:dyDescent="0.2">
      <c r="C302" s="11" t="s">
        <v>617</v>
      </c>
      <c r="D302" s="10">
        <v>2</v>
      </c>
      <c r="E302">
        <v>8</v>
      </c>
    </row>
    <row r="303" spans="3:5" x14ac:dyDescent="0.2">
      <c r="C303" s="11" t="s">
        <v>618</v>
      </c>
      <c r="D303" s="10">
        <v>2</v>
      </c>
      <c r="E303">
        <v>3</v>
      </c>
    </row>
    <row r="304" spans="3:5" x14ac:dyDescent="0.2">
      <c r="C304" s="11" t="s">
        <v>619</v>
      </c>
      <c r="D304" s="10">
        <v>2</v>
      </c>
      <c r="E304">
        <v>6</v>
      </c>
    </row>
    <row r="305" spans="3:5" x14ac:dyDescent="0.2">
      <c r="C305" s="11" t="s">
        <v>620</v>
      </c>
      <c r="D305" s="10">
        <v>4</v>
      </c>
      <c r="E305">
        <v>10</v>
      </c>
    </row>
    <row r="306" spans="3:5" x14ac:dyDescent="0.2">
      <c r="C306" s="11" t="s">
        <v>621</v>
      </c>
      <c r="D306" s="10">
        <v>3</v>
      </c>
      <c r="E306">
        <v>4</v>
      </c>
    </row>
    <row r="307" spans="3:5" x14ac:dyDescent="0.2">
      <c r="C307" s="11" t="s">
        <v>622</v>
      </c>
      <c r="D307" s="10">
        <v>2</v>
      </c>
      <c r="E307">
        <v>8</v>
      </c>
    </row>
    <row r="308" spans="3:5" x14ac:dyDescent="0.2">
      <c r="C308" s="11" t="s">
        <v>623</v>
      </c>
      <c r="D308" s="10">
        <v>2</v>
      </c>
      <c r="E308">
        <v>6</v>
      </c>
    </row>
    <row r="309" spans="3:5" x14ac:dyDescent="0.2">
      <c r="C309" s="11" t="s">
        <v>624</v>
      </c>
      <c r="D309" s="10">
        <v>2</v>
      </c>
      <c r="E309">
        <v>3</v>
      </c>
    </row>
    <row r="310" spans="3:5" x14ac:dyDescent="0.2">
      <c r="C310" s="11" t="s">
        <v>625</v>
      </c>
      <c r="D310" s="10">
        <v>2</v>
      </c>
      <c r="E310">
        <v>8</v>
      </c>
    </row>
    <row r="311" spans="3:5" x14ac:dyDescent="0.2">
      <c r="C311" s="11" t="s">
        <v>626</v>
      </c>
      <c r="D311" s="10">
        <v>2</v>
      </c>
      <c r="E311">
        <v>8</v>
      </c>
    </row>
    <row r="312" spans="3:5" x14ac:dyDescent="0.2">
      <c r="C312" s="11" t="s">
        <v>627</v>
      </c>
      <c r="D312" s="10">
        <v>2</v>
      </c>
      <c r="E312">
        <v>3</v>
      </c>
    </row>
    <row r="313" spans="3:5" x14ac:dyDescent="0.2">
      <c r="C313" s="11" t="s">
        <v>628</v>
      </c>
      <c r="D313" s="10">
        <v>2</v>
      </c>
      <c r="E313">
        <v>8</v>
      </c>
    </row>
    <row r="314" spans="3:5" x14ac:dyDescent="0.2">
      <c r="C314" s="11" t="s">
        <v>629</v>
      </c>
      <c r="D314" s="10">
        <v>2</v>
      </c>
      <c r="E314">
        <v>3</v>
      </c>
    </row>
    <row r="315" spans="3:5" x14ac:dyDescent="0.2">
      <c r="C315" s="11" t="s">
        <v>630</v>
      </c>
      <c r="D315" s="10">
        <v>2</v>
      </c>
      <c r="E315">
        <v>3</v>
      </c>
    </row>
    <row r="316" spans="3:5" x14ac:dyDescent="0.2">
      <c r="C316" s="11" t="s">
        <v>631</v>
      </c>
      <c r="D316" s="10">
        <v>2</v>
      </c>
      <c r="E316">
        <v>6</v>
      </c>
    </row>
    <row r="317" spans="3:5" x14ac:dyDescent="0.2">
      <c r="C317" s="11" t="s">
        <v>632</v>
      </c>
      <c r="D317" s="10">
        <v>2</v>
      </c>
      <c r="E317">
        <v>3</v>
      </c>
    </row>
    <row r="318" spans="3:5" x14ac:dyDescent="0.2">
      <c r="C318" s="11" t="s">
        <v>633</v>
      </c>
      <c r="D318" s="10">
        <v>2</v>
      </c>
      <c r="E318">
        <v>3</v>
      </c>
    </row>
    <row r="319" spans="3:5" x14ac:dyDescent="0.2">
      <c r="C319" s="11" t="s">
        <v>634</v>
      </c>
      <c r="D319" s="10">
        <v>2</v>
      </c>
      <c r="E319">
        <v>8</v>
      </c>
    </row>
    <row r="322" spans="4:4" x14ac:dyDescent="0.2">
      <c r="D322">
        <f>COUNTIF(Table11[Cluster],1)</f>
        <v>37</v>
      </c>
    </row>
    <row r="323" spans="4:4" x14ac:dyDescent="0.2">
      <c r="D323">
        <f>COUNTIF(Table11[Cluster],2)</f>
        <v>153</v>
      </c>
    </row>
    <row r="324" spans="4:4" x14ac:dyDescent="0.2">
      <c r="D324">
        <f>COUNTIF(Table11[Cluster],3)</f>
        <v>61</v>
      </c>
    </row>
    <row r="325" spans="4:4" x14ac:dyDescent="0.2">
      <c r="D325">
        <f>COUNTIF(Table11[Cluster],4)</f>
        <v>56</v>
      </c>
    </row>
  </sheetData>
  <mergeCells count="6">
    <mergeCell ref="L3:O3"/>
    <mergeCell ref="B4:C4"/>
    <mergeCell ref="D4:E4"/>
    <mergeCell ref="F4:G4"/>
    <mergeCell ref="H4:I4"/>
    <mergeCell ref="B3:I3"/>
  </mergeCells>
  <hyperlinks>
    <hyperlink ref="B4" location="'HC_Clusters'!$B$10:$B$10" display="Cluster Labels" xr:uid="{A5B1B816-7D78-8B4D-B9EB-871C1A208ADD}"/>
    <hyperlink ref="D4" location="'HC_Dendrogram'!$B$10:$B$10" display="Dendrogram" xr:uid="{E49EB4A0-1E56-864F-AFA9-1A42DC0DE29D}"/>
    <hyperlink ref="F4" location="'HC_Output'!$B$10:$B$10" display="Inputs" xr:uid="{06DF9D5F-1F42-2544-893B-7AB5338868DE}"/>
    <hyperlink ref="H4" location="'HC_Output'!$B$36:$B$36" display="Clustering Stages" xr:uid="{9CF703C8-7DA9-704E-A4FE-730FD242013A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44273-E5AC-F543-A3D3-D6B56A65975F}">
  <dimension ref="B1:CD80"/>
  <sheetViews>
    <sheetView showGridLines="0" tabSelected="1" workbookViewId="0">
      <selection activeCell="L8" sqref="L8"/>
    </sheetView>
  </sheetViews>
  <sheetFormatPr baseColWidth="10" defaultRowHeight="13" x14ac:dyDescent="0.2"/>
  <cols>
    <col min="12" max="12" width="13.83203125" bestFit="1" customWidth="1"/>
  </cols>
  <sheetData>
    <row r="1" spans="2:82" ht="19" x14ac:dyDescent="0.25">
      <c r="B1" s="8" t="s">
        <v>667</v>
      </c>
      <c r="N1" t="s">
        <v>679</v>
      </c>
      <c r="CA1" s="15">
        <v>1</v>
      </c>
      <c r="CB1" s="15">
        <v>0</v>
      </c>
      <c r="CC1" s="15">
        <v>1</v>
      </c>
      <c r="CD1" s="15">
        <v>7</v>
      </c>
    </row>
    <row r="2" spans="2:82" x14ac:dyDescent="0.2">
      <c r="CA2" s="15">
        <v>1</v>
      </c>
      <c r="CB2" s="15">
        <v>57638.664614412293</v>
      </c>
      <c r="CC2" s="15">
        <v>2</v>
      </c>
      <c r="CD2" s="15">
        <v>9</v>
      </c>
    </row>
    <row r="3" spans="2:82" ht="16" x14ac:dyDescent="0.2">
      <c r="B3" s="20" t="s">
        <v>316</v>
      </c>
      <c r="C3" s="20"/>
      <c r="D3" s="20"/>
      <c r="E3" s="20"/>
      <c r="F3" s="20"/>
      <c r="G3" s="20"/>
      <c r="H3" s="20"/>
      <c r="I3" s="20"/>
      <c r="L3" s="21" t="s">
        <v>319</v>
      </c>
      <c r="M3" s="21"/>
      <c r="N3" s="21"/>
      <c r="O3" s="21"/>
      <c r="CC3" s="15">
        <v>3</v>
      </c>
      <c r="CD3" s="15">
        <v>10</v>
      </c>
    </row>
    <row r="4" spans="2:82" ht="14" x14ac:dyDescent="0.2">
      <c r="B4" s="19" t="s">
        <v>317</v>
      </c>
      <c r="C4" s="19"/>
      <c r="D4" s="19" t="s">
        <v>680</v>
      </c>
      <c r="E4" s="19"/>
      <c r="F4" s="19" t="s">
        <v>635</v>
      </c>
      <c r="G4" s="19"/>
      <c r="H4" s="19" t="s">
        <v>681</v>
      </c>
      <c r="I4" s="19"/>
      <c r="L4" s="14" t="s">
        <v>320</v>
      </c>
      <c r="M4" s="14" t="s">
        <v>321</v>
      </c>
      <c r="N4" s="14" t="s">
        <v>322</v>
      </c>
      <c r="O4" s="14" t="s">
        <v>323</v>
      </c>
      <c r="CA4" s="15">
        <v>1</v>
      </c>
      <c r="CB4" s="15">
        <v>57638.664614412293</v>
      </c>
      <c r="CC4" s="15">
        <v>4</v>
      </c>
      <c r="CD4" s="15">
        <v>3</v>
      </c>
    </row>
    <row r="5" spans="2:82" x14ac:dyDescent="0.2">
      <c r="L5" s="12">
        <v>59</v>
      </c>
      <c r="M5" s="12">
        <v>16</v>
      </c>
      <c r="N5" s="12">
        <v>6</v>
      </c>
      <c r="O5" s="12">
        <v>81</v>
      </c>
      <c r="CA5" s="15">
        <v>2</v>
      </c>
      <c r="CB5" s="15">
        <v>57638.664614412293</v>
      </c>
      <c r="CC5" s="15">
        <v>5</v>
      </c>
      <c r="CD5" s="15">
        <v>6</v>
      </c>
    </row>
    <row r="6" spans="2:82" x14ac:dyDescent="0.2">
      <c r="CC6" s="15">
        <v>6</v>
      </c>
      <c r="CD6" s="15">
        <v>8</v>
      </c>
    </row>
    <row r="7" spans="2:82" x14ac:dyDescent="0.2">
      <c r="CA7" s="15">
        <v>2</v>
      </c>
      <c r="CB7" s="15">
        <v>57638.664614412293</v>
      </c>
      <c r="CC7" s="15">
        <v>7</v>
      </c>
      <c r="CD7" s="15">
        <v>1</v>
      </c>
    </row>
    <row r="8" spans="2:82" x14ac:dyDescent="0.2">
      <c r="CA8" s="15">
        <v>2</v>
      </c>
      <c r="CB8" s="15">
        <v>0</v>
      </c>
      <c r="CC8" s="15">
        <v>8</v>
      </c>
      <c r="CD8" s="15">
        <v>2</v>
      </c>
    </row>
    <row r="9" spans="2:82" x14ac:dyDescent="0.2">
      <c r="CC9" s="15">
        <v>9</v>
      </c>
      <c r="CD9" s="15">
        <v>4</v>
      </c>
    </row>
    <row r="10" spans="2:82" ht="16" x14ac:dyDescent="0.2">
      <c r="B10" s="20" t="s">
        <v>668</v>
      </c>
      <c r="C10" s="20"/>
      <c r="D10" s="20"/>
      <c r="E10" s="20"/>
      <c r="F10" s="20"/>
      <c r="G10" s="20"/>
      <c r="H10" s="20"/>
      <c r="I10" s="20"/>
      <c r="J10" s="20"/>
      <c r="K10" s="20"/>
      <c r="CA10" s="15">
        <v>5</v>
      </c>
      <c r="CB10" s="15">
        <v>0</v>
      </c>
      <c r="CC10" s="15">
        <v>10</v>
      </c>
      <c r="CD10" s="15">
        <v>5</v>
      </c>
    </row>
    <row r="11" spans="2:82" ht="30" x14ac:dyDescent="0.2">
      <c r="B11" s="18" t="s">
        <v>669</v>
      </c>
      <c r="C11" s="18" t="s">
        <v>670</v>
      </c>
      <c r="D11" s="18" t="s">
        <v>671</v>
      </c>
      <c r="E11" s="18" t="s">
        <v>672</v>
      </c>
      <c r="F11" s="18" t="s">
        <v>673</v>
      </c>
      <c r="G11" s="18" t="s">
        <v>674</v>
      </c>
      <c r="H11" s="18" t="s">
        <v>675</v>
      </c>
      <c r="I11" s="18" t="s">
        <v>676</v>
      </c>
      <c r="J11" s="18" t="s">
        <v>677</v>
      </c>
      <c r="K11" s="18" t="s">
        <v>678</v>
      </c>
      <c r="CA11" s="15">
        <v>5</v>
      </c>
      <c r="CB11" s="15">
        <v>63186.672104390418</v>
      </c>
    </row>
    <row r="12" spans="2:82" x14ac:dyDescent="0.2">
      <c r="B12" s="16">
        <v>1</v>
      </c>
      <c r="C12" s="16">
        <v>2</v>
      </c>
      <c r="D12" s="16">
        <v>4</v>
      </c>
      <c r="E12" s="16">
        <v>5</v>
      </c>
      <c r="F12" s="16">
        <v>12</v>
      </c>
      <c r="G12" s="16">
        <v>47</v>
      </c>
      <c r="H12" s="16">
        <v>53</v>
      </c>
      <c r="I12" s="16">
        <v>56</v>
      </c>
      <c r="J12" s="16">
        <v>57</v>
      </c>
      <c r="K12" s="17">
        <v>60</v>
      </c>
    </row>
    <row r="13" spans="2:82" x14ac:dyDescent="0.2">
      <c r="B13" s="13">
        <v>3</v>
      </c>
      <c r="C13" s="13">
        <v>9</v>
      </c>
      <c r="D13" s="13">
        <v>48</v>
      </c>
      <c r="E13" s="13">
        <v>6</v>
      </c>
      <c r="F13" s="13">
        <v>20</v>
      </c>
      <c r="G13" s="13">
        <v>49</v>
      </c>
      <c r="H13" s="13">
        <v>54</v>
      </c>
      <c r="I13" s="13">
        <v>58</v>
      </c>
      <c r="J13" s="13">
        <v>62</v>
      </c>
      <c r="K13" s="12">
        <v>68</v>
      </c>
      <c r="CA13" s="15">
        <v>5</v>
      </c>
      <c r="CB13" s="15">
        <v>63186.672104390418</v>
      </c>
    </row>
    <row r="14" spans="2:82" x14ac:dyDescent="0.2">
      <c r="B14" s="13">
        <v>8</v>
      </c>
      <c r="C14" s="13">
        <v>13</v>
      </c>
      <c r="D14" s="13">
        <v>59</v>
      </c>
      <c r="E14" s="13">
        <v>7</v>
      </c>
      <c r="F14" s="13">
        <v>21</v>
      </c>
      <c r="G14" s="13">
        <v>50</v>
      </c>
      <c r="H14" s="13">
        <v>55</v>
      </c>
      <c r="I14" s="13">
        <v>61</v>
      </c>
      <c r="J14" s="13">
        <v>99</v>
      </c>
      <c r="K14" s="12">
        <v>100</v>
      </c>
      <c r="CA14" s="15">
        <v>6</v>
      </c>
      <c r="CB14" s="15">
        <v>63186.672104390418</v>
      </c>
    </row>
    <row r="15" spans="2:82" x14ac:dyDescent="0.2">
      <c r="B15" s="13">
        <v>11</v>
      </c>
      <c r="C15" s="13">
        <v>16</v>
      </c>
      <c r="D15" s="13">
        <v>73</v>
      </c>
      <c r="E15" s="13">
        <v>10</v>
      </c>
      <c r="F15" s="13">
        <v>24</v>
      </c>
      <c r="G15" s="13">
        <v>65</v>
      </c>
      <c r="H15" s="13">
        <v>67</v>
      </c>
      <c r="I15" s="13">
        <v>63</v>
      </c>
      <c r="J15" s="13">
        <v>102</v>
      </c>
      <c r="K15" s="12">
        <v>101</v>
      </c>
    </row>
    <row r="16" spans="2:82" x14ac:dyDescent="0.2">
      <c r="B16" s="13">
        <v>17</v>
      </c>
      <c r="C16" s="13">
        <v>42</v>
      </c>
      <c r="D16" s="13">
        <v>78</v>
      </c>
      <c r="E16" s="13">
        <v>14</v>
      </c>
      <c r="F16" s="13">
        <v>25</v>
      </c>
      <c r="G16" s="13">
        <v>66</v>
      </c>
      <c r="H16" s="13">
        <v>74</v>
      </c>
      <c r="I16" s="13">
        <v>71</v>
      </c>
      <c r="J16" s="13">
        <v>104</v>
      </c>
      <c r="K16" s="12">
        <v>103</v>
      </c>
      <c r="CA16" s="15">
        <v>6</v>
      </c>
      <c r="CB16" s="15">
        <v>63186.672104390418</v>
      </c>
    </row>
    <row r="17" spans="2:80" x14ac:dyDescent="0.2">
      <c r="B17" s="13">
        <v>19</v>
      </c>
      <c r="C17" s="13">
        <v>43</v>
      </c>
      <c r="D17" s="13">
        <v>79</v>
      </c>
      <c r="E17" s="13">
        <v>15</v>
      </c>
      <c r="F17" s="13">
        <v>26</v>
      </c>
      <c r="G17" s="13">
        <v>69</v>
      </c>
      <c r="H17" s="13">
        <v>76</v>
      </c>
      <c r="I17" s="13">
        <v>75</v>
      </c>
      <c r="J17" s="13">
        <v>106</v>
      </c>
      <c r="K17" s="12">
        <v>125</v>
      </c>
      <c r="CA17" s="15">
        <v>6</v>
      </c>
      <c r="CB17" s="15">
        <v>0</v>
      </c>
    </row>
    <row r="18" spans="2:80" x14ac:dyDescent="0.2">
      <c r="B18" s="13">
        <v>22</v>
      </c>
      <c r="C18" s="13">
        <v>210</v>
      </c>
      <c r="D18" s="13">
        <v>80</v>
      </c>
      <c r="E18" s="13">
        <v>18</v>
      </c>
      <c r="F18" s="13">
        <v>27</v>
      </c>
      <c r="G18" s="13">
        <v>70</v>
      </c>
      <c r="H18" s="13">
        <v>81</v>
      </c>
      <c r="I18" s="13">
        <v>77</v>
      </c>
      <c r="J18" s="13">
        <v>136</v>
      </c>
      <c r="K18" s="12">
        <v>169</v>
      </c>
    </row>
    <row r="19" spans="2:80" x14ac:dyDescent="0.2">
      <c r="B19" s="13">
        <v>23</v>
      </c>
      <c r="C19" s="13">
        <v>216</v>
      </c>
      <c r="D19" s="13">
        <v>82</v>
      </c>
      <c r="E19" s="13">
        <v>31</v>
      </c>
      <c r="F19" s="13">
        <v>28</v>
      </c>
      <c r="G19" s="13">
        <v>72</v>
      </c>
      <c r="H19" s="13">
        <v>86</v>
      </c>
      <c r="I19" s="13">
        <v>83</v>
      </c>
      <c r="J19" s="13">
        <v>143</v>
      </c>
      <c r="K19" s="12">
        <v>176</v>
      </c>
      <c r="CA19" s="15">
        <v>9</v>
      </c>
      <c r="CB19" s="15">
        <v>0</v>
      </c>
    </row>
    <row r="20" spans="2:80" x14ac:dyDescent="0.2">
      <c r="B20" s="13">
        <v>32</v>
      </c>
      <c r="C20" s="13">
        <v>220</v>
      </c>
      <c r="D20" s="13">
        <v>85</v>
      </c>
      <c r="E20" s="13">
        <v>36</v>
      </c>
      <c r="F20" s="13">
        <v>29</v>
      </c>
      <c r="G20" s="13">
        <v>88</v>
      </c>
      <c r="H20" s="13">
        <v>105</v>
      </c>
      <c r="I20" s="13">
        <v>84</v>
      </c>
      <c r="J20" s="13">
        <v>153</v>
      </c>
      <c r="K20" s="12">
        <v>178</v>
      </c>
      <c r="CA20" s="15">
        <v>9</v>
      </c>
      <c r="CB20" s="15">
        <v>75895.685035012575</v>
      </c>
    </row>
    <row r="21" spans="2:80" x14ac:dyDescent="0.2">
      <c r="B21" s="13">
        <v>33</v>
      </c>
      <c r="C21" s="13">
        <v>231</v>
      </c>
      <c r="D21" s="13">
        <v>91</v>
      </c>
      <c r="E21" s="13">
        <v>38</v>
      </c>
      <c r="F21" s="13">
        <v>30</v>
      </c>
      <c r="G21" s="13">
        <v>95</v>
      </c>
      <c r="H21" s="13">
        <v>124</v>
      </c>
      <c r="I21" s="13">
        <v>87</v>
      </c>
      <c r="J21" s="13">
        <v>156</v>
      </c>
      <c r="K21" s="12">
        <v>189</v>
      </c>
    </row>
    <row r="22" spans="2:80" x14ac:dyDescent="0.2">
      <c r="B22" s="13">
        <v>34</v>
      </c>
      <c r="C22" s="13">
        <v>242</v>
      </c>
      <c r="D22" s="13">
        <v>94</v>
      </c>
      <c r="E22" s="13">
        <v>39</v>
      </c>
      <c r="F22" s="13">
        <v>46</v>
      </c>
      <c r="G22" s="13">
        <v>97</v>
      </c>
      <c r="H22" s="13">
        <v>137</v>
      </c>
      <c r="I22" s="13">
        <v>89</v>
      </c>
      <c r="J22" s="13">
        <v>167</v>
      </c>
      <c r="K22" s="12">
        <v>267</v>
      </c>
      <c r="CA22" s="15">
        <v>9</v>
      </c>
      <c r="CB22" s="15">
        <v>75895.685035012575</v>
      </c>
    </row>
    <row r="23" spans="2:80" x14ac:dyDescent="0.2">
      <c r="B23" s="12">
        <v>35</v>
      </c>
      <c r="D23" s="13">
        <v>98</v>
      </c>
      <c r="E23" s="13">
        <v>41</v>
      </c>
      <c r="F23" s="13">
        <v>206</v>
      </c>
      <c r="G23" s="13">
        <v>116</v>
      </c>
      <c r="H23" s="13">
        <v>138</v>
      </c>
      <c r="I23" s="13">
        <v>90</v>
      </c>
      <c r="J23" s="13">
        <v>262</v>
      </c>
      <c r="K23" s="12">
        <v>274</v>
      </c>
      <c r="CA23" s="15">
        <v>10</v>
      </c>
      <c r="CB23" s="15">
        <v>75895.685035012575</v>
      </c>
    </row>
    <row r="24" spans="2:80" x14ac:dyDescent="0.2">
      <c r="B24" s="12">
        <v>37</v>
      </c>
      <c r="D24" s="13">
        <v>108</v>
      </c>
      <c r="E24" s="13">
        <v>45</v>
      </c>
      <c r="F24" s="13">
        <v>207</v>
      </c>
      <c r="G24" s="13">
        <v>122</v>
      </c>
      <c r="H24" s="13">
        <v>160</v>
      </c>
      <c r="I24" s="13">
        <v>92</v>
      </c>
      <c r="J24" s="13">
        <v>264</v>
      </c>
      <c r="K24" s="12">
        <v>278</v>
      </c>
    </row>
    <row r="25" spans="2:80" x14ac:dyDescent="0.2">
      <c r="B25" s="12">
        <v>40</v>
      </c>
      <c r="D25" s="13">
        <v>110</v>
      </c>
      <c r="E25" s="13">
        <v>51</v>
      </c>
      <c r="F25" s="13">
        <v>212</v>
      </c>
      <c r="G25" s="13">
        <v>126</v>
      </c>
      <c r="H25" s="13">
        <v>162</v>
      </c>
      <c r="I25" s="13">
        <v>93</v>
      </c>
      <c r="J25" s="13">
        <v>271</v>
      </c>
      <c r="K25" s="12">
        <v>293</v>
      </c>
      <c r="CA25" s="15">
        <v>10</v>
      </c>
      <c r="CB25" s="15">
        <v>75895.685035012575</v>
      </c>
    </row>
    <row r="26" spans="2:80" x14ac:dyDescent="0.2">
      <c r="B26" s="12">
        <v>44</v>
      </c>
      <c r="D26" s="13">
        <v>111</v>
      </c>
      <c r="E26" s="13">
        <v>52</v>
      </c>
      <c r="F26" s="13">
        <v>222</v>
      </c>
      <c r="G26" s="13">
        <v>129</v>
      </c>
      <c r="H26" s="13">
        <v>168</v>
      </c>
      <c r="I26" s="13">
        <v>96</v>
      </c>
      <c r="J26" s="12">
        <v>279</v>
      </c>
      <c r="CA26" s="15">
        <v>10</v>
      </c>
      <c r="CB26" s="15">
        <v>0</v>
      </c>
    </row>
    <row r="27" spans="2:80" x14ac:dyDescent="0.2">
      <c r="B27" s="12">
        <v>209</v>
      </c>
      <c r="D27" s="13">
        <v>112</v>
      </c>
      <c r="E27" s="13">
        <v>64</v>
      </c>
      <c r="F27" s="13">
        <v>227</v>
      </c>
      <c r="G27" s="13">
        <v>132</v>
      </c>
      <c r="H27" s="13">
        <v>188</v>
      </c>
      <c r="I27" s="13">
        <v>107</v>
      </c>
      <c r="J27" s="12">
        <v>282</v>
      </c>
    </row>
    <row r="28" spans="2:80" x14ac:dyDescent="0.2">
      <c r="B28" s="12">
        <v>211</v>
      </c>
      <c r="D28" s="13">
        <v>113</v>
      </c>
      <c r="E28" s="13">
        <v>123</v>
      </c>
      <c r="F28" s="13">
        <v>229</v>
      </c>
      <c r="G28" s="13">
        <v>135</v>
      </c>
      <c r="H28" s="13">
        <v>201</v>
      </c>
      <c r="I28" s="13">
        <v>109</v>
      </c>
      <c r="J28" s="12">
        <v>283</v>
      </c>
      <c r="CA28" s="15">
        <v>7</v>
      </c>
      <c r="CB28" s="15">
        <v>0</v>
      </c>
    </row>
    <row r="29" spans="2:80" x14ac:dyDescent="0.2">
      <c r="B29" s="12">
        <v>221</v>
      </c>
      <c r="D29" s="13">
        <v>114</v>
      </c>
      <c r="E29" s="13">
        <v>134</v>
      </c>
      <c r="F29" s="13">
        <v>234</v>
      </c>
      <c r="G29" s="13">
        <v>139</v>
      </c>
      <c r="H29" s="13">
        <v>202</v>
      </c>
      <c r="I29" s="12">
        <v>115</v>
      </c>
      <c r="CA29" s="15">
        <v>7</v>
      </c>
      <c r="CB29" s="15">
        <v>116857.89384681219</v>
      </c>
    </row>
    <row r="30" spans="2:80" x14ac:dyDescent="0.2">
      <c r="B30" s="12">
        <v>224</v>
      </c>
      <c r="D30" s="13">
        <v>127</v>
      </c>
      <c r="E30" s="13">
        <v>163</v>
      </c>
      <c r="F30" s="13">
        <v>237</v>
      </c>
      <c r="G30" s="13">
        <v>141</v>
      </c>
      <c r="H30" s="13">
        <v>203</v>
      </c>
      <c r="I30" s="12">
        <v>117</v>
      </c>
    </row>
    <row r="31" spans="2:80" x14ac:dyDescent="0.2">
      <c r="B31" s="12">
        <v>233</v>
      </c>
      <c r="D31" s="13">
        <v>144</v>
      </c>
      <c r="E31" s="13">
        <v>185</v>
      </c>
      <c r="F31" s="13">
        <v>238</v>
      </c>
      <c r="G31" s="13">
        <v>142</v>
      </c>
      <c r="H31" s="13">
        <v>248</v>
      </c>
      <c r="I31" s="12">
        <v>118</v>
      </c>
      <c r="CA31" s="15">
        <v>7</v>
      </c>
      <c r="CB31" s="15">
        <v>116857.89384681219</v>
      </c>
    </row>
    <row r="32" spans="2:80" x14ac:dyDescent="0.2">
      <c r="B32" s="12">
        <v>240</v>
      </c>
      <c r="D32" s="13">
        <v>147</v>
      </c>
      <c r="E32" s="13">
        <v>190</v>
      </c>
      <c r="F32" s="13">
        <v>239</v>
      </c>
      <c r="G32" s="13">
        <v>149</v>
      </c>
      <c r="H32" s="13">
        <v>249</v>
      </c>
      <c r="I32" s="12">
        <v>119</v>
      </c>
      <c r="CA32" s="15">
        <v>8</v>
      </c>
      <c r="CB32" s="15">
        <v>116857.89384681219</v>
      </c>
    </row>
    <row r="33" spans="2:80" x14ac:dyDescent="0.2">
      <c r="B33" s="12">
        <v>241</v>
      </c>
      <c r="D33" s="13">
        <v>148</v>
      </c>
      <c r="E33" s="12">
        <v>194</v>
      </c>
      <c r="G33" s="13">
        <v>157</v>
      </c>
      <c r="H33" s="13">
        <v>263</v>
      </c>
      <c r="I33" s="12">
        <v>120</v>
      </c>
    </row>
    <row r="34" spans="2:80" x14ac:dyDescent="0.2">
      <c r="B34" s="12">
        <v>243</v>
      </c>
      <c r="D34" s="13">
        <v>152</v>
      </c>
      <c r="E34" s="12">
        <v>208</v>
      </c>
      <c r="G34" s="13">
        <v>158</v>
      </c>
      <c r="H34" s="13">
        <v>277</v>
      </c>
      <c r="I34" s="12">
        <v>121</v>
      </c>
      <c r="CA34" s="15">
        <v>8</v>
      </c>
      <c r="CB34" s="15">
        <v>116857.89384681219</v>
      </c>
    </row>
    <row r="35" spans="2:80" x14ac:dyDescent="0.2">
      <c r="B35" s="12">
        <v>244</v>
      </c>
      <c r="D35" s="13">
        <v>155</v>
      </c>
      <c r="E35" s="12">
        <v>213</v>
      </c>
      <c r="G35" s="13">
        <v>164</v>
      </c>
      <c r="H35" s="13">
        <v>280</v>
      </c>
      <c r="I35" s="12">
        <v>128</v>
      </c>
      <c r="CA35" s="15">
        <v>8</v>
      </c>
      <c r="CB35" s="15">
        <v>0</v>
      </c>
    </row>
    <row r="36" spans="2:80" x14ac:dyDescent="0.2">
      <c r="B36" s="12">
        <v>245</v>
      </c>
      <c r="D36" s="13">
        <v>161</v>
      </c>
      <c r="E36" s="12">
        <v>214</v>
      </c>
      <c r="G36" s="13">
        <v>180</v>
      </c>
      <c r="H36" s="13">
        <v>287</v>
      </c>
      <c r="I36" s="12">
        <v>130</v>
      </c>
    </row>
    <row r="37" spans="2:80" x14ac:dyDescent="0.2">
      <c r="B37" s="12">
        <v>247</v>
      </c>
      <c r="D37" s="13">
        <v>165</v>
      </c>
      <c r="E37" s="12">
        <v>215</v>
      </c>
      <c r="G37" s="12">
        <v>183</v>
      </c>
      <c r="I37" s="12">
        <v>131</v>
      </c>
      <c r="CA37" s="15">
        <v>1.5</v>
      </c>
      <c r="CB37" s="15">
        <v>57638.664614412293</v>
      </c>
    </row>
    <row r="38" spans="2:80" x14ac:dyDescent="0.2">
      <c r="D38" s="13">
        <v>166</v>
      </c>
      <c r="E38" s="12">
        <v>217</v>
      </c>
      <c r="G38" s="12">
        <v>187</v>
      </c>
      <c r="I38" s="12">
        <v>133</v>
      </c>
      <c r="CA38" s="15">
        <v>1.5</v>
      </c>
      <c r="CB38" s="15">
        <v>126767.09593361341</v>
      </c>
    </row>
    <row r="39" spans="2:80" x14ac:dyDescent="0.2">
      <c r="D39" s="13">
        <v>170</v>
      </c>
      <c r="E39" s="12">
        <v>218</v>
      </c>
      <c r="G39" s="12">
        <v>192</v>
      </c>
      <c r="I39" s="12">
        <v>140</v>
      </c>
    </row>
    <row r="40" spans="2:80" x14ac:dyDescent="0.2">
      <c r="D40" s="13">
        <v>172</v>
      </c>
      <c r="E40" s="12">
        <v>219</v>
      </c>
      <c r="G40" s="12">
        <v>193</v>
      </c>
      <c r="I40" s="12">
        <v>145</v>
      </c>
      <c r="CA40" s="15">
        <v>1.5</v>
      </c>
      <c r="CB40" s="15">
        <v>126767.09593361341</v>
      </c>
    </row>
    <row r="41" spans="2:80" x14ac:dyDescent="0.2">
      <c r="D41" s="13">
        <v>177</v>
      </c>
      <c r="E41" s="12">
        <v>223</v>
      </c>
      <c r="G41" s="12">
        <v>195</v>
      </c>
      <c r="I41" s="12">
        <v>146</v>
      </c>
      <c r="CA41" s="15">
        <v>3</v>
      </c>
      <c r="CB41" s="15">
        <v>126767.09593361341</v>
      </c>
    </row>
    <row r="42" spans="2:80" x14ac:dyDescent="0.2">
      <c r="D42" s="13">
        <v>179</v>
      </c>
      <c r="E42" s="12">
        <v>225</v>
      </c>
      <c r="G42" s="12">
        <v>197</v>
      </c>
      <c r="I42" s="12">
        <v>150</v>
      </c>
    </row>
    <row r="43" spans="2:80" x14ac:dyDescent="0.2">
      <c r="D43" s="13">
        <v>182</v>
      </c>
      <c r="E43" s="12">
        <v>226</v>
      </c>
      <c r="G43" s="12">
        <v>198</v>
      </c>
      <c r="I43" s="12">
        <v>151</v>
      </c>
      <c r="CA43" s="15">
        <v>3</v>
      </c>
      <c r="CB43" s="15">
        <v>126767.09593361341</v>
      </c>
    </row>
    <row r="44" spans="2:80" x14ac:dyDescent="0.2">
      <c r="D44" s="13">
        <v>199</v>
      </c>
      <c r="E44" s="12">
        <v>228</v>
      </c>
      <c r="G44" s="12">
        <v>265</v>
      </c>
      <c r="I44" s="12">
        <v>154</v>
      </c>
      <c r="CA44" s="15">
        <v>3</v>
      </c>
      <c r="CB44" s="15">
        <v>0</v>
      </c>
    </row>
    <row r="45" spans="2:80" x14ac:dyDescent="0.2">
      <c r="D45" s="13">
        <v>200</v>
      </c>
      <c r="E45" s="12">
        <v>230</v>
      </c>
      <c r="G45" s="12">
        <v>266</v>
      </c>
      <c r="I45" s="12">
        <v>159</v>
      </c>
    </row>
    <row r="46" spans="2:80" x14ac:dyDescent="0.2">
      <c r="D46" s="13">
        <v>204</v>
      </c>
      <c r="E46" s="12">
        <v>232</v>
      </c>
      <c r="G46" s="12">
        <v>275</v>
      </c>
      <c r="I46" s="12">
        <v>171</v>
      </c>
      <c r="CA46" s="15">
        <v>4</v>
      </c>
      <c r="CB46" s="15">
        <v>0</v>
      </c>
    </row>
    <row r="47" spans="2:80" x14ac:dyDescent="0.2">
      <c r="D47" s="13">
        <v>250</v>
      </c>
      <c r="E47" s="12">
        <v>235</v>
      </c>
      <c r="G47" s="12">
        <v>281</v>
      </c>
      <c r="I47" s="12">
        <v>173</v>
      </c>
      <c r="CA47" s="15">
        <v>4</v>
      </c>
      <c r="CB47" s="15">
        <v>166515.25913932602</v>
      </c>
    </row>
    <row r="48" spans="2:80" x14ac:dyDescent="0.2">
      <c r="D48" s="13">
        <v>251</v>
      </c>
      <c r="E48" s="12">
        <v>236</v>
      </c>
      <c r="G48" s="12">
        <v>292</v>
      </c>
      <c r="I48" s="12">
        <v>174</v>
      </c>
    </row>
    <row r="49" spans="4:80" x14ac:dyDescent="0.2">
      <c r="D49" s="13">
        <v>252</v>
      </c>
      <c r="E49" s="12">
        <v>246</v>
      </c>
      <c r="G49" s="12">
        <v>296</v>
      </c>
      <c r="I49" s="12">
        <v>175</v>
      </c>
      <c r="CA49" s="15">
        <v>4</v>
      </c>
      <c r="CB49" s="15">
        <v>166515.25913932602</v>
      </c>
    </row>
    <row r="50" spans="4:80" x14ac:dyDescent="0.2">
      <c r="D50" s="13">
        <v>253</v>
      </c>
      <c r="E50" s="12">
        <v>257</v>
      </c>
      <c r="G50" s="12">
        <v>304</v>
      </c>
      <c r="I50" s="12">
        <v>181</v>
      </c>
      <c r="CA50" s="15">
        <v>5.5</v>
      </c>
      <c r="CB50" s="15">
        <v>166515.25913932602</v>
      </c>
    </row>
    <row r="51" spans="4:80" x14ac:dyDescent="0.2">
      <c r="D51" s="13">
        <v>254</v>
      </c>
      <c r="E51" s="12">
        <v>294</v>
      </c>
      <c r="I51" s="12">
        <v>184</v>
      </c>
    </row>
    <row r="52" spans="4:80" x14ac:dyDescent="0.2">
      <c r="D52" s="12">
        <v>256</v>
      </c>
      <c r="I52" s="12">
        <v>186</v>
      </c>
      <c r="CA52" s="15">
        <v>5.5</v>
      </c>
      <c r="CB52" s="15">
        <v>166515.25913932602</v>
      </c>
    </row>
    <row r="53" spans="4:80" x14ac:dyDescent="0.2">
      <c r="D53" s="12">
        <v>258</v>
      </c>
      <c r="I53" s="12">
        <v>191</v>
      </c>
      <c r="CA53" s="15">
        <v>5.5</v>
      </c>
      <c r="CB53" s="15">
        <v>63186.672104390418</v>
      </c>
    </row>
    <row r="54" spans="4:80" x14ac:dyDescent="0.2">
      <c r="D54" s="12">
        <v>259</v>
      </c>
      <c r="I54" s="12">
        <v>196</v>
      </c>
    </row>
    <row r="55" spans="4:80" x14ac:dyDescent="0.2">
      <c r="D55" s="12">
        <v>260</v>
      </c>
      <c r="I55" s="12">
        <v>205</v>
      </c>
      <c r="CA55" s="15">
        <v>7.5</v>
      </c>
      <c r="CB55" s="15">
        <v>116857.89384681219</v>
      </c>
    </row>
    <row r="56" spans="4:80" x14ac:dyDescent="0.2">
      <c r="D56" s="12">
        <v>261</v>
      </c>
      <c r="I56" s="12">
        <v>255</v>
      </c>
      <c r="CA56" s="15">
        <v>7.5</v>
      </c>
      <c r="CB56" s="15">
        <v>340757.38062655623</v>
      </c>
    </row>
    <row r="57" spans="4:80" x14ac:dyDescent="0.2">
      <c r="D57" s="12">
        <v>268</v>
      </c>
      <c r="I57" s="12">
        <v>269</v>
      </c>
    </row>
    <row r="58" spans="4:80" x14ac:dyDescent="0.2">
      <c r="D58" s="12">
        <v>270</v>
      </c>
      <c r="I58" s="12">
        <v>272</v>
      </c>
      <c r="CA58" s="15">
        <v>7.5</v>
      </c>
      <c r="CB58" s="15">
        <v>340757.38062655623</v>
      </c>
    </row>
    <row r="59" spans="4:80" x14ac:dyDescent="0.2">
      <c r="D59" s="12">
        <v>273</v>
      </c>
      <c r="I59" s="12">
        <v>276</v>
      </c>
      <c r="CA59" s="15">
        <v>9.5</v>
      </c>
      <c r="CB59" s="15">
        <v>340757.38062655623</v>
      </c>
    </row>
    <row r="60" spans="4:80" x14ac:dyDescent="0.2">
      <c r="D60" s="12">
        <v>284</v>
      </c>
      <c r="I60" s="12">
        <v>288</v>
      </c>
    </row>
    <row r="61" spans="4:80" x14ac:dyDescent="0.2">
      <c r="D61" s="12">
        <v>285</v>
      </c>
      <c r="I61" s="12">
        <v>290</v>
      </c>
      <c r="CA61" s="15">
        <v>9.5</v>
      </c>
      <c r="CB61" s="15">
        <v>340757.38062655623</v>
      </c>
    </row>
    <row r="62" spans="4:80" x14ac:dyDescent="0.2">
      <c r="D62" s="12">
        <v>286</v>
      </c>
      <c r="I62" s="12">
        <v>295</v>
      </c>
      <c r="CA62" s="15">
        <v>9.5</v>
      </c>
      <c r="CB62" s="15">
        <v>75895.685035012575</v>
      </c>
    </row>
    <row r="63" spans="4:80" x14ac:dyDescent="0.2">
      <c r="D63" s="12">
        <v>289</v>
      </c>
      <c r="I63" s="12">
        <v>298</v>
      </c>
    </row>
    <row r="64" spans="4:80" x14ac:dyDescent="0.2">
      <c r="D64" s="12">
        <v>291</v>
      </c>
      <c r="I64" s="12">
        <v>299</v>
      </c>
      <c r="CA64" s="15">
        <v>4.75</v>
      </c>
      <c r="CB64" s="15">
        <v>166515.25913932602</v>
      </c>
    </row>
    <row r="65" spans="4:80" x14ac:dyDescent="0.2">
      <c r="D65" s="12">
        <v>297</v>
      </c>
      <c r="I65" s="12">
        <v>301</v>
      </c>
      <c r="CA65" s="15">
        <v>4.75</v>
      </c>
      <c r="CB65" s="15">
        <v>475736.64335071412</v>
      </c>
    </row>
    <row r="66" spans="4:80" x14ac:dyDescent="0.2">
      <c r="D66" s="12">
        <v>300</v>
      </c>
      <c r="I66" s="12">
        <v>307</v>
      </c>
    </row>
    <row r="67" spans="4:80" x14ac:dyDescent="0.2">
      <c r="D67" s="12">
        <v>302</v>
      </c>
      <c r="CA67" s="15">
        <v>4.75</v>
      </c>
      <c r="CB67" s="15">
        <v>475736.64335071412</v>
      </c>
    </row>
    <row r="68" spans="4:80" x14ac:dyDescent="0.2">
      <c r="D68" s="12">
        <v>303</v>
      </c>
      <c r="CA68" s="15">
        <v>2.25</v>
      </c>
      <c r="CB68" s="15">
        <v>475736.64335071412</v>
      </c>
    </row>
    <row r="69" spans="4:80" x14ac:dyDescent="0.2">
      <c r="D69" s="12">
        <v>305</v>
      </c>
    </row>
    <row r="70" spans="4:80" x14ac:dyDescent="0.2">
      <c r="D70" s="12">
        <v>306</v>
      </c>
      <c r="CA70" s="15">
        <v>2.25</v>
      </c>
      <c r="CB70" s="15">
        <v>475736.64335071412</v>
      </c>
    </row>
    <row r="71" spans="4:80" x14ac:dyDescent="0.2">
      <c r="CA71" s="15">
        <v>2.25</v>
      </c>
      <c r="CB71" s="15">
        <v>126767.09593361341</v>
      </c>
    </row>
    <row r="73" spans="4:80" x14ac:dyDescent="0.2">
      <c r="CA73" s="15">
        <v>8.5</v>
      </c>
      <c r="CB73" s="15">
        <v>340757.38062655623</v>
      </c>
    </row>
    <row r="74" spans="4:80" x14ac:dyDescent="0.2">
      <c r="CA74" s="15">
        <v>8.5</v>
      </c>
      <c r="CB74" s="15">
        <v>953160.30699940864</v>
      </c>
    </row>
    <row r="76" spans="4:80" x14ac:dyDescent="0.2">
      <c r="CA76" s="15">
        <v>8.5</v>
      </c>
      <c r="CB76" s="15">
        <v>953160.30699940864</v>
      </c>
    </row>
    <row r="77" spans="4:80" x14ac:dyDescent="0.2">
      <c r="CA77" s="15">
        <v>3.5</v>
      </c>
      <c r="CB77" s="15">
        <v>953160.30699940864</v>
      </c>
    </row>
    <row r="79" spans="4:80" x14ac:dyDescent="0.2">
      <c r="CA79" s="15">
        <v>3.5</v>
      </c>
      <c r="CB79" s="15">
        <v>953160.30699940864</v>
      </c>
    </row>
    <row r="80" spans="4:80" x14ac:dyDescent="0.2">
      <c r="CA80" s="15">
        <v>3.5</v>
      </c>
      <c r="CB80" s="15">
        <v>475736.64335071412</v>
      </c>
    </row>
  </sheetData>
  <mergeCells count="7">
    <mergeCell ref="L3:O3"/>
    <mergeCell ref="B10:K10"/>
    <mergeCell ref="B4:C4"/>
    <mergeCell ref="D4:E4"/>
    <mergeCell ref="F4:G4"/>
    <mergeCell ref="H4:I4"/>
    <mergeCell ref="B3:I3"/>
  </mergeCells>
  <hyperlinks>
    <hyperlink ref="B4" location="'HC_Clusters'!$B$10:$B$10" display="Cluster Labels" xr:uid="{6AAB02D0-567B-C64F-9F02-9ADC4C76529B}"/>
    <hyperlink ref="D4" location="'HC_Dendrogram'!$B$10:$B$10" display="Dendrogram" xr:uid="{0F5DA199-B7B0-8242-9381-32057BCF9D6D}"/>
    <hyperlink ref="F4" location="'HC_Output'!$B$10:$B$10" display="Inputs" xr:uid="{F6C74634-DF3F-2C46-B25F-F2156FC1420C}"/>
    <hyperlink ref="H4" location="'HC_Output'!$B$36:$B$36" display="Clustering Stages" xr:uid="{53BCDE6B-4D78-E54D-B807-373496E9F788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9BCA2-FD0B-B943-9C6C-6BA4A5B72C24}">
  <dimension ref="B1:CV57"/>
  <sheetViews>
    <sheetView showGridLines="0" topLeftCell="A29" workbookViewId="0">
      <selection activeCell="K57" sqref="K57"/>
    </sheetView>
  </sheetViews>
  <sheetFormatPr baseColWidth="10" defaultRowHeight="13" x14ac:dyDescent="0.2"/>
  <cols>
    <col min="5" max="5" width="16.33203125" customWidth="1"/>
    <col min="6" max="6" width="12.6640625" customWidth="1"/>
    <col min="7" max="7" width="16" customWidth="1"/>
    <col min="8" max="9" width="15" customWidth="1"/>
    <col min="10" max="10" width="14.33203125" customWidth="1"/>
    <col min="11" max="11" width="18" customWidth="1"/>
    <col min="12" max="12" width="13.5" customWidth="1"/>
    <col min="13" max="14" width="15" customWidth="1"/>
    <col min="16" max="16" width="13.83203125" bestFit="1" customWidth="1"/>
  </cols>
  <sheetData>
    <row r="1" spans="2:100" ht="19" x14ac:dyDescent="0.25">
      <c r="B1" s="8" t="s">
        <v>640</v>
      </c>
      <c r="N1" t="s">
        <v>665</v>
      </c>
      <c r="CV1" s="15" t="s">
        <v>666</v>
      </c>
    </row>
    <row r="3" spans="2:100" ht="16" x14ac:dyDescent="0.2">
      <c r="B3" s="20" t="s">
        <v>316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P3" s="21" t="s">
        <v>319</v>
      </c>
      <c r="Q3" s="21"/>
      <c r="R3" s="21"/>
      <c r="S3" s="21"/>
    </row>
    <row r="4" spans="2:100" ht="14" x14ac:dyDescent="0.2">
      <c r="B4" s="19" t="s">
        <v>317</v>
      </c>
      <c r="C4" s="19"/>
      <c r="D4" s="19" t="s">
        <v>635</v>
      </c>
      <c r="E4" s="19"/>
      <c r="F4" s="19" t="s">
        <v>636</v>
      </c>
      <c r="G4" s="19"/>
      <c r="H4" s="19" t="s">
        <v>637</v>
      </c>
      <c r="I4" s="19"/>
      <c r="J4" s="19" t="s">
        <v>638</v>
      </c>
      <c r="K4" s="19"/>
      <c r="L4" s="19" t="s">
        <v>639</v>
      </c>
      <c r="M4" s="19"/>
      <c r="P4" s="14" t="s">
        <v>320</v>
      </c>
      <c r="Q4" s="14" t="s">
        <v>321</v>
      </c>
      <c r="R4" s="14" t="s">
        <v>322</v>
      </c>
      <c r="S4" s="14" t="s">
        <v>323</v>
      </c>
    </row>
    <row r="5" spans="2:100" x14ac:dyDescent="0.2">
      <c r="P5" s="12">
        <v>40</v>
      </c>
      <c r="Q5" s="12">
        <v>1</v>
      </c>
      <c r="R5" s="12">
        <v>7</v>
      </c>
      <c r="S5" s="12">
        <v>48</v>
      </c>
    </row>
    <row r="10" spans="2:100" ht="19" x14ac:dyDescent="0.25">
      <c r="B10" s="9" t="s">
        <v>635</v>
      </c>
    </row>
    <row r="12" spans="2:100" ht="16" x14ac:dyDescent="0.2">
      <c r="C12" s="20" t="s">
        <v>641</v>
      </c>
      <c r="D12" s="20"/>
      <c r="E12" s="20"/>
      <c r="F12" s="20"/>
      <c r="G12" s="20"/>
      <c r="H12" s="20"/>
      <c r="I12" s="20"/>
    </row>
    <row r="13" spans="2:100" ht="14" x14ac:dyDescent="0.2">
      <c r="C13" s="22" t="s">
        <v>642</v>
      </c>
      <c r="D13" s="22"/>
      <c r="E13" s="23"/>
      <c r="F13" s="25" t="s">
        <v>658</v>
      </c>
      <c r="G13" s="25"/>
      <c r="H13" s="25"/>
      <c r="I13" s="25"/>
    </row>
    <row r="14" spans="2:100" ht="14" x14ac:dyDescent="0.2">
      <c r="C14" s="22" t="s">
        <v>643</v>
      </c>
      <c r="D14" s="22"/>
      <c r="E14" s="23"/>
      <c r="F14" s="25" t="s">
        <v>641</v>
      </c>
      <c r="G14" s="25"/>
      <c r="H14" s="25"/>
      <c r="I14" s="25"/>
    </row>
    <row r="15" spans="2:100" ht="14" x14ac:dyDescent="0.2">
      <c r="C15" s="22" t="s">
        <v>644</v>
      </c>
      <c r="D15" s="22"/>
      <c r="E15" s="23"/>
      <c r="F15" s="25" t="s">
        <v>659</v>
      </c>
      <c r="G15" s="25"/>
      <c r="H15" s="25"/>
      <c r="I15" s="25"/>
    </row>
    <row r="16" spans="2:100" ht="14" x14ac:dyDescent="0.2">
      <c r="C16" s="22" t="s">
        <v>645</v>
      </c>
      <c r="D16" s="22"/>
      <c r="E16" s="23"/>
      <c r="F16" s="24">
        <v>307</v>
      </c>
      <c r="G16" s="24"/>
      <c r="H16" s="24"/>
      <c r="I16" s="24"/>
    </row>
    <row r="18" spans="3:16" ht="16" x14ac:dyDescent="0.2">
      <c r="C18" s="20" t="s">
        <v>646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3:16" ht="14" x14ac:dyDescent="0.2">
      <c r="C19" s="22" t="s">
        <v>647</v>
      </c>
      <c r="D19" s="22"/>
      <c r="E19" s="23"/>
      <c r="F19" s="24">
        <v>11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</row>
    <row r="20" spans="3:16" ht="14" x14ac:dyDescent="0.2">
      <c r="C20" s="22" t="s">
        <v>648</v>
      </c>
      <c r="D20" s="22"/>
      <c r="E20" s="23"/>
      <c r="F20" s="12" t="s">
        <v>1</v>
      </c>
      <c r="G20" s="12" t="s">
        <v>2</v>
      </c>
      <c r="H20" s="12" t="s">
        <v>314</v>
      </c>
      <c r="I20" s="12" t="s">
        <v>313</v>
      </c>
      <c r="J20" s="12" t="s">
        <v>3</v>
      </c>
      <c r="K20" s="12" t="s">
        <v>4</v>
      </c>
      <c r="L20" s="12" t="s">
        <v>5</v>
      </c>
      <c r="M20" s="12" t="s">
        <v>6</v>
      </c>
      <c r="N20" s="12" t="s">
        <v>7</v>
      </c>
      <c r="O20" s="12" t="s">
        <v>8</v>
      </c>
      <c r="P20" s="12" t="s">
        <v>9</v>
      </c>
    </row>
    <row r="22" spans="3:16" ht="16" x14ac:dyDescent="0.2">
      <c r="C22" s="20" t="s">
        <v>649</v>
      </c>
      <c r="D22" s="20"/>
      <c r="E22" s="20"/>
      <c r="F22" s="20"/>
      <c r="G22" s="20"/>
      <c r="H22" s="20"/>
      <c r="I22" s="20"/>
    </row>
    <row r="23" spans="3:16" ht="14" x14ac:dyDescent="0.2">
      <c r="C23" s="22" t="s">
        <v>650</v>
      </c>
      <c r="D23" s="22"/>
      <c r="E23" s="23"/>
      <c r="F23" s="24">
        <v>2</v>
      </c>
      <c r="G23" s="24"/>
      <c r="H23" s="24"/>
      <c r="I23" s="24"/>
    </row>
    <row r="24" spans="3:16" ht="14" x14ac:dyDescent="0.2">
      <c r="C24" s="22" t="s">
        <v>651</v>
      </c>
      <c r="D24" s="22"/>
      <c r="E24" s="23"/>
      <c r="F24" s="24" t="s">
        <v>660</v>
      </c>
      <c r="G24" s="24"/>
      <c r="H24" s="24"/>
      <c r="I24" s="24"/>
    </row>
    <row r="25" spans="3:16" ht="14" x14ac:dyDescent="0.2">
      <c r="C25" s="22" t="s">
        <v>652</v>
      </c>
      <c r="D25" s="22"/>
      <c r="E25" s="23"/>
      <c r="F25" s="24">
        <v>50</v>
      </c>
      <c r="G25" s="24"/>
      <c r="H25" s="24"/>
      <c r="I25" s="24"/>
    </row>
    <row r="26" spans="3:16" ht="14" x14ac:dyDescent="0.2">
      <c r="C26" s="22" t="s">
        <v>653</v>
      </c>
      <c r="D26" s="22"/>
      <c r="E26" s="23"/>
      <c r="F26" s="24">
        <v>12345</v>
      </c>
      <c r="G26" s="24"/>
      <c r="H26" s="24"/>
      <c r="I26" s="24"/>
    </row>
    <row r="28" spans="3:16" ht="16" x14ac:dyDescent="0.2">
      <c r="C28" s="20" t="s">
        <v>654</v>
      </c>
      <c r="D28" s="20"/>
      <c r="E28" s="20"/>
      <c r="F28" s="20"/>
      <c r="G28" s="20"/>
      <c r="H28" s="20"/>
      <c r="I28" s="20"/>
    </row>
    <row r="29" spans="3:16" ht="14" x14ac:dyDescent="0.2">
      <c r="C29" s="22" t="s">
        <v>655</v>
      </c>
      <c r="D29" s="22"/>
      <c r="E29" s="23"/>
      <c r="F29" s="24" t="b">
        <v>1</v>
      </c>
      <c r="G29" s="24"/>
      <c r="H29" s="24"/>
      <c r="I29" s="24"/>
    </row>
    <row r="30" spans="3:16" ht="14" x14ac:dyDescent="0.2">
      <c r="C30" s="22" t="s">
        <v>656</v>
      </c>
      <c r="D30" s="22"/>
      <c r="E30" s="23"/>
      <c r="F30" s="24" t="b">
        <v>1</v>
      </c>
      <c r="G30" s="24"/>
      <c r="H30" s="24"/>
      <c r="I30" s="24"/>
    </row>
    <row r="31" spans="3:16" ht="14" x14ac:dyDescent="0.2">
      <c r="C31" s="22" t="s">
        <v>657</v>
      </c>
      <c r="D31" s="22"/>
      <c r="E31" s="23"/>
      <c r="F31" s="24" t="b">
        <v>0</v>
      </c>
      <c r="G31" s="24"/>
      <c r="H31" s="24"/>
      <c r="I31" s="24"/>
    </row>
    <row r="33" spans="2:14" ht="19" x14ac:dyDescent="0.25">
      <c r="B33" s="9" t="s">
        <v>636</v>
      </c>
    </row>
    <row r="35" spans="2:14" ht="16" x14ac:dyDescent="0.2">
      <c r="C35" s="20" t="s">
        <v>662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</row>
    <row r="36" spans="2:14" x14ac:dyDescent="0.2">
      <c r="C36" s="11" t="s">
        <v>325</v>
      </c>
      <c r="D36" t="s">
        <v>1</v>
      </c>
      <c r="E36" t="s">
        <v>2</v>
      </c>
      <c r="F36" t="s">
        <v>314</v>
      </c>
      <c r="G36" t="s">
        <v>313</v>
      </c>
      <c r="H36" t="s">
        <v>3</v>
      </c>
      <c r="I36" t="s">
        <v>4</v>
      </c>
      <c r="J36" t="s">
        <v>5</v>
      </c>
      <c r="K36" t="s">
        <v>6</v>
      </c>
      <c r="L36" t="s">
        <v>7</v>
      </c>
      <c r="M36" t="s">
        <v>8</v>
      </c>
      <c r="N36" t="s">
        <v>9</v>
      </c>
    </row>
    <row r="37" spans="2:14" x14ac:dyDescent="0.2">
      <c r="C37" s="11" t="s">
        <v>326</v>
      </c>
      <c r="D37" s="10">
        <v>433</v>
      </c>
      <c r="E37" s="10">
        <v>388</v>
      </c>
      <c r="F37" s="10">
        <v>461</v>
      </c>
      <c r="G37" s="10">
        <v>0.82599999999999996</v>
      </c>
      <c r="H37" s="10">
        <v>974</v>
      </c>
      <c r="I37" s="10">
        <v>503</v>
      </c>
      <c r="J37" s="10">
        <v>17700</v>
      </c>
      <c r="K37" s="10">
        <v>21600</v>
      </c>
      <c r="L37" s="10">
        <v>67</v>
      </c>
      <c r="M37" s="10">
        <v>15.2</v>
      </c>
      <c r="N37">
        <v>0.35</v>
      </c>
    </row>
    <row r="38" spans="2:14" x14ac:dyDescent="0.2">
      <c r="C38" s="11" t="s">
        <v>327</v>
      </c>
      <c r="D38" s="10">
        <v>508</v>
      </c>
      <c r="E38" s="10">
        <v>494</v>
      </c>
      <c r="F38" s="10">
        <v>335</v>
      </c>
      <c r="G38" s="10">
        <v>0.84799999999999998</v>
      </c>
      <c r="H38" s="10">
        <v>534</v>
      </c>
      <c r="I38" s="10">
        <v>216</v>
      </c>
      <c r="J38" s="10">
        <v>25475</v>
      </c>
      <c r="K38" s="10">
        <v>25475</v>
      </c>
      <c r="L38" s="10">
        <v>68</v>
      </c>
      <c r="M38" s="10">
        <v>11.2</v>
      </c>
      <c r="N38">
        <v>0.6</v>
      </c>
    </row>
    <row r="40" spans="2:14" ht="19" x14ac:dyDescent="0.25">
      <c r="B40" s="9" t="s">
        <v>637</v>
      </c>
    </row>
    <row r="42" spans="2:14" x14ac:dyDescent="0.2">
      <c r="C42" s="11" t="s">
        <v>325</v>
      </c>
      <c r="D42" t="s">
        <v>1</v>
      </c>
      <c r="E42" t="s">
        <v>2</v>
      </c>
      <c r="F42" t="s">
        <v>314</v>
      </c>
      <c r="G42" t="s">
        <v>313</v>
      </c>
      <c r="H42" t="s">
        <v>3</v>
      </c>
      <c r="I42" t="s">
        <v>4</v>
      </c>
      <c r="J42" t="s">
        <v>5</v>
      </c>
      <c r="K42" t="s">
        <v>6</v>
      </c>
      <c r="L42" t="s">
        <v>7</v>
      </c>
      <c r="M42" t="s">
        <v>8</v>
      </c>
      <c r="N42" t="s">
        <v>9</v>
      </c>
    </row>
    <row r="43" spans="2:14" x14ac:dyDescent="0.2">
      <c r="C43" s="11" t="s">
        <v>326</v>
      </c>
      <c r="D43" s="10">
        <v>512.92857142857133</v>
      </c>
      <c r="E43" s="10">
        <v>455.47959183673464</v>
      </c>
      <c r="F43" s="10">
        <v>6340.3571428571422</v>
      </c>
      <c r="G43" s="10">
        <v>0.67730612244897959</v>
      </c>
      <c r="H43" s="10">
        <v>8385.0918367346931</v>
      </c>
      <c r="I43" s="10">
        <v>2046.5408163265304</v>
      </c>
      <c r="J43" s="10">
        <v>17831.234693877548</v>
      </c>
      <c r="K43" s="10">
        <v>21954.010204081631</v>
      </c>
      <c r="L43" s="10">
        <v>76.448979591836732</v>
      </c>
      <c r="M43" s="10">
        <v>16.719387755102037</v>
      </c>
      <c r="N43">
        <v>0.55969387755102051</v>
      </c>
    </row>
    <row r="44" spans="2:14" x14ac:dyDescent="0.2">
      <c r="C44" s="11" t="s">
        <v>327</v>
      </c>
      <c r="D44" s="10">
        <v>532.55023923444969</v>
      </c>
      <c r="E44" s="10">
        <v>487.73205741626793</v>
      </c>
      <c r="F44" s="10">
        <v>2139.3157894736842</v>
      </c>
      <c r="G44" s="10">
        <v>0.74137799043062202</v>
      </c>
      <c r="H44" s="10">
        <v>1831.11004784689</v>
      </c>
      <c r="I44" s="10">
        <v>377.51674641148321</v>
      </c>
      <c r="J44" s="10">
        <v>27489.870813397127</v>
      </c>
      <c r="K44" s="10">
        <v>27489.392344497606</v>
      </c>
      <c r="L44" s="10">
        <v>73.20574162679425</v>
      </c>
      <c r="M44" s="10">
        <v>12.897607655502389</v>
      </c>
      <c r="N44">
        <v>0.7093301435406697</v>
      </c>
    </row>
    <row r="46" spans="2:14" ht="19" x14ac:dyDescent="0.25">
      <c r="B46" s="9" t="s">
        <v>638</v>
      </c>
    </row>
    <row r="48" spans="2:14" x14ac:dyDescent="0.2">
      <c r="C48" s="11" t="s">
        <v>325</v>
      </c>
      <c r="D48" t="s">
        <v>326</v>
      </c>
      <c r="E48" t="s">
        <v>327</v>
      </c>
    </row>
    <row r="49" spans="2:5" x14ac:dyDescent="0.2">
      <c r="C49" s="11" t="s">
        <v>326</v>
      </c>
      <c r="D49" s="10">
        <v>0</v>
      </c>
      <c r="E49">
        <v>13686.49789391233</v>
      </c>
    </row>
    <row r="50" spans="2:5" x14ac:dyDescent="0.2">
      <c r="C50" s="11" t="s">
        <v>327</v>
      </c>
      <c r="D50" s="10">
        <v>13686.49789391233</v>
      </c>
      <c r="E50">
        <v>0</v>
      </c>
    </row>
    <row r="52" spans="2:5" ht="19" x14ac:dyDescent="0.25">
      <c r="B52" s="9" t="s">
        <v>639</v>
      </c>
    </row>
    <row r="54" spans="2:5" x14ac:dyDescent="0.2">
      <c r="C54" s="11" t="s">
        <v>325</v>
      </c>
      <c r="D54" t="s">
        <v>663</v>
      </c>
      <c r="E54" t="s">
        <v>664</v>
      </c>
    </row>
    <row r="55" spans="2:5" x14ac:dyDescent="0.2">
      <c r="C55" s="11" t="s">
        <v>326</v>
      </c>
      <c r="D55" s="10">
        <v>98</v>
      </c>
      <c r="E55">
        <v>8051.4553869255133</v>
      </c>
    </row>
    <row r="56" spans="2:5" x14ac:dyDescent="0.2">
      <c r="C56" s="11" t="s">
        <v>327</v>
      </c>
      <c r="D56" s="10">
        <v>209</v>
      </c>
      <c r="E56">
        <v>4978.0285611390955</v>
      </c>
    </row>
    <row r="57" spans="2:5" x14ac:dyDescent="0.2">
      <c r="C57" s="11" t="s">
        <v>323</v>
      </c>
      <c r="D57" s="10">
        <v>307</v>
      </c>
      <c r="E57">
        <v>5959.1224664389947</v>
      </c>
    </row>
  </sheetData>
  <mergeCells count="38">
    <mergeCell ref="C12:I12"/>
    <mergeCell ref="C13:E13"/>
    <mergeCell ref="C14:E14"/>
    <mergeCell ref="C15:E15"/>
    <mergeCell ref="C16:E16"/>
    <mergeCell ref="F13:I13"/>
    <mergeCell ref="F14:I14"/>
    <mergeCell ref="F15:I15"/>
    <mergeCell ref="F16:I16"/>
    <mergeCell ref="C18:P18"/>
    <mergeCell ref="C19:E19"/>
    <mergeCell ref="C20:E20"/>
    <mergeCell ref="F19:P19"/>
    <mergeCell ref="C22:I22"/>
    <mergeCell ref="C24:E24"/>
    <mergeCell ref="C25:E25"/>
    <mergeCell ref="C26:E26"/>
    <mergeCell ref="F23:I23"/>
    <mergeCell ref="F24:I24"/>
    <mergeCell ref="F25:I25"/>
    <mergeCell ref="F26:I26"/>
    <mergeCell ref="C23:E23"/>
    <mergeCell ref="B3:M3"/>
    <mergeCell ref="P3:S3"/>
    <mergeCell ref="C35:N35"/>
    <mergeCell ref="B4:C4"/>
    <mergeCell ref="D4:E4"/>
    <mergeCell ref="F4:G4"/>
    <mergeCell ref="H4:I4"/>
    <mergeCell ref="J4:K4"/>
    <mergeCell ref="L4:M4"/>
    <mergeCell ref="C28:I28"/>
    <mergeCell ref="C29:E29"/>
    <mergeCell ref="C30:E30"/>
    <mergeCell ref="C31:E31"/>
    <mergeCell ref="F29:I29"/>
    <mergeCell ref="F30:I30"/>
    <mergeCell ref="F31:I31"/>
  </mergeCells>
  <hyperlinks>
    <hyperlink ref="B4" location="'KMC_Clusters1'!$B$10:$B$10" display="Cluster Labels" xr:uid="{9F861F6E-D6BF-D54F-AFA2-807470AA23D4}"/>
    <hyperlink ref="D4" location="'KMC_Output1'!$B$10:$B$10" display="Inputs" xr:uid="{0D310C07-2C6A-7740-9225-8B579D7F4355}"/>
    <hyperlink ref="F4" location="'KMC_Output1'!$B$33:$B$33" display="Random Starts Summary" xr:uid="{0D40EE0E-8324-094C-AD40-9F7230B83D3B}"/>
    <hyperlink ref="H4" location="'KMC_Output1'!$B$40:$B$40" display="Cluster Centers" xr:uid="{D5E07DF2-8FB2-D244-8753-695429B0EE31}"/>
    <hyperlink ref="J4" location="'KMC_Output1'!$B$46:$B$46" display="Inter-Cluster Distances" xr:uid="{D7A0A3EF-D7EE-9048-9FA4-ED404BB24299}"/>
    <hyperlink ref="L4" location="'KMC_Output1'!$B$52:$B$52" display="Cluster Summary" xr:uid="{871C3E25-D474-E24F-B578-8999DFA2C083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8738D-9D97-C241-9081-3EA72E58B430}">
  <dimension ref="B1:S319"/>
  <sheetViews>
    <sheetView showGridLines="0" workbookViewId="0">
      <selection activeCell="C12" sqref="C12:F319"/>
    </sheetView>
  </sheetViews>
  <sheetFormatPr baseColWidth="10" defaultRowHeight="13" x14ac:dyDescent="0.2"/>
  <cols>
    <col min="16" max="16" width="13.83203125" bestFit="1" customWidth="1"/>
  </cols>
  <sheetData>
    <row r="1" spans="2:19" ht="19" x14ac:dyDescent="0.25">
      <c r="B1" s="8" t="s">
        <v>315</v>
      </c>
      <c r="N1" t="s">
        <v>665</v>
      </c>
    </row>
    <row r="3" spans="2:19" ht="16" x14ac:dyDescent="0.2">
      <c r="B3" s="20" t="s">
        <v>316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P3" s="21" t="s">
        <v>319</v>
      </c>
      <c r="Q3" s="21"/>
      <c r="R3" s="21"/>
      <c r="S3" s="21"/>
    </row>
    <row r="4" spans="2:19" ht="14" x14ac:dyDescent="0.2">
      <c r="B4" s="19" t="s">
        <v>317</v>
      </c>
      <c r="C4" s="19"/>
      <c r="D4" s="19" t="s">
        <v>635</v>
      </c>
      <c r="E4" s="19"/>
      <c r="F4" s="19" t="s">
        <v>636</v>
      </c>
      <c r="G4" s="19"/>
      <c r="H4" s="19" t="s">
        <v>637</v>
      </c>
      <c r="I4" s="19"/>
      <c r="J4" s="19" t="s">
        <v>638</v>
      </c>
      <c r="K4" s="19"/>
      <c r="L4" s="19" t="s">
        <v>639</v>
      </c>
      <c r="M4" s="19"/>
      <c r="P4" s="14" t="s">
        <v>320</v>
      </c>
      <c r="Q4" s="14" t="s">
        <v>321</v>
      </c>
      <c r="R4" s="14" t="s">
        <v>322</v>
      </c>
      <c r="S4" s="14" t="s">
        <v>323</v>
      </c>
    </row>
    <row r="5" spans="2:19" x14ac:dyDescent="0.2">
      <c r="P5" s="12">
        <v>40</v>
      </c>
      <c r="Q5" s="12">
        <v>1</v>
      </c>
      <c r="R5" s="12">
        <v>7</v>
      </c>
      <c r="S5" s="12">
        <v>48</v>
      </c>
    </row>
    <row r="10" spans="2:19" ht="19" x14ac:dyDescent="0.25">
      <c r="B10" s="9" t="s">
        <v>317</v>
      </c>
    </row>
    <row r="12" spans="2:19" x14ac:dyDescent="0.2">
      <c r="C12" s="11" t="s">
        <v>324</v>
      </c>
      <c r="D12" t="s">
        <v>325</v>
      </c>
      <c r="E12" t="s">
        <v>326</v>
      </c>
      <c r="F12" t="s">
        <v>327</v>
      </c>
    </row>
    <row r="13" spans="2:19" x14ac:dyDescent="0.2">
      <c r="C13" s="11" t="s">
        <v>328</v>
      </c>
      <c r="D13" s="10">
        <v>1</v>
      </c>
      <c r="E13" s="10">
        <v>3139.7338668024472</v>
      </c>
      <c r="F13">
        <v>15960.82380630558</v>
      </c>
    </row>
    <row r="14" spans="2:19" x14ac:dyDescent="0.2">
      <c r="C14" s="11" t="s">
        <v>329</v>
      </c>
      <c r="D14" s="10">
        <v>1</v>
      </c>
      <c r="E14" s="10">
        <v>15670.396376173992</v>
      </c>
      <c r="F14">
        <v>26372.93596750516</v>
      </c>
    </row>
    <row r="15" spans="2:19" x14ac:dyDescent="0.2">
      <c r="C15" s="11" t="s">
        <v>330</v>
      </c>
      <c r="D15" s="10">
        <v>1</v>
      </c>
      <c r="E15" s="10">
        <v>4886.6481519729732</v>
      </c>
      <c r="F15">
        <v>17071.584510574237</v>
      </c>
    </row>
    <row r="16" spans="2:19" x14ac:dyDescent="0.2">
      <c r="C16" s="11" t="s">
        <v>331</v>
      </c>
      <c r="D16" s="10">
        <v>2</v>
      </c>
      <c r="E16" s="10">
        <v>16431.667398517522</v>
      </c>
      <c r="F16">
        <v>2925.6486455259164</v>
      </c>
    </row>
    <row r="17" spans="3:6" x14ac:dyDescent="0.2">
      <c r="C17" s="11" t="s">
        <v>332</v>
      </c>
      <c r="D17" s="10">
        <v>1</v>
      </c>
      <c r="E17" s="10">
        <v>7333.2599582143421</v>
      </c>
      <c r="F17">
        <v>13467.7885065475</v>
      </c>
    </row>
    <row r="18" spans="3:6" x14ac:dyDescent="0.2">
      <c r="C18" s="11" t="s">
        <v>333</v>
      </c>
      <c r="D18" s="10">
        <v>1</v>
      </c>
      <c r="E18" s="10">
        <v>7036.4521299006065</v>
      </c>
      <c r="F18">
        <v>12282.970169860231</v>
      </c>
    </row>
    <row r="19" spans="3:6" x14ac:dyDescent="0.2">
      <c r="C19" s="11" t="s">
        <v>334</v>
      </c>
      <c r="D19" s="10">
        <v>1</v>
      </c>
      <c r="E19" s="10">
        <v>7469.722771073315</v>
      </c>
      <c r="F19">
        <v>12556.416470495864</v>
      </c>
    </row>
    <row r="20" spans="3:6" x14ac:dyDescent="0.2">
      <c r="C20" s="11" t="s">
        <v>335</v>
      </c>
      <c r="D20" s="10">
        <v>1</v>
      </c>
      <c r="E20" s="10">
        <v>6588.0223172031911</v>
      </c>
      <c r="F20">
        <v>18170.330158148252</v>
      </c>
    </row>
    <row r="21" spans="3:6" x14ac:dyDescent="0.2">
      <c r="C21" s="11" t="s">
        <v>336</v>
      </c>
      <c r="D21" s="10">
        <v>1</v>
      </c>
      <c r="E21" s="10">
        <v>19127.729018248701</v>
      </c>
      <c r="F21">
        <v>28976.273406974764</v>
      </c>
    </row>
    <row r="22" spans="3:6" x14ac:dyDescent="0.2">
      <c r="C22" s="11" t="s">
        <v>337</v>
      </c>
      <c r="D22" s="10">
        <v>1</v>
      </c>
      <c r="E22" s="10">
        <v>6159.6174964110533</v>
      </c>
      <c r="F22">
        <v>13361.270975717991</v>
      </c>
    </row>
    <row r="23" spans="3:6" x14ac:dyDescent="0.2">
      <c r="C23" s="11" t="s">
        <v>338</v>
      </c>
      <c r="D23" s="10">
        <v>1</v>
      </c>
      <c r="E23" s="10">
        <v>8142.6109962124438</v>
      </c>
      <c r="F23">
        <v>19368.918825600205</v>
      </c>
    </row>
    <row r="24" spans="3:6" x14ac:dyDescent="0.2">
      <c r="C24" s="11" t="s">
        <v>339</v>
      </c>
      <c r="D24" s="10">
        <v>1</v>
      </c>
      <c r="E24" s="10">
        <v>5084.9040351332969</v>
      </c>
      <c r="F24">
        <v>12970.539629914658</v>
      </c>
    </row>
    <row r="25" spans="3:6" x14ac:dyDescent="0.2">
      <c r="C25" s="11" t="s">
        <v>340</v>
      </c>
      <c r="D25" s="10">
        <v>1</v>
      </c>
      <c r="E25" s="10">
        <v>22169.730106496587</v>
      </c>
      <c r="F25">
        <v>30957.592249614358</v>
      </c>
    </row>
    <row r="26" spans="3:6" x14ac:dyDescent="0.2">
      <c r="C26" s="11" t="s">
        <v>341</v>
      </c>
      <c r="D26" s="10">
        <v>1</v>
      </c>
      <c r="E26" s="10">
        <v>5153.4741585725887</v>
      </c>
      <c r="F26">
        <v>10655.739447638211</v>
      </c>
    </row>
    <row r="27" spans="3:6" x14ac:dyDescent="0.2">
      <c r="C27" s="11" t="s">
        <v>342</v>
      </c>
      <c r="D27" s="10">
        <v>1</v>
      </c>
      <c r="E27" s="10">
        <v>8877.0268736007001</v>
      </c>
      <c r="F27">
        <v>9562.357122733667</v>
      </c>
    </row>
    <row r="28" spans="3:6" x14ac:dyDescent="0.2">
      <c r="C28" s="11" t="s">
        <v>343</v>
      </c>
      <c r="D28" s="10">
        <v>1</v>
      </c>
      <c r="E28" s="10">
        <v>21996.016612002266</v>
      </c>
      <c r="F28">
        <v>29232.692851669384</v>
      </c>
    </row>
    <row r="29" spans="3:6" x14ac:dyDescent="0.2">
      <c r="C29" s="11" t="s">
        <v>344</v>
      </c>
      <c r="D29" s="10">
        <v>1</v>
      </c>
      <c r="E29" s="10">
        <v>2963.5251125935738</v>
      </c>
      <c r="F29">
        <v>16226.964909156206</v>
      </c>
    </row>
    <row r="30" spans="3:6" x14ac:dyDescent="0.2">
      <c r="C30" s="11" t="s">
        <v>345</v>
      </c>
      <c r="D30" s="10">
        <v>1</v>
      </c>
      <c r="E30" s="10">
        <v>8258.641775008382</v>
      </c>
      <c r="F30">
        <v>13576.945252843932</v>
      </c>
    </row>
    <row r="31" spans="3:6" x14ac:dyDescent="0.2">
      <c r="C31" s="11" t="s">
        <v>346</v>
      </c>
      <c r="D31" s="10">
        <v>1</v>
      </c>
      <c r="E31" s="10">
        <v>6000.1249307389262</v>
      </c>
      <c r="F31">
        <v>18606.040892153138</v>
      </c>
    </row>
    <row r="32" spans="3:6" x14ac:dyDescent="0.2">
      <c r="C32" s="11" t="s">
        <v>347</v>
      </c>
      <c r="D32" s="10">
        <v>1</v>
      </c>
      <c r="E32" s="10">
        <v>2471.2564055955791</v>
      </c>
      <c r="F32">
        <v>13579.400159184841</v>
      </c>
    </row>
    <row r="33" spans="3:6" x14ac:dyDescent="0.2">
      <c r="C33" s="11" t="s">
        <v>348</v>
      </c>
      <c r="D33" s="10">
        <v>1</v>
      </c>
      <c r="E33" s="10">
        <v>3916.3393520390082</v>
      </c>
      <c r="F33">
        <v>14090.837803170782</v>
      </c>
    </row>
    <row r="34" spans="3:6" x14ac:dyDescent="0.2">
      <c r="C34" s="11" t="s">
        <v>349</v>
      </c>
      <c r="D34" s="10">
        <v>1</v>
      </c>
      <c r="E34" s="10">
        <v>8296.1024823000243</v>
      </c>
      <c r="F34">
        <v>19878.990781556538</v>
      </c>
    </row>
    <row r="35" spans="3:6" x14ac:dyDescent="0.2">
      <c r="C35" s="11" t="s">
        <v>350</v>
      </c>
      <c r="D35" s="10">
        <v>1</v>
      </c>
      <c r="E35" s="10">
        <v>8252.7107214928947</v>
      </c>
      <c r="F35">
        <v>18141.957576736782</v>
      </c>
    </row>
    <row r="36" spans="3:6" x14ac:dyDescent="0.2">
      <c r="C36" s="11" t="s">
        <v>351</v>
      </c>
      <c r="D36" s="10">
        <v>1</v>
      </c>
      <c r="E36" s="10">
        <v>2911.0984424175977</v>
      </c>
      <c r="F36">
        <v>13231.1892020384</v>
      </c>
    </row>
    <row r="37" spans="3:6" x14ac:dyDescent="0.2">
      <c r="C37" s="11" t="s">
        <v>352</v>
      </c>
      <c r="D37" s="10">
        <v>1</v>
      </c>
      <c r="E37" s="10">
        <v>4107.040115435896</v>
      </c>
      <c r="F37">
        <v>13238.596839435917</v>
      </c>
    </row>
    <row r="38" spans="3:6" x14ac:dyDescent="0.2">
      <c r="C38" s="11" t="s">
        <v>353</v>
      </c>
      <c r="D38" s="10">
        <v>1</v>
      </c>
      <c r="E38" s="10">
        <v>4853.942299992771</v>
      </c>
      <c r="F38">
        <v>12035.523661144649</v>
      </c>
    </row>
    <row r="39" spans="3:6" x14ac:dyDescent="0.2">
      <c r="C39" s="11" t="s">
        <v>354</v>
      </c>
      <c r="D39" s="10">
        <v>1</v>
      </c>
      <c r="E39" s="10">
        <v>4469.6394933158508</v>
      </c>
      <c r="F39">
        <v>13575.786287892925</v>
      </c>
    </row>
    <row r="40" spans="3:6" x14ac:dyDescent="0.2">
      <c r="C40" s="11" t="s">
        <v>355</v>
      </c>
      <c r="D40" s="10">
        <v>1</v>
      </c>
      <c r="E40" s="10">
        <v>4318.5345583592598</v>
      </c>
      <c r="F40">
        <v>13434.496518629923</v>
      </c>
    </row>
    <row r="41" spans="3:6" x14ac:dyDescent="0.2">
      <c r="C41" s="11" t="s">
        <v>356</v>
      </c>
      <c r="D41" s="10">
        <v>1</v>
      </c>
      <c r="E41" s="10">
        <v>2533.5301146970969</v>
      </c>
      <c r="F41">
        <v>13885.982067882383</v>
      </c>
    </row>
    <row r="42" spans="3:6" x14ac:dyDescent="0.2">
      <c r="C42" s="11" t="s">
        <v>357</v>
      </c>
      <c r="D42" s="10">
        <v>1</v>
      </c>
      <c r="E42" s="10">
        <v>3837.1764859790737</v>
      </c>
      <c r="F42">
        <v>12401.738461560324</v>
      </c>
    </row>
    <row r="43" spans="3:6" x14ac:dyDescent="0.2">
      <c r="C43" s="11" t="s">
        <v>358</v>
      </c>
      <c r="D43" s="10">
        <v>1</v>
      </c>
      <c r="E43" s="10">
        <v>6035.6045886250668</v>
      </c>
      <c r="F43">
        <v>11528.351441163019</v>
      </c>
    </row>
    <row r="44" spans="3:6" x14ac:dyDescent="0.2">
      <c r="C44" s="11" t="s">
        <v>359</v>
      </c>
      <c r="D44" s="10">
        <v>1</v>
      </c>
      <c r="E44" s="10">
        <v>6140.8135000001685</v>
      </c>
      <c r="F44">
        <v>17499.516458830622</v>
      </c>
    </row>
    <row r="45" spans="3:6" x14ac:dyDescent="0.2">
      <c r="C45" s="11" t="s">
        <v>360</v>
      </c>
      <c r="D45" s="10">
        <v>1</v>
      </c>
      <c r="E45" s="10">
        <v>8085.9454566804025</v>
      </c>
      <c r="F45">
        <v>18790.338346115768</v>
      </c>
    </row>
    <row r="46" spans="3:6" x14ac:dyDescent="0.2">
      <c r="C46" s="11" t="s">
        <v>361</v>
      </c>
      <c r="D46" s="10">
        <v>1</v>
      </c>
      <c r="E46" s="10">
        <v>3357.1552823391285</v>
      </c>
      <c r="F46">
        <v>14427.107848539619</v>
      </c>
    </row>
    <row r="47" spans="3:6" x14ac:dyDescent="0.2">
      <c r="C47" s="11" t="s">
        <v>362</v>
      </c>
      <c r="D47" s="10">
        <v>1</v>
      </c>
      <c r="E47" s="10">
        <v>5169.2952660895626</v>
      </c>
      <c r="F47">
        <v>17083.388968744111</v>
      </c>
    </row>
    <row r="48" spans="3:6" x14ac:dyDescent="0.2">
      <c r="C48" s="11" t="s">
        <v>363</v>
      </c>
      <c r="D48" s="10">
        <v>1</v>
      </c>
      <c r="E48" s="10">
        <v>8593.1224894342122</v>
      </c>
      <c r="F48">
        <v>11906.472375760155</v>
      </c>
    </row>
    <row r="49" spans="3:6" x14ac:dyDescent="0.2">
      <c r="C49" s="11" t="s">
        <v>364</v>
      </c>
      <c r="D49" s="10">
        <v>1</v>
      </c>
      <c r="E49" s="10">
        <v>7703.6488301081972</v>
      </c>
      <c r="F49">
        <v>19728.072978988563</v>
      </c>
    </row>
    <row r="50" spans="3:6" x14ac:dyDescent="0.2">
      <c r="C50" s="11" t="s">
        <v>365</v>
      </c>
      <c r="D50" s="10">
        <v>1</v>
      </c>
      <c r="E50" s="10">
        <v>5746.2243948071819</v>
      </c>
      <c r="F50">
        <v>14095.974358399119</v>
      </c>
    </row>
    <row r="51" spans="3:6" x14ac:dyDescent="0.2">
      <c r="C51" s="11" t="s">
        <v>366</v>
      </c>
      <c r="D51" s="10">
        <v>1</v>
      </c>
      <c r="E51" s="10">
        <v>6122.955235659917</v>
      </c>
      <c r="F51">
        <v>14887.379540193999</v>
      </c>
    </row>
    <row r="52" spans="3:6" x14ac:dyDescent="0.2">
      <c r="C52" s="11" t="s">
        <v>367</v>
      </c>
      <c r="D52" s="10">
        <v>1</v>
      </c>
      <c r="E52" s="10">
        <v>7620.390233072294</v>
      </c>
      <c r="F52">
        <v>19672.877471954682</v>
      </c>
    </row>
    <row r="53" spans="3:6" x14ac:dyDescent="0.2">
      <c r="C53" s="11" t="s">
        <v>368</v>
      </c>
      <c r="D53" s="10">
        <v>1</v>
      </c>
      <c r="E53" s="10">
        <v>6613.5670042323936</v>
      </c>
      <c r="F53">
        <v>14510.085820293229</v>
      </c>
    </row>
    <row r="54" spans="3:6" x14ac:dyDescent="0.2">
      <c r="C54" s="11" t="s">
        <v>369</v>
      </c>
      <c r="D54" s="10">
        <v>1</v>
      </c>
      <c r="E54" s="10">
        <v>23577.004843380342</v>
      </c>
      <c r="F54">
        <v>34154.959845603575</v>
      </c>
    </row>
    <row r="55" spans="3:6" x14ac:dyDescent="0.2">
      <c r="C55" s="11" t="s">
        <v>370</v>
      </c>
      <c r="D55" s="10">
        <v>1</v>
      </c>
      <c r="E55" s="10">
        <v>24798.16227553655</v>
      </c>
      <c r="F55">
        <v>35165.814818241866</v>
      </c>
    </row>
    <row r="56" spans="3:6" x14ac:dyDescent="0.2">
      <c r="C56" s="11" t="s">
        <v>371</v>
      </c>
      <c r="D56" s="10">
        <v>1</v>
      </c>
      <c r="E56" s="10">
        <v>8527.4008727827095</v>
      </c>
      <c r="F56">
        <v>18997.945089469493</v>
      </c>
    </row>
    <row r="57" spans="3:6" x14ac:dyDescent="0.2">
      <c r="C57" s="11" t="s">
        <v>372</v>
      </c>
      <c r="D57" s="10">
        <v>1</v>
      </c>
      <c r="E57" s="10">
        <v>8766.7376669783625</v>
      </c>
      <c r="F57">
        <v>10109.662837860797</v>
      </c>
    </row>
    <row r="58" spans="3:6" x14ac:dyDescent="0.2">
      <c r="C58" s="11" t="s">
        <v>373</v>
      </c>
      <c r="D58" s="10">
        <v>1</v>
      </c>
      <c r="E58" s="10">
        <v>1180.5230607456544</v>
      </c>
      <c r="F58">
        <v>13937.524137177126</v>
      </c>
    </row>
    <row r="59" spans="3:6" x14ac:dyDescent="0.2">
      <c r="C59" s="11" t="s">
        <v>374</v>
      </c>
      <c r="D59" s="10">
        <v>2</v>
      </c>
      <c r="E59" s="10">
        <v>11318.228226998997</v>
      </c>
      <c r="F59">
        <v>7425.440105656573</v>
      </c>
    </row>
    <row r="60" spans="3:6" x14ac:dyDescent="0.2">
      <c r="C60" s="11" t="s">
        <v>375</v>
      </c>
      <c r="D60" s="10">
        <v>2</v>
      </c>
      <c r="E60" s="10">
        <v>13537.119104521931</v>
      </c>
      <c r="F60">
        <v>1842.9242248742644</v>
      </c>
    </row>
    <row r="61" spans="3:6" x14ac:dyDescent="0.2">
      <c r="C61" s="11" t="s">
        <v>376</v>
      </c>
      <c r="D61" s="10">
        <v>2</v>
      </c>
      <c r="E61" s="10">
        <v>11266.895538632638</v>
      </c>
      <c r="F61">
        <v>6555.3225715547514</v>
      </c>
    </row>
    <row r="62" spans="3:6" x14ac:dyDescent="0.2">
      <c r="C62" s="11" t="s">
        <v>377</v>
      </c>
      <c r="D62" s="10">
        <v>2</v>
      </c>
      <c r="E62" s="10">
        <v>11351.98156681498</v>
      </c>
      <c r="F62">
        <v>5465.2769251950431</v>
      </c>
    </row>
    <row r="63" spans="3:6" x14ac:dyDescent="0.2">
      <c r="C63" s="11" t="s">
        <v>378</v>
      </c>
      <c r="D63" s="10">
        <v>2</v>
      </c>
      <c r="E63" s="10">
        <v>10238.957488180235</v>
      </c>
      <c r="F63">
        <v>8798.0301504101735</v>
      </c>
    </row>
    <row r="64" spans="3:6" x14ac:dyDescent="0.2">
      <c r="C64" s="11" t="s">
        <v>379</v>
      </c>
      <c r="D64" s="10">
        <v>1</v>
      </c>
      <c r="E64" s="10">
        <v>7847.6152217869767</v>
      </c>
      <c r="F64">
        <v>9974.0720985001044</v>
      </c>
    </row>
    <row r="65" spans="3:6" x14ac:dyDescent="0.2">
      <c r="C65" s="11" t="s">
        <v>380</v>
      </c>
      <c r="D65" s="10">
        <v>2</v>
      </c>
      <c r="E65" s="10">
        <v>19549.965647374454</v>
      </c>
      <c r="F65">
        <v>6467.6228658371365</v>
      </c>
    </row>
    <row r="66" spans="3:6" x14ac:dyDescent="0.2">
      <c r="C66" s="11" t="s">
        <v>381</v>
      </c>
      <c r="D66" s="10">
        <v>2</v>
      </c>
      <c r="E66" s="10">
        <v>20626.126734857426</v>
      </c>
      <c r="F66">
        <v>7507.1668574004698</v>
      </c>
    </row>
    <row r="67" spans="3:6" x14ac:dyDescent="0.2">
      <c r="C67" s="11" t="s">
        <v>382</v>
      </c>
      <c r="D67" s="10">
        <v>2</v>
      </c>
      <c r="E67" s="10">
        <v>20215.656687543789</v>
      </c>
      <c r="F67">
        <v>6962.9517523885497</v>
      </c>
    </row>
    <row r="68" spans="3:6" x14ac:dyDescent="0.2">
      <c r="C68" s="11" t="s">
        <v>383</v>
      </c>
      <c r="D68" s="10">
        <v>2</v>
      </c>
      <c r="E68" s="10">
        <v>12550.432276577489</v>
      </c>
      <c r="F68">
        <v>4242.4059724551071</v>
      </c>
    </row>
    <row r="69" spans="3:6" x14ac:dyDescent="0.2">
      <c r="C69" s="11" t="s">
        <v>384</v>
      </c>
      <c r="D69" s="10">
        <v>2</v>
      </c>
      <c r="E69" s="10">
        <v>20145.070207610755</v>
      </c>
      <c r="F69">
        <v>8278.9701641150386</v>
      </c>
    </row>
    <row r="70" spans="3:6" x14ac:dyDescent="0.2">
      <c r="C70" s="11" t="s">
        <v>385</v>
      </c>
      <c r="D70" s="10">
        <v>2</v>
      </c>
      <c r="E70" s="10">
        <v>12175.957465844571</v>
      </c>
      <c r="F70">
        <v>4677.6930413811751</v>
      </c>
    </row>
    <row r="71" spans="3:6" x14ac:dyDescent="0.2">
      <c r="C71" s="11" t="s">
        <v>386</v>
      </c>
      <c r="D71" s="10">
        <v>2</v>
      </c>
      <c r="E71" s="10">
        <v>13510.083313920655</v>
      </c>
      <c r="F71">
        <v>2698.6525795733751</v>
      </c>
    </row>
    <row r="72" spans="3:6" x14ac:dyDescent="0.2">
      <c r="C72" s="11" t="s">
        <v>387</v>
      </c>
      <c r="D72" s="10">
        <v>2</v>
      </c>
      <c r="E72" s="10">
        <v>19280.589539381843</v>
      </c>
      <c r="F72">
        <v>16686.824829966594</v>
      </c>
    </row>
    <row r="73" spans="3:6" x14ac:dyDescent="0.2">
      <c r="C73" s="11" t="s">
        <v>388</v>
      </c>
      <c r="D73" s="10">
        <v>2</v>
      </c>
      <c r="E73" s="10">
        <v>13190.928651761949</v>
      </c>
      <c r="F73">
        <v>3052.2173890520753</v>
      </c>
    </row>
    <row r="74" spans="3:6" x14ac:dyDescent="0.2">
      <c r="C74" s="11" t="s">
        <v>389</v>
      </c>
      <c r="D74" s="10">
        <v>2</v>
      </c>
      <c r="E74" s="10">
        <v>21275.642223204162</v>
      </c>
      <c r="F74">
        <v>9800.8361655644167</v>
      </c>
    </row>
    <row r="75" spans="3:6" x14ac:dyDescent="0.2">
      <c r="C75" s="11" t="s">
        <v>390</v>
      </c>
      <c r="D75" s="10">
        <v>2</v>
      </c>
      <c r="E75" s="10">
        <v>14065.536275928947</v>
      </c>
      <c r="F75">
        <v>2879.7351038312199</v>
      </c>
    </row>
    <row r="76" spans="3:6" x14ac:dyDescent="0.2">
      <c r="C76" s="11" t="s">
        <v>391</v>
      </c>
      <c r="D76" s="10">
        <v>1</v>
      </c>
      <c r="E76" s="10">
        <v>8587.2230154761255</v>
      </c>
      <c r="F76">
        <v>10347.811698958316</v>
      </c>
    </row>
    <row r="77" spans="3:6" x14ac:dyDescent="0.2">
      <c r="C77" s="11" t="s">
        <v>392</v>
      </c>
      <c r="D77" s="10">
        <v>1</v>
      </c>
      <c r="E77" s="10">
        <v>7074.6518399300821</v>
      </c>
      <c r="F77">
        <v>7340.8952652280641</v>
      </c>
    </row>
    <row r="78" spans="3:6" x14ac:dyDescent="0.2">
      <c r="C78" s="11" t="s">
        <v>393</v>
      </c>
      <c r="D78" s="10">
        <v>2</v>
      </c>
      <c r="E78" s="10">
        <v>10059.770707600454</v>
      </c>
      <c r="F78">
        <v>6395.2003492341446</v>
      </c>
    </row>
    <row r="79" spans="3:6" x14ac:dyDescent="0.2">
      <c r="C79" s="11" t="s">
        <v>394</v>
      </c>
      <c r="D79" s="10">
        <v>2</v>
      </c>
      <c r="E79" s="10">
        <v>18477.740783546007</v>
      </c>
      <c r="F79">
        <v>5620.3128857857582</v>
      </c>
    </row>
    <row r="80" spans="3:6" x14ac:dyDescent="0.2">
      <c r="C80" s="11" t="s">
        <v>395</v>
      </c>
      <c r="D80" s="10">
        <v>2</v>
      </c>
      <c r="E80" s="10">
        <v>18646.370269712919</v>
      </c>
      <c r="F80">
        <v>10325.093613835144</v>
      </c>
    </row>
    <row r="81" spans="3:6" x14ac:dyDescent="0.2">
      <c r="C81" s="11" t="s">
        <v>396</v>
      </c>
      <c r="D81" s="10">
        <v>1</v>
      </c>
      <c r="E81" s="10">
        <v>7677.1621130080575</v>
      </c>
      <c r="F81">
        <v>7920.3937104266206</v>
      </c>
    </row>
    <row r="82" spans="3:6" x14ac:dyDescent="0.2">
      <c r="C82" s="11" t="s">
        <v>397</v>
      </c>
      <c r="D82" s="10">
        <v>2</v>
      </c>
      <c r="E82" s="10">
        <v>8317.8810472130917</v>
      </c>
      <c r="F82">
        <v>7927.2724994414193</v>
      </c>
    </row>
    <row r="83" spans="3:6" x14ac:dyDescent="0.2">
      <c r="C83" s="11" t="s">
        <v>398</v>
      </c>
      <c r="D83" s="10">
        <v>2</v>
      </c>
      <c r="E83" s="10">
        <v>12516.853265197762</v>
      </c>
      <c r="F83">
        <v>4532.5255430780553</v>
      </c>
    </row>
    <row r="84" spans="3:6" x14ac:dyDescent="0.2">
      <c r="C84" s="11" t="s">
        <v>399</v>
      </c>
      <c r="D84" s="10">
        <v>2</v>
      </c>
      <c r="E84" s="10">
        <v>10242.501259070401</v>
      </c>
      <c r="F84">
        <v>5982.2043846798424</v>
      </c>
    </row>
    <row r="85" spans="3:6" x14ac:dyDescent="0.2">
      <c r="C85" s="11" t="s">
        <v>400</v>
      </c>
      <c r="D85" s="10">
        <v>2</v>
      </c>
      <c r="E85" s="10">
        <v>16006.157848505265</v>
      </c>
      <c r="F85">
        <v>2435.4479800308227</v>
      </c>
    </row>
    <row r="86" spans="3:6" x14ac:dyDescent="0.2">
      <c r="C86" s="11" t="s">
        <v>401</v>
      </c>
      <c r="D86" s="10">
        <v>2</v>
      </c>
      <c r="E86" s="10">
        <v>17397.501375220545</v>
      </c>
      <c r="F86">
        <v>4024.0191183956372</v>
      </c>
    </row>
    <row r="87" spans="3:6" x14ac:dyDescent="0.2">
      <c r="C87" s="11" t="s">
        <v>402</v>
      </c>
      <c r="D87" s="10">
        <v>2</v>
      </c>
      <c r="E87" s="10">
        <v>11490.325650809411</v>
      </c>
      <c r="F87">
        <v>5460.1390565648671</v>
      </c>
    </row>
    <row r="88" spans="3:6" x14ac:dyDescent="0.2">
      <c r="C88" s="11" t="s">
        <v>403</v>
      </c>
      <c r="D88" s="10">
        <v>2</v>
      </c>
      <c r="E88" s="10">
        <v>17717.714711056055</v>
      </c>
      <c r="F88">
        <v>4567.6397449141195</v>
      </c>
    </row>
    <row r="89" spans="3:6" x14ac:dyDescent="0.2">
      <c r="C89" s="11" t="s">
        <v>404</v>
      </c>
      <c r="D89" s="10">
        <v>2</v>
      </c>
      <c r="E89" s="10">
        <v>12898.403134207489</v>
      </c>
      <c r="F89">
        <v>3515.9573921250058</v>
      </c>
    </row>
    <row r="90" spans="3:6" x14ac:dyDescent="0.2">
      <c r="C90" s="11" t="s">
        <v>405</v>
      </c>
      <c r="D90" s="10">
        <v>2</v>
      </c>
      <c r="E90" s="10">
        <v>13365.012418013381</v>
      </c>
      <c r="F90">
        <v>1664.4369719364856</v>
      </c>
    </row>
    <row r="91" spans="3:6" x14ac:dyDescent="0.2">
      <c r="C91" s="11" t="s">
        <v>406</v>
      </c>
      <c r="D91" s="10">
        <v>2</v>
      </c>
      <c r="E91" s="10">
        <v>15912.145408872833</v>
      </c>
      <c r="F91">
        <v>2427.8393353430906</v>
      </c>
    </row>
    <row r="92" spans="3:6" x14ac:dyDescent="0.2">
      <c r="C92" s="11" t="s">
        <v>407</v>
      </c>
      <c r="D92" s="10">
        <v>2</v>
      </c>
      <c r="E92" s="10">
        <v>15678.838873888799</v>
      </c>
      <c r="F92">
        <v>2821.5320111505525</v>
      </c>
    </row>
    <row r="93" spans="3:6" x14ac:dyDescent="0.2">
      <c r="C93" s="11" t="s">
        <v>408</v>
      </c>
      <c r="D93" s="10">
        <v>2</v>
      </c>
      <c r="E93" s="10">
        <v>18203.163647562214</v>
      </c>
      <c r="F93">
        <v>4827.4694850921796</v>
      </c>
    </row>
    <row r="94" spans="3:6" x14ac:dyDescent="0.2">
      <c r="C94" s="11" t="s">
        <v>409</v>
      </c>
      <c r="D94" s="10">
        <v>2</v>
      </c>
      <c r="E94" s="10">
        <v>15380.2123466306</v>
      </c>
      <c r="F94">
        <v>2090.9573383236252</v>
      </c>
    </row>
    <row r="95" spans="3:6" x14ac:dyDescent="0.2">
      <c r="C95" s="11" t="s">
        <v>410</v>
      </c>
      <c r="D95" s="10">
        <v>2</v>
      </c>
      <c r="E95" s="10">
        <v>12181.81132735869</v>
      </c>
      <c r="F95">
        <v>3651.7290816216914</v>
      </c>
    </row>
    <row r="96" spans="3:6" x14ac:dyDescent="0.2">
      <c r="C96" s="11" t="s">
        <v>411</v>
      </c>
      <c r="D96" s="10">
        <v>2</v>
      </c>
      <c r="E96" s="10">
        <v>11628.689208756257</v>
      </c>
      <c r="F96">
        <v>3506.0598994787492</v>
      </c>
    </row>
    <row r="97" spans="3:6" x14ac:dyDescent="0.2">
      <c r="C97" s="11" t="s">
        <v>412</v>
      </c>
      <c r="D97" s="10">
        <v>2</v>
      </c>
      <c r="E97" s="10">
        <v>14036.643401270458</v>
      </c>
      <c r="F97">
        <v>1234.7381898201354</v>
      </c>
    </row>
    <row r="98" spans="3:6" x14ac:dyDescent="0.2">
      <c r="C98" s="11" t="s">
        <v>413</v>
      </c>
      <c r="D98" s="10">
        <v>2</v>
      </c>
      <c r="E98" s="10">
        <v>17244.5132975339</v>
      </c>
      <c r="F98">
        <v>3789.7050107557138</v>
      </c>
    </row>
    <row r="99" spans="3:6" x14ac:dyDescent="0.2">
      <c r="C99" s="11" t="s">
        <v>414</v>
      </c>
      <c r="D99" s="10">
        <v>2</v>
      </c>
      <c r="E99" s="10">
        <v>12666.364143453666</v>
      </c>
      <c r="F99">
        <v>3417.3803279515096</v>
      </c>
    </row>
    <row r="100" spans="3:6" x14ac:dyDescent="0.2">
      <c r="C100" s="11" t="s">
        <v>415</v>
      </c>
      <c r="D100" s="10">
        <v>2</v>
      </c>
      <c r="E100" s="10">
        <v>10823.407167992991</v>
      </c>
      <c r="F100">
        <v>6234.5267812897719</v>
      </c>
    </row>
    <row r="101" spans="3:6" x14ac:dyDescent="0.2">
      <c r="C101" s="11" t="s">
        <v>416</v>
      </c>
      <c r="D101" s="10">
        <v>2</v>
      </c>
      <c r="E101" s="10">
        <v>12585.574491648651</v>
      </c>
      <c r="F101">
        <v>3263.5289038879464</v>
      </c>
    </row>
    <row r="102" spans="3:6" x14ac:dyDescent="0.2">
      <c r="C102" s="11" t="s">
        <v>417</v>
      </c>
      <c r="D102" s="10">
        <v>2</v>
      </c>
      <c r="E102" s="10">
        <v>13101.683011730232</v>
      </c>
      <c r="F102">
        <v>3992.6810172950036</v>
      </c>
    </row>
    <row r="103" spans="3:6" x14ac:dyDescent="0.2">
      <c r="C103" s="11" t="s">
        <v>418</v>
      </c>
      <c r="D103" s="10">
        <v>2</v>
      </c>
      <c r="E103" s="10">
        <v>14611.217471203676</v>
      </c>
      <c r="F103">
        <v>1400.9776385151763</v>
      </c>
    </row>
    <row r="104" spans="3:6" x14ac:dyDescent="0.2">
      <c r="C104" s="11" t="s">
        <v>419</v>
      </c>
      <c r="D104" s="10">
        <v>2</v>
      </c>
      <c r="E104" s="10">
        <v>12286.024033429012</v>
      </c>
      <c r="F104">
        <v>2209.6432986589807</v>
      </c>
    </row>
    <row r="105" spans="3:6" x14ac:dyDescent="0.2">
      <c r="C105" s="11" t="s">
        <v>420</v>
      </c>
      <c r="D105" s="10">
        <v>2</v>
      </c>
      <c r="E105" s="10">
        <v>11136.110397774684</v>
      </c>
      <c r="F105">
        <v>5372.8727001576653</v>
      </c>
    </row>
    <row r="106" spans="3:6" x14ac:dyDescent="0.2">
      <c r="C106" s="11" t="s">
        <v>421</v>
      </c>
      <c r="D106" s="10">
        <v>2</v>
      </c>
      <c r="E106" s="10">
        <v>13901.23830201598</v>
      </c>
      <c r="F106">
        <v>1737.033839243212</v>
      </c>
    </row>
    <row r="107" spans="3:6" x14ac:dyDescent="0.2">
      <c r="C107" s="11" t="s">
        <v>422</v>
      </c>
      <c r="D107" s="10">
        <v>2</v>
      </c>
      <c r="E107" s="10">
        <v>11149.267600062045</v>
      </c>
      <c r="F107">
        <v>6646.6782611420213</v>
      </c>
    </row>
    <row r="108" spans="3:6" x14ac:dyDescent="0.2">
      <c r="C108" s="11" t="s">
        <v>423</v>
      </c>
      <c r="D108" s="10">
        <v>2</v>
      </c>
      <c r="E108" s="10">
        <v>13127.823521814844</v>
      </c>
      <c r="F108">
        <v>2828.1195960343466</v>
      </c>
    </row>
    <row r="109" spans="3:6" x14ac:dyDescent="0.2">
      <c r="C109" s="11" t="s">
        <v>424</v>
      </c>
      <c r="D109" s="10">
        <v>2</v>
      </c>
      <c r="E109" s="10">
        <v>11726.832852403566</v>
      </c>
      <c r="F109">
        <v>5384.1416284707784</v>
      </c>
    </row>
    <row r="110" spans="3:6" x14ac:dyDescent="0.2">
      <c r="C110" s="11" t="s">
        <v>425</v>
      </c>
      <c r="D110" s="10">
        <v>2</v>
      </c>
      <c r="E110" s="10">
        <v>11784.816416920257</v>
      </c>
      <c r="F110">
        <v>2213.0341828910441</v>
      </c>
    </row>
    <row r="111" spans="3:6" x14ac:dyDescent="0.2">
      <c r="C111" s="11" t="s">
        <v>426</v>
      </c>
      <c r="D111" s="10">
        <v>2</v>
      </c>
      <c r="E111" s="10">
        <v>22474.32761099725</v>
      </c>
      <c r="F111">
        <v>10518.351462656696</v>
      </c>
    </row>
    <row r="112" spans="3:6" x14ac:dyDescent="0.2">
      <c r="C112" s="11" t="s">
        <v>427</v>
      </c>
      <c r="D112" s="10">
        <v>2</v>
      </c>
      <c r="E112" s="10">
        <v>24715.877660746715</v>
      </c>
      <c r="F112">
        <v>24008.040258574038</v>
      </c>
    </row>
    <row r="113" spans="3:6" x14ac:dyDescent="0.2">
      <c r="C113" s="11" t="s">
        <v>428</v>
      </c>
      <c r="D113" s="10">
        <v>2</v>
      </c>
      <c r="E113" s="10">
        <v>22145.777012995866</v>
      </c>
      <c r="F113">
        <v>11886.723872205401</v>
      </c>
    </row>
    <row r="114" spans="3:6" x14ac:dyDescent="0.2">
      <c r="C114" s="11" t="s">
        <v>429</v>
      </c>
      <c r="D114" s="10">
        <v>2</v>
      </c>
      <c r="E114" s="10">
        <v>22146.560841377726</v>
      </c>
      <c r="F114">
        <v>9643.6588838335811</v>
      </c>
    </row>
    <row r="115" spans="3:6" x14ac:dyDescent="0.2">
      <c r="C115" s="11" t="s">
        <v>430</v>
      </c>
      <c r="D115" s="10">
        <v>1</v>
      </c>
      <c r="E115" s="10">
        <v>16062.780810821543</v>
      </c>
      <c r="F115">
        <v>16757.051447694434</v>
      </c>
    </row>
    <row r="116" spans="3:6" x14ac:dyDescent="0.2">
      <c r="C116" s="11" t="s">
        <v>431</v>
      </c>
      <c r="D116" s="10">
        <v>2</v>
      </c>
      <c r="E116" s="10">
        <v>21251.004942261283</v>
      </c>
      <c r="F116">
        <v>8474.7265503518011</v>
      </c>
    </row>
    <row r="117" spans="3:6" x14ac:dyDescent="0.2">
      <c r="C117" s="11" t="s">
        <v>432</v>
      </c>
      <c r="D117" s="10">
        <v>2</v>
      </c>
      <c r="E117" s="10">
        <v>17260.497911072973</v>
      </c>
      <c r="F117">
        <v>4948.2988132327682</v>
      </c>
    </row>
    <row r="118" spans="3:6" x14ac:dyDescent="0.2">
      <c r="C118" s="11" t="s">
        <v>433</v>
      </c>
      <c r="D118" s="10">
        <v>2</v>
      </c>
      <c r="E118" s="10">
        <v>21523.970660627823</v>
      </c>
      <c r="F118">
        <v>9143.2987389737591</v>
      </c>
    </row>
    <row r="119" spans="3:6" x14ac:dyDescent="0.2">
      <c r="C119" s="11" t="s">
        <v>434</v>
      </c>
      <c r="D119" s="10">
        <v>2</v>
      </c>
      <c r="E119" s="10">
        <v>13088.562929112173</v>
      </c>
      <c r="F119">
        <v>2450.7121498982947</v>
      </c>
    </row>
    <row r="120" spans="3:6" x14ac:dyDescent="0.2">
      <c r="C120" s="11" t="s">
        <v>435</v>
      </c>
      <c r="D120" s="10">
        <v>2</v>
      </c>
      <c r="E120" s="10">
        <v>12431.060062574717</v>
      </c>
      <c r="F120">
        <v>2941.9770226615838</v>
      </c>
    </row>
    <row r="121" spans="3:6" x14ac:dyDescent="0.2">
      <c r="C121" s="11" t="s">
        <v>436</v>
      </c>
      <c r="D121" s="10">
        <v>2</v>
      </c>
      <c r="E121" s="10">
        <v>13657.300648241169</v>
      </c>
      <c r="F121">
        <v>2694.1194886102362</v>
      </c>
    </row>
    <row r="122" spans="3:6" x14ac:dyDescent="0.2">
      <c r="C122" s="11" t="s">
        <v>437</v>
      </c>
      <c r="D122" s="10">
        <v>2</v>
      </c>
      <c r="E122" s="10">
        <v>13932.923420595325</v>
      </c>
      <c r="F122">
        <v>1284.4485501521269</v>
      </c>
    </row>
    <row r="123" spans="3:6" x14ac:dyDescent="0.2">
      <c r="C123" s="11" t="s">
        <v>438</v>
      </c>
      <c r="D123" s="10">
        <v>2</v>
      </c>
      <c r="E123" s="10">
        <v>14035.042509484696</v>
      </c>
      <c r="F123">
        <v>1688.2227281703383</v>
      </c>
    </row>
    <row r="124" spans="3:6" x14ac:dyDescent="0.2">
      <c r="C124" s="11" t="s">
        <v>439</v>
      </c>
      <c r="D124" s="10">
        <v>2</v>
      </c>
      <c r="E124" s="10">
        <v>11802.451742903724</v>
      </c>
      <c r="F124">
        <v>2599.4881782625453</v>
      </c>
    </row>
    <row r="125" spans="3:6" x14ac:dyDescent="0.2">
      <c r="C125" s="11" t="s">
        <v>440</v>
      </c>
      <c r="D125" s="10">
        <v>2</v>
      </c>
      <c r="E125" s="10">
        <v>15160.072455101665</v>
      </c>
      <c r="F125">
        <v>1657.4303743704122</v>
      </c>
    </row>
    <row r="126" spans="3:6" x14ac:dyDescent="0.2">
      <c r="C126" s="11" t="s">
        <v>441</v>
      </c>
      <c r="D126" s="10">
        <v>2</v>
      </c>
      <c r="E126" s="10">
        <v>13950.750828307186</v>
      </c>
      <c r="F126">
        <v>1298.8220577422951</v>
      </c>
    </row>
    <row r="127" spans="3:6" x14ac:dyDescent="0.2">
      <c r="C127" s="11" t="s">
        <v>442</v>
      </c>
      <c r="D127" s="10">
        <v>2</v>
      </c>
      <c r="E127" s="10">
        <v>10883.668768354166</v>
      </c>
      <c r="F127">
        <v>4854.1338344460182</v>
      </c>
    </row>
    <row r="128" spans="3:6" x14ac:dyDescent="0.2">
      <c r="C128" s="11" t="s">
        <v>443</v>
      </c>
      <c r="D128" s="10">
        <v>2</v>
      </c>
      <c r="E128" s="10">
        <v>10852.515719978364</v>
      </c>
      <c r="F128">
        <v>5691.7628877795714</v>
      </c>
    </row>
    <row r="129" spans="3:6" x14ac:dyDescent="0.2">
      <c r="C129" s="11" t="s">
        <v>444</v>
      </c>
      <c r="D129" s="10">
        <v>2</v>
      </c>
      <c r="E129" s="10">
        <v>11024.969692514132</v>
      </c>
      <c r="F129">
        <v>5072.6536748430453</v>
      </c>
    </row>
    <row r="130" spans="3:6" x14ac:dyDescent="0.2">
      <c r="C130" s="11" t="s">
        <v>445</v>
      </c>
      <c r="D130" s="10">
        <v>2</v>
      </c>
      <c r="E130" s="10">
        <v>13126.228992685199</v>
      </c>
      <c r="F130">
        <v>3149.8710443051568</v>
      </c>
    </row>
    <row r="131" spans="3:6" x14ac:dyDescent="0.2">
      <c r="C131" s="11" t="s">
        <v>446</v>
      </c>
      <c r="D131" s="10">
        <v>2</v>
      </c>
      <c r="E131" s="10">
        <v>12186.980849375508</v>
      </c>
      <c r="F131">
        <v>3792.4758957326426</v>
      </c>
    </row>
    <row r="132" spans="3:6" x14ac:dyDescent="0.2">
      <c r="C132" s="11" t="s">
        <v>447</v>
      </c>
      <c r="D132" s="10">
        <v>2</v>
      </c>
      <c r="E132" s="10">
        <v>12927.521335453832</v>
      </c>
      <c r="F132">
        <v>3385.6470152232869</v>
      </c>
    </row>
    <row r="133" spans="3:6" x14ac:dyDescent="0.2">
      <c r="C133" s="11" t="s">
        <v>448</v>
      </c>
      <c r="D133" s="10">
        <v>2</v>
      </c>
      <c r="E133" s="10">
        <v>13327.818448849715</v>
      </c>
      <c r="F133">
        <v>2208.8704342806182</v>
      </c>
    </row>
    <row r="134" spans="3:6" x14ac:dyDescent="0.2">
      <c r="C134" s="11" t="s">
        <v>449</v>
      </c>
      <c r="D134" s="10">
        <v>2</v>
      </c>
      <c r="E134" s="10">
        <v>11556.402368075154</v>
      </c>
      <c r="F134">
        <v>5653.9418632545858</v>
      </c>
    </row>
    <row r="135" spans="3:6" x14ac:dyDescent="0.2">
      <c r="C135" s="11" t="s">
        <v>450</v>
      </c>
      <c r="D135" s="10">
        <v>2</v>
      </c>
      <c r="E135" s="10">
        <v>10220.845436518246</v>
      </c>
      <c r="F135">
        <v>9917.4027894545998</v>
      </c>
    </row>
    <row r="136" spans="3:6" x14ac:dyDescent="0.2">
      <c r="C136" s="11" t="s">
        <v>451</v>
      </c>
      <c r="D136" s="10">
        <v>2</v>
      </c>
      <c r="E136" s="10">
        <v>19547.34940861904</v>
      </c>
      <c r="F136">
        <v>6815.5336444359145</v>
      </c>
    </row>
    <row r="137" spans="3:6" x14ac:dyDescent="0.2">
      <c r="C137" s="11" t="s">
        <v>452</v>
      </c>
      <c r="D137" s="10">
        <v>2</v>
      </c>
      <c r="E137" s="10">
        <v>21167.779049175839</v>
      </c>
      <c r="F137">
        <v>15141.747677767276</v>
      </c>
    </row>
    <row r="138" spans="3:6" x14ac:dyDescent="0.2">
      <c r="C138" s="11" t="s">
        <v>453</v>
      </c>
      <c r="D138" s="10">
        <v>2</v>
      </c>
      <c r="E138" s="10">
        <v>10308.780982630795</v>
      </c>
      <c r="F138">
        <v>6186.5031432586438</v>
      </c>
    </row>
    <row r="139" spans="3:6" x14ac:dyDescent="0.2">
      <c r="C139" s="11" t="s">
        <v>454</v>
      </c>
      <c r="D139" s="10">
        <v>2</v>
      </c>
      <c r="E139" s="10">
        <v>15215.01005441999</v>
      </c>
      <c r="F139">
        <v>1653.5979227885678</v>
      </c>
    </row>
    <row r="140" spans="3:6" x14ac:dyDescent="0.2">
      <c r="C140" s="11" t="s">
        <v>455</v>
      </c>
      <c r="D140" s="10">
        <v>2</v>
      </c>
      <c r="E140" s="10">
        <v>12116.612555576194</v>
      </c>
      <c r="F140">
        <v>3637.3741487862198</v>
      </c>
    </row>
    <row r="141" spans="3:6" x14ac:dyDescent="0.2">
      <c r="C141" s="11" t="s">
        <v>456</v>
      </c>
      <c r="D141" s="10">
        <v>2</v>
      </c>
      <c r="E141" s="10">
        <v>11191.670393132148</v>
      </c>
      <c r="F141">
        <v>6273.4411464838986</v>
      </c>
    </row>
    <row r="142" spans="3:6" x14ac:dyDescent="0.2">
      <c r="C142" s="11" t="s">
        <v>457</v>
      </c>
      <c r="D142" s="10">
        <v>2</v>
      </c>
      <c r="E142" s="10">
        <v>13412.55555159817</v>
      </c>
      <c r="F142">
        <v>2902.966782671735</v>
      </c>
    </row>
    <row r="143" spans="3:6" x14ac:dyDescent="0.2">
      <c r="C143" s="11" t="s">
        <v>458</v>
      </c>
      <c r="D143" s="10">
        <v>2</v>
      </c>
      <c r="E143" s="10">
        <v>13110.338070115014</v>
      </c>
      <c r="F143">
        <v>3616.9449155717857</v>
      </c>
    </row>
    <row r="144" spans="3:6" x14ac:dyDescent="0.2">
      <c r="C144" s="11" t="s">
        <v>459</v>
      </c>
      <c r="D144" s="10">
        <v>2</v>
      </c>
      <c r="E144" s="10">
        <v>10332.719953879925</v>
      </c>
      <c r="F144">
        <v>6698.9210167088231</v>
      </c>
    </row>
    <row r="145" spans="3:6" x14ac:dyDescent="0.2">
      <c r="C145" s="11" t="s">
        <v>460</v>
      </c>
      <c r="D145" s="10">
        <v>2</v>
      </c>
      <c r="E145" s="10">
        <v>13355.773889563945</v>
      </c>
      <c r="F145">
        <v>2684.7058234682463</v>
      </c>
    </row>
    <row r="146" spans="3:6" x14ac:dyDescent="0.2">
      <c r="C146" s="11" t="s">
        <v>461</v>
      </c>
      <c r="D146" s="10">
        <v>1</v>
      </c>
      <c r="E146" s="10">
        <v>11052.661580739634</v>
      </c>
      <c r="F146">
        <v>13494.120253294202</v>
      </c>
    </row>
    <row r="147" spans="3:6" x14ac:dyDescent="0.2">
      <c r="C147" s="11" t="s">
        <v>462</v>
      </c>
      <c r="D147" s="10">
        <v>2</v>
      </c>
      <c r="E147" s="10">
        <v>10659.072239204233</v>
      </c>
      <c r="F147">
        <v>4800.9365558872805</v>
      </c>
    </row>
    <row r="148" spans="3:6" x14ac:dyDescent="0.2">
      <c r="C148" s="11" t="s">
        <v>463</v>
      </c>
      <c r="D148" s="10">
        <v>2</v>
      </c>
      <c r="E148" s="10">
        <v>21795.661132294757</v>
      </c>
      <c r="F148">
        <v>10332.427499896838</v>
      </c>
    </row>
    <row r="149" spans="3:6" x14ac:dyDescent="0.2">
      <c r="C149" s="11" t="s">
        <v>464</v>
      </c>
      <c r="D149" s="10">
        <v>2</v>
      </c>
      <c r="E149" s="10">
        <v>17075.929485771248</v>
      </c>
      <c r="F149">
        <v>3675.3522868229902</v>
      </c>
    </row>
    <row r="150" spans="3:6" x14ac:dyDescent="0.2">
      <c r="C150" s="11" t="s">
        <v>465</v>
      </c>
      <c r="D150" s="10">
        <v>2</v>
      </c>
      <c r="E150" s="10">
        <v>19882.872566685295</v>
      </c>
      <c r="F150">
        <v>7074.0432129922892</v>
      </c>
    </row>
    <row r="151" spans="3:6" x14ac:dyDescent="0.2">
      <c r="C151" s="11" t="s">
        <v>466</v>
      </c>
      <c r="D151" s="10">
        <v>2</v>
      </c>
      <c r="E151" s="10">
        <v>10177.038647784297</v>
      </c>
      <c r="F151">
        <v>7253.7162034712092</v>
      </c>
    </row>
    <row r="152" spans="3:6" x14ac:dyDescent="0.2">
      <c r="C152" s="11" t="s">
        <v>467</v>
      </c>
      <c r="D152" s="10">
        <v>2</v>
      </c>
      <c r="E152" s="10">
        <v>12045.735191314443</v>
      </c>
      <c r="F152">
        <v>3797.7717010216998</v>
      </c>
    </row>
    <row r="153" spans="3:6" x14ac:dyDescent="0.2">
      <c r="C153" s="11" t="s">
        <v>468</v>
      </c>
      <c r="D153" s="10">
        <v>2</v>
      </c>
      <c r="E153" s="10">
        <v>10187.190285694009</v>
      </c>
      <c r="F153">
        <v>4022.4680714416418</v>
      </c>
    </row>
    <row r="154" spans="3:6" x14ac:dyDescent="0.2">
      <c r="C154" s="11" t="s">
        <v>469</v>
      </c>
      <c r="D154" s="10">
        <v>2</v>
      </c>
      <c r="E154" s="10">
        <v>11308.19062060967</v>
      </c>
      <c r="F154">
        <v>6775.9396888984666</v>
      </c>
    </row>
    <row r="155" spans="3:6" x14ac:dyDescent="0.2">
      <c r="C155" s="11" t="s">
        <v>470</v>
      </c>
      <c r="D155" s="10">
        <v>2</v>
      </c>
      <c r="E155" s="10">
        <v>20844.17911643982</v>
      </c>
      <c r="F155">
        <v>9070.8898933616965</v>
      </c>
    </row>
    <row r="156" spans="3:6" x14ac:dyDescent="0.2">
      <c r="C156" s="11" t="s">
        <v>471</v>
      </c>
      <c r="D156" s="10">
        <v>2</v>
      </c>
      <c r="E156" s="10">
        <v>11155.114512741426</v>
      </c>
      <c r="F156">
        <v>2672.9345685863373</v>
      </c>
    </row>
    <row r="157" spans="3:6" x14ac:dyDescent="0.2">
      <c r="C157" s="11" t="s">
        <v>472</v>
      </c>
      <c r="D157" s="10">
        <v>2</v>
      </c>
      <c r="E157" s="10">
        <v>11935.584921626591</v>
      </c>
      <c r="F157">
        <v>2962.4174196062258</v>
      </c>
    </row>
    <row r="158" spans="3:6" x14ac:dyDescent="0.2">
      <c r="C158" s="11" t="s">
        <v>473</v>
      </c>
      <c r="D158" s="10">
        <v>2</v>
      </c>
      <c r="E158" s="10">
        <v>12017.845690884111</v>
      </c>
      <c r="F158">
        <v>2841.8474451388179</v>
      </c>
    </row>
    <row r="159" spans="3:6" x14ac:dyDescent="0.2">
      <c r="C159" s="11" t="s">
        <v>474</v>
      </c>
      <c r="D159" s="10">
        <v>2</v>
      </c>
      <c r="E159" s="10">
        <v>12725.640319182301</v>
      </c>
      <c r="F159">
        <v>1694.939902030756</v>
      </c>
    </row>
    <row r="160" spans="3:6" x14ac:dyDescent="0.2">
      <c r="C160" s="11" t="s">
        <v>475</v>
      </c>
      <c r="D160" s="10">
        <v>2</v>
      </c>
      <c r="E160" s="10">
        <v>11707.387897777151</v>
      </c>
      <c r="F160">
        <v>2574.5925664062602</v>
      </c>
    </row>
    <row r="161" spans="3:6" x14ac:dyDescent="0.2">
      <c r="C161" s="11" t="s">
        <v>476</v>
      </c>
      <c r="D161" s="10">
        <v>2</v>
      </c>
      <c r="E161" s="10">
        <v>9381.7834618580382</v>
      </c>
      <c r="F161">
        <v>7339.5431467441422</v>
      </c>
    </row>
    <row r="162" spans="3:6" x14ac:dyDescent="0.2">
      <c r="C162" s="11" t="s">
        <v>477</v>
      </c>
      <c r="D162" s="10">
        <v>2</v>
      </c>
      <c r="E162" s="10">
        <v>11839.618077111983</v>
      </c>
      <c r="F162">
        <v>4176.9596353666975</v>
      </c>
    </row>
    <row r="163" spans="3:6" x14ac:dyDescent="0.2">
      <c r="C163" s="11" t="s">
        <v>478</v>
      </c>
      <c r="D163" s="10">
        <v>2</v>
      </c>
      <c r="E163" s="10">
        <v>11861.686109652102</v>
      </c>
      <c r="F163">
        <v>4352.3941682968925</v>
      </c>
    </row>
    <row r="164" spans="3:6" x14ac:dyDescent="0.2">
      <c r="C164" s="11" t="s">
        <v>479</v>
      </c>
      <c r="D164" s="10">
        <v>2</v>
      </c>
      <c r="E164" s="10">
        <v>16005.826776399104</v>
      </c>
      <c r="F164">
        <v>2463.6774243028626</v>
      </c>
    </row>
    <row r="165" spans="3:6" x14ac:dyDescent="0.2">
      <c r="C165" s="11" t="s">
        <v>480</v>
      </c>
      <c r="D165" s="10">
        <v>2</v>
      </c>
      <c r="E165" s="10">
        <v>22127.030323740066</v>
      </c>
      <c r="F165">
        <v>9562.5298440588376</v>
      </c>
    </row>
    <row r="166" spans="3:6" x14ac:dyDescent="0.2">
      <c r="C166" s="11" t="s">
        <v>481</v>
      </c>
      <c r="D166" s="10">
        <v>2</v>
      </c>
      <c r="E166" s="10">
        <v>11700.60188131203</v>
      </c>
      <c r="F166">
        <v>3940.4663788325829</v>
      </c>
    </row>
    <row r="167" spans="3:6" x14ac:dyDescent="0.2">
      <c r="C167" s="11" t="s">
        <v>482</v>
      </c>
      <c r="D167" s="10">
        <v>2</v>
      </c>
      <c r="E167" s="10">
        <v>15231.055036402404</v>
      </c>
      <c r="F167">
        <v>1673.1776525199919</v>
      </c>
    </row>
    <row r="168" spans="3:6" x14ac:dyDescent="0.2">
      <c r="C168" s="11" t="s">
        <v>483</v>
      </c>
      <c r="D168" s="10">
        <v>2</v>
      </c>
      <c r="E168" s="10">
        <v>22023.685153437353</v>
      </c>
      <c r="F168">
        <v>10523.100572855996</v>
      </c>
    </row>
    <row r="169" spans="3:6" x14ac:dyDescent="0.2">
      <c r="C169" s="11" t="s">
        <v>484</v>
      </c>
      <c r="D169" s="10">
        <v>2</v>
      </c>
      <c r="E169" s="10">
        <v>10766.629114685938</v>
      </c>
      <c r="F169">
        <v>7135.6911387174341</v>
      </c>
    </row>
    <row r="170" spans="3:6" x14ac:dyDescent="0.2">
      <c r="C170" s="11" t="s">
        <v>485</v>
      </c>
      <c r="D170" s="10">
        <v>2</v>
      </c>
      <c r="E170" s="10">
        <v>10040.764045758409</v>
      </c>
      <c r="F170">
        <v>6069.3240486831992</v>
      </c>
    </row>
    <row r="171" spans="3:6" x14ac:dyDescent="0.2">
      <c r="C171" s="11" t="s">
        <v>486</v>
      </c>
      <c r="D171" s="10">
        <v>2</v>
      </c>
      <c r="E171" s="10">
        <v>12241.567499088453</v>
      </c>
      <c r="F171">
        <v>4626.7163577503034</v>
      </c>
    </row>
    <row r="172" spans="3:6" x14ac:dyDescent="0.2">
      <c r="C172" s="11" t="s">
        <v>487</v>
      </c>
      <c r="D172" s="10">
        <v>2</v>
      </c>
      <c r="E172" s="10">
        <v>17793.721649117237</v>
      </c>
      <c r="F172">
        <v>4901.672402795678</v>
      </c>
    </row>
    <row r="173" spans="3:6" x14ac:dyDescent="0.2">
      <c r="C173" s="11" t="s">
        <v>488</v>
      </c>
      <c r="D173" s="10">
        <v>2</v>
      </c>
      <c r="E173" s="10">
        <v>12127.271558734723</v>
      </c>
      <c r="F173">
        <v>1865.8580419021587</v>
      </c>
    </row>
    <row r="174" spans="3:6" x14ac:dyDescent="0.2">
      <c r="C174" s="11" t="s">
        <v>489</v>
      </c>
      <c r="D174" s="10">
        <v>2</v>
      </c>
      <c r="E174" s="10">
        <v>18087.466137554336</v>
      </c>
      <c r="F174">
        <v>4609.8691392886622</v>
      </c>
    </row>
    <row r="175" spans="3:6" x14ac:dyDescent="0.2">
      <c r="C175" s="11" t="s">
        <v>490</v>
      </c>
      <c r="D175" s="10">
        <v>2</v>
      </c>
      <c r="E175" s="10">
        <v>9789.80461289491</v>
      </c>
      <c r="F175">
        <v>8730.5972112066192</v>
      </c>
    </row>
    <row r="176" spans="3:6" x14ac:dyDescent="0.2">
      <c r="C176" s="11" t="s">
        <v>491</v>
      </c>
      <c r="D176" s="10">
        <v>2</v>
      </c>
      <c r="E176" s="10">
        <v>9479.6791543417676</v>
      </c>
      <c r="F176">
        <v>6539.3838602256219</v>
      </c>
    </row>
    <row r="177" spans="3:6" x14ac:dyDescent="0.2">
      <c r="C177" s="11" t="s">
        <v>492</v>
      </c>
      <c r="D177" s="10">
        <v>2</v>
      </c>
      <c r="E177" s="10">
        <v>14953.835305412449</v>
      </c>
      <c r="F177">
        <v>1488.2470873867303</v>
      </c>
    </row>
    <row r="178" spans="3:6" x14ac:dyDescent="0.2">
      <c r="C178" s="11" t="s">
        <v>493</v>
      </c>
      <c r="D178" s="10">
        <v>2</v>
      </c>
      <c r="E178" s="10">
        <v>16408.551605595847</v>
      </c>
      <c r="F178">
        <v>2844.6925412416358</v>
      </c>
    </row>
    <row r="179" spans="3:6" x14ac:dyDescent="0.2">
      <c r="C179" s="11" t="s">
        <v>494</v>
      </c>
      <c r="D179" s="10">
        <v>2</v>
      </c>
      <c r="E179" s="10">
        <v>23179.814672253375</v>
      </c>
      <c r="F179">
        <v>10590.847621393024</v>
      </c>
    </row>
    <row r="180" spans="3:6" x14ac:dyDescent="0.2">
      <c r="C180" s="11" t="s">
        <v>495</v>
      </c>
      <c r="D180" s="10">
        <v>2</v>
      </c>
      <c r="E180" s="10">
        <v>17990.706915630661</v>
      </c>
      <c r="F180">
        <v>4608.8012629770456</v>
      </c>
    </row>
    <row r="181" spans="3:6" x14ac:dyDescent="0.2">
      <c r="C181" s="11" t="s">
        <v>496</v>
      </c>
      <c r="D181" s="10">
        <v>2</v>
      </c>
      <c r="E181" s="10">
        <v>19304.868065098584</v>
      </c>
      <c r="F181">
        <v>10388.088755209328</v>
      </c>
    </row>
    <row r="182" spans="3:6" x14ac:dyDescent="0.2">
      <c r="C182" s="11" t="s">
        <v>497</v>
      </c>
      <c r="D182" s="10">
        <v>2</v>
      </c>
      <c r="E182" s="10">
        <v>16139.060816943283</v>
      </c>
      <c r="F182">
        <v>2768.0260744110856</v>
      </c>
    </row>
    <row r="183" spans="3:6" x14ac:dyDescent="0.2">
      <c r="C183" s="11" t="s">
        <v>498</v>
      </c>
      <c r="D183" s="10">
        <v>2</v>
      </c>
      <c r="E183" s="10">
        <v>13378.280024837935</v>
      </c>
      <c r="F183">
        <v>2609.4022450181137</v>
      </c>
    </row>
    <row r="184" spans="3:6" x14ac:dyDescent="0.2">
      <c r="C184" s="11" t="s">
        <v>499</v>
      </c>
      <c r="D184" s="10">
        <v>2</v>
      </c>
      <c r="E184" s="10">
        <v>11473.107560702594</v>
      </c>
      <c r="F184">
        <v>2359.3575587035266</v>
      </c>
    </row>
    <row r="185" spans="3:6" x14ac:dyDescent="0.2">
      <c r="C185" s="11" t="s">
        <v>500</v>
      </c>
      <c r="D185" s="10">
        <v>2</v>
      </c>
      <c r="E185" s="10">
        <v>11661.97385401437</v>
      </c>
      <c r="F185">
        <v>4540.9843033391271</v>
      </c>
    </row>
    <row r="186" spans="3:6" x14ac:dyDescent="0.2">
      <c r="C186" s="11" t="s">
        <v>501</v>
      </c>
      <c r="D186" s="10">
        <v>2</v>
      </c>
      <c r="E186" s="10">
        <v>11386.095182100924</v>
      </c>
      <c r="F186">
        <v>3167.864249296209</v>
      </c>
    </row>
    <row r="187" spans="3:6" x14ac:dyDescent="0.2">
      <c r="C187" s="11" t="s">
        <v>502</v>
      </c>
      <c r="D187" s="10">
        <v>2</v>
      </c>
      <c r="E187" s="10">
        <v>13250.2636357518</v>
      </c>
      <c r="F187">
        <v>2365.1910913496995</v>
      </c>
    </row>
    <row r="188" spans="3:6" x14ac:dyDescent="0.2">
      <c r="C188" s="11" t="s">
        <v>503</v>
      </c>
      <c r="D188" s="10">
        <v>2</v>
      </c>
      <c r="E188" s="10">
        <v>18501.580212505207</v>
      </c>
      <c r="F188">
        <v>14164.68804968947</v>
      </c>
    </row>
    <row r="189" spans="3:6" x14ac:dyDescent="0.2">
      <c r="C189" s="11" t="s">
        <v>504</v>
      </c>
      <c r="D189" s="10">
        <v>2</v>
      </c>
      <c r="E189" s="10">
        <v>13873.870729618104</v>
      </c>
      <c r="F189">
        <v>1392.147506577712</v>
      </c>
    </row>
    <row r="190" spans="3:6" x14ac:dyDescent="0.2">
      <c r="C190" s="11" t="s">
        <v>505</v>
      </c>
      <c r="D190" s="10">
        <v>2</v>
      </c>
      <c r="E190" s="10">
        <v>22053.379108936228</v>
      </c>
      <c r="F190">
        <v>14925.874156430087</v>
      </c>
    </row>
    <row r="191" spans="3:6" x14ac:dyDescent="0.2">
      <c r="C191" s="11" t="s">
        <v>506</v>
      </c>
      <c r="D191" s="10">
        <v>2</v>
      </c>
      <c r="E191" s="10">
        <v>14594.145628999122</v>
      </c>
      <c r="F191">
        <v>4562.3632409534248</v>
      </c>
    </row>
    <row r="192" spans="3:6" x14ac:dyDescent="0.2">
      <c r="C192" s="11" t="s">
        <v>507</v>
      </c>
      <c r="D192" s="10">
        <v>2</v>
      </c>
      <c r="E192" s="10">
        <v>11298.555030890204</v>
      </c>
      <c r="F192">
        <v>6302.6681687070277</v>
      </c>
    </row>
    <row r="193" spans="3:6" x14ac:dyDescent="0.2">
      <c r="C193" s="11" t="s">
        <v>508</v>
      </c>
      <c r="D193" s="10">
        <v>2</v>
      </c>
      <c r="E193" s="10">
        <v>12619.395803066596</v>
      </c>
      <c r="F193">
        <v>3712.8558981272477</v>
      </c>
    </row>
    <row r="194" spans="3:6" x14ac:dyDescent="0.2">
      <c r="C194" s="11" t="s">
        <v>509</v>
      </c>
      <c r="D194" s="10">
        <v>2</v>
      </c>
      <c r="E194" s="10">
        <v>13779.613536490771</v>
      </c>
      <c r="F194">
        <v>1588.953691150343</v>
      </c>
    </row>
    <row r="195" spans="3:6" x14ac:dyDescent="0.2">
      <c r="C195" s="11" t="s">
        <v>510</v>
      </c>
      <c r="D195" s="10">
        <v>2</v>
      </c>
      <c r="E195" s="10">
        <v>9740.6785041582352</v>
      </c>
      <c r="F195">
        <v>6701.3894685269142</v>
      </c>
    </row>
    <row r="196" spans="3:6" x14ac:dyDescent="0.2">
      <c r="C196" s="11" t="s">
        <v>511</v>
      </c>
      <c r="D196" s="10">
        <v>2</v>
      </c>
      <c r="E196" s="10">
        <v>11555.769743612887</v>
      </c>
      <c r="F196">
        <v>4745.1054295636759</v>
      </c>
    </row>
    <row r="197" spans="3:6" x14ac:dyDescent="0.2">
      <c r="C197" s="11" t="s">
        <v>512</v>
      </c>
      <c r="D197" s="10">
        <v>1</v>
      </c>
      <c r="E197" s="10">
        <v>9740.3925582822176</v>
      </c>
      <c r="F197">
        <v>9990.018235802585</v>
      </c>
    </row>
    <row r="198" spans="3:6" x14ac:dyDescent="0.2">
      <c r="C198" s="11" t="s">
        <v>513</v>
      </c>
      <c r="D198" s="10">
        <v>2</v>
      </c>
      <c r="E198" s="10">
        <v>13257.414131121212</v>
      </c>
      <c r="F198">
        <v>2303.0655931532733</v>
      </c>
    </row>
    <row r="199" spans="3:6" x14ac:dyDescent="0.2">
      <c r="C199" s="11" t="s">
        <v>514</v>
      </c>
      <c r="D199" s="10">
        <v>2</v>
      </c>
      <c r="E199" s="10">
        <v>11059.375939701853</v>
      </c>
      <c r="F199">
        <v>8029.1600628648612</v>
      </c>
    </row>
    <row r="200" spans="3:6" x14ac:dyDescent="0.2">
      <c r="C200" s="11" t="s">
        <v>515</v>
      </c>
      <c r="D200" s="10">
        <v>2</v>
      </c>
      <c r="E200" s="10">
        <v>17548.118214503302</v>
      </c>
      <c r="F200">
        <v>4180.0911220735397</v>
      </c>
    </row>
    <row r="201" spans="3:6" x14ac:dyDescent="0.2">
      <c r="C201" s="11" t="s">
        <v>516</v>
      </c>
      <c r="D201" s="10">
        <v>2</v>
      </c>
      <c r="E201" s="10">
        <v>18956.456051921668</v>
      </c>
      <c r="F201">
        <v>10163.227440531413</v>
      </c>
    </row>
    <row r="202" spans="3:6" x14ac:dyDescent="0.2">
      <c r="C202" s="11" t="s">
        <v>517</v>
      </c>
      <c r="D202" s="10">
        <v>2</v>
      </c>
      <c r="E202" s="10">
        <v>9958.4688776871626</v>
      </c>
      <c r="F202">
        <v>8924.1076642364533</v>
      </c>
    </row>
    <row r="203" spans="3:6" x14ac:dyDescent="0.2">
      <c r="C203" s="11" t="s">
        <v>518</v>
      </c>
      <c r="D203" s="10">
        <v>2</v>
      </c>
      <c r="E203" s="10">
        <v>10657.466830351392</v>
      </c>
      <c r="F203">
        <v>5258.4222543594287</v>
      </c>
    </row>
    <row r="204" spans="3:6" x14ac:dyDescent="0.2">
      <c r="C204" s="11" t="s">
        <v>519</v>
      </c>
      <c r="D204" s="10">
        <v>2</v>
      </c>
      <c r="E204" s="10">
        <v>11844.01698786747</v>
      </c>
      <c r="F204">
        <v>5404.553869978442</v>
      </c>
    </row>
    <row r="205" spans="3:6" x14ac:dyDescent="0.2">
      <c r="C205" s="11" t="s">
        <v>520</v>
      </c>
      <c r="D205" s="10">
        <v>2</v>
      </c>
      <c r="E205" s="10">
        <v>11051.563422255964</v>
      </c>
      <c r="F205">
        <v>7340.4255455596576</v>
      </c>
    </row>
    <row r="206" spans="3:6" x14ac:dyDescent="0.2">
      <c r="C206" s="11" t="s">
        <v>521</v>
      </c>
      <c r="D206" s="10">
        <v>1</v>
      </c>
      <c r="E206" s="10">
        <v>10727.269393232651</v>
      </c>
      <c r="F206">
        <v>12782.29369405035</v>
      </c>
    </row>
    <row r="207" spans="3:6" x14ac:dyDescent="0.2">
      <c r="C207" s="11" t="s">
        <v>522</v>
      </c>
      <c r="D207" s="10">
        <v>2</v>
      </c>
      <c r="E207" s="10">
        <v>10902.048177131457</v>
      </c>
      <c r="F207">
        <v>6828.8180416589812</v>
      </c>
    </row>
    <row r="208" spans="3:6" x14ac:dyDescent="0.2">
      <c r="C208" s="11" t="s">
        <v>523</v>
      </c>
      <c r="D208" s="10">
        <v>2</v>
      </c>
      <c r="E208" s="10">
        <v>12921.910413449243</v>
      </c>
      <c r="F208">
        <v>2967.8336033661535</v>
      </c>
    </row>
    <row r="209" spans="3:6" x14ac:dyDescent="0.2">
      <c r="C209" s="11" t="s">
        <v>524</v>
      </c>
      <c r="D209" s="10">
        <v>2</v>
      </c>
      <c r="E209" s="10">
        <v>11320.396098955793</v>
      </c>
      <c r="F209">
        <v>5904.1214804001602</v>
      </c>
    </row>
    <row r="210" spans="3:6" x14ac:dyDescent="0.2">
      <c r="C210" s="11" t="s">
        <v>525</v>
      </c>
      <c r="D210" s="10">
        <v>2</v>
      </c>
      <c r="E210" s="10">
        <v>11322.707635973698</v>
      </c>
      <c r="F210">
        <v>5801.6100911248495</v>
      </c>
    </row>
    <row r="211" spans="3:6" x14ac:dyDescent="0.2">
      <c r="C211" s="11" t="s">
        <v>526</v>
      </c>
      <c r="D211" s="10">
        <v>2</v>
      </c>
      <c r="E211" s="10">
        <v>15813.703236629139</v>
      </c>
      <c r="F211">
        <v>2335.0564452143913</v>
      </c>
    </row>
    <row r="212" spans="3:6" x14ac:dyDescent="0.2">
      <c r="C212" s="11" t="s">
        <v>527</v>
      </c>
      <c r="D212" s="10">
        <v>2</v>
      </c>
      <c r="E212" s="10">
        <v>13570.590057094047</v>
      </c>
      <c r="F212">
        <v>1255.8720878966271</v>
      </c>
    </row>
    <row r="213" spans="3:6" x14ac:dyDescent="0.2">
      <c r="C213" s="11" t="s">
        <v>528</v>
      </c>
      <c r="D213" s="10">
        <v>2</v>
      </c>
      <c r="E213" s="10">
        <v>19008.782043825227</v>
      </c>
      <c r="F213">
        <v>5959.887383835342</v>
      </c>
    </row>
    <row r="214" spans="3:6" x14ac:dyDescent="0.2">
      <c r="C214" s="11" t="s">
        <v>529</v>
      </c>
      <c r="D214" s="10">
        <v>2</v>
      </c>
      <c r="E214" s="10">
        <v>18743.242339383705</v>
      </c>
      <c r="F214">
        <v>5515.4730552237479</v>
      </c>
    </row>
    <row r="215" spans="3:6" x14ac:dyDescent="0.2">
      <c r="C215" s="11" t="s">
        <v>530</v>
      </c>
      <c r="D215" s="10">
        <v>2</v>
      </c>
      <c r="E215" s="10">
        <v>17795.719970998711</v>
      </c>
      <c r="F215">
        <v>4292.6607558972855</v>
      </c>
    </row>
    <row r="216" spans="3:6" x14ac:dyDescent="0.2">
      <c r="C216" s="11" t="s">
        <v>531</v>
      </c>
      <c r="D216" s="10">
        <v>2</v>
      </c>
      <c r="E216" s="10">
        <v>13561.02367892747</v>
      </c>
      <c r="F216">
        <v>998.46534494003856</v>
      </c>
    </row>
    <row r="217" spans="3:6" x14ac:dyDescent="0.2">
      <c r="C217" s="11" t="s">
        <v>532</v>
      </c>
      <c r="D217" s="10">
        <v>2</v>
      </c>
      <c r="E217" s="10">
        <v>12855.386165384822</v>
      </c>
      <c r="F217">
        <v>3431.0482457049261</v>
      </c>
    </row>
    <row r="218" spans="3:6" x14ac:dyDescent="0.2">
      <c r="C218" s="11" t="s">
        <v>533</v>
      </c>
      <c r="D218" s="10">
        <v>1</v>
      </c>
      <c r="E218" s="10">
        <v>3139.2744343472482</v>
      </c>
      <c r="F218">
        <v>14651.440332928792</v>
      </c>
    </row>
    <row r="219" spans="3:6" x14ac:dyDescent="0.2">
      <c r="C219" s="11" t="s">
        <v>534</v>
      </c>
      <c r="D219" s="10">
        <v>1</v>
      </c>
      <c r="E219" s="10">
        <v>3749.6591153416775</v>
      </c>
      <c r="F219">
        <v>13898.367735467451</v>
      </c>
    </row>
    <row r="220" spans="3:6" x14ac:dyDescent="0.2">
      <c r="C220" s="11" t="s">
        <v>535</v>
      </c>
      <c r="D220" s="10">
        <v>1</v>
      </c>
      <c r="E220" s="10">
        <v>7154.3417242709465</v>
      </c>
      <c r="F220">
        <v>12577.891900437233</v>
      </c>
    </row>
    <row r="221" spans="3:6" x14ac:dyDescent="0.2">
      <c r="C221" s="11" t="s">
        <v>536</v>
      </c>
      <c r="D221" s="10">
        <v>1</v>
      </c>
      <c r="E221" s="10">
        <v>7177.8451469738511</v>
      </c>
      <c r="F221">
        <v>15763.500630478786</v>
      </c>
    </row>
    <row r="222" spans="3:6" x14ac:dyDescent="0.2">
      <c r="C222" s="11" t="s">
        <v>537</v>
      </c>
      <c r="D222" s="10">
        <v>1</v>
      </c>
      <c r="E222" s="10">
        <v>12307.774811059217</v>
      </c>
      <c r="F222">
        <v>23673.803717655221</v>
      </c>
    </row>
    <row r="223" spans="3:6" x14ac:dyDescent="0.2">
      <c r="C223" s="11" t="s">
        <v>538</v>
      </c>
      <c r="D223" s="10">
        <v>1</v>
      </c>
      <c r="E223" s="10">
        <v>4778.9772453249861</v>
      </c>
      <c r="F223">
        <v>16641.062031460613</v>
      </c>
    </row>
    <row r="224" spans="3:6" x14ac:dyDescent="0.2">
      <c r="C224" s="11" t="s">
        <v>539</v>
      </c>
      <c r="D224" s="10">
        <v>1</v>
      </c>
      <c r="E224" s="10">
        <v>3940.065117344202</v>
      </c>
      <c r="F224">
        <v>13873.449919539513</v>
      </c>
    </row>
    <row r="225" spans="3:6" x14ac:dyDescent="0.2">
      <c r="C225" s="11" t="s">
        <v>540</v>
      </c>
      <c r="D225" s="10">
        <v>1</v>
      </c>
      <c r="E225" s="10">
        <v>8920.0213177861715</v>
      </c>
      <c r="F225">
        <v>13102.509743984479</v>
      </c>
    </row>
    <row r="226" spans="3:6" x14ac:dyDescent="0.2">
      <c r="C226" s="11" t="s">
        <v>541</v>
      </c>
      <c r="D226" s="10">
        <v>1</v>
      </c>
      <c r="E226" s="10">
        <v>6502.2546253456503</v>
      </c>
      <c r="F226">
        <v>13201.988907275829</v>
      </c>
    </row>
    <row r="227" spans="3:6" x14ac:dyDescent="0.2">
      <c r="C227" s="11" t="s">
        <v>542</v>
      </c>
      <c r="D227" s="10">
        <v>1</v>
      </c>
      <c r="E227" s="10">
        <v>6728.9334118779079</v>
      </c>
      <c r="F227">
        <v>11545.604840151924</v>
      </c>
    </row>
    <row r="228" spans="3:6" x14ac:dyDescent="0.2">
      <c r="C228" s="11" t="s">
        <v>543</v>
      </c>
      <c r="D228" s="10">
        <v>1</v>
      </c>
      <c r="E228" s="10">
        <v>13789.991619061431</v>
      </c>
      <c r="F228">
        <v>23939.436107960253</v>
      </c>
    </row>
    <row r="229" spans="3:6" x14ac:dyDescent="0.2">
      <c r="C229" s="11" t="s">
        <v>544</v>
      </c>
      <c r="D229" s="10">
        <v>1</v>
      </c>
      <c r="E229" s="10">
        <v>9593.0819019019564</v>
      </c>
      <c r="F229">
        <v>11580.740087861686</v>
      </c>
    </row>
    <row r="230" spans="3:6" x14ac:dyDescent="0.2">
      <c r="C230" s="11" t="s">
        <v>545</v>
      </c>
      <c r="D230" s="10">
        <v>1</v>
      </c>
      <c r="E230" s="10">
        <v>7963.3777749536075</v>
      </c>
      <c r="F230">
        <v>13097.648281876758</v>
      </c>
    </row>
    <row r="231" spans="3:6" x14ac:dyDescent="0.2">
      <c r="C231" s="11" t="s">
        <v>546</v>
      </c>
      <c r="D231" s="10">
        <v>1</v>
      </c>
      <c r="E231" s="10">
        <v>8672.9298868214046</v>
      </c>
      <c r="F231">
        <v>13411.309154570086</v>
      </c>
    </row>
    <row r="232" spans="3:6" x14ac:dyDescent="0.2">
      <c r="C232" s="11" t="s">
        <v>547</v>
      </c>
      <c r="D232" s="10">
        <v>1</v>
      </c>
      <c r="E232" s="10">
        <v>10104.025242691332</v>
      </c>
      <c r="F232">
        <v>21568.085214895491</v>
      </c>
    </row>
    <row r="233" spans="3:6" x14ac:dyDescent="0.2">
      <c r="C233" s="11" t="s">
        <v>548</v>
      </c>
      <c r="D233" s="10">
        <v>1</v>
      </c>
      <c r="E233" s="10">
        <v>10664.058698355624</v>
      </c>
      <c r="F233">
        <v>21693.837206043729</v>
      </c>
    </row>
    <row r="234" spans="3:6" x14ac:dyDescent="0.2">
      <c r="C234" s="11" t="s">
        <v>549</v>
      </c>
      <c r="D234" s="10">
        <v>1</v>
      </c>
      <c r="E234" s="10">
        <v>2944.2129182408712</v>
      </c>
      <c r="F234">
        <v>13860.599329536892</v>
      </c>
    </row>
    <row r="235" spans="3:6" x14ac:dyDescent="0.2">
      <c r="C235" s="11" t="s">
        <v>550</v>
      </c>
      <c r="D235" s="10">
        <v>1</v>
      </c>
      <c r="E235" s="10">
        <v>5268.4662693387136</v>
      </c>
      <c r="F235">
        <v>13679.094472239769</v>
      </c>
    </row>
    <row r="236" spans="3:6" x14ac:dyDescent="0.2">
      <c r="C236" s="11" t="s">
        <v>551</v>
      </c>
      <c r="D236" s="10">
        <v>1</v>
      </c>
      <c r="E236" s="10">
        <v>5864.8773223207854</v>
      </c>
      <c r="F236">
        <v>14600.996991543798</v>
      </c>
    </row>
    <row r="237" spans="3:6" x14ac:dyDescent="0.2">
      <c r="C237" s="11" t="s">
        <v>552</v>
      </c>
      <c r="D237" s="10">
        <v>1</v>
      </c>
      <c r="E237" s="10">
        <v>6077.761751643272</v>
      </c>
      <c r="F237">
        <v>11099.390431077896</v>
      </c>
    </row>
    <row r="238" spans="3:6" x14ac:dyDescent="0.2">
      <c r="C238" s="11" t="s">
        <v>553</v>
      </c>
      <c r="D238" s="10">
        <v>1</v>
      </c>
      <c r="E238" s="10">
        <v>6465.151886065044</v>
      </c>
      <c r="F238">
        <v>13137.118713315504</v>
      </c>
    </row>
    <row r="239" spans="3:6" x14ac:dyDescent="0.2">
      <c r="C239" s="11" t="s">
        <v>554</v>
      </c>
      <c r="D239" s="10">
        <v>1</v>
      </c>
      <c r="E239" s="10">
        <v>4191.371857950433</v>
      </c>
      <c r="F239">
        <v>14776.154499852963</v>
      </c>
    </row>
    <row r="240" spans="3:6" x14ac:dyDescent="0.2">
      <c r="C240" s="11" t="s">
        <v>555</v>
      </c>
      <c r="D240" s="10">
        <v>1</v>
      </c>
      <c r="E240" s="10">
        <v>7154.4497046751148</v>
      </c>
      <c r="F240">
        <v>9282.7712165001976</v>
      </c>
    </row>
    <row r="241" spans="3:6" x14ac:dyDescent="0.2">
      <c r="C241" s="11" t="s">
        <v>556</v>
      </c>
      <c r="D241" s="10">
        <v>1</v>
      </c>
      <c r="E241" s="10">
        <v>4514.6298015885504</v>
      </c>
      <c r="F241">
        <v>11154.098491745246</v>
      </c>
    </row>
    <row r="242" spans="3:6" x14ac:dyDescent="0.2">
      <c r="C242" s="11" t="s">
        <v>557</v>
      </c>
      <c r="D242" s="10">
        <v>1</v>
      </c>
      <c r="E242" s="10">
        <v>6626.6196381592863</v>
      </c>
      <c r="F242">
        <v>10344.90861628763</v>
      </c>
    </row>
    <row r="243" spans="3:6" x14ac:dyDescent="0.2">
      <c r="C243" s="11" t="s">
        <v>558</v>
      </c>
      <c r="D243" s="10">
        <v>1</v>
      </c>
      <c r="E243" s="10">
        <v>43777.007801587999</v>
      </c>
      <c r="F243">
        <v>51088.722360442567</v>
      </c>
    </row>
    <row r="244" spans="3:6" x14ac:dyDescent="0.2">
      <c r="C244" s="11" t="s">
        <v>559</v>
      </c>
      <c r="D244" s="10">
        <v>1</v>
      </c>
      <c r="E244" s="10">
        <v>6229.7210574563351</v>
      </c>
      <c r="F244">
        <v>14264.416730794648</v>
      </c>
    </row>
    <row r="245" spans="3:6" x14ac:dyDescent="0.2">
      <c r="C245" s="11" t="s">
        <v>560</v>
      </c>
      <c r="D245" s="10">
        <v>1</v>
      </c>
      <c r="E245" s="10">
        <v>7463.8779306091992</v>
      </c>
      <c r="F245">
        <v>18221.875098853372</v>
      </c>
    </row>
    <row r="246" spans="3:6" x14ac:dyDescent="0.2">
      <c r="C246" s="11" t="s">
        <v>561</v>
      </c>
      <c r="D246" s="10">
        <v>1</v>
      </c>
      <c r="E246" s="10">
        <v>1350.9371296462839</v>
      </c>
      <c r="F246">
        <v>13369.087409919197</v>
      </c>
    </row>
    <row r="247" spans="3:6" x14ac:dyDescent="0.2">
      <c r="C247" s="11" t="s">
        <v>562</v>
      </c>
      <c r="D247" s="10">
        <v>1</v>
      </c>
      <c r="E247" s="10">
        <v>7299.1226731659899</v>
      </c>
      <c r="F247">
        <v>11560.796014116329</v>
      </c>
    </row>
    <row r="248" spans="3:6" x14ac:dyDescent="0.2">
      <c r="C248" s="11" t="s">
        <v>563</v>
      </c>
      <c r="D248" s="10">
        <v>1</v>
      </c>
      <c r="E248" s="10">
        <v>9069.7743263389766</v>
      </c>
      <c r="F248">
        <v>12219.290614619458</v>
      </c>
    </row>
    <row r="249" spans="3:6" x14ac:dyDescent="0.2">
      <c r="C249" s="11" t="s">
        <v>564</v>
      </c>
      <c r="D249" s="10">
        <v>1</v>
      </c>
      <c r="E249" s="10">
        <v>2949.1679208008732</v>
      </c>
      <c r="F249">
        <v>12162.840905320305</v>
      </c>
    </row>
    <row r="250" spans="3:6" x14ac:dyDescent="0.2">
      <c r="C250" s="11" t="s">
        <v>565</v>
      </c>
      <c r="D250" s="10">
        <v>1</v>
      </c>
      <c r="E250" s="10">
        <v>3423.8920623046934</v>
      </c>
      <c r="F250">
        <v>11718.524941215499</v>
      </c>
    </row>
    <row r="251" spans="3:6" x14ac:dyDescent="0.2">
      <c r="C251" s="11" t="s">
        <v>566</v>
      </c>
      <c r="D251" s="10">
        <v>1</v>
      </c>
      <c r="E251" s="10">
        <v>3727.8603183509244</v>
      </c>
      <c r="F251">
        <v>11634.598326087053</v>
      </c>
    </row>
    <row r="252" spans="3:6" x14ac:dyDescent="0.2">
      <c r="C252" s="11" t="s">
        <v>567</v>
      </c>
      <c r="D252" s="10">
        <v>1</v>
      </c>
      <c r="E252" s="10">
        <v>8112.7372207816206</v>
      </c>
      <c r="F252">
        <v>16615.896072970343</v>
      </c>
    </row>
    <row r="253" spans="3:6" x14ac:dyDescent="0.2">
      <c r="C253" s="11" t="s">
        <v>568</v>
      </c>
      <c r="D253" s="10">
        <v>1</v>
      </c>
      <c r="E253" s="10">
        <v>7203.2986760741269</v>
      </c>
      <c r="F253">
        <v>15629.333984265939</v>
      </c>
    </row>
    <row r="254" spans="3:6" x14ac:dyDescent="0.2">
      <c r="C254" s="11" t="s">
        <v>569</v>
      </c>
      <c r="D254" s="10">
        <v>1</v>
      </c>
      <c r="E254" s="10">
        <v>24676.940210185305</v>
      </c>
      <c r="F254">
        <v>33053.214130797933</v>
      </c>
    </row>
    <row r="255" spans="3:6" x14ac:dyDescent="0.2">
      <c r="C255" s="11" t="s">
        <v>570</v>
      </c>
      <c r="D255" s="10">
        <v>1</v>
      </c>
      <c r="E255" s="10">
        <v>4770.8859204342243</v>
      </c>
      <c r="F255">
        <v>14323.283235557974</v>
      </c>
    </row>
    <row r="256" spans="3:6" x14ac:dyDescent="0.2">
      <c r="C256" s="11" t="s">
        <v>571</v>
      </c>
      <c r="D256" s="10">
        <v>1</v>
      </c>
      <c r="E256" s="10">
        <v>6103.0800441967631</v>
      </c>
      <c r="F256">
        <v>11421.335907081684</v>
      </c>
    </row>
    <row r="257" spans="3:6" x14ac:dyDescent="0.2">
      <c r="C257" s="11" t="s">
        <v>572</v>
      </c>
      <c r="D257" s="10">
        <v>1</v>
      </c>
      <c r="E257" s="10">
        <v>5021.9475731431958</v>
      </c>
      <c r="F257">
        <v>13985.936518545632</v>
      </c>
    </row>
    <row r="258" spans="3:6" x14ac:dyDescent="0.2">
      <c r="C258" s="11" t="s">
        <v>573</v>
      </c>
      <c r="D258" s="10">
        <v>1</v>
      </c>
      <c r="E258" s="10">
        <v>9232.5084143415716</v>
      </c>
      <c r="F258">
        <v>10473.118014815462</v>
      </c>
    </row>
    <row r="259" spans="3:6" x14ac:dyDescent="0.2">
      <c r="C259" s="11" t="s">
        <v>574</v>
      </c>
      <c r="D259" s="10">
        <v>1</v>
      </c>
      <c r="E259" s="10">
        <v>9363.7561798106453</v>
      </c>
      <c r="F259">
        <v>10548.979742207019</v>
      </c>
    </row>
    <row r="260" spans="3:6" x14ac:dyDescent="0.2">
      <c r="C260" s="11" t="s">
        <v>575</v>
      </c>
      <c r="D260" s="10">
        <v>2</v>
      </c>
      <c r="E260" s="10">
        <v>20039.352258659983</v>
      </c>
      <c r="F260">
        <v>6863.7951283974098</v>
      </c>
    </row>
    <row r="261" spans="3:6" x14ac:dyDescent="0.2">
      <c r="C261" s="11" t="s">
        <v>576</v>
      </c>
      <c r="D261" s="10">
        <v>2</v>
      </c>
      <c r="E261" s="10">
        <v>18596.122431368458</v>
      </c>
      <c r="F261">
        <v>5771.5250976164698</v>
      </c>
    </row>
    <row r="262" spans="3:6" x14ac:dyDescent="0.2">
      <c r="C262" s="11" t="s">
        <v>577</v>
      </c>
      <c r="D262" s="10">
        <v>2</v>
      </c>
      <c r="E262" s="10">
        <v>14182.601205310984</v>
      </c>
      <c r="F262">
        <v>1518.1064492680935</v>
      </c>
    </row>
    <row r="263" spans="3:6" x14ac:dyDescent="0.2">
      <c r="C263" s="11" t="s">
        <v>578</v>
      </c>
      <c r="D263" s="10">
        <v>2</v>
      </c>
      <c r="E263" s="10">
        <v>13869.783456960446</v>
      </c>
      <c r="F263">
        <v>2840.6003116740344</v>
      </c>
    </row>
    <row r="264" spans="3:6" x14ac:dyDescent="0.2">
      <c r="C264" s="11" t="s">
        <v>579</v>
      </c>
      <c r="D264" s="10">
        <v>2</v>
      </c>
      <c r="E264" s="10">
        <v>12071.068795113215</v>
      </c>
      <c r="F264">
        <v>2523.1266993665363</v>
      </c>
    </row>
    <row r="265" spans="3:6" x14ac:dyDescent="0.2">
      <c r="C265" s="11" t="s">
        <v>580</v>
      </c>
      <c r="D265" s="10">
        <v>2</v>
      </c>
      <c r="E265" s="10">
        <v>14898.916119110998</v>
      </c>
      <c r="F265">
        <v>2021.6614694444529</v>
      </c>
    </row>
    <row r="266" spans="3:6" x14ac:dyDescent="0.2">
      <c r="C266" s="11" t="s">
        <v>581</v>
      </c>
      <c r="D266" s="10">
        <v>2</v>
      </c>
      <c r="E266" s="10">
        <v>14345.77531546405</v>
      </c>
      <c r="F266">
        <v>4412.6605615864037</v>
      </c>
    </row>
    <row r="267" spans="3:6" x14ac:dyDescent="0.2">
      <c r="C267" s="11" t="s">
        <v>582</v>
      </c>
      <c r="D267" s="10">
        <v>2</v>
      </c>
      <c r="E267" s="10">
        <v>12091.186563863468</v>
      </c>
      <c r="F267">
        <v>3976.1706516593408</v>
      </c>
    </row>
    <row r="268" spans="3:6" x14ac:dyDescent="0.2">
      <c r="C268" s="11" t="s">
        <v>583</v>
      </c>
      <c r="D268" s="10">
        <v>2</v>
      </c>
      <c r="E268" s="10">
        <v>15359.089910385213</v>
      </c>
      <c r="F268">
        <v>2010.3804186436607</v>
      </c>
    </row>
    <row r="269" spans="3:6" x14ac:dyDescent="0.2">
      <c r="C269" s="11" t="s">
        <v>584</v>
      </c>
      <c r="D269" s="10">
        <v>1</v>
      </c>
      <c r="E269" s="10">
        <v>9194.1270620320811</v>
      </c>
      <c r="F269">
        <v>11524.346972903419</v>
      </c>
    </row>
    <row r="270" spans="3:6" x14ac:dyDescent="0.2">
      <c r="C270" s="11" t="s">
        <v>585</v>
      </c>
      <c r="D270" s="10">
        <v>2</v>
      </c>
      <c r="E270" s="10">
        <v>12596.204406575887</v>
      </c>
      <c r="F270">
        <v>1213.4613952697773</v>
      </c>
    </row>
    <row r="271" spans="3:6" x14ac:dyDescent="0.2">
      <c r="C271" s="11" t="s">
        <v>586</v>
      </c>
      <c r="D271" s="10">
        <v>2</v>
      </c>
      <c r="E271" s="10">
        <v>13633.82258504359</v>
      </c>
      <c r="F271">
        <v>730.63332545994899</v>
      </c>
    </row>
    <row r="272" spans="3:6" x14ac:dyDescent="0.2">
      <c r="C272" s="11" t="s">
        <v>587</v>
      </c>
      <c r="D272" s="10">
        <v>2</v>
      </c>
      <c r="E272" s="10">
        <v>14274.623339591755</v>
      </c>
      <c r="F272">
        <v>1700.7778813347841</v>
      </c>
    </row>
    <row r="273" spans="3:6" x14ac:dyDescent="0.2">
      <c r="C273" s="11" t="s">
        <v>588</v>
      </c>
      <c r="D273" s="10">
        <v>2</v>
      </c>
      <c r="E273" s="10">
        <v>13923.270955718523</v>
      </c>
      <c r="F273">
        <v>2311.4010907359338</v>
      </c>
    </row>
    <row r="274" spans="3:6" x14ac:dyDescent="0.2">
      <c r="C274" s="11" t="s">
        <v>589</v>
      </c>
      <c r="D274" s="10">
        <v>2</v>
      </c>
      <c r="E274" s="10">
        <v>20596.804786368597</v>
      </c>
      <c r="F274">
        <v>8327.4102434571432</v>
      </c>
    </row>
    <row r="275" spans="3:6" x14ac:dyDescent="0.2">
      <c r="C275" s="11" t="s">
        <v>590</v>
      </c>
      <c r="D275" s="10">
        <v>2</v>
      </c>
      <c r="E275" s="10">
        <v>18024.030744594846</v>
      </c>
      <c r="F275">
        <v>4607.8038638197695</v>
      </c>
    </row>
    <row r="276" spans="3:6" x14ac:dyDescent="0.2">
      <c r="C276" s="11" t="s">
        <v>591</v>
      </c>
      <c r="D276" s="10">
        <v>2</v>
      </c>
      <c r="E276" s="10">
        <v>21653.309489000672</v>
      </c>
      <c r="F276">
        <v>9343.795332327456</v>
      </c>
    </row>
    <row r="277" spans="3:6" x14ac:dyDescent="0.2">
      <c r="C277" s="11" t="s">
        <v>592</v>
      </c>
      <c r="D277" s="10">
        <v>2</v>
      </c>
      <c r="E277" s="10">
        <v>11927.716904058212</v>
      </c>
      <c r="F277">
        <v>5637.2834663412741</v>
      </c>
    </row>
    <row r="278" spans="3:6" x14ac:dyDescent="0.2">
      <c r="C278" s="11" t="s">
        <v>593</v>
      </c>
      <c r="D278" s="10">
        <v>2</v>
      </c>
      <c r="E278" s="10">
        <v>9161.9103844584643</v>
      </c>
      <c r="F278">
        <v>5138.52345791072</v>
      </c>
    </row>
    <row r="279" spans="3:6" x14ac:dyDescent="0.2">
      <c r="C279" s="11" t="s">
        <v>594</v>
      </c>
      <c r="D279" s="10">
        <v>2</v>
      </c>
      <c r="E279" s="10">
        <v>21610.313228519441</v>
      </c>
      <c r="F279">
        <v>12068.509960963103</v>
      </c>
    </row>
    <row r="280" spans="3:6" x14ac:dyDescent="0.2">
      <c r="C280" s="11" t="s">
        <v>595</v>
      </c>
      <c r="D280" s="10">
        <v>2</v>
      </c>
      <c r="E280" s="10">
        <v>13990.355033997635</v>
      </c>
      <c r="F280">
        <v>3370.2597253623271</v>
      </c>
    </row>
    <row r="281" spans="3:6" x14ac:dyDescent="0.2">
      <c r="C281" s="11" t="s">
        <v>596</v>
      </c>
      <c r="D281" s="10">
        <v>2</v>
      </c>
      <c r="E281" s="10">
        <v>12696.334035274123</v>
      </c>
      <c r="F281">
        <v>4169.4417728453927</v>
      </c>
    </row>
    <row r="282" spans="3:6" x14ac:dyDescent="0.2">
      <c r="C282" s="11" t="s">
        <v>597</v>
      </c>
      <c r="D282" s="10">
        <v>2</v>
      </c>
      <c r="E282" s="10">
        <v>14704.226102887042</v>
      </c>
      <c r="F282">
        <v>2098.4740184275192</v>
      </c>
    </row>
    <row r="283" spans="3:6" x14ac:dyDescent="0.2">
      <c r="C283" s="11" t="s">
        <v>598</v>
      </c>
      <c r="D283" s="10">
        <v>2</v>
      </c>
      <c r="E283" s="10">
        <v>21172.214437146424</v>
      </c>
      <c r="F283">
        <v>8433.724739435158</v>
      </c>
    </row>
    <row r="284" spans="3:6" x14ac:dyDescent="0.2">
      <c r="C284" s="11" t="s">
        <v>599</v>
      </c>
      <c r="D284" s="10">
        <v>2</v>
      </c>
      <c r="E284" s="10">
        <v>11636.004394090667</v>
      </c>
      <c r="F284">
        <v>5121.415789561026</v>
      </c>
    </row>
    <row r="285" spans="3:6" x14ac:dyDescent="0.2">
      <c r="C285" s="11" t="s">
        <v>600</v>
      </c>
      <c r="D285" s="10">
        <v>2</v>
      </c>
      <c r="E285" s="10">
        <v>13432.174794773216</v>
      </c>
      <c r="F285">
        <v>741.93825728949867</v>
      </c>
    </row>
    <row r="286" spans="3:6" x14ac:dyDescent="0.2">
      <c r="C286" s="11" t="s">
        <v>601</v>
      </c>
      <c r="D286" s="10">
        <v>2</v>
      </c>
      <c r="E286" s="10">
        <v>22906.66219905849</v>
      </c>
      <c r="F286">
        <v>15492.337950846098</v>
      </c>
    </row>
    <row r="287" spans="3:6" x14ac:dyDescent="0.2">
      <c r="C287" s="11" t="s">
        <v>602</v>
      </c>
      <c r="D287" s="10">
        <v>2</v>
      </c>
      <c r="E287" s="10">
        <v>11354.173026364113</v>
      </c>
      <c r="F287">
        <v>3777.0058076369151</v>
      </c>
    </row>
    <row r="288" spans="3:6" x14ac:dyDescent="0.2">
      <c r="C288" s="11" t="s">
        <v>603</v>
      </c>
      <c r="D288" s="10">
        <v>2</v>
      </c>
      <c r="E288" s="10">
        <v>10690.380887767529</v>
      </c>
      <c r="F288">
        <v>4462.1873284748581</v>
      </c>
    </row>
    <row r="289" spans="3:6" x14ac:dyDescent="0.2">
      <c r="C289" s="11" t="s">
        <v>604</v>
      </c>
      <c r="D289" s="10">
        <v>2</v>
      </c>
      <c r="E289" s="10">
        <v>17648.202665074248</v>
      </c>
      <c r="F289">
        <v>4944.8994713845104</v>
      </c>
    </row>
    <row r="290" spans="3:6" x14ac:dyDescent="0.2">
      <c r="C290" s="11" t="s">
        <v>605</v>
      </c>
      <c r="D290" s="10">
        <v>2</v>
      </c>
      <c r="E290" s="10">
        <v>20368.741057231706</v>
      </c>
      <c r="F290">
        <v>9955.1634210875</v>
      </c>
    </row>
    <row r="291" spans="3:6" x14ac:dyDescent="0.2">
      <c r="C291" s="11" t="s">
        <v>606</v>
      </c>
      <c r="D291" s="10">
        <v>2</v>
      </c>
      <c r="E291" s="10">
        <v>20154.342720351477</v>
      </c>
      <c r="F291">
        <v>7709.4098364021802</v>
      </c>
    </row>
    <row r="292" spans="3:6" x14ac:dyDescent="0.2">
      <c r="C292" s="11" t="s">
        <v>607</v>
      </c>
      <c r="D292" s="10">
        <v>2</v>
      </c>
      <c r="E292" s="10">
        <v>17043.283412641078</v>
      </c>
      <c r="F292">
        <v>3494.6111691643246</v>
      </c>
    </row>
    <row r="293" spans="3:6" x14ac:dyDescent="0.2">
      <c r="C293" s="11" t="s">
        <v>608</v>
      </c>
      <c r="D293" s="10">
        <v>2</v>
      </c>
      <c r="E293" s="10">
        <v>10024.431859657581</v>
      </c>
      <c r="F293">
        <v>8567.4991399121864</v>
      </c>
    </row>
    <row r="294" spans="3:6" x14ac:dyDescent="0.2">
      <c r="C294" s="11" t="s">
        <v>609</v>
      </c>
      <c r="D294" s="10">
        <v>2</v>
      </c>
      <c r="E294" s="10">
        <v>22507.300632436421</v>
      </c>
      <c r="F294">
        <v>9701.3047508223954</v>
      </c>
    </row>
    <row r="295" spans="3:6" x14ac:dyDescent="0.2">
      <c r="C295" s="11" t="s">
        <v>610</v>
      </c>
      <c r="D295" s="10">
        <v>2</v>
      </c>
      <c r="E295" s="10">
        <v>21239.673563009965</v>
      </c>
      <c r="F295">
        <v>8838.8619075944243</v>
      </c>
    </row>
    <row r="296" spans="3:6" x14ac:dyDescent="0.2">
      <c r="C296" s="11" t="s">
        <v>611</v>
      </c>
      <c r="D296" s="10">
        <v>2</v>
      </c>
      <c r="E296" s="10">
        <v>14472.881061219126</v>
      </c>
      <c r="F296">
        <v>1482.5195212668405</v>
      </c>
    </row>
    <row r="297" spans="3:6" x14ac:dyDescent="0.2">
      <c r="C297" s="11" t="s">
        <v>612</v>
      </c>
      <c r="D297" s="10">
        <v>2</v>
      </c>
      <c r="E297" s="10">
        <v>13244.672637654074</v>
      </c>
      <c r="F297">
        <v>797.36097121885541</v>
      </c>
    </row>
    <row r="298" spans="3:6" x14ac:dyDescent="0.2">
      <c r="C298" s="11" t="s">
        <v>613</v>
      </c>
      <c r="D298" s="10">
        <v>2</v>
      </c>
      <c r="E298" s="10">
        <v>15734.225489680322</v>
      </c>
      <c r="F298">
        <v>2447.886570317376</v>
      </c>
    </row>
    <row r="299" spans="3:6" x14ac:dyDescent="0.2">
      <c r="C299" s="11" t="s">
        <v>614</v>
      </c>
      <c r="D299" s="10">
        <v>2</v>
      </c>
      <c r="E299" s="10">
        <v>17109.072537806405</v>
      </c>
      <c r="F299">
        <v>3621.4114225839317</v>
      </c>
    </row>
    <row r="300" spans="3:6" x14ac:dyDescent="0.2">
      <c r="C300" s="11" t="s">
        <v>615</v>
      </c>
      <c r="D300" s="10">
        <v>2</v>
      </c>
      <c r="E300" s="10">
        <v>13008.257598200469</v>
      </c>
      <c r="F300">
        <v>2694.0525091840732</v>
      </c>
    </row>
    <row r="301" spans="3:6" x14ac:dyDescent="0.2">
      <c r="C301" s="11" t="s">
        <v>616</v>
      </c>
      <c r="D301" s="10">
        <v>2</v>
      </c>
      <c r="E301" s="10">
        <v>13076.101304985825</v>
      </c>
      <c r="F301">
        <v>1766.6419949151102</v>
      </c>
    </row>
    <row r="302" spans="3:6" x14ac:dyDescent="0.2">
      <c r="C302" s="11" t="s">
        <v>617</v>
      </c>
      <c r="D302" s="10">
        <v>2</v>
      </c>
      <c r="E302" s="10">
        <v>12737.404936166171</v>
      </c>
      <c r="F302">
        <v>2327.7337773853956</v>
      </c>
    </row>
    <row r="303" spans="3:6" x14ac:dyDescent="0.2">
      <c r="C303" s="11" t="s">
        <v>618</v>
      </c>
      <c r="D303" s="10">
        <v>2</v>
      </c>
      <c r="E303" s="10">
        <v>13044.298496159347</v>
      </c>
      <c r="F303">
        <v>1454.163019779249</v>
      </c>
    </row>
    <row r="304" spans="3:6" x14ac:dyDescent="0.2">
      <c r="C304" s="11" t="s">
        <v>619</v>
      </c>
      <c r="D304" s="10">
        <v>2</v>
      </c>
      <c r="E304" s="10">
        <v>11231.887762422199</v>
      </c>
      <c r="F304">
        <v>3238.5224072269634</v>
      </c>
    </row>
    <row r="305" spans="3:6" x14ac:dyDescent="0.2">
      <c r="C305" s="11" t="s">
        <v>620</v>
      </c>
      <c r="D305" s="10">
        <v>2</v>
      </c>
      <c r="E305" s="10">
        <v>16081.447820352116</v>
      </c>
      <c r="F305">
        <v>8749.6224689437859</v>
      </c>
    </row>
    <row r="306" spans="3:6" x14ac:dyDescent="0.2">
      <c r="C306" s="11" t="s">
        <v>621</v>
      </c>
      <c r="D306" s="10">
        <v>1</v>
      </c>
      <c r="E306" s="10">
        <v>6998.6247726712099</v>
      </c>
      <c r="F306">
        <v>10787.415609681753</v>
      </c>
    </row>
    <row r="307" spans="3:6" x14ac:dyDescent="0.2">
      <c r="C307" s="11" t="s">
        <v>622</v>
      </c>
      <c r="D307" s="10">
        <v>2</v>
      </c>
      <c r="E307" s="10">
        <v>11652.84306346007</v>
      </c>
      <c r="F307">
        <v>4142.2559442627035</v>
      </c>
    </row>
    <row r="308" spans="3:6" x14ac:dyDescent="0.2">
      <c r="C308" s="11" t="s">
        <v>623</v>
      </c>
      <c r="D308" s="10">
        <v>2</v>
      </c>
      <c r="E308" s="10">
        <v>11696.243451872862</v>
      </c>
      <c r="F308">
        <v>5602.691422839911</v>
      </c>
    </row>
    <row r="309" spans="3:6" x14ac:dyDescent="0.2">
      <c r="C309" s="11" t="s">
        <v>624</v>
      </c>
      <c r="D309" s="10">
        <v>2</v>
      </c>
      <c r="E309" s="10">
        <v>13181.571128727817</v>
      </c>
      <c r="F309">
        <v>1638.7881947933033</v>
      </c>
    </row>
    <row r="310" spans="3:6" x14ac:dyDescent="0.2">
      <c r="C310" s="11" t="s">
        <v>625</v>
      </c>
      <c r="D310" s="10">
        <v>2</v>
      </c>
      <c r="E310" s="10">
        <v>12403.955775144137</v>
      </c>
      <c r="F310">
        <v>4150.641947402537</v>
      </c>
    </row>
    <row r="311" spans="3:6" x14ac:dyDescent="0.2">
      <c r="C311" s="11" t="s">
        <v>626</v>
      </c>
      <c r="D311" s="10">
        <v>2</v>
      </c>
      <c r="E311" s="10">
        <v>13001.702072977971</v>
      </c>
      <c r="F311">
        <v>3468.9301615819008</v>
      </c>
    </row>
    <row r="312" spans="3:6" x14ac:dyDescent="0.2">
      <c r="C312" s="11" t="s">
        <v>627</v>
      </c>
      <c r="D312" s="10">
        <v>2</v>
      </c>
      <c r="E312" s="10">
        <v>14552.096735642608</v>
      </c>
      <c r="F312">
        <v>1464.2359763406002</v>
      </c>
    </row>
    <row r="313" spans="3:6" x14ac:dyDescent="0.2">
      <c r="C313" s="11" t="s">
        <v>628</v>
      </c>
      <c r="D313" s="10">
        <v>2</v>
      </c>
      <c r="E313" s="10">
        <v>10200.264419874078</v>
      </c>
      <c r="F313">
        <v>5667.1659370980815</v>
      </c>
    </row>
    <row r="314" spans="3:6" x14ac:dyDescent="0.2">
      <c r="C314" s="11" t="s">
        <v>629</v>
      </c>
      <c r="D314" s="10">
        <v>2</v>
      </c>
      <c r="E314" s="10">
        <v>13229.187760768355</v>
      </c>
      <c r="F314">
        <v>618.38315136448784</v>
      </c>
    </row>
    <row r="315" spans="3:6" x14ac:dyDescent="0.2">
      <c r="C315" s="11" t="s">
        <v>630</v>
      </c>
      <c r="D315" s="10">
        <v>2</v>
      </c>
      <c r="E315" s="10">
        <v>15400.515851715294</v>
      </c>
      <c r="F315">
        <v>1933.6072523743735</v>
      </c>
    </row>
    <row r="316" spans="3:6" x14ac:dyDescent="0.2">
      <c r="C316" s="11" t="s">
        <v>631</v>
      </c>
      <c r="D316" s="10">
        <v>1</v>
      </c>
      <c r="E316" s="10">
        <v>5945.8927095948929</v>
      </c>
      <c r="F316">
        <v>9492.5544726389398</v>
      </c>
    </row>
    <row r="317" spans="3:6" x14ac:dyDescent="0.2">
      <c r="C317" s="11" t="s">
        <v>632</v>
      </c>
      <c r="D317" s="10">
        <v>2</v>
      </c>
      <c r="E317" s="10">
        <v>15718.284736192607</v>
      </c>
      <c r="F317">
        <v>2117.3845839288533</v>
      </c>
    </row>
    <row r="318" spans="3:6" x14ac:dyDescent="0.2">
      <c r="C318" s="11" t="s">
        <v>633</v>
      </c>
      <c r="D318" s="10">
        <v>2</v>
      </c>
      <c r="E318" s="10">
        <v>14450.503148790973</v>
      </c>
      <c r="F318">
        <v>850.86444715023231</v>
      </c>
    </row>
    <row r="319" spans="3:6" x14ac:dyDescent="0.2">
      <c r="C319" s="11" t="s">
        <v>634</v>
      </c>
      <c r="D319" s="10">
        <v>2</v>
      </c>
      <c r="E319" s="10">
        <v>13619.197448156199</v>
      </c>
      <c r="F319">
        <v>3148.8249745254138</v>
      </c>
    </row>
  </sheetData>
  <mergeCells count="8">
    <mergeCell ref="B3:M3"/>
    <mergeCell ref="P3:S3"/>
    <mergeCell ref="B4:C4"/>
    <mergeCell ref="D4:E4"/>
    <mergeCell ref="F4:G4"/>
    <mergeCell ref="H4:I4"/>
    <mergeCell ref="J4:K4"/>
    <mergeCell ref="L4:M4"/>
  </mergeCells>
  <hyperlinks>
    <hyperlink ref="B4" location="'KMC_Clusters1'!$B$10:$B$10" display="Cluster Labels" xr:uid="{54B8AF2A-67C1-464A-8338-67A9ABE5E607}"/>
    <hyperlink ref="D4" location="'KMC_Output1'!$B$10:$B$10" display="Inputs" xr:uid="{ADEBA572-CAE2-1D40-9741-B63668B0324B}"/>
    <hyperlink ref="F4" location="'KMC_Output1'!$B$33:$B$33" display="Random Starts Summary" xr:uid="{A8BEF3B4-E111-2341-92C4-64F1250ACAAE}"/>
    <hyperlink ref="H4" location="'KMC_Output1'!$B$40:$B$40" display="Cluster Centers" xr:uid="{3560FAEE-5DBF-7641-8D67-DF2D39BB2264}"/>
    <hyperlink ref="J4" location="'KMC_Output1'!$B$46:$B$46" display="Inter-Cluster Distances" xr:uid="{E8E4E9A6-9C76-534D-9EE4-4F84C720D7E5}"/>
    <hyperlink ref="L4" location="'KMC_Output1'!$B$52:$B$52" display="Cluster Summary" xr:uid="{A23F1E5D-16D1-DE4E-A206-9600C5465BF0}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B132E-5FD9-214E-B2FC-034E96FE4409}">
  <dimension ref="B1:CV57"/>
  <sheetViews>
    <sheetView showGridLines="0" topLeftCell="A40" workbookViewId="0">
      <selection activeCell="I50" sqref="I50"/>
    </sheetView>
  </sheetViews>
  <sheetFormatPr baseColWidth="10" defaultRowHeight="13" x14ac:dyDescent="0.2"/>
  <cols>
    <col min="5" max="5" width="16.33203125" customWidth="1"/>
    <col min="6" max="6" width="12.6640625" customWidth="1"/>
    <col min="7" max="7" width="16" customWidth="1"/>
    <col min="8" max="9" width="15" customWidth="1"/>
    <col min="10" max="10" width="14.33203125" customWidth="1"/>
    <col min="11" max="11" width="18" customWidth="1"/>
    <col min="12" max="12" width="13.5" customWidth="1"/>
    <col min="13" max="14" width="15" customWidth="1"/>
    <col min="16" max="16" width="13.83203125" bestFit="1" customWidth="1"/>
  </cols>
  <sheetData>
    <row r="1" spans="2:100" ht="19" x14ac:dyDescent="0.25">
      <c r="B1" s="8" t="s">
        <v>640</v>
      </c>
      <c r="N1" t="s">
        <v>318</v>
      </c>
      <c r="CV1" s="15" t="s">
        <v>661</v>
      </c>
    </row>
    <row r="3" spans="2:100" ht="16" x14ac:dyDescent="0.2">
      <c r="B3" s="20" t="s">
        <v>316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P3" s="21" t="s">
        <v>319</v>
      </c>
      <c r="Q3" s="21"/>
      <c r="R3" s="21"/>
      <c r="S3" s="21"/>
    </row>
    <row r="4" spans="2:100" ht="14" x14ac:dyDescent="0.2">
      <c r="B4" s="19" t="s">
        <v>317</v>
      </c>
      <c r="C4" s="19"/>
      <c r="D4" s="19" t="s">
        <v>635</v>
      </c>
      <c r="E4" s="19"/>
      <c r="F4" s="19" t="s">
        <v>636</v>
      </c>
      <c r="G4" s="19"/>
      <c r="H4" s="19" t="s">
        <v>637</v>
      </c>
      <c r="I4" s="19"/>
      <c r="J4" s="19" t="s">
        <v>638</v>
      </c>
      <c r="K4" s="19"/>
      <c r="L4" s="19" t="s">
        <v>639</v>
      </c>
      <c r="M4" s="19"/>
      <c r="P4" s="14" t="s">
        <v>320</v>
      </c>
      <c r="Q4" s="14" t="s">
        <v>321</v>
      </c>
      <c r="R4" s="14" t="s">
        <v>322</v>
      </c>
      <c r="S4" s="14" t="s">
        <v>323</v>
      </c>
    </row>
    <row r="5" spans="2:100" x14ac:dyDescent="0.2">
      <c r="P5" s="12">
        <v>32</v>
      </c>
      <c r="Q5" s="12">
        <v>4</v>
      </c>
      <c r="R5" s="12">
        <v>8</v>
      </c>
      <c r="S5" s="12">
        <v>44</v>
      </c>
    </row>
    <row r="10" spans="2:100" ht="19" x14ac:dyDescent="0.25">
      <c r="B10" s="9" t="s">
        <v>635</v>
      </c>
    </row>
    <row r="12" spans="2:100" ht="16" x14ac:dyDescent="0.2">
      <c r="C12" s="20" t="s">
        <v>641</v>
      </c>
      <c r="D12" s="20"/>
      <c r="E12" s="20"/>
      <c r="F12" s="20"/>
      <c r="G12" s="20"/>
      <c r="H12" s="20"/>
      <c r="I12" s="20"/>
    </row>
    <row r="13" spans="2:100" ht="14" x14ac:dyDescent="0.2">
      <c r="C13" s="22" t="s">
        <v>642</v>
      </c>
      <c r="D13" s="22"/>
      <c r="E13" s="23"/>
      <c r="F13" s="25" t="s">
        <v>658</v>
      </c>
      <c r="G13" s="25"/>
      <c r="H13" s="25"/>
      <c r="I13" s="25"/>
    </row>
    <row r="14" spans="2:100" ht="14" x14ac:dyDescent="0.2">
      <c r="C14" s="22" t="s">
        <v>643</v>
      </c>
      <c r="D14" s="22"/>
      <c r="E14" s="23"/>
      <c r="F14" s="25" t="s">
        <v>641</v>
      </c>
      <c r="G14" s="25"/>
      <c r="H14" s="25"/>
      <c r="I14" s="25"/>
    </row>
    <row r="15" spans="2:100" ht="14" x14ac:dyDescent="0.2">
      <c r="C15" s="22" t="s">
        <v>644</v>
      </c>
      <c r="D15" s="22"/>
      <c r="E15" s="23"/>
      <c r="F15" s="25" t="s">
        <v>659</v>
      </c>
      <c r="G15" s="25"/>
      <c r="H15" s="25"/>
      <c r="I15" s="25"/>
    </row>
    <row r="16" spans="2:100" ht="14" x14ac:dyDescent="0.2">
      <c r="C16" s="22" t="s">
        <v>645</v>
      </c>
      <c r="D16" s="22"/>
      <c r="E16" s="23"/>
      <c r="F16" s="24">
        <v>307</v>
      </c>
      <c r="G16" s="24"/>
      <c r="H16" s="24"/>
      <c r="I16" s="24"/>
    </row>
    <row r="18" spans="3:16" ht="16" x14ac:dyDescent="0.2">
      <c r="C18" s="20" t="s">
        <v>646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3:16" ht="14" x14ac:dyDescent="0.2">
      <c r="C19" s="22" t="s">
        <v>647</v>
      </c>
      <c r="D19" s="22"/>
      <c r="E19" s="23"/>
      <c r="F19" s="24">
        <v>11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</row>
    <row r="20" spans="3:16" ht="14" x14ac:dyDescent="0.2">
      <c r="C20" s="22" t="s">
        <v>648</v>
      </c>
      <c r="D20" s="22"/>
      <c r="E20" s="23"/>
      <c r="F20" s="12" t="s">
        <v>1</v>
      </c>
      <c r="G20" s="12" t="s">
        <v>2</v>
      </c>
      <c r="H20" s="12" t="s">
        <v>314</v>
      </c>
      <c r="I20" s="12" t="s">
        <v>313</v>
      </c>
      <c r="J20" s="12" t="s">
        <v>3</v>
      </c>
      <c r="K20" s="12" t="s">
        <v>4</v>
      </c>
      <c r="L20" s="12" t="s">
        <v>5</v>
      </c>
      <c r="M20" s="12" t="s">
        <v>6</v>
      </c>
      <c r="N20" s="12" t="s">
        <v>7</v>
      </c>
      <c r="O20" s="12" t="s">
        <v>8</v>
      </c>
      <c r="P20" s="12" t="s">
        <v>9</v>
      </c>
    </row>
    <row r="22" spans="3:16" ht="16" x14ac:dyDescent="0.2">
      <c r="C22" s="20" t="s">
        <v>649</v>
      </c>
      <c r="D22" s="20"/>
      <c r="E22" s="20"/>
      <c r="F22" s="20"/>
      <c r="G22" s="20"/>
      <c r="H22" s="20"/>
      <c r="I22" s="20"/>
    </row>
    <row r="23" spans="3:16" ht="14" x14ac:dyDescent="0.2">
      <c r="C23" s="22" t="s">
        <v>650</v>
      </c>
      <c r="D23" s="22"/>
      <c r="E23" s="23"/>
      <c r="F23" s="24">
        <v>2</v>
      </c>
      <c r="G23" s="24"/>
      <c r="H23" s="24"/>
      <c r="I23" s="24"/>
    </row>
    <row r="24" spans="3:16" ht="14" x14ac:dyDescent="0.2">
      <c r="C24" s="22" t="s">
        <v>651</v>
      </c>
      <c r="D24" s="22"/>
      <c r="E24" s="23"/>
      <c r="F24" s="24" t="s">
        <v>660</v>
      </c>
      <c r="G24" s="24"/>
      <c r="H24" s="24"/>
      <c r="I24" s="24"/>
    </row>
    <row r="25" spans="3:16" ht="14" x14ac:dyDescent="0.2">
      <c r="C25" s="22" t="s">
        <v>652</v>
      </c>
      <c r="D25" s="22"/>
      <c r="E25" s="23"/>
      <c r="F25" s="24">
        <v>10</v>
      </c>
      <c r="G25" s="24"/>
      <c r="H25" s="24"/>
      <c r="I25" s="24"/>
    </row>
    <row r="26" spans="3:16" ht="14" x14ac:dyDescent="0.2">
      <c r="C26" s="22" t="s">
        <v>653</v>
      </c>
      <c r="D26" s="22"/>
      <c r="E26" s="23"/>
      <c r="F26" s="24">
        <v>12345</v>
      </c>
      <c r="G26" s="24"/>
      <c r="H26" s="24"/>
      <c r="I26" s="24"/>
    </row>
    <row r="28" spans="3:16" ht="16" x14ac:dyDescent="0.2">
      <c r="C28" s="20" t="s">
        <v>654</v>
      </c>
      <c r="D28" s="20"/>
      <c r="E28" s="20"/>
      <c r="F28" s="20"/>
      <c r="G28" s="20"/>
      <c r="H28" s="20"/>
      <c r="I28" s="20"/>
    </row>
    <row r="29" spans="3:16" ht="14" x14ac:dyDescent="0.2">
      <c r="C29" s="22" t="s">
        <v>655</v>
      </c>
      <c r="D29" s="22"/>
      <c r="E29" s="23"/>
      <c r="F29" s="24" t="b">
        <v>1</v>
      </c>
      <c r="G29" s="24"/>
      <c r="H29" s="24"/>
      <c r="I29" s="24"/>
    </row>
    <row r="30" spans="3:16" ht="14" x14ac:dyDescent="0.2">
      <c r="C30" s="22" t="s">
        <v>656</v>
      </c>
      <c r="D30" s="22"/>
      <c r="E30" s="23"/>
      <c r="F30" s="24" t="b">
        <v>1</v>
      </c>
      <c r="G30" s="24"/>
      <c r="H30" s="24"/>
      <c r="I30" s="24"/>
    </row>
    <row r="31" spans="3:16" ht="14" x14ac:dyDescent="0.2">
      <c r="C31" s="22" t="s">
        <v>657</v>
      </c>
      <c r="D31" s="22"/>
      <c r="E31" s="23"/>
      <c r="F31" s="24" t="b">
        <v>0</v>
      </c>
      <c r="G31" s="24"/>
      <c r="H31" s="24"/>
      <c r="I31" s="24"/>
    </row>
    <row r="33" spans="2:14" ht="19" x14ac:dyDescent="0.25">
      <c r="B33" s="9" t="s">
        <v>636</v>
      </c>
    </row>
    <row r="35" spans="2:14" ht="16" x14ac:dyDescent="0.2">
      <c r="C35" s="20" t="s">
        <v>662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</row>
    <row r="36" spans="2:14" x14ac:dyDescent="0.2">
      <c r="C36" s="11" t="s">
        <v>325</v>
      </c>
      <c r="D36" t="s">
        <v>1</v>
      </c>
      <c r="E36" t="s">
        <v>2</v>
      </c>
      <c r="F36" t="s">
        <v>314</v>
      </c>
      <c r="G36" t="s">
        <v>313</v>
      </c>
      <c r="H36" t="s">
        <v>3</v>
      </c>
      <c r="I36" t="s">
        <v>4</v>
      </c>
      <c r="J36" t="s">
        <v>5</v>
      </c>
      <c r="K36" t="s">
        <v>6</v>
      </c>
      <c r="L36" t="s">
        <v>7</v>
      </c>
      <c r="M36" t="s">
        <v>8</v>
      </c>
      <c r="N36" t="s">
        <v>9</v>
      </c>
    </row>
    <row r="37" spans="2:14" x14ac:dyDescent="0.2">
      <c r="C37" s="11" t="s">
        <v>326</v>
      </c>
      <c r="D37" s="10">
        <v>433</v>
      </c>
      <c r="E37" s="10">
        <v>388</v>
      </c>
      <c r="F37" s="10">
        <v>461</v>
      </c>
      <c r="G37" s="10">
        <v>0.82599999999999996</v>
      </c>
      <c r="H37" s="10">
        <v>974</v>
      </c>
      <c r="I37" s="10">
        <v>503</v>
      </c>
      <c r="J37" s="10">
        <v>17700</v>
      </c>
      <c r="K37" s="10">
        <v>21600</v>
      </c>
      <c r="L37" s="10">
        <v>67</v>
      </c>
      <c r="M37" s="10">
        <v>15.2</v>
      </c>
      <c r="N37">
        <v>0.35</v>
      </c>
    </row>
    <row r="38" spans="2:14" x14ac:dyDescent="0.2">
      <c r="C38" s="11" t="s">
        <v>327</v>
      </c>
      <c r="D38" s="10">
        <v>508</v>
      </c>
      <c r="E38" s="10">
        <v>494</v>
      </c>
      <c r="F38" s="10">
        <v>335</v>
      </c>
      <c r="G38" s="10">
        <v>0.84799999999999998</v>
      </c>
      <c r="H38" s="10">
        <v>534</v>
      </c>
      <c r="I38" s="10">
        <v>216</v>
      </c>
      <c r="J38" s="10">
        <v>25475</v>
      </c>
      <c r="K38" s="10">
        <v>25475</v>
      </c>
      <c r="L38" s="10">
        <v>68</v>
      </c>
      <c r="M38" s="10">
        <v>11.2</v>
      </c>
      <c r="N38">
        <v>0.6</v>
      </c>
    </row>
    <row r="40" spans="2:14" ht="19" x14ac:dyDescent="0.25">
      <c r="B40" s="9" t="s">
        <v>637</v>
      </c>
    </row>
    <row r="42" spans="2:14" x14ac:dyDescent="0.2">
      <c r="C42" s="11" t="s">
        <v>325</v>
      </c>
      <c r="D42" t="s">
        <v>1</v>
      </c>
      <c r="E42" t="s">
        <v>2</v>
      </c>
      <c r="F42" t="s">
        <v>314</v>
      </c>
      <c r="G42" t="s">
        <v>313</v>
      </c>
      <c r="H42" t="s">
        <v>3</v>
      </c>
      <c r="I42" t="s">
        <v>4</v>
      </c>
      <c r="J42" t="s">
        <v>5</v>
      </c>
      <c r="K42" t="s">
        <v>6</v>
      </c>
      <c r="L42" t="s">
        <v>7</v>
      </c>
      <c r="M42" t="s">
        <v>8</v>
      </c>
      <c r="N42" t="s">
        <v>9</v>
      </c>
    </row>
    <row r="43" spans="2:14" x14ac:dyDescent="0.2">
      <c r="C43" s="11" t="s">
        <v>326</v>
      </c>
      <c r="D43" s="10">
        <v>512.92857142857133</v>
      </c>
      <c r="E43" s="10">
        <v>455.47959183673464</v>
      </c>
      <c r="F43" s="10">
        <v>6340.3571428571422</v>
      </c>
      <c r="G43" s="10">
        <v>0.67730612244897959</v>
      </c>
      <c r="H43" s="10">
        <v>8385.0918367346931</v>
      </c>
      <c r="I43" s="10">
        <v>2046.5408163265304</v>
      </c>
      <c r="J43" s="10">
        <v>17831.234693877548</v>
      </c>
      <c r="K43" s="10">
        <v>21954.010204081631</v>
      </c>
      <c r="L43" s="10">
        <v>76.448979591836732</v>
      </c>
      <c r="M43" s="10">
        <v>16.719387755102037</v>
      </c>
      <c r="N43">
        <v>0.55969387755102051</v>
      </c>
    </row>
    <row r="44" spans="2:14" x14ac:dyDescent="0.2">
      <c r="C44" s="11" t="s">
        <v>327</v>
      </c>
      <c r="D44" s="10">
        <v>532.55023923444969</v>
      </c>
      <c r="E44" s="10">
        <v>487.73205741626793</v>
      </c>
      <c r="F44" s="10">
        <v>2139.3157894736842</v>
      </c>
      <c r="G44" s="10">
        <v>0.74137799043062202</v>
      </c>
      <c r="H44" s="10">
        <v>1831.11004784689</v>
      </c>
      <c r="I44" s="10">
        <v>377.51674641148321</v>
      </c>
      <c r="J44" s="10">
        <v>27489.870813397127</v>
      </c>
      <c r="K44" s="10">
        <v>27489.392344497606</v>
      </c>
      <c r="L44" s="10">
        <v>73.20574162679425</v>
      </c>
      <c r="M44" s="10">
        <v>12.897607655502389</v>
      </c>
      <c r="N44">
        <v>0.7093301435406697</v>
      </c>
    </row>
    <row r="46" spans="2:14" ht="19" x14ac:dyDescent="0.25">
      <c r="B46" s="9" t="s">
        <v>638</v>
      </c>
    </row>
    <row r="48" spans="2:14" x14ac:dyDescent="0.2">
      <c r="C48" s="11" t="s">
        <v>325</v>
      </c>
      <c r="D48" t="s">
        <v>326</v>
      </c>
      <c r="E48" t="s">
        <v>327</v>
      </c>
    </row>
    <row r="49" spans="2:5" x14ac:dyDescent="0.2">
      <c r="C49" s="11" t="s">
        <v>326</v>
      </c>
      <c r="D49" s="10">
        <v>0</v>
      </c>
      <c r="E49">
        <v>13686.49789391233</v>
      </c>
    </row>
    <row r="50" spans="2:5" x14ac:dyDescent="0.2">
      <c r="C50" s="11" t="s">
        <v>327</v>
      </c>
      <c r="D50" s="10">
        <v>13686.49789391233</v>
      </c>
      <c r="E50">
        <v>0</v>
      </c>
    </row>
    <row r="52" spans="2:5" ht="19" x14ac:dyDescent="0.25">
      <c r="B52" s="9" t="s">
        <v>639</v>
      </c>
    </row>
    <row r="54" spans="2:5" x14ac:dyDescent="0.2">
      <c r="C54" s="11" t="s">
        <v>325</v>
      </c>
      <c r="D54" t="s">
        <v>663</v>
      </c>
      <c r="E54" t="s">
        <v>664</v>
      </c>
    </row>
    <row r="55" spans="2:5" x14ac:dyDescent="0.2">
      <c r="C55" s="11" t="s">
        <v>326</v>
      </c>
      <c r="D55" s="10">
        <v>98</v>
      </c>
      <c r="E55">
        <v>8051.4553869255133</v>
      </c>
    </row>
    <row r="56" spans="2:5" x14ac:dyDescent="0.2">
      <c r="C56" s="11" t="s">
        <v>327</v>
      </c>
      <c r="D56" s="10">
        <v>209</v>
      </c>
      <c r="E56">
        <v>4978.0285611390955</v>
      </c>
    </row>
    <row r="57" spans="2:5" x14ac:dyDescent="0.2">
      <c r="C57" s="11" t="s">
        <v>323</v>
      </c>
      <c r="D57" s="10">
        <v>307</v>
      </c>
      <c r="E57">
        <v>5959.1224664389947</v>
      </c>
    </row>
  </sheetData>
  <mergeCells count="38">
    <mergeCell ref="C12:I12"/>
    <mergeCell ref="C13:E13"/>
    <mergeCell ref="C14:E14"/>
    <mergeCell ref="C15:E15"/>
    <mergeCell ref="C16:E16"/>
    <mergeCell ref="F13:I13"/>
    <mergeCell ref="F14:I14"/>
    <mergeCell ref="F15:I15"/>
    <mergeCell ref="F16:I16"/>
    <mergeCell ref="C18:P18"/>
    <mergeCell ref="C19:E19"/>
    <mergeCell ref="C20:E20"/>
    <mergeCell ref="F19:P19"/>
    <mergeCell ref="C22:I22"/>
    <mergeCell ref="C24:E24"/>
    <mergeCell ref="C25:E25"/>
    <mergeCell ref="C26:E26"/>
    <mergeCell ref="F23:I23"/>
    <mergeCell ref="F24:I24"/>
    <mergeCell ref="F25:I25"/>
    <mergeCell ref="F26:I26"/>
    <mergeCell ref="C23:E23"/>
    <mergeCell ref="B3:M3"/>
    <mergeCell ref="P3:S3"/>
    <mergeCell ref="C35:N35"/>
    <mergeCell ref="B4:C4"/>
    <mergeCell ref="D4:E4"/>
    <mergeCell ref="F4:G4"/>
    <mergeCell ref="H4:I4"/>
    <mergeCell ref="J4:K4"/>
    <mergeCell ref="L4:M4"/>
    <mergeCell ref="C28:I28"/>
    <mergeCell ref="C29:E29"/>
    <mergeCell ref="C30:E30"/>
    <mergeCell ref="C31:E31"/>
    <mergeCell ref="F29:I29"/>
    <mergeCell ref="F30:I30"/>
    <mergeCell ref="F31:I31"/>
  </mergeCells>
  <hyperlinks>
    <hyperlink ref="B4" location="'KMC_Clusters'!$B$10:$B$10" display="Cluster Labels" xr:uid="{1C16895F-4043-BC4D-8925-0E2AEECE7917}"/>
    <hyperlink ref="D4" location="'KMC_Output'!$B$10:$B$10" display="Inputs" xr:uid="{4B86D084-A718-AA47-B96C-1798874FA6E8}"/>
    <hyperlink ref="F4" location="'KMC_Output'!$B$33:$B$33" display="Random Starts Summary" xr:uid="{BF6CE7A9-096D-A24D-9E00-A32B1095A742}"/>
    <hyperlink ref="H4" location="'KMC_Output'!$B$40:$B$40" display="Cluster Centers" xr:uid="{66BF26F4-B17F-F345-8E2F-EDFB6ABB6432}"/>
    <hyperlink ref="J4" location="'KMC_Output'!$B$46:$B$46" display="Inter-Cluster Distances" xr:uid="{A0DA7407-E377-3A4B-9FB5-798A930056B1}"/>
    <hyperlink ref="L4" location="'KMC_Output'!$B$52:$B$52" display="Cluster Summary" xr:uid="{0A6B20BF-66C9-EF4F-AB4F-597075791C41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3553-385E-6445-A57D-320FEB0A857B}">
  <dimension ref="B1:S319"/>
  <sheetViews>
    <sheetView showGridLines="0" topLeftCell="A86" workbookViewId="0">
      <selection activeCell="I325" sqref="I325"/>
    </sheetView>
  </sheetViews>
  <sheetFormatPr baseColWidth="10" defaultRowHeight="13" x14ac:dyDescent="0.2"/>
  <cols>
    <col min="16" max="16" width="13.83203125" bestFit="1" customWidth="1"/>
  </cols>
  <sheetData>
    <row r="1" spans="2:19" ht="19" x14ac:dyDescent="0.25">
      <c r="B1" s="8" t="s">
        <v>315</v>
      </c>
      <c r="N1" t="s">
        <v>318</v>
      </c>
    </row>
    <row r="3" spans="2:19" ht="16" x14ac:dyDescent="0.2">
      <c r="B3" s="20" t="s">
        <v>316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P3" s="21" t="s">
        <v>319</v>
      </c>
      <c r="Q3" s="21"/>
      <c r="R3" s="21"/>
      <c r="S3" s="21"/>
    </row>
    <row r="4" spans="2:19" ht="14" x14ac:dyDescent="0.2">
      <c r="B4" s="19" t="s">
        <v>317</v>
      </c>
      <c r="C4" s="19"/>
      <c r="D4" s="19" t="s">
        <v>635</v>
      </c>
      <c r="E4" s="19"/>
      <c r="F4" s="19" t="s">
        <v>636</v>
      </c>
      <c r="G4" s="19"/>
      <c r="H4" s="19" t="s">
        <v>637</v>
      </c>
      <c r="I4" s="19"/>
      <c r="J4" s="19" t="s">
        <v>638</v>
      </c>
      <c r="K4" s="19"/>
      <c r="L4" s="19" t="s">
        <v>639</v>
      </c>
      <c r="M4" s="19"/>
      <c r="P4" s="14" t="s">
        <v>320</v>
      </c>
      <c r="Q4" s="14" t="s">
        <v>321</v>
      </c>
      <c r="R4" s="14" t="s">
        <v>322</v>
      </c>
      <c r="S4" s="14" t="s">
        <v>323</v>
      </c>
    </row>
    <row r="5" spans="2:19" x14ac:dyDescent="0.2">
      <c r="P5" s="12">
        <v>32</v>
      </c>
      <c r="Q5" s="12">
        <v>4</v>
      </c>
      <c r="R5" s="12">
        <v>8</v>
      </c>
      <c r="S5" s="12">
        <v>44</v>
      </c>
    </row>
    <row r="10" spans="2:19" ht="19" x14ac:dyDescent="0.25">
      <c r="B10" s="9" t="s">
        <v>317</v>
      </c>
    </row>
    <row r="12" spans="2:19" x14ac:dyDescent="0.2">
      <c r="C12" s="11" t="s">
        <v>324</v>
      </c>
      <c r="D12" t="s">
        <v>325</v>
      </c>
      <c r="E12" t="s">
        <v>326</v>
      </c>
      <c r="F12" t="s">
        <v>327</v>
      </c>
    </row>
    <row r="13" spans="2:19" x14ac:dyDescent="0.2">
      <c r="C13" s="11" t="s">
        <v>328</v>
      </c>
      <c r="D13" s="10">
        <v>1</v>
      </c>
      <c r="E13" s="10">
        <v>3139.7338668024472</v>
      </c>
      <c r="F13">
        <v>15960.82380630558</v>
      </c>
    </row>
    <row r="14" spans="2:19" x14ac:dyDescent="0.2">
      <c r="C14" s="11" t="s">
        <v>329</v>
      </c>
      <c r="D14" s="10">
        <v>1</v>
      </c>
      <c r="E14" s="10">
        <v>15670.396376173992</v>
      </c>
      <c r="F14">
        <v>26372.93596750516</v>
      </c>
    </row>
    <row r="15" spans="2:19" x14ac:dyDescent="0.2">
      <c r="C15" s="11" t="s">
        <v>330</v>
      </c>
      <c r="D15" s="10">
        <v>1</v>
      </c>
      <c r="E15" s="10">
        <v>4886.6481519729732</v>
      </c>
      <c r="F15">
        <v>17071.584510574237</v>
      </c>
    </row>
    <row r="16" spans="2:19" x14ac:dyDescent="0.2">
      <c r="C16" s="11" t="s">
        <v>331</v>
      </c>
      <c r="D16" s="10">
        <v>2</v>
      </c>
      <c r="E16" s="10">
        <v>16431.667398517522</v>
      </c>
      <c r="F16">
        <v>2925.6486455259164</v>
      </c>
    </row>
    <row r="17" spans="3:6" x14ac:dyDescent="0.2">
      <c r="C17" s="11" t="s">
        <v>332</v>
      </c>
      <c r="D17" s="10">
        <v>1</v>
      </c>
      <c r="E17" s="10">
        <v>7333.2599582143421</v>
      </c>
      <c r="F17">
        <v>13467.7885065475</v>
      </c>
    </row>
    <row r="18" spans="3:6" x14ac:dyDescent="0.2">
      <c r="C18" s="11" t="s">
        <v>333</v>
      </c>
      <c r="D18" s="10">
        <v>1</v>
      </c>
      <c r="E18" s="10">
        <v>7036.4521299006065</v>
      </c>
      <c r="F18">
        <v>12282.970169860231</v>
      </c>
    </row>
    <row r="19" spans="3:6" x14ac:dyDescent="0.2">
      <c r="C19" s="11" t="s">
        <v>334</v>
      </c>
      <c r="D19" s="10">
        <v>1</v>
      </c>
      <c r="E19" s="10">
        <v>7469.722771073315</v>
      </c>
      <c r="F19">
        <v>12556.416470495864</v>
      </c>
    </row>
    <row r="20" spans="3:6" x14ac:dyDescent="0.2">
      <c r="C20" s="11" t="s">
        <v>335</v>
      </c>
      <c r="D20" s="10">
        <v>1</v>
      </c>
      <c r="E20" s="10">
        <v>6588.0223172031911</v>
      </c>
      <c r="F20">
        <v>18170.330158148252</v>
      </c>
    </row>
    <row r="21" spans="3:6" x14ac:dyDescent="0.2">
      <c r="C21" s="11" t="s">
        <v>336</v>
      </c>
      <c r="D21" s="10">
        <v>1</v>
      </c>
      <c r="E21" s="10">
        <v>19127.729018248701</v>
      </c>
      <c r="F21">
        <v>28976.273406974764</v>
      </c>
    </row>
    <row r="22" spans="3:6" x14ac:dyDescent="0.2">
      <c r="C22" s="11" t="s">
        <v>337</v>
      </c>
      <c r="D22" s="10">
        <v>1</v>
      </c>
      <c r="E22" s="10">
        <v>6159.6174964110533</v>
      </c>
      <c r="F22">
        <v>13361.270975717991</v>
      </c>
    </row>
    <row r="23" spans="3:6" x14ac:dyDescent="0.2">
      <c r="C23" s="11" t="s">
        <v>338</v>
      </c>
      <c r="D23" s="10">
        <v>1</v>
      </c>
      <c r="E23" s="10">
        <v>8142.6109962124438</v>
      </c>
      <c r="F23">
        <v>19368.918825600205</v>
      </c>
    </row>
    <row r="24" spans="3:6" x14ac:dyDescent="0.2">
      <c r="C24" s="11" t="s">
        <v>339</v>
      </c>
      <c r="D24" s="10">
        <v>1</v>
      </c>
      <c r="E24" s="10">
        <v>5084.9040351332969</v>
      </c>
      <c r="F24">
        <v>12970.539629914658</v>
      </c>
    </row>
    <row r="25" spans="3:6" x14ac:dyDescent="0.2">
      <c r="C25" s="11" t="s">
        <v>340</v>
      </c>
      <c r="D25" s="10">
        <v>1</v>
      </c>
      <c r="E25" s="10">
        <v>22169.730106496587</v>
      </c>
      <c r="F25">
        <v>30957.592249614358</v>
      </c>
    </row>
    <row r="26" spans="3:6" x14ac:dyDescent="0.2">
      <c r="C26" s="11" t="s">
        <v>341</v>
      </c>
      <c r="D26" s="10">
        <v>1</v>
      </c>
      <c r="E26" s="10">
        <v>5153.4741585725887</v>
      </c>
      <c r="F26">
        <v>10655.739447638211</v>
      </c>
    </row>
    <row r="27" spans="3:6" x14ac:dyDescent="0.2">
      <c r="C27" s="11" t="s">
        <v>342</v>
      </c>
      <c r="D27" s="10">
        <v>1</v>
      </c>
      <c r="E27" s="10">
        <v>8877.0268736007001</v>
      </c>
      <c r="F27">
        <v>9562.357122733667</v>
      </c>
    </row>
    <row r="28" spans="3:6" x14ac:dyDescent="0.2">
      <c r="C28" s="11" t="s">
        <v>343</v>
      </c>
      <c r="D28" s="10">
        <v>1</v>
      </c>
      <c r="E28" s="10">
        <v>21996.016612002266</v>
      </c>
      <c r="F28">
        <v>29232.692851669384</v>
      </c>
    </row>
    <row r="29" spans="3:6" x14ac:dyDescent="0.2">
      <c r="C29" s="11" t="s">
        <v>344</v>
      </c>
      <c r="D29" s="10">
        <v>1</v>
      </c>
      <c r="E29" s="10">
        <v>2963.5251125935738</v>
      </c>
      <c r="F29">
        <v>16226.964909156206</v>
      </c>
    </row>
    <row r="30" spans="3:6" x14ac:dyDescent="0.2">
      <c r="C30" s="11" t="s">
        <v>345</v>
      </c>
      <c r="D30" s="10">
        <v>1</v>
      </c>
      <c r="E30" s="10">
        <v>8258.641775008382</v>
      </c>
      <c r="F30">
        <v>13576.945252843932</v>
      </c>
    </row>
    <row r="31" spans="3:6" x14ac:dyDescent="0.2">
      <c r="C31" s="11" t="s">
        <v>346</v>
      </c>
      <c r="D31" s="10">
        <v>1</v>
      </c>
      <c r="E31" s="10">
        <v>6000.1249307389262</v>
      </c>
      <c r="F31">
        <v>18606.040892153138</v>
      </c>
    </row>
    <row r="32" spans="3:6" x14ac:dyDescent="0.2">
      <c r="C32" s="11" t="s">
        <v>347</v>
      </c>
      <c r="D32" s="10">
        <v>1</v>
      </c>
      <c r="E32" s="10">
        <v>2471.2564055955791</v>
      </c>
      <c r="F32">
        <v>13579.400159184841</v>
      </c>
    </row>
    <row r="33" spans="3:6" x14ac:dyDescent="0.2">
      <c r="C33" s="11" t="s">
        <v>348</v>
      </c>
      <c r="D33" s="10">
        <v>1</v>
      </c>
      <c r="E33" s="10">
        <v>3916.3393520390082</v>
      </c>
      <c r="F33">
        <v>14090.837803170782</v>
      </c>
    </row>
    <row r="34" spans="3:6" x14ac:dyDescent="0.2">
      <c r="C34" s="11" t="s">
        <v>349</v>
      </c>
      <c r="D34" s="10">
        <v>1</v>
      </c>
      <c r="E34" s="10">
        <v>8296.1024823000243</v>
      </c>
      <c r="F34">
        <v>19878.990781556538</v>
      </c>
    </row>
    <row r="35" spans="3:6" x14ac:dyDescent="0.2">
      <c r="C35" s="11" t="s">
        <v>350</v>
      </c>
      <c r="D35" s="10">
        <v>1</v>
      </c>
      <c r="E35" s="10">
        <v>8252.7107214928947</v>
      </c>
      <c r="F35">
        <v>18141.957576736782</v>
      </c>
    </row>
    <row r="36" spans="3:6" x14ac:dyDescent="0.2">
      <c r="C36" s="11" t="s">
        <v>351</v>
      </c>
      <c r="D36" s="10">
        <v>1</v>
      </c>
      <c r="E36" s="10">
        <v>2911.0984424175977</v>
      </c>
      <c r="F36">
        <v>13231.1892020384</v>
      </c>
    </row>
    <row r="37" spans="3:6" x14ac:dyDescent="0.2">
      <c r="C37" s="11" t="s">
        <v>352</v>
      </c>
      <c r="D37" s="10">
        <v>1</v>
      </c>
      <c r="E37" s="10">
        <v>4107.040115435896</v>
      </c>
      <c r="F37">
        <v>13238.596839435917</v>
      </c>
    </row>
    <row r="38" spans="3:6" x14ac:dyDescent="0.2">
      <c r="C38" s="11" t="s">
        <v>353</v>
      </c>
      <c r="D38" s="10">
        <v>1</v>
      </c>
      <c r="E38" s="10">
        <v>4853.942299992771</v>
      </c>
      <c r="F38">
        <v>12035.523661144649</v>
      </c>
    </row>
    <row r="39" spans="3:6" x14ac:dyDescent="0.2">
      <c r="C39" s="11" t="s">
        <v>354</v>
      </c>
      <c r="D39" s="10">
        <v>1</v>
      </c>
      <c r="E39" s="10">
        <v>4469.6394933158508</v>
      </c>
      <c r="F39">
        <v>13575.786287892925</v>
      </c>
    </row>
    <row r="40" spans="3:6" x14ac:dyDescent="0.2">
      <c r="C40" s="11" t="s">
        <v>355</v>
      </c>
      <c r="D40" s="10">
        <v>1</v>
      </c>
      <c r="E40" s="10">
        <v>4318.5345583592598</v>
      </c>
      <c r="F40">
        <v>13434.496518629923</v>
      </c>
    </row>
    <row r="41" spans="3:6" x14ac:dyDescent="0.2">
      <c r="C41" s="11" t="s">
        <v>356</v>
      </c>
      <c r="D41" s="10">
        <v>1</v>
      </c>
      <c r="E41" s="10">
        <v>2533.5301146970969</v>
      </c>
      <c r="F41">
        <v>13885.982067882383</v>
      </c>
    </row>
    <row r="42" spans="3:6" x14ac:dyDescent="0.2">
      <c r="C42" s="11" t="s">
        <v>357</v>
      </c>
      <c r="D42" s="10">
        <v>1</v>
      </c>
      <c r="E42" s="10">
        <v>3837.1764859790737</v>
      </c>
      <c r="F42">
        <v>12401.738461560324</v>
      </c>
    </row>
    <row r="43" spans="3:6" x14ac:dyDescent="0.2">
      <c r="C43" s="11" t="s">
        <v>358</v>
      </c>
      <c r="D43" s="10">
        <v>1</v>
      </c>
      <c r="E43" s="10">
        <v>6035.6045886250668</v>
      </c>
      <c r="F43">
        <v>11528.351441163019</v>
      </c>
    </row>
    <row r="44" spans="3:6" x14ac:dyDescent="0.2">
      <c r="C44" s="11" t="s">
        <v>359</v>
      </c>
      <c r="D44" s="10">
        <v>1</v>
      </c>
      <c r="E44" s="10">
        <v>6140.8135000001685</v>
      </c>
      <c r="F44">
        <v>17499.516458830622</v>
      </c>
    </row>
    <row r="45" spans="3:6" x14ac:dyDescent="0.2">
      <c r="C45" s="11" t="s">
        <v>360</v>
      </c>
      <c r="D45" s="10">
        <v>1</v>
      </c>
      <c r="E45" s="10">
        <v>8085.9454566804025</v>
      </c>
      <c r="F45">
        <v>18790.338346115768</v>
      </c>
    </row>
    <row r="46" spans="3:6" x14ac:dyDescent="0.2">
      <c r="C46" s="11" t="s">
        <v>361</v>
      </c>
      <c r="D46" s="10">
        <v>1</v>
      </c>
      <c r="E46" s="10">
        <v>3357.1552823391285</v>
      </c>
      <c r="F46">
        <v>14427.107848539619</v>
      </c>
    </row>
    <row r="47" spans="3:6" x14ac:dyDescent="0.2">
      <c r="C47" s="11" t="s">
        <v>362</v>
      </c>
      <c r="D47" s="10">
        <v>1</v>
      </c>
      <c r="E47" s="10">
        <v>5169.2952660895626</v>
      </c>
      <c r="F47">
        <v>17083.388968744111</v>
      </c>
    </row>
    <row r="48" spans="3:6" x14ac:dyDescent="0.2">
      <c r="C48" s="11" t="s">
        <v>363</v>
      </c>
      <c r="D48" s="10">
        <v>1</v>
      </c>
      <c r="E48" s="10">
        <v>8593.1224894342122</v>
      </c>
      <c r="F48">
        <v>11906.472375760155</v>
      </c>
    </row>
    <row r="49" spans="3:6" x14ac:dyDescent="0.2">
      <c r="C49" s="11" t="s">
        <v>364</v>
      </c>
      <c r="D49" s="10">
        <v>1</v>
      </c>
      <c r="E49" s="10">
        <v>7703.6488301081972</v>
      </c>
      <c r="F49">
        <v>19728.072978988563</v>
      </c>
    </row>
    <row r="50" spans="3:6" x14ac:dyDescent="0.2">
      <c r="C50" s="11" t="s">
        <v>365</v>
      </c>
      <c r="D50" s="10">
        <v>1</v>
      </c>
      <c r="E50" s="10">
        <v>5746.2243948071819</v>
      </c>
      <c r="F50">
        <v>14095.974358399119</v>
      </c>
    </row>
    <row r="51" spans="3:6" x14ac:dyDescent="0.2">
      <c r="C51" s="11" t="s">
        <v>366</v>
      </c>
      <c r="D51" s="10">
        <v>1</v>
      </c>
      <c r="E51" s="10">
        <v>6122.955235659917</v>
      </c>
      <c r="F51">
        <v>14887.379540193999</v>
      </c>
    </row>
    <row r="52" spans="3:6" x14ac:dyDescent="0.2">
      <c r="C52" s="11" t="s">
        <v>367</v>
      </c>
      <c r="D52" s="10">
        <v>1</v>
      </c>
      <c r="E52" s="10">
        <v>7620.390233072294</v>
      </c>
      <c r="F52">
        <v>19672.877471954682</v>
      </c>
    </row>
    <row r="53" spans="3:6" x14ac:dyDescent="0.2">
      <c r="C53" s="11" t="s">
        <v>368</v>
      </c>
      <c r="D53" s="10">
        <v>1</v>
      </c>
      <c r="E53" s="10">
        <v>6613.5670042323936</v>
      </c>
      <c r="F53">
        <v>14510.085820293229</v>
      </c>
    </row>
    <row r="54" spans="3:6" x14ac:dyDescent="0.2">
      <c r="C54" s="11" t="s">
        <v>369</v>
      </c>
      <c r="D54" s="10">
        <v>1</v>
      </c>
      <c r="E54" s="10">
        <v>23577.004843380342</v>
      </c>
      <c r="F54">
        <v>34154.959845603575</v>
      </c>
    </row>
    <row r="55" spans="3:6" x14ac:dyDescent="0.2">
      <c r="C55" s="11" t="s">
        <v>370</v>
      </c>
      <c r="D55" s="10">
        <v>1</v>
      </c>
      <c r="E55" s="10">
        <v>24798.16227553655</v>
      </c>
      <c r="F55">
        <v>35165.814818241866</v>
      </c>
    </row>
    <row r="56" spans="3:6" x14ac:dyDescent="0.2">
      <c r="C56" s="11" t="s">
        <v>371</v>
      </c>
      <c r="D56" s="10">
        <v>1</v>
      </c>
      <c r="E56" s="10">
        <v>8527.4008727827095</v>
      </c>
      <c r="F56">
        <v>18997.945089469493</v>
      </c>
    </row>
    <row r="57" spans="3:6" x14ac:dyDescent="0.2">
      <c r="C57" s="11" t="s">
        <v>372</v>
      </c>
      <c r="D57" s="10">
        <v>1</v>
      </c>
      <c r="E57" s="10">
        <v>8766.7376669783625</v>
      </c>
      <c r="F57">
        <v>10109.662837860797</v>
      </c>
    </row>
    <row r="58" spans="3:6" x14ac:dyDescent="0.2">
      <c r="C58" s="11" t="s">
        <v>373</v>
      </c>
      <c r="D58" s="10">
        <v>1</v>
      </c>
      <c r="E58" s="10">
        <v>1180.5230607456544</v>
      </c>
      <c r="F58">
        <v>13937.524137177126</v>
      </c>
    </row>
    <row r="59" spans="3:6" x14ac:dyDescent="0.2">
      <c r="C59" s="11" t="s">
        <v>374</v>
      </c>
      <c r="D59" s="10">
        <v>2</v>
      </c>
      <c r="E59" s="10">
        <v>11318.228226998997</v>
      </c>
      <c r="F59">
        <v>7425.440105656573</v>
      </c>
    </row>
    <row r="60" spans="3:6" x14ac:dyDescent="0.2">
      <c r="C60" s="11" t="s">
        <v>375</v>
      </c>
      <c r="D60" s="10">
        <v>2</v>
      </c>
      <c r="E60" s="10">
        <v>13537.119104521931</v>
      </c>
      <c r="F60">
        <v>1842.9242248742644</v>
      </c>
    </row>
    <row r="61" spans="3:6" x14ac:dyDescent="0.2">
      <c r="C61" s="11" t="s">
        <v>376</v>
      </c>
      <c r="D61" s="10">
        <v>2</v>
      </c>
      <c r="E61" s="10">
        <v>11266.895538632638</v>
      </c>
      <c r="F61">
        <v>6555.3225715547514</v>
      </c>
    </row>
    <row r="62" spans="3:6" x14ac:dyDescent="0.2">
      <c r="C62" s="11" t="s">
        <v>377</v>
      </c>
      <c r="D62" s="10">
        <v>2</v>
      </c>
      <c r="E62" s="10">
        <v>11351.98156681498</v>
      </c>
      <c r="F62">
        <v>5465.2769251950431</v>
      </c>
    </row>
    <row r="63" spans="3:6" x14ac:dyDescent="0.2">
      <c r="C63" s="11" t="s">
        <v>378</v>
      </c>
      <c r="D63" s="10">
        <v>2</v>
      </c>
      <c r="E63" s="10">
        <v>10238.957488180235</v>
      </c>
      <c r="F63">
        <v>8798.0301504101735</v>
      </c>
    </row>
    <row r="64" spans="3:6" x14ac:dyDescent="0.2">
      <c r="C64" s="11" t="s">
        <v>379</v>
      </c>
      <c r="D64" s="10">
        <v>1</v>
      </c>
      <c r="E64" s="10">
        <v>7847.6152217869767</v>
      </c>
      <c r="F64">
        <v>9974.0720985001044</v>
      </c>
    </row>
    <row r="65" spans="3:6" x14ac:dyDescent="0.2">
      <c r="C65" s="11" t="s">
        <v>380</v>
      </c>
      <c r="D65" s="10">
        <v>2</v>
      </c>
      <c r="E65" s="10">
        <v>19549.965647374454</v>
      </c>
      <c r="F65">
        <v>6467.6228658371365</v>
      </c>
    </row>
    <row r="66" spans="3:6" x14ac:dyDescent="0.2">
      <c r="C66" s="11" t="s">
        <v>381</v>
      </c>
      <c r="D66" s="10">
        <v>2</v>
      </c>
      <c r="E66" s="10">
        <v>20626.126734857426</v>
      </c>
      <c r="F66">
        <v>7507.1668574004698</v>
      </c>
    </row>
    <row r="67" spans="3:6" x14ac:dyDescent="0.2">
      <c r="C67" s="11" t="s">
        <v>382</v>
      </c>
      <c r="D67" s="10">
        <v>2</v>
      </c>
      <c r="E67" s="10">
        <v>20215.656687543789</v>
      </c>
      <c r="F67">
        <v>6962.9517523885497</v>
      </c>
    </row>
    <row r="68" spans="3:6" x14ac:dyDescent="0.2">
      <c r="C68" s="11" t="s">
        <v>383</v>
      </c>
      <c r="D68" s="10">
        <v>2</v>
      </c>
      <c r="E68" s="10">
        <v>12550.432276577489</v>
      </c>
      <c r="F68">
        <v>4242.4059724551071</v>
      </c>
    </row>
    <row r="69" spans="3:6" x14ac:dyDescent="0.2">
      <c r="C69" s="11" t="s">
        <v>384</v>
      </c>
      <c r="D69" s="10">
        <v>2</v>
      </c>
      <c r="E69" s="10">
        <v>20145.070207610755</v>
      </c>
      <c r="F69">
        <v>8278.9701641150386</v>
      </c>
    </row>
    <row r="70" spans="3:6" x14ac:dyDescent="0.2">
      <c r="C70" s="11" t="s">
        <v>385</v>
      </c>
      <c r="D70" s="10">
        <v>2</v>
      </c>
      <c r="E70" s="10">
        <v>12175.957465844571</v>
      </c>
      <c r="F70">
        <v>4677.6930413811751</v>
      </c>
    </row>
    <row r="71" spans="3:6" x14ac:dyDescent="0.2">
      <c r="C71" s="11" t="s">
        <v>386</v>
      </c>
      <c r="D71" s="10">
        <v>2</v>
      </c>
      <c r="E71" s="10">
        <v>13510.083313920655</v>
      </c>
      <c r="F71">
        <v>2698.6525795733751</v>
      </c>
    </row>
    <row r="72" spans="3:6" x14ac:dyDescent="0.2">
      <c r="C72" s="11" t="s">
        <v>387</v>
      </c>
      <c r="D72" s="10">
        <v>2</v>
      </c>
      <c r="E72" s="10">
        <v>19280.589539381843</v>
      </c>
      <c r="F72">
        <v>16686.824829966594</v>
      </c>
    </row>
    <row r="73" spans="3:6" x14ac:dyDescent="0.2">
      <c r="C73" s="11" t="s">
        <v>388</v>
      </c>
      <c r="D73" s="10">
        <v>2</v>
      </c>
      <c r="E73" s="10">
        <v>13190.928651761949</v>
      </c>
      <c r="F73">
        <v>3052.2173890520753</v>
      </c>
    </row>
    <row r="74" spans="3:6" x14ac:dyDescent="0.2">
      <c r="C74" s="11" t="s">
        <v>389</v>
      </c>
      <c r="D74" s="10">
        <v>2</v>
      </c>
      <c r="E74" s="10">
        <v>21275.642223204162</v>
      </c>
      <c r="F74">
        <v>9800.8361655644167</v>
      </c>
    </row>
    <row r="75" spans="3:6" x14ac:dyDescent="0.2">
      <c r="C75" s="11" t="s">
        <v>390</v>
      </c>
      <c r="D75" s="10">
        <v>2</v>
      </c>
      <c r="E75" s="10">
        <v>14065.536275928947</v>
      </c>
      <c r="F75">
        <v>2879.7351038312199</v>
      </c>
    </row>
    <row r="76" spans="3:6" x14ac:dyDescent="0.2">
      <c r="C76" s="11" t="s">
        <v>391</v>
      </c>
      <c r="D76" s="10">
        <v>1</v>
      </c>
      <c r="E76" s="10">
        <v>8587.2230154761255</v>
      </c>
      <c r="F76">
        <v>10347.811698958316</v>
      </c>
    </row>
    <row r="77" spans="3:6" x14ac:dyDescent="0.2">
      <c r="C77" s="11" t="s">
        <v>392</v>
      </c>
      <c r="D77" s="10">
        <v>1</v>
      </c>
      <c r="E77" s="10">
        <v>7074.6518399300821</v>
      </c>
      <c r="F77">
        <v>7340.8952652280641</v>
      </c>
    </row>
    <row r="78" spans="3:6" x14ac:dyDescent="0.2">
      <c r="C78" s="11" t="s">
        <v>393</v>
      </c>
      <c r="D78" s="10">
        <v>2</v>
      </c>
      <c r="E78" s="10">
        <v>10059.770707600454</v>
      </c>
      <c r="F78">
        <v>6395.2003492341446</v>
      </c>
    </row>
    <row r="79" spans="3:6" x14ac:dyDescent="0.2">
      <c r="C79" s="11" t="s">
        <v>394</v>
      </c>
      <c r="D79" s="10">
        <v>2</v>
      </c>
      <c r="E79" s="10">
        <v>18477.740783546007</v>
      </c>
      <c r="F79">
        <v>5620.3128857857582</v>
      </c>
    </row>
    <row r="80" spans="3:6" x14ac:dyDescent="0.2">
      <c r="C80" s="11" t="s">
        <v>395</v>
      </c>
      <c r="D80" s="10">
        <v>2</v>
      </c>
      <c r="E80" s="10">
        <v>18646.370269712919</v>
      </c>
      <c r="F80">
        <v>10325.093613835144</v>
      </c>
    </row>
    <row r="81" spans="3:6" x14ac:dyDescent="0.2">
      <c r="C81" s="11" t="s">
        <v>396</v>
      </c>
      <c r="D81" s="10">
        <v>1</v>
      </c>
      <c r="E81" s="10">
        <v>7677.1621130080575</v>
      </c>
      <c r="F81">
        <v>7920.3937104266206</v>
      </c>
    </row>
    <row r="82" spans="3:6" x14ac:dyDescent="0.2">
      <c r="C82" s="11" t="s">
        <v>397</v>
      </c>
      <c r="D82" s="10">
        <v>2</v>
      </c>
      <c r="E82" s="10">
        <v>8317.8810472130917</v>
      </c>
      <c r="F82">
        <v>7927.2724994414193</v>
      </c>
    </row>
    <row r="83" spans="3:6" x14ac:dyDescent="0.2">
      <c r="C83" s="11" t="s">
        <v>398</v>
      </c>
      <c r="D83" s="10">
        <v>2</v>
      </c>
      <c r="E83" s="10">
        <v>12516.853265197762</v>
      </c>
      <c r="F83">
        <v>4532.5255430780553</v>
      </c>
    </row>
    <row r="84" spans="3:6" x14ac:dyDescent="0.2">
      <c r="C84" s="11" t="s">
        <v>399</v>
      </c>
      <c r="D84" s="10">
        <v>2</v>
      </c>
      <c r="E84" s="10">
        <v>10242.501259070401</v>
      </c>
      <c r="F84">
        <v>5982.2043846798424</v>
      </c>
    </row>
    <row r="85" spans="3:6" x14ac:dyDescent="0.2">
      <c r="C85" s="11" t="s">
        <v>400</v>
      </c>
      <c r="D85" s="10">
        <v>2</v>
      </c>
      <c r="E85" s="10">
        <v>16006.157848505265</v>
      </c>
      <c r="F85">
        <v>2435.4479800308227</v>
      </c>
    </row>
    <row r="86" spans="3:6" x14ac:dyDescent="0.2">
      <c r="C86" s="11" t="s">
        <v>401</v>
      </c>
      <c r="D86" s="10">
        <v>2</v>
      </c>
      <c r="E86" s="10">
        <v>17397.501375220545</v>
      </c>
      <c r="F86">
        <v>4024.0191183956372</v>
      </c>
    </row>
    <row r="87" spans="3:6" x14ac:dyDescent="0.2">
      <c r="C87" s="11" t="s">
        <v>402</v>
      </c>
      <c r="D87" s="10">
        <v>2</v>
      </c>
      <c r="E87" s="10">
        <v>11490.325650809411</v>
      </c>
      <c r="F87">
        <v>5460.1390565648671</v>
      </c>
    </row>
    <row r="88" spans="3:6" x14ac:dyDescent="0.2">
      <c r="C88" s="11" t="s">
        <v>403</v>
      </c>
      <c r="D88" s="10">
        <v>2</v>
      </c>
      <c r="E88" s="10">
        <v>17717.714711056055</v>
      </c>
      <c r="F88">
        <v>4567.6397449141195</v>
      </c>
    </row>
    <row r="89" spans="3:6" x14ac:dyDescent="0.2">
      <c r="C89" s="11" t="s">
        <v>404</v>
      </c>
      <c r="D89" s="10">
        <v>2</v>
      </c>
      <c r="E89" s="10">
        <v>12898.403134207489</v>
      </c>
      <c r="F89">
        <v>3515.9573921250058</v>
      </c>
    </row>
    <row r="90" spans="3:6" x14ac:dyDescent="0.2">
      <c r="C90" s="11" t="s">
        <v>405</v>
      </c>
      <c r="D90" s="10">
        <v>2</v>
      </c>
      <c r="E90" s="10">
        <v>13365.012418013381</v>
      </c>
      <c r="F90">
        <v>1664.4369719364856</v>
      </c>
    </row>
    <row r="91" spans="3:6" x14ac:dyDescent="0.2">
      <c r="C91" s="11" t="s">
        <v>406</v>
      </c>
      <c r="D91" s="10">
        <v>2</v>
      </c>
      <c r="E91" s="10">
        <v>15912.145408872833</v>
      </c>
      <c r="F91">
        <v>2427.8393353430906</v>
      </c>
    </row>
    <row r="92" spans="3:6" x14ac:dyDescent="0.2">
      <c r="C92" s="11" t="s">
        <v>407</v>
      </c>
      <c r="D92" s="10">
        <v>2</v>
      </c>
      <c r="E92" s="10">
        <v>15678.838873888799</v>
      </c>
      <c r="F92">
        <v>2821.5320111505525</v>
      </c>
    </row>
    <row r="93" spans="3:6" x14ac:dyDescent="0.2">
      <c r="C93" s="11" t="s">
        <v>408</v>
      </c>
      <c r="D93" s="10">
        <v>2</v>
      </c>
      <c r="E93" s="10">
        <v>18203.163647562214</v>
      </c>
      <c r="F93">
        <v>4827.4694850921796</v>
      </c>
    </row>
    <row r="94" spans="3:6" x14ac:dyDescent="0.2">
      <c r="C94" s="11" t="s">
        <v>409</v>
      </c>
      <c r="D94" s="10">
        <v>2</v>
      </c>
      <c r="E94" s="10">
        <v>15380.2123466306</v>
      </c>
      <c r="F94">
        <v>2090.9573383236252</v>
      </c>
    </row>
    <row r="95" spans="3:6" x14ac:dyDescent="0.2">
      <c r="C95" s="11" t="s">
        <v>410</v>
      </c>
      <c r="D95" s="10">
        <v>2</v>
      </c>
      <c r="E95" s="10">
        <v>12181.81132735869</v>
      </c>
      <c r="F95">
        <v>3651.7290816216914</v>
      </c>
    </row>
    <row r="96" spans="3:6" x14ac:dyDescent="0.2">
      <c r="C96" s="11" t="s">
        <v>411</v>
      </c>
      <c r="D96" s="10">
        <v>2</v>
      </c>
      <c r="E96" s="10">
        <v>11628.689208756257</v>
      </c>
      <c r="F96">
        <v>3506.0598994787492</v>
      </c>
    </row>
    <row r="97" spans="3:6" x14ac:dyDescent="0.2">
      <c r="C97" s="11" t="s">
        <v>412</v>
      </c>
      <c r="D97" s="10">
        <v>2</v>
      </c>
      <c r="E97" s="10">
        <v>14036.643401270458</v>
      </c>
      <c r="F97">
        <v>1234.7381898201354</v>
      </c>
    </row>
    <row r="98" spans="3:6" x14ac:dyDescent="0.2">
      <c r="C98" s="11" t="s">
        <v>413</v>
      </c>
      <c r="D98" s="10">
        <v>2</v>
      </c>
      <c r="E98" s="10">
        <v>17244.5132975339</v>
      </c>
      <c r="F98">
        <v>3789.7050107557138</v>
      </c>
    </row>
    <row r="99" spans="3:6" x14ac:dyDescent="0.2">
      <c r="C99" s="11" t="s">
        <v>414</v>
      </c>
      <c r="D99" s="10">
        <v>2</v>
      </c>
      <c r="E99" s="10">
        <v>12666.364143453666</v>
      </c>
      <c r="F99">
        <v>3417.3803279515096</v>
      </c>
    </row>
    <row r="100" spans="3:6" x14ac:dyDescent="0.2">
      <c r="C100" s="11" t="s">
        <v>415</v>
      </c>
      <c r="D100" s="10">
        <v>2</v>
      </c>
      <c r="E100" s="10">
        <v>10823.407167992991</v>
      </c>
      <c r="F100">
        <v>6234.5267812897719</v>
      </c>
    </row>
    <row r="101" spans="3:6" x14ac:dyDescent="0.2">
      <c r="C101" s="11" t="s">
        <v>416</v>
      </c>
      <c r="D101" s="10">
        <v>2</v>
      </c>
      <c r="E101" s="10">
        <v>12585.574491648651</v>
      </c>
      <c r="F101">
        <v>3263.5289038879464</v>
      </c>
    </row>
    <row r="102" spans="3:6" x14ac:dyDescent="0.2">
      <c r="C102" s="11" t="s">
        <v>417</v>
      </c>
      <c r="D102" s="10">
        <v>2</v>
      </c>
      <c r="E102" s="10">
        <v>13101.683011730232</v>
      </c>
      <c r="F102">
        <v>3992.6810172950036</v>
      </c>
    </row>
    <row r="103" spans="3:6" x14ac:dyDescent="0.2">
      <c r="C103" s="11" t="s">
        <v>418</v>
      </c>
      <c r="D103" s="10">
        <v>2</v>
      </c>
      <c r="E103" s="10">
        <v>14611.217471203676</v>
      </c>
      <c r="F103">
        <v>1400.9776385151763</v>
      </c>
    </row>
    <row r="104" spans="3:6" x14ac:dyDescent="0.2">
      <c r="C104" s="11" t="s">
        <v>419</v>
      </c>
      <c r="D104" s="10">
        <v>2</v>
      </c>
      <c r="E104" s="10">
        <v>12286.024033429012</v>
      </c>
      <c r="F104">
        <v>2209.6432986589807</v>
      </c>
    </row>
    <row r="105" spans="3:6" x14ac:dyDescent="0.2">
      <c r="C105" s="11" t="s">
        <v>420</v>
      </c>
      <c r="D105" s="10">
        <v>2</v>
      </c>
      <c r="E105" s="10">
        <v>11136.110397774684</v>
      </c>
      <c r="F105">
        <v>5372.8727001576653</v>
      </c>
    </row>
    <row r="106" spans="3:6" x14ac:dyDescent="0.2">
      <c r="C106" s="11" t="s">
        <v>421</v>
      </c>
      <c r="D106" s="10">
        <v>2</v>
      </c>
      <c r="E106" s="10">
        <v>13901.23830201598</v>
      </c>
      <c r="F106">
        <v>1737.033839243212</v>
      </c>
    </row>
    <row r="107" spans="3:6" x14ac:dyDescent="0.2">
      <c r="C107" s="11" t="s">
        <v>422</v>
      </c>
      <c r="D107" s="10">
        <v>2</v>
      </c>
      <c r="E107" s="10">
        <v>11149.267600062045</v>
      </c>
      <c r="F107">
        <v>6646.6782611420213</v>
      </c>
    </row>
    <row r="108" spans="3:6" x14ac:dyDescent="0.2">
      <c r="C108" s="11" t="s">
        <v>423</v>
      </c>
      <c r="D108" s="10">
        <v>2</v>
      </c>
      <c r="E108" s="10">
        <v>13127.823521814844</v>
      </c>
      <c r="F108">
        <v>2828.1195960343466</v>
      </c>
    </row>
    <row r="109" spans="3:6" x14ac:dyDescent="0.2">
      <c r="C109" s="11" t="s">
        <v>424</v>
      </c>
      <c r="D109" s="10">
        <v>2</v>
      </c>
      <c r="E109" s="10">
        <v>11726.832852403566</v>
      </c>
      <c r="F109">
        <v>5384.1416284707784</v>
      </c>
    </row>
    <row r="110" spans="3:6" x14ac:dyDescent="0.2">
      <c r="C110" s="11" t="s">
        <v>425</v>
      </c>
      <c r="D110" s="10">
        <v>2</v>
      </c>
      <c r="E110" s="10">
        <v>11784.816416920257</v>
      </c>
      <c r="F110">
        <v>2213.0341828910441</v>
      </c>
    </row>
    <row r="111" spans="3:6" x14ac:dyDescent="0.2">
      <c r="C111" s="11" t="s">
        <v>426</v>
      </c>
      <c r="D111" s="10">
        <v>2</v>
      </c>
      <c r="E111" s="10">
        <v>22474.32761099725</v>
      </c>
      <c r="F111">
        <v>10518.351462656696</v>
      </c>
    </row>
    <row r="112" spans="3:6" x14ac:dyDescent="0.2">
      <c r="C112" s="11" t="s">
        <v>427</v>
      </c>
      <c r="D112" s="10">
        <v>2</v>
      </c>
      <c r="E112" s="10">
        <v>24715.877660746715</v>
      </c>
      <c r="F112">
        <v>24008.040258574038</v>
      </c>
    </row>
    <row r="113" spans="3:6" x14ac:dyDescent="0.2">
      <c r="C113" s="11" t="s">
        <v>428</v>
      </c>
      <c r="D113" s="10">
        <v>2</v>
      </c>
      <c r="E113" s="10">
        <v>22145.777012995866</v>
      </c>
      <c r="F113">
        <v>11886.723872205401</v>
      </c>
    </row>
    <row r="114" spans="3:6" x14ac:dyDescent="0.2">
      <c r="C114" s="11" t="s">
        <v>429</v>
      </c>
      <c r="D114" s="10">
        <v>2</v>
      </c>
      <c r="E114" s="10">
        <v>22146.560841377726</v>
      </c>
      <c r="F114">
        <v>9643.6588838335811</v>
      </c>
    </row>
    <row r="115" spans="3:6" x14ac:dyDescent="0.2">
      <c r="C115" s="11" t="s">
        <v>430</v>
      </c>
      <c r="D115" s="10">
        <v>1</v>
      </c>
      <c r="E115" s="10">
        <v>16062.780810821543</v>
      </c>
      <c r="F115">
        <v>16757.051447694434</v>
      </c>
    </row>
    <row r="116" spans="3:6" x14ac:dyDescent="0.2">
      <c r="C116" s="11" t="s">
        <v>431</v>
      </c>
      <c r="D116" s="10">
        <v>2</v>
      </c>
      <c r="E116" s="10">
        <v>21251.004942261283</v>
      </c>
      <c r="F116">
        <v>8474.7265503518011</v>
      </c>
    </row>
    <row r="117" spans="3:6" x14ac:dyDescent="0.2">
      <c r="C117" s="11" t="s">
        <v>432</v>
      </c>
      <c r="D117" s="10">
        <v>2</v>
      </c>
      <c r="E117" s="10">
        <v>17260.497911072973</v>
      </c>
      <c r="F117">
        <v>4948.2988132327682</v>
      </c>
    </row>
    <row r="118" spans="3:6" x14ac:dyDescent="0.2">
      <c r="C118" s="11" t="s">
        <v>433</v>
      </c>
      <c r="D118" s="10">
        <v>2</v>
      </c>
      <c r="E118" s="10">
        <v>21523.970660627823</v>
      </c>
      <c r="F118">
        <v>9143.2987389737591</v>
      </c>
    </row>
    <row r="119" spans="3:6" x14ac:dyDescent="0.2">
      <c r="C119" s="11" t="s">
        <v>434</v>
      </c>
      <c r="D119" s="10">
        <v>2</v>
      </c>
      <c r="E119" s="10">
        <v>13088.562929112173</v>
      </c>
      <c r="F119">
        <v>2450.7121498982947</v>
      </c>
    </row>
    <row r="120" spans="3:6" x14ac:dyDescent="0.2">
      <c r="C120" s="11" t="s">
        <v>435</v>
      </c>
      <c r="D120" s="10">
        <v>2</v>
      </c>
      <c r="E120" s="10">
        <v>12431.060062574717</v>
      </c>
      <c r="F120">
        <v>2941.9770226615838</v>
      </c>
    </row>
    <row r="121" spans="3:6" x14ac:dyDescent="0.2">
      <c r="C121" s="11" t="s">
        <v>436</v>
      </c>
      <c r="D121" s="10">
        <v>2</v>
      </c>
      <c r="E121" s="10">
        <v>13657.300648241169</v>
      </c>
      <c r="F121">
        <v>2694.1194886102362</v>
      </c>
    </row>
    <row r="122" spans="3:6" x14ac:dyDescent="0.2">
      <c r="C122" s="11" t="s">
        <v>437</v>
      </c>
      <c r="D122" s="10">
        <v>2</v>
      </c>
      <c r="E122" s="10">
        <v>13932.923420595325</v>
      </c>
      <c r="F122">
        <v>1284.4485501521269</v>
      </c>
    </row>
    <row r="123" spans="3:6" x14ac:dyDescent="0.2">
      <c r="C123" s="11" t="s">
        <v>438</v>
      </c>
      <c r="D123" s="10">
        <v>2</v>
      </c>
      <c r="E123" s="10">
        <v>14035.042509484696</v>
      </c>
      <c r="F123">
        <v>1688.2227281703383</v>
      </c>
    </row>
    <row r="124" spans="3:6" x14ac:dyDescent="0.2">
      <c r="C124" s="11" t="s">
        <v>439</v>
      </c>
      <c r="D124" s="10">
        <v>2</v>
      </c>
      <c r="E124" s="10">
        <v>11802.451742903724</v>
      </c>
      <c r="F124">
        <v>2599.4881782625453</v>
      </c>
    </row>
    <row r="125" spans="3:6" x14ac:dyDescent="0.2">
      <c r="C125" s="11" t="s">
        <v>440</v>
      </c>
      <c r="D125" s="10">
        <v>2</v>
      </c>
      <c r="E125" s="10">
        <v>15160.072455101665</v>
      </c>
      <c r="F125">
        <v>1657.4303743704122</v>
      </c>
    </row>
    <row r="126" spans="3:6" x14ac:dyDescent="0.2">
      <c r="C126" s="11" t="s">
        <v>441</v>
      </c>
      <c r="D126" s="10">
        <v>2</v>
      </c>
      <c r="E126" s="10">
        <v>13950.750828307186</v>
      </c>
      <c r="F126">
        <v>1298.8220577422951</v>
      </c>
    </row>
    <row r="127" spans="3:6" x14ac:dyDescent="0.2">
      <c r="C127" s="11" t="s">
        <v>442</v>
      </c>
      <c r="D127" s="10">
        <v>2</v>
      </c>
      <c r="E127" s="10">
        <v>10883.668768354166</v>
      </c>
      <c r="F127">
        <v>4854.1338344460182</v>
      </c>
    </row>
    <row r="128" spans="3:6" x14ac:dyDescent="0.2">
      <c r="C128" s="11" t="s">
        <v>443</v>
      </c>
      <c r="D128" s="10">
        <v>2</v>
      </c>
      <c r="E128" s="10">
        <v>10852.515719978364</v>
      </c>
      <c r="F128">
        <v>5691.7628877795714</v>
      </c>
    </row>
    <row r="129" spans="3:6" x14ac:dyDescent="0.2">
      <c r="C129" s="11" t="s">
        <v>444</v>
      </c>
      <c r="D129" s="10">
        <v>2</v>
      </c>
      <c r="E129" s="10">
        <v>11024.969692514132</v>
      </c>
      <c r="F129">
        <v>5072.6536748430453</v>
      </c>
    </row>
    <row r="130" spans="3:6" x14ac:dyDescent="0.2">
      <c r="C130" s="11" t="s">
        <v>445</v>
      </c>
      <c r="D130" s="10">
        <v>2</v>
      </c>
      <c r="E130" s="10">
        <v>13126.228992685199</v>
      </c>
      <c r="F130">
        <v>3149.8710443051568</v>
      </c>
    </row>
    <row r="131" spans="3:6" x14ac:dyDescent="0.2">
      <c r="C131" s="11" t="s">
        <v>446</v>
      </c>
      <c r="D131" s="10">
        <v>2</v>
      </c>
      <c r="E131" s="10">
        <v>12186.980849375508</v>
      </c>
      <c r="F131">
        <v>3792.4758957326426</v>
      </c>
    </row>
    <row r="132" spans="3:6" x14ac:dyDescent="0.2">
      <c r="C132" s="11" t="s">
        <v>447</v>
      </c>
      <c r="D132" s="10">
        <v>2</v>
      </c>
      <c r="E132" s="10">
        <v>12927.521335453832</v>
      </c>
      <c r="F132">
        <v>3385.6470152232869</v>
      </c>
    </row>
    <row r="133" spans="3:6" x14ac:dyDescent="0.2">
      <c r="C133" s="11" t="s">
        <v>448</v>
      </c>
      <c r="D133" s="10">
        <v>2</v>
      </c>
      <c r="E133" s="10">
        <v>13327.818448849715</v>
      </c>
      <c r="F133">
        <v>2208.8704342806182</v>
      </c>
    </row>
    <row r="134" spans="3:6" x14ac:dyDescent="0.2">
      <c r="C134" s="11" t="s">
        <v>449</v>
      </c>
      <c r="D134" s="10">
        <v>2</v>
      </c>
      <c r="E134" s="10">
        <v>11556.402368075154</v>
      </c>
      <c r="F134">
        <v>5653.9418632545858</v>
      </c>
    </row>
    <row r="135" spans="3:6" x14ac:dyDescent="0.2">
      <c r="C135" s="11" t="s">
        <v>450</v>
      </c>
      <c r="D135" s="10">
        <v>2</v>
      </c>
      <c r="E135" s="10">
        <v>10220.845436518246</v>
      </c>
      <c r="F135">
        <v>9917.4027894545998</v>
      </c>
    </row>
    <row r="136" spans="3:6" x14ac:dyDescent="0.2">
      <c r="C136" s="11" t="s">
        <v>451</v>
      </c>
      <c r="D136" s="10">
        <v>2</v>
      </c>
      <c r="E136" s="10">
        <v>19547.34940861904</v>
      </c>
      <c r="F136">
        <v>6815.5336444359145</v>
      </c>
    </row>
    <row r="137" spans="3:6" x14ac:dyDescent="0.2">
      <c r="C137" s="11" t="s">
        <v>452</v>
      </c>
      <c r="D137" s="10">
        <v>2</v>
      </c>
      <c r="E137" s="10">
        <v>21167.779049175839</v>
      </c>
      <c r="F137">
        <v>15141.747677767276</v>
      </c>
    </row>
    <row r="138" spans="3:6" x14ac:dyDescent="0.2">
      <c r="C138" s="11" t="s">
        <v>453</v>
      </c>
      <c r="D138" s="10">
        <v>2</v>
      </c>
      <c r="E138" s="10">
        <v>10308.780982630795</v>
      </c>
      <c r="F138">
        <v>6186.5031432586438</v>
      </c>
    </row>
    <row r="139" spans="3:6" x14ac:dyDescent="0.2">
      <c r="C139" s="11" t="s">
        <v>454</v>
      </c>
      <c r="D139" s="10">
        <v>2</v>
      </c>
      <c r="E139" s="10">
        <v>15215.01005441999</v>
      </c>
      <c r="F139">
        <v>1653.5979227885678</v>
      </c>
    </row>
    <row r="140" spans="3:6" x14ac:dyDescent="0.2">
      <c r="C140" s="11" t="s">
        <v>455</v>
      </c>
      <c r="D140" s="10">
        <v>2</v>
      </c>
      <c r="E140" s="10">
        <v>12116.612555576194</v>
      </c>
      <c r="F140">
        <v>3637.3741487862198</v>
      </c>
    </row>
    <row r="141" spans="3:6" x14ac:dyDescent="0.2">
      <c r="C141" s="11" t="s">
        <v>456</v>
      </c>
      <c r="D141" s="10">
        <v>2</v>
      </c>
      <c r="E141" s="10">
        <v>11191.670393132148</v>
      </c>
      <c r="F141">
        <v>6273.4411464838986</v>
      </c>
    </row>
    <row r="142" spans="3:6" x14ac:dyDescent="0.2">
      <c r="C142" s="11" t="s">
        <v>457</v>
      </c>
      <c r="D142" s="10">
        <v>2</v>
      </c>
      <c r="E142" s="10">
        <v>13412.55555159817</v>
      </c>
      <c r="F142">
        <v>2902.966782671735</v>
      </c>
    </row>
    <row r="143" spans="3:6" x14ac:dyDescent="0.2">
      <c r="C143" s="11" t="s">
        <v>458</v>
      </c>
      <c r="D143" s="10">
        <v>2</v>
      </c>
      <c r="E143" s="10">
        <v>13110.338070115014</v>
      </c>
      <c r="F143">
        <v>3616.9449155717857</v>
      </c>
    </row>
    <row r="144" spans="3:6" x14ac:dyDescent="0.2">
      <c r="C144" s="11" t="s">
        <v>459</v>
      </c>
      <c r="D144" s="10">
        <v>2</v>
      </c>
      <c r="E144" s="10">
        <v>10332.719953879925</v>
      </c>
      <c r="F144">
        <v>6698.9210167088231</v>
      </c>
    </row>
    <row r="145" spans="3:6" x14ac:dyDescent="0.2">
      <c r="C145" s="11" t="s">
        <v>460</v>
      </c>
      <c r="D145" s="10">
        <v>2</v>
      </c>
      <c r="E145" s="10">
        <v>13355.773889563945</v>
      </c>
      <c r="F145">
        <v>2684.7058234682463</v>
      </c>
    </row>
    <row r="146" spans="3:6" x14ac:dyDescent="0.2">
      <c r="C146" s="11" t="s">
        <v>461</v>
      </c>
      <c r="D146" s="10">
        <v>1</v>
      </c>
      <c r="E146" s="10">
        <v>11052.661580739634</v>
      </c>
      <c r="F146">
        <v>13494.120253294202</v>
      </c>
    </row>
    <row r="147" spans="3:6" x14ac:dyDescent="0.2">
      <c r="C147" s="11" t="s">
        <v>462</v>
      </c>
      <c r="D147" s="10">
        <v>2</v>
      </c>
      <c r="E147" s="10">
        <v>10659.072239204233</v>
      </c>
      <c r="F147">
        <v>4800.9365558872805</v>
      </c>
    </row>
    <row r="148" spans="3:6" x14ac:dyDescent="0.2">
      <c r="C148" s="11" t="s">
        <v>463</v>
      </c>
      <c r="D148" s="10">
        <v>2</v>
      </c>
      <c r="E148" s="10">
        <v>21795.661132294757</v>
      </c>
      <c r="F148">
        <v>10332.427499896838</v>
      </c>
    </row>
    <row r="149" spans="3:6" x14ac:dyDescent="0.2">
      <c r="C149" s="11" t="s">
        <v>464</v>
      </c>
      <c r="D149" s="10">
        <v>2</v>
      </c>
      <c r="E149" s="10">
        <v>17075.929485771248</v>
      </c>
      <c r="F149">
        <v>3675.3522868229902</v>
      </c>
    </row>
    <row r="150" spans="3:6" x14ac:dyDescent="0.2">
      <c r="C150" s="11" t="s">
        <v>465</v>
      </c>
      <c r="D150" s="10">
        <v>2</v>
      </c>
      <c r="E150" s="10">
        <v>19882.872566685295</v>
      </c>
      <c r="F150">
        <v>7074.0432129922892</v>
      </c>
    </row>
    <row r="151" spans="3:6" x14ac:dyDescent="0.2">
      <c r="C151" s="11" t="s">
        <v>466</v>
      </c>
      <c r="D151" s="10">
        <v>2</v>
      </c>
      <c r="E151" s="10">
        <v>10177.038647784297</v>
      </c>
      <c r="F151">
        <v>7253.7162034712092</v>
      </c>
    </row>
    <row r="152" spans="3:6" x14ac:dyDescent="0.2">
      <c r="C152" s="11" t="s">
        <v>467</v>
      </c>
      <c r="D152" s="10">
        <v>2</v>
      </c>
      <c r="E152" s="10">
        <v>12045.735191314443</v>
      </c>
      <c r="F152">
        <v>3797.7717010216998</v>
      </c>
    </row>
    <row r="153" spans="3:6" x14ac:dyDescent="0.2">
      <c r="C153" s="11" t="s">
        <v>468</v>
      </c>
      <c r="D153" s="10">
        <v>2</v>
      </c>
      <c r="E153" s="10">
        <v>10187.190285694009</v>
      </c>
      <c r="F153">
        <v>4022.4680714416418</v>
      </c>
    </row>
    <row r="154" spans="3:6" x14ac:dyDescent="0.2">
      <c r="C154" s="11" t="s">
        <v>469</v>
      </c>
      <c r="D154" s="10">
        <v>2</v>
      </c>
      <c r="E154" s="10">
        <v>11308.19062060967</v>
      </c>
      <c r="F154">
        <v>6775.9396888984666</v>
      </c>
    </row>
    <row r="155" spans="3:6" x14ac:dyDescent="0.2">
      <c r="C155" s="11" t="s">
        <v>470</v>
      </c>
      <c r="D155" s="10">
        <v>2</v>
      </c>
      <c r="E155" s="10">
        <v>20844.17911643982</v>
      </c>
      <c r="F155">
        <v>9070.8898933616965</v>
      </c>
    </row>
    <row r="156" spans="3:6" x14ac:dyDescent="0.2">
      <c r="C156" s="11" t="s">
        <v>471</v>
      </c>
      <c r="D156" s="10">
        <v>2</v>
      </c>
      <c r="E156" s="10">
        <v>11155.114512741426</v>
      </c>
      <c r="F156">
        <v>2672.9345685863373</v>
      </c>
    </row>
    <row r="157" spans="3:6" x14ac:dyDescent="0.2">
      <c r="C157" s="11" t="s">
        <v>472</v>
      </c>
      <c r="D157" s="10">
        <v>2</v>
      </c>
      <c r="E157" s="10">
        <v>11935.584921626591</v>
      </c>
      <c r="F157">
        <v>2962.4174196062258</v>
      </c>
    </row>
    <row r="158" spans="3:6" x14ac:dyDescent="0.2">
      <c r="C158" s="11" t="s">
        <v>473</v>
      </c>
      <c r="D158" s="10">
        <v>2</v>
      </c>
      <c r="E158" s="10">
        <v>12017.845690884111</v>
      </c>
      <c r="F158">
        <v>2841.8474451388179</v>
      </c>
    </row>
    <row r="159" spans="3:6" x14ac:dyDescent="0.2">
      <c r="C159" s="11" t="s">
        <v>474</v>
      </c>
      <c r="D159" s="10">
        <v>2</v>
      </c>
      <c r="E159" s="10">
        <v>12725.640319182301</v>
      </c>
      <c r="F159">
        <v>1694.939902030756</v>
      </c>
    </row>
    <row r="160" spans="3:6" x14ac:dyDescent="0.2">
      <c r="C160" s="11" t="s">
        <v>475</v>
      </c>
      <c r="D160" s="10">
        <v>2</v>
      </c>
      <c r="E160" s="10">
        <v>11707.387897777151</v>
      </c>
      <c r="F160">
        <v>2574.5925664062602</v>
      </c>
    </row>
    <row r="161" spans="3:6" x14ac:dyDescent="0.2">
      <c r="C161" s="11" t="s">
        <v>476</v>
      </c>
      <c r="D161" s="10">
        <v>2</v>
      </c>
      <c r="E161" s="10">
        <v>9381.7834618580382</v>
      </c>
      <c r="F161">
        <v>7339.5431467441422</v>
      </c>
    </row>
    <row r="162" spans="3:6" x14ac:dyDescent="0.2">
      <c r="C162" s="11" t="s">
        <v>477</v>
      </c>
      <c r="D162" s="10">
        <v>2</v>
      </c>
      <c r="E162" s="10">
        <v>11839.618077111983</v>
      </c>
      <c r="F162">
        <v>4176.9596353666975</v>
      </c>
    </row>
    <row r="163" spans="3:6" x14ac:dyDescent="0.2">
      <c r="C163" s="11" t="s">
        <v>478</v>
      </c>
      <c r="D163" s="10">
        <v>2</v>
      </c>
      <c r="E163" s="10">
        <v>11861.686109652102</v>
      </c>
      <c r="F163">
        <v>4352.3941682968925</v>
      </c>
    </row>
    <row r="164" spans="3:6" x14ac:dyDescent="0.2">
      <c r="C164" s="11" t="s">
        <v>479</v>
      </c>
      <c r="D164" s="10">
        <v>2</v>
      </c>
      <c r="E164" s="10">
        <v>16005.826776399104</v>
      </c>
      <c r="F164">
        <v>2463.6774243028626</v>
      </c>
    </row>
    <row r="165" spans="3:6" x14ac:dyDescent="0.2">
      <c r="C165" s="11" t="s">
        <v>480</v>
      </c>
      <c r="D165" s="10">
        <v>2</v>
      </c>
      <c r="E165" s="10">
        <v>22127.030323740066</v>
      </c>
      <c r="F165">
        <v>9562.5298440588376</v>
      </c>
    </row>
    <row r="166" spans="3:6" x14ac:dyDescent="0.2">
      <c r="C166" s="11" t="s">
        <v>481</v>
      </c>
      <c r="D166" s="10">
        <v>2</v>
      </c>
      <c r="E166" s="10">
        <v>11700.60188131203</v>
      </c>
      <c r="F166">
        <v>3940.4663788325829</v>
      </c>
    </row>
    <row r="167" spans="3:6" x14ac:dyDescent="0.2">
      <c r="C167" s="11" t="s">
        <v>482</v>
      </c>
      <c r="D167" s="10">
        <v>2</v>
      </c>
      <c r="E167" s="10">
        <v>15231.055036402404</v>
      </c>
      <c r="F167">
        <v>1673.1776525199919</v>
      </c>
    </row>
    <row r="168" spans="3:6" x14ac:dyDescent="0.2">
      <c r="C168" s="11" t="s">
        <v>483</v>
      </c>
      <c r="D168" s="10">
        <v>2</v>
      </c>
      <c r="E168" s="10">
        <v>22023.685153437353</v>
      </c>
      <c r="F168">
        <v>10523.100572855996</v>
      </c>
    </row>
    <row r="169" spans="3:6" x14ac:dyDescent="0.2">
      <c r="C169" s="11" t="s">
        <v>484</v>
      </c>
      <c r="D169" s="10">
        <v>2</v>
      </c>
      <c r="E169" s="10">
        <v>10766.629114685938</v>
      </c>
      <c r="F169">
        <v>7135.6911387174341</v>
      </c>
    </row>
    <row r="170" spans="3:6" x14ac:dyDescent="0.2">
      <c r="C170" s="11" t="s">
        <v>485</v>
      </c>
      <c r="D170" s="10">
        <v>2</v>
      </c>
      <c r="E170" s="10">
        <v>10040.764045758409</v>
      </c>
      <c r="F170">
        <v>6069.3240486831992</v>
      </c>
    </row>
    <row r="171" spans="3:6" x14ac:dyDescent="0.2">
      <c r="C171" s="11" t="s">
        <v>486</v>
      </c>
      <c r="D171" s="10">
        <v>2</v>
      </c>
      <c r="E171" s="10">
        <v>12241.567499088453</v>
      </c>
      <c r="F171">
        <v>4626.7163577503034</v>
      </c>
    </row>
    <row r="172" spans="3:6" x14ac:dyDescent="0.2">
      <c r="C172" s="11" t="s">
        <v>487</v>
      </c>
      <c r="D172" s="10">
        <v>2</v>
      </c>
      <c r="E172" s="10">
        <v>17793.721649117237</v>
      </c>
      <c r="F172">
        <v>4901.672402795678</v>
      </c>
    </row>
    <row r="173" spans="3:6" x14ac:dyDescent="0.2">
      <c r="C173" s="11" t="s">
        <v>488</v>
      </c>
      <c r="D173" s="10">
        <v>2</v>
      </c>
      <c r="E173" s="10">
        <v>12127.271558734723</v>
      </c>
      <c r="F173">
        <v>1865.8580419021587</v>
      </c>
    </row>
    <row r="174" spans="3:6" x14ac:dyDescent="0.2">
      <c r="C174" s="11" t="s">
        <v>489</v>
      </c>
      <c r="D174" s="10">
        <v>2</v>
      </c>
      <c r="E174" s="10">
        <v>18087.466137554336</v>
      </c>
      <c r="F174">
        <v>4609.8691392886622</v>
      </c>
    </row>
    <row r="175" spans="3:6" x14ac:dyDescent="0.2">
      <c r="C175" s="11" t="s">
        <v>490</v>
      </c>
      <c r="D175" s="10">
        <v>2</v>
      </c>
      <c r="E175" s="10">
        <v>9789.80461289491</v>
      </c>
      <c r="F175">
        <v>8730.5972112066192</v>
      </c>
    </row>
    <row r="176" spans="3:6" x14ac:dyDescent="0.2">
      <c r="C176" s="11" t="s">
        <v>491</v>
      </c>
      <c r="D176" s="10">
        <v>2</v>
      </c>
      <c r="E176" s="10">
        <v>9479.6791543417676</v>
      </c>
      <c r="F176">
        <v>6539.3838602256219</v>
      </c>
    </row>
    <row r="177" spans="3:6" x14ac:dyDescent="0.2">
      <c r="C177" s="11" t="s">
        <v>492</v>
      </c>
      <c r="D177" s="10">
        <v>2</v>
      </c>
      <c r="E177" s="10">
        <v>14953.835305412449</v>
      </c>
      <c r="F177">
        <v>1488.2470873867303</v>
      </c>
    </row>
    <row r="178" spans="3:6" x14ac:dyDescent="0.2">
      <c r="C178" s="11" t="s">
        <v>493</v>
      </c>
      <c r="D178" s="10">
        <v>2</v>
      </c>
      <c r="E178" s="10">
        <v>16408.551605595847</v>
      </c>
      <c r="F178">
        <v>2844.6925412416358</v>
      </c>
    </row>
    <row r="179" spans="3:6" x14ac:dyDescent="0.2">
      <c r="C179" s="11" t="s">
        <v>494</v>
      </c>
      <c r="D179" s="10">
        <v>2</v>
      </c>
      <c r="E179" s="10">
        <v>23179.814672253375</v>
      </c>
      <c r="F179">
        <v>10590.847621393024</v>
      </c>
    </row>
    <row r="180" spans="3:6" x14ac:dyDescent="0.2">
      <c r="C180" s="11" t="s">
        <v>495</v>
      </c>
      <c r="D180" s="10">
        <v>2</v>
      </c>
      <c r="E180" s="10">
        <v>17990.706915630661</v>
      </c>
      <c r="F180">
        <v>4608.8012629770456</v>
      </c>
    </row>
    <row r="181" spans="3:6" x14ac:dyDescent="0.2">
      <c r="C181" s="11" t="s">
        <v>496</v>
      </c>
      <c r="D181" s="10">
        <v>2</v>
      </c>
      <c r="E181" s="10">
        <v>19304.868065098584</v>
      </c>
      <c r="F181">
        <v>10388.088755209328</v>
      </c>
    </row>
    <row r="182" spans="3:6" x14ac:dyDescent="0.2">
      <c r="C182" s="11" t="s">
        <v>497</v>
      </c>
      <c r="D182" s="10">
        <v>2</v>
      </c>
      <c r="E182" s="10">
        <v>16139.060816943283</v>
      </c>
      <c r="F182">
        <v>2768.0260744110856</v>
      </c>
    </row>
    <row r="183" spans="3:6" x14ac:dyDescent="0.2">
      <c r="C183" s="11" t="s">
        <v>498</v>
      </c>
      <c r="D183" s="10">
        <v>2</v>
      </c>
      <c r="E183" s="10">
        <v>13378.280024837935</v>
      </c>
      <c r="F183">
        <v>2609.4022450181137</v>
      </c>
    </row>
    <row r="184" spans="3:6" x14ac:dyDescent="0.2">
      <c r="C184" s="11" t="s">
        <v>499</v>
      </c>
      <c r="D184" s="10">
        <v>2</v>
      </c>
      <c r="E184" s="10">
        <v>11473.107560702594</v>
      </c>
      <c r="F184">
        <v>2359.3575587035266</v>
      </c>
    </row>
    <row r="185" spans="3:6" x14ac:dyDescent="0.2">
      <c r="C185" s="11" t="s">
        <v>500</v>
      </c>
      <c r="D185" s="10">
        <v>2</v>
      </c>
      <c r="E185" s="10">
        <v>11661.97385401437</v>
      </c>
      <c r="F185">
        <v>4540.9843033391271</v>
      </c>
    </row>
    <row r="186" spans="3:6" x14ac:dyDescent="0.2">
      <c r="C186" s="11" t="s">
        <v>501</v>
      </c>
      <c r="D186" s="10">
        <v>2</v>
      </c>
      <c r="E186" s="10">
        <v>11386.095182100924</v>
      </c>
      <c r="F186">
        <v>3167.864249296209</v>
      </c>
    </row>
    <row r="187" spans="3:6" x14ac:dyDescent="0.2">
      <c r="C187" s="11" t="s">
        <v>502</v>
      </c>
      <c r="D187" s="10">
        <v>2</v>
      </c>
      <c r="E187" s="10">
        <v>13250.2636357518</v>
      </c>
      <c r="F187">
        <v>2365.1910913496995</v>
      </c>
    </row>
    <row r="188" spans="3:6" x14ac:dyDescent="0.2">
      <c r="C188" s="11" t="s">
        <v>503</v>
      </c>
      <c r="D188" s="10">
        <v>2</v>
      </c>
      <c r="E188" s="10">
        <v>18501.580212505207</v>
      </c>
      <c r="F188">
        <v>14164.68804968947</v>
      </c>
    </row>
    <row r="189" spans="3:6" x14ac:dyDescent="0.2">
      <c r="C189" s="11" t="s">
        <v>504</v>
      </c>
      <c r="D189" s="10">
        <v>2</v>
      </c>
      <c r="E189" s="10">
        <v>13873.870729618104</v>
      </c>
      <c r="F189">
        <v>1392.147506577712</v>
      </c>
    </row>
    <row r="190" spans="3:6" x14ac:dyDescent="0.2">
      <c r="C190" s="11" t="s">
        <v>505</v>
      </c>
      <c r="D190" s="10">
        <v>2</v>
      </c>
      <c r="E190" s="10">
        <v>22053.379108936228</v>
      </c>
      <c r="F190">
        <v>14925.874156430087</v>
      </c>
    </row>
    <row r="191" spans="3:6" x14ac:dyDescent="0.2">
      <c r="C191" s="11" t="s">
        <v>506</v>
      </c>
      <c r="D191" s="10">
        <v>2</v>
      </c>
      <c r="E191" s="10">
        <v>14594.145628999122</v>
      </c>
      <c r="F191">
        <v>4562.3632409534248</v>
      </c>
    </row>
    <row r="192" spans="3:6" x14ac:dyDescent="0.2">
      <c r="C192" s="11" t="s">
        <v>507</v>
      </c>
      <c r="D192" s="10">
        <v>2</v>
      </c>
      <c r="E192" s="10">
        <v>11298.555030890204</v>
      </c>
      <c r="F192">
        <v>6302.6681687070277</v>
      </c>
    </row>
    <row r="193" spans="3:6" x14ac:dyDescent="0.2">
      <c r="C193" s="11" t="s">
        <v>508</v>
      </c>
      <c r="D193" s="10">
        <v>2</v>
      </c>
      <c r="E193" s="10">
        <v>12619.395803066596</v>
      </c>
      <c r="F193">
        <v>3712.8558981272477</v>
      </c>
    </row>
    <row r="194" spans="3:6" x14ac:dyDescent="0.2">
      <c r="C194" s="11" t="s">
        <v>509</v>
      </c>
      <c r="D194" s="10">
        <v>2</v>
      </c>
      <c r="E194" s="10">
        <v>13779.613536490771</v>
      </c>
      <c r="F194">
        <v>1588.953691150343</v>
      </c>
    </row>
    <row r="195" spans="3:6" x14ac:dyDescent="0.2">
      <c r="C195" s="11" t="s">
        <v>510</v>
      </c>
      <c r="D195" s="10">
        <v>2</v>
      </c>
      <c r="E195" s="10">
        <v>9740.6785041582352</v>
      </c>
      <c r="F195">
        <v>6701.3894685269142</v>
      </c>
    </row>
    <row r="196" spans="3:6" x14ac:dyDescent="0.2">
      <c r="C196" s="11" t="s">
        <v>511</v>
      </c>
      <c r="D196" s="10">
        <v>2</v>
      </c>
      <c r="E196" s="10">
        <v>11555.769743612887</v>
      </c>
      <c r="F196">
        <v>4745.1054295636759</v>
      </c>
    </row>
    <row r="197" spans="3:6" x14ac:dyDescent="0.2">
      <c r="C197" s="11" t="s">
        <v>512</v>
      </c>
      <c r="D197" s="10">
        <v>1</v>
      </c>
      <c r="E197" s="10">
        <v>9740.3925582822176</v>
      </c>
      <c r="F197">
        <v>9990.018235802585</v>
      </c>
    </row>
    <row r="198" spans="3:6" x14ac:dyDescent="0.2">
      <c r="C198" s="11" t="s">
        <v>513</v>
      </c>
      <c r="D198" s="10">
        <v>2</v>
      </c>
      <c r="E198" s="10">
        <v>13257.414131121212</v>
      </c>
      <c r="F198">
        <v>2303.0655931532733</v>
      </c>
    </row>
    <row r="199" spans="3:6" x14ac:dyDescent="0.2">
      <c r="C199" s="11" t="s">
        <v>514</v>
      </c>
      <c r="D199" s="10">
        <v>2</v>
      </c>
      <c r="E199" s="10">
        <v>11059.375939701853</v>
      </c>
      <c r="F199">
        <v>8029.1600628648612</v>
      </c>
    </row>
    <row r="200" spans="3:6" x14ac:dyDescent="0.2">
      <c r="C200" s="11" t="s">
        <v>515</v>
      </c>
      <c r="D200" s="10">
        <v>2</v>
      </c>
      <c r="E200" s="10">
        <v>17548.118214503302</v>
      </c>
      <c r="F200">
        <v>4180.0911220735397</v>
      </c>
    </row>
    <row r="201" spans="3:6" x14ac:dyDescent="0.2">
      <c r="C201" s="11" t="s">
        <v>516</v>
      </c>
      <c r="D201" s="10">
        <v>2</v>
      </c>
      <c r="E201" s="10">
        <v>18956.456051921668</v>
      </c>
      <c r="F201">
        <v>10163.227440531413</v>
      </c>
    </row>
    <row r="202" spans="3:6" x14ac:dyDescent="0.2">
      <c r="C202" s="11" t="s">
        <v>517</v>
      </c>
      <c r="D202" s="10">
        <v>2</v>
      </c>
      <c r="E202" s="10">
        <v>9958.4688776871626</v>
      </c>
      <c r="F202">
        <v>8924.1076642364533</v>
      </c>
    </row>
    <row r="203" spans="3:6" x14ac:dyDescent="0.2">
      <c r="C203" s="11" t="s">
        <v>518</v>
      </c>
      <c r="D203" s="10">
        <v>2</v>
      </c>
      <c r="E203" s="10">
        <v>10657.466830351392</v>
      </c>
      <c r="F203">
        <v>5258.4222543594287</v>
      </c>
    </row>
    <row r="204" spans="3:6" x14ac:dyDescent="0.2">
      <c r="C204" s="11" t="s">
        <v>519</v>
      </c>
      <c r="D204" s="10">
        <v>2</v>
      </c>
      <c r="E204" s="10">
        <v>11844.01698786747</v>
      </c>
      <c r="F204">
        <v>5404.553869978442</v>
      </c>
    </row>
    <row r="205" spans="3:6" x14ac:dyDescent="0.2">
      <c r="C205" s="11" t="s">
        <v>520</v>
      </c>
      <c r="D205" s="10">
        <v>2</v>
      </c>
      <c r="E205" s="10">
        <v>11051.563422255964</v>
      </c>
      <c r="F205">
        <v>7340.4255455596576</v>
      </c>
    </row>
    <row r="206" spans="3:6" x14ac:dyDescent="0.2">
      <c r="C206" s="11" t="s">
        <v>521</v>
      </c>
      <c r="D206" s="10">
        <v>1</v>
      </c>
      <c r="E206" s="10">
        <v>10727.269393232651</v>
      </c>
      <c r="F206">
        <v>12782.29369405035</v>
      </c>
    </row>
    <row r="207" spans="3:6" x14ac:dyDescent="0.2">
      <c r="C207" s="11" t="s">
        <v>522</v>
      </c>
      <c r="D207" s="10">
        <v>2</v>
      </c>
      <c r="E207" s="10">
        <v>10902.048177131457</v>
      </c>
      <c r="F207">
        <v>6828.8180416589812</v>
      </c>
    </row>
    <row r="208" spans="3:6" x14ac:dyDescent="0.2">
      <c r="C208" s="11" t="s">
        <v>523</v>
      </c>
      <c r="D208" s="10">
        <v>2</v>
      </c>
      <c r="E208" s="10">
        <v>12921.910413449243</v>
      </c>
      <c r="F208">
        <v>2967.8336033661535</v>
      </c>
    </row>
    <row r="209" spans="3:6" x14ac:dyDescent="0.2">
      <c r="C209" s="11" t="s">
        <v>524</v>
      </c>
      <c r="D209" s="10">
        <v>2</v>
      </c>
      <c r="E209" s="10">
        <v>11320.396098955793</v>
      </c>
      <c r="F209">
        <v>5904.1214804001602</v>
      </c>
    </row>
    <row r="210" spans="3:6" x14ac:dyDescent="0.2">
      <c r="C210" s="11" t="s">
        <v>525</v>
      </c>
      <c r="D210" s="10">
        <v>2</v>
      </c>
      <c r="E210" s="10">
        <v>11322.707635973698</v>
      </c>
      <c r="F210">
        <v>5801.6100911248495</v>
      </c>
    </row>
    <row r="211" spans="3:6" x14ac:dyDescent="0.2">
      <c r="C211" s="11" t="s">
        <v>526</v>
      </c>
      <c r="D211" s="10">
        <v>2</v>
      </c>
      <c r="E211" s="10">
        <v>15813.703236629139</v>
      </c>
      <c r="F211">
        <v>2335.0564452143913</v>
      </c>
    </row>
    <row r="212" spans="3:6" x14ac:dyDescent="0.2">
      <c r="C212" s="11" t="s">
        <v>527</v>
      </c>
      <c r="D212" s="10">
        <v>2</v>
      </c>
      <c r="E212" s="10">
        <v>13570.590057094047</v>
      </c>
      <c r="F212">
        <v>1255.8720878966271</v>
      </c>
    </row>
    <row r="213" spans="3:6" x14ac:dyDescent="0.2">
      <c r="C213" s="11" t="s">
        <v>528</v>
      </c>
      <c r="D213" s="10">
        <v>2</v>
      </c>
      <c r="E213" s="10">
        <v>19008.782043825227</v>
      </c>
      <c r="F213">
        <v>5959.887383835342</v>
      </c>
    </row>
    <row r="214" spans="3:6" x14ac:dyDescent="0.2">
      <c r="C214" s="11" t="s">
        <v>529</v>
      </c>
      <c r="D214" s="10">
        <v>2</v>
      </c>
      <c r="E214" s="10">
        <v>18743.242339383705</v>
      </c>
      <c r="F214">
        <v>5515.4730552237479</v>
      </c>
    </row>
    <row r="215" spans="3:6" x14ac:dyDescent="0.2">
      <c r="C215" s="11" t="s">
        <v>530</v>
      </c>
      <c r="D215" s="10">
        <v>2</v>
      </c>
      <c r="E215" s="10">
        <v>17795.719970998711</v>
      </c>
      <c r="F215">
        <v>4292.6607558972855</v>
      </c>
    </row>
    <row r="216" spans="3:6" x14ac:dyDescent="0.2">
      <c r="C216" s="11" t="s">
        <v>531</v>
      </c>
      <c r="D216" s="10">
        <v>2</v>
      </c>
      <c r="E216" s="10">
        <v>13561.02367892747</v>
      </c>
      <c r="F216">
        <v>998.46534494003856</v>
      </c>
    </row>
    <row r="217" spans="3:6" x14ac:dyDescent="0.2">
      <c r="C217" s="11" t="s">
        <v>532</v>
      </c>
      <c r="D217" s="10">
        <v>2</v>
      </c>
      <c r="E217" s="10">
        <v>12855.386165384822</v>
      </c>
      <c r="F217">
        <v>3431.0482457049261</v>
      </c>
    </row>
    <row r="218" spans="3:6" x14ac:dyDescent="0.2">
      <c r="C218" s="11" t="s">
        <v>533</v>
      </c>
      <c r="D218" s="10">
        <v>1</v>
      </c>
      <c r="E218" s="10">
        <v>3139.2744343472482</v>
      </c>
      <c r="F218">
        <v>14651.440332928792</v>
      </c>
    </row>
    <row r="219" spans="3:6" x14ac:dyDescent="0.2">
      <c r="C219" s="11" t="s">
        <v>534</v>
      </c>
      <c r="D219" s="10">
        <v>1</v>
      </c>
      <c r="E219" s="10">
        <v>3749.6591153416775</v>
      </c>
      <c r="F219">
        <v>13898.367735467451</v>
      </c>
    </row>
    <row r="220" spans="3:6" x14ac:dyDescent="0.2">
      <c r="C220" s="11" t="s">
        <v>535</v>
      </c>
      <c r="D220" s="10">
        <v>1</v>
      </c>
      <c r="E220" s="10">
        <v>7154.3417242709465</v>
      </c>
      <c r="F220">
        <v>12577.891900437233</v>
      </c>
    </row>
    <row r="221" spans="3:6" x14ac:dyDescent="0.2">
      <c r="C221" s="11" t="s">
        <v>536</v>
      </c>
      <c r="D221" s="10">
        <v>1</v>
      </c>
      <c r="E221" s="10">
        <v>7177.8451469738511</v>
      </c>
      <c r="F221">
        <v>15763.500630478786</v>
      </c>
    </row>
    <row r="222" spans="3:6" x14ac:dyDescent="0.2">
      <c r="C222" s="11" t="s">
        <v>537</v>
      </c>
      <c r="D222" s="10">
        <v>1</v>
      </c>
      <c r="E222" s="10">
        <v>12307.774811059217</v>
      </c>
      <c r="F222">
        <v>23673.803717655221</v>
      </c>
    </row>
    <row r="223" spans="3:6" x14ac:dyDescent="0.2">
      <c r="C223" s="11" t="s">
        <v>538</v>
      </c>
      <c r="D223" s="10">
        <v>1</v>
      </c>
      <c r="E223" s="10">
        <v>4778.9772453249861</v>
      </c>
      <c r="F223">
        <v>16641.062031460613</v>
      </c>
    </row>
    <row r="224" spans="3:6" x14ac:dyDescent="0.2">
      <c r="C224" s="11" t="s">
        <v>539</v>
      </c>
      <c r="D224" s="10">
        <v>1</v>
      </c>
      <c r="E224" s="10">
        <v>3940.065117344202</v>
      </c>
      <c r="F224">
        <v>13873.449919539513</v>
      </c>
    </row>
    <row r="225" spans="3:6" x14ac:dyDescent="0.2">
      <c r="C225" s="11" t="s">
        <v>540</v>
      </c>
      <c r="D225" s="10">
        <v>1</v>
      </c>
      <c r="E225" s="10">
        <v>8920.0213177861715</v>
      </c>
      <c r="F225">
        <v>13102.509743984479</v>
      </c>
    </row>
    <row r="226" spans="3:6" x14ac:dyDescent="0.2">
      <c r="C226" s="11" t="s">
        <v>541</v>
      </c>
      <c r="D226" s="10">
        <v>1</v>
      </c>
      <c r="E226" s="10">
        <v>6502.2546253456503</v>
      </c>
      <c r="F226">
        <v>13201.988907275829</v>
      </c>
    </row>
    <row r="227" spans="3:6" x14ac:dyDescent="0.2">
      <c r="C227" s="11" t="s">
        <v>542</v>
      </c>
      <c r="D227" s="10">
        <v>1</v>
      </c>
      <c r="E227" s="10">
        <v>6728.9334118779079</v>
      </c>
      <c r="F227">
        <v>11545.604840151924</v>
      </c>
    </row>
    <row r="228" spans="3:6" x14ac:dyDescent="0.2">
      <c r="C228" s="11" t="s">
        <v>543</v>
      </c>
      <c r="D228" s="10">
        <v>1</v>
      </c>
      <c r="E228" s="10">
        <v>13789.991619061431</v>
      </c>
      <c r="F228">
        <v>23939.436107960253</v>
      </c>
    </row>
    <row r="229" spans="3:6" x14ac:dyDescent="0.2">
      <c r="C229" s="11" t="s">
        <v>544</v>
      </c>
      <c r="D229" s="10">
        <v>1</v>
      </c>
      <c r="E229" s="10">
        <v>9593.0819019019564</v>
      </c>
      <c r="F229">
        <v>11580.740087861686</v>
      </c>
    </row>
    <row r="230" spans="3:6" x14ac:dyDescent="0.2">
      <c r="C230" s="11" t="s">
        <v>545</v>
      </c>
      <c r="D230" s="10">
        <v>1</v>
      </c>
      <c r="E230" s="10">
        <v>7963.3777749536075</v>
      </c>
      <c r="F230">
        <v>13097.648281876758</v>
      </c>
    </row>
    <row r="231" spans="3:6" x14ac:dyDescent="0.2">
      <c r="C231" s="11" t="s">
        <v>546</v>
      </c>
      <c r="D231" s="10">
        <v>1</v>
      </c>
      <c r="E231" s="10">
        <v>8672.9298868214046</v>
      </c>
      <c r="F231">
        <v>13411.309154570086</v>
      </c>
    </row>
    <row r="232" spans="3:6" x14ac:dyDescent="0.2">
      <c r="C232" s="11" t="s">
        <v>547</v>
      </c>
      <c r="D232" s="10">
        <v>1</v>
      </c>
      <c r="E232" s="10">
        <v>10104.025242691332</v>
      </c>
      <c r="F232">
        <v>21568.085214895491</v>
      </c>
    </row>
    <row r="233" spans="3:6" x14ac:dyDescent="0.2">
      <c r="C233" s="11" t="s">
        <v>548</v>
      </c>
      <c r="D233" s="10">
        <v>1</v>
      </c>
      <c r="E233" s="10">
        <v>10664.058698355624</v>
      </c>
      <c r="F233">
        <v>21693.837206043729</v>
      </c>
    </row>
    <row r="234" spans="3:6" x14ac:dyDescent="0.2">
      <c r="C234" s="11" t="s">
        <v>549</v>
      </c>
      <c r="D234" s="10">
        <v>1</v>
      </c>
      <c r="E234" s="10">
        <v>2944.2129182408712</v>
      </c>
      <c r="F234">
        <v>13860.599329536892</v>
      </c>
    </row>
    <row r="235" spans="3:6" x14ac:dyDescent="0.2">
      <c r="C235" s="11" t="s">
        <v>550</v>
      </c>
      <c r="D235" s="10">
        <v>1</v>
      </c>
      <c r="E235" s="10">
        <v>5268.4662693387136</v>
      </c>
      <c r="F235">
        <v>13679.094472239769</v>
      </c>
    </row>
    <row r="236" spans="3:6" x14ac:dyDescent="0.2">
      <c r="C236" s="11" t="s">
        <v>551</v>
      </c>
      <c r="D236" s="10">
        <v>1</v>
      </c>
      <c r="E236" s="10">
        <v>5864.8773223207854</v>
      </c>
      <c r="F236">
        <v>14600.996991543798</v>
      </c>
    </row>
    <row r="237" spans="3:6" x14ac:dyDescent="0.2">
      <c r="C237" s="11" t="s">
        <v>552</v>
      </c>
      <c r="D237" s="10">
        <v>1</v>
      </c>
      <c r="E237" s="10">
        <v>6077.761751643272</v>
      </c>
      <c r="F237">
        <v>11099.390431077896</v>
      </c>
    </row>
    <row r="238" spans="3:6" x14ac:dyDescent="0.2">
      <c r="C238" s="11" t="s">
        <v>553</v>
      </c>
      <c r="D238" s="10">
        <v>1</v>
      </c>
      <c r="E238" s="10">
        <v>6465.151886065044</v>
      </c>
      <c r="F238">
        <v>13137.118713315504</v>
      </c>
    </row>
    <row r="239" spans="3:6" x14ac:dyDescent="0.2">
      <c r="C239" s="11" t="s">
        <v>554</v>
      </c>
      <c r="D239" s="10">
        <v>1</v>
      </c>
      <c r="E239" s="10">
        <v>4191.371857950433</v>
      </c>
      <c r="F239">
        <v>14776.154499852963</v>
      </c>
    </row>
    <row r="240" spans="3:6" x14ac:dyDescent="0.2">
      <c r="C240" s="11" t="s">
        <v>555</v>
      </c>
      <c r="D240" s="10">
        <v>1</v>
      </c>
      <c r="E240" s="10">
        <v>7154.4497046751148</v>
      </c>
      <c r="F240">
        <v>9282.7712165001976</v>
      </c>
    </row>
    <row r="241" spans="3:6" x14ac:dyDescent="0.2">
      <c r="C241" s="11" t="s">
        <v>556</v>
      </c>
      <c r="D241" s="10">
        <v>1</v>
      </c>
      <c r="E241" s="10">
        <v>4514.6298015885504</v>
      </c>
      <c r="F241">
        <v>11154.098491745246</v>
      </c>
    </row>
    <row r="242" spans="3:6" x14ac:dyDescent="0.2">
      <c r="C242" s="11" t="s">
        <v>557</v>
      </c>
      <c r="D242" s="10">
        <v>1</v>
      </c>
      <c r="E242" s="10">
        <v>6626.6196381592863</v>
      </c>
      <c r="F242">
        <v>10344.90861628763</v>
      </c>
    </row>
    <row r="243" spans="3:6" x14ac:dyDescent="0.2">
      <c r="C243" s="11" t="s">
        <v>558</v>
      </c>
      <c r="D243" s="10">
        <v>1</v>
      </c>
      <c r="E243" s="10">
        <v>43777.007801587999</v>
      </c>
      <c r="F243">
        <v>51088.722360442567</v>
      </c>
    </row>
    <row r="244" spans="3:6" x14ac:dyDescent="0.2">
      <c r="C244" s="11" t="s">
        <v>559</v>
      </c>
      <c r="D244" s="10">
        <v>1</v>
      </c>
      <c r="E244" s="10">
        <v>6229.7210574563351</v>
      </c>
      <c r="F244">
        <v>14264.416730794648</v>
      </c>
    </row>
    <row r="245" spans="3:6" x14ac:dyDescent="0.2">
      <c r="C245" s="11" t="s">
        <v>560</v>
      </c>
      <c r="D245" s="10">
        <v>1</v>
      </c>
      <c r="E245" s="10">
        <v>7463.8779306091992</v>
      </c>
      <c r="F245">
        <v>18221.875098853372</v>
      </c>
    </row>
    <row r="246" spans="3:6" x14ac:dyDescent="0.2">
      <c r="C246" s="11" t="s">
        <v>561</v>
      </c>
      <c r="D246" s="10">
        <v>1</v>
      </c>
      <c r="E246" s="10">
        <v>1350.9371296462839</v>
      </c>
      <c r="F246">
        <v>13369.087409919197</v>
      </c>
    </row>
    <row r="247" spans="3:6" x14ac:dyDescent="0.2">
      <c r="C247" s="11" t="s">
        <v>562</v>
      </c>
      <c r="D247" s="10">
        <v>1</v>
      </c>
      <c r="E247" s="10">
        <v>7299.1226731659899</v>
      </c>
      <c r="F247">
        <v>11560.796014116329</v>
      </c>
    </row>
    <row r="248" spans="3:6" x14ac:dyDescent="0.2">
      <c r="C248" s="11" t="s">
        <v>563</v>
      </c>
      <c r="D248" s="10">
        <v>1</v>
      </c>
      <c r="E248" s="10">
        <v>9069.7743263389766</v>
      </c>
      <c r="F248">
        <v>12219.290614619458</v>
      </c>
    </row>
    <row r="249" spans="3:6" x14ac:dyDescent="0.2">
      <c r="C249" s="11" t="s">
        <v>564</v>
      </c>
      <c r="D249" s="10">
        <v>1</v>
      </c>
      <c r="E249" s="10">
        <v>2949.1679208008732</v>
      </c>
      <c r="F249">
        <v>12162.840905320305</v>
      </c>
    </row>
    <row r="250" spans="3:6" x14ac:dyDescent="0.2">
      <c r="C250" s="11" t="s">
        <v>565</v>
      </c>
      <c r="D250" s="10">
        <v>1</v>
      </c>
      <c r="E250" s="10">
        <v>3423.8920623046934</v>
      </c>
      <c r="F250">
        <v>11718.524941215499</v>
      </c>
    </row>
    <row r="251" spans="3:6" x14ac:dyDescent="0.2">
      <c r="C251" s="11" t="s">
        <v>566</v>
      </c>
      <c r="D251" s="10">
        <v>1</v>
      </c>
      <c r="E251" s="10">
        <v>3727.8603183509244</v>
      </c>
      <c r="F251">
        <v>11634.598326087053</v>
      </c>
    </row>
    <row r="252" spans="3:6" x14ac:dyDescent="0.2">
      <c r="C252" s="11" t="s">
        <v>567</v>
      </c>
      <c r="D252" s="10">
        <v>1</v>
      </c>
      <c r="E252" s="10">
        <v>8112.7372207816206</v>
      </c>
      <c r="F252">
        <v>16615.896072970343</v>
      </c>
    </row>
    <row r="253" spans="3:6" x14ac:dyDescent="0.2">
      <c r="C253" s="11" t="s">
        <v>568</v>
      </c>
      <c r="D253" s="10">
        <v>1</v>
      </c>
      <c r="E253" s="10">
        <v>7203.2986760741269</v>
      </c>
      <c r="F253">
        <v>15629.333984265939</v>
      </c>
    </row>
    <row r="254" spans="3:6" x14ac:dyDescent="0.2">
      <c r="C254" s="11" t="s">
        <v>569</v>
      </c>
      <c r="D254" s="10">
        <v>1</v>
      </c>
      <c r="E254" s="10">
        <v>24676.940210185305</v>
      </c>
      <c r="F254">
        <v>33053.214130797933</v>
      </c>
    </row>
    <row r="255" spans="3:6" x14ac:dyDescent="0.2">
      <c r="C255" s="11" t="s">
        <v>570</v>
      </c>
      <c r="D255" s="10">
        <v>1</v>
      </c>
      <c r="E255" s="10">
        <v>4770.8859204342243</v>
      </c>
      <c r="F255">
        <v>14323.283235557974</v>
      </c>
    </row>
    <row r="256" spans="3:6" x14ac:dyDescent="0.2">
      <c r="C256" s="11" t="s">
        <v>571</v>
      </c>
      <c r="D256" s="10">
        <v>1</v>
      </c>
      <c r="E256" s="10">
        <v>6103.0800441967631</v>
      </c>
      <c r="F256">
        <v>11421.335907081684</v>
      </c>
    </row>
    <row r="257" spans="3:6" x14ac:dyDescent="0.2">
      <c r="C257" s="11" t="s">
        <v>572</v>
      </c>
      <c r="D257" s="10">
        <v>1</v>
      </c>
      <c r="E257" s="10">
        <v>5021.9475731431958</v>
      </c>
      <c r="F257">
        <v>13985.936518545632</v>
      </c>
    </row>
    <row r="258" spans="3:6" x14ac:dyDescent="0.2">
      <c r="C258" s="11" t="s">
        <v>573</v>
      </c>
      <c r="D258" s="10">
        <v>1</v>
      </c>
      <c r="E258" s="10">
        <v>9232.5084143415716</v>
      </c>
      <c r="F258">
        <v>10473.118014815462</v>
      </c>
    </row>
    <row r="259" spans="3:6" x14ac:dyDescent="0.2">
      <c r="C259" s="11" t="s">
        <v>574</v>
      </c>
      <c r="D259" s="10">
        <v>1</v>
      </c>
      <c r="E259" s="10">
        <v>9363.7561798106453</v>
      </c>
      <c r="F259">
        <v>10548.979742207019</v>
      </c>
    </row>
    <row r="260" spans="3:6" x14ac:dyDescent="0.2">
      <c r="C260" s="11" t="s">
        <v>575</v>
      </c>
      <c r="D260" s="10">
        <v>2</v>
      </c>
      <c r="E260" s="10">
        <v>20039.352258659983</v>
      </c>
      <c r="F260">
        <v>6863.7951283974098</v>
      </c>
    </row>
    <row r="261" spans="3:6" x14ac:dyDescent="0.2">
      <c r="C261" s="11" t="s">
        <v>576</v>
      </c>
      <c r="D261" s="10">
        <v>2</v>
      </c>
      <c r="E261" s="10">
        <v>18596.122431368458</v>
      </c>
      <c r="F261">
        <v>5771.5250976164698</v>
      </c>
    </row>
    <row r="262" spans="3:6" x14ac:dyDescent="0.2">
      <c r="C262" s="11" t="s">
        <v>577</v>
      </c>
      <c r="D262" s="10">
        <v>2</v>
      </c>
      <c r="E262" s="10">
        <v>14182.601205310984</v>
      </c>
      <c r="F262">
        <v>1518.1064492680935</v>
      </c>
    </row>
    <row r="263" spans="3:6" x14ac:dyDescent="0.2">
      <c r="C263" s="11" t="s">
        <v>578</v>
      </c>
      <c r="D263" s="10">
        <v>2</v>
      </c>
      <c r="E263" s="10">
        <v>13869.783456960446</v>
      </c>
      <c r="F263">
        <v>2840.6003116740344</v>
      </c>
    </row>
    <row r="264" spans="3:6" x14ac:dyDescent="0.2">
      <c r="C264" s="11" t="s">
        <v>579</v>
      </c>
      <c r="D264" s="10">
        <v>2</v>
      </c>
      <c r="E264" s="10">
        <v>12071.068795113215</v>
      </c>
      <c r="F264">
        <v>2523.1266993665363</v>
      </c>
    </row>
    <row r="265" spans="3:6" x14ac:dyDescent="0.2">
      <c r="C265" s="11" t="s">
        <v>580</v>
      </c>
      <c r="D265" s="10">
        <v>2</v>
      </c>
      <c r="E265" s="10">
        <v>14898.916119110998</v>
      </c>
      <c r="F265">
        <v>2021.6614694444529</v>
      </c>
    </row>
    <row r="266" spans="3:6" x14ac:dyDescent="0.2">
      <c r="C266" s="11" t="s">
        <v>581</v>
      </c>
      <c r="D266" s="10">
        <v>2</v>
      </c>
      <c r="E266" s="10">
        <v>14345.77531546405</v>
      </c>
      <c r="F266">
        <v>4412.6605615864037</v>
      </c>
    </row>
    <row r="267" spans="3:6" x14ac:dyDescent="0.2">
      <c r="C267" s="11" t="s">
        <v>582</v>
      </c>
      <c r="D267" s="10">
        <v>2</v>
      </c>
      <c r="E267" s="10">
        <v>12091.186563863468</v>
      </c>
      <c r="F267">
        <v>3976.1706516593408</v>
      </c>
    </row>
    <row r="268" spans="3:6" x14ac:dyDescent="0.2">
      <c r="C268" s="11" t="s">
        <v>583</v>
      </c>
      <c r="D268" s="10">
        <v>2</v>
      </c>
      <c r="E268" s="10">
        <v>15359.089910385213</v>
      </c>
      <c r="F268">
        <v>2010.3804186436607</v>
      </c>
    </row>
    <row r="269" spans="3:6" x14ac:dyDescent="0.2">
      <c r="C269" s="11" t="s">
        <v>584</v>
      </c>
      <c r="D269" s="10">
        <v>1</v>
      </c>
      <c r="E269" s="10">
        <v>9194.1270620320811</v>
      </c>
      <c r="F269">
        <v>11524.346972903419</v>
      </c>
    </row>
    <row r="270" spans="3:6" x14ac:dyDescent="0.2">
      <c r="C270" s="11" t="s">
        <v>585</v>
      </c>
      <c r="D270" s="10">
        <v>2</v>
      </c>
      <c r="E270" s="10">
        <v>12596.204406575887</v>
      </c>
      <c r="F270">
        <v>1213.4613952697773</v>
      </c>
    </row>
    <row r="271" spans="3:6" x14ac:dyDescent="0.2">
      <c r="C271" s="11" t="s">
        <v>586</v>
      </c>
      <c r="D271" s="10">
        <v>2</v>
      </c>
      <c r="E271" s="10">
        <v>13633.82258504359</v>
      </c>
      <c r="F271">
        <v>730.63332545994899</v>
      </c>
    </row>
    <row r="272" spans="3:6" x14ac:dyDescent="0.2">
      <c r="C272" s="11" t="s">
        <v>587</v>
      </c>
      <c r="D272" s="10">
        <v>2</v>
      </c>
      <c r="E272" s="10">
        <v>14274.623339591755</v>
      </c>
      <c r="F272">
        <v>1700.7778813347841</v>
      </c>
    </row>
    <row r="273" spans="3:6" x14ac:dyDescent="0.2">
      <c r="C273" s="11" t="s">
        <v>588</v>
      </c>
      <c r="D273" s="10">
        <v>2</v>
      </c>
      <c r="E273" s="10">
        <v>13923.270955718523</v>
      </c>
      <c r="F273">
        <v>2311.4010907359338</v>
      </c>
    </row>
    <row r="274" spans="3:6" x14ac:dyDescent="0.2">
      <c r="C274" s="11" t="s">
        <v>589</v>
      </c>
      <c r="D274" s="10">
        <v>2</v>
      </c>
      <c r="E274" s="10">
        <v>20596.804786368597</v>
      </c>
      <c r="F274">
        <v>8327.4102434571432</v>
      </c>
    </row>
    <row r="275" spans="3:6" x14ac:dyDescent="0.2">
      <c r="C275" s="11" t="s">
        <v>590</v>
      </c>
      <c r="D275" s="10">
        <v>2</v>
      </c>
      <c r="E275" s="10">
        <v>18024.030744594846</v>
      </c>
      <c r="F275">
        <v>4607.8038638197695</v>
      </c>
    </row>
    <row r="276" spans="3:6" x14ac:dyDescent="0.2">
      <c r="C276" s="11" t="s">
        <v>591</v>
      </c>
      <c r="D276" s="10">
        <v>2</v>
      </c>
      <c r="E276" s="10">
        <v>21653.309489000672</v>
      </c>
      <c r="F276">
        <v>9343.795332327456</v>
      </c>
    </row>
    <row r="277" spans="3:6" x14ac:dyDescent="0.2">
      <c r="C277" s="11" t="s">
        <v>592</v>
      </c>
      <c r="D277" s="10">
        <v>2</v>
      </c>
      <c r="E277" s="10">
        <v>11927.716904058212</v>
      </c>
      <c r="F277">
        <v>5637.2834663412741</v>
      </c>
    </row>
    <row r="278" spans="3:6" x14ac:dyDescent="0.2">
      <c r="C278" s="11" t="s">
        <v>593</v>
      </c>
      <c r="D278" s="10">
        <v>2</v>
      </c>
      <c r="E278" s="10">
        <v>9161.9103844584643</v>
      </c>
      <c r="F278">
        <v>5138.52345791072</v>
      </c>
    </row>
    <row r="279" spans="3:6" x14ac:dyDescent="0.2">
      <c r="C279" s="11" t="s">
        <v>594</v>
      </c>
      <c r="D279" s="10">
        <v>2</v>
      </c>
      <c r="E279" s="10">
        <v>21610.313228519441</v>
      </c>
      <c r="F279">
        <v>12068.509960963103</v>
      </c>
    </row>
    <row r="280" spans="3:6" x14ac:dyDescent="0.2">
      <c r="C280" s="11" t="s">
        <v>595</v>
      </c>
      <c r="D280" s="10">
        <v>2</v>
      </c>
      <c r="E280" s="10">
        <v>13990.355033997635</v>
      </c>
      <c r="F280">
        <v>3370.2597253623271</v>
      </c>
    </row>
    <row r="281" spans="3:6" x14ac:dyDescent="0.2">
      <c r="C281" s="11" t="s">
        <v>596</v>
      </c>
      <c r="D281" s="10">
        <v>2</v>
      </c>
      <c r="E281" s="10">
        <v>12696.334035274123</v>
      </c>
      <c r="F281">
        <v>4169.4417728453927</v>
      </c>
    </row>
    <row r="282" spans="3:6" x14ac:dyDescent="0.2">
      <c r="C282" s="11" t="s">
        <v>597</v>
      </c>
      <c r="D282" s="10">
        <v>2</v>
      </c>
      <c r="E282" s="10">
        <v>14704.226102887042</v>
      </c>
      <c r="F282">
        <v>2098.4740184275192</v>
      </c>
    </row>
    <row r="283" spans="3:6" x14ac:dyDescent="0.2">
      <c r="C283" s="11" t="s">
        <v>598</v>
      </c>
      <c r="D283" s="10">
        <v>2</v>
      </c>
      <c r="E283" s="10">
        <v>21172.214437146424</v>
      </c>
      <c r="F283">
        <v>8433.724739435158</v>
      </c>
    </row>
    <row r="284" spans="3:6" x14ac:dyDescent="0.2">
      <c r="C284" s="11" t="s">
        <v>599</v>
      </c>
      <c r="D284" s="10">
        <v>2</v>
      </c>
      <c r="E284" s="10">
        <v>11636.004394090667</v>
      </c>
      <c r="F284">
        <v>5121.415789561026</v>
      </c>
    </row>
    <row r="285" spans="3:6" x14ac:dyDescent="0.2">
      <c r="C285" s="11" t="s">
        <v>600</v>
      </c>
      <c r="D285" s="10">
        <v>2</v>
      </c>
      <c r="E285" s="10">
        <v>13432.174794773216</v>
      </c>
      <c r="F285">
        <v>741.93825728949867</v>
      </c>
    </row>
    <row r="286" spans="3:6" x14ac:dyDescent="0.2">
      <c r="C286" s="11" t="s">
        <v>601</v>
      </c>
      <c r="D286" s="10">
        <v>2</v>
      </c>
      <c r="E286" s="10">
        <v>22906.66219905849</v>
      </c>
      <c r="F286">
        <v>15492.337950846098</v>
      </c>
    </row>
    <row r="287" spans="3:6" x14ac:dyDescent="0.2">
      <c r="C287" s="11" t="s">
        <v>602</v>
      </c>
      <c r="D287" s="10">
        <v>2</v>
      </c>
      <c r="E287" s="10">
        <v>11354.173026364113</v>
      </c>
      <c r="F287">
        <v>3777.0058076369151</v>
      </c>
    </row>
    <row r="288" spans="3:6" x14ac:dyDescent="0.2">
      <c r="C288" s="11" t="s">
        <v>603</v>
      </c>
      <c r="D288" s="10">
        <v>2</v>
      </c>
      <c r="E288" s="10">
        <v>10690.380887767529</v>
      </c>
      <c r="F288">
        <v>4462.1873284748581</v>
      </c>
    </row>
    <row r="289" spans="3:6" x14ac:dyDescent="0.2">
      <c r="C289" s="11" t="s">
        <v>604</v>
      </c>
      <c r="D289" s="10">
        <v>2</v>
      </c>
      <c r="E289" s="10">
        <v>17648.202665074248</v>
      </c>
      <c r="F289">
        <v>4944.8994713845104</v>
      </c>
    </row>
    <row r="290" spans="3:6" x14ac:dyDescent="0.2">
      <c r="C290" s="11" t="s">
        <v>605</v>
      </c>
      <c r="D290" s="10">
        <v>2</v>
      </c>
      <c r="E290" s="10">
        <v>20368.741057231706</v>
      </c>
      <c r="F290">
        <v>9955.1634210875</v>
      </c>
    </row>
    <row r="291" spans="3:6" x14ac:dyDescent="0.2">
      <c r="C291" s="11" t="s">
        <v>606</v>
      </c>
      <c r="D291" s="10">
        <v>2</v>
      </c>
      <c r="E291" s="10">
        <v>20154.342720351477</v>
      </c>
      <c r="F291">
        <v>7709.4098364021802</v>
      </c>
    </row>
    <row r="292" spans="3:6" x14ac:dyDescent="0.2">
      <c r="C292" s="11" t="s">
        <v>607</v>
      </c>
      <c r="D292" s="10">
        <v>2</v>
      </c>
      <c r="E292" s="10">
        <v>17043.283412641078</v>
      </c>
      <c r="F292">
        <v>3494.6111691643246</v>
      </c>
    </row>
    <row r="293" spans="3:6" x14ac:dyDescent="0.2">
      <c r="C293" s="11" t="s">
        <v>608</v>
      </c>
      <c r="D293" s="10">
        <v>2</v>
      </c>
      <c r="E293" s="10">
        <v>10024.431859657581</v>
      </c>
      <c r="F293">
        <v>8567.4991399121864</v>
      </c>
    </row>
    <row r="294" spans="3:6" x14ac:dyDescent="0.2">
      <c r="C294" s="11" t="s">
        <v>609</v>
      </c>
      <c r="D294" s="10">
        <v>2</v>
      </c>
      <c r="E294" s="10">
        <v>22507.300632436421</v>
      </c>
      <c r="F294">
        <v>9701.3047508223954</v>
      </c>
    </row>
    <row r="295" spans="3:6" x14ac:dyDescent="0.2">
      <c r="C295" s="11" t="s">
        <v>610</v>
      </c>
      <c r="D295" s="10">
        <v>2</v>
      </c>
      <c r="E295" s="10">
        <v>21239.673563009965</v>
      </c>
      <c r="F295">
        <v>8838.8619075944243</v>
      </c>
    </row>
    <row r="296" spans="3:6" x14ac:dyDescent="0.2">
      <c r="C296" s="11" t="s">
        <v>611</v>
      </c>
      <c r="D296" s="10">
        <v>2</v>
      </c>
      <c r="E296" s="10">
        <v>14472.881061219126</v>
      </c>
      <c r="F296">
        <v>1482.5195212668405</v>
      </c>
    </row>
    <row r="297" spans="3:6" x14ac:dyDescent="0.2">
      <c r="C297" s="11" t="s">
        <v>612</v>
      </c>
      <c r="D297" s="10">
        <v>2</v>
      </c>
      <c r="E297" s="10">
        <v>13244.672637654074</v>
      </c>
      <c r="F297">
        <v>797.36097121885541</v>
      </c>
    </row>
    <row r="298" spans="3:6" x14ac:dyDescent="0.2">
      <c r="C298" s="11" t="s">
        <v>613</v>
      </c>
      <c r="D298" s="10">
        <v>2</v>
      </c>
      <c r="E298" s="10">
        <v>15734.225489680322</v>
      </c>
      <c r="F298">
        <v>2447.886570317376</v>
      </c>
    </row>
    <row r="299" spans="3:6" x14ac:dyDescent="0.2">
      <c r="C299" s="11" t="s">
        <v>614</v>
      </c>
      <c r="D299" s="10">
        <v>2</v>
      </c>
      <c r="E299" s="10">
        <v>17109.072537806405</v>
      </c>
      <c r="F299">
        <v>3621.4114225839317</v>
      </c>
    </row>
    <row r="300" spans="3:6" x14ac:dyDescent="0.2">
      <c r="C300" s="11" t="s">
        <v>615</v>
      </c>
      <c r="D300" s="10">
        <v>2</v>
      </c>
      <c r="E300" s="10">
        <v>13008.257598200469</v>
      </c>
      <c r="F300">
        <v>2694.0525091840732</v>
      </c>
    </row>
    <row r="301" spans="3:6" x14ac:dyDescent="0.2">
      <c r="C301" s="11" t="s">
        <v>616</v>
      </c>
      <c r="D301" s="10">
        <v>2</v>
      </c>
      <c r="E301" s="10">
        <v>13076.101304985825</v>
      </c>
      <c r="F301">
        <v>1766.6419949151102</v>
      </c>
    </row>
    <row r="302" spans="3:6" x14ac:dyDescent="0.2">
      <c r="C302" s="11" t="s">
        <v>617</v>
      </c>
      <c r="D302" s="10">
        <v>2</v>
      </c>
      <c r="E302" s="10">
        <v>12737.404936166171</v>
      </c>
      <c r="F302">
        <v>2327.7337773853956</v>
      </c>
    </row>
    <row r="303" spans="3:6" x14ac:dyDescent="0.2">
      <c r="C303" s="11" t="s">
        <v>618</v>
      </c>
      <c r="D303" s="10">
        <v>2</v>
      </c>
      <c r="E303" s="10">
        <v>13044.298496159347</v>
      </c>
      <c r="F303">
        <v>1454.163019779249</v>
      </c>
    </row>
    <row r="304" spans="3:6" x14ac:dyDescent="0.2">
      <c r="C304" s="11" t="s">
        <v>619</v>
      </c>
      <c r="D304" s="10">
        <v>2</v>
      </c>
      <c r="E304" s="10">
        <v>11231.887762422199</v>
      </c>
      <c r="F304">
        <v>3238.5224072269634</v>
      </c>
    </row>
    <row r="305" spans="3:6" x14ac:dyDescent="0.2">
      <c r="C305" s="11" t="s">
        <v>620</v>
      </c>
      <c r="D305" s="10">
        <v>2</v>
      </c>
      <c r="E305" s="10">
        <v>16081.447820352116</v>
      </c>
      <c r="F305">
        <v>8749.6224689437859</v>
      </c>
    </row>
    <row r="306" spans="3:6" x14ac:dyDescent="0.2">
      <c r="C306" s="11" t="s">
        <v>621</v>
      </c>
      <c r="D306" s="10">
        <v>1</v>
      </c>
      <c r="E306" s="10">
        <v>6998.6247726712099</v>
      </c>
      <c r="F306">
        <v>10787.415609681753</v>
      </c>
    </row>
    <row r="307" spans="3:6" x14ac:dyDescent="0.2">
      <c r="C307" s="11" t="s">
        <v>622</v>
      </c>
      <c r="D307" s="10">
        <v>2</v>
      </c>
      <c r="E307" s="10">
        <v>11652.84306346007</v>
      </c>
      <c r="F307">
        <v>4142.2559442627035</v>
      </c>
    </row>
    <row r="308" spans="3:6" x14ac:dyDescent="0.2">
      <c r="C308" s="11" t="s">
        <v>623</v>
      </c>
      <c r="D308" s="10">
        <v>2</v>
      </c>
      <c r="E308" s="10">
        <v>11696.243451872862</v>
      </c>
      <c r="F308">
        <v>5602.691422839911</v>
      </c>
    </row>
    <row r="309" spans="3:6" x14ac:dyDescent="0.2">
      <c r="C309" s="11" t="s">
        <v>624</v>
      </c>
      <c r="D309" s="10">
        <v>2</v>
      </c>
      <c r="E309" s="10">
        <v>13181.571128727817</v>
      </c>
      <c r="F309">
        <v>1638.7881947933033</v>
      </c>
    </row>
    <row r="310" spans="3:6" x14ac:dyDescent="0.2">
      <c r="C310" s="11" t="s">
        <v>625</v>
      </c>
      <c r="D310" s="10">
        <v>2</v>
      </c>
      <c r="E310" s="10">
        <v>12403.955775144137</v>
      </c>
      <c r="F310">
        <v>4150.641947402537</v>
      </c>
    </row>
    <row r="311" spans="3:6" x14ac:dyDescent="0.2">
      <c r="C311" s="11" t="s">
        <v>626</v>
      </c>
      <c r="D311" s="10">
        <v>2</v>
      </c>
      <c r="E311" s="10">
        <v>13001.702072977971</v>
      </c>
      <c r="F311">
        <v>3468.9301615819008</v>
      </c>
    </row>
    <row r="312" spans="3:6" x14ac:dyDescent="0.2">
      <c r="C312" s="11" t="s">
        <v>627</v>
      </c>
      <c r="D312" s="10">
        <v>2</v>
      </c>
      <c r="E312" s="10">
        <v>14552.096735642608</v>
      </c>
      <c r="F312">
        <v>1464.2359763406002</v>
      </c>
    </row>
    <row r="313" spans="3:6" x14ac:dyDescent="0.2">
      <c r="C313" s="11" t="s">
        <v>628</v>
      </c>
      <c r="D313" s="10">
        <v>2</v>
      </c>
      <c r="E313" s="10">
        <v>10200.264419874078</v>
      </c>
      <c r="F313">
        <v>5667.1659370980815</v>
      </c>
    </row>
    <row r="314" spans="3:6" x14ac:dyDescent="0.2">
      <c r="C314" s="11" t="s">
        <v>629</v>
      </c>
      <c r="D314" s="10">
        <v>2</v>
      </c>
      <c r="E314" s="10">
        <v>13229.187760768355</v>
      </c>
      <c r="F314">
        <v>618.38315136448784</v>
      </c>
    </row>
    <row r="315" spans="3:6" x14ac:dyDescent="0.2">
      <c r="C315" s="11" t="s">
        <v>630</v>
      </c>
      <c r="D315" s="10">
        <v>2</v>
      </c>
      <c r="E315" s="10">
        <v>15400.515851715294</v>
      </c>
      <c r="F315">
        <v>1933.6072523743735</v>
      </c>
    </row>
    <row r="316" spans="3:6" x14ac:dyDescent="0.2">
      <c r="C316" s="11" t="s">
        <v>631</v>
      </c>
      <c r="D316" s="10">
        <v>1</v>
      </c>
      <c r="E316" s="10">
        <v>5945.8927095948929</v>
      </c>
      <c r="F316">
        <v>9492.5544726389398</v>
      </c>
    </row>
    <row r="317" spans="3:6" x14ac:dyDescent="0.2">
      <c r="C317" s="11" t="s">
        <v>632</v>
      </c>
      <c r="D317" s="10">
        <v>2</v>
      </c>
      <c r="E317" s="10">
        <v>15718.284736192607</v>
      </c>
      <c r="F317">
        <v>2117.3845839288533</v>
      </c>
    </row>
    <row r="318" spans="3:6" x14ac:dyDescent="0.2">
      <c r="C318" s="11" t="s">
        <v>633</v>
      </c>
      <c r="D318" s="10">
        <v>2</v>
      </c>
      <c r="E318" s="10">
        <v>14450.503148790973</v>
      </c>
      <c r="F318">
        <v>850.86444715023231</v>
      </c>
    </row>
    <row r="319" spans="3:6" x14ac:dyDescent="0.2">
      <c r="C319" s="11" t="s">
        <v>634</v>
      </c>
      <c r="D319" s="10">
        <v>2</v>
      </c>
      <c r="E319" s="10">
        <v>13619.197448156199</v>
      </c>
      <c r="F319">
        <v>3148.8249745254138</v>
      </c>
    </row>
  </sheetData>
  <mergeCells count="8">
    <mergeCell ref="B3:M3"/>
    <mergeCell ref="P3:S3"/>
    <mergeCell ref="B4:C4"/>
    <mergeCell ref="D4:E4"/>
    <mergeCell ref="F4:G4"/>
    <mergeCell ref="H4:I4"/>
    <mergeCell ref="J4:K4"/>
    <mergeCell ref="L4:M4"/>
  </mergeCells>
  <hyperlinks>
    <hyperlink ref="B4" location="'KMC_Clusters'!$B$10:$B$10" display="Cluster Labels" xr:uid="{B8373141-D626-D54E-B303-93088A46C4DE}"/>
    <hyperlink ref="D4" location="'KMC_Output'!$B$10:$B$10" display="Inputs" xr:uid="{615B177A-701B-7740-A0FA-DD5AFCAFA9C1}"/>
    <hyperlink ref="F4" location="'KMC_Output'!$B$33:$B$33" display="Random Starts Summary" xr:uid="{8597E279-EDF9-E841-8856-46F943E232F4}"/>
    <hyperlink ref="H4" location="'KMC_Output'!$B$40:$B$40" display="Cluster Centers" xr:uid="{9E6E3CD8-EACB-8F4F-8268-009721C4EDB9}"/>
    <hyperlink ref="J4" location="'KMC_Output'!$B$46:$B$46" display="Inter-Cluster Distances" xr:uid="{3DAA81BC-6B27-F642-808C-8A4A57924D5A}"/>
    <hyperlink ref="L4" location="'KMC_Output'!$B$52:$B$52" display="Cluster Summary" xr:uid="{95AD7E43-6385-9347-A930-FC1EEB4CE8E7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HC_Output</vt:lpstr>
      <vt:lpstr>HC_Clusters</vt:lpstr>
      <vt:lpstr>HC_Dendrogram</vt:lpstr>
      <vt:lpstr>KMC_Output1</vt:lpstr>
      <vt:lpstr>KMC_Clusters1</vt:lpstr>
      <vt:lpstr>KMC_Output</vt:lpstr>
      <vt:lpstr>KMC_Clusters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Microsoft Office User</cp:lastModifiedBy>
  <dcterms:created xsi:type="dcterms:W3CDTF">2013-06-17T17:13:11Z</dcterms:created>
  <dcterms:modified xsi:type="dcterms:W3CDTF">2021-11-02T20:35:39Z</dcterms:modified>
</cp:coreProperties>
</file>