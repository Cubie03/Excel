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0"/>
  <workbookPr codeName="ThisWorkbook"/>
  <mc:AlternateContent xmlns:mc="http://schemas.openxmlformats.org/markup-compatibility/2006">
    <mc:Choice Requires="x15">
      <x15ac:absPath xmlns:x15ac="http://schemas.microsoft.com/office/spreadsheetml/2010/11/ac" url="/Users/cubie.sth/Downloads/"/>
    </mc:Choice>
  </mc:AlternateContent>
  <xr:revisionPtr revIDLastSave="0" documentId="13_ncr:1_{C1497F8B-24E8-3D4C-9C94-09805D48157D}" xr6:coauthVersionLast="47" xr6:coauthVersionMax="47" xr10:uidLastSave="{00000000-0000-0000-0000-000000000000}"/>
  <bookViews>
    <workbookView xWindow="15000" yWindow="500" windowWidth="13800" windowHeight="15800" tabRatio="400" firstSheet="2" activeTab="3" xr2:uid="{00000000-000D-0000-FFFF-FFFF00000000}"/>
  </bookViews>
  <sheets>
    <sheet name="Description" sheetId="16" r:id="rId1"/>
    <sheet name="Data" sheetId="1" r:id="rId2"/>
    <sheet name="OSPartition" sheetId="20" r:id="rId3"/>
    <sheet name="LogReg_Output" sheetId="30" r:id="rId4"/>
    <sheet name="LogReg_TrainingScore" sheetId="29" r:id="rId5"/>
    <sheet name="LogReg_ValidationScore" sheetId="28" r:id="rId6"/>
    <sheet name="LogReg_ValidationLiftChart" sheetId="27" r:id="rId7"/>
    <sheet name="LogReg_Stored" sheetId="26" r:id="rId8"/>
    <sheet name="DA_Output" sheetId="25" r:id="rId9"/>
    <sheet name="DA_TrainingScore" sheetId="24" r:id="rId10"/>
    <sheet name="DA_ValidationScore" sheetId="23" r:id="rId11"/>
    <sheet name="DA_ValidationLiftChart" sheetId="22" r:id="rId12"/>
    <sheet name="DA_Stored" sheetId="21" r:id="rId13"/>
    <sheet name="Data_Partition" sheetId="19" r:id="rId14"/>
    <sheet name="Statistics" sheetId="17" r:id="rId15"/>
    <sheet name="Correlation" sheetId="18" r:id="rId16"/>
  </sheets>
  <definedNames>
    <definedName name="_xlnm._FilterDatabase" localSheetId="1" hidden="1">Data!#REF!</definedName>
    <definedName name="BuildDate" hidden="1">4202</definedName>
    <definedName name="BuildNo" hidden="1">83</definedName>
    <definedName name="_xlnm.Extract" localSheetId="1">Data!#REF!</definedName>
    <definedName name="Vers" hidden="1">" 12.5.0P"</definedName>
    <definedName name="VersionMajor" hidden="1">3</definedName>
    <definedName name="VersionMinor" hidden="1">2</definedName>
    <definedName name="VersionPatch" hidden="1">10</definedName>
    <definedName name="xlm_601_1" localSheetId="2" hidden="1">"'{""wkbk"":""Fig10-6.xlsm"",""wksheet"":""OSPartition"",""data_range"":"""",""has_header"":true,""firstRow"":1,""rows"":1506,""train_rows"":256,""validation_rows"":1250,""test_rows"":0,""trainingDataRange"":""$C$42:$O$297"",""vali"</definedName>
    <definedName name="xlm_601_2" localSheetId="2" hidden="1">"'dationDataRange"":""$C$298:$O$1547"",""allDataRange"":""$C$41:$O$1547"",""isPartitionSheet"":true,""partitionData"":false,""trainDetailRpt"":true,""trainSummaryRpt"":true,""trainLiftChart"":false,""trainROCCurve"":false"</definedName>
    <definedName name="xlm_601_3" localSheetId="2" hidden="1">"',""validationDetailRpt"":true,""validationSummaryRpt"":true,""validationLiftChart"":true,""validROCCurve"":false,""newDataWorksheet"":false,""newDataDatabase"":false,""priorClassProbabilityCode"":1,""numOutputClasse"</definedName>
    <definedName name="xlm_601_4" localSheetId="2" hidden="1">"'s"":2,""successClass"":""1"",""successCutoffProb"":0.5,""rescalerParams"":{""technique"":null,""correction"":null,""normType"":null,""rescale"":false},""estimatorParams"":null,""modelParams"":null,""displayParams"":{""showLD"</definedName>
    <definedName name="xlm_601_5" localSheetId="2" hidden="1">"'AModel"":true,""showCVAModel"":false},""extraParams"":{""performCVA"":false}}"</definedName>
    <definedName name="xlm_603_1" localSheetId="2" hidden="1">"'{""wkbk"":""Fig10-6.xlsm"",""wksheet"":""OSPartition"",""data_range"":"""",""has_header"":true,""firstRow"":1,""rows"":1506,""train_rows"":256,""validation_rows"":1250,""test_rows"":0,""trainingDataRange"":""$C$42:$O$297"",""vali"</definedName>
    <definedName name="xlm_603_2" localSheetId="2" hidden="1">"'dationDataRange"":""$C$298:$O$1547"",""allDataRange"":""$C$41:$O$1547"",""isPartitionSheet"":true,""partitionData"":false,""trainDetailRpt"":true,""trainSummaryRpt"":true,""trainLiftChart"":false,""trainROCCurve"":false"</definedName>
    <definedName name="xlm_603_3" localSheetId="2" hidden="1">"',""validationDetailRpt"":true,""validationSummaryRpt"":true,""validationLiftChart"":true,""validROCCurve"":false,""newDataWorksheet"":false,""newDataDatabase"":false,""priorClassProbabilityCode"":1,""numOutputClasse"</definedName>
    <definedName name="xlm_603_4" localSheetId="2" hidden="1">"'s"":2,""successClass"":""1"",""successCutoffProb"":0.5,""rescalerParams"":{""technique"":null,""correction"":null,""normType"":null,""rescale"":false},""estimatorParams"":{""fitIntercept"":true,""maxNumIterations"":50},""mod"</definedName>
    <definedName name="xlm_603_5" localSheetId="2" hidden="1">"'elParams"":null,""displayParams"":{""showVarCovar"":false,""showMulticollinearity"":false,""showDetailedCoefficients"":false},""fsParams"":{""selectVariables"":false,""fsMethod"":null,""fIn"":null,""fOut"":null,""numSubs"</definedName>
    <definedName name="xlm_603_6" localSheetId="2" hidden="1">"'ets"":null,""maxSubsetSize"":null},""varSelectionOnly"":false}"</definedName>
    <definedName name="xlm_91_1" localSheetId="1" hidden="1">"'{""wkbk"":""Fig10-6.xlsm"",""wksheet"":""Data"",""data_range"":""$A$3:$O$2503"",""has_header"":true,""input_cols"":[{""varName"":""Work Experience""},{""varName"":""Income""},{""varName"":""Family Size""},{""varName"":""Credit Card"</definedName>
    <definedName name="xlm_91_2" localSheetId="1" hidden="1">"' Avg""},{""varName"":""EdLevel-1""},{""varName"":""EdLevel-2""},{""varName"":""Mortgage""},{""varName"":""Securities Account""},{""varName"":""CD Account""},{""varName"":""Online Banking""},{""varName"":""Credit Card""},{""varName"</definedName>
    <definedName name="xlm_91_3" localSheetId="1" hidden="1">"'"":""Personal Loan""}],""cat_cols"":[],""firstRow"":""3"",""rows"":2500,""isPartitionSheet"":false,""type"":3,""setSeed"":true,""seedValue"":12345,""oversamplePartitionVar"":{""varId"":14,""varName"":""Personal Loan"",""colDescr"</definedName>
    <definedName name="xlm_91_4" localSheetId="1" hidden="1">"'"":{""flags"":32}},""successClass"":""1"",""trainSetPctSuccess"":50,""pctValidationSetToTestSet"":null}"</definedName>
    <definedName name="xlm_clnc_1" localSheetId="2" hidden="1">"'{""input_cols"":[{""varName"":""Work Experience""},{""varName"":""Income""},{""varName"":""Family Size""},{""varName"":""Credit Card Avg""},{""varName"":""EdLevel-1""},{""varName"":""EdLevel-2""},{""varName"":""Mortgage""},{""varNa"</definedName>
    <definedName name="xlm_clnc_2" localSheetId="2" hidden="1">"'me"":""Securities Account""},{""varName"":""CD Account""},{""varName"":""Online Banking""},{""varName"":""Credit Card""}],""cat_cols"":[],""output_var"":{""varName"":""Personal Loan""}}"</definedName>
    <definedName name="xlm_PartitionHeaders1" hidden="1">#REF!</definedName>
    <definedName name="xlm_PartitionTraining1" hidden="1">#REF!</definedName>
    <definedName name="xlm_PartitionValidation1" hidden="1">#REF!</definedName>
    <definedName name="xlmDecileChart" localSheetId="11" hidden="1">"AX4:AX4"</definedName>
    <definedName name="xlmDecileChart" localSheetId="6" hidden="1">"AX4:AX4"</definedName>
    <definedName name="xlmGainChart" localSheetId="11" hidden="1">"AX1:AX1"</definedName>
    <definedName name="xlmGainChart" localSheetId="6" hidden="1">"AX1:AX1"</definedName>
    <definedName name="XLMPartitionAllData" localSheetId="13" hidden="1">"$B$25:$M$1531"</definedName>
    <definedName name="XLMPartitionAllData" localSheetId="2" hidden="1">"$C$41:$O$1547"</definedName>
    <definedName name="XLMPartitionTrainingData" localSheetId="13" hidden="1">"$B$26:$M$281"</definedName>
    <definedName name="XLMPartitionTrainingData" localSheetId="2" hidden="1">"$C$42:$O$297"</definedName>
    <definedName name="XLMPartitionType" localSheetId="13" hidden="1">0</definedName>
    <definedName name="XLMPartitionType" localSheetId="2" hidden="1">0</definedName>
    <definedName name="XLMPartitionValidationData" localSheetId="13" hidden="1">"$B$282:$M$1531"</definedName>
    <definedName name="XLMPartitionValidationData" localSheetId="2" hidden="1">"$C$298:$O$1547"</definedName>
    <definedName name="XLMPartitionVariableNames" localSheetId="13" hidden="1">"$B$25:$M$25"</definedName>
    <definedName name="XLMPartitionVariableNames" localSheetId="2" hidden="1">"$C$41:$O$41"</definedName>
    <definedName name="XLMPMMLModelRange" localSheetId="12" hidden="1">"$B$12:$B$88"</definedName>
    <definedName name="XLMPMMLModelRange" localSheetId="7" hidden="1">"$B$12:$B$75"</definedName>
    <definedName name="XLMRasonModelRange" localSheetId="8" hidden="1">"CV1:CV1"</definedName>
    <definedName name="XLMRasonModelRange" localSheetId="3" hidden="1">"CV1:CV1"</definedName>
    <definedName name="XLMRasonModelRange" localSheetId="2" hidden="1">"CV1:CV1"</definedName>
    <definedName name="xlmROCChart" localSheetId="11" hidden="1">"AX3:AX3"</definedName>
    <definedName name="xlmROCChart" localSheetId="6" hidden="1">"AX3:AX3"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1" i="29" l="1"/>
  <c r="E20" i="29"/>
  <c r="D20" i="29"/>
  <c r="F20" i="29" s="1"/>
  <c r="E19" i="29"/>
  <c r="E21" i="29" s="1"/>
  <c r="D19" i="29"/>
  <c r="D21" i="28"/>
  <c r="E20" i="28"/>
  <c r="D20" i="28"/>
  <c r="F20" i="28" s="1"/>
  <c r="E19" i="28"/>
  <c r="E21" i="28" s="1"/>
  <c r="D19" i="28"/>
  <c r="F19" i="28" s="1"/>
  <c r="E20" i="24"/>
  <c r="D20" i="24"/>
  <c r="D21" i="24" s="1"/>
  <c r="F21" i="24" s="1"/>
  <c r="E19" i="24"/>
  <c r="E21" i="24" s="1"/>
  <c r="D19" i="24"/>
  <c r="D21" i="23"/>
  <c r="E20" i="23"/>
  <c r="F20" i="23" s="1"/>
  <c r="D20" i="23"/>
  <c r="E19" i="23"/>
  <c r="E21" i="23" s="1"/>
  <c r="D19" i="23"/>
  <c r="O15" i="17"/>
  <c r="N15" i="17"/>
  <c r="M15" i="17"/>
  <c r="L15" i="17"/>
  <c r="K15" i="17"/>
  <c r="J15" i="17"/>
  <c r="O14" i="17"/>
  <c r="N14" i="17"/>
  <c r="M14" i="17"/>
  <c r="L14" i="17"/>
  <c r="K14" i="17"/>
  <c r="J14" i="17"/>
  <c r="O13" i="17"/>
  <c r="N13" i="17"/>
  <c r="M13" i="17"/>
  <c r="L13" i="17"/>
  <c r="K13" i="17"/>
  <c r="J13" i="17"/>
  <c r="O12" i="17"/>
  <c r="N12" i="17"/>
  <c r="M12" i="17"/>
  <c r="L12" i="17"/>
  <c r="K12" i="17"/>
  <c r="J12" i="17"/>
  <c r="O11" i="17"/>
  <c r="N11" i="17"/>
  <c r="M11" i="17"/>
  <c r="L11" i="17"/>
  <c r="K11" i="17"/>
  <c r="J11" i="17"/>
  <c r="O10" i="17"/>
  <c r="N10" i="17"/>
  <c r="M10" i="17"/>
  <c r="L10" i="17"/>
  <c r="K10" i="17"/>
  <c r="J10" i="17"/>
  <c r="O9" i="17"/>
  <c r="N9" i="17"/>
  <c r="M9" i="17"/>
  <c r="L9" i="17"/>
  <c r="K9" i="17"/>
  <c r="J9" i="17"/>
  <c r="O8" i="17"/>
  <c r="N8" i="17"/>
  <c r="M8" i="17"/>
  <c r="L8" i="17"/>
  <c r="K8" i="17"/>
  <c r="J8" i="17"/>
  <c r="O7" i="17"/>
  <c r="N7" i="17"/>
  <c r="M7" i="17"/>
  <c r="L7" i="17"/>
  <c r="K7" i="17"/>
  <c r="J7" i="17"/>
  <c r="O6" i="17"/>
  <c r="N6" i="17"/>
  <c r="M6" i="17"/>
  <c r="L6" i="17"/>
  <c r="K6" i="17"/>
  <c r="J6" i="17"/>
  <c r="O5" i="17"/>
  <c r="N5" i="17"/>
  <c r="M5" i="17"/>
  <c r="L5" i="17"/>
  <c r="K5" i="17"/>
  <c r="J5" i="17"/>
  <c r="O4" i="17"/>
  <c r="N4" i="17"/>
  <c r="M4" i="17"/>
  <c r="L4" i="17"/>
  <c r="K4" i="17"/>
  <c r="J4" i="17"/>
  <c r="O3" i="17"/>
  <c r="N3" i="17"/>
  <c r="M3" i="17"/>
  <c r="L3" i="17"/>
  <c r="K3" i="17"/>
  <c r="J3" i="17"/>
  <c r="O2" i="17"/>
  <c r="N2" i="17"/>
  <c r="M2" i="17"/>
  <c r="L2" i="17"/>
  <c r="K2" i="17"/>
  <c r="J2" i="17"/>
  <c r="H5" i="1"/>
  <c r="I5" i="1"/>
  <c r="H6" i="1"/>
  <c r="I6" i="1"/>
  <c r="H7" i="1"/>
  <c r="I7" i="1"/>
  <c r="H8" i="1"/>
  <c r="I8" i="1"/>
  <c r="H9" i="1"/>
  <c r="I9" i="1"/>
  <c r="H10" i="1"/>
  <c r="I10" i="1"/>
  <c r="H11" i="1"/>
  <c r="I11" i="1"/>
  <c r="H12" i="1"/>
  <c r="I12" i="1"/>
  <c r="H13" i="1"/>
  <c r="I13" i="1"/>
  <c r="H14" i="1"/>
  <c r="I14" i="1"/>
  <c r="H15" i="1"/>
  <c r="I15" i="1"/>
  <c r="H16" i="1"/>
  <c r="I16" i="1"/>
  <c r="H17" i="1"/>
  <c r="I17" i="1"/>
  <c r="H18" i="1"/>
  <c r="I18" i="1"/>
  <c r="H19" i="1"/>
  <c r="I19" i="1"/>
  <c r="H20" i="1"/>
  <c r="I20" i="1"/>
  <c r="H21" i="1"/>
  <c r="I21" i="1"/>
  <c r="H22" i="1"/>
  <c r="I22" i="1"/>
  <c r="H23" i="1"/>
  <c r="I23" i="1"/>
  <c r="H24" i="1"/>
  <c r="I24" i="1"/>
  <c r="H25" i="1"/>
  <c r="I25" i="1"/>
  <c r="H26" i="1"/>
  <c r="I26" i="1"/>
  <c r="H27" i="1"/>
  <c r="I27" i="1"/>
  <c r="H28" i="1"/>
  <c r="I28" i="1"/>
  <c r="H29" i="1"/>
  <c r="I29" i="1"/>
  <c r="H30" i="1"/>
  <c r="I30" i="1"/>
  <c r="H31" i="1"/>
  <c r="I31" i="1"/>
  <c r="H32" i="1"/>
  <c r="I32" i="1"/>
  <c r="H33" i="1"/>
  <c r="I33" i="1"/>
  <c r="H34" i="1"/>
  <c r="I34" i="1"/>
  <c r="H35" i="1"/>
  <c r="I35" i="1"/>
  <c r="H36" i="1"/>
  <c r="I36" i="1"/>
  <c r="H37" i="1"/>
  <c r="I37" i="1"/>
  <c r="H38" i="1"/>
  <c r="I38" i="1"/>
  <c r="H39" i="1"/>
  <c r="I39" i="1"/>
  <c r="H40" i="1"/>
  <c r="I40" i="1"/>
  <c r="H41" i="1"/>
  <c r="I41" i="1"/>
  <c r="H42" i="1"/>
  <c r="I42" i="1"/>
  <c r="H43" i="1"/>
  <c r="I43" i="1"/>
  <c r="H44" i="1"/>
  <c r="I44" i="1"/>
  <c r="H45" i="1"/>
  <c r="I45" i="1"/>
  <c r="H46" i="1"/>
  <c r="I46" i="1"/>
  <c r="H47" i="1"/>
  <c r="I47" i="1"/>
  <c r="H48" i="1"/>
  <c r="I48" i="1"/>
  <c r="H49" i="1"/>
  <c r="I49" i="1"/>
  <c r="H50" i="1"/>
  <c r="I50" i="1"/>
  <c r="H51" i="1"/>
  <c r="I51" i="1"/>
  <c r="H52" i="1"/>
  <c r="I52" i="1"/>
  <c r="H53" i="1"/>
  <c r="I53" i="1"/>
  <c r="H54" i="1"/>
  <c r="I54" i="1"/>
  <c r="H55" i="1"/>
  <c r="I55" i="1"/>
  <c r="H56" i="1"/>
  <c r="I56" i="1"/>
  <c r="H57" i="1"/>
  <c r="I57" i="1"/>
  <c r="H58" i="1"/>
  <c r="I58" i="1"/>
  <c r="H59" i="1"/>
  <c r="I59" i="1"/>
  <c r="H60" i="1"/>
  <c r="I60" i="1"/>
  <c r="H61" i="1"/>
  <c r="I61" i="1"/>
  <c r="H62" i="1"/>
  <c r="I62" i="1"/>
  <c r="H63" i="1"/>
  <c r="I63" i="1"/>
  <c r="H64" i="1"/>
  <c r="I64" i="1"/>
  <c r="H65" i="1"/>
  <c r="I65" i="1"/>
  <c r="H66" i="1"/>
  <c r="I66" i="1"/>
  <c r="H67" i="1"/>
  <c r="I67" i="1"/>
  <c r="H68" i="1"/>
  <c r="I68" i="1"/>
  <c r="H69" i="1"/>
  <c r="I69" i="1"/>
  <c r="H70" i="1"/>
  <c r="I70" i="1"/>
  <c r="H71" i="1"/>
  <c r="I71" i="1"/>
  <c r="H72" i="1"/>
  <c r="I72" i="1"/>
  <c r="H73" i="1"/>
  <c r="I73" i="1"/>
  <c r="H74" i="1"/>
  <c r="I74" i="1"/>
  <c r="H75" i="1"/>
  <c r="I75" i="1"/>
  <c r="H76" i="1"/>
  <c r="I76" i="1"/>
  <c r="H77" i="1"/>
  <c r="I77" i="1"/>
  <c r="H78" i="1"/>
  <c r="I78" i="1"/>
  <c r="H79" i="1"/>
  <c r="I79" i="1"/>
  <c r="H80" i="1"/>
  <c r="I80" i="1"/>
  <c r="H81" i="1"/>
  <c r="I81" i="1"/>
  <c r="H82" i="1"/>
  <c r="I82" i="1"/>
  <c r="H83" i="1"/>
  <c r="I83" i="1"/>
  <c r="H84" i="1"/>
  <c r="I84" i="1"/>
  <c r="H85" i="1"/>
  <c r="I85" i="1"/>
  <c r="H86" i="1"/>
  <c r="I86" i="1"/>
  <c r="H87" i="1"/>
  <c r="I87" i="1"/>
  <c r="H88" i="1"/>
  <c r="I88" i="1"/>
  <c r="H89" i="1"/>
  <c r="I89" i="1"/>
  <c r="H90" i="1"/>
  <c r="I90" i="1"/>
  <c r="H91" i="1"/>
  <c r="I91" i="1"/>
  <c r="H92" i="1"/>
  <c r="I92" i="1"/>
  <c r="H93" i="1"/>
  <c r="I93" i="1"/>
  <c r="H94" i="1"/>
  <c r="I94" i="1"/>
  <c r="H95" i="1"/>
  <c r="I95" i="1"/>
  <c r="H96" i="1"/>
  <c r="I96" i="1"/>
  <c r="H97" i="1"/>
  <c r="I97" i="1"/>
  <c r="H98" i="1"/>
  <c r="I98" i="1"/>
  <c r="H99" i="1"/>
  <c r="I99" i="1"/>
  <c r="H100" i="1"/>
  <c r="I100" i="1"/>
  <c r="H101" i="1"/>
  <c r="I101" i="1"/>
  <c r="H102" i="1"/>
  <c r="I102" i="1"/>
  <c r="H103" i="1"/>
  <c r="I103" i="1"/>
  <c r="H104" i="1"/>
  <c r="I104" i="1"/>
  <c r="H105" i="1"/>
  <c r="I105" i="1"/>
  <c r="H106" i="1"/>
  <c r="I106" i="1"/>
  <c r="H107" i="1"/>
  <c r="I107" i="1"/>
  <c r="H108" i="1"/>
  <c r="I108" i="1"/>
  <c r="H109" i="1"/>
  <c r="I109" i="1"/>
  <c r="H110" i="1"/>
  <c r="I110" i="1"/>
  <c r="H111" i="1"/>
  <c r="I111" i="1"/>
  <c r="H112" i="1"/>
  <c r="I112" i="1"/>
  <c r="H113" i="1"/>
  <c r="I113" i="1"/>
  <c r="H114" i="1"/>
  <c r="I114" i="1"/>
  <c r="H115" i="1"/>
  <c r="I115" i="1"/>
  <c r="H116" i="1"/>
  <c r="I116" i="1"/>
  <c r="H117" i="1"/>
  <c r="I117" i="1"/>
  <c r="H118" i="1"/>
  <c r="I118" i="1"/>
  <c r="H119" i="1"/>
  <c r="I119" i="1"/>
  <c r="H120" i="1"/>
  <c r="I120" i="1"/>
  <c r="H121" i="1"/>
  <c r="I121" i="1"/>
  <c r="H122" i="1"/>
  <c r="I122" i="1"/>
  <c r="H123" i="1"/>
  <c r="I123" i="1"/>
  <c r="H124" i="1"/>
  <c r="I124" i="1"/>
  <c r="H125" i="1"/>
  <c r="I125" i="1"/>
  <c r="H126" i="1"/>
  <c r="I126" i="1"/>
  <c r="H127" i="1"/>
  <c r="I127" i="1"/>
  <c r="H128" i="1"/>
  <c r="I128" i="1"/>
  <c r="H129" i="1"/>
  <c r="I129" i="1"/>
  <c r="H130" i="1"/>
  <c r="I130" i="1"/>
  <c r="H131" i="1"/>
  <c r="I131" i="1"/>
  <c r="H132" i="1"/>
  <c r="I132" i="1"/>
  <c r="H133" i="1"/>
  <c r="I133" i="1"/>
  <c r="H134" i="1"/>
  <c r="I134" i="1"/>
  <c r="H135" i="1"/>
  <c r="I135" i="1"/>
  <c r="H136" i="1"/>
  <c r="I136" i="1"/>
  <c r="H137" i="1"/>
  <c r="I137" i="1"/>
  <c r="H138" i="1"/>
  <c r="I138" i="1"/>
  <c r="H139" i="1"/>
  <c r="I139" i="1"/>
  <c r="H140" i="1"/>
  <c r="I140" i="1"/>
  <c r="H141" i="1"/>
  <c r="I141" i="1"/>
  <c r="H142" i="1"/>
  <c r="I142" i="1"/>
  <c r="H143" i="1"/>
  <c r="I143" i="1"/>
  <c r="H144" i="1"/>
  <c r="I144" i="1"/>
  <c r="H145" i="1"/>
  <c r="I145" i="1"/>
  <c r="H146" i="1"/>
  <c r="I146" i="1"/>
  <c r="H147" i="1"/>
  <c r="I147" i="1"/>
  <c r="H148" i="1"/>
  <c r="I148" i="1"/>
  <c r="H149" i="1"/>
  <c r="I149" i="1"/>
  <c r="H150" i="1"/>
  <c r="I150" i="1"/>
  <c r="H151" i="1"/>
  <c r="I151" i="1"/>
  <c r="H152" i="1"/>
  <c r="I152" i="1"/>
  <c r="H153" i="1"/>
  <c r="I153" i="1"/>
  <c r="H154" i="1"/>
  <c r="I154" i="1"/>
  <c r="H155" i="1"/>
  <c r="I155" i="1"/>
  <c r="H156" i="1"/>
  <c r="I156" i="1"/>
  <c r="H157" i="1"/>
  <c r="I157" i="1"/>
  <c r="H158" i="1"/>
  <c r="I158" i="1"/>
  <c r="H159" i="1"/>
  <c r="I159" i="1"/>
  <c r="H160" i="1"/>
  <c r="I160" i="1"/>
  <c r="H161" i="1"/>
  <c r="I161" i="1"/>
  <c r="H162" i="1"/>
  <c r="I162" i="1"/>
  <c r="H163" i="1"/>
  <c r="I163" i="1"/>
  <c r="H164" i="1"/>
  <c r="I164" i="1"/>
  <c r="H165" i="1"/>
  <c r="I165" i="1"/>
  <c r="H166" i="1"/>
  <c r="I166" i="1"/>
  <c r="H167" i="1"/>
  <c r="I167" i="1"/>
  <c r="H168" i="1"/>
  <c r="I168" i="1"/>
  <c r="H169" i="1"/>
  <c r="I169" i="1"/>
  <c r="H170" i="1"/>
  <c r="I170" i="1"/>
  <c r="H171" i="1"/>
  <c r="I171" i="1"/>
  <c r="H172" i="1"/>
  <c r="I172" i="1"/>
  <c r="H173" i="1"/>
  <c r="I173" i="1"/>
  <c r="H174" i="1"/>
  <c r="I174" i="1"/>
  <c r="H175" i="1"/>
  <c r="I175" i="1"/>
  <c r="H176" i="1"/>
  <c r="I176" i="1"/>
  <c r="H177" i="1"/>
  <c r="I177" i="1"/>
  <c r="H178" i="1"/>
  <c r="I178" i="1"/>
  <c r="H179" i="1"/>
  <c r="I179" i="1"/>
  <c r="H180" i="1"/>
  <c r="I180" i="1"/>
  <c r="H181" i="1"/>
  <c r="I181" i="1"/>
  <c r="H182" i="1"/>
  <c r="I182" i="1"/>
  <c r="H183" i="1"/>
  <c r="I183" i="1"/>
  <c r="H184" i="1"/>
  <c r="I184" i="1"/>
  <c r="H185" i="1"/>
  <c r="I185" i="1"/>
  <c r="H186" i="1"/>
  <c r="I186" i="1"/>
  <c r="H187" i="1"/>
  <c r="I187" i="1"/>
  <c r="H188" i="1"/>
  <c r="I188" i="1"/>
  <c r="H189" i="1"/>
  <c r="I189" i="1"/>
  <c r="H190" i="1"/>
  <c r="I190" i="1"/>
  <c r="H191" i="1"/>
  <c r="I191" i="1"/>
  <c r="H192" i="1"/>
  <c r="I192" i="1"/>
  <c r="H193" i="1"/>
  <c r="I193" i="1"/>
  <c r="H194" i="1"/>
  <c r="I194" i="1"/>
  <c r="H195" i="1"/>
  <c r="I195" i="1"/>
  <c r="H196" i="1"/>
  <c r="I196" i="1"/>
  <c r="H197" i="1"/>
  <c r="I197" i="1"/>
  <c r="H198" i="1"/>
  <c r="I198" i="1"/>
  <c r="H199" i="1"/>
  <c r="I199" i="1"/>
  <c r="H200" i="1"/>
  <c r="I200" i="1"/>
  <c r="H201" i="1"/>
  <c r="I201" i="1"/>
  <c r="H202" i="1"/>
  <c r="I202" i="1"/>
  <c r="H203" i="1"/>
  <c r="I203" i="1"/>
  <c r="H204" i="1"/>
  <c r="I204" i="1"/>
  <c r="H205" i="1"/>
  <c r="I205" i="1"/>
  <c r="H206" i="1"/>
  <c r="I206" i="1"/>
  <c r="H207" i="1"/>
  <c r="I207" i="1"/>
  <c r="H208" i="1"/>
  <c r="I208" i="1"/>
  <c r="H209" i="1"/>
  <c r="I209" i="1"/>
  <c r="H210" i="1"/>
  <c r="I210" i="1"/>
  <c r="H211" i="1"/>
  <c r="I211" i="1"/>
  <c r="H212" i="1"/>
  <c r="I212" i="1"/>
  <c r="H213" i="1"/>
  <c r="I213" i="1"/>
  <c r="H214" i="1"/>
  <c r="I214" i="1"/>
  <c r="H215" i="1"/>
  <c r="I215" i="1"/>
  <c r="H216" i="1"/>
  <c r="I216" i="1"/>
  <c r="H217" i="1"/>
  <c r="I217" i="1"/>
  <c r="H218" i="1"/>
  <c r="I218" i="1"/>
  <c r="H219" i="1"/>
  <c r="I219" i="1"/>
  <c r="H220" i="1"/>
  <c r="I220" i="1"/>
  <c r="H221" i="1"/>
  <c r="I221" i="1"/>
  <c r="H222" i="1"/>
  <c r="I222" i="1"/>
  <c r="H223" i="1"/>
  <c r="I223" i="1"/>
  <c r="H224" i="1"/>
  <c r="I224" i="1"/>
  <c r="H225" i="1"/>
  <c r="I225" i="1"/>
  <c r="H226" i="1"/>
  <c r="I226" i="1"/>
  <c r="H227" i="1"/>
  <c r="I227" i="1"/>
  <c r="H228" i="1"/>
  <c r="I228" i="1"/>
  <c r="H229" i="1"/>
  <c r="I229" i="1"/>
  <c r="H230" i="1"/>
  <c r="I230" i="1"/>
  <c r="H231" i="1"/>
  <c r="I231" i="1"/>
  <c r="H232" i="1"/>
  <c r="I232" i="1"/>
  <c r="H233" i="1"/>
  <c r="I233" i="1"/>
  <c r="H234" i="1"/>
  <c r="I234" i="1"/>
  <c r="H235" i="1"/>
  <c r="I235" i="1"/>
  <c r="H236" i="1"/>
  <c r="I236" i="1"/>
  <c r="H237" i="1"/>
  <c r="I237" i="1"/>
  <c r="H238" i="1"/>
  <c r="I238" i="1"/>
  <c r="H239" i="1"/>
  <c r="I239" i="1"/>
  <c r="H240" i="1"/>
  <c r="I240" i="1"/>
  <c r="H241" i="1"/>
  <c r="I241" i="1"/>
  <c r="H242" i="1"/>
  <c r="I242" i="1"/>
  <c r="H243" i="1"/>
  <c r="I243" i="1"/>
  <c r="H244" i="1"/>
  <c r="I244" i="1"/>
  <c r="H245" i="1"/>
  <c r="I245" i="1"/>
  <c r="H246" i="1"/>
  <c r="I246" i="1"/>
  <c r="H247" i="1"/>
  <c r="I247" i="1"/>
  <c r="H248" i="1"/>
  <c r="I248" i="1"/>
  <c r="H249" i="1"/>
  <c r="I249" i="1"/>
  <c r="H250" i="1"/>
  <c r="I250" i="1"/>
  <c r="H251" i="1"/>
  <c r="I251" i="1"/>
  <c r="H252" i="1"/>
  <c r="I252" i="1"/>
  <c r="H253" i="1"/>
  <c r="I253" i="1"/>
  <c r="H254" i="1"/>
  <c r="I254" i="1"/>
  <c r="H255" i="1"/>
  <c r="I255" i="1"/>
  <c r="H256" i="1"/>
  <c r="I256" i="1"/>
  <c r="H257" i="1"/>
  <c r="I257" i="1"/>
  <c r="H258" i="1"/>
  <c r="I258" i="1"/>
  <c r="H259" i="1"/>
  <c r="I259" i="1"/>
  <c r="H260" i="1"/>
  <c r="I260" i="1"/>
  <c r="H261" i="1"/>
  <c r="I261" i="1"/>
  <c r="H262" i="1"/>
  <c r="I262" i="1"/>
  <c r="H263" i="1"/>
  <c r="I263" i="1"/>
  <c r="H264" i="1"/>
  <c r="I264" i="1"/>
  <c r="H265" i="1"/>
  <c r="I265" i="1"/>
  <c r="H266" i="1"/>
  <c r="I266" i="1"/>
  <c r="H267" i="1"/>
  <c r="I267" i="1"/>
  <c r="H268" i="1"/>
  <c r="I268" i="1"/>
  <c r="H269" i="1"/>
  <c r="I269" i="1"/>
  <c r="H270" i="1"/>
  <c r="I270" i="1"/>
  <c r="H271" i="1"/>
  <c r="I271" i="1"/>
  <c r="H272" i="1"/>
  <c r="I272" i="1"/>
  <c r="H273" i="1"/>
  <c r="I273" i="1"/>
  <c r="H274" i="1"/>
  <c r="I274" i="1"/>
  <c r="H275" i="1"/>
  <c r="I275" i="1"/>
  <c r="H276" i="1"/>
  <c r="I276" i="1"/>
  <c r="H277" i="1"/>
  <c r="I277" i="1"/>
  <c r="H278" i="1"/>
  <c r="I278" i="1"/>
  <c r="H279" i="1"/>
  <c r="I279" i="1"/>
  <c r="H280" i="1"/>
  <c r="I280" i="1"/>
  <c r="H281" i="1"/>
  <c r="I281" i="1"/>
  <c r="H282" i="1"/>
  <c r="I282" i="1"/>
  <c r="H283" i="1"/>
  <c r="I283" i="1"/>
  <c r="H284" i="1"/>
  <c r="I284" i="1"/>
  <c r="H285" i="1"/>
  <c r="I285" i="1"/>
  <c r="H286" i="1"/>
  <c r="I286" i="1"/>
  <c r="H287" i="1"/>
  <c r="I287" i="1"/>
  <c r="H288" i="1"/>
  <c r="I288" i="1"/>
  <c r="H289" i="1"/>
  <c r="I289" i="1"/>
  <c r="H290" i="1"/>
  <c r="I290" i="1"/>
  <c r="H291" i="1"/>
  <c r="I291" i="1"/>
  <c r="H292" i="1"/>
  <c r="I292" i="1"/>
  <c r="H293" i="1"/>
  <c r="I293" i="1"/>
  <c r="H294" i="1"/>
  <c r="I294" i="1"/>
  <c r="H295" i="1"/>
  <c r="I295" i="1"/>
  <c r="H296" i="1"/>
  <c r="I296" i="1"/>
  <c r="H297" i="1"/>
  <c r="I297" i="1"/>
  <c r="H298" i="1"/>
  <c r="I298" i="1"/>
  <c r="H299" i="1"/>
  <c r="I299" i="1"/>
  <c r="H300" i="1"/>
  <c r="I300" i="1"/>
  <c r="H301" i="1"/>
  <c r="I301" i="1"/>
  <c r="H302" i="1"/>
  <c r="I302" i="1"/>
  <c r="H303" i="1"/>
  <c r="I303" i="1"/>
  <c r="H304" i="1"/>
  <c r="I304" i="1"/>
  <c r="H305" i="1"/>
  <c r="I305" i="1"/>
  <c r="H306" i="1"/>
  <c r="I306" i="1"/>
  <c r="H307" i="1"/>
  <c r="I307" i="1"/>
  <c r="H308" i="1"/>
  <c r="I308" i="1"/>
  <c r="H309" i="1"/>
  <c r="I309" i="1"/>
  <c r="H310" i="1"/>
  <c r="I310" i="1"/>
  <c r="H311" i="1"/>
  <c r="I311" i="1"/>
  <c r="H312" i="1"/>
  <c r="I312" i="1"/>
  <c r="H313" i="1"/>
  <c r="I313" i="1"/>
  <c r="H314" i="1"/>
  <c r="I314" i="1"/>
  <c r="H315" i="1"/>
  <c r="I315" i="1"/>
  <c r="H316" i="1"/>
  <c r="I316" i="1"/>
  <c r="H317" i="1"/>
  <c r="I317" i="1"/>
  <c r="H318" i="1"/>
  <c r="I318" i="1"/>
  <c r="H319" i="1"/>
  <c r="I319" i="1"/>
  <c r="H320" i="1"/>
  <c r="I320" i="1"/>
  <c r="H321" i="1"/>
  <c r="I321" i="1"/>
  <c r="H322" i="1"/>
  <c r="I322" i="1"/>
  <c r="H323" i="1"/>
  <c r="I323" i="1"/>
  <c r="H324" i="1"/>
  <c r="I324" i="1"/>
  <c r="H325" i="1"/>
  <c r="I325" i="1"/>
  <c r="H326" i="1"/>
  <c r="I326" i="1"/>
  <c r="H327" i="1"/>
  <c r="I327" i="1"/>
  <c r="H328" i="1"/>
  <c r="I328" i="1"/>
  <c r="H329" i="1"/>
  <c r="I329" i="1"/>
  <c r="H330" i="1"/>
  <c r="I330" i="1"/>
  <c r="H331" i="1"/>
  <c r="I331" i="1"/>
  <c r="H332" i="1"/>
  <c r="I332" i="1"/>
  <c r="H333" i="1"/>
  <c r="I333" i="1"/>
  <c r="H334" i="1"/>
  <c r="I334" i="1"/>
  <c r="H335" i="1"/>
  <c r="I335" i="1"/>
  <c r="H336" i="1"/>
  <c r="I336" i="1"/>
  <c r="H337" i="1"/>
  <c r="I337" i="1"/>
  <c r="H338" i="1"/>
  <c r="I338" i="1"/>
  <c r="H339" i="1"/>
  <c r="I339" i="1"/>
  <c r="H340" i="1"/>
  <c r="I340" i="1"/>
  <c r="H341" i="1"/>
  <c r="I341" i="1"/>
  <c r="H342" i="1"/>
  <c r="I342" i="1"/>
  <c r="H343" i="1"/>
  <c r="I343" i="1"/>
  <c r="H344" i="1"/>
  <c r="I344" i="1"/>
  <c r="H345" i="1"/>
  <c r="I345" i="1"/>
  <c r="H346" i="1"/>
  <c r="I346" i="1"/>
  <c r="H347" i="1"/>
  <c r="I347" i="1"/>
  <c r="H348" i="1"/>
  <c r="I348" i="1"/>
  <c r="H349" i="1"/>
  <c r="I349" i="1"/>
  <c r="H350" i="1"/>
  <c r="I350" i="1"/>
  <c r="H351" i="1"/>
  <c r="I351" i="1"/>
  <c r="H352" i="1"/>
  <c r="I352" i="1"/>
  <c r="H353" i="1"/>
  <c r="I353" i="1"/>
  <c r="H354" i="1"/>
  <c r="I354" i="1"/>
  <c r="H355" i="1"/>
  <c r="I355" i="1"/>
  <c r="H356" i="1"/>
  <c r="I356" i="1"/>
  <c r="H357" i="1"/>
  <c r="I357" i="1"/>
  <c r="H358" i="1"/>
  <c r="I358" i="1"/>
  <c r="H359" i="1"/>
  <c r="I359" i="1"/>
  <c r="H360" i="1"/>
  <c r="I360" i="1"/>
  <c r="H361" i="1"/>
  <c r="I361" i="1"/>
  <c r="H362" i="1"/>
  <c r="I362" i="1"/>
  <c r="H363" i="1"/>
  <c r="I363" i="1"/>
  <c r="H364" i="1"/>
  <c r="I364" i="1"/>
  <c r="H365" i="1"/>
  <c r="I365" i="1"/>
  <c r="H366" i="1"/>
  <c r="I366" i="1"/>
  <c r="H367" i="1"/>
  <c r="I367" i="1"/>
  <c r="H368" i="1"/>
  <c r="I368" i="1"/>
  <c r="H369" i="1"/>
  <c r="I369" i="1"/>
  <c r="H370" i="1"/>
  <c r="I370" i="1"/>
  <c r="H371" i="1"/>
  <c r="I371" i="1"/>
  <c r="H372" i="1"/>
  <c r="I372" i="1"/>
  <c r="H373" i="1"/>
  <c r="I373" i="1"/>
  <c r="H374" i="1"/>
  <c r="I374" i="1"/>
  <c r="H375" i="1"/>
  <c r="I375" i="1"/>
  <c r="H376" i="1"/>
  <c r="I376" i="1"/>
  <c r="H377" i="1"/>
  <c r="I377" i="1"/>
  <c r="H378" i="1"/>
  <c r="I378" i="1"/>
  <c r="H379" i="1"/>
  <c r="I379" i="1"/>
  <c r="H380" i="1"/>
  <c r="I380" i="1"/>
  <c r="H381" i="1"/>
  <c r="I381" i="1"/>
  <c r="H382" i="1"/>
  <c r="I382" i="1"/>
  <c r="H383" i="1"/>
  <c r="I383" i="1"/>
  <c r="H384" i="1"/>
  <c r="I384" i="1"/>
  <c r="H385" i="1"/>
  <c r="I385" i="1"/>
  <c r="H386" i="1"/>
  <c r="I386" i="1"/>
  <c r="H387" i="1"/>
  <c r="I387" i="1"/>
  <c r="H388" i="1"/>
  <c r="I388" i="1"/>
  <c r="H389" i="1"/>
  <c r="I389" i="1"/>
  <c r="H390" i="1"/>
  <c r="I390" i="1"/>
  <c r="H391" i="1"/>
  <c r="I391" i="1"/>
  <c r="H392" i="1"/>
  <c r="I392" i="1"/>
  <c r="H393" i="1"/>
  <c r="I393" i="1"/>
  <c r="H394" i="1"/>
  <c r="I394" i="1"/>
  <c r="H395" i="1"/>
  <c r="I395" i="1"/>
  <c r="H396" i="1"/>
  <c r="I396" i="1"/>
  <c r="H397" i="1"/>
  <c r="I397" i="1"/>
  <c r="H398" i="1"/>
  <c r="I398" i="1"/>
  <c r="H399" i="1"/>
  <c r="I399" i="1"/>
  <c r="H400" i="1"/>
  <c r="I400" i="1"/>
  <c r="H401" i="1"/>
  <c r="I401" i="1"/>
  <c r="H402" i="1"/>
  <c r="I402" i="1"/>
  <c r="H403" i="1"/>
  <c r="I403" i="1"/>
  <c r="H404" i="1"/>
  <c r="I404" i="1"/>
  <c r="H405" i="1"/>
  <c r="I405" i="1"/>
  <c r="H406" i="1"/>
  <c r="I406" i="1"/>
  <c r="H407" i="1"/>
  <c r="I407" i="1"/>
  <c r="H408" i="1"/>
  <c r="I408" i="1"/>
  <c r="H409" i="1"/>
  <c r="I409" i="1"/>
  <c r="H410" i="1"/>
  <c r="I410" i="1"/>
  <c r="H411" i="1"/>
  <c r="I411" i="1"/>
  <c r="H412" i="1"/>
  <c r="I412" i="1"/>
  <c r="H413" i="1"/>
  <c r="I413" i="1"/>
  <c r="H414" i="1"/>
  <c r="I414" i="1"/>
  <c r="H415" i="1"/>
  <c r="I415" i="1"/>
  <c r="H416" i="1"/>
  <c r="I416" i="1"/>
  <c r="H417" i="1"/>
  <c r="I417" i="1"/>
  <c r="H418" i="1"/>
  <c r="I418" i="1"/>
  <c r="H419" i="1"/>
  <c r="I419" i="1"/>
  <c r="H420" i="1"/>
  <c r="I420" i="1"/>
  <c r="H421" i="1"/>
  <c r="I421" i="1"/>
  <c r="H422" i="1"/>
  <c r="I422" i="1"/>
  <c r="H423" i="1"/>
  <c r="I423" i="1"/>
  <c r="H424" i="1"/>
  <c r="I424" i="1"/>
  <c r="H425" i="1"/>
  <c r="I425" i="1"/>
  <c r="H426" i="1"/>
  <c r="I426" i="1"/>
  <c r="H427" i="1"/>
  <c r="I427" i="1"/>
  <c r="H428" i="1"/>
  <c r="I428" i="1"/>
  <c r="H429" i="1"/>
  <c r="I429" i="1"/>
  <c r="H430" i="1"/>
  <c r="I430" i="1"/>
  <c r="H431" i="1"/>
  <c r="I431" i="1"/>
  <c r="H432" i="1"/>
  <c r="I432" i="1"/>
  <c r="H433" i="1"/>
  <c r="I433" i="1"/>
  <c r="H434" i="1"/>
  <c r="I434" i="1"/>
  <c r="H435" i="1"/>
  <c r="I435" i="1"/>
  <c r="H436" i="1"/>
  <c r="I436" i="1"/>
  <c r="H437" i="1"/>
  <c r="I437" i="1"/>
  <c r="H438" i="1"/>
  <c r="I438" i="1"/>
  <c r="H439" i="1"/>
  <c r="I439" i="1"/>
  <c r="H440" i="1"/>
  <c r="I440" i="1"/>
  <c r="H441" i="1"/>
  <c r="I441" i="1"/>
  <c r="H442" i="1"/>
  <c r="I442" i="1"/>
  <c r="H443" i="1"/>
  <c r="I443" i="1"/>
  <c r="H444" i="1"/>
  <c r="I444" i="1"/>
  <c r="H445" i="1"/>
  <c r="I445" i="1"/>
  <c r="H446" i="1"/>
  <c r="I446" i="1"/>
  <c r="H447" i="1"/>
  <c r="I447" i="1"/>
  <c r="H448" i="1"/>
  <c r="I448" i="1"/>
  <c r="H449" i="1"/>
  <c r="I449" i="1"/>
  <c r="H450" i="1"/>
  <c r="I450" i="1"/>
  <c r="H451" i="1"/>
  <c r="I451" i="1"/>
  <c r="H452" i="1"/>
  <c r="I452" i="1"/>
  <c r="H453" i="1"/>
  <c r="I453" i="1"/>
  <c r="H454" i="1"/>
  <c r="I454" i="1"/>
  <c r="H455" i="1"/>
  <c r="I455" i="1"/>
  <c r="H456" i="1"/>
  <c r="I456" i="1"/>
  <c r="H457" i="1"/>
  <c r="I457" i="1"/>
  <c r="H458" i="1"/>
  <c r="I458" i="1"/>
  <c r="H459" i="1"/>
  <c r="I459" i="1"/>
  <c r="H460" i="1"/>
  <c r="I460" i="1"/>
  <c r="H461" i="1"/>
  <c r="I461" i="1"/>
  <c r="H462" i="1"/>
  <c r="I462" i="1"/>
  <c r="H463" i="1"/>
  <c r="I463" i="1"/>
  <c r="H464" i="1"/>
  <c r="I464" i="1"/>
  <c r="H465" i="1"/>
  <c r="I465" i="1"/>
  <c r="H466" i="1"/>
  <c r="I466" i="1"/>
  <c r="H467" i="1"/>
  <c r="I467" i="1"/>
  <c r="H468" i="1"/>
  <c r="I468" i="1"/>
  <c r="H469" i="1"/>
  <c r="I469" i="1"/>
  <c r="H470" i="1"/>
  <c r="I470" i="1"/>
  <c r="H471" i="1"/>
  <c r="I471" i="1"/>
  <c r="H472" i="1"/>
  <c r="I472" i="1"/>
  <c r="H473" i="1"/>
  <c r="I473" i="1"/>
  <c r="H474" i="1"/>
  <c r="I474" i="1"/>
  <c r="H475" i="1"/>
  <c r="I475" i="1"/>
  <c r="H476" i="1"/>
  <c r="I476" i="1"/>
  <c r="H477" i="1"/>
  <c r="I477" i="1"/>
  <c r="H478" i="1"/>
  <c r="I478" i="1"/>
  <c r="H479" i="1"/>
  <c r="I479" i="1"/>
  <c r="H480" i="1"/>
  <c r="I480" i="1"/>
  <c r="H481" i="1"/>
  <c r="I481" i="1"/>
  <c r="H482" i="1"/>
  <c r="I482" i="1"/>
  <c r="H483" i="1"/>
  <c r="I483" i="1"/>
  <c r="H484" i="1"/>
  <c r="I484" i="1"/>
  <c r="H485" i="1"/>
  <c r="I485" i="1"/>
  <c r="H486" i="1"/>
  <c r="I486" i="1"/>
  <c r="H487" i="1"/>
  <c r="I487" i="1"/>
  <c r="H488" i="1"/>
  <c r="I488" i="1"/>
  <c r="H489" i="1"/>
  <c r="I489" i="1"/>
  <c r="H490" i="1"/>
  <c r="I490" i="1"/>
  <c r="H491" i="1"/>
  <c r="I491" i="1"/>
  <c r="H492" i="1"/>
  <c r="I492" i="1"/>
  <c r="H493" i="1"/>
  <c r="I493" i="1"/>
  <c r="H494" i="1"/>
  <c r="I494" i="1"/>
  <c r="H495" i="1"/>
  <c r="I495" i="1"/>
  <c r="H496" i="1"/>
  <c r="I496" i="1"/>
  <c r="H497" i="1"/>
  <c r="I497" i="1"/>
  <c r="H498" i="1"/>
  <c r="I498" i="1"/>
  <c r="H499" i="1"/>
  <c r="I499" i="1"/>
  <c r="H500" i="1"/>
  <c r="I500" i="1"/>
  <c r="H501" i="1"/>
  <c r="I501" i="1"/>
  <c r="H502" i="1"/>
  <c r="I502" i="1"/>
  <c r="H503" i="1"/>
  <c r="I503" i="1"/>
  <c r="H504" i="1"/>
  <c r="I504" i="1"/>
  <c r="H505" i="1"/>
  <c r="I505" i="1"/>
  <c r="H506" i="1"/>
  <c r="I506" i="1"/>
  <c r="H507" i="1"/>
  <c r="I507" i="1"/>
  <c r="H508" i="1"/>
  <c r="I508" i="1"/>
  <c r="H509" i="1"/>
  <c r="I509" i="1"/>
  <c r="H510" i="1"/>
  <c r="I510" i="1"/>
  <c r="H511" i="1"/>
  <c r="I511" i="1"/>
  <c r="H512" i="1"/>
  <c r="I512" i="1"/>
  <c r="H513" i="1"/>
  <c r="I513" i="1"/>
  <c r="H514" i="1"/>
  <c r="I514" i="1"/>
  <c r="H515" i="1"/>
  <c r="I515" i="1"/>
  <c r="H516" i="1"/>
  <c r="I516" i="1"/>
  <c r="H517" i="1"/>
  <c r="I517" i="1"/>
  <c r="H518" i="1"/>
  <c r="I518" i="1"/>
  <c r="H519" i="1"/>
  <c r="I519" i="1"/>
  <c r="H520" i="1"/>
  <c r="I520" i="1"/>
  <c r="H521" i="1"/>
  <c r="I521" i="1"/>
  <c r="H522" i="1"/>
  <c r="I522" i="1"/>
  <c r="H523" i="1"/>
  <c r="I523" i="1"/>
  <c r="H524" i="1"/>
  <c r="I524" i="1"/>
  <c r="H525" i="1"/>
  <c r="I525" i="1"/>
  <c r="H526" i="1"/>
  <c r="I526" i="1"/>
  <c r="H527" i="1"/>
  <c r="I527" i="1"/>
  <c r="H528" i="1"/>
  <c r="I528" i="1"/>
  <c r="H529" i="1"/>
  <c r="I529" i="1"/>
  <c r="H530" i="1"/>
  <c r="I530" i="1"/>
  <c r="H531" i="1"/>
  <c r="I531" i="1"/>
  <c r="H532" i="1"/>
  <c r="I532" i="1"/>
  <c r="H533" i="1"/>
  <c r="I533" i="1"/>
  <c r="H534" i="1"/>
  <c r="I534" i="1"/>
  <c r="H535" i="1"/>
  <c r="I535" i="1"/>
  <c r="H536" i="1"/>
  <c r="I536" i="1"/>
  <c r="H537" i="1"/>
  <c r="I537" i="1"/>
  <c r="H538" i="1"/>
  <c r="I538" i="1"/>
  <c r="H539" i="1"/>
  <c r="I539" i="1"/>
  <c r="H540" i="1"/>
  <c r="I540" i="1"/>
  <c r="H541" i="1"/>
  <c r="I541" i="1"/>
  <c r="H542" i="1"/>
  <c r="I542" i="1"/>
  <c r="H543" i="1"/>
  <c r="I543" i="1"/>
  <c r="H544" i="1"/>
  <c r="I544" i="1"/>
  <c r="H545" i="1"/>
  <c r="I545" i="1"/>
  <c r="H546" i="1"/>
  <c r="I546" i="1"/>
  <c r="H547" i="1"/>
  <c r="I547" i="1"/>
  <c r="H548" i="1"/>
  <c r="I548" i="1"/>
  <c r="H549" i="1"/>
  <c r="I549" i="1"/>
  <c r="H550" i="1"/>
  <c r="I550" i="1"/>
  <c r="H551" i="1"/>
  <c r="I551" i="1"/>
  <c r="H552" i="1"/>
  <c r="I552" i="1"/>
  <c r="H553" i="1"/>
  <c r="I553" i="1"/>
  <c r="H554" i="1"/>
  <c r="I554" i="1"/>
  <c r="H555" i="1"/>
  <c r="I555" i="1"/>
  <c r="H556" i="1"/>
  <c r="I556" i="1"/>
  <c r="H557" i="1"/>
  <c r="I557" i="1"/>
  <c r="H558" i="1"/>
  <c r="I558" i="1"/>
  <c r="H559" i="1"/>
  <c r="I559" i="1"/>
  <c r="H560" i="1"/>
  <c r="I560" i="1"/>
  <c r="H561" i="1"/>
  <c r="I561" i="1"/>
  <c r="H562" i="1"/>
  <c r="I562" i="1"/>
  <c r="H563" i="1"/>
  <c r="I563" i="1"/>
  <c r="H564" i="1"/>
  <c r="I564" i="1"/>
  <c r="H565" i="1"/>
  <c r="I565" i="1"/>
  <c r="H566" i="1"/>
  <c r="I566" i="1"/>
  <c r="H567" i="1"/>
  <c r="I567" i="1"/>
  <c r="H568" i="1"/>
  <c r="I568" i="1"/>
  <c r="H569" i="1"/>
  <c r="I569" i="1"/>
  <c r="H570" i="1"/>
  <c r="I570" i="1"/>
  <c r="H571" i="1"/>
  <c r="I571" i="1"/>
  <c r="H572" i="1"/>
  <c r="I572" i="1"/>
  <c r="H573" i="1"/>
  <c r="I573" i="1"/>
  <c r="H574" i="1"/>
  <c r="I574" i="1"/>
  <c r="H575" i="1"/>
  <c r="I575" i="1"/>
  <c r="H576" i="1"/>
  <c r="I576" i="1"/>
  <c r="H577" i="1"/>
  <c r="I577" i="1"/>
  <c r="H578" i="1"/>
  <c r="I578" i="1"/>
  <c r="H579" i="1"/>
  <c r="I579" i="1"/>
  <c r="H580" i="1"/>
  <c r="I580" i="1"/>
  <c r="H581" i="1"/>
  <c r="I581" i="1"/>
  <c r="H582" i="1"/>
  <c r="I582" i="1"/>
  <c r="H583" i="1"/>
  <c r="I583" i="1"/>
  <c r="H584" i="1"/>
  <c r="I584" i="1"/>
  <c r="H585" i="1"/>
  <c r="I585" i="1"/>
  <c r="H586" i="1"/>
  <c r="I586" i="1"/>
  <c r="H587" i="1"/>
  <c r="I587" i="1"/>
  <c r="H588" i="1"/>
  <c r="I588" i="1"/>
  <c r="H589" i="1"/>
  <c r="I589" i="1"/>
  <c r="H590" i="1"/>
  <c r="I590" i="1"/>
  <c r="H591" i="1"/>
  <c r="I591" i="1"/>
  <c r="H592" i="1"/>
  <c r="I592" i="1"/>
  <c r="H593" i="1"/>
  <c r="I593" i="1"/>
  <c r="H594" i="1"/>
  <c r="I594" i="1"/>
  <c r="H595" i="1"/>
  <c r="I595" i="1"/>
  <c r="H596" i="1"/>
  <c r="I596" i="1"/>
  <c r="H597" i="1"/>
  <c r="I597" i="1"/>
  <c r="H598" i="1"/>
  <c r="I598" i="1"/>
  <c r="H599" i="1"/>
  <c r="I599" i="1"/>
  <c r="H600" i="1"/>
  <c r="I600" i="1"/>
  <c r="H601" i="1"/>
  <c r="I601" i="1"/>
  <c r="H602" i="1"/>
  <c r="I602" i="1"/>
  <c r="H603" i="1"/>
  <c r="I603" i="1"/>
  <c r="H604" i="1"/>
  <c r="I604" i="1"/>
  <c r="H605" i="1"/>
  <c r="I605" i="1"/>
  <c r="H606" i="1"/>
  <c r="I606" i="1"/>
  <c r="H607" i="1"/>
  <c r="I607" i="1"/>
  <c r="H608" i="1"/>
  <c r="I608" i="1"/>
  <c r="H609" i="1"/>
  <c r="I609" i="1"/>
  <c r="H610" i="1"/>
  <c r="I610" i="1"/>
  <c r="H611" i="1"/>
  <c r="I611" i="1"/>
  <c r="H612" i="1"/>
  <c r="I612" i="1"/>
  <c r="H613" i="1"/>
  <c r="I613" i="1"/>
  <c r="H614" i="1"/>
  <c r="I614" i="1"/>
  <c r="H615" i="1"/>
  <c r="I615" i="1"/>
  <c r="H616" i="1"/>
  <c r="I616" i="1"/>
  <c r="H617" i="1"/>
  <c r="I617" i="1"/>
  <c r="H618" i="1"/>
  <c r="I618" i="1"/>
  <c r="H619" i="1"/>
  <c r="I619" i="1"/>
  <c r="H620" i="1"/>
  <c r="I620" i="1"/>
  <c r="H621" i="1"/>
  <c r="I621" i="1"/>
  <c r="H622" i="1"/>
  <c r="I622" i="1"/>
  <c r="H623" i="1"/>
  <c r="I623" i="1"/>
  <c r="H624" i="1"/>
  <c r="I624" i="1"/>
  <c r="H625" i="1"/>
  <c r="I625" i="1"/>
  <c r="H626" i="1"/>
  <c r="I626" i="1"/>
  <c r="H627" i="1"/>
  <c r="I627" i="1"/>
  <c r="H628" i="1"/>
  <c r="I628" i="1"/>
  <c r="H629" i="1"/>
  <c r="I629" i="1"/>
  <c r="H630" i="1"/>
  <c r="I630" i="1"/>
  <c r="H631" i="1"/>
  <c r="I631" i="1"/>
  <c r="H632" i="1"/>
  <c r="I632" i="1"/>
  <c r="H633" i="1"/>
  <c r="I633" i="1"/>
  <c r="H634" i="1"/>
  <c r="I634" i="1"/>
  <c r="H635" i="1"/>
  <c r="I635" i="1"/>
  <c r="H636" i="1"/>
  <c r="I636" i="1"/>
  <c r="H637" i="1"/>
  <c r="I637" i="1"/>
  <c r="H638" i="1"/>
  <c r="I638" i="1"/>
  <c r="H639" i="1"/>
  <c r="I639" i="1"/>
  <c r="H640" i="1"/>
  <c r="I640" i="1"/>
  <c r="H641" i="1"/>
  <c r="I641" i="1"/>
  <c r="H642" i="1"/>
  <c r="I642" i="1"/>
  <c r="H643" i="1"/>
  <c r="I643" i="1"/>
  <c r="H644" i="1"/>
  <c r="I644" i="1"/>
  <c r="H645" i="1"/>
  <c r="I645" i="1"/>
  <c r="H646" i="1"/>
  <c r="I646" i="1"/>
  <c r="H647" i="1"/>
  <c r="I647" i="1"/>
  <c r="H648" i="1"/>
  <c r="I648" i="1"/>
  <c r="H649" i="1"/>
  <c r="I649" i="1"/>
  <c r="H650" i="1"/>
  <c r="I650" i="1"/>
  <c r="H651" i="1"/>
  <c r="I651" i="1"/>
  <c r="H652" i="1"/>
  <c r="I652" i="1"/>
  <c r="H653" i="1"/>
  <c r="I653" i="1"/>
  <c r="H654" i="1"/>
  <c r="I654" i="1"/>
  <c r="H655" i="1"/>
  <c r="I655" i="1"/>
  <c r="H656" i="1"/>
  <c r="I656" i="1"/>
  <c r="H657" i="1"/>
  <c r="I657" i="1"/>
  <c r="H658" i="1"/>
  <c r="I658" i="1"/>
  <c r="H659" i="1"/>
  <c r="I659" i="1"/>
  <c r="H660" i="1"/>
  <c r="I660" i="1"/>
  <c r="H661" i="1"/>
  <c r="I661" i="1"/>
  <c r="H662" i="1"/>
  <c r="I662" i="1"/>
  <c r="H663" i="1"/>
  <c r="I663" i="1"/>
  <c r="H664" i="1"/>
  <c r="I664" i="1"/>
  <c r="H665" i="1"/>
  <c r="I665" i="1"/>
  <c r="H666" i="1"/>
  <c r="I666" i="1"/>
  <c r="H667" i="1"/>
  <c r="I667" i="1"/>
  <c r="H668" i="1"/>
  <c r="I668" i="1"/>
  <c r="H669" i="1"/>
  <c r="I669" i="1"/>
  <c r="H670" i="1"/>
  <c r="I670" i="1"/>
  <c r="H671" i="1"/>
  <c r="I671" i="1"/>
  <c r="H672" i="1"/>
  <c r="I672" i="1"/>
  <c r="H673" i="1"/>
  <c r="I673" i="1"/>
  <c r="H674" i="1"/>
  <c r="I674" i="1"/>
  <c r="H675" i="1"/>
  <c r="I675" i="1"/>
  <c r="H676" i="1"/>
  <c r="I676" i="1"/>
  <c r="H677" i="1"/>
  <c r="I677" i="1"/>
  <c r="H678" i="1"/>
  <c r="I678" i="1"/>
  <c r="H679" i="1"/>
  <c r="I679" i="1"/>
  <c r="H680" i="1"/>
  <c r="I680" i="1"/>
  <c r="H681" i="1"/>
  <c r="I681" i="1"/>
  <c r="H682" i="1"/>
  <c r="I682" i="1"/>
  <c r="H683" i="1"/>
  <c r="I683" i="1"/>
  <c r="H684" i="1"/>
  <c r="I684" i="1"/>
  <c r="H685" i="1"/>
  <c r="I685" i="1"/>
  <c r="H686" i="1"/>
  <c r="I686" i="1"/>
  <c r="H687" i="1"/>
  <c r="I687" i="1"/>
  <c r="H688" i="1"/>
  <c r="I688" i="1"/>
  <c r="H689" i="1"/>
  <c r="I689" i="1"/>
  <c r="H690" i="1"/>
  <c r="I690" i="1"/>
  <c r="H691" i="1"/>
  <c r="I691" i="1"/>
  <c r="H692" i="1"/>
  <c r="I692" i="1"/>
  <c r="H693" i="1"/>
  <c r="I693" i="1"/>
  <c r="H694" i="1"/>
  <c r="I694" i="1"/>
  <c r="H695" i="1"/>
  <c r="I695" i="1"/>
  <c r="H696" i="1"/>
  <c r="I696" i="1"/>
  <c r="H697" i="1"/>
  <c r="I697" i="1"/>
  <c r="H698" i="1"/>
  <c r="I698" i="1"/>
  <c r="H699" i="1"/>
  <c r="I699" i="1"/>
  <c r="H700" i="1"/>
  <c r="I700" i="1"/>
  <c r="H701" i="1"/>
  <c r="I701" i="1"/>
  <c r="H702" i="1"/>
  <c r="I702" i="1"/>
  <c r="H703" i="1"/>
  <c r="I703" i="1"/>
  <c r="H704" i="1"/>
  <c r="I704" i="1"/>
  <c r="H705" i="1"/>
  <c r="I705" i="1"/>
  <c r="H706" i="1"/>
  <c r="I706" i="1"/>
  <c r="H707" i="1"/>
  <c r="I707" i="1"/>
  <c r="H708" i="1"/>
  <c r="I708" i="1"/>
  <c r="H709" i="1"/>
  <c r="I709" i="1"/>
  <c r="H710" i="1"/>
  <c r="I710" i="1"/>
  <c r="H711" i="1"/>
  <c r="I711" i="1"/>
  <c r="H712" i="1"/>
  <c r="I712" i="1"/>
  <c r="H713" i="1"/>
  <c r="I713" i="1"/>
  <c r="H714" i="1"/>
  <c r="I714" i="1"/>
  <c r="H715" i="1"/>
  <c r="I715" i="1"/>
  <c r="H716" i="1"/>
  <c r="I716" i="1"/>
  <c r="H717" i="1"/>
  <c r="I717" i="1"/>
  <c r="H718" i="1"/>
  <c r="I718" i="1"/>
  <c r="H719" i="1"/>
  <c r="I719" i="1"/>
  <c r="H720" i="1"/>
  <c r="I720" i="1"/>
  <c r="H721" i="1"/>
  <c r="I721" i="1"/>
  <c r="H722" i="1"/>
  <c r="I722" i="1"/>
  <c r="H723" i="1"/>
  <c r="I723" i="1"/>
  <c r="H724" i="1"/>
  <c r="I724" i="1"/>
  <c r="H725" i="1"/>
  <c r="I725" i="1"/>
  <c r="H726" i="1"/>
  <c r="I726" i="1"/>
  <c r="H727" i="1"/>
  <c r="I727" i="1"/>
  <c r="H728" i="1"/>
  <c r="I728" i="1"/>
  <c r="H729" i="1"/>
  <c r="I729" i="1"/>
  <c r="H730" i="1"/>
  <c r="I730" i="1"/>
  <c r="H731" i="1"/>
  <c r="I731" i="1"/>
  <c r="H732" i="1"/>
  <c r="I732" i="1"/>
  <c r="H733" i="1"/>
  <c r="I733" i="1"/>
  <c r="H734" i="1"/>
  <c r="I734" i="1"/>
  <c r="H735" i="1"/>
  <c r="I735" i="1"/>
  <c r="H736" i="1"/>
  <c r="I736" i="1"/>
  <c r="H737" i="1"/>
  <c r="I737" i="1"/>
  <c r="H738" i="1"/>
  <c r="I738" i="1"/>
  <c r="H739" i="1"/>
  <c r="I739" i="1"/>
  <c r="H740" i="1"/>
  <c r="I740" i="1"/>
  <c r="H741" i="1"/>
  <c r="I741" i="1"/>
  <c r="H742" i="1"/>
  <c r="I742" i="1"/>
  <c r="H743" i="1"/>
  <c r="I743" i="1"/>
  <c r="H744" i="1"/>
  <c r="I744" i="1"/>
  <c r="H745" i="1"/>
  <c r="I745" i="1"/>
  <c r="H746" i="1"/>
  <c r="I746" i="1"/>
  <c r="H747" i="1"/>
  <c r="I747" i="1"/>
  <c r="H748" i="1"/>
  <c r="I748" i="1"/>
  <c r="H749" i="1"/>
  <c r="I749" i="1"/>
  <c r="H750" i="1"/>
  <c r="I750" i="1"/>
  <c r="H751" i="1"/>
  <c r="I751" i="1"/>
  <c r="H752" i="1"/>
  <c r="I752" i="1"/>
  <c r="H753" i="1"/>
  <c r="I753" i="1"/>
  <c r="H754" i="1"/>
  <c r="I754" i="1"/>
  <c r="H755" i="1"/>
  <c r="I755" i="1"/>
  <c r="H756" i="1"/>
  <c r="I756" i="1"/>
  <c r="H757" i="1"/>
  <c r="I757" i="1"/>
  <c r="H758" i="1"/>
  <c r="I758" i="1"/>
  <c r="H759" i="1"/>
  <c r="I759" i="1"/>
  <c r="H760" i="1"/>
  <c r="I760" i="1"/>
  <c r="H761" i="1"/>
  <c r="I761" i="1"/>
  <c r="H762" i="1"/>
  <c r="I762" i="1"/>
  <c r="H763" i="1"/>
  <c r="I763" i="1"/>
  <c r="H764" i="1"/>
  <c r="I764" i="1"/>
  <c r="H765" i="1"/>
  <c r="I765" i="1"/>
  <c r="H766" i="1"/>
  <c r="I766" i="1"/>
  <c r="H767" i="1"/>
  <c r="I767" i="1"/>
  <c r="H768" i="1"/>
  <c r="I768" i="1"/>
  <c r="H769" i="1"/>
  <c r="I769" i="1"/>
  <c r="H770" i="1"/>
  <c r="I770" i="1"/>
  <c r="H771" i="1"/>
  <c r="I771" i="1"/>
  <c r="H772" i="1"/>
  <c r="I772" i="1"/>
  <c r="H773" i="1"/>
  <c r="I773" i="1"/>
  <c r="H774" i="1"/>
  <c r="I774" i="1"/>
  <c r="H775" i="1"/>
  <c r="I775" i="1"/>
  <c r="H776" i="1"/>
  <c r="I776" i="1"/>
  <c r="H777" i="1"/>
  <c r="I777" i="1"/>
  <c r="H778" i="1"/>
  <c r="I778" i="1"/>
  <c r="H779" i="1"/>
  <c r="I779" i="1"/>
  <c r="H780" i="1"/>
  <c r="I780" i="1"/>
  <c r="H781" i="1"/>
  <c r="I781" i="1"/>
  <c r="H782" i="1"/>
  <c r="I782" i="1"/>
  <c r="H783" i="1"/>
  <c r="I783" i="1"/>
  <c r="H784" i="1"/>
  <c r="I784" i="1"/>
  <c r="H785" i="1"/>
  <c r="I785" i="1"/>
  <c r="H786" i="1"/>
  <c r="I786" i="1"/>
  <c r="H787" i="1"/>
  <c r="I787" i="1"/>
  <c r="H788" i="1"/>
  <c r="I788" i="1"/>
  <c r="H789" i="1"/>
  <c r="I789" i="1"/>
  <c r="H790" i="1"/>
  <c r="I790" i="1"/>
  <c r="H791" i="1"/>
  <c r="I791" i="1"/>
  <c r="H792" i="1"/>
  <c r="I792" i="1"/>
  <c r="H793" i="1"/>
  <c r="I793" i="1"/>
  <c r="H794" i="1"/>
  <c r="I794" i="1"/>
  <c r="H795" i="1"/>
  <c r="I795" i="1"/>
  <c r="H796" i="1"/>
  <c r="I796" i="1"/>
  <c r="H797" i="1"/>
  <c r="I797" i="1"/>
  <c r="H798" i="1"/>
  <c r="I798" i="1"/>
  <c r="H799" i="1"/>
  <c r="I799" i="1"/>
  <c r="H800" i="1"/>
  <c r="I800" i="1"/>
  <c r="H801" i="1"/>
  <c r="I801" i="1"/>
  <c r="H802" i="1"/>
  <c r="I802" i="1"/>
  <c r="H803" i="1"/>
  <c r="I803" i="1"/>
  <c r="H804" i="1"/>
  <c r="I804" i="1"/>
  <c r="H805" i="1"/>
  <c r="I805" i="1"/>
  <c r="H806" i="1"/>
  <c r="I806" i="1"/>
  <c r="H807" i="1"/>
  <c r="I807" i="1"/>
  <c r="H808" i="1"/>
  <c r="I808" i="1"/>
  <c r="H809" i="1"/>
  <c r="I809" i="1"/>
  <c r="H810" i="1"/>
  <c r="I810" i="1"/>
  <c r="H811" i="1"/>
  <c r="I811" i="1"/>
  <c r="H812" i="1"/>
  <c r="I812" i="1"/>
  <c r="H813" i="1"/>
  <c r="I813" i="1"/>
  <c r="H814" i="1"/>
  <c r="I814" i="1"/>
  <c r="H815" i="1"/>
  <c r="I815" i="1"/>
  <c r="H816" i="1"/>
  <c r="I816" i="1"/>
  <c r="H817" i="1"/>
  <c r="I817" i="1"/>
  <c r="H818" i="1"/>
  <c r="I818" i="1"/>
  <c r="H819" i="1"/>
  <c r="I819" i="1"/>
  <c r="H820" i="1"/>
  <c r="I820" i="1"/>
  <c r="H821" i="1"/>
  <c r="I821" i="1"/>
  <c r="H822" i="1"/>
  <c r="I822" i="1"/>
  <c r="H823" i="1"/>
  <c r="I823" i="1"/>
  <c r="H824" i="1"/>
  <c r="I824" i="1"/>
  <c r="H825" i="1"/>
  <c r="I825" i="1"/>
  <c r="H826" i="1"/>
  <c r="I826" i="1"/>
  <c r="H827" i="1"/>
  <c r="I827" i="1"/>
  <c r="H828" i="1"/>
  <c r="I828" i="1"/>
  <c r="H829" i="1"/>
  <c r="I829" i="1"/>
  <c r="H830" i="1"/>
  <c r="I830" i="1"/>
  <c r="H831" i="1"/>
  <c r="I831" i="1"/>
  <c r="H832" i="1"/>
  <c r="I832" i="1"/>
  <c r="H833" i="1"/>
  <c r="I833" i="1"/>
  <c r="H834" i="1"/>
  <c r="I834" i="1"/>
  <c r="H835" i="1"/>
  <c r="I835" i="1"/>
  <c r="H836" i="1"/>
  <c r="I836" i="1"/>
  <c r="H837" i="1"/>
  <c r="I837" i="1"/>
  <c r="H838" i="1"/>
  <c r="I838" i="1"/>
  <c r="H839" i="1"/>
  <c r="I839" i="1"/>
  <c r="H840" i="1"/>
  <c r="I840" i="1"/>
  <c r="H841" i="1"/>
  <c r="I841" i="1"/>
  <c r="H842" i="1"/>
  <c r="I842" i="1"/>
  <c r="H843" i="1"/>
  <c r="I843" i="1"/>
  <c r="H844" i="1"/>
  <c r="I844" i="1"/>
  <c r="H845" i="1"/>
  <c r="I845" i="1"/>
  <c r="H846" i="1"/>
  <c r="I846" i="1"/>
  <c r="H847" i="1"/>
  <c r="I847" i="1"/>
  <c r="H848" i="1"/>
  <c r="I848" i="1"/>
  <c r="H849" i="1"/>
  <c r="I849" i="1"/>
  <c r="H850" i="1"/>
  <c r="I850" i="1"/>
  <c r="H851" i="1"/>
  <c r="I851" i="1"/>
  <c r="H852" i="1"/>
  <c r="I852" i="1"/>
  <c r="H853" i="1"/>
  <c r="I853" i="1"/>
  <c r="H854" i="1"/>
  <c r="I854" i="1"/>
  <c r="H855" i="1"/>
  <c r="I855" i="1"/>
  <c r="H856" i="1"/>
  <c r="I856" i="1"/>
  <c r="H857" i="1"/>
  <c r="I857" i="1"/>
  <c r="H858" i="1"/>
  <c r="I858" i="1"/>
  <c r="H859" i="1"/>
  <c r="I859" i="1"/>
  <c r="H860" i="1"/>
  <c r="I860" i="1"/>
  <c r="H861" i="1"/>
  <c r="I861" i="1"/>
  <c r="H862" i="1"/>
  <c r="I862" i="1"/>
  <c r="H863" i="1"/>
  <c r="I863" i="1"/>
  <c r="H864" i="1"/>
  <c r="I864" i="1"/>
  <c r="H865" i="1"/>
  <c r="I865" i="1"/>
  <c r="H866" i="1"/>
  <c r="I866" i="1"/>
  <c r="H867" i="1"/>
  <c r="I867" i="1"/>
  <c r="H868" i="1"/>
  <c r="I868" i="1"/>
  <c r="H869" i="1"/>
  <c r="I869" i="1"/>
  <c r="H870" i="1"/>
  <c r="I870" i="1"/>
  <c r="H871" i="1"/>
  <c r="I871" i="1"/>
  <c r="H872" i="1"/>
  <c r="I872" i="1"/>
  <c r="H873" i="1"/>
  <c r="I873" i="1"/>
  <c r="H874" i="1"/>
  <c r="I874" i="1"/>
  <c r="H875" i="1"/>
  <c r="I875" i="1"/>
  <c r="H876" i="1"/>
  <c r="I876" i="1"/>
  <c r="H877" i="1"/>
  <c r="I877" i="1"/>
  <c r="H878" i="1"/>
  <c r="I878" i="1"/>
  <c r="H879" i="1"/>
  <c r="I879" i="1"/>
  <c r="H880" i="1"/>
  <c r="I880" i="1"/>
  <c r="H881" i="1"/>
  <c r="I881" i="1"/>
  <c r="H882" i="1"/>
  <c r="I882" i="1"/>
  <c r="H883" i="1"/>
  <c r="I883" i="1"/>
  <c r="H884" i="1"/>
  <c r="I884" i="1"/>
  <c r="H885" i="1"/>
  <c r="I885" i="1"/>
  <c r="H886" i="1"/>
  <c r="I886" i="1"/>
  <c r="H887" i="1"/>
  <c r="I887" i="1"/>
  <c r="H888" i="1"/>
  <c r="I888" i="1"/>
  <c r="H889" i="1"/>
  <c r="I889" i="1"/>
  <c r="H890" i="1"/>
  <c r="I890" i="1"/>
  <c r="H891" i="1"/>
  <c r="I891" i="1"/>
  <c r="H892" i="1"/>
  <c r="I892" i="1"/>
  <c r="H893" i="1"/>
  <c r="I893" i="1"/>
  <c r="H894" i="1"/>
  <c r="I894" i="1"/>
  <c r="H895" i="1"/>
  <c r="I895" i="1"/>
  <c r="H896" i="1"/>
  <c r="I896" i="1"/>
  <c r="H897" i="1"/>
  <c r="I897" i="1"/>
  <c r="H898" i="1"/>
  <c r="I898" i="1"/>
  <c r="H899" i="1"/>
  <c r="I899" i="1"/>
  <c r="H900" i="1"/>
  <c r="I900" i="1"/>
  <c r="H901" i="1"/>
  <c r="I901" i="1"/>
  <c r="H902" i="1"/>
  <c r="I902" i="1"/>
  <c r="H903" i="1"/>
  <c r="I903" i="1"/>
  <c r="H904" i="1"/>
  <c r="I904" i="1"/>
  <c r="H905" i="1"/>
  <c r="I905" i="1"/>
  <c r="H906" i="1"/>
  <c r="I906" i="1"/>
  <c r="H907" i="1"/>
  <c r="I907" i="1"/>
  <c r="H908" i="1"/>
  <c r="I908" i="1"/>
  <c r="H909" i="1"/>
  <c r="I909" i="1"/>
  <c r="H910" i="1"/>
  <c r="I910" i="1"/>
  <c r="H911" i="1"/>
  <c r="I911" i="1"/>
  <c r="H912" i="1"/>
  <c r="I912" i="1"/>
  <c r="H913" i="1"/>
  <c r="I913" i="1"/>
  <c r="H914" i="1"/>
  <c r="I914" i="1"/>
  <c r="H915" i="1"/>
  <c r="I915" i="1"/>
  <c r="H916" i="1"/>
  <c r="I916" i="1"/>
  <c r="H917" i="1"/>
  <c r="I917" i="1"/>
  <c r="H918" i="1"/>
  <c r="I918" i="1"/>
  <c r="H919" i="1"/>
  <c r="I919" i="1"/>
  <c r="H920" i="1"/>
  <c r="I920" i="1"/>
  <c r="H921" i="1"/>
  <c r="I921" i="1"/>
  <c r="H922" i="1"/>
  <c r="I922" i="1"/>
  <c r="H923" i="1"/>
  <c r="I923" i="1"/>
  <c r="H924" i="1"/>
  <c r="I924" i="1"/>
  <c r="H925" i="1"/>
  <c r="I925" i="1"/>
  <c r="H926" i="1"/>
  <c r="I926" i="1"/>
  <c r="H927" i="1"/>
  <c r="I927" i="1"/>
  <c r="H928" i="1"/>
  <c r="I928" i="1"/>
  <c r="H929" i="1"/>
  <c r="I929" i="1"/>
  <c r="H930" i="1"/>
  <c r="I930" i="1"/>
  <c r="H931" i="1"/>
  <c r="I931" i="1"/>
  <c r="H932" i="1"/>
  <c r="I932" i="1"/>
  <c r="H933" i="1"/>
  <c r="I933" i="1"/>
  <c r="H934" i="1"/>
  <c r="I934" i="1"/>
  <c r="H935" i="1"/>
  <c r="I935" i="1"/>
  <c r="H936" i="1"/>
  <c r="I936" i="1"/>
  <c r="H937" i="1"/>
  <c r="I937" i="1"/>
  <c r="H938" i="1"/>
  <c r="I938" i="1"/>
  <c r="H939" i="1"/>
  <c r="I939" i="1"/>
  <c r="H940" i="1"/>
  <c r="I940" i="1"/>
  <c r="H941" i="1"/>
  <c r="I941" i="1"/>
  <c r="H942" i="1"/>
  <c r="I942" i="1"/>
  <c r="H943" i="1"/>
  <c r="I943" i="1"/>
  <c r="H944" i="1"/>
  <c r="I944" i="1"/>
  <c r="H945" i="1"/>
  <c r="I945" i="1"/>
  <c r="H946" i="1"/>
  <c r="I946" i="1"/>
  <c r="H947" i="1"/>
  <c r="I947" i="1"/>
  <c r="H948" i="1"/>
  <c r="I948" i="1"/>
  <c r="H949" i="1"/>
  <c r="I949" i="1"/>
  <c r="H950" i="1"/>
  <c r="I950" i="1"/>
  <c r="H951" i="1"/>
  <c r="I951" i="1"/>
  <c r="H952" i="1"/>
  <c r="I952" i="1"/>
  <c r="H953" i="1"/>
  <c r="I953" i="1"/>
  <c r="H954" i="1"/>
  <c r="I954" i="1"/>
  <c r="H955" i="1"/>
  <c r="I955" i="1"/>
  <c r="H956" i="1"/>
  <c r="I956" i="1"/>
  <c r="H957" i="1"/>
  <c r="I957" i="1"/>
  <c r="H958" i="1"/>
  <c r="I958" i="1"/>
  <c r="H959" i="1"/>
  <c r="I959" i="1"/>
  <c r="H960" i="1"/>
  <c r="I960" i="1"/>
  <c r="H961" i="1"/>
  <c r="I961" i="1"/>
  <c r="H962" i="1"/>
  <c r="I962" i="1"/>
  <c r="H963" i="1"/>
  <c r="I963" i="1"/>
  <c r="H964" i="1"/>
  <c r="I964" i="1"/>
  <c r="H965" i="1"/>
  <c r="I965" i="1"/>
  <c r="H966" i="1"/>
  <c r="I966" i="1"/>
  <c r="H967" i="1"/>
  <c r="I967" i="1"/>
  <c r="H968" i="1"/>
  <c r="I968" i="1"/>
  <c r="H969" i="1"/>
  <c r="I969" i="1"/>
  <c r="H970" i="1"/>
  <c r="I970" i="1"/>
  <c r="H971" i="1"/>
  <c r="I971" i="1"/>
  <c r="H972" i="1"/>
  <c r="I972" i="1"/>
  <c r="H973" i="1"/>
  <c r="I973" i="1"/>
  <c r="H974" i="1"/>
  <c r="I974" i="1"/>
  <c r="H975" i="1"/>
  <c r="I975" i="1"/>
  <c r="H976" i="1"/>
  <c r="I976" i="1"/>
  <c r="H977" i="1"/>
  <c r="I977" i="1"/>
  <c r="H978" i="1"/>
  <c r="I978" i="1"/>
  <c r="H979" i="1"/>
  <c r="I979" i="1"/>
  <c r="H980" i="1"/>
  <c r="I980" i="1"/>
  <c r="H981" i="1"/>
  <c r="I981" i="1"/>
  <c r="H982" i="1"/>
  <c r="I982" i="1"/>
  <c r="H983" i="1"/>
  <c r="I983" i="1"/>
  <c r="H984" i="1"/>
  <c r="I984" i="1"/>
  <c r="H985" i="1"/>
  <c r="I985" i="1"/>
  <c r="H986" i="1"/>
  <c r="I986" i="1"/>
  <c r="H987" i="1"/>
  <c r="I987" i="1"/>
  <c r="H988" i="1"/>
  <c r="I988" i="1"/>
  <c r="H989" i="1"/>
  <c r="I989" i="1"/>
  <c r="H990" i="1"/>
  <c r="I990" i="1"/>
  <c r="H991" i="1"/>
  <c r="I991" i="1"/>
  <c r="H992" i="1"/>
  <c r="I992" i="1"/>
  <c r="H993" i="1"/>
  <c r="I993" i="1"/>
  <c r="H994" i="1"/>
  <c r="I994" i="1"/>
  <c r="H995" i="1"/>
  <c r="I995" i="1"/>
  <c r="H996" i="1"/>
  <c r="I996" i="1"/>
  <c r="H997" i="1"/>
  <c r="I997" i="1"/>
  <c r="H998" i="1"/>
  <c r="I998" i="1"/>
  <c r="H999" i="1"/>
  <c r="I999" i="1"/>
  <c r="H1000" i="1"/>
  <c r="I1000" i="1"/>
  <c r="H1001" i="1"/>
  <c r="I1001" i="1"/>
  <c r="H1002" i="1"/>
  <c r="I1002" i="1"/>
  <c r="H1003" i="1"/>
  <c r="I1003" i="1"/>
  <c r="H1004" i="1"/>
  <c r="I1004" i="1"/>
  <c r="H1005" i="1"/>
  <c r="I1005" i="1"/>
  <c r="H1006" i="1"/>
  <c r="I1006" i="1"/>
  <c r="H1007" i="1"/>
  <c r="I1007" i="1"/>
  <c r="H1008" i="1"/>
  <c r="I1008" i="1"/>
  <c r="H1009" i="1"/>
  <c r="I1009" i="1"/>
  <c r="H1010" i="1"/>
  <c r="I1010" i="1"/>
  <c r="H1011" i="1"/>
  <c r="I1011" i="1"/>
  <c r="H1012" i="1"/>
  <c r="I1012" i="1"/>
  <c r="H1013" i="1"/>
  <c r="I1013" i="1"/>
  <c r="H1014" i="1"/>
  <c r="I1014" i="1"/>
  <c r="H1015" i="1"/>
  <c r="I1015" i="1"/>
  <c r="H1016" i="1"/>
  <c r="I1016" i="1"/>
  <c r="H1017" i="1"/>
  <c r="I1017" i="1"/>
  <c r="H1018" i="1"/>
  <c r="I1018" i="1"/>
  <c r="H1019" i="1"/>
  <c r="I1019" i="1"/>
  <c r="H1020" i="1"/>
  <c r="I1020" i="1"/>
  <c r="H1021" i="1"/>
  <c r="I1021" i="1"/>
  <c r="H1022" i="1"/>
  <c r="I1022" i="1"/>
  <c r="H1023" i="1"/>
  <c r="I1023" i="1"/>
  <c r="H1024" i="1"/>
  <c r="I1024" i="1"/>
  <c r="H1025" i="1"/>
  <c r="I1025" i="1"/>
  <c r="H1026" i="1"/>
  <c r="I1026" i="1"/>
  <c r="H1027" i="1"/>
  <c r="I1027" i="1"/>
  <c r="H1028" i="1"/>
  <c r="I1028" i="1"/>
  <c r="H1029" i="1"/>
  <c r="I1029" i="1"/>
  <c r="H1030" i="1"/>
  <c r="I1030" i="1"/>
  <c r="H1031" i="1"/>
  <c r="I1031" i="1"/>
  <c r="H1032" i="1"/>
  <c r="I1032" i="1"/>
  <c r="H1033" i="1"/>
  <c r="I1033" i="1"/>
  <c r="H1034" i="1"/>
  <c r="I1034" i="1"/>
  <c r="H1035" i="1"/>
  <c r="I1035" i="1"/>
  <c r="H1036" i="1"/>
  <c r="I1036" i="1"/>
  <c r="H1037" i="1"/>
  <c r="I1037" i="1"/>
  <c r="H1038" i="1"/>
  <c r="I1038" i="1"/>
  <c r="H1039" i="1"/>
  <c r="I1039" i="1"/>
  <c r="H1040" i="1"/>
  <c r="I1040" i="1"/>
  <c r="H1041" i="1"/>
  <c r="I1041" i="1"/>
  <c r="H1042" i="1"/>
  <c r="I1042" i="1"/>
  <c r="H1043" i="1"/>
  <c r="I1043" i="1"/>
  <c r="H1044" i="1"/>
  <c r="I1044" i="1"/>
  <c r="H1045" i="1"/>
  <c r="I1045" i="1"/>
  <c r="H1046" i="1"/>
  <c r="I1046" i="1"/>
  <c r="H1047" i="1"/>
  <c r="I1047" i="1"/>
  <c r="H1048" i="1"/>
  <c r="I1048" i="1"/>
  <c r="H1049" i="1"/>
  <c r="I1049" i="1"/>
  <c r="H1050" i="1"/>
  <c r="I1050" i="1"/>
  <c r="H1051" i="1"/>
  <c r="I1051" i="1"/>
  <c r="H1052" i="1"/>
  <c r="I1052" i="1"/>
  <c r="H1053" i="1"/>
  <c r="I1053" i="1"/>
  <c r="H1054" i="1"/>
  <c r="I1054" i="1"/>
  <c r="H1055" i="1"/>
  <c r="I1055" i="1"/>
  <c r="H1056" i="1"/>
  <c r="I1056" i="1"/>
  <c r="H1057" i="1"/>
  <c r="I1057" i="1"/>
  <c r="H1058" i="1"/>
  <c r="I1058" i="1"/>
  <c r="H1059" i="1"/>
  <c r="I1059" i="1"/>
  <c r="H1060" i="1"/>
  <c r="I1060" i="1"/>
  <c r="H1061" i="1"/>
  <c r="I1061" i="1"/>
  <c r="H1062" i="1"/>
  <c r="I1062" i="1"/>
  <c r="H1063" i="1"/>
  <c r="I1063" i="1"/>
  <c r="H1064" i="1"/>
  <c r="I1064" i="1"/>
  <c r="H1065" i="1"/>
  <c r="I1065" i="1"/>
  <c r="H1066" i="1"/>
  <c r="I1066" i="1"/>
  <c r="H1067" i="1"/>
  <c r="I1067" i="1"/>
  <c r="H1068" i="1"/>
  <c r="I1068" i="1"/>
  <c r="H1069" i="1"/>
  <c r="I1069" i="1"/>
  <c r="H1070" i="1"/>
  <c r="I1070" i="1"/>
  <c r="H1071" i="1"/>
  <c r="I1071" i="1"/>
  <c r="H1072" i="1"/>
  <c r="I1072" i="1"/>
  <c r="H1073" i="1"/>
  <c r="I1073" i="1"/>
  <c r="H1074" i="1"/>
  <c r="I1074" i="1"/>
  <c r="H1075" i="1"/>
  <c r="I1075" i="1"/>
  <c r="H1076" i="1"/>
  <c r="I1076" i="1"/>
  <c r="H1077" i="1"/>
  <c r="I1077" i="1"/>
  <c r="H1078" i="1"/>
  <c r="I1078" i="1"/>
  <c r="H1079" i="1"/>
  <c r="I1079" i="1"/>
  <c r="H1080" i="1"/>
  <c r="I1080" i="1"/>
  <c r="H1081" i="1"/>
  <c r="I1081" i="1"/>
  <c r="H1082" i="1"/>
  <c r="I1082" i="1"/>
  <c r="H1083" i="1"/>
  <c r="I1083" i="1"/>
  <c r="H1084" i="1"/>
  <c r="I1084" i="1"/>
  <c r="H1085" i="1"/>
  <c r="I1085" i="1"/>
  <c r="H1086" i="1"/>
  <c r="I1086" i="1"/>
  <c r="H1087" i="1"/>
  <c r="I1087" i="1"/>
  <c r="H1088" i="1"/>
  <c r="I1088" i="1"/>
  <c r="H1089" i="1"/>
  <c r="I1089" i="1"/>
  <c r="H1090" i="1"/>
  <c r="I1090" i="1"/>
  <c r="H1091" i="1"/>
  <c r="I1091" i="1"/>
  <c r="H1092" i="1"/>
  <c r="I1092" i="1"/>
  <c r="H1093" i="1"/>
  <c r="I1093" i="1"/>
  <c r="H1094" i="1"/>
  <c r="I1094" i="1"/>
  <c r="H1095" i="1"/>
  <c r="I1095" i="1"/>
  <c r="H1096" i="1"/>
  <c r="I1096" i="1"/>
  <c r="H1097" i="1"/>
  <c r="I1097" i="1"/>
  <c r="H1098" i="1"/>
  <c r="I1098" i="1"/>
  <c r="H1099" i="1"/>
  <c r="I1099" i="1"/>
  <c r="H1100" i="1"/>
  <c r="I1100" i="1"/>
  <c r="H1101" i="1"/>
  <c r="I1101" i="1"/>
  <c r="H1102" i="1"/>
  <c r="I1102" i="1"/>
  <c r="H1103" i="1"/>
  <c r="I1103" i="1"/>
  <c r="H1104" i="1"/>
  <c r="I1104" i="1"/>
  <c r="H1105" i="1"/>
  <c r="I1105" i="1"/>
  <c r="H1106" i="1"/>
  <c r="I1106" i="1"/>
  <c r="H1107" i="1"/>
  <c r="I1107" i="1"/>
  <c r="H1108" i="1"/>
  <c r="I1108" i="1"/>
  <c r="H1109" i="1"/>
  <c r="I1109" i="1"/>
  <c r="H1110" i="1"/>
  <c r="I1110" i="1"/>
  <c r="H1111" i="1"/>
  <c r="I1111" i="1"/>
  <c r="H1112" i="1"/>
  <c r="I1112" i="1"/>
  <c r="H1113" i="1"/>
  <c r="I1113" i="1"/>
  <c r="H1114" i="1"/>
  <c r="I1114" i="1"/>
  <c r="H1115" i="1"/>
  <c r="I1115" i="1"/>
  <c r="H1116" i="1"/>
  <c r="I1116" i="1"/>
  <c r="H1117" i="1"/>
  <c r="I1117" i="1"/>
  <c r="H1118" i="1"/>
  <c r="I1118" i="1"/>
  <c r="H1119" i="1"/>
  <c r="I1119" i="1"/>
  <c r="H1120" i="1"/>
  <c r="I1120" i="1"/>
  <c r="H1121" i="1"/>
  <c r="I1121" i="1"/>
  <c r="H1122" i="1"/>
  <c r="I1122" i="1"/>
  <c r="H1123" i="1"/>
  <c r="I1123" i="1"/>
  <c r="H1124" i="1"/>
  <c r="I1124" i="1"/>
  <c r="H1125" i="1"/>
  <c r="I1125" i="1"/>
  <c r="H1126" i="1"/>
  <c r="I1126" i="1"/>
  <c r="H1127" i="1"/>
  <c r="I1127" i="1"/>
  <c r="H1128" i="1"/>
  <c r="I1128" i="1"/>
  <c r="H1129" i="1"/>
  <c r="I1129" i="1"/>
  <c r="H1130" i="1"/>
  <c r="I1130" i="1"/>
  <c r="H1131" i="1"/>
  <c r="I1131" i="1"/>
  <c r="H1132" i="1"/>
  <c r="I1132" i="1"/>
  <c r="H1133" i="1"/>
  <c r="I1133" i="1"/>
  <c r="H1134" i="1"/>
  <c r="I1134" i="1"/>
  <c r="H1135" i="1"/>
  <c r="I1135" i="1"/>
  <c r="H1136" i="1"/>
  <c r="I1136" i="1"/>
  <c r="H1137" i="1"/>
  <c r="I1137" i="1"/>
  <c r="H1138" i="1"/>
  <c r="I1138" i="1"/>
  <c r="H1139" i="1"/>
  <c r="I1139" i="1"/>
  <c r="H1140" i="1"/>
  <c r="I1140" i="1"/>
  <c r="H1141" i="1"/>
  <c r="I1141" i="1"/>
  <c r="H1142" i="1"/>
  <c r="I1142" i="1"/>
  <c r="H1143" i="1"/>
  <c r="I1143" i="1"/>
  <c r="H1144" i="1"/>
  <c r="I1144" i="1"/>
  <c r="H1145" i="1"/>
  <c r="I1145" i="1"/>
  <c r="H1146" i="1"/>
  <c r="I1146" i="1"/>
  <c r="H1147" i="1"/>
  <c r="I1147" i="1"/>
  <c r="H1148" i="1"/>
  <c r="I1148" i="1"/>
  <c r="H1149" i="1"/>
  <c r="I1149" i="1"/>
  <c r="H1150" i="1"/>
  <c r="I1150" i="1"/>
  <c r="H1151" i="1"/>
  <c r="I1151" i="1"/>
  <c r="H1152" i="1"/>
  <c r="I1152" i="1"/>
  <c r="H1153" i="1"/>
  <c r="I1153" i="1"/>
  <c r="H1154" i="1"/>
  <c r="I1154" i="1"/>
  <c r="H1155" i="1"/>
  <c r="I1155" i="1"/>
  <c r="H1156" i="1"/>
  <c r="I1156" i="1"/>
  <c r="H1157" i="1"/>
  <c r="I1157" i="1"/>
  <c r="H1158" i="1"/>
  <c r="I1158" i="1"/>
  <c r="H1159" i="1"/>
  <c r="I1159" i="1"/>
  <c r="H1160" i="1"/>
  <c r="I1160" i="1"/>
  <c r="H1161" i="1"/>
  <c r="I1161" i="1"/>
  <c r="H1162" i="1"/>
  <c r="I1162" i="1"/>
  <c r="H1163" i="1"/>
  <c r="I1163" i="1"/>
  <c r="H1164" i="1"/>
  <c r="I1164" i="1"/>
  <c r="H1165" i="1"/>
  <c r="I1165" i="1"/>
  <c r="H1166" i="1"/>
  <c r="I1166" i="1"/>
  <c r="H1167" i="1"/>
  <c r="I1167" i="1"/>
  <c r="H1168" i="1"/>
  <c r="I1168" i="1"/>
  <c r="H1169" i="1"/>
  <c r="I1169" i="1"/>
  <c r="H1170" i="1"/>
  <c r="I1170" i="1"/>
  <c r="H1171" i="1"/>
  <c r="I1171" i="1"/>
  <c r="H1172" i="1"/>
  <c r="I1172" i="1"/>
  <c r="H1173" i="1"/>
  <c r="I1173" i="1"/>
  <c r="H1174" i="1"/>
  <c r="I1174" i="1"/>
  <c r="H1175" i="1"/>
  <c r="I1175" i="1"/>
  <c r="H1176" i="1"/>
  <c r="I1176" i="1"/>
  <c r="H1177" i="1"/>
  <c r="I1177" i="1"/>
  <c r="H1178" i="1"/>
  <c r="I1178" i="1"/>
  <c r="H1179" i="1"/>
  <c r="I1179" i="1"/>
  <c r="H1180" i="1"/>
  <c r="I1180" i="1"/>
  <c r="H1181" i="1"/>
  <c r="I1181" i="1"/>
  <c r="H1182" i="1"/>
  <c r="I1182" i="1"/>
  <c r="H1183" i="1"/>
  <c r="I1183" i="1"/>
  <c r="H1184" i="1"/>
  <c r="I1184" i="1"/>
  <c r="H1185" i="1"/>
  <c r="I1185" i="1"/>
  <c r="H1186" i="1"/>
  <c r="I1186" i="1"/>
  <c r="H1187" i="1"/>
  <c r="I1187" i="1"/>
  <c r="H1188" i="1"/>
  <c r="I1188" i="1"/>
  <c r="H1189" i="1"/>
  <c r="I1189" i="1"/>
  <c r="H1190" i="1"/>
  <c r="I1190" i="1"/>
  <c r="H1191" i="1"/>
  <c r="I1191" i="1"/>
  <c r="H1192" i="1"/>
  <c r="I1192" i="1"/>
  <c r="H1193" i="1"/>
  <c r="I1193" i="1"/>
  <c r="H1194" i="1"/>
  <c r="I1194" i="1"/>
  <c r="H1195" i="1"/>
  <c r="I1195" i="1"/>
  <c r="H1196" i="1"/>
  <c r="I1196" i="1"/>
  <c r="H1197" i="1"/>
  <c r="I1197" i="1"/>
  <c r="H1198" i="1"/>
  <c r="I1198" i="1"/>
  <c r="H1199" i="1"/>
  <c r="I1199" i="1"/>
  <c r="H1200" i="1"/>
  <c r="I1200" i="1"/>
  <c r="H1201" i="1"/>
  <c r="I1201" i="1"/>
  <c r="H1202" i="1"/>
  <c r="I1202" i="1"/>
  <c r="H1203" i="1"/>
  <c r="I1203" i="1"/>
  <c r="H1204" i="1"/>
  <c r="I1204" i="1"/>
  <c r="H1205" i="1"/>
  <c r="I1205" i="1"/>
  <c r="H1206" i="1"/>
  <c r="I1206" i="1"/>
  <c r="H1207" i="1"/>
  <c r="I1207" i="1"/>
  <c r="H1208" i="1"/>
  <c r="I1208" i="1"/>
  <c r="H1209" i="1"/>
  <c r="I1209" i="1"/>
  <c r="H1210" i="1"/>
  <c r="I1210" i="1"/>
  <c r="H1211" i="1"/>
  <c r="I1211" i="1"/>
  <c r="H1212" i="1"/>
  <c r="I1212" i="1"/>
  <c r="H1213" i="1"/>
  <c r="I1213" i="1"/>
  <c r="H1214" i="1"/>
  <c r="I1214" i="1"/>
  <c r="H1215" i="1"/>
  <c r="I1215" i="1"/>
  <c r="H1216" i="1"/>
  <c r="I1216" i="1"/>
  <c r="H1217" i="1"/>
  <c r="I1217" i="1"/>
  <c r="H1218" i="1"/>
  <c r="I1218" i="1"/>
  <c r="H1219" i="1"/>
  <c r="I1219" i="1"/>
  <c r="H1220" i="1"/>
  <c r="I1220" i="1"/>
  <c r="H1221" i="1"/>
  <c r="I1221" i="1"/>
  <c r="H1222" i="1"/>
  <c r="I1222" i="1"/>
  <c r="H1223" i="1"/>
  <c r="I1223" i="1"/>
  <c r="H1224" i="1"/>
  <c r="I1224" i="1"/>
  <c r="H1225" i="1"/>
  <c r="I1225" i="1"/>
  <c r="H1226" i="1"/>
  <c r="I1226" i="1"/>
  <c r="H1227" i="1"/>
  <c r="I1227" i="1"/>
  <c r="H1228" i="1"/>
  <c r="I1228" i="1"/>
  <c r="H1229" i="1"/>
  <c r="I1229" i="1"/>
  <c r="H1230" i="1"/>
  <c r="I1230" i="1"/>
  <c r="H1231" i="1"/>
  <c r="I1231" i="1"/>
  <c r="H1232" i="1"/>
  <c r="I1232" i="1"/>
  <c r="H1233" i="1"/>
  <c r="I1233" i="1"/>
  <c r="H1234" i="1"/>
  <c r="I1234" i="1"/>
  <c r="H1235" i="1"/>
  <c r="I1235" i="1"/>
  <c r="H1236" i="1"/>
  <c r="I1236" i="1"/>
  <c r="H1237" i="1"/>
  <c r="I1237" i="1"/>
  <c r="H1238" i="1"/>
  <c r="I1238" i="1"/>
  <c r="H1239" i="1"/>
  <c r="I1239" i="1"/>
  <c r="H1240" i="1"/>
  <c r="I1240" i="1"/>
  <c r="H1241" i="1"/>
  <c r="I1241" i="1"/>
  <c r="H1242" i="1"/>
  <c r="I1242" i="1"/>
  <c r="H1243" i="1"/>
  <c r="I1243" i="1"/>
  <c r="H1244" i="1"/>
  <c r="I1244" i="1"/>
  <c r="H1245" i="1"/>
  <c r="I1245" i="1"/>
  <c r="H1246" i="1"/>
  <c r="I1246" i="1"/>
  <c r="H1247" i="1"/>
  <c r="I1247" i="1"/>
  <c r="H1248" i="1"/>
  <c r="I1248" i="1"/>
  <c r="H1249" i="1"/>
  <c r="I1249" i="1"/>
  <c r="H1250" i="1"/>
  <c r="I1250" i="1"/>
  <c r="H1251" i="1"/>
  <c r="I1251" i="1"/>
  <c r="H1252" i="1"/>
  <c r="I1252" i="1"/>
  <c r="H1253" i="1"/>
  <c r="I1253" i="1"/>
  <c r="H1254" i="1"/>
  <c r="I1254" i="1"/>
  <c r="H1255" i="1"/>
  <c r="I1255" i="1"/>
  <c r="H1256" i="1"/>
  <c r="I1256" i="1"/>
  <c r="H1257" i="1"/>
  <c r="I1257" i="1"/>
  <c r="H1258" i="1"/>
  <c r="I1258" i="1"/>
  <c r="H1259" i="1"/>
  <c r="I1259" i="1"/>
  <c r="H1260" i="1"/>
  <c r="I1260" i="1"/>
  <c r="H1261" i="1"/>
  <c r="I1261" i="1"/>
  <c r="H1262" i="1"/>
  <c r="I1262" i="1"/>
  <c r="H1263" i="1"/>
  <c r="I1263" i="1"/>
  <c r="H1264" i="1"/>
  <c r="I1264" i="1"/>
  <c r="H1265" i="1"/>
  <c r="I1265" i="1"/>
  <c r="H1266" i="1"/>
  <c r="I1266" i="1"/>
  <c r="H1267" i="1"/>
  <c r="I1267" i="1"/>
  <c r="H1268" i="1"/>
  <c r="I1268" i="1"/>
  <c r="H1269" i="1"/>
  <c r="I1269" i="1"/>
  <c r="H1270" i="1"/>
  <c r="I1270" i="1"/>
  <c r="H1271" i="1"/>
  <c r="I1271" i="1"/>
  <c r="H1272" i="1"/>
  <c r="I1272" i="1"/>
  <c r="H1273" i="1"/>
  <c r="I1273" i="1"/>
  <c r="H1274" i="1"/>
  <c r="I1274" i="1"/>
  <c r="H1275" i="1"/>
  <c r="I1275" i="1"/>
  <c r="H1276" i="1"/>
  <c r="I1276" i="1"/>
  <c r="H1277" i="1"/>
  <c r="I1277" i="1"/>
  <c r="H1278" i="1"/>
  <c r="I1278" i="1"/>
  <c r="H1279" i="1"/>
  <c r="I1279" i="1"/>
  <c r="H1280" i="1"/>
  <c r="I1280" i="1"/>
  <c r="H1281" i="1"/>
  <c r="I1281" i="1"/>
  <c r="H1282" i="1"/>
  <c r="I1282" i="1"/>
  <c r="H1283" i="1"/>
  <c r="I1283" i="1"/>
  <c r="H1284" i="1"/>
  <c r="I1284" i="1"/>
  <c r="H1285" i="1"/>
  <c r="I1285" i="1"/>
  <c r="H1286" i="1"/>
  <c r="I1286" i="1"/>
  <c r="H1287" i="1"/>
  <c r="I1287" i="1"/>
  <c r="H1288" i="1"/>
  <c r="I1288" i="1"/>
  <c r="H1289" i="1"/>
  <c r="I1289" i="1"/>
  <c r="H1290" i="1"/>
  <c r="I1290" i="1"/>
  <c r="H1291" i="1"/>
  <c r="I1291" i="1"/>
  <c r="H1292" i="1"/>
  <c r="I1292" i="1"/>
  <c r="H1293" i="1"/>
  <c r="I1293" i="1"/>
  <c r="H1294" i="1"/>
  <c r="I1294" i="1"/>
  <c r="H1295" i="1"/>
  <c r="I1295" i="1"/>
  <c r="H1296" i="1"/>
  <c r="I1296" i="1"/>
  <c r="H1297" i="1"/>
  <c r="I1297" i="1"/>
  <c r="H1298" i="1"/>
  <c r="I1298" i="1"/>
  <c r="H1299" i="1"/>
  <c r="I1299" i="1"/>
  <c r="H1300" i="1"/>
  <c r="I1300" i="1"/>
  <c r="H1301" i="1"/>
  <c r="I1301" i="1"/>
  <c r="H1302" i="1"/>
  <c r="I1302" i="1"/>
  <c r="H1303" i="1"/>
  <c r="I1303" i="1"/>
  <c r="H1304" i="1"/>
  <c r="I1304" i="1"/>
  <c r="H1305" i="1"/>
  <c r="I1305" i="1"/>
  <c r="H1306" i="1"/>
  <c r="I1306" i="1"/>
  <c r="H1307" i="1"/>
  <c r="I1307" i="1"/>
  <c r="H1308" i="1"/>
  <c r="I1308" i="1"/>
  <c r="H1309" i="1"/>
  <c r="I1309" i="1"/>
  <c r="H1310" i="1"/>
  <c r="I1310" i="1"/>
  <c r="H1311" i="1"/>
  <c r="I1311" i="1"/>
  <c r="H1312" i="1"/>
  <c r="I1312" i="1"/>
  <c r="H1313" i="1"/>
  <c r="I1313" i="1"/>
  <c r="H1314" i="1"/>
  <c r="I1314" i="1"/>
  <c r="H1315" i="1"/>
  <c r="I1315" i="1"/>
  <c r="H1316" i="1"/>
  <c r="I1316" i="1"/>
  <c r="H1317" i="1"/>
  <c r="I1317" i="1"/>
  <c r="H1318" i="1"/>
  <c r="I1318" i="1"/>
  <c r="H1319" i="1"/>
  <c r="I1319" i="1"/>
  <c r="H1320" i="1"/>
  <c r="I1320" i="1"/>
  <c r="H1321" i="1"/>
  <c r="I1321" i="1"/>
  <c r="H1322" i="1"/>
  <c r="I1322" i="1"/>
  <c r="H1323" i="1"/>
  <c r="I1323" i="1"/>
  <c r="H1324" i="1"/>
  <c r="I1324" i="1"/>
  <c r="H1325" i="1"/>
  <c r="I1325" i="1"/>
  <c r="H1326" i="1"/>
  <c r="I1326" i="1"/>
  <c r="H1327" i="1"/>
  <c r="I1327" i="1"/>
  <c r="H1328" i="1"/>
  <c r="I1328" i="1"/>
  <c r="H1329" i="1"/>
  <c r="I1329" i="1"/>
  <c r="H1330" i="1"/>
  <c r="I1330" i="1"/>
  <c r="H1331" i="1"/>
  <c r="I1331" i="1"/>
  <c r="H1332" i="1"/>
  <c r="I1332" i="1"/>
  <c r="H1333" i="1"/>
  <c r="I1333" i="1"/>
  <c r="H1334" i="1"/>
  <c r="I1334" i="1"/>
  <c r="H1335" i="1"/>
  <c r="I1335" i="1"/>
  <c r="H1336" i="1"/>
  <c r="I1336" i="1"/>
  <c r="H1337" i="1"/>
  <c r="I1337" i="1"/>
  <c r="H1338" i="1"/>
  <c r="I1338" i="1"/>
  <c r="H1339" i="1"/>
  <c r="I1339" i="1"/>
  <c r="H1340" i="1"/>
  <c r="I1340" i="1"/>
  <c r="H1341" i="1"/>
  <c r="I1341" i="1"/>
  <c r="H1342" i="1"/>
  <c r="I1342" i="1"/>
  <c r="H1343" i="1"/>
  <c r="I1343" i="1"/>
  <c r="H1344" i="1"/>
  <c r="I1344" i="1"/>
  <c r="H1345" i="1"/>
  <c r="I1345" i="1"/>
  <c r="H1346" i="1"/>
  <c r="I1346" i="1"/>
  <c r="H1347" i="1"/>
  <c r="I1347" i="1"/>
  <c r="H1348" i="1"/>
  <c r="I1348" i="1"/>
  <c r="H1349" i="1"/>
  <c r="I1349" i="1"/>
  <c r="H1350" i="1"/>
  <c r="I1350" i="1"/>
  <c r="H1351" i="1"/>
  <c r="I1351" i="1"/>
  <c r="H1352" i="1"/>
  <c r="I1352" i="1"/>
  <c r="H1353" i="1"/>
  <c r="I1353" i="1"/>
  <c r="H1354" i="1"/>
  <c r="I1354" i="1"/>
  <c r="H1355" i="1"/>
  <c r="I1355" i="1"/>
  <c r="H1356" i="1"/>
  <c r="I1356" i="1"/>
  <c r="H1357" i="1"/>
  <c r="I1357" i="1"/>
  <c r="H1358" i="1"/>
  <c r="I1358" i="1"/>
  <c r="H1359" i="1"/>
  <c r="I1359" i="1"/>
  <c r="H1360" i="1"/>
  <c r="I1360" i="1"/>
  <c r="H1361" i="1"/>
  <c r="I1361" i="1"/>
  <c r="H1362" i="1"/>
  <c r="I1362" i="1"/>
  <c r="H1363" i="1"/>
  <c r="I1363" i="1"/>
  <c r="H1364" i="1"/>
  <c r="I1364" i="1"/>
  <c r="H1365" i="1"/>
  <c r="I1365" i="1"/>
  <c r="H1366" i="1"/>
  <c r="I1366" i="1"/>
  <c r="H1367" i="1"/>
  <c r="I1367" i="1"/>
  <c r="H1368" i="1"/>
  <c r="I1368" i="1"/>
  <c r="H1369" i="1"/>
  <c r="I1369" i="1"/>
  <c r="H1370" i="1"/>
  <c r="I1370" i="1"/>
  <c r="H1371" i="1"/>
  <c r="I1371" i="1"/>
  <c r="H1372" i="1"/>
  <c r="I1372" i="1"/>
  <c r="H1373" i="1"/>
  <c r="I1373" i="1"/>
  <c r="H1374" i="1"/>
  <c r="I1374" i="1"/>
  <c r="H1375" i="1"/>
  <c r="I1375" i="1"/>
  <c r="H1376" i="1"/>
  <c r="I1376" i="1"/>
  <c r="H1377" i="1"/>
  <c r="I1377" i="1"/>
  <c r="H1378" i="1"/>
  <c r="I1378" i="1"/>
  <c r="H1379" i="1"/>
  <c r="I1379" i="1"/>
  <c r="H1380" i="1"/>
  <c r="I1380" i="1"/>
  <c r="H1381" i="1"/>
  <c r="I1381" i="1"/>
  <c r="H1382" i="1"/>
  <c r="I1382" i="1"/>
  <c r="H1383" i="1"/>
  <c r="I1383" i="1"/>
  <c r="H1384" i="1"/>
  <c r="I1384" i="1"/>
  <c r="H1385" i="1"/>
  <c r="I1385" i="1"/>
  <c r="H1386" i="1"/>
  <c r="I1386" i="1"/>
  <c r="H1387" i="1"/>
  <c r="I1387" i="1"/>
  <c r="H1388" i="1"/>
  <c r="I1388" i="1"/>
  <c r="H1389" i="1"/>
  <c r="I1389" i="1"/>
  <c r="H1390" i="1"/>
  <c r="I1390" i="1"/>
  <c r="H1391" i="1"/>
  <c r="I1391" i="1"/>
  <c r="H1392" i="1"/>
  <c r="I1392" i="1"/>
  <c r="H1393" i="1"/>
  <c r="I1393" i="1"/>
  <c r="H1394" i="1"/>
  <c r="I1394" i="1"/>
  <c r="H1395" i="1"/>
  <c r="I1395" i="1"/>
  <c r="H1396" i="1"/>
  <c r="I1396" i="1"/>
  <c r="H1397" i="1"/>
  <c r="I1397" i="1"/>
  <c r="H1398" i="1"/>
  <c r="I1398" i="1"/>
  <c r="H1399" i="1"/>
  <c r="I1399" i="1"/>
  <c r="H1400" i="1"/>
  <c r="I1400" i="1"/>
  <c r="H1401" i="1"/>
  <c r="I1401" i="1"/>
  <c r="H1402" i="1"/>
  <c r="I1402" i="1"/>
  <c r="H1403" i="1"/>
  <c r="I1403" i="1"/>
  <c r="H1404" i="1"/>
  <c r="I1404" i="1"/>
  <c r="H1405" i="1"/>
  <c r="I1405" i="1"/>
  <c r="H1406" i="1"/>
  <c r="I1406" i="1"/>
  <c r="H1407" i="1"/>
  <c r="I1407" i="1"/>
  <c r="H1408" i="1"/>
  <c r="I1408" i="1"/>
  <c r="H1409" i="1"/>
  <c r="I1409" i="1"/>
  <c r="H1410" i="1"/>
  <c r="I1410" i="1"/>
  <c r="H1411" i="1"/>
  <c r="I1411" i="1"/>
  <c r="H1412" i="1"/>
  <c r="I1412" i="1"/>
  <c r="H1413" i="1"/>
  <c r="I1413" i="1"/>
  <c r="H1414" i="1"/>
  <c r="I1414" i="1"/>
  <c r="H1415" i="1"/>
  <c r="I1415" i="1"/>
  <c r="H1416" i="1"/>
  <c r="I1416" i="1"/>
  <c r="H1417" i="1"/>
  <c r="I1417" i="1"/>
  <c r="H1418" i="1"/>
  <c r="I1418" i="1"/>
  <c r="H1419" i="1"/>
  <c r="I1419" i="1"/>
  <c r="H1420" i="1"/>
  <c r="I1420" i="1"/>
  <c r="H1421" i="1"/>
  <c r="I1421" i="1"/>
  <c r="H1422" i="1"/>
  <c r="I1422" i="1"/>
  <c r="H1423" i="1"/>
  <c r="I1423" i="1"/>
  <c r="H1424" i="1"/>
  <c r="I1424" i="1"/>
  <c r="H1425" i="1"/>
  <c r="I1425" i="1"/>
  <c r="H1426" i="1"/>
  <c r="I1426" i="1"/>
  <c r="H1427" i="1"/>
  <c r="I1427" i="1"/>
  <c r="H1428" i="1"/>
  <c r="I1428" i="1"/>
  <c r="H1429" i="1"/>
  <c r="I1429" i="1"/>
  <c r="H1430" i="1"/>
  <c r="I1430" i="1"/>
  <c r="H1431" i="1"/>
  <c r="I1431" i="1"/>
  <c r="H1432" i="1"/>
  <c r="I1432" i="1"/>
  <c r="H1433" i="1"/>
  <c r="I1433" i="1"/>
  <c r="H1434" i="1"/>
  <c r="I1434" i="1"/>
  <c r="H1435" i="1"/>
  <c r="I1435" i="1"/>
  <c r="H1436" i="1"/>
  <c r="I1436" i="1"/>
  <c r="H1437" i="1"/>
  <c r="I1437" i="1"/>
  <c r="H1438" i="1"/>
  <c r="I1438" i="1"/>
  <c r="H1439" i="1"/>
  <c r="I1439" i="1"/>
  <c r="H1440" i="1"/>
  <c r="I1440" i="1"/>
  <c r="H1441" i="1"/>
  <c r="I1441" i="1"/>
  <c r="H1442" i="1"/>
  <c r="I1442" i="1"/>
  <c r="H1443" i="1"/>
  <c r="I1443" i="1"/>
  <c r="H1444" i="1"/>
  <c r="I1444" i="1"/>
  <c r="H1445" i="1"/>
  <c r="I1445" i="1"/>
  <c r="H1446" i="1"/>
  <c r="I1446" i="1"/>
  <c r="H1447" i="1"/>
  <c r="I1447" i="1"/>
  <c r="H1448" i="1"/>
  <c r="I1448" i="1"/>
  <c r="H1449" i="1"/>
  <c r="I1449" i="1"/>
  <c r="H1450" i="1"/>
  <c r="I1450" i="1"/>
  <c r="H1451" i="1"/>
  <c r="I1451" i="1"/>
  <c r="H1452" i="1"/>
  <c r="I1452" i="1"/>
  <c r="H1453" i="1"/>
  <c r="I1453" i="1"/>
  <c r="H1454" i="1"/>
  <c r="I1454" i="1"/>
  <c r="H1455" i="1"/>
  <c r="I1455" i="1"/>
  <c r="H1456" i="1"/>
  <c r="I1456" i="1"/>
  <c r="H1457" i="1"/>
  <c r="I1457" i="1"/>
  <c r="H1458" i="1"/>
  <c r="I1458" i="1"/>
  <c r="H1459" i="1"/>
  <c r="I1459" i="1"/>
  <c r="H1460" i="1"/>
  <c r="I1460" i="1"/>
  <c r="H1461" i="1"/>
  <c r="I1461" i="1"/>
  <c r="H1462" i="1"/>
  <c r="I1462" i="1"/>
  <c r="H1463" i="1"/>
  <c r="I1463" i="1"/>
  <c r="H1464" i="1"/>
  <c r="I1464" i="1"/>
  <c r="H1465" i="1"/>
  <c r="I1465" i="1"/>
  <c r="H1466" i="1"/>
  <c r="I1466" i="1"/>
  <c r="H1467" i="1"/>
  <c r="I1467" i="1"/>
  <c r="H1468" i="1"/>
  <c r="I1468" i="1"/>
  <c r="H1469" i="1"/>
  <c r="I1469" i="1"/>
  <c r="H1470" i="1"/>
  <c r="I1470" i="1"/>
  <c r="H1471" i="1"/>
  <c r="I1471" i="1"/>
  <c r="H1472" i="1"/>
  <c r="I1472" i="1"/>
  <c r="H1473" i="1"/>
  <c r="I1473" i="1"/>
  <c r="H1474" i="1"/>
  <c r="I1474" i="1"/>
  <c r="H1475" i="1"/>
  <c r="I1475" i="1"/>
  <c r="H1476" i="1"/>
  <c r="I1476" i="1"/>
  <c r="H1477" i="1"/>
  <c r="I1477" i="1"/>
  <c r="H1478" i="1"/>
  <c r="I1478" i="1"/>
  <c r="H1479" i="1"/>
  <c r="I1479" i="1"/>
  <c r="H1480" i="1"/>
  <c r="I1480" i="1"/>
  <c r="H1481" i="1"/>
  <c r="I1481" i="1"/>
  <c r="H1482" i="1"/>
  <c r="I1482" i="1"/>
  <c r="H1483" i="1"/>
  <c r="I1483" i="1"/>
  <c r="H1484" i="1"/>
  <c r="I1484" i="1"/>
  <c r="H1485" i="1"/>
  <c r="I1485" i="1"/>
  <c r="H1486" i="1"/>
  <c r="I1486" i="1"/>
  <c r="H1487" i="1"/>
  <c r="I1487" i="1"/>
  <c r="H1488" i="1"/>
  <c r="I1488" i="1"/>
  <c r="H1489" i="1"/>
  <c r="I1489" i="1"/>
  <c r="H1490" i="1"/>
  <c r="I1490" i="1"/>
  <c r="H1491" i="1"/>
  <c r="I1491" i="1"/>
  <c r="H1492" i="1"/>
  <c r="I1492" i="1"/>
  <c r="H1493" i="1"/>
  <c r="I1493" i="1"/>
  <c r="H1494" i="1"/>
  <c r="I1494" i="1"/>
  <c r="H1495" i="1"/>
  <c r="I1495" i="1"/>
  <c r="H1496" i="1"/>
  <c r="I1496" i="1"/>
  <c r="H1497" i="1"/>
  <c r="I1497" i="1"/>
  <c r="H1498" i="1"/>
  <c r="I1498" i="1"/>
  <c r="H1499" i="1"/>
  <c r="I1499" i="1"/>
  <c r="H1500" i="1"/>
  <c r="I1500" i="1"/>
  <c r="H1501" i="1"/>
  <c r="I1501" i="1"/>
  <c r="H1502" i="1"/>
  <c r="I1502" i="1"/>
  <c r="H1503" i="1"/>
  <c r="I1503" i="1"/>
  <c r="H1504" i="1"/>
  <c r="I1504" i="1"/>
  <c r="H1505" i="1"/>
  <c r="I1505" i="1"/>
  <c r="H1506" i="1"/>
  <c r="I1506" i="1"/>
  <c r="H1507" i="1"/>
  <c r="I1507" i="1"/>
  <c r="H1508" i="1"/>
  <c r="I1508" i="1"/>
  <c r="H1509" i="1"/>
  <c r="I1509" i="1"/>
  <c r="H1510" i="1"/>
  <c r="I1510" i="1"/>
  <c r="H1511" i="1"/>
  <c r="I1511" i="1"/>
  <c r="H1512" i="1"/>
  <c r="I1512" i="1"/>
  <c r="H1513" i="1"/>
  <c r="I1513" i="1"/>
  <c r="H1514" i="1"/>
  <c r="I1514" i="1"/>
  <c r="H1515" i="1"/>
  <c r="I1515" i="1"/>
  <c r="H1516" i="1"/>
  <c r="I1516" i="1"/>
  <c r="H1517" i="1"/>
  <c r="I1517" i="1"/>
  <c r="H1518" i="1"/>
  <c r="I1518" i="1"/>
  <c r="H1519" i="1"/>
  <c r="I1519" i="1"/>
  <c r="H1520" i="1"/>
  <c r="I1520" i="1"/>
  <c r="H1521" i="1"/>
  <c r="I1521" i="1"/>
  <c r="H1522" i="1"/>
  <c r="I1522" i="1"/>
  <c r="H1523" i="1"/>
  <c r="I1523" i="1"/>
  <c r="H1524" i="1"/>
  <c r="I1524" i="1"/>
  <c r="H1525" i="1"/>
  <c r="I1525" i="1"/>
  <c r="H1526" i="1"/>
  <c r="I1526" i="1"/>
  <c r="H1527" i="1"/>
  <c r="I1527" i="1"/>
  <c r="H1528" i="1"/>
  <c r="I1528" i="1"/>
  <c r="H1529" i="1"/>
  <c r="I1529" i="1"/>
  <c r="H1530" i="1"/>
  <c r="I1530" i="1"/>
  <c r="H1531" i="1"/>
  <c r="I1531" i="1"/>
  <c r="H1532" i="1"/>
  <c r="I1532" i="1"/>
  <c r="H1533" i="1"/>
  <c r="I1533" i="1"/>
  <c r="H1534" i="1"/>
  <c r="I1534" i="1"/>
  <c r="H1535" i="1"/>
  <c r="I1535" i="1"/>
  <c r="H1536" i="1"/>
  <c r="I1536" i="1"/>
  <c r="H1537" i="1"/>
  <c r="I1537" i="1"/>
  <c r="H1538" i="1"/>
  <c r="I1538" i="1"/>
  <c r="H1539" i="1"/>
  <c r="I1539" i="1"/>
  <c r="H1540" i="1"/>
  <c r="I1540" i="1"/>
  <c r="H1541" i="1"/>
  <c r="I1541" i="1"/>
  <c r="H1542" i="1"/>
  <c r="I1542" i="1"/>
  <c r="H1543" i="1"/>
  <c r="I1543" i="1"/>
  <c r="H1544" i="1"/>
  <c r="I1544" i="1"/>
  <c r="H1545" i="1"/>
  <c r="I1545" i="1"/>
  <c r="H1546" i="1"/>
  <c r="I1546" i="1"/>
  <c r="H1547" i="1"/>
  <c r="I1547" i="1"/>
  <c r="H1548" i="1"/>
  <c r="I1548" i="1"/>
  <c r="H1549" i="1"/>
  <c r="I1549" i="1"/>
  <c r="H1550" i="1"/>
  <c r="I1550" i="1"/>
  <c r="H1551" i="1"/>
  <c r="I1551" i="1"/>
  <c r="H1552" i="1"/>
  <c r="I1552" i="1"/>
  <c r="H1553" i="1"/>
  <c r="I1553" i="1"/>
  <c r="H1554" i="1"/>
  <c r="I1554" i="1"/>
  <c r="H1555" i="1"/>
  <c r="I1555" i="1"/>
  <c r="H1556" i="1"/>
  <c r="I1556" i="1"/>
  <c r="H1557" i="1"/>
  <c r="I1557" i="1"/>
  <c r="H1558" i="1"/>
  <c r="I1558" i="1"/>
  <c r="H1559" i="1"/>
  <c r="I1559" i="1"/>
  <c r="H1560" i="1"/>
  <c r="I1560" i="1"/>
  <c r="H1561" i="1"/>
  <c r="I1561" i="1"/>
  <c r="H1562" i="1"/>
  <c r="I1562" i="1"/>
  <c r="H1563" i="1"/>
  <c r="I1563" i="1"/>
  <c r="H1564" i="1"/>
  <c r="I1564" i="1"/>
  <c r="H1565" i="1"/>
  <c r="I1565" i="1"/>
  <c r="H1566" i="1"/>
  <c r="I1566" i="1"/>
  <c r="H1567" i="1"/>
  <c r="I1567" i="1"/>
  <c r="H1568" i="1"/>
  <c r="I1568" i="1"/>
  <c r="H1569" i="1"/>
  <c r="I1569" i="1"/>
  <c r="H1570" i="1"/>
  <c r="I1570" i="1"/>
  <c r="H1571" i="1"/>
  <c r="I1571" i="1"/>
  <c r="H1572" i="1"/>
  <c r="I1572" i="1"/>
  <c r="H1573" i="1"/>
  <c r="I1573" i="1"/>
  <c r="H1574" i="1"/>
  <c r="I1574" i="1"/>
  <c r="H1575" i="1"/>
  <c r="I1575" i="1"/>
  <c r="H1576" i="1"/>
  <c r="I1576" i="1"/>
  <c r="H1577" i="1"/>
  <c r="I1577" i="1"/>
  <c r="H1578" i="1"/>
  <c r="I1578" i="1"/>
  <c r="H1579" i="1"/>
  <c r="I1579" i="1"/>
  <c r="H1580" i="1"/>
  <c r="I1580" i="1"/>
  <c r="H1581" i="1"/>
  <c r="I1581" i="1"/>
  <c r="H1582" i="1"/>
  <c r="I1582" i="1"/>
  <c r="H1583" i="1"/>
  <c r="I1583" i="1"/>
  <c r="H1584" i="1"/>
  <c r="I1584" i="1"/>
  <c r="H1585" i="1"/>
  <c r="I1585" i="1"/>
  <c r="H1586" i="1"/>
  <c r="I1586" i="1"/>
  <c r="H1587" i="1"/>
  <c r="I1587" i="1"/>
  <c r="H1588" i="1"/>
  <c r="I1588" i="1"/>
  <c r="H1589" i="1"/>
  <c r="I1589" i="1"/>
  <c r="H1590" i="1"/>
  <c r="I1590" i="1"/>
  <c r="H1591" i="1"/>
  <c r="I1591" i="1"/>
  <c r="H1592" i="1"/>
  <c r="I1592" i="1"/>
  <c r="H1593" i="1"/>
  <c r="I1593" i="1"/>
  <c r="H1594" i="1"/>
  <c r="I1594" i="1"/>
  <c r="H1595" i="1"/>
  <c r="I1595" i="1"/>
  <c r="H1596" i="1"/>
  <c r="I1596" i="1"/>
  <c r="H1597" i="1"/>
  <c r="I1597" i="1"/>
  <c r="H1598" i="1"/>
  <c r="I1598" i="1"/>
  <c r="H1599" i="1"/>
  <c r="I1599" i="1"/>
  <c r="H1600" i="1"/>
  <c r="I1600" i="1"/>
  <c r="H1601" i="1"/>
  <c r="I1601" i="1"/>
  <c r="H1602" i="1"/>
  <c r="I1602" i="1"/>
  <c r="H1603" i="1"/>
  <c r="I1603" i="1"/>
  <c r="H1604" i="1"/>
  <c r="I1604" i="1"/>
  <c r="H1605" i="1"/>
  <c r="I1605" i="1"/>
  <c r="H1606" i="1"/>
  <c r="I1606" i="1"/>
  <c r="H1607" i="1"/>
  <c r="I1607" i="1"/>
  <c r="H1608" i="1"/>
  <c r="I1608" i="1"/>
  <c r="H1609" i="1"/>
  <c r="I1609" i="1"/>
  <c r="H1610" i="1"/>
  <c r="I1610" i="1"/>
  <c r="H1611" i="1"/>
  <c r="I1611" i="1"/>
  <c r="H1612" i="1"/>
  <c r="I1612" i="1"/>
  <c r="H1613" i="1"/>
  <c r="I1613" i="1"/>
  <c r="H1614" i="1"/>
  <c r="I1614" i="1"/>
  <c r="H1615" i="1"/>
  <c r="I1615" i="1"/>
  <c r="H1616" i="1"/>
  <c r="I1616" i="1"/>
  <c r="H1617" i="1"/>
  <c r="I1617" i="1"/>
  <c r="H1618" i="1"/>
  <c r="I1618" i="1"/>
  <c r="H1619" i="1"/>
  <c r="I1619" i="1"/>
  <c r="H1620" i="1"/>
  <c r="I1620" i="1"/>
  <c r="H1621" i="1"/>
  <c r="I1621" i="1"/>
  <c r="H1622" i="1"/>
  <c r="I1622" i="1"/>
  <c r="H1623" i="1"/>
  <c r="I1623" i="1"/>
  <c r="H1624" i="1"/>
  <c r="I1624" i="1"/>
  <c r="H1625" i="1"/>
  <c r="I1625" i="1"/>
  <c r="H1626" i="1"/>
  <c r="I1626" i="1"/>
  <c r="H1627" i="1"/>
  <c r="I1627" i="1"/>
  <c r="H1628" i="1"/>
  <c r="I1628" i="1"/>
  <c r="H1629" i="1"/>
  <c r="I1629" i="1"/>
  <c r="H1630" i="1"/>
  <c r="I1630" i="1"/>
  <c r="H1631" i="1"/>
  <c r="I1631" i="1"/>
  <c r="H1632" i="1"/>
  <c r="I1632" i="1"/>
  <c r="H1633" i="1"/>
  <c r="I1633" i="1"/>
  <c r="H1634" i="1"/>
  <c r="I1634" i="1"/>
  <c r="H1635" i="1"/>
  <c r="I1635" i="1"/>
  <c r="H1636" i="1"/>
  <c r="I1636" i="1"/>
  <c r="H1637" i="1"/>
  <c r="I1637" i="1"/>
  <c r="H1638" i="1"/>
  <c r="I1638" i="1"/>
  <c r="H1639" i="1"/>
  <c r="I1639" i="1"/>
  <c r="H1640" i="1"/>
  <c r="I1640" i="1"/>
  <c r="H1641" i="1"/>
  <c r="I1641" i="1"/>
  <c r="H1642" i="1"/>
  <c r="I1642" i="1"/>
  <c r="H1643" i="1"/>
  <c r="I1643" i="1"/>
  <c r="H1644" i="1"/>
  <c r="I1644" i="1"/>
  <c r="H1645" i="1"/>
  <c r="I1645" i="1"/>
  <c r="H1646" i="1"/>
  <c r="I1646" i="1"/>
  <c r="H1647" i="1"/>
  <c r="I1647" i="1"/>
  <c r="H1648" i="1"/>
  <c r="I1648" i="1"/>
  <c r="H1649" i="1"/>
  <c r="I1649" i="1"/>
  <c r="H1650" i="1"/>
  <c r="I1650" i="1"/>
  <c r="H1651" i="1"/>
  <c r="I1651" i="1"/>
  <c r="H1652" i="1"/>
  <c r="I1652" i="1"/>
  <c r="H1653" i="1"/>
  <c r="I1653" i="1"/>
  <c r="H1654" i="1"/>
  <c r="I1654" i="1"/>
  <c r="H1655" i="1"/>
  <c r="I1655" i="1"/>
  <c r="H1656" i="1"/>
  <c r="I1656" i="1"/>
  <c r="H1657" i="1"/>
  <c r="I1657" i="1"/>
  <c r="H1658" i="1"/>
  <c r="I1658" i="1"/>
  <c r="H1659" i="1"/>
  <c r="I1659" i="1"/>
  <c r="H1660" i="1"/>
  <c r="I1660" i="1"/>
  <c r="H1661" i="1"/>
  <c r="I1661" i="1"/>
  <c r="H1662" i="1"/>
  <c r="I1662" i="1"/>
  <c r="H1663" i="1"/>
  <c r="I1663" i="1"/>
  <c r="H1664" i="1"/>
  <c r="I1664" i="1"/>
  <c r="H1665" i="1"/>
  <c r="I1665" i="1"/>
  <c r="H1666" i="1"/>
  <c r="I1666" i="1"/>
  <c r="H1667" i="1"/>
  <c r="I1667" i="1"/>
  <c r="H1668" i="1"/>
  <c r="I1668" i="1"/>
  <c r="H1669" i="1"/>
  <c r="I1669" i="1"/>
  <c r="H1670" i="1"/>
  <c r="I1670" i="1"/>
  <c r="H1671" i="1"/>
  <c r="I1671" i="1"/>
  <c r="H1672" i="1"/>
  <c r="I1672" i="1"/>
  <c r="H1673" i="1"/>
  <c r="I1673" i="1"/>
  <c r="H1674" i="1"/>
  <c r="I1674" i="1"/>
  <c r="H1675" i="1"/>
  <c r="I1675" i="1"/>
  <c r="H1676" i="1"/>
  <c r="I1676" i="1"/>
  <c r="H1677" i="1"/>
  <c r="I1677" i="1"/>
  <c r="H1678" i="1"/>
  <c r="I1678" i="1"/>
  <c r="H1679" i="1"/>
  <c r="I1679" i="1"/>
  <c r="H1680" i="1"/>
  <c r="I1680" i="1"/>
  <c r="H1681" i="1"/>
  <c r="I1681" i="1"/>
  <c r="H1682" i="1"/>
  <c r="I1682" i="1"/>
  <c r="H1683" i="1"/>
  <c r="I1683" i="1"/>
  <c r="H1684" i="1"/>
  <c r="I1684" i="1"/>
  <c r="H1685" i="1"/>
  <c r="I1685" i="1"/>
  <c r="H1686" i="1"/>
  <c r="I1686" i="1"/>
  <c r="H1687" i="1"/>
  <c r="I1687" i="1"/>
  <c r="H1688" i="1"/>
  <c r="I1688" i="1"/>
  <c r="H1689" i="1"/>
  <c r="I1689" i="1"/>
  <c r="H1690" i="1"/>
  <c r="I1690" i="1"/>
  <c r="H1691" i="1"/>
  <c r="I1691" i="1"/>
  <c r="H1692" i="1"/>
  <c r="I1692" i="1"/>
  <c r="H1693" i="1"/>
  <c r="I1693" i="1"/>
  <c r="H1694" i="1"/>
  <c r="I1694" i="1"/>
  <c r="H1695" i="1"/>
  <c r="I1695" i="1"/>
  <c r="H1696" i="1"/>
  <c r="I1696" i="1"/>
  <c r="H1697" i="1"/>
  <c r="I1697" i="1"/>
  <c r="H1698" i="1"/>
  <c r="I1698" i="1"/>
  <c r="H1699" i="1"/>
  <c r="I1699" i="1"/>
  <c r="H1700" i="1"/>
  <c r="I1700" i="1"/>
  <c r="H1701" i="1"/>
  <c r="I1701" i="1"/>
  <c r="H1702" i="1"/>
  <c r="I1702" i="1"/>
  <c r="H1703" i="1"/>
  <c r="I1703" i="1"/>
  <c r="H1704" i="1"/>
  <c r="I1704" i="1"/>
  <c r="H1705" i="1"/>
  <c r="I1705" i="1"/>
  <c r="H1706" i="1"/>
  <c r="I1706" i="1"/>
  <c r="H1707" i="1"/>
  <c r="I1707" i="1"/>
  <c r="H1708" i="1"/>
  <c r="I1708" i="1"/>
  <c r="H1709" i="1"/>
  <c r="I1709" i="1"/>
  <c r="H1710" i="1"/>
  <c r="I1710" i="1"/>
  <c r="H1711" i="1"/>
  <c r="I1711" i="1"/>
  <c r="H1712" i="1"/>
  <c r="I1712" i="1"/>
  <c r="H1713" i="1"/>
  <c r="I1713" i="1"/>
  <c r="H1714" i="1"/>
  <c r="I1714" i="1"/>
  <c r="H1715" i="1"/>
  <c r="I1715" i="1"/>
  <c r="H1716" i="1"/>
  <c r="I1716" i="1"/>
  <c r="H1717" i="1"/>
  <c r="I1717" i="1"/>
  <c r="H1718" i="1"/>
  <c r="I1718" i="1"/>
  <c r="H1719" i="1"/>
  <c r="I1719" i="1"/>
  <c r="H1720" i="1"/>
  <c r="I1720" i="1"/>
  <c r="H1721" i="1"/>
  <c r="I1721" i="1"/>
  <c r="H1722" i="1"/>
  <c r="I1722" i="1"/>
  <c r="H1723" i="1"/>
  <c r="I1723" i="1"/>
  <c r="H1724" i="1"/>
  <c r="I1724" i="1"/>
  <c r="H1725" i="1"/>
  <c r="I1725" i="1"/>
  <c r="H1726" i="1"/>
  <c r="I1726" i="1"/>
  <c r="H1727" i="1"/>
  <c r="I1727" i="1"/>
  <c r="H1728" i="1"/>
  <c r="I1728" i="1"/>
  <c r="H1729" i="1"/>
  <c r="I1729" i="1"/>
  <c r="H1730" i="1"/>
  <c r="I1730" i="1"/>
  <c r="H1731" i="1"/>
  <c r="I1731" i="1"/>
  <c r="H1732" i="1"/>
  <c r="I1732" i="1"/>
  <c r="H1733" i="1"/>
  <c r="I1733" i="1"/>
  <c r="H1734" i="1"/>
  <c r="I1734" i="1"/>
  <c r="H1735" i="1"/>
  <c r="I1735" i="1"/>
  <c r="H1736" i="1"/>
  <c r="I1736" i="1"/>
  <c r="H1737" i="1"/>
  <c r="I1737" i="1"/>
  <c r="H1738" i="1"/>
  <c r="I1738" i="1"/>
  <c r="H1739" i="1"/>
  <c r="I1739" i="1"/>
  <c r="H1740" i="1"/>
  <c r="I1740" i="1"/>
  <c r="H1741" i="1"/>
  <c r="I1741" i="1"/>
  <c r="H1742" i="1"/>
  <c r="I1742" i="1"/>
  <c r="H1743" i="1"/>
  <c r="I1743" i="1"/>
  <c r="H1744" i="1"/>
  <c r="I1744" i="1"/>
  <c r="H1745" i="1"/>
  <c r="I1745" i="1"/>
  <c r="H1746" i="1"/>
  <c r="I1746" i="1"/>
  <c r="H1747" i="1"/>
  <c r="I1747" i="1"/>
  <c r="H1748" i="1"/>
  <c r="I1748" i="1"/>
  <c r="H1749" i="1"/>
  <c r="I1749" i="1"/>
  <c r="H1750" i="1"/>
  <c r="I1750" i="1"/>
  <c r="H1751" i="1"/>
  <c r="I1751" i="1"/>
  <c r="H1752" i="1"/>
  <c r="I1752" i="1"/>
  <c r="H1753" i="1"/>
  <c r="I1753" i="1"/>
  <c r="H1754" i="1"/>
  <c r="I1754" i="1"/>
  <c r="H1755" i="1"/>
  <c r="I1755" i="1"/>
  <c r="H1756" i="1"/>
  <c r="I1756" i="1"/>
  <c r="H1757" i="1"/>
  <c r="I1757" i="1"/>
  <c r="H1758" i="1"/>
  <c r="I1758" i="1"/>
  <c r="H1759" i="1"/>
  <c r="I1759" i="1"/>
  <c r="H1760" i="1"/>
  <c r="I1760" i="1"/>
  <c r="H1761" i="1"/>
  <c r="I1761" i="1"/>
  <c r="H1762" i="1"/>
  <c r="I1762" i="1"/>
  <c r="H1763" i="1"/>
  <c r="I1763" i="1"/>
  <c r="H1764" i="1"/>
  <c r="I1764" i="1"/>
  <c r="H1765" i="1"/>
  <c r="I1765" i="1"/>
  <c r="H1766" i="1"/>
  <c r="I1766" i="1"/>
  <c r="H1767" i="1"/>
  <c r="I1767" i="1"/>
  <c r="H1768" i="1"/>
  <c r="I1768" i="1"/>
  <c r="H1769" i="1"/>
  <c r="I1769" i="1"/>
  <c r="H1770" i="1"/>
  <c r="I1770" i="1"/>
  <c r="H1771" i="1"/>
  <c r="I1771" i="1"/>
  <c r="H1772" i="1"/>
  <c r="I1772" i="1"/>
  <c r="H1773" i="1"/>
  <c r="I1773" i="1"/>
  <c r="H1774" i="1"/>
  <c r="I1774" i="1"/>
  <c r="H1775" i="1"/>
  <c r="I1775" i="1"/>
  <c r="H1776" i="1"/>
  <c r="I1776" i="1"/>
  <c r="H1777" i="1"/>
  <c r="I1777" i="1"/>
  <c r="H1778" i="1"/>
  <c r="I1778" i="1"/>
  <c r="H1779" i="1"/>
  <c r="I1779" i="1"/>
  <c r="H1780" i="1"/>
  <c r="I1780" i="1"/>
  <c r="H1781" i="1"/>
  <c r="I1781" i="1"/>
  <c r="H1782" i="1"/>
  <c r="I1782" i="1"/>
  <c r="H1783" i="1"/>
  <c r="I1783" i="1"/>
  <c r="H1784" i="1"/>
  <c r="I1784" i="1"/>
  <c r="H1785" i="1"/>
  <c r="I1785" i="1"/>
  <c r="H1786" i="1"/>
  <c r="I1786" i="1"/>
  <c r="H1787" i="1"/>
  <c r="I1787" i="1"/>
  <c r="H1788" i="1"/>
  <c r="I1788" i="1"/>
  <c r="H1789" i="1"/>
  <c r="I1789" i="1"/>
  <c r="H1790" i="1"/>
  <c r="I1790" i="1"/>
  <c r="H1791" i="1"/>
  <c r="I1791" i="1"/>
  <c r="H1792" i="1"/>
  <c r="I1792" i="1"/>
  <c r="H1793" i="1"/>
  <c r="I1793" i="1"/>
  <c r="H1794" i="1"/>
  <c r="I1794" i="1"/>
  <c r="H1795" i="1"/>
  <c r="I1795" i="1"/>
  <c r="H1796" i="1"/>
  <c r="I1796" i="1"/>
  <c r="H1797" i="1"/>
  <c r="I1797" i="1"/>
  <c r="H1798" i="1"/>
  <c r="I1798" i="1"/>
  <c r="H1799" i="1"/>
  <c r="I1799" i="1"/>
  <c r="H1800" i="1"/>
  <c r="I1800" i="1"/>
  <c r="H1801" i="1"/>
  <c r="I1801" i="1"/>
  <c r="H1802" i="1"/>
  <c r="I1802" i="1"/>
  <c r="H1803" i="1"/>
  <c r="I1803" i="1"/>
  <c r="H1804" i="1"/>
  <c r="I1804" i="1"/>
  <c r="H1805" i="1"/>
  <c r="I1805" i="1"/>
  <c r="H1806" i="1"/>
  <c r="I1806" i="1"/>
  <c r="H1807" i="1"/>
  <c r="I1807" i="1"/>
  <c r="H1808" i="1"/>
  <c r="I1808" i="1"/>
  <c r="H1809" i="1"/>
  <c r="I1809" i="1"/>
  <c r="H1810" i="1"/>
  <c r="I1810" i="1"/>
  <c r="H1811" i="1"/>
  <c r="I1811" i="1"/>
  <c r="H1812" i="1"/>
  <c r="I1812" i="1"/>
  <c r="H1813" i="1"/>
  <c r="I1813" i="1"/>
  <c r="H1814" i="1"/>
  <c r="I1814" i="1"/>
  <c r="H1815" i="1"/>
  <c r="I1815" i="1"/>
  <c r="H1816" i="1"/>
  <c r="I1816" i="1"/>
  <c r="H1817" i="1"/>
  <c r="I1817" i="1"/>
  <c r="H1818" i="1"/>
  <c r="I1818" i="1"/>
  <c r="H1819" i="1"/>
  <c r="I1819" i="1"/>
  <c r="H1820" i="1"/>
  <c r="I1820" i="1"/>
  <c r="H1821" i="1"/>
  <c r="I1821" i="1"/>
  <c r="H1822" i="1"/>
  <c r="I1822" i="1"/>
  <c r="H1823" i="1"/>
  <c r="I1823" i="1"/>
  <c r="H1824" i="1"/>
  <c r="I1824" i="1"/>
  <c r="H1825" i="1"/>
  <c r="I1825" i="1"/>
  <c r="H1826" i="1"/>
  <c r="I1826" i="1"/>
  <c r="H1827" i="1"/>
  <c r="I1827" i="1"/>
  <c r="H1828" i="1"/>
  <c r="I1828" i="1"/>
  <c r="H1829" i="1"/>
  <c r="I1829" i="1"/>
  <c r="H1830" i="1"/>
  <c r="I1830" i="1"/>
  <c r="H1831" i="1"/>
  <c r="I1831" i="1"/>
  <c r="H1832" i="1"/>
  <c r="I1832" i="1"/>
  <c r="H1833" i="1"/>
  <c r="I1833" i="1"/>
  <c r="H1834" i="1"/>
  <c r="I1834" i="1"/>
  <c r="H1835" i="1"/>
  <c r="I1835" i="1"/>
  <c r="H1836" i="1"/>
  <c r="I1836" i="1"/>
  <c r="H1837" i="1"/>
  <c r="I1837" i="1"/>
  <c r="H1838" i="1"/>
  <c r="I1838" i="1"/>
  <c r="H1839" i="1"/>
  <c r="I1839" i="1"/>
  <c r="H1840" i="1"/>
  <c r="I1840" i="1"/>
  <c r="H1841" i="1"/>
  <c r="I1841" i="1"/>
  <c r="H1842" i="1"/>
  <c r="I1842" i="1"/>
  <c r="H1843" i="1"/>
  <c r="I1843" i="1"/>
  <c r="H1844" i="1"/>
  <c r="I1844" i="1"/>
  <c r="H1845" i="1"/>
  <c r="I1845" i="1"/>
  <c r="H1846" i="1"/>
  <c r="I1846" i="1"/>
  <c r="H1847" i="1"/>
  <c r="I1847" i="1"/>
  <c r="H1848" i="1"/>
  <c r="I1848" i="1"/>
  <c r="H1849" i="1"/>
  <c r="I1849" i="1"/>
  <c r="H1850" i="1"/>
  <c r="I1850" i="1"/>
  <c r="H1851" i="1"/>
  <c r="I1851" i="1"/>
  <c r="H1852" i="1"/>
  <c r="I1852" i="1"/>
  <c r="H1853" i="1"/>
  <c r="I1853" i="1"/>
  <c r="H1854" i="1"/>
  <c r="I1854" i="1"/>
  <c r="H1855" i="1"/>
  <c r="I1855" i="1"/>
  <c r="H1856" i="1"/>
  <c r="I1856" i="1"/>
  <c r="H1857" i="1"/>
  <c r="I1857" i="1"/>
  <c r="H1858" i="1"/>
  <c r="I1858" i="1"/>
  <c r="H1859" i="1"/>
  <c r="I1859" i="1"/>
  <c r="H1860" i="1"/>
  <c r="I1860" i="1"/>
  <c r="H1861" i="1"/>
  <c r="I1861" i="1"/>
  <c r="H1862" i="1"/>
  <c r="I1862" i="1"/>
  <c r="H1863" i="1"/>
  <c r="I1863" i="1"/>
  <c r="H1864" i="1"/>
  <c r="I1864" i="1"/>
  <c r="H1865" i="1"/>
  <c r="I1865" i="1"/>
  <c r="H1866" i="1"/>
  <c r="I1866" i="1"/>
  <c r="H1867" i="1"/>
  <c r="I1867" i="1"/>
  <c r="H1868" i="1"/>
  <c r="I1868" i="1"/>
  <c r="H1869" i="1"/>
  <c r="I1869" i="1"/>
  <c r="H1870" i="1"/>
  <c r="I1870" i="1"/>
  <c r="H1871" i="1"/>
  <c r="I1871" i="1"/>
  <c r="H1872" i="1"/>
  <c r="I1872" i="1"/>
  <c r="H1873" i="1"/>
  <c r="I1873" i="1"/>
  <c r="H1874" i="1"/>
  <c r="I1874" i="1"/>
  <c r="H1875" i="1"/>
  <c r="I1875" i="1"/>
  <c r="H1876" i="1"/>
  <c r="I1876" i="1"/>
  <c r="H1877" i="1"/>
  <c r="I1877" i="1"/>
  <c r="H1878" i="1"/>
  <c r="I1878" i="1"/>
  <c r="H1879" i="1"/>
  <c r="I1879" i="1"/>
  <c r="H1880" i="1"/>
  <c r="I1880" i="1"/>
  <c r="H1881" i="1"/>
  <c r="I1881" i="1"/>
  <c r="H1882" i="1"/>
  <c r="I1882" i="1"/>
  <c r="H1883" i="1"/>
  <c r="I1883" i="1"/>
  <c r="H1884" i="1"/>
  <c r="I1884" i="1"/>
  <c r="H1885" i="1"/>
  <c r="I1885" i="1"/>
  <c r="H1886" i="1"/>
  <c r="I1886" i="1"/>
  <c r="H1887" i="1"/>
  <c r="I1887" i="1"/>
  <c r="H1888" i="1"/>
  <c r="I1888" i="1"/>
  <c r="H1889" i="1"/>
  <c r="I1889" i="1"/>
  <c r="H1890" i="1"/>
  <c r="I1890" i="1"/>
  <c r="H1891" i="1"/>
  <c r="I1891" i="1"/>
  <c r="H1892" i="1"/>
  <c r="I1892" i="1"/>
  <c r="H1893" i="1"/>
  <c r="I1893" i="1"/>
  <c r="H1894" i="1"/>
  <c r="I1894" i="1"/>
  <c r="H1895" i="1"/>
  <c r="I1895" i="1"/>
  <c r="H1896" i="1"/>
  <c r="I1896" i="1"/>
  <c r="H1897" i="1"/>
  <c r="I1897" i="1"/>
  <c r="H1898" i="1"/>
  <c r="I1898" i="1"/>
  <c r="H1899" i="1"/>
  <c r="I1899" i="1"/>
  <c r="H1900" i="1"/>
  <c r="I1900" i="1"/>
  <c r="H1901" i="1"/>
  <c r="I1901" i="1"/>
  <c r="H1902" i="1"/>
  <c r="I1902" i="1"/>
  <c r="H1903" i="1"/>
  <c r="I1903" i="1"/>
  <c r="H1904" i="1"/>
  <c r="I1904" i="1"/>
  <c r="H1905" i="1"/>
  <c r="I1905" i="1"/>
  <c r="H1906" i="1"/>
  <c r="I1906" i="1"/>
  <c r="H1907" i="1"/>
  <c r="I1907" i="1"/>
  <c r="H1908" i="1"/>
  <c r="I1908" i="1"/>
  <c r="H1909" i="1"/>
  <c r="I1909" i="1"/>
  <c r="H1910" i="1"/>
  <c r="I1910" i="1"/>
  <c r="H1911" i="1"/>
  <c r="I1911" i="1"/>
  <c r="H1912" i="1"/>
  <c r="I1912" i="1"/>
  <c r="H1913" i="1"/>
  <c r="I1913" i="1"/>
  <c r="H1914" i="1"/>
  <c r="I1914" i="1"/>
  <c r="H1915" i="1"/>
  <c r="I1915" i="1"/>
  <c r="H1916" i="1"/>
  <c r="I1916" i="1"/>
  <c r="H1917" i="1"/>
  <c r="I1917" i="1"/>
  <c r="H1918" i="1"/>
  <c r="I1918" i="1"/>
  <c r="H1919" i="1"/>
  <c r="I1919" i="1"/>
  <c r="H1920" i="1"/>
  <c r="I1920" i="1"/>
  <c r="H1921" i="1"/>
  <c r="I1921" i="1"/>
  <c r="H1922" i="1"/>
  <c r="I1922" i="1"/>
  <c r="H1923" i="1"/>
  <c r="I1923" i="1"/>
  <c r="H1924" i="1"/>
  <c r="I1924" i="1"/>
  <c r="H1925" i="1"/>
  <c r="I1925" i="1"/>
  <c r="H1926" i="1"/>
  <c r="I1926" i="1"/>
  <c r="H1927" i="1"/>
  <c r="I1927" i="1"/>
  <c r="H1928" i="1"/>
  <c r="I1928" i="1"/>
  <c r="H1929" i="1"/>
  <c r="I1929" i="1"/>
  <c r="H1930" i="1"/>
  <c r="I1930" i="1"/>
  <c r="H1931" i="1"/>
  <c r="I1931" i="1"/>
  <c r="H1932" i="1"/>
  <c r="I1932" i="1"/>
  <c r="H1933" i="1"/>
  <c r="I1933" i="1"/>
  <c r="H1934" i="1"/>
  <c r="I1934" i="1"/>
  <c r="H1935" i="1"/>
  <c r="I1935" i="1"/>
  <c r="H1936" i="1"/>
  <c r="I1936" i="1"/>
  <c r="H1937" i="1"/>
  <c r="I1937" i="1"/>
  <c r="H1938" i="1"/>
  <c r="I1938" i="1"/>
  <c r="H1939" i="1"/>
  <c r="I1939" i="1"/>
  <c r="H1940" i="1"/>
  <c r="I1940" i="1"/>
  <c r="H1941" i="1"/>
  <c r="I1941" i="1"/>
  <c r="H1942" i="1"/>
  <c r="I1942" i="1"/>
  <c r="H1943" i="1"/>
  <c r="I1943" i="1"/>
  <c r="H1944" i="1"/>
  <c r="I1944" i="1"/>
  <c r="H1945" i="1"/>
  <c r="I1945" i="1"/>
  <c r="H1946" i="1"/>
  <c r="I1946" i="1"/>
  <c r="H1947" i="1"/>
  <c r="I1947" i="1"/>
  <c r="H1948" i="1"/>
  <c r="I1948" i="1"/>
  <c r="H1949" i="1"/>
  <c r="I1949" i="1"/>
  <c r="H1950" i="1"/>
  <c r="I1950" i="1"/>
  <c r="H1951" i="1"/>
  <c r="I1951" i="1"/>
  <c r="H1952" i="1"/>
  <c r="I1952" i="1"/>
  <c r="H1953" i="1"/>
  <c r="I1953" i="1"/>
  <c r="H1954" i="1"/>
  <c r="I1954" i="1"/>
  <c r="H1955" i="1"/>
  <c r="I1955" i="1"/>
  <c r="H1956" i="1"/>
  <c r="I1956" i="1"/>
  <c r="H1957" i="1"/>
  <c r="I1957" i="1"/>
  <c r="H1958" i="1"/>
  <c r="I1958" i="1"/>
  <c r="H1959" i="1"/>
  <c r="I1959" i="1"/>
  <c r="H1960" i="1"/>
  <c r="I1960" i="1"/>
  <c r="H1961" i="1"/>
  <c r="I1961" i="1"/>
  <c r="H1962" i="1"/>
  <c r="I1962" i="1"/>
  <c r="H1963" i="1"/>
  <c r="I1963" i="1"/>
  <c r="H1964" i="1"/>
  <c r="I1964" i="1"/>
  <c r="H1965" i="1"/>
  <c r="I1965" i="1"/>
  <c r="H1966" i="1"/>
  <c r="I1966" i="1"/>
  <c r="H1967" i="1"/>
  <c r="I1967" i="1"/>
  <c r="H1968" i="1"/>
  <c r="I1968" i="1"/>
  <c r="H1969" i="1"/>
  <c r="I1969" i="1"/>
  <c r="H1970" i="1"/>
  <c r="I1970" i="1"/>
  <c r="H1971" i="1"/>
  <c r="I1971" i="1"/>
  <c r="H1972" i="1"/>
  <c r="I1972" i="1"/>
  <c r="H1973" i="1"/>
  <c r="I1973" i="1"/>
  <c r="H1974" i="1"/>
  <c r="I1974" i="1"/>
  <c r="H1975" i="1"/>
  <c r="I1975" i="1"/>
  <c r="H1976" i="1"/>
  <c r="I1976" i="1"/>
  <c r="H1977" i="1"/>
  <c r="I1977" i="1"/>
  <c r="H1978" i="1"/>
  <c r="I1978" i="1"/>
  <c r="H1979" i="1"/>
  <c r="I1979" i="1"/>
  <c r="H1980" i="1"/>
  <c r="I1980" i="1"/>
  <c r="H1981" i="1"/>
  <c r="I1981" i="1"/>
  <c r="H1982" i="1"/>
  <c r="I1982" i="1"/>
  <c r="H1983" i="1"/>
  <c r="I1983" i="1"/>
  <c r="H1984" i="1"/>
  <c r="I1984" i="1"/>
  <c r="H1985" i="1"/>
  <c r="I1985" i="1"/>
  <c r="H1986" i="1"/>
  <c r="I1986" i="1"/>
  <c r="H1987" i="1"/>
  <c r="I1987" i="1"/>
  <c r="H1988" i="1"/>
  <c r="I1988" i="1"/>
  <c r="H1989" i="1"/>
  <c r="I1989" i="1"/>
  <c r="H1990" i="1"/>
  <c r="I1990" i="1"/>
  <c r="H1991" i="1"/>
  <c r="I1991" i="1"/>
  <c r="H1992" i="1"/>
  <c r="I1992" i="1"/>
  <c r="H1993" i="1"/>
  <c r="I1993" i="1"/>
  <c r="H1994" i="1"/>
  <c r="I1994" i="1"/>
  <c r="H1995" i="1"/>
  <c r="I1995" i="1"/>
  <c r="H1996" i="1"/>
  <c r="I1996" i="1"/>
  <c r="H1997" i="1"/>
  <c r="I1997" i="1"/>
  <c r="H1998" i="1"/>
  <c r="I1998" i="1"/>
  <c r="H1999" i="1"/>
  <c r="I1999" i="1"/>
  <c r="H2000" i="1"/>
  <c r="I2000" i="1"/>
  <c r="H2001" i="1"/>
  <c r="I2001" i="1"/>
  <c r="H2002" i="1"/>
  <c r="I2002" i="1"/>
  <c r="H2003" i="1"/>
  <c r="I2003" i="1"/>
  <c r="H2004" i="1"/>
  <c r="I2004" i="1"/>
  <c r="H2005" i="1"/>
  <c r="I2005" i="1"/>
  <c r="H2006" i="1"/>
  <c r="I2006" i="1"/>
  <c r="H2007" i="1"/>
  <c r="I2007" i="1"/>
  <c r="H2008" i="1"/>
  <c r="I2008" i="1"/>
  <c r="H2009" i="1"/>
  <c r="I2009" i="1"/>
  <c r="H2010" i="1"/>
  <c r="I2010" i="1"/>
  <c r="H2011" i="1"/>
  <c r="I2011" i="1"/>
  <c r="H2012" i="1"/>
  <c r="I2012" i="1"/>
  <c r="H2013" i="1"/>
  <c r="I2013" i="1"/>
  <c r="H2014" i="1"/>
  <c r="I2014" i="1"/>
  <c r="H2015" i="1"/>
  <c r="I2015" i="1"/>
  <c r="H2016" i="1"/>
  <c r="I2016" i="1"/>
  <c r="H2017" i="1"/>
  <c r="I2017" i="1"/>
  <c r="H2018" i="1"/>
  <c r="I2018" i="1"/>
  <c r="H2019" i="1"/>
  <c r="I2019" i="1"/>
  <c r="H2020" i="1"/>
  <c r="I2020" i="1"/>
  <c r="H2021" i="1"/>
  <c r="I2021" i="1"/>
  <c r="H2022" i="1"/>
  <c r="I2022" i="1"/>
  <c r="H2023" i="1"/>
  <c r="I2023" i="1"/>
  <c r="H2024" i="1"/>
  <c r="I2024" i="1"/>
  <c r="H2025" i="1"/>
  <c r="I2025" i="1"/>
  <c r="H2026" i="1"/>
  <c r="I2026" i="1"/>
  <c r="H2027" i="1"/>
  <c r="I2027" i="1"/>
  <c r="H2028" i="1"/>
  <c r="I2028" i="1"/>
  <c r="H2029" i="1"/>
  <c r="I2029" i="1"/>
  <c r="H2030" i="1"/>
  <c r="I2030" i="1"/>
  <c r="H2031" i="1"/>
  <c r="I2031" i="1"/>
  <c r="H2032" i="1"/>
  <c r="I2032" i="1"/>
  <c r="H2033" i="1"/>
  <c r="I2033" i="1"/>
  <c r="H2034" i="1"/>
  <c r="I2034" i="1"/>
  <c r="H2035" i="1"/>
  <c r="I2035" i="1"/>
  <c r="H2036" i="1"/>
  <c r="I2036" i="1"/>
  <c r="H2037" i="1"/>
  <c r="I2037" i="1"/>
  <c r="H2038" i="1"/>
  <c r="I2038" i="1"/>
  <c r="H2039" i="1"/>
  <c r="I2039" i="1"/>
  <c r="H2040" i="1"/>
  <c r="I2040" i="1"/>
  <c r="H2041" i="1"/>
  <c r="I2041" i="1"/>
  <c r="H2042" i="1"/>
  <c r="I2042" i="1"/>
  <c r="H2043" i="1"/>
  <c r="I2043" i="1"/>
  <c r="H2044" i="1"/>
  <c r="I2044" i="1"/>
  <c r="H2045" i="1"/>
  <c r="I2045" i="1"/>
  <c r="H2046" i="1"/>
  <c r="I2046" i="1"/>
  <c r="H2047" i="1"/>
  <c r="I2047" i="1"/>
  <c r="H2048" i="1"/>
  <c r="I2048" i="1"/>
  <c r="H2049" i="1"/>
  <c r="I2049" i="1"/>
  <c r="H2050" i="1"/>
  <c r="I2050" i="1"/>
  <c r="H2051" i="1"/>
  <c r="I2051" i="1"/>
  <c r="H2052" i="1"/>
  <c r="I2052" i="1"/>
  <c r="H2053" i="1"/>
  <c r="I2053" i="1"/>
  <c r="H2054" i="1"/>
  <c r="I2054" i="1"/>
  <c r="H2055" i="1"/>
  <c r="I2055" i="1"/>
  <c r="H2056" i="1"/>
  <c r="I2056" i="1"/>
  <c r="H2057" i="1"/>
  <c r="I2057" i="1"/>
  <c r="H2058" i="1"/>
  <c r="I2058" i="1"/>
  <c r="H2059" i="1"/>
  <c r="I2059" i="1"/>
  <c r="H2060" i="1"/>
  <c r="I2060" i="1"/>
  <c r="H2061" i="1"/>
  <c r="I2061" i="1"/>
  <c r="H2062" i="1"/>
  <c r="I2062" i="1"/>
  <c r="H2063" i="1"/>
  <c r="I2063" i="1"/>
  <c r="H2064" i="1"/>
  <c r="I2064" i="1"/>
  <c r="H2065" i="1"/>
  <c r="I2065" i="1"/>
  <c r="H2066" i="1"/>
  <c r="I2066" i="1"/>
  <c r="H2067" i="1"/>
  <c r="I2067" i="1"/>
  <c r="H2068" i="1"/>
  <c r="I2068" i="1"/>
  <c r="H2069" i="1"/>
  <c r="I2069" i="1"/>
  <c r="H2070" i="1"/>
  <c r="I2070" i="1"/>
  <c r="H2071" i="1"/>
  <c r="I2071" i="1"/>
  <c r="H2072" i="1"/>
  <c r="I2072" i="1"/>
  <c r="H2073" i="1"/>
  <c r="I2073" i="1"/>
  <c r="H2074" i="1"/>
  <c r="I2074" i="1"/>
  <c r="H2075" i="1"/>
  <c r="I2075" i="1"/>
  <c r="H2076" i="1"/>
  <c r="I2076" i="1"/>
  <c r="H2077" i="1"/>
  <c r="I2077" i="1"/>
  <c r="H2078" i="1"/>
  <c r="I2078" i="1"/>
  <c r="H2079" i="1"/>
  <c r="I2079" i="1"/>
  <c r="H2080" i="1"/>
  <c r="I2080" i="1"/>
  <c r="H2081" i="1"/>
  <c r="I2081" i="1"/>
  <c r="H2082" i="1"/>
  <c r="I2082" i="1"/>
  <c r="H2083" i="1"/>
  <c r="I2083" i="1"/>
  <c r="H2084" i="1"/>
  <c r="I2084" i="1"/>
  <c r="H2085" i="1"/>
  <c r="I2085" i="1"/>
  <c r="H2086" i="1"/>
  <c r="I2086" i="1"/>
  <c r="H2087" i="1"/>
  <c r="I2087" i="1"/>
  <c r="H2088" i="1"/>
  <c r="I2088" i="1"/>
  <c r="H2089" i="1"/>
  <c r="I2089" i="1"/>
  <c r="H2090" i="1"/>
  <c r="I2090" i="1"/>
  <c r="H2091" i="1"/>
  <c r="I2091" i="1"/>
  <c r="H2092" i="1"/>
  <c r="I2092" i="1"/>
  <c r="H2093" i="1"/>
  <c r="I2093" i="1"/>
  <c r="H2094" i="1"/>
  <c r="I2094" i="1"/>
  <c r="H2095" i="1"/>
  <c r="I2095" i="1"/>
  <c r="H2096" i="1"/>
  <c r="I2096" i="1"/>
  <c r="H2097" i="1"/>
  <c r="I2097" i="1"/>
  <c r="H2098" i="1"/>
  <c r="I2098" i="1"/>
  <c r="H2099" i="1"/>
  <c r="I2099" i="1"/>
  <c r="H2100" i="1"/>
  <c r="I2100" i="1"/>
  <c r="H2101" i="1"/>
  <c r="I2101" i="1"/>
  <c r="H2102" i="1"/>
  <c r="I2102" i="1"/>
  <c r="H2103" i="1"/>
  <c r="I2103" i="1"/>
  <c r="H2104" i="1"/>
  <c r="I2104" i="1"/>
  <c r="H2105" i="1"/>
  <c r="I2105" i="1"/>
  <c r="H2106" i="1"/>
  <c r="I2106" i="1"/>
  <c r="H2107" i="1"/>
  <c r="I2107" i="1"/>
  <c r="H2108" i="1"/>
  <c r="I2108" i="1"/>
  <c r="H2109" i="1"/>
  <c r="I2109" i="1"/>
  <c r="H2110" i="1"/>
  <c r="I2110" i="1"/>
  <c r="H2111" i="1"/>
  <c r="I2111" i="1"/>
  <c r="H2112" i="1"/>
  <c r="I2112" i="1"/>
  <c r="H2113" i="1"/>
  <c r="I2113" i="1"/>
  <c r="H2114" i="1"/>
  <c r="I2114" i="1"/>
  <c r="H2115" i="1"/>
  <c r="I2115" i="1"/>
  <c r="H2116" i="1"/>
  <c r="I2116" i="1"/>
  <c r="H2117" i="1"/>
  <c r="I2117" i="1"/>
  <c r="H2118" i="1"/>
  <c r="I2118" i="1"/>
  <c r="H2119" i="1"/>
  <c r="I2119" i="1"/>
  <c r="H2120" i="1"/>
  <c r="I2120" i="1"/>
  <c r="H2121" i="1"/>
  <c r="I2121" i="1"/>
  <c r="H2122" i="1"/>
  <c r="I2122" i="1"/>
  <c r="H2123" i="1"/>
  <c r="I2123" i="1"/>
  <c r="H2124" i="1"/>
  <c r="I2124" i="1"/>
  <c r="H2125" i="1"/>
  <c r="I2125" i="1"/>
  <c r="H2126" i="1"/>
  <c r="I2126" i="1"/>
  <c r="H2127" i="1"/>
  <c r="I2127" i="1"/>
  <c r="H2128" i="1"/>
  <c r="I2128" i="1"/>
  <c r="H2129" i="1"/>
  <c r="I2129" i="1"/>
  <c r="H2130" i="1"/>
  <c r="I2130" i="1"/>
  <c r="H2131" i="1"/>
  <c r="I2131" i="1"/>
  <c r="H2132" i="1"/>
  <c r="I2132" i="1"/>
  <c r="H2133" i="1"/>
  <c r="I2133" i="1"/>
  <c r="H2134" i="1"/>
  <c r="I2134" i="1"/>
  <c r="H2135" i="1"/>
  <c r="I2135" i="1"/>
  <c r="H2136" i="1"/>
  <c r="I2136" i="1"/>
  <c r="H2137" i="1"/>
  <c r="I2137" i="1"/>
  <c r="H2138" i="1"/>
  <c r="I2138" i="1"/>
  <c r="H2139" i="1"/>
  <c r="I2139" i="1"/>
  <c r="H2140" i="1"/>
  <c r="I2140" i="1"/>
  <c r="H2141" i="1"/>
  <c r="I2141" i="1"/>
  <c r="H2142" i="1"/>
  <c r="I2142" i="1"/>
  <c r="H2143" i="1"/>
  <c r="I2143" i="1"/>
  <c r="H2144" i="1"/>
  <c r="I2144" i="1"/>
  <c r="H2145" i="1"/>
  <c r="I2145" i="1"/>
  <c r="H2146" i="1"/>
  <c r="I2146" i="1"/>
  <c r="H2147" i="1"/>
  <c r="I2147" i="1"/>
  <c r="H2148" i="1"/>
  <c r="I2148" i="1"/>
  <c r="H2149" i="1"/>
  <c r="I2149" i="1"/>
  <c r="H2150" i="1"/>
  <c r="I2150" i="1"/>
  <c r="H2151" i="1"/>
  <c r="I2151" i="1"/>
  <c r="H2152" i="1"/>
  <c r="I2152" i="1"/>
  <c r="H2153" i="1"/>
  <c r="I2153" i="1"/>
  <c r="H2154" i="1"/>
  <c r="I2154" i="1"/>
  <c r="H2155" i="1"/>
  <c r="I2155" i="1"/>
  <c r="H2156" i="1"/>
  <c r="I2156" i="1"/>
  <c r="H2157" i="1"/>
  <c r="I2157" i="1"/>
  <c r="H2158" i="1"/>
  <c r="I2158" i="1"/>
  <c r="H2159" i="1"/>
  <c r="I2159" i="1"/>
  <c r="H2160" i="1"/>
  <c r="I2160" i="1"/>
  <c r="H2161" i="1"/>
  <c r="I2161" i="1"/>
  <c r="H2162" i="1"/>
  <c r="I2162" i="1"/>
  <c r="H2163" i="1"/>
  <c r="I2163" i="1"/>
  <c r="H2164" i="1"/>
  <c r="I2164" i="1"/>
  <c r="H2165" i="1"/>
  <c r="I2165" i="1"/>
  <c r="H2166" i="1"/>
  <c r="I2166" i="1"/>
  <c r="H2167" i="1"/>
  <c r="I2167" i="1"/>
  <c r="H2168" i="1"/>
  <c r="I2168" i="1"/>
  <c r="H2169" i="1"/>
  <c r="I2169" i="1"/>
  <c r="H2170" i="1"/>
  <c r="I2170" i="1"/>
  <c r="H2171" i="1"/>
  <c r="I2171" i="1"/>
  <c r="H2172" i="1"/>
  <c r="I2172" i="1"/>
  <c r="H2173" i="1"/>
  <c r="I2173" i="1"/>
  <c r="H2174" i="1"/>
  <c r="I2174" i="1"/>
  <c r="H2175" i="1"/>
  <c r="I2175" i="1"/>
  <c r="H2176" i="1"/>
  <c r="I2176" i="1"/>
  <c r="H2177" i="1"/>
  <c r="I2177" i="1"/>
  <c r="H2178" i="1"/>
  <c r="I2178" i="1"/>
  <c r="H2179" i="1"/>
  <c r="I2179" i="1"/>
  <c r="H2180" i="1"/>
  <c r="I2180" i="1"/>
  <c r="H2181" i="1"/>
  <c r="I2181" i="1"/>
  <c r="H2182" i="1"/>
  <c r="I2182" i="1"/>
  <c r="H2183" i="1"/>
  <c r="I2183" i="1"/>
  <c r="H2184" i="1"/>
  <c r="I2184" i="1"/>
  <c r="H2185" i="1"/>
  <c r="I2185" i="1"/>
  <c r="H2186" i="1"/>
  <c r="I2186" i="1"/>
  <c r="H2187" i="1"/>
  <c r="I2187" i="1"/>
  <c r="H2188" i="1"/>
  <c r="I2188" i="1"/>
  <c r="H2189" i="1"/>
  <c r="I2189" i="1"/>
  <c r="H2190" i="1"/>
  <c r="I2190" i="1"/>
  <c r="H2191" i="1"/>
  <c r="I2191" i="1"/>
  <c r="H2192" i="1"/>
  <c r="I2192" i="1"/>
  <c r="H2193" i="1"/>
  <c r="I2193" i="1"/>
  <c r="H2194" i="1"/>
  <c r="I2194" i="1"/>
  <c r="H2195" i="1"/>
  <c r="I2195" i="1"/>
  <c r="H2196" i="1"/>
  <c r="I2196" i="1"/>
  <c r="H2197" i="1"/>
  <c r="I2197" i="1"/>
  <c r="H2198" i="1"/>
  <c r="I2198" i="1"/>
  <c r="H2199" i="1"/>
  <c r="I2199" i="1"/>
  <c r="H2200" i="1"/>
  <c r="I2200" i="1"/>
  <c r="H2201" i="1"/>
  <c r="I2201" i="1"/>
  <c r="H2202" i="1"/>
  <c r="I2202" i="1"/>
  <c r="H2203" i="1"/>
  <c r="I2203" i="1"/>
  <c r="H2204" i="1"/>
  <c r="I2204" i="1"/>
  <c r="H2205" i="1"/>
  <c r="I2205" i="1"/>
  <c r="H2206" i="1"/>
  <c r="I2206" i="1"/>
  <c r="H2207" i="1"/>
  <c r="I2207" i="1"/>
  <c r="H2208" i="1"/>
  <c r="I2208" i="1"/>
  <c r="H2209" i="1"/>
  <c r="I2209" i="1"/>
  <c r="H2210" i="1"/>
  <c r="I2210" i="1"/>
  <c r="H2211" i="1"/>
  <c r="I2211" i="1"/>
  <c r="H2212" i="1"/>
  <c r="I2212" i="1"/>
  <c r="H2213" i="1"/>
  <c r="I2213" i="1"/>
  <c r="H2214" i="1"/>
  <c r="I2214" i="1"/>
  <c r="H2215" i="1"/>
  <c r="I2215" i="1"/>
  <c r="H2216" i="1"/>
  <c r="I2216" i="1"/>
  <c r="H2217" i="1"/>
  <c r="I2217" i="1"/>
  <c r="H2218" i="1"/>
  <c r="I2218" i="1"/>
  <c r="H2219" i="1"/>
  <c r="I2219" i="1"/>
  <c r="H2220" i="1"/>
  <c r="I2220" i="1"/>
  <c r="H2221" i="1"/>
  <c r="I2221" i="1"/>
  <c r="H2222" i="1"/>
  <c r="I2222" i="1"/>
  <c r="H2223" i="1"/>
  <c r="I2223" i="1"/>
  <c r="H2224" i="1"/>
  <c r="I2224" i="1"/>
  <c r="H2225" i="1"/>
  <c r="I2225" i="1"/>
  <c r="H2226" i="1"/>
  <c r="I2226" i="1"/>
  <c r="H2227" i="1"/>
  <c r="I2227" i="1"/>
  <c r="H2228" i="1"/>
  <c r="I2228" i="1"/>
  <c r="H2229" i="1"/>
  <c r="I2229" i="1"/>
  <c r="H2230" i="1"/>
  <c r="I2230" i="1"/>
  <c r="H2231" i="1"/>
  <c r="I2231" i="1"/>
  <c r="H2232" i="1"/>
  <c r="I2232" i="1"/>
  <c r="H2233" i="1"/>
  <c r="I2233" i="1"/>
  <c r="H2234" i="1"/>
  <c r="I2234" i="1"/>
  <c r="H2235" i="1"/>
  <c r="I2235" i="1"/>
  <c r="H2236" i="1"/>
  <c r="I2236" i="1"/>
  <c r="H2237" i="1"/>
  <c r="I2237" i="1"/>
  <c r="H2238" i="1"/>
  <c r="I2238" i="1"/>
  <c r="H2239" i="1"/>
  <c r="I2239" i="1"/>
  <c r="H2240" i="1"/>
  <c r="I2240" i="1"/>
  <c r="H2241" i="1"/>
  <c r="I2241" i="1"/>
  <c r="H2242" i="1"/>
  <c r="I2242" i="1"/>
  <c r="H2243" i="1"/>
  <c r="I2243" i="1"/>
  <c r="H2244" i="1"/>
  <c r="I2244" i="1"/>
  <c r="H2245" i="1"/>
  <c r="I2245" i="1"/>
  <c r="H2246" i="1"/>
  <c r="I2246" i="1"/>
  <c r="H2247" i="1"/>
  <c r="I2247" i="1"/>
  <c r="H2248" i="1"/>
  <c r="I2248" i="1"/>
  <c r="H2249" i="1"/>
  <c r="I2249" i="1"/>
  <c r="H2250" i="1"/>
  <c r="I2250" i="1"/>
  <c r="H2251" i="1"/>
  <c r="I2251" i="1"/>
  <c r="H2252" i="1"/>
  <c r="I2252" i="1"/>
  <c r="H2253" i="1"/>
  <c r="I2253" i="1"/>
  <c r="H2254" i="1"/>
  <c r="I2254" i="1"/>
  <c r="H2255" i="1"/>
  <c r="I2255" i="1"/>
  <c r="H2256" i="1"/>
  <c r="I2256" i="1"/>
  <c r="H2257" i="1"/>
  <c r="I2257" i="1"/>
  <c r="H2258" i="1"/>
  <c r="I2258" i="1"/>
  <c r="H2259" i="1"/>
  <c r="I2259" i="1"/>
  <c r="H2260" i="1"/>
  <c r="I2260" i="1"/>
  <c r="H2261" i="1"/>
  <c r="I2261" i="1"/>
  <c r="H2262" i="1"/>
  <c r="I2262" i="1"/>
  <c r="H2263" i="1"/>
  <c r="I2263" i="1"/>
  <c r="H2264" i="1"/>
  <c r="I2264" i="1"/>
  <c r="H2265" i="1"/>
  <c r="I2265" i="1"/>
  <c r="H2266" i="1"/>
  <c r="I2266" i="1"/>
  <c r="H2267" i="1"/>
  <c r="I2267" i="1"/>
  <c r="H2268" i="1"/>
  <c r="I2268" i="1"/>
  <c r="H2269" i="1"/>
  <c r="I2269" i="1"/>
  <c r="H2270" i="1"/>
  <c r="I2270" i="1"/>
  <c r="H2271" i="1"/>
  <c r="I2271" i="1"/>
  <c r="H2272" i="1"/>
  <c r="I2272" i="1"/>
  <c r="H2273" i="1"/>
  <c r="I2273" i="1"/>
  <c r="H2274" i="1"/>
  <c r="I2274" i="1"/>
  <c r="H2275" i="1"/>
  <c r="I2275" i="1"/>
  <c r="H2276" i="1"/>
  <c r="I2276" i="1"/>
  <c r="H2277" i="1"/>
  <c r="I2277" i="1"/>
  <c r="H2278" i="1"/>
  <c r="I2278" i="1"/>
  <c r="H2279" i="1"/>
  <c r="I2279" i="1"/>
  <c r="H2280" i="1"/>
  <c r="I2280" i="1"/>
  <c r="H2281" i="1"/>
  <c r="I2281" i="1"/>
  <c r="H2282" i="1"/>
  <c r="I2282" i="1"/>
  <c r="H2283" i="1"/>
  <c r="I2283" i="1"/>
  <c r="H2284" i="1"/>
  <c r="I2284" i="1"/>
  <c r="H2285" i="1"/>
  <c r="I2285" i="1"/>
  <c r="H2286" i="1"/>
  <c r="I2286" i="1"/>
  <c r="H2287" i="1"/>
  <c r="I2287" i="1"/>
  <c r="H2288" i="1"/>
  <c r="I2288" i="1"/>
  <c r="H2289" i="1"/>
  <c r="I2289" i="1"/>
  <c r="H2290" i="1"/>
  <c r="I2290" i="1"/>
  <c r="H2291" i="1"/>
  <c r="I2291" i="1"/>
  <c r="H2292" i="1"/>
  <c r="I2292" i="1"/>
  <c r="H2293" i="1"/>
  <c r="I2293" i="1"/>
  <c r="H2294" i="1"/>
  <c r="I2294" i="1"/>
  <c r="H2295" i="1"/>
  <c r="I2295" i="1"/>
  <c r="H2296" i="1"/>
  <c r="I2296" i="1"/>
  <c r="H2297" i="1"/>
  <c r="I2297" i="1"/>
  <c r="H2298" i="1"/>
  <c r="I2298" i="1"/>
  <c r="H2299" i="1"/>
  <c r="I2299" i="1"/>
  <c r="H2300" i="1"/>
  <c r="I2300" i="1"/>
  <c r="H2301" i="1"/>
  <c r="I2301" i="1"/>
  <c r="H2302" i="1"/>
  <c r="I2302" i="1"/>
  <c r="H2303" i="1"/>
  <c r="I2303" i="1"/>
  <c r="H2304" i="1"/>
  <c r="I2304" i="1"/>
  <c r="H2305" i="1"/>
  <c r="I2305" i="1"/>
  <c r="H2306" i="1"/>
  <c r="I2306" i="1"/>
  <c r="H2307" i="1"/>
  <c r="I2307" i="1"/>
  <c r="H2308" i="1"/>
  <c r="I2308" i="1"/>
  <c r="H2309" i="1"/>
  <c r="I2309" i="1"/>
  <c r="H2310" i="1"/>
  <c r="I2310" i="1"/>
  <c r="H2311" i="1"/>
  <c r="I2311" i="1"/>
  <c r="H2312" i="1"/>
  <c r="I2312" i="1"/>
  <c r="H2313" i="1"/>
  <c r="I2313" i="1"/>
  <c r="H2314" i="1"/>
  <c r="I2314" i="1"/>
  <c r="H2315" i="1"/>
  <c r="I2315" i="1"/>
  <c r="H2316" i="1"/>
  <c r="I2316" i="1"/>
  <c r="H2317" i="1"/>
  <c r="I2317" i="1"/>
  <c r="H2318" i="1"/>
  <c r="I2318" i="1"/>
  <c r="H2319" i="1"/>
  <c r="I2319" i="1"/>
  <c r="H2320" i="1"/>
  <c r="I2320" i="1"/>
  <c r="H2321" i="1"/>
  <c r="I2321" i="1"/>
  <c r="H2322" i="1"/>
  <c r="I2322" i="1"/>
  <c r="H2323" i="1"/>
  <c r="I2323" i="1"/>
  <c r="H2324" i="1"/>
  <c r="I2324" i="1"/>
  <c r="H2325" i="1"/>
  <c r="I2325" i="1"/>
  <c r="H2326" i="1"/>
  <c r="I2326" i="1"/>
  <c r="H2327" i="1"/>
  <c r="I2327" i="1"/>
  <c r="H2328" i="1"/>
  <c r="I2328" i="1"/>
  <c r="H2329" i="1"/>
  <c r="I2329" i="1"/>
  <c r="H2330" i="1"/>
  <c r="I2330" i="1"/>
  <c r="H2331" i="1"/>
  <c r="I2331" i="1"/>
  <c r="H2332" i="1"/>
  <c r="I2332" i="1"/>
  <c r="H2333" i="1"/>
  <c r="I2333" i="1"/>
  <c r="H2334" i="1"/>
  <c r="I2334" i="1"/>
  <c r="H2335" i="1"/>
  <c r="I2335" i="1"/>
  <c r="H2336" i="1"/>
  <c r="I2336" i="1"/>
  <c r="H2337" i="1"/>
  <c r="I2337" i="1"/>
  <c r="H2338" i="1"/>
  <c r="I2338" i="1"/>
  <c r="H2339" i="1"/>
  <c r="I2339" i="1"/>
  <c r="H2340" i="1"/>
  <c r="I2340" i="1"/>
  <c r="H2341" i="1"/>
  <c r="I2341" i="1"/>
  <c r="H2342" i="1"/>
  <c r="I2342" i="1"/>
  <c r="H2343" i="1"/>
  <c r="I2343" i="1"/>
  <c r="H2344" i="1"/>
  <c r="I2344" i="1"/>
  <c r="H2345" i="1"/>
  <c r="I2345" i="1"/>
  <c r="H2346" i="1"/>
  <c r="I2346" i="1"/>
  <c r="H2347" i="1"/>
  <c r="I2347" i="1"/>
  <c r="H2348" i="1"/>
  <c r="I2348" i="1"/>
  <c r="H2349" i="1"/>
  <c r="I2349" i="1"/>
  <c r="H2350" i="1"/>
  <c r="I2350" i="1"/>
  <c r="H2351" i="1"/>
  <c r="I2351" i="1"/>
  <c r="H2352" i="1"/>
  <c r="I2352" i="1"/>
  <c r="H2353" i="1"/>
  <c r="I2353" i="1"/>
  <c r="H2354" i="1"/>
  <c r="I2354" i="1"/>
  <c r="H2355" i="1"/>
  <c r="I2355" i="1"/>
  <c r="H2356" i="1"/>
  <c r="I2356" i="1"/>
  <c r="H2357" i="1"/>
  <c r="I2357" i="1"/>
  <c r="H2358" i="1"/>
  <c r="I2358" i="1"/>
  <c r="H2359" i="1"/>
  <c r="I2359" i="1"/>
  <c r="H2360" i="1"/>
  <c r="I2360" i="1"/>
  <c r="H2361" i="1"/>
  <c r="I2361" i="1"/>
  <c r="H2362" i="1"/>
  <c r="I2362" i="1"/>
  <c r="H2363" i="1"/>
  <c r="I2363" i="1"/>
  <c r="H2364" i="1"/>
  <c r="I2364" i="1"/>
  <c r="H2365" i="1"/>
  <c r="I2365" i="1"/>
  <c r="H2366" i="1"/>
  <c r="I2366" i="1"/>
  <c r="H2367" i="1"/>
  <c r="I2367" i="1"/>
  <c r="H2368" i="1"/>
  <c r="I2368" i="1"/>
  <c r="H2369" i="1"/>
  <c r="I2369" i="1"/>
  <c r="H2370" i="1"/>
  <c r="I2370" i="1"/>
  <c r="H2371" i="1"/>
  <c r="I2371" i="1"/>
  <c r="H2372" i="1"/>
  <c r="I2372" i="1"/>
  <c r="H2373" i="1"/>
  <c r="I2373" i="1"/>
  <c r="H2374" i="1"/>
  <c r="I2374" i="1"/>
  <c r="H2375" i="1"/>
  <c r="I2375" i="1"/>
  <c r="H2376" i="1"/>
  <c r="I2376" i="1"/>
  <c r="H2377" i="1"/>
  <c r="I2377" i="1"/>
  <c r="H2378" i="1"/>
  <c r="I2378" i="1"/>
  <c r="H2379" i="1"/>
  <c r="I2379" i="1"/>
  <c r="H2380" i="1"/>
  <c r="I2380" i="1"/>
  <c r="H2381" i="1"/>
  <c r="I2381" i="1"/>
  <c r="H2382" i="1"/>
  <c r="I2382" i="1"/>
  <c r="H2383" i="1"/>
  <c r="I2383" i="1"/>
  <c r="H2384" i="1"/>
  <c r="I2384" i="1"/>
  <c r="H2385" i="1"/>
  <c r="I2385" i="1"/>
  <c r="H2386" i="1"/>
  <c r="I2386" i="1"/>
  <c r="H2387" i="1"/>
  <c r="I2387" i="1"/>
  <c r="H2388" i="1"/>
  <c r="I2388" i="1"/>
  <c r="H2389" i="1"/>
  <c r="I2389" i="1"/>
  <c r="H2390" i="1"/>
  <c r="I2390" i="1"/>
  <c r="H2391" i="1"/>
  <c r="I2391" i="1"/>
  <c r="H2392" i="1"/>
  <c r="I2392" i="1"/>
  <c r="H2393" i="1"/>
  <c r="I2393" i="1"/>
  <c r="H2394" i="1"/>
  <c r="I2394" i="1"/>
  <c r="H2395" i="1"/>
  <c r="I2395" i="1"/>
  <c r="H2396" i="1"/>
  <c r="I2396" i="1"/>
  <c r="H2397" i="1"/>
  <c r="I2397" i="1"/>
  <c r="H2398" i="1"/>
  <c r="I2398" i="1"/>
  <c r="H2399" i="1"/>
  <c r="I2399" i="1"/>
  <c r="H2400" i="1"/>
  <c r="I2400" i="1"/>
  <c r="H2401" i="1"/>
  <c r="I2401" i="1"/>
  <c r="H2402" i="1"/>
  <c r="I2402" i="1"/>
  <c r="H2403" i="1"/>
  <c r="I2403" i="1"/>
  <c r="H2404" i="1"/>
  <c r="I2404" i="1"/>
  <c r="H2405" i="1"/>
  <c r="I2405" i="1"/>
  <c r="H2406" i="1"/>
  <c r="I2406" i="1"/>
  <c r="H2407" i="1"/>
  <c r="I2407" i="1"/>
  <c r="H2408" i="1"/>
  <c r="I2408" i="1"/>
  <c r="H2409" i="1"/>
  <c r="I2409" i="1"/>
  <c r="H2410" i="1"/>
  <c r="I2410" i="1"/>
  <c r="H2411" i="1"/>
  <c r="I2411" i="1"/>
  <c r="H2412" i="1"/>
  <c r="I2412" i="1"/>
  <c r="H2413" i="1"/>
  <c r="I2413" i="1"/>
  <c r="H2414" i="1"/>
  <c r="I2414" i="1"/>
  <c r="H2415" i="1"/>
  <c r="I2415" i="1"/>
  <c r="H2416" i="1"/>
  <c r="I2416" i="1"/>
  <c r="H2417" i="1"/>
  <c r="I2417" i="1"/>
  <c r="H2418" i="1"/>
  <c r="I2418" i="1"/>
  <c r="H2419" i="1"/>
  <c r="I2419" i="1"/>
  <c r="H2420" i="1"/>
  <c r="I2420" i="1"/>
  <c r="H2421" i="1"/>
  <c r="I2421" i="1"/>
  <c r="H2422" i="1"/>
  <c r="I2422" i="1"/>
  <c r="H2423" i="1"/>
  <c r="I2423" i="1"/>
  <c r="H2424" i="1"/>
  <c r="I2424" i="1"/>
  <c r="H2425" i="1"/>
  <c r="I2425" i="1"/>
  <c r="H2426" i="1"/>
  <c r="I2426" i="1"/>
  <c r="H2427" i="1"/>
  <c r="I2427" i="1"/>
  <c r="H2428" i="1"/>
  <c r="I2428" i="1"/>
  <c r="H2429" i="1"/>
  <c r="I2429" i="1"/>
  <c r="H2430" i="1"/>
  <c r="I2430" i="1"/>
  <c r="H2431" i="1"/>
  <c r="I2431" i="1"/>
  <c r="H2432" i="1"/>
  <c r="I2432" i="1"/>
  <c r="H2433" i="1"/>
  <c r="I2433" i="1"/>
  <c r="H2434" i="1"/>
  <c r="I2434" i="1"/>
  <c r="H2435" i="1"/>
  <c r="I2435" i="1"/>
  <c r="H2436" i="1"/>
  <c r="I2436" i="1"/>
  <c r="H2437" i="1"/>
  <c r="I2437" i="1"/>
  <c r="H2438" i="1"/>
  <c r="I2438" i="1"/>
  <c r="H2439" i="1"/>
  <c r="I2439" i="1"/>
  <c r="H2440" i="1"/>
  <c r="I2440" i="1"/>
  <c r="H2441" i="1"/>
  <c r="I2441" i="1"/>
  <c r="H2442" i="1"/>
  <c r="I2442" i="1"/>
  <c r="H2443" i="1"/>
  <c r="I2443" i="1"/>
  <c r="H2444" i="1"/>
  <c r="I2444" i="1"/>
  <c r="H2445" i="1"/>
  <c r="I2445" i="1"/>
  <c r="H2446" i="1"/>
  <c r="I2446" i="1"/>
  <c r="H2447" i="1"/>
  <c r="I2447" i="1"/>
  <c r="H2448" i="1"/>
  <c r="I2448" i="1"/>
  <c r="H2449" i="1"/>
  <c r="I2449" i="1"/>
  <c r="H2450" i="1"/>
  <c r="I2450" i="1"/>
  <c r="H2451" i="1"/>
  <c r="I2451" i="1"/>
  <c r="H2452" i="1"/>
  <c r="I2452" i="1"/>
  <c r="H2453" i="1"/>
  <c r="I2453" i="1"/>
  <c r="H2454" i="1"/>
  <c r="I2454" i="1"/>
  <c r="H2455" i="1"/>
  <c r="I2455" i="1"/>
  <c r="H2456" i="1"/>
  <c r="I2456" i="1"/>
  <c r="H2457" i="1"/>
  <c r="I2457" i="1"/>
  <c r="H2458" i="1"/>
  <c r="I2458" i="1"/>
  <c r="H2459" i="1"/>
  <c r="I2459" i="1"/>
  <c r="H2460" i="1"/>
  <c r="I2460" i="1"/>
  <c r="H2461" i="1"/>
  <c r="I2461" i="1"/>
  <c r="H2462" i="1"/>
  <c r="I2462" i="1"/>
  <c r="H2463" i="1"/>
  <c r="I2463" i="1"/>
  <c r="H2464" i="1"/>
  <c r="I2464" i="1"/>
  <c r="H2465" i="1"/>
  <c r="I2465" i="1"/>
  <c r="H2466" i="1"/>
  <c r="I2466" i="1"/>
  <c r="H2467" i="1"/>
  <c r="I2467" i="1"/>
  <c r="H2468" i="1"/>
  <c r="I2468" i="1"/>
  <c r="H2469" i="1"/>
  <c r="I2469" i="1"/>
  <c r="H2470" i="1"/>
  <c r="I2470" i="1"/>
  <c r="H2471" i="1"/>
  <c r="I2471" i="1"/>
  <c r="H2472" i="1"/>
  <c r="I2472" i="1"/>
  <c r="H2473" i="1"/>
  <c r="I2473" i="1"/>
  <c r="H2474" i="1"/>
  <c r="I2474" i="1"/>
  <c r="H2475" i="1"/>
  <c r="I2475" i="1"/>
  <c r="H2476" i="1"/>
  <c r="I2476" i="1"/>
  <c r="H2477" i="1"/>
  <c r="I2477" i="1"/>
  <c r="H2478" i="1"/>
  <c r="I2478" i="1"/>
  <c r="H2479" i="1"/>
  <c r="I2479" i="1"/>
  <c r="H2480" i="1"/>
  <c r="I2480" i="1"/>
  <c r="H2481" i="1"/>
  <c r="I2481" i="1"/>
  <c r="H2482" i="1"/>
  <c r="I2482" i="1"/>
  <c r="H2483" i="1"/>
  <c r="I2483" i="1"/>
  <c r="H2484" i="1"/>
  <c r="I2484" i="1"/>
  <c r="H2485" i="1"/>
  <c r="I2485" i="1"/>
  <c r="H2486" i="1"/>
  <c r="I2486" i="1"/>
  <c r="H2487" i="1"/>
  <c r="I2487" i="1"/>
  <c r="H2488" i="1"/>
  <c r="I2488" i="1"/>
  <c r="H2489" i="1"/>
  <c r="I2489" i="1"/>
  <c r="H2490" i="1"/>
  <c r="I2490" i="1"/>
  <c r="H2491" i="1"/>
  <c r="I2491" i="1"/>
  <c r="H2492" i="1"/>
  <c r="I2492" i="1"/>
  <c r="H2493" i="1"/>
  <c r="I2493" i="1"/>
  <c r="H2494" i="1"/>
  <c r="I2494" i="1"/>
  <c r="H2495" i="1"/>
  <c r="I2495" i="1"/>
  <c r="H2496" i="1"/>
  <c r="I2496" i="1"/>
  <c r="H2497" i="1"/>
  <c r="I2497" i="1"/>
  <c r="H2498" i="1"/>
  <c r="I2498" i="1"/>
  <c r="H2499" i="1"/>
  <c r="I2499" i="1"/>
  <c r="H2500" i="1"/>
  <c r="I2500" i="1"/>
  <c r="H2501" i="1"/>
  <c r="I2501" i="1"/>
  <c r="H2502" i="1"/>
  <c r="I2502" i="1"/>
  <c r="H2503" i="1"/>
  <c r="I2503" i="1"/>
  <c r="I4" i="1"/>
  <c r="H4" i="1"/>
  <c r="G5" i="17"/>
  <c r="F5" i="17"/>
  <c r="E5" i="17"/>
  <c r="D5" i="17"/>
  <c r="C5" i="17"/>
  <c r="G4" i="17"/>
  <c r="F4" i="17"/>
  <c r="E4" i="17"/>
  <c r="D4" i="17"/>
  <c r="C4" i="17"/>
  <c r="B5" i="17"/>
  <c r="B4" i="17"/>
  <c r="G13" i="17"/>
  <c r="F13" i="17"/>
  <c r="E13" i="17"/>
  <c r="D13" i="17"/>
  <c r="C13" i="17"/>
  <c r="B13" i="17"/>
  <c r="G15" i="17"/>
  <c r="G3" i="17" s="1"/>
  <c r="F15" i="17"/>
  <c r="F3" i="17" s="1"/>
  <c r="E15" i="17"/>
  <c r="E3" i="17" s="1"/>
  <c r="D15" i="17"/>
  <c r="D3" i="17" s="1"/>
  <c r="C15" i="17"/>
  <c r="C3" i="17" s="1"/>
  <c r="G14" i="17"/>
  <c r="F14" i="17"/>
  <c r="E14" i="17"/>
  <c r="D14" i="17"/>
  <c r="C14" i="17"/>
  <c r="G12" i="17"/>
  <c r="F12" i="17"/>
  <c r="E12" i="17"/>
  <c r="D12" i="17"/>
  <c r="C12" i="17"/>
  <c r="G11" i="17"/>
  <c r="F11" i="17"/>
  <c r="E11" i="17"/>
  <c r="D11" i="17"/>
  <c r="C11" i="17"/>
  <c r="G10" i="17"/>
  <c r="F10" i="17"/>
  <c r="E10" i="17"/>
  <c r="D10" i="17"/>
  <c r="C10" i="17"/>
  <c r="G9" i="17"/>
  <c r="F9" i="17"/>
  <c r="E9" i="17"/>
  <c r="D9" i="17"/>
  <c r="C9" i="17"/>
  <c r="G8" i="17"/>
  <c r="F8" i="17"/>
  <c r="E8" i="17"/>
  <c r="D8" i="17"/>
  <c r="C8" i="17"/>
  <c r="G7" i="17"/>
  <c r="F7" i="17"/>
  <c r="E7" i="17"/>
  <c r="D7" i="17"/>
  <c r="C7" i="17"/>
  <c r="G6" i="17"/>
  <c r="F6" i="17"/>
  <c r="E6" i="17"/>
  <c r="D6" i="17"/>
  <c r="C6" i="17"/>
  <c r="G2" i="17"/>
  <c r="F2" i="17"/>
  <c r="E2" i="17"/>
  <c r="D2" i="17"/>
  <c r="C2" i="17"/>
  <c r="B15" i="17"/>
  <c r="B14" i="17"/>
  <c r="B12" i="17"/>
  <c r="B11" i="17"/>
  <c r="B10" i="17"/>
  <c r="B9" i="17"/>
  <c r="B8" i="17"/>
  <c r="B7" i="17"/>
  <c r="B3" i="17"/>
  <c r="B6" i="17"/>
  <c r="B2" i="17"/>
  <c r="F21" i="29" l="1"/>
  <c r="F19" i="29"/>
  <c r="F21" i="28"/>
  <c r="F19" i="24"/>
  <c r="F20" i="24"/>
  <c r="F21" i="23"/>
  <c r="F19" i="23"/>
  <c r="I10" i="17"/>
  <c r="H15" i="17"/>
  <c r="I6" i="17"/>
  <c r="I7" i="17"/>
  <c r="I8" i="17"/>
  <c r="I11" i="17"/>
  <c r="I12" i="17"/>
  <c r="H2" i="17"/>
  <c r="H3" i="17"/>
  <c r="H4" i="17"/>
  <c r="H5" i="17"/>
  <c r="H6" i="17"/>
  <c r="H7" i="17"/>
  <c r="H8" i="17"/>
  <c r="H9" i="17"/>
  <c r="H10" i="17"/>
  <c r="H11" i="17"/>
  <c r="H12" i="17"/>
  <c r="H13" i="17"/>
  <c r="H14" i="17"/>
  <c r="I13" i="17"/>
  <c r="I14" i="17"/>
  <c r="I15" i="17"/>
  <c r="I3" i="17" s="1"/>
  <c r="I2" i="17"/>
  <c r="I4" i="17"/>
  <c r="I5" i="17"/>
  <c r="I9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ajay</author>
  </authors>
  <commentList>
    <comment ref="B3" authorId="0" shapeId="0" xr:uid="{00000000-0006-0000-0100-000001000000}">
      <text>
        <r>
          <rPr>
            <sz val="8"/>
            <color indexed="81"/>
            <rFont val="Tahoma"/>
            <family val="2"/>
          </rPr>
          <t>Age in Years</t>
        </r>
      </text>
    </comment>
    <comment ref="C3" authorId="0" shapeId="0" xr:uid="{00000000-0006-0000-0100-000002000000}">
      <text>
        <r>
          <rPr>
            <sz val="8"/>
            <color indexed="81"/>
            <rFont val="Tahoma"/>
            <family val="2"/>
          </rPr>
          <t xml:space="preserve">Work experience in years
</t>
        </r>
      </text>
    </comment>
    <comment ref="D3" authorId="0" shapeId="0" xr:uid="{00000000-0006-0000-0100-000003000000}">
      <text>
        <r>
          <rPr>
            <sz val="8"/>
            <color indexed="81"/>
            <rFont val="Tahoma"/>
            <family val="2"/>
          </rPr>
          <t>Estimated annual income (in $1,000s)</t>
        </r>
      </text>
    </comment>
    <comment ref="E3" authorId="0" shapeId="0" xr:uid="{00000000-0006-0000-0100-000004000000}">
      <text>
        <r>
          <rPr>
            <sz val="8"/>
            <color indexed="81"/>
            <rFont val="Tahoma"/>
            <family val="2"/>
          </rPr>
          <t xml:space="preserve"> Family size
</t>
        </r>
      </text>
    </comment>
    <comment ref="F3" authorId="0" shapeId="0" xr:uid="{00000000-0006-0000-0100-000005000000}">
      <text>
        <r>
          <rPr>
            <sz val="8"/>
            <color indexed="81"/>
            <rFont val="Tahoma"/>
            <family val="2"/>
          </rPr>
          <t>Avg. spending on bank issued credit card per month (in $1,000s)</t>
        </r>
      </text>
    </comment>
    <comment ref="G3" authorId="0" shapeId="0" xr:uid="{00000000-0006-0000-0100-000006000000}">
      <text>
        <r>
          <rPr>
            <sz val="8"/>
            <color indexed="81"/>
            <rFont val="Tahoma"/>
            <family val="2"/>
          </rPr>
          <t>Education level:
1- undergrad
2- Graduate
3- Advanced</t>
        </r>
      </text>
    </comment>
    <comment ref="J3" authorId="0" shapeId="0" xr:uid="{00000000-0006-0000-0100-000007000000}">
      <text>
        <r>
          <rPr>
            <sz val="8"/>
            <color indexed="81"/>
            <rFont val="Tahoma"/>
            <family val="2"/>
          </rPr>
          <t>Mortgage value if the bank holds a mortgage on the house (in $1,000s)</t>
        </r>
      </text>
    </comment>
    <comment ref="K3" authorId="0" shapeId="0" xr:uid="{00000000-0006-0000-0100-000008000000}">
      <text>
        <r>
          <rPr>
            <sz val="8"/>
            <color indexed="81"/>
            <rFont val="Tahoma"/>
            <family val="2"/>
          </rPr>
          <t xml:space="preserve">Does the customer have a securities account with the bank?
</t>
        </r>
      </text>
    </comment>
    <comment ref="L3" authorId="0" shapeId="0" xr:uid="{00000000-0006-0000-0100-000009000000}">
      <text>
        <r>
          <rPr>
            <sz val="8"/>
            <color indexed="81"/>
            <rFont val="Tahoma"/>
            <family val="2"/>
          </rPr>
          <t xml:space="preserve">Does the customer have a CD (Certificate of Deposit) account with the bank?
</t>
        </r>
      </text>
    </comment>
    <comment ref="M3" authorId="0" shapeId="0" xr:uid="{00000000-0006-0000-0100-00000A000000}">
      <text>
        <r>
          <rPr>
            <sz val="8"/>
            <color indexed="81"/>
            <rFont val="Tahoma"/>
            <family val="2"/>
          </rPr>
          <t>Is the customer an active user of online banking services?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3" authorId="0" shapeId="0" xr:uid="{00000000-0006-0000-0100-00000B000000}">
      <text>
        <r>
          <rPr>
            <sz val="8"/>
            <color indexed="81"/>
            <rFont val="Tahoma"/>
            <family val="2"/>
          </rPr>
          <t>Does the customer have a credit card issued by the bank?</t>
        </r>
      </text>
    </comment>
    <comment ref="O3" authorId="0" shapeId="0" xr:uid="{00000000-0006-0000-0100-00000C000000}">
      <text>
        <r>
          <rPr>
            <sz val="8"/>
            <color indexed="81"/>
            <rFont val="Tahoma"/>
            <family val="2"/>
          </rPr>
          <t xml:space="preserve">Did the customer accept the offer for a personal loan in response to the last solicitation? </t>
        </r>
      </text>
    </comment>
  </commentList>
</comments>
</file>

<file path=xl/sharedStrings.xml><?xml version="1.0" encoding="utf-8"?>
<sst xmlns="http://schemas.openxmlformats.org/spreadsheetml/2006/main" count="5418" uniqueCount="1828">
  <si>
    <t>ID</t>
  </si>
  <si>
    <t>Age</t>
  </si>
  <si>
    <t>Income</t>
  </si>
  <si>
    <t>Education</t>
  </si>
  <si>
    <t>Experience</t>
  </si>
  <si>
    <t>CD Account</t>
  </si>
  <si>
    <t>Securities Account</t>
  </si>
  <si>
    <t>Mortgage</t>
  </si>
  <si>
    <t>Personal Loan</t>
  </si>
  <si>
    <t>Does the customer use a credit card issued by the bank? (1=yes, 0=no)</t>
  </si>
  <si>
    <t>Does the customer use internet banking facilities? (1=yes, 0=no)</t>
  </si>
  <si>
    <t>Does the customer have a Certificate of Deposit (CD) account with the bank? (1=yes, 0=no)</t>
  </si>
  <si>
    <t>Does the customer have a Securities account with the bank? (1=yes, 0=no)</t>
  </si>
  <si>
    <t>Did this customer accept the personal loan offered in the last solicitation? (1=yes, 0=no)</t>
  </si>
  <si>
    <t>Value of house mortgage held by bank (in $1,000)</t>
  </si>
  <si>
    <t>Estimated annual income of the customer ($1,000)</t>
  </si>
  <si>
    <t>Number of years of professional work experience</t>
  </si>
  <si>
    <t>Data Description</t>
  </si>
  <si>
    <t>Work Experience</t>
  </si>
  <si>
    <t>Online Banking</t>
  </si>
  <si>
    <t>Credit Card</t>
  </si>
  <si>
    <t>Credit Card Avg</t>
  </si>
  <si>
    <t>Family Size</t>
  </si>
  <si>
    <t>Customer's age in years</t>
  </si>
  <si>
    <t>Family size of the customer</t>
  </si>
  <si>
    <t>Average spending on bank issued credit cards per month (in $1,000s)</t>
  </si>
  <si>
    <t>Education Level - 1: Undergrad; 2: Graduate; 3: Advanced/Professional</t>
  </si>
  <si>
    <t>Sequential customer ID number</t>
  </si>
  <si>
    <t>Mean</t>
  </si>
  <si>
    <t>Standard Error</t>
  </si>
  <si>
    <t>Median</t>
  </si>
  <si>
    <t>Mode</t>
  </si>
  <si>
    <t>Standard Deviation</t>
  </si>
  <si>
    <t>Sample Variance</t>
  </si>
  <si>
    <t>Kurtosis</t>
  </si>
  <si>
    <t>Skewness</t>
  </si>
  <si>
    <t>Range</t>
  </si>
  <si>
    <t>Minimum</t>
  </si>
  <si>
    <t>Maximum</t>
  </si>
  <si>
    <t>Sum</t>
  </si>
  <si>
    <t>Count</t>
  </si>
  <si>
    <t>Statistic</t>
  </si>
  <si>
    <t>Missing</t>
  </si>
  <si>
    <t>EdLevel-1</t>
  </si>
  <si>
    <t>EdLevel-2</t>
  </si>
  <si>
    <t>EdLEvel-2</t>
  </si>
  <si>
    <t>Binary conversion of Education</t>
  </si>
  <si>
    <t>XLMiner : Data Partition With Oversampling Sheet</t>
  </si>
  <si>
    <t>Date: 21-May-2016 18:01:56</t>
  </si>
  <si>
    <t>Output Navigator</t>
  </si>
  <si>
    <t>Elapsed Times in Milliseconds</t>
  </si>
  <si>
    <t>Partition Time</t>
  </si>
  <si>
    <t>Report Time</t>
  </si>
  <si>
    <t>Total</t>
  </si>
  <si>
    <t>Data</t>
  </si>
  <si>
    <t>Workbook</t>
  </si>
  <si>
    <t>Fig10-6.xlsm</t>
  </si>
  <si>
    <t>Worksheet</t>
  </si>
  <si>
    <t>$A$3:$O$2503</t>
  </si>
  <si>
    <t>Selected Variables</t>
  </si>
  <si>
    <t>Partitioning Method</t>
  </si>
  <si>
    <t>Partitioning with oversampling</t>
  </si>
  <si>
    <t>Random Seed</t>
  </si>
  <si>
    <t># training rows</t>
  </si>
  <si>
    <t># validation rows</t>
  </si>
  <si>
    <t># test rows</t>
  </si>
  <si>
    <t xml:space="preserve">Selected output variable </t>
  </si>
  <si>
    <t>% Success in Training data</t>
  </si>
  <si>
    <t>% Validation data taken away as test data</t>
  </si>
  <si>
    <t>% Success in original data set</t>
  </si>
  <si>
    <t>Train. Data</t>
  </si>
  <si>
    <t>Valid. Data</t>
  </si>
  <si>
    <t>All Data</t>
  </si>
  <si>
    <t>Data Mining: Oversampling Partitioner</t>
  </si>
  <si>
    <t>Inputs</t>
  </si>
  <si>
    <t>Partition Summary</t>
  </si>
  <si>
    <t>Data Range</t>
  </si>
  <si>
    <t># Records</t>
  </si>
  <si>
    <t>Variables</t>
  </si>
  <si>
    <t># Variables</t>
  </si>
  <si>
    <t>Scale Variables</t>
  </si>
  <si>
    <t>Output Variable</t>
  </si>
  <si>
    <t>Partitioning with Oversampling Parameters</t>
  </si>
  <si>
    <t>Random seed</t>
  </si>
  <si>
    <t>% Success in training data</t>
  </si>
  <si>
    <t>Success class</t>
  </si>
  <si>
    <t>Data Reading Time</t>
  </si>
  <si>
    <t>Algorithm Time</t>
  </si>
  <si>
    <t>Date: 21-Oct-2021 00:41:16</t>
  </si>
  <si>
    <t>{"comment":"this RASON template was auto-generated by Analytic Solver Data Mining","datasources":{},"datasets":{},"transformer":{"oversamplingPartitioner":{"type":"transformation","algorithm":"oversamplePartitioning","parameters":{"seed":12345,"successClass":"1","successRatioInTraining":0.5,"testRatioFromValidation":0}}},"actions":{}}</t>
  </si>
  <si>
    <t>Partitioned Data</t>
  </si>
  <si>
    <t>Partition</t>
  </si>
  <si>
    <t>Training</t>
  </si>
  <si>
    <t>Validation</t>
  </si>
  <si>
    <t>Testing</t>
  </si>
  <si>
    <t>Feature 1</t>
  </si>
  <si>
    <t>Success rate (input)</t>
  </si>
  <si>
    <t>Record ID</t>
  </si>
  <si>
    <t>Record 1977</t>
  </si>
  <si>
    <t>Record 1227</t>
  </si>
  <si>
    <t>Record 1593</t>
  </si>
  <si>
    <t>Record 2099</t>
  </si>
  <si>
    <t>Record 2102</t>
  </si>
  <si>
    <t>Record 996</t>
  </si>
  <si>
    <t>Record 1085</t>
  </si>
  <si>
    <t>Record 580</t>
  </si>
  <si>
    <t>Record 2161</t>
  </si>
  <si>
    <t>Record 2198</t>
  </si>
  <si>
    <t>Record 2208</t>
  </si>
  <si>
    <t>Record 1795</t>
  </si>
  <si>
    <t>Record 2042</t>
  </si>
  <si>
    <t>Record 915</t>
  </si>
  <si>
    <t>Record 2253</t>
  </si>
  <si>
    <t>Record 2291</t>
  </si>
  <si>
    <t>Record 571</t>
  </si>
  <si>
    <t>Record 2085</t>
  </si>
  <si>
    <t>Record 1418</t>
  </si>
  <si>
    <t>Record 1487</t>
  </si>
  <si>
    <t>Record 560</t>
  </si>
  <si>
    <t>Record 1069</t>
  </si>
  <si>
    <t>Record 901</t>
  </si>
  <si>
    <t>Record 788</t>
  </si>
  <si>
    <t>Record 2417</t>
  </si>
  <si>
    <t>Record 1710</t>
  </si>
  <si>
    <t>Record 2429</t>
  </si>
  <si>
    <t>Record 1914</t>
  </si>
  <si>
    <t>Record 1207</t>
  </si>
  <si>
    <t>Record 1826</t>
  </si>
  <si>
    <t>Record 1135</t>
  </si>
  <si>
    <t>Record 1266</t>
  </si>
  <si>
    <t>Record 2489</t>
  </si>
  <si>
    <t>Record 1652</t>
  </si>
  <si>
    <t>Record 572</t>
  </si>
  <si>
    <t>Record 709</t>
  </si>
  <si>
    <t>Record 2179</t>
  </si>
  <si>
    <t>Record 1702</t>
  </si>
  <si>
    <t>Record 2265</t>
  </si>
  <si>
    <t>Record 404</t>
  </si>
  <si>
    <t>Record 2338</t>
  </si>
  <si>
    <t>Record 152</t>
  </si>
  <si>
    <t>Record 2444</t>
  </si>
  <si>
    <t>Record 2022</t>
  </si>
  <si>
    <t>Record 2137</t>
  </si>
  <si>
    <t>Record 2286</t>
  </si>
  <si>
    <t>Record 1147</t>
  </si>
  <si>
    <t>Record 2263</t>
  </si>
  <si>
    <t>Record 1516</t>
  </si>
  <si>
    <t>Record 2048</t>
  </si>
  <si>
    <t>Record 1904</t>
  </si>
  <si>
    <t>Record 22</t>
  </si>
  <si>
    <t>Record 506</t>
  </si>
  <si>
    <t>Record 1809</t>
  </si>
  <si>
    <t>Record 224</t>
  </si>
  <si>
    <t>Record 1960</t>
  </si>
  <si>
    <t>Record 474</t>
  </si>
  <si>
    <t>Record 1348</t>
  </si>
  <si>
    <t>Record 1781</t>
  </si>
  <si>
    <t>Record 123</t>
  </si>
  <si>
    <t>Record 1479</t>
  </si>
  <si>
    <t>Record 806</t>
  </si>
  <si>
    <t>Record 1138</t>
  </si>
  <si>
    <t>Record 315</t>
  </si>
  <si>
    <t>Record 443</t>
  </si>
  <si>
    <t>Record 251</t>
  </si>
  <si>
    <t>Record 2003</t>
  </si>
  <si>
    <t>Record 1350</t>
  </si>
  <si>
    <t>Record 1871</t>
  </si>
  <si>
    <t>Record 1750</t>
  </si>
  <si>
    <t>Record 2348</t>
  </si>
  <si>
    <t>Record 1274</t>
  </si>
  <si>
    <t>Record 76</t>
  </si>
  <si>
    <t>Record 352</t>
  </si>
  <si>
    <t>Record 771</t>
  </si>
  <si>
    <t>Record 1564</t>
  </si>
  <si>
    <t>Record 2264</t>
  </si>
  <si>
    <t>Record 1484</t>
  </si>
  <si>
    <t>Record 660</t>
  </si>
  <si>
    <t>Record 2383</t>
  </si>
  <si>
    <t>Record 2316</t>
  </si>
  <si>
    <t>Record 2228</t>
  </si>
  <si>
    <t>Record 1205</t>
  </si>
  <si>
    <t>Record 1283</t>
  </si>
  <si>
    <t>Record 888</t>
  </si>
  <si>
    <t>Record 773</t>
  </si>
  <si>
    <t>Record 1890</t>
  </si>
  <si>
    <t>Record 777</t>
  </si>
  <si>
    <t>Record 906</t>
  </si>
  <si>
    <t>Record 2277</t>
  </si>
  <si>
    <t>Record 2362</t>
  </si>
  <si>
    <t>Record 1127</t>
  </si>
  <si>
    <t>Record 682</t>
  </si>
  <si>
    <t>Record 2015</t>
  </si>
  <si>
    <t>Record 941</t>
  </si>
  <si>
    <t>Record 1605</t>
  </si>
  <si>
    <t>Record 1571</t>
  </si>
  <si>
    <t>Record 250</t>
  </si>
  <si>
    <t>Record 712</t>
  </si>
  <si>
    <t>Record 409</t>
  </si>
  <si>
    <t>Record 684</t>
  </si>
  <si>
    <t>Record 1424</t>
  </si>
  <si>
    <t>Record 740</t>
  </si>
  <si>
    <t>Record 312</t>
  </si>
  <si>
    <t>Record 2068</t>
  </si>
  <si>
    <t>Record 957</t>
  </si>
  <si>
    <t>Record 814</t>
  </si>
  <si>
    <t>Record 2434</t>
  </si>
  <si>
    <t>Record 501</t>
  </si>
  <si>
    <t>Record 1070</t>
  </si>
  <si>
    <t>Record 119</t>
  </si>
  <si>
    <t>Record 73</t>
  </si>
  <si>
    <t>Record 928</t>
  </si>
  <si>
    <t>Record 546</t>
  </si>
  <si>
    <t>Record 1936</t>
  </si>
  <si>
    <t>Record 1898</t>
  </si>
  <si>
    <t>Record 1078</t>
  </si>
  <si>
    <t>Record 1897</t>
  </si>
  <si>
    <t>Record 2191</t>
  </si>
  <si>
    <t>Record 2357</t>
  </si>
  <si>
    <t>Record 1008</t>
  </si>
  <si>
    <t>Record 1655</t>
  </si>
  <si>
    <t>Record 1882</t>
  </si>
  <si>
    <t>Record 173</t>
  </si>
  <si>
    <t>Record 1015</t>
  </si>
  <si>
    <t>Record 1660</t>
  </si>
  <si>
    <t>Record 2301</t>
  </si>
  <si>
    <t>Record 304</t>
  </si>
  <si>
    <t>Record 2193</t>
  </si>
  <si>
    <t>Record 252</t>
  </si>
  <si>
    <t>Record 723</t>
  </si>
  <si>
    <t>Record 2145</t>
  </si>
  <si>
    <t>Record 1113</t>
  </si>
  <si>
    <t>Record 1353</t>
  </si>
  <si>
    <t>Record 381</t>
  </si>
  <si>
    <t>Record 401</t>
  </si>
  <si>
    <t>Record 860</t>
  </si>
  <si>
    <t>Record 1673</t>
  </si>
  <si>
    <t>Record 1067</t>
  </si>
  <si>
    <t>Record 972</t>
  </si>
  <si>
    <t>Record 597</t>
  </si>
  <si>
    <t>Record 2214</t>
  </si>
  <si>
    <t>Record 1938</t>
  </si>
  <si>
    <t>Record 1437</t>
  </si>
  <si>
    <t>Record 1584</t>
  </si>
  <si>
    <t>Record 262</t>
  </si>
  <si>
    <t>Record 1217</t>
  </si>
  <si>
    <t>Record 782</t>
  </si>
  <si>
    <t>Record 897</t>
  </si>
  <si>
    <t>Record 620</t>
  </si>
  <si>
    <t>Record 1604</t>
  </si>
  <si>
    <t>Record 743</t>
  </si>
  <si>
    <t>Record 1288</t>
  </si>
  <si>
    <t>Record 1769</t>
  </si>
  <si>
    <t>Record 647</t>
  </si>
  <si>
    <t>Record 1583</t>
  </si>
  <si>
    <t>Record 1496</t>
  </si>
  <si>
    <t>Record 1412</t>
  </si>
  <si>
    <t>Record 1999</t>
  </si>
  <si>
    <t>Record 2392</t>
  </si>
  <si>
    <t>Record 200</t>
  </si>
  <si>
    <t>Record 1717</t>
  </si>
  <si>
    <t>Record 2064</t>
  </si>
  <si>
    <t>Record 178</t>
  </si>
  <si>
    <t>Record 356</t>
  </si>
  <si>
    <t>Record 1505</t>
  </si>
  <si>
    <t>Record 2246</t>
  </si>
  <si>
    <t>Record 2367</t>
  </si>
  <si>
    <t>Record 1653</t>
  </si>
  <si>
    <t>Record 1768</t>
  </si>
  <si>
    <t>Record 255</t>
  </si>
  <si>
    <t>Record 663</t>
  </si>
  <si>
    <t>Record 1786</t>
  </si>
  <si>
    <t>Record 439</t>
  </si>
  <si>
    <t>Record 1326</t>
  </si>
  <si>
    <t>Record 1557</t>
  </si>
  <si>
    <t>Record 900</t>
  </si>
  <si>
    <t>Record 57</t>
  </si>
  <si>
    <t>Record 2156</t>
  </si>
  <si>
    <t>Record 1616</t>
  </si>
  <si>
    <t>Record 892</t>
  </si>
  <si>
    <t>Record 1719</t>
  </si>
  <si>
    <t>Record 161</t>
  </si>
  <si>
    <t>Record 551</t>
  </si>
  <si>
    <t>Record 1703</t>
  </si>
  <si>
    <t>Record 2262</t>
  </si>
  <si>
    <t>Record 1039</t>
  </si>
  <si>
    <t>Record 1799</t>
  </si>
  <si>
    <t>Record 40</t>
  </si>
  <si>
    <t>Record 1289</t>
  </si>
  <si>
    <t>Record 1028</t>
  </si>
  <si>
    <t>Record 783</t>
  </si>
  <si>
    <t>Record 644</t>
  </si>
  <si>
    <t>Record 48</t>
  </si>
  <si>
    <t>Record 458</t>
  </si>
  <si>
    <t>Record 1153</t>
  </si>
  <si>
    <t>Record 2386</t>
  </si>
  <si>
    <t>Record 1578</t>
  </si>
  <si>
    <t>Record 1074</t>
  </si>
  <si>
    <t>Record 1519</t>
  </si>
  <si>
    <t>Record 738</t>
  </si>
  <si>
    <t>Record 1794</t>
  </si>
  <si>
    <t>Record 91</t>
  </si>
  <si>
    <t>Record 210</t>
  </si>
  <si>
    <t>Record 1019</t>
  </si>
  <si>
    <t>Record 479</t>
  </si>
  <si>
    <t>Record 722</t>
  </si>
  <si>
    <t>Record 2372</t>
  </si>
  <si>
    <t>Record 621</t>
  </si>
  <si>
    <t>Record 1436</t>
  </si>
  <si>
    <t>Record 2163</t>
  </si>
  <si>
    <t>Record 1106</t>
  </si>
  <si>
    <t>Record 1835</t>
  </si>
  <si>
    <t>Record 1419</t>
  </si>
  <si>
    <t>Record 1040</t>
  </si>
  <si>
    <t>Record 2374</t>
  </si>
  <si>
    <t>Record 1790</t>
  </si>
  <si>
    <t>Record 332</t>
  </si>
  <si>
    <t>Record 383</t>
  </si>
  <si>
    <t>Record 209</t>
  </si>
  <si>
    <t>Record 2314</t>
  </si>
  <si>
    <t>Record 2079</t>
  </si>
  <si>
    <t>Record 203</t>
  </si>
  <si>
    <t>Record 1150</t>
  </si>
  <si>
    <t>Record 2406</t>
  </si>
  <si>
    <t>Record 2478</t>
  </si>
  <si>
    <t>Record 2347</t>
  </si>
  <si>
    <t>Record 2066</t>
  </si>
  <si>
    <t>Record 1589</t>
  </si>
  <si>
    <t>Record 884</t>
  </si>
  <si>
    <t>Record 148</t>
  </si>
  <si>
    <t>Record 1279</t>
  </si>
  <si>
    <t>Record 434</t>
  </si>
  <si>
    <t>Record 476</t>
  </si>
  <si>
    <t>Record 651</t>
  </si>
  <si>
    <t>Record 1144</t>
  </si>
  <si>
    <t>Record 1455</t>
  </si>
  <si>
    <t>Record 1677</t>
  </si>
  <si>
    <t>Record 323</t>
  </si>
  <si>
    <t>Record 98</t>
  </si>
  <si>
    <t>Record 1338</t>
  </si>
  <si>
    <t>Record 2110</t>
  </si>
  <si>
    <t>Record 1727</t>
  </si>
  <si>
    <t>Record 2404</t>
  </si>
  <si>
    <t>Record 1834</t>
  </si>
  <si>
    <t>Record 1329</t>
  </si>
  <si>
    <t>Record 1632</t>
  </si>
  <si>
    <t>Record 2376</t>
  </si>
  <si>
    <t>Record 1376</t>
  </si>
  <si>
    <t>Record 430</t>
  </si>
  <si>
    <t>Record 1983</t>
  </si>
  <si>
    <t>Record 184</t>
  </si>
  <si>
    <t>Record 1445</t>
  </si>
  <si>
    <t>Record 780</t>
  </si>
  <si>
    <t>Record 703</t>
  </si>
  <si>
    <t>Record 19</t>
  </si>
  <si>
    <t>Record 9</t>
  </si>
  <si>
    <t>Record 954</t>
  </si>
  <si>
    <t>Record 1971</t>
  </si>
  <si>
    <t>Record 1392</t>
  </si>
  <si>
    <t>Record 731</t>
  </si>
  <si>
    <t>Record 2119</t>
  </si>
  <si>
    <t>Record 99</t>
  </si>
  <si>
    <t>Record 2493</t>
  </si>
  <si>
    <t>Record 767</t>
  </si>
  <si>
    <t>Record 627</t>
  </si>
  <si>
    <t>Record 1131</t>
  </si>
  <si>
    <t>Record 292</t>
  </si>
  <si>
    <t>Record 1193</t>
  </si>
  <si>
    <t>Record 1566</t>
  </si>
  <si>
    <t>Record 165</t>
  </si>
  <si>
    <t>Record 510</t>
  </si>
  <si>
    <t>Record 561</t>
  </si>
  <si>
    <t>Record 1309</t>
  </si>
  <si>
    <t>Record 2283</t>
  </si>
  <si>
    <t>Record 1841</t>
  </si>
  <si>
    <t>Record 354</t>
  </si>
  <si>
    <t>Record 269</t>
  </si>
  <si>
    <t>Record 812</t>
  </si>
  <si>
    <t>Record 2031</t>
  </si>
  <si>
    <t>Record 2159</t>
  </si>
  <si>
    <t>Record 2420</t>
  </si>
  <si>
    <t>Record 2248</t>
  </si>
  <si>
    <t>Record 2173</t>
  </si>
  <si>
    <t>Record 1449</t>
  </si>
  <si>
    <t>Record 820</t>
  </si>
  <si>
    <t>Record 1923</t>
  </si>
  <si>
    <t>Record 519</t>
  </si>
  <si>
    <t>Record 226</t>
  </si>
  <si>
    <t>Record 82</t>
  </si>
  <si>
    <t>Record 1807</t>
  </si>
  <si>
    <t>Record 2167</t>
  </si>
  <si>
    <t>Record 1035</t>
  </si>
  <si>
    <t>Record 370</t>
  </si>
  <si>
    <t>Record 1250</t>
  </si>
  <si>
    <t>Record 689</t>
  </si>
  <si>
    <t>Record 798</t>
  </si>
  <si>
    <t>Record 992</t>
  </si>
  <si>
    <t>Record 197</t>
  </si>
  <si>
    <t>Record 2207</t>
  </si>
  <si>
    <t>Record 1666</t>
  </si>
  <si>
    <t>Record 1744</t>
  </si>
  <si>
    <t>Record 1256</t>
  </si>
  <si>
    <t>Record 2412</t>
  </si>
  <si>
    <t>Record 431</t>
  </si>
  <si>
    <t>Record 2494</t>
  </si>
  <si>
    <t>Record 1396</t>
  </si>
  <si>
    <t>Record 1032</t>
  </si>
  <si>
    <t>Record 775</t>
  </si>
  <si>
    <t>Record 334</t>
  </si>
  <si>
    <t>Record 350</t>
  </si>
  <si>
    <t>Record 1177</t>
  </si>
  <si>
    <t>Record 516</t>
  </si>
  <si>
    <t>Record 1426</t>
  </si>
  <si>
    <t>Record 374</t>
  </si>
  <si>
    <t>Record 303</t>
  </si>
  <si>
    <t>Record 480</t>
  </si>
  <si>
    <t>Record 616</t>
  </si>
  <si>
    <t>Record 467</t>
  </si>
  <si>
    <t>Record 2471</t>
  </si>
  <si>
    <t>Record 2310</t>
  </si>
  <si>
    <t>Record 1948</t>
  </si>
  <si>
    <t>Record 876</t>
  </si>
  <si>
    <t>Record 718</t>
  </si>
  <si>
    <t>Record 521</t>
  </si>
  <si>
    <t>Record 58</t>
  </si>
  <si>
    <t>Record 746</t>
  </si>
  <si>
    <t>Record 147</t>
  </si>
  <si>
    <t>Record 2187</t>
  </si>
  <si>
    <t>Record 114</t>
  </si>
  <si>
    <t>Record 986</t>
  </si>
  <si>
    <t>Record 1784</t>
  </si>
  <si>
    <t>Record 2430</t>
  </si>
  <si>
    <t>Record 2131</t>
  </si>
  <si>
    <t>Record 1526</t>
  </si>
  <si>
    <t>Record 1073</t>
  </si>
  <si>
    <t>Record 306</t>
  </si>
  <si>
    <t>Record 212</t>
  </si>
  <si>
    <t>Record 907</t>
  </si>
  <si>
    <t>Record 1920</t>
  </si>
  <si>
    <t>Record 1585</t>
  </si>
  <si>
    <t>Record 441</t>
  </si>
  <si>
    <t>Record 378</t>
  </si>
  <si>
    <t>Record 305</t>
  </si>
  <si>
    <t>Record 857</t>
  </si>
  <si>
    <t>Record 1246</t>
  </si>
  <si>
    <t>Record 1103</t>
  </si>
  <si>
    <t>Record 585</t>
  </si>
  <si>
    <t>Record 2454</t>
  </si>
  <si>
    <t>Record 2304</t>
  </si>
  <si>
    <t>Record 324</t>
  </si>
  <si>
    <t>Record 162</t>
  </si>
  <si>
    <t>Record 1082</t>
  </si>
  <si>
    <t>Record 1777</t>
  </si>
  <si>
    <t>Record 138</t>
  </si>
  <si>
    <t>Record 847</t>
  </si>
  <si>
    <t>Record 532</t>
  </si>
  <si>
    <t>Record 1587</t>
  </si>
  <si>
    <t>Record 2116</t>
  </si>
  <si>
    <t>Record 364</t>
  </si>
  <si>
    <t>Record 1868</t>
  </si>
  <si>
    <t>Record 2465</t>
  </si>
  <si>
    <t>Record 1911</t>
  </si>
  <si>
    <t>Record 1220</t>
  </si>
  <si>
    <t>Record 1840</t>
  </si>
  <si>
    <t>Record 1973</t>
  </si>
  <si>
    <t>Record 2480</t>
  </si>
  <si>
    <t>Record 674</t>
  </si>
  <si>
    <t>Record 2112</t>
  </si>
  <si>
    <t>Record 2104</t>
  </si>
  <si>
    <t>Record 71</t>
  </si>
  <si>
    <t>Record 247</t>
  </si>
  <si>
    <t>Record 924</t>
  </si>
  <si>
    <t>Record 2378</t>
  </si>
  <si>
    <t>Record 1180</t>
  </si>
  <si>
    <t>Record 836</t>
  </si>
  <si>
    <t>Record 1126</t>
  </si>
  <si>
    <t>Record 1694</t>
  </si>
  <si>
    <t>Record 1269</t>
  </si>
  <si>
    <t>Record 1211</t>
  </si>
  <si>
    <t>Record 223</t>
  </si>
  <si>
    <t>Record 17</t>
  </si>
  <si>
    <t>Record 2487</t>
  </si>
  <si>
    <t>Record 1530</t>
  </si>
  <si>
    <t>Record 769</t>
  </si>
  <si>
    <t>Record 1453</t>
  </si>
  <si>
    <t>Record 569</t>
  </si>
  <si>
    <t>Record 1546</t>
  </si>
  <si>
    <t>Record 963</t>
  </si>
  <si>
    <t>Record 2293</t>
  </si>
  <si>
    <t>Record 307</t>
  </si>
  <si>
    <t>Record 2108</t>
  </si>
  <si>
    <t>Record 802</t>
  </si>
  <si>
    <t>Record 1490</t>
  </si>
  <si>
    <t>Record 1544</t>
  </si>
  <si>
    <t>Record 1343</t>
  </si>
  <si>
    <t>Record 1869</t>
  </si>
  <si>
    <t>Record 1943</t>
  </si>
  <si>
    <t>Record 2437</t>
  </si>
  <si>
    <t>Record 1046</t>
  </si>
  <si>
    <t>Record 1514</t>
  </si>
  <si>
    <t>Record 1128</t>
  </si>
  <si>
    <t>Record 194</t>
  </si>
  <si>
    <t>Record 329</t>
  </si>
  <si>
    <t>Record 1609</t>
  </si>
  <si>
    <t>Record 195</t>
  </si>
  <si>
    <t>Record 578</t>
  </si>
  <si>
    <t>Record 675</t>
  </si>
  <si>
    <t>Record 1262</t>
  </si>
  <si>
    <t>Record 694</t>
  </si>
  <si>
    <t>Record 1204</t>
  </si>
  <si>
    <t>Record 2317</t>
  </si>
  <si>
    <t>Record 115</t>
  </si>
  <si>
    <t>Record 2</t>
  </si>
  <si>
    <t>Record 2467</t>
  </si>
  <si>
    <t>Record 630</t>
  </si>
  <si>
    <t>Record 1739</t>
  </si>
  <si>
    <t>Record 584</t>
  </si>
  <si>
    <t>Record 1740</t>
  </si>
  <si>
    <t>Record 1766</t>
  </si>
  <si>
    <t>Record 658</t>
  </si>
  <si>
    <t>Record 559</t>
  </si>
  <si>
    <t>Record 253</t>
  </si>
  <si>
    <t>Record 1162</t>
  </si>
  <si>
    <t>Record 1598</t>
  </si>
  <si>
    <t>Record 2463</t>
  </si>
  <si>
    <t>Record 2093</t>
  </si>
  <si>
    <t>Record 859</t>
  </si>
  <si>
    <t>Record 2006</t>
  </si>
  <si>
    <t>Record 1679</t>
  </si>
  <si>
    <t>Record 1567</t>
  </si>
  <si>
    <t>Record 2062</t>
  </si>
  <si>
    <t>Record 317</t>
  </si>
  <si>
    <t>Record 68</t>
  </si>
  <si>
    <t>Record 342</t>
  </si>
  <si>
    <t>Record 1446</t>
  </si>
  <si>
    <t>Record 1481</t>
  </si>
  <si>
    <t>Record 749</t>
  </si>
  <si>
    <t>Record 2063</t>
  </si>
  <si>
    <t>Record 450</t>
  </si>
  <si>
    <t>Record 490</t>
  </si>
  <si>
    <t>Record 1331</t>
  </si>
  <si>
    <t>Record 405</t>
  </si>
  <si>
    <t>Record 1285</t>
  </si>
  <si>
    <t>Record 225</t>
  </si>
  <si>
    <t>Record 2113</t>
  </si>
  <si>
    <t>Record 1729</t>
  </si>
  <si>
    <t>Record 263</t>
  </si>
  <si>
    <t>Record 455</t>
  </si>
  <si>
    <t>Record 1296</t>
  </si>
  <si>
    <t>Record 2382</t>
  </si>
  <si>
    <t>Record 2329</t>
  </si>
  <si>
    <t>Record 2352</t>
  </si>
  <si>
    <t>Record 314</t>
  </si>
  <si>
    <t>Record 1554</t>
  </si>
  <si>
    <t>Record 1197</t>
  </si>
  <si>
    <t>Record 2025</t>
  </si>
  <si>
    <t>Record 562</t>
  </si>
  <si>
    <t>Record 245</t>
  </si>
  <si>
    <t>Record 393</t>
  </si>
  <si>
    <t>Record 1955</t>
  </si>
  <si>
    <t>Record 192</t>
  </si>
  <si>
    <t>Record 1527</t>
  </si>
  <si>
    <t>Record 665</t>
  </si>
  <si>
    <t>Record 1339</t>
  </si>
  <si>
    <t>Record 377</t>
  </si>
  <si>
    <t>Record 1394</t>
  </si>
  <si>
    <t>Record 702</t>
  </si>
  <si>
    <t>Record 80</t>
  </si>
  <si>
    <t>Record 2127</t>
  </si>
  <si>
    <t>Record 485</t>
  </si>
  <si>
    <t>Record 2282</t>
  </si>
  <si>
    <t>Record 1258</t>
  </si>
  <si>
    <t>Record 952</t>
  </si>
  <si>
    <t>Record 1608</t>
  </si>
  <si>
    <t>Record 1559</t>
  </si>
  <si>
    <t>Record 2324</t>
  </si>
  <si>
    <t>Record 713</t>
  </si>
  <si>
    <t>Record 1905</t>
  </si>
  <si>
    <t>Record 1409</t>
  </si>
  <si>
    <t>Record 956</t>
  </si>
  <si>
    <t>Record 595</t>
  </si>
  <si>
    <t>Record 372</t>
  </si>
  <si>
    <t>Record 380</t>
  </si>
  <si>
    <t>Record 2278</t>
  </si>
  <si>
    <t>Record 422</t>
  </si>
  <si>
    <t>Record 945</t>
  </si>
  <si>
    <t>Record 1458</t>
  </si>
  <si>
    <t>Record 309</t>
  </si>
  <si>
    <t>Record 2260</t>
  </si>
  <si>
    <t>Record 1649</t>
  </si>
  <si>
    <t>Record 2238</t>
  </si>
  <si>
    <t>Record 890</t>
  </si>
  <si>
    <t>Record 714</t>
  </si>
  <si>
    <t>Record 1098</t>
  </si>
  <si>
    <t>Record 1502</t>
  </si>
  <si>
    <t>Record 79</t>
  </si>
  <si>
    <t>Record 1771</t>
  </si>
  <si>
    <t>Record 2421</t>
  </si>
  <si>
    <t>Record 1278</t>
  </si>
  <si>
    <t>Record 886</t>
  </si>
  <si>
    <t>Record 754</t>
  </si>
  <si>
    <t>Record 1158</t>
  </si>
  <si>
    <t>Record 1344</t>
  </si>
  <si>
    <t>Record 1547</t>
  </si>
  <si>
    <t>Record 623</t>
  </si>
  <si>
    <t>Record 444</t>
  </si>
  <si>
    <t>Record 1023</t>
  </si>
  <si>
    <t>Record 1580</t>
  </si>
  <si>
    <t>Record 2059</t>
  </si>
  <si>
    <t>Record 2299</t>
  </si>
  <si>
    <t>Record 725</t>
  </si>
  <si>
    <t>Record 1993</t>
  </si>
  <si>
    <t>Record 2432</t>
  </si>
  <si>
    <t>Record 2344</t>
  </si>
  <si>
    <t>Record 2052</t>
  </si>
  <si>
    <t>Record 2312</t>
  </si>
  <si>
    <t>Record 2247</t>
  </si>
  <si>
    <t>Record 643</t>
  </si>
  <si>
    <t>Record 2424</t>
  </si>
  <si>
    <t>Record 1386</t>
  </si>
  <si>
    <t>Record 1520</t>
  </si>
  <si>
    <t>Record 942</t>
  </si>
  <si>
    <t>Record 969</t>
  </si>
  <si>
    <t>Record 1421</t>
  </si>
  <si>
    <t>Record 1839</t>
  </si>
  <si>
    <t>Record 1442</t>
  </si>
  <si>
    <t>Record 1723</t>
  </si>
  <si>
    <t>Record 1573</t>
  </si>
  <si>
    <t>Record 1714</t>
  </si>
  <si>
    <t>Record 1201</t>
  </si>
  <si>
    <t>Record 425</t>
  </si>
  <si>
    <t>Record 66</t>
  </si>
  <si>
    <t>Record 1848</t>
  </si>
  <si>
    <t>Record 504</t>
  </si>
  <si>
    <t>Record 2089</t>
  </si>
  <si>
    <t>Record 822</t>
  </si>
  <si>
    <t>Record 1165</t>
  </si>
  <si>
    <t>Record 1757</t>
  </si>
  <si>
    <t>Record 1009</t>
  </si>
  <si>
    <t>Record 90</t>
  </si>
  <si>
    <t>Record 1620</t>
  </si>
  <si>
    <t>Record 1823</t>
  </si>
  <si>
    <t>Record 2423</t>
  </si>
  <si>
    <t>Record 1125</t>
  </si>
  <si>
    <t>Record 1738</t>
  </si>
  <si>
    <t>Record 513</t>
  </si>
  <si>
    <t>Record 341</t>
  </si>
  <si>
    <t>Record 340</t>
  </si>
  <si>
    <t>Record 1741</t>
  </si>
  <si>
    <t>Record 2012</t>
  </si>
  <si>
    <t>Record 45</t>
  </si>
  <si>
    <t>Record 1764</t>
  </si>
  <si>
    <t>Record 2500</t>
  </si>
  <si>
    <t>Record 1324</t>
  </si>
  <si>
    <t>Record 2482</t>
  </si>
  <si>
    <t>Record 1680</t>
  </si>
  <si>
    <t>Record 1624</t>
  </si>
  <si>
    <t>Record 2249</t>
  </si>
  <si>
    <t>Record 1120</t>
  </si>
  <si>
    <t>Record 1306</t>
  </si>
  <si>
    <t>Record 739</t>
  </si>
  <si>
    <t>Record 1953</t>
  </si>
  <si>
    <t>Record 406</t>
  </si>
  <si>
    <t>Record 376</t>
  </si>
  <si>
    <t>Record 642</t>
  </si>
  <si>
    <t>Record 505</t>
  </si>
  <si>
    <t>Record 2168</t>
  </si>
  <si>
    <t>Record 1080</t>
  </si>
  <si>
    <t>Record 2346</t>
  </si>
  <si>
    <t>Record 1124</t>
  </si>
  <si>
    <t>Record 2321</t>
  </si>
  <si>
    <t>Record 117</t>
  </si>
  <si>
    <t>Record 280</t>
  </si>
  <si>
    <t>Record 531</t>
  </si>
  <si>
    <t>Record 885</t>
  </si>
  <si>
    <t>Record 581</t>
  </si>
  <si>
    <t>Record 322</t>
  </si>
  <si>
    <t>Record 1361</t>
  </si>
  <si>
    <t>Record 1511</t>
  </si>
  <si>
    <t>Record 1901</t>
  </si>
  <si>
    <t>Record 1946</t>
  </si>
  <si>
    <t>Record 1967</t>
  </si>
  <si>
    <t>Record 1363</t>
  </si>
  <si>
    <t>Record 343</t>
  </si>
  <si>
    <t>Record 2152</t>
  </si>
  <si>
    <t>Record 471</t>
  </si>
  <si>
    <t>Record 939</t>
  </si>
  <si>
    <t>Record 1244</t>
  </si>
  <si>
    <t>Record 1159</t>
  </si>
  <si>
    <t>Record 154</t>
  </si>
  <si>
    <t>Record 552</t>
  </si>
  <si>
    <t>Record 418</t>
  </si>
  <si>
    <t>Record 1997</t>
  </si>
  <si>
    <t>Record 2013</t>
  </si>
  <si>
    <t>Record 1709</t>
  </si>
  <si>
    <t>Record 752</t>
  </si>
  <si>
    <t>Record 2180</t>
  </si>
  <si>
    <t>Record 1139</t>
  </si>
  <si>
    <t>Record 1423</t>
  </si>
  <si>
    <t>Record 1206</t>
  </si>
  <si>
    <t>Record 2176</t>
  </si>
  <si>
    <t>Record 1091</t>
  </si>
  <si>
    <t>Record 520</t>
  </si>
  <si>
    <t>Record 357</t>
  </si>
  <si>
    <t>Record 2074</t>
  </si>
  <si>
    <t>Record 514</t>
  </si>
  <si>
    <t>Record 849</t>
  </si>
  <si>
    <t>Record 1507</t>
  </si>
  <si>
    <t>Record 1029</t>
  </si>
  <si>
    <t>Record 1041</t>
  </si>
  <si>
    <t>Record 685</t>
  </si>
  <si>
    <t>Record 1981</t>
  </si>
  <si>
    <t>Record 464</t>
  </si>
  <si>
    <t>Record 4</t>
  </si>
  <si>
    <t>Record 1096</t>
  </si>
  <si>
    <t>Record 2402</t>
  </si>
  <si>
    <t>Record 348</t>
  </si>
  <si>
    <t>Record 386</t>
  </si>
  <si>
    <t>Record 1894</t>
  </si>
  <si>
    <t>Record 745</t>
  </si>
  <si>
    <t>Record 1413</t>
  </si>
  <si>
    <t>Record 861</t>
  </si>
  <si>
    <t>Record 1576</t>
  </si>
  <si>
    <t>Record 104</t>
  </si>
  <si>
    <t>Record 400</t>
  </si>
  <si>
    <t>Record 1472</t>
  </si>
  <si>
    <t>Record 1011</t>
  </si>
  <si>
    <t>Record 961</t>
  </si>
  <si>
    <t>Record 366</t>
  </si>
  <si>
    <t>Record 608</t>
  </si>
  <si>
    <t>Record 1560</t>
  </si>
  <si>
    <t>Record 1318</t>
  </si>
  <si>
    <t>Record 1007</t>
  </si>
  <si>
    <t>Record 835</t>
  </si>
  <si>
    <t>Record 1792</t>
  </si>
  <si>
    <t>Record 1712</t>
  </si>
  <si>
    <t>Record 1730</t>
  </si>
  <si>
    <t>Record 1146</t>
  </si>
  <si>
    <t>Record 1892</t>
  </si>
  <si>
    <t>Record 1542</t>
  </si>
  <si>
    <t>Record 2058</t>
  </si>
  <si>
    <t>Record 2224</t>
  </si>
  <si>
    <t>Record 1731</t>
  </si>
  <si>
    <t>Record 1431</t>
  </si>
  <si>
    <t>Record 2415</t>
  </si>
  <si>
    <t>Record 349</t>
  </si>
  <si>
    <t>Record 1970</t>
  </si>
  <si>
    <t>Record 1775</t>
  </si>
  <si>
    <t>Record 978</t>
  </si>
  <si>
    <t>Record 2139</t>
  </si>
  <si>
    <t>Record 1182</t>
  </si>
  <si>
    <t>Record 1448</t>
  </si>
  <si>
    <t>Record 1924</t>
  </si>
  <si>
    <t>Record 242</t>
  </si>
  <si>
    <t>Record 2398</t>
  </si>
  <si>
    <t>Record 632</t>
  </si>
  <si>
    <t>Record 1316</t>
  </si>
  <si>
    <t>Record 2461</t>
  </si>
  <si>
    <t>Record 2172</t>
  </si>
  <si>
    <t>Record 512</t>
  </si>
  <si>
    <t>Record 2309</t>
  </si>
  <si>
    <t>Record 914</t>
  </si>
  <si>
    <t>Record 37</t>
  </si>
  <si>
    <t>Record 2231</t>
  </si>
  <si>
    <t>Record 1222</t>
  </si>
  <si>
    <t>Record 768</t>
  </si>
  <si>
    <t>Record 1122</t>
  </si>
  <si>
    <t>Record 1385</t>
  </si>
  <si>
    <t>Record 1634</t>
  </si>
  <si>
    <t>Record 681</t>
  </si>
  <si>
    <t>Record 494</t>
  </si>
  <si>
    <t>Record 2447</t>
  </si>
  <si>
    <t>Record 818</t>
  </si>
  <si>
    <t>Record 776</t>
  </si>
  <si>
    <t>Record 1525</t>
  </si>
  <si>
    <t>Record 447</t>
  </si>
  <si>
    <t>Record 1751</t>
  </si>
  <si>
    <t>Record 751</t>
  </si>
  <si>
    <t>Record 2377</t>
  </si>
  <si>
    <t>Record 1301</t>
  </si>
  <si>
    <t>Record 2043</t>
  </si>
  <si>
    <t>Record 1617</t>
  </si>
  <si>
    <t>Record 938</t>
  </si>
  <si>
    <t>Record 1803</t>
  </si>
  <si>
    <t>Record 2457</t>
  </si>
  <si>
    <t>Record 127</t>
  </si>
  <si>
    <t>Record 1594</t>
  </si>
  <si>
    <t>Record 1299</t>
  </si>
  <si>
    <t>Record 2349</t>
  </si>
  <si>
    <t>Record 583</t>
  </si>
  <si>
    <t>Record 1328</t>
  </si>
  <si>
    <t>Record 2411</t>
  </si>
  <si>
    <t>Record 362</t>
  </si>
  <si>
    <t>Record 1209</t>
  </si>
  <si>
    <t>Record 637</t>
  </si>
  <si>
    <t>Record 2242</t>
  </si>
  <si>
    <t>Record 261</t>
  </si>
  <si>
    <t>Record 2197</t>
  </si>
  <si>
    <t>Record 570</t>
  </si>
  <si>
    <t>Record 1322</t>
  </si>
  <si>
    <t>Record 2149</t>
  </si>
  <si>
    <t>Record 579</t>
  </si>
  <si>
    <t>Record 1314</t>
  </si>
  <si>
    <t>Record 2476</t>
  </si>
  <si>
    <t>Record 1515</t>
  </si>
  <si>
    <t>Record 2252</t>
  </si>
  <si>
    <t>Record 1425</t>
  </si>
  <si>
    <t>Record 2233</t>
  </si>
  <si>
    <t>Record 599</t>
  </si>
  <si>
    <t>Record 2028</t>
  </si>
  <si>
    <t>Record 582</t>
  </si>
  <si>
    <t>Record 1400</t>
  </si>
  <si>
    <t>Record 729</t>
  </si>
  <si>
    <t>Record 1932</t>
  </si>
  <si>
    <t>Record 254</t>
  </si>
  <si>
    <t>Record 394</t>
  </si>
  <si>
    <t>Record 2184</t>
  </si>
  <si>
    <t>Record 575</t>
  </si>
  <si>
    <t>Record 676</t>
  </si>
  <si>
    <t>Record 1661</t>
  </si>
  <si>
    <t>Record 448</t>
  </si>
  <si>
    <t>Record 1270</t>
  </si>
  <si>
    <t>Record 1762</t>
  </si>
  <si>
    <t>Record 1178</t>
  </si>
  <si>
    <t>Record 1623</t>
  </si>
  <si>
    <t>Record 1931</t>
  </si>
  <si>
    <t>Record 2095</t>
  </si>
  <si>
    <t>Record 2154</t>
  </si>
  <si>
    <t>Record 112</t>
  </si>
  <si>
    <t>Record 1056</t>
  </si>
  <si>
    <t>Record 295</t>
  </si>
  <si>
    <t>Record 1863</t>
  </si>
  <si>
    <t>Record 1500</t>
  </si>
  <si>
    <t>Record 2021</t>
  </si>
  <si>
    <t>Record 529</t>
  </si>
  <si>
    <t>Record 615</t>
  </si>
  <si>
    <t>Record 228</t>
  </si>
  <si>
    <t>Record 905</t>
  </si>
  <si>
    <t>Record 38</t>
  </si>
  <si>
    <t>Record 42</t>
  </si>
  <si>
    <t>Record 2039</t>
  </si>
  <si>
    <t>Record 1494</t>
  </si>
  <si>
    <t>Record 72</t>
  </si>
  <si>
    <t>Record 120</t>
  </si>
  <si>
    <t>Record 829</t>
  </si>
  <si>
    <t>Record 1659</t>
  </si>
  <si>
    <t>Record 1087</t>
  </si>
  <si>
    <t>Record 1687</t>
  </si>
  <si>
    <t>Record 1459</t>
  </si>
  <si>
    <t>Record 1831</t>
  </si>
  <si>
    <t>Record 1365</t>
  </si>
  <si>
    <t>Record 2311</t>
  </si>
  <si>
    <t>Record 233</t>
  </si>
  <si>
    <t>Record 899</t>
  </si>
  <si>
    <t>Record 544</t>
  </si>
  <si>
    <t>Record 1859</t>
  </si>
  <si>
    <t>Record 6</t>
  </si>
  <si>
    <t>Record 1444</t>
  </si>
  <si>
    <t>Record 574</t>
  </si>
  <si>
    <t>Record 293</t>
  </si>
  <si>
    <t>Record 1531</t>
  </si>
  <si>
    <t>Record 1574</t>
  </si>
  <si>
    <t>Record 94</t>
  </si>
  <si>
    <t>Record 1255</t>
  </si>
  <si>
    <t>Record 139</t>
  </si>
  <si>
    <t>Record 1115</t>
  </si>
  <si>
    <t>Record 1375</t>
  </si>
  <si>
    <t>Record 2431</t>
  </si>
  <si>
    <t>Record 1226</t>
  </si>
  <si>
    <t>Record 34</t>
  </si>
  <si>
    <t>Record 635</t>
  </si>
  <si>
    <t>Record 2388</t>
  </si>
  <si>
    <t>Record 1947</t>
  </si>
  <si>
    <t>Record 1372</t>
  </si>
  <si>
    <t>Record 827</t>
  </si>
  <si>
    <t>Record 831</t>
  </si>
  <si>
    <t>Record 747</t>
  </si>
  <si>
    <t>Record 1672</t>
  </si>
  <si>
    <t>Record 502</t>
  </si>
  <si>
    <t>Record 336</t>
  </si>
  <si>
    <t>Record 741</t>
  </si>
  <si>
    <t>Record 966</t>
  </si>
  <si>
    <t>Record 2307</t>
  </si>
  <si>
    <t>Record 1468</t>
  </si>
  <si>
    <t>Record 2390</t>
  </si>
  <si>
    <t>Record 1767</t>
  </si>
  <si>
    <t>Record 673</t>
  </si>
  <si>
    <t>Record 1833</t>
  </si>
  <si>
    <t>Record 1293</t>
  </si>
  <si>
    <t>Record 851</t>
  </si>
  <si>
    <t>Record 294</t>
  </si>
  <si>
    <t>Record 534</t>
  </si>
  <si>
    <t>Record 1154</t>
  </si>
  <si>
    <t>Record 1388</t>
  </si>
  <si>
    <t>Record 1713</t>
  </si>
  <si>
    <t>Record 1200</t>
  </si>
  <si>
    <t>Record 669</t>
  </si>
  <si>
    <t>Record 2401</t>
  </si>
  <si>
    <t>Record 2450</t>
  </si>
  <si>
    <t>Record 1013</t>
  </si>
  <si>
    <t>Record 2209</t>
  </si>
  <si>
    <t>Record 10</t>
  </si>
  <si>
    <t>Record 1063</t>
  </si>
  <si>
    <t>Record 567</t>
  </si>
  <si>
    <t>Record 2002</t>
  </si>
  <si>
    <t>Record 239</t>
  </si>
  <si>
    <t>Record 1104</t>
  </si>
  <si>
    <t>Record 300</t>
  </si>
  <si>
    <t>Record 496</t>
  </si>
  <si>
    <t>Record 880</t>
  </si>
  <si>
    <t>Record 1189</t>
  </si>
  <si>
    <t>Record 414</t>
  </si>
  <si>
    <t>Record 727</t>
  </si>
  <si>
    <t>Record 1408</t>
  </si>
  <si>
    <t>Record 2235</t>
  </si>
  <si>
    <t>Record 540</t>
  </si>
  <si>
    <t>Record 1021</t>
  </si>
  <si>
    <t>Record 132</t>
  </si>
  <si>
    <t>Record 525</t>
  </si>
  <si>
    <t>Record 1830</t>
  </si>
  <si>
    <t>Record 110</t>
  </si>
  <si>
    <t>Record 1397</t>
  </si>
  <si>
    <t>Record 396</t>
  </si>
  <si>
    <t>Record 2203</t>
  </si>
  <si>
    <t>Record 2483</t>
  </si>
  <si>
    <t>Record 477</t>
  </si>
  <si>
    <t>Record 478</t>
  </si>
  <si>
    <t>Record 2333</t>
  </si>
  <si>
    <t>Record 911</t>
  </si>
  <si>
    <t>Record 1373</t>
  </si>
  <si>
    <t>Record 1877</t>
  </si>
  <si>
    <t>Record 1529</t>
  </si>
  <si>
    <t>Record 367</t>
  </si>
  <si>
    <t>Record 1212</t>
  </si>
  <si>
    <t>Record 2049</t>
  </si>
  <si>
    <t>Record 1986</t>
  </si>
  <si>
    <t>Record 2136</t>
  </si>
  <si>
    <t>Record 2275</t>
  </si>
  <si>
    <t>Record 2239</t>
  </si>
  <si>
    <t>Record 2413</t>
  </si>
  <si>
    <t>Record 1401</t>
  </si>
  <si>
    <t>Record 1891</t>
  </si>
  <si>
    <t>Record 170</t>
  </si>
  <si>
    <t>Record 1136</t>
  </si>
  <si>
    <t>Record 1789</t>
  </si>
  <si>
    <t>Record 215</t>
  </si>
  <si>
    <t>Record 2117</t>
  </si>
  <si>
    <t>Record 698</t>
  </si>
  <si>
    <t>Record 1439</t>
  </si>
  <si>
    <t>Record 1111</t>
  </si>
  <si>
    <t>Record 1828</t>
  </si>
  <si>
    <t>Record 556</t>
  </si>
  <si>
    <t>Record 1810</t>
  </si>
  <si>
    <t>Record 1782</t>
  </si>
  <si>
    <t>Record 1374</t>
  </si>
  <si>
    <t>Record 365</t>
  </si>
  <si>
    <t>Record 2364</t>
  </si>
  <si>
    <t>Record 2440</t>
  </si>
  <si>
    <t>Record 63</t>
  </si>
  <si>
    <t>Record 125</t>
  </si>
  <si>
    <t>Record 869</t>
  </si>
  <si>
    <t>Record 2044</t>
  </si>
  <si>
    <t>Record 440</t>
  </si>
  <si>
    <t>Record 672</t>
  </si>
  <si>
    <t>Record 2103</t>
  </si>
  <si>
    <t>Record 289</t>
  </si>
  <si>
    <t>Record 206</t>
  </si>
  <si>
    <t>Record 1298</t>
  </si>
  <si>
    <t>Record 947</t>
  </si>
  <si>
    <t>Record 2439</t>
  </si>
  <si>
    <t>Record 1776</t>
  </si>
  <si>
    <t>Record 1391</t>
  </si>
  <si>
    <t>Record 23</t>
  </si>
  <si>
    <t>Record 1109</t>
  </si>
  <si>
    <t>Record 1636</t>
  </si>
  <si>
    <t>Record 1734</t>
  </si>
  <si>
    <t>Record 146</t>
  </si>
  <si>
    <t>Record 1232</t>
  </si>
  <si>
    <t>Record 896</t>
  </si>
  <si>
    <t>Record 359</t>
  </si>
  <si>
    <t>Record 979</t>
  </si>
  <si>
    <t>Record 858</t>
  </si>
  <si>
    <t>Record 382</t>
  </si>
  <si>
    <t>Record 1813</t>
  </si>
  <si>
    <t>Record 1075</t>
  </si>
  <si>
    <t>Record 1966</t>
  </si>
  <si>
    <t>Record 207</t>
  </si>
  <si>
    <t>Record 1940</t>
  </si>
  <si>
    <t>Record 1398</t>
  </si>
  <si>
    <t>Record 909</t>
  </si>
  <si>
    <t>Record 2328</t>
  </si>
  <si>
    <t>Record 2456</t>
  </si>
  <si>
    <t>Record 1319</t>
  </si>
  <si>
    <t>Record 2082</t>
  </si>
  <si>
    <t>Record 1238</t>
  </si>
  <si>
    <t>Record 237</t>
  </si>
  <si>
    <t>Record 883</t>
  </si>
  <si>
    <t>Record 347</t>
  </si>
  <si>
    <t>Record 1168</t>
  </si>
  <si>
    <t>Record 891</t>
  </si>
  <si>
    <t>Record 373</t>
  </si>
  <si>
    <t>Record 646</t>
  </si>
  <si>
    <t>Record 1245</t>
  </si>
  <si>
    <t>Record 2427</t>
  </si>
  <si>
    <t>Record 1778</t>
  </si>
  <si>
    <t>Record 1550</t>
  </si>
  <si>
    <t>Record 2106</t>
  </si>
  <si>
    <t>Record 1171</t>
  </si>
  <si>
    <t>Record 1048</t>
  </si>
  <si>
    <t>Record 1251</t>
  </si>
  <si>
    <t>Record 1675</t>
  </si>
  <si>
    <t>Record 2274</t>
  </si>
  <si>
    <t>Record 968</t>
  </si>
  <si>
    <t>Record 2030</t>
  </si>
  <si>
    <t>Record 12</t>
  </si>
  <si>
    <t>Record 1493</t>
  </si>
  <si>
    <t>Record 2289</t>
  </si>
  <si>
    <t>Record 2269</t>
  </si>
  <si>
    <t>Record 1284</t>
  </si>
  <si>
    <t>Record 1876</t>
  </si>
  <si>
    <t>Record 1847</t>
  </si>
  <si>
    <t>Record 2280</t>
  </si>
  <si>
    <t>Record 389</t>
  </si>
  <si>
    <t>Record 55</t>
  </si>
  <si>
    <t>Record 691</t>
  </si>
  <si>
    <t>Record 1450</t>
  </si>
  <si>
    <t>Record 1980</t>
  </si>
  <si>
    <t>Record 1510</t>
  </si>
  <si>
    <t>Record 1537</t>
  </si>
  <si>
    <t>Record 268</t>
  </si>
  <si>
    <t>Record 2236</t>
  </si>
  <si>
    <t>Record 2014</t>
  </si>
  <si>
    <t>Record 2343</t>
  </si>
  <si>
    <t>Record 2122</t>
  </si>
  <si>
    <t>Record 1658</t>
  </si>
  <si>
    <t>Record 2298</t>
  </si>
  <si>
    <t>Record 612</t>
  </si>
  <si>
    <t>Record 1681</t>
  </si>
  <si>
    <t>Record 1957</t>
  </si>
  <si>
    <t>Record 1645</t>
  </si>
  <si>
    <t>Record 804</t>
  </si>
  <si>
    <t>Record 2185</t>
  </si>
  <si>
    <t>Record 1753</t>
  </si>
  <si>
    <t>Record 1291</t>
  </si>
  <si>
    <t>Record 1718</t>
  </si>
  <si>
    <t>Record 491</t>
  </si>
  <si>
    <t>Record 1434</t>
  </si>
  <si>
    <t>Record 971</t>
  </si>
  <si>
    <t>Record 994</t>
  </si>
  <si>
    <t>Record 313</t>
  </si>
  <si>
    <t>Record 1447</t>
  </si>
  <si>
    <t>Record 1430</t>
  </si>
  <si>
    <t>Record 1945</t>
  </si>
  <si>
    <t>Record 2142</t>
  </si>
  <si>
    <t>Record 2397</t>
  </si>
  <si>
    <t>Record 766</t>
  </si>
  <si>
    <t>Record 2425</t>
  </si>
  <si>
    <t>Record 639</t>
  </si>
  <si>
    <t>Record 797</t>
  </si>
  <si>
    <t>Record 523</t>
  </si>
  <si>
    <t>Record 2029</t>
  </si>
  <si>
    <t>Record 2385</t>
  </si>
  <si>
    <t>Record 30</t>
  </si>
  <si>
    <t>Record 1852</t>
  </si>
  <si>
    <t>Record 765</t>
  </si>
  <si>
    <t>Record 1861</t>
  </si>
  <si>
    <t>Record 201</t>
  </si>
  <si>
    <t>Record 2491</t>
  </si>
  <si>
    <t>Record 758</t>
  </si>
  <si>
    <t>Record 696</t>
  </si>
  <si>
    <t>Record 2292</t>
  </si>
  <si>
    <t>Record 102</t>
  </si>
  <si>
    <t>Record 2361</t>
  </si>
  <si>
    <t>Record 1761</t>
  </si>
  <si>
    <t>Record 1644</t>
  </si>
  <si>
    <t>Record 1509</t>
  </si>
  <si>
    <t>Record 1441</t>
  </si>
  <si>
    <t>Record 355</t>
  </si>
  <si>
    <t>Record 955</t>
  </si>
  <si>
    <t>Record 2182</t>
  </si>
  <si>
    <t>Record 929</t>
  </si>
  <si>
    <t>Record 1811</t>
  </si>
  <si>
    <t>Record 141</t>
  </si>
  <si>
    <t>Record 700</t>
  </si>
  <si>
    <t>Record 2216</t>
  </si>
  <si>
    <t>Record 1057</t>
  </si>
  <si>
    <t>Record 683</t>
  </si>
  <si>
    <t>Record 808</t>
  </si>
  <si>
    <t>Record 1216</t>
  </si>
  <si>
    <t>Record 1670</t>
  </si>
  <si>
    <t>Record 2303</t>
  </si>
  <si>
    <t>Record 318</t>
  </si>
  <si>
    <t>Record 976</t>
  </si>
  <si>
    <t>Record 1538</t>
  </si>
  <si>
    <t>Record 1726</t>
  </si>
  <si>
    <t>Record 1650</t>
  </si>
  <si>
    <t>Record 2078</t>
  </si>
  <si>
    <t>Record 1404</t>
  </si>
  <si>
    <t>Record 2072</t>
  </si>
  <si>
    <t>Record 1783</t>
  </si>
  <si>
    <t>Record 1356</t>
  </si>
  <si>
    <t>Record 2133</t>
  </si>
  <si>
    <t>Record 912</t>
  </si>
  <si>
    <t>Record 489</t>
  </si>
  <si>
    <t>Record 656</t>
  </si>
  <si>
    <t>Record 2279</t>
  </si>
  <si>
    <t>Record 2069</t>
  </si>
  <si>
    <t>Record 1902</t>
  </si>
  <si>
    <t>Record 2300</t>
  </si>
  <si>
    <t>Record 2345</t>
  </si>
  <si>
    <t>Record 169</t>
  </si>
  <si>
    <t>Record 837</t>
  </si>
  <si>
    <t>Record 1568</t>
  </si>
  <si>
    <t>Record 1360</t>
  </si>
  <si>
    <t>Record 1972</t>
  </si>
  <si>
    <t>Record 465</t>
  </si>
  <si>
    <t>Record 948</t>
  </si>
  <si>
    <t>Record 760</t>
  </si>
  <si>
    <t>Record 1908</t>
  </si>
  <si>
    <t>Record 205</t>
  </si>
  <si>
    <t>Record 24</t>
  </si>
  <si>
    <t>Record 1273</t>
  </si>
  <si>
    <t>Record 1438</t>
  </si>
  <si>
    <t>Record 794</t>
  </si>
  <si>
    <t>Record 2330</t>
  </si>
  <si>
    <t>Record 2426</t>
  </si>
  <si>
    <t>Record 291</t>
  </si>
  <si>
    <t>Record 2435</t>
  </si>
  <si>
    <t>Record 1018</t>
  </si>
  <si>
    <t>Record 998</t>
  </si>
  <si>
    <t>Record 144</t>
  </si>
  <si>
    <t>Record 1064</t>
  </si>
  <si>
    <t>Record 951</t>
  </si>
  <si>
    <t>Record 1307</t>
  </si>
  <si>
    <t>Record 1191</t>
  </si>
  <si>
    <t>Record 1733</t>
  </si>
  <si>
    <t>Record 601</t>
  </si>
  <si>
    <t>Record 2134</t>
  </si>
  <si>
    <t>Record 1166</t>
  </si>
  <si>
    <t>Record 2266</t>
  </si>
  <si>
    <t>Record 399</t>
  </si>
  <si>
    <t>Record 2245</t>
  </si>
  <si>
    <t>Record 1622</t>
  </si>
  <si>
    <t>Record 1638</t>
  </si>
  <si>
    <t>Record 2472</t>
  </si>
  <si>
    <t>Record 1950</t>
  </si>
  <si>
    <t>Record 2268</t>
  </si>
  <si>
    <t>Record 843</t>
  </si>
  <si>
    <t>Record 825</t>
  </si>
  <si>
    <t>Record 1926</t>
  </si>
  <si>
    <t>Record 15</t>
  </si>
  <si>
    <t>Record 1665</t>
  </si>
  <si>
    <t>Record 854</t>
  </si>
  <si>
    <t>Record 2018</t>
  </si>
  <si>
    <t>Record 1556</t>
  </si>
  <si>
    <t>Record 1463</t>
  </si>
  <si>
    <t>Record 2332</t>
  </si>
  <si>
    <t>Record 1802</t>
  </si>
  <si>
    <t>Record 216</t>
  </si>
  <si>
    <t>Record 807</t>
  </si>
  <si>
    <t>Record 920</t>
  </si>
  <si>
    <t>Record 1918</t>
  </si>
  <si>
    <t>Record 2486</t>
  </si>
  <si>
    <t>Record 402</t>
  </si>
  <si>
    <t>Record 2488</t>
  </si>
  <si>
    <t>Record 1870</t>
  </si>
  <si>
    <t>Record 2086</t>
  </si>
  <si>
    <t>Record 2147</t>
  </si>
  <si>
    <t>Record 1879</t>
  </si>
  <si>
    <t>Record 824</t>
  </si>
  <si>
    <t>Record 711</t>
  </si>
  <si>
    <t>Record 2073</t>
  </si>
  <si>
    <t>Record 1141</t>
  </si>
  <si>
    <t>Record 2360</t>
  </si>
  <si>
    <t>Record 39</t>
  </si>
  <si>
    <t>Record 286</t>
  </si>
  <si>
    <t>Record 3</t>
  </si>
  <si>
    <t>Record 1613</t>
  </si>
  <si>
    <t>Record 175</t>
  </si>
  <si>
    <t>Record 577</t>
  </si>
  <si>
    <t>Record 1050</t>
  </si>
  <si>
    <t>Record 636</t>
  </si>
  <si>
    <t>Record 1691</t>
  </si>
  <si>
    <t>Record 1774</t>
  </si>
  <si>
    <t>Record 1963</t>
  </si>
  <si>
    <t>Record 235</t>
  </si>
  <si>
    <t>Record 538</t>
  </si>
  <si>
    <t>Record 388</t>
  </si>
  <si>
    <t>Record 2070</t>
  </si>
  <si>
    <t>Record 1875</t>
  </si>
  <si>
    <t>Record 609</t>
  </si>
  <si>
    <t>Record 2365</t>
  </si>
  <si>
    <t>Record 2107</t>
  </si>
  <si>
    <t>Record 2160</t>
  </si>
  <si>
    <t>Record 2438</t>
  </si>
  <si>
    <t>Record 1202</t>
  </si>
  <si>
    <t>Record 1083</t>
  </si>
  <si>
    <t>Record 2065</t>
  </si>
  <si>
    <t>Record 1669</t>
  </si>
  <si>
    <t>Record 518</t>
  </si>
  <si>
    <t>Record 2466</t>
  </si>
  <si>
    <t>Record 1759</t>
  </si>
  <si>
    <t>Record 461</t>
  </si>
  <si>
    <t>Record 721</t>
  </si>
  <si>
    <t>Record 2202</t>
  </si>
  <si>
    <t>Record 1236</t>
  </si>
  <si>
    <t>Record 403</t>
  </si>
  <si>
    <t>Record 1732</t>
  </si>
  <si>
    <t>Record 2201</t>
  </si>
  <si>
    <t>Record 2244</t>
  </si>
  <si>
    <t>Record 987</t>
  </si>
  <si>
    <t>Record 1152</t>
  </si>
  <si>
    <t>Record 1503</t>
  </si>
  <si>
    <t>Record 236</t>
  </si>
  <si>
    <t>Record 302</t>
  </si>
  <si>
    <t>Record 1470</t>
  </si>
  <si>
    <t>Record 2327</t>
  </si>
  <si>
    <t>Record 281</t>
  </si>
  <si>
    <t>Record 2188</t>
  </si>
  <si>
    <t>Record 108</t>
  </si>
  <si>
    <t>Record 96</t>
  </si>
  <si>
    <t>Record 764</t>
  </si>
  <si>
    <t>Record 871</t>
  </si>
  <si>
    <t>Record 641</t>
  </si>
  <si>
    <t>Record 1264</t>
  </si>
  <si>
    <t>Record 866</t>
  </si>
  <si>
    <t>Record 2195</t>
  </si>
  <si>
    <t>Record 1181</t>
  </si>
  <si>
    <t>Record 2027</t>
  </si>
  <si>
    <t>Record 2120</t>
  </si>
  <si>
    <t>Record 2453</t>
  </si>
  <si>
    <t>Record 244</t>
  </si>
  <si>
    <t>Record 926</t>
  </si>
  <si>
    <t>Record 176</t>
  </si>
  <si>
    <t>Record 2335</t>
  </si>
  <si>
    <t>Record 2034</t>
  </si>
  <si>
    <t>Record 2121</t>
  </si>
  <si>
    <t>Record 2177</t>
  </si>
  <si>
    <t>Record 1575</t>
  </si>
  <si>
    <t>Record 2492</t>
  </si>
  <si>
    <t>Record 1215</t>
  </si>
  <si>
    <t>Record 419</t>
  </si>
  <si>
    <t>Record 1406</t>
  </si>
  <si>
    <t>Record 2096</t>
  </si>
  <si>
    <t>Record 1249</t>
  </si>
  <si>
    <t>Record 25</t>
  </si>
  <si>
    <t>Record 613</t>
  </si>
  <si>
    <t>Record 670</t>
  </si>
  <si>
    <t>Record 1722</t>
  </si>
  <si>
    <t>Record 187</t>
  </si>
  <si>
    <t>Record 1488</t>
  </si>
  <si>
    <t>Record 456</t>
  </si>
  <si>
    <t>Record 1524</t>
  </si>
  <si>
    <t>Record 982</t>
  </si>
  <si>
    <t>Record 282</t>
  </si>
  <si>
    <t>Record 416</t>
  </si>
  <si>
    <t>Record 563</t>
  </si>
  <si>
    <t>Record 1569</t>
  </si>
  <si>
    <t>Record 2153</t>
  </si>
  <si>
    <t>Record 1480</t>
  </si>
  <si>
    <t>Record 1320</t>
  </si>
  <si>
    <t>Record 2004</t>
  </si>
  <si>
    <t>Record 1629</t>
  </si>
  <si>
    <t>Record 299</t>
  </si>
  <si>
    <t>Record 1857</t>
  </si>
  <si>
    <t>Record 1648</t>
  </si>
  <si>
    <t>Record 1143</t>
  </si>
  <si>
    <t>Record 940</t>
  </si>
  <si>
    <t>Record 887</t>
  </si>
  <si>
    <t>Record 1196</t>
  </si>
  <si>
    <t>Record 611</t>
  </si>
  <si>
    <t>Record 732</t>
  </si>
  <si>
    <t>Record 204</t>
  </si>
  <si>
    <t>Record 2256</t>
  </si>
  <si>
    <t>Record 1454</t>
  </si>
  <si>
    <t>Record 1725</t>
  </si>
  <si>
    <t>Record 481</t>
  </si>
  <si>
    <t>Record 2297</t>
  </si>
  <si>
    <t>Record 1062</t>
  </si>
  <si>
    <t>Record 1692</t>
  </si>
  <si>
    <t>Record 1528</t>
  </si>
  <si>
    <t>Record 483</t>
  </si>
  <si>
    <t>Record 1167</t>
  </si>
  <si>
    <t>Record 156</t>
  </si>
  <si>
    <t>Record 2020</t>
  </si>
  <si>
    <t>Record 2118</t>
  </si>
  <si>
    <t>Record 1633</t>
  </si>
  <si>
    <t>Record 1214</t>
  </si>
  <si>
    <t>Record 1558</t>
  </si>
  <si>
    <t>Record 297</t>
  </si>
  <si>
    <t>Record 655</t>
  </si>
  <si>
    <t>Record 2019</t>
  </si>
  <si>
    <t>Record 1346</t>
  </si>
  <si>
    <t>Record 596</t>
  </si>
  <si>
    <t>Record 1403</t>
  </si>
  <si>
    <t>Record 553</t>
  </si>
  <si>
    <t>Record 874</t>
  </si>
  <si>
    <t>Record 1590</t>
  </si>
  <si>
    <t>Record 753</t>
  </si>
  <si>
    <t>Record 1858</t>
  </si>
  <si>
    <t>Record 2495</t>
  </si>
  <si>
    <t>Record 185</t>
  </si>
  <si>
    <t>Record 990</t>
  </si>
  <si>
    <t>Record 1183</t>
  </si>
  <si>
    <t>Record 410</t>
  </si>
  <si>
    <t>Record 993</t>
  </si>
  <si>
    <t>Record 592</t>
  </si>
  <si>
    <t>Record 1351</t>
  </si>
  <si>
    <t>Record 1954</t>
  </si>
  <si>
    <t>Record 2490</t>
  </si>
  <si>
    <t>Record 457</t>
  </si>
  <si>
    <t>Record 1676</t>
  </si>
  <si>
    <t>Record 7</t>
  </si>
  <si>
    <t>Record 1591</t>
  </si>
  <si>
    <t>Record 75</t>
  </si>
  <si>
    <t>Record 1582</t>
  </si>
  <si>
    <t>Record 1933</t>
  </si>
  <si>
    <t>Record 1951</t>
  </si>
  <si>
    <t>Record 1466</t>
  </si>
  <si>
    <t>Record 645</t>
  </si>
  <si>
    <t>Record 2479</t>
  </si>
  <si>
    <t>Record 759</t>
  </si>
  <si>
    <t>Record 157</t>
  </si>
  <si>
    <t>Record 1473</t>
  </si>
  <si>
    <t>Record 1210</t>
  </si>
  <si>
    <t>Record 1065</t>
  </si>
  <si>
    <t>Record 826</t>
  </si>
  <si>
    <t>Record 1780</t>
  </si>
  <si>
    <t>Record 1025</t>
  </si>
  <si>
    <t>Record 1456</t>
  </si>
  <si>
    <t>Record 51</t>
  </si>
  <si>
    <t>Record 935</t>
  </si>
  <si>
    <t>Record 895</t>
  </si>
  <si>
    <t>Record 1132</t>
  </si>
  <si>
    <t>Record 2243</t>
  </si>
  <si>
    <t>Record 451</t>
  </si>
  <si>
    <t>Record 311</t>
  </si>
  <si>
    <t>Record 97</t>
  </si>
  <si>
    <t>Record 2008</t>
  </si>
  <si>
    <t>Record 81</t>
  </si>
  <si>
    <t>Record 1720</t>
  </si>
  <si>
    <t>Record 2141</t>
  </si>
  <si>
    <t>Record 500</t>
  </si>
  <si>
    <t>Record 2498</t>
  </si>
  <si>
    <t>Record 1499</t>
  </si>
  <si>
    <t>Record 855</t>
  </si>
  <si>
    <t>Record 2460</t>
  </si>
  <si>
    <t>Record 1105</t>
  </si>
  <si>
    <t>Record 603</t>
  </si>
  <si>
    <t>Record 852</t>
  </si>
  <si>
    <t>Record 2419</t>
  </si>
  <si>
    <t>Record 1110</t>
  </si>
  <si>
    <t>Record 1508</t>
  </si>
  <si>
    <t>Record 1815</t>
  </si>
  <si>
    <t>Record 1925</t>
  </si>
  <si>
    <t>Record 2047</t>
  </si>
  <si>
    <t>Record 1175</t>
  </si>
  <si>
    <t>Record 1145</t>
  </si>
  <si>
    <t>Record 2007</t>
  </si>
  <si>
    <t>Record 600</t>
  </si>
  <si>
    <t>Record 2100</t>
  </si>
  <si>
    <t>Record 624</t>
  </si>
  <si>
    <t>Record 1345</t>
  </si>
  <si>
    <t>Record 2125</t>
  </si>
  <si>
    <t>Record 160</t>
  </si>
  <si>
    <t>Record 862</t>
  </si>
  <si>
    <t>Record 181</t>
  </si>
  <si>
    <t>Record 155</t>
  </si>
  <si>
    <t>Record 2455</t>
  </si>
  <si>
    <t>Record 1395</t>
  </si>
  <si>
    <t>Record 1533</t>
  </si>
  <si>
    <t>Record 2281</t>
  </si>
  <si>
    <t>Record 566</t>
  </si>
  <si>
    <t>Record 629</t>
  </si>
  <si>
    <t>Record 1628</t>
  </si>
  <si>
    <t>Record 2451</t>
  </si>
  <si>
    <t>Record 1108</t>
  </si>
  <si>
    <t>Record 488</t>
  </si>
  <si>
    <t>Record 70</t>
  </si>
  <si>
    <t>Record 2227</t>
  </si>
  <si>
    <t>Record 316</t>
  </si>
  <si>
    <t>Record 536</t>
  </si>
  <si>
    <t>Record 44</t>
  </si>
  <si>
    <t>Record 2318</t>
  </si>
  <si>
    <t>Record 1942</t>
  </si>
  <si>
    <t>Record 2400</t>
  </si>
  <si>
    <t>Record 26</t>
  </si>
  <si>
    <t>Record 398</t>
  </si>
  <si>
    <t>Record 606</t>
  </si>
  <si>
    <t>Record 1160</t>
  </si>
  <si>
    <t>Record 1117</t>
  </si>
  <si>
    <t>Record 248</t>
  </si>
  <si>
    <t>Record 2296</t>
  </si>
  <si>
    <t>Record 1133</t>
  </si>
  <si>
    <t>Record 867</t>
  </si>
  <si>
    <t>Record 2391</t>
  </si>
  <si>
    <t>Record 980</t>
  </si>
  <si>
    <t>Record 2171</t>
  </si>
  <si>
    <t>Record 2109</t>
  </si>
  <si>
    <t>Record 232</t>
  </si>
  <si>
    <t>Record 2222</t>
  </si>
  <si>
    <t>Record 604</t>
  </si>
  <si>
    <t>Record 1234</t>
  </si>
  <si>
    <t>Record 2259</t>
  </si>
  <si>
    <t>Record 1107</t>
  </si>
  <si>
    <t>Record 1667</t>
  </si>
  <si>
    <t>Record 1896</t>
  </si>
  <si>
    <t>Record 1241</t>
  </si>
  <si>
    <t>Record 762</t>
  </si>
  <si>
    <t>Record 1630</t>
  </si>
  <si>
    <t>Record 174</t>
  </si>
  <si>
    <t>Record 704</t>
  </si>
  <si>
    <t>Record 1014</t>
  </si>
  <si>
    <t>Record 1006</t>
  </si>
  <si>
    <t>Record 218</t>
  </si>
  <si>
    <t>Record 1142</t>
  </si>
  <si>
    <t>Record 699</t>
  </si>
  <si>
    <t>Record 2200</t>
  </si>
  <si>
    <t>Record 20</t>
  </si>
  <si>
    <t>Record 1597</t>
  </si>
  <si>
    <t>Record 36</t>
  </si>
  <si>
    <t>Record 1414</t>
  </si>
  <si>
    <t>Record 1478</t>
  </si>
  <si>
    <t>Record 1378</t>
  </si>
  <si>
    <t>Record 1825</t>
  </si>
  <si>
    <t>Record 527</t>
  </si>
  <si>
    <t>Record 1315</t>
  </si>
  <si>
    <t>Record 106</t>
  </si>
  <si>
    <t>Record 1017</t>
  </si>
  <si>
    <t>Record 358</t>
  </si>
  <si>
    <t>Record 2285</t>
  </si>
  <si>
    <t>Record 29</t>
  </si>
  <si>
    <t>Record 649</t>
  </si>
  <si>
    <t>Record 2485</t>
  </si>
  <si>
    <t>Record 1512</t>
  </si>
  <si>
    <t>Record 2407</t>
  </si>
  <si>
    <t>Record 2075</t>
  </si>
  <si>
    <t>Record 1429</t>
  </si>
  <si>
    <t>Record 62</t>
  </si>
  <si>
    <t>Record 497</t>
  </si>
  <si>
    <t>Record 2016</t>
  </si>
  <si>
    <t>Record 2080</t>
  </si>
  <si>
    <t>Record 1916</t>
  </si>
  <si>
    <t>Record 1642</t>
  </si>
  <si>
    <t>Record 325</t>
  </si>
  <si>
    <t>Record 1187</t>
  </si>
  <si>
    <t>Record 2033</t>
  </si>
  <si>
    <t>Record 1989</t>
  </si>
  <si>
    <t>Record 1787</t>
  </si>
  <si>
    <t>Record 2272</t>
  </si>
  <si>
    <t>Record 433</t>
  </si>
  <si>
    <t>Record 1362</t>
  </si>
  <si>
    <t>Record 1690</t>
  </si>
  <si>
    <t>Record 234</t>
  </si>
  <si>
    <t>Record 830</t>
  </si>
  <si>
    <t>Record 2459</t>
  </si>
  <si>
    <t>Record 2355</t>
  </si>
  <si>
    <t>Record 2115</t>
  </si>
  <si>
    <t>Record 1745</t>
  </si>
  <si>
    <t>Record 790</t>
  </si>
  <si>
    <t>Record 633</t>
  </si>
  <si>
    <t>Record 2284</t>
  </si>
  <si>
    <t>Record 1076</t>
  </si>
  <si>
    <t>Record 2395</t>
  </si>
  <si>
    <t>Record 542</t>
  </si>
  <si>
    <t>Record 792</t>
  </si>
  <si>
    <t>Record 437</t>
  </si>
  <si>
    <t>Record 2077</t>
  </si>
  <si>
    <t>Record 2356</t>
  </si>
  <si>
    <t>Record 1883</t>
  </si>
  <si>
    <t>Record 833</t>
  </si>
  <si>
    <t>Record 270</t>
  </si>
  <si>
    <t>Record 2474</t>
  </si>
  <si>
    <t>Record 249</t>
  </si>
  <si>
    <t>Record 54</t>
  </si>
  <si>
    <t>Record 889</t>
  </si>
  <si>
    <t>Record 548</t>
  </si>
  <si>
    <t>Record 1155</t>
  </si>
  <si>
    <t>Record 1340</t>
  </si>
  <si>
    <t>Record 1990</t>
  </si>
  <si>
    <t>Record 107</t>
  </si>
  <si>
    <t>Record 930</t>
  </si>
  <si>
    <t>Record 1228</t>
  </si>
  <si>
    <t>Record 1393</t>
  </si>
  <si>
    <t>Record 1686</t>
  </si>
  <si>
    <t>Record 335</t>
  </si>
  <si>
    <t>Record 1793</t>
  </si>
  <si>
    <t>Record 1959</t>
  </si>
  <si>
    <t>Record 737</t>
  </si>
  <si>
    <t>Record 1749</t>
  </si>
  <si>
    <t>Record 1607</t>
  </si>
  <si>
    <t>Record 1054</t>
  </si>
  <si>
    <t>Record 875</t>
  </si>
  <si>
    <t>Record 1949</t>
  </si>
  <si>
    <t>Record 965</t>
  </si>
  <si>
    <t>Record 1223</t>
  </si>
  <si>
    <t>Record 657</t>
  </si>
  <si>
    <t>Record 308</t>
  </si>
  <si>
    <t>Record 2024</t>
  </si>
  <si>
    <t>Record 133</t>
  </si>
  <si>
    <t>Record 1801</t>
  </si>
  <si>
    <t>Record 1995</t>
  </si>
  <si>
    <t>Record 59</t>
  </si>
  <si>
    <t>Record 1379</t>
  </si>
  <si>
    <t>Record 1321</t>
  </si>
  <si>
    <t>Record 74</t>
  </si>
  <si>
    <t>Record 32</t>
  </si>
  <si>
    <t>Record 1553</t>
  </si>
  <si>
    <t>Record 2157</t>
  </si>
  <si>
    <t>Record 1156</t>
  </si>
  <si>
    <t>Record 43</t>
  </si>
  <si>
    <t>Record 1129</t>
  </si>
  <si>
    <t>Record 1640</t>
  </si>
  <si>
    <t>Record 438</t>
  </si>
  <si>
    <t>Record 1118</t>
  </si>
  <si>
    <t>Record 1330</t>
  </si>
  <si>
    <t>Record 2146</t>
  </si>
  <si>
    <t>Record 191</t>
  </si>
  <si>
    <t>Record 619</t>
  </si>
  <si>
    <t>Record 2257</t>
  </si>
  <si>
    <t>Record 196</t>
  </si>
  <si>
    <t>Record 240</t>
  </si>
  <si>
    <t>Record 2114</t>
  </si>
  <si>
    <t>Record 278</t>
  </si>
  <si>
    <t>Record 1325</t>
  </si>
  <si>
    <t>Record 264</t>
  </si>
  <si>
    <t>Record 469</t>
  </si>
  <si>
    <t>Record 1460</t>
  </si>
  <si>
    <t>Record 2226</t>
  </si>
  <si>
    <t>Record 273</t>
  </si>
  <si>
    <t>Record 188</t>
  </si>
  <si>
    <t>Record 1937</t>
  </si>
  <si>
    <t>Record 680</t>
  </si>
  <si>
    <t>Record 554</t>
  </si>
  <si>
    <t>Record 1862</t>
  </si>
  <si>
    <t>Record 1130</t>
  </si>
  <si>
    <t>Record 2083</t>
  </si>
  <si>
    <t>Record 1866</t>
  </si>
  <si>
    <t>Record 222</t>
  </si>
  <si>
    <t>Record 1366</t>
  </si>
  <si>
    <t>Record 202</t>
  </si>
  <si>
    <t>Record 748</t>
  </si>
  <si>
    <t>Record 78</t>
  </si>
  <si>
    <t>Record 487</t>
  </si>
  <si>
    <t>Record 18</t>
  </si>
  <si>
    <t>Record 2250</t>
  </si>
  <si>
    <t>Record 690</t>
  </si>
  <si>
    <t>Record 1682</t>
  </si>
  <si>
    <t>Record 1906</t>
  </si>
  <si>
    <t>Record 1164</t>
  </si>
  <si>
    <t>Record 1919</t>
  </si>
  <si>
    <t>Record 427</t>
  </si>
  <si>
    <t>Record 1881</t>
  </si>
  <si>
    <t>Record 2218</t>
  </si>
  <si>
    <t>Record 14</t>
  </si>
  <si>
    <t>Record 1292</t>
  </si>
  <si>
    <t>Record 131</t>
  </si>
  <si>
    <t>Record 1621</t>
  </si>
  <si>
    <t>Record 1756</t>
  </si>
  <si>
    <t>Record 475</t>
  </si>
  <si>
    <t>Record 1461</t>
  </si>
  <si>
    <t>Record 587</t>
  </si>
  <si>
    <t>Record 193</t>
  </si>
  <si>
    <t>Record 1696</t>
  </si>
  <si>
    <t>Record 1785</t>
  </si>
  <si>
    <t>Record 2054</t>
  </si>
  <si>
    <t>Record 2011</t>
  </si>
  <si>
    <t>Record 454</t>
  </si>
  <si>
    <t>Record 1517</t>
  </si>
  <si>
    <t>Record 463</t>
  </si>
  <si>
    <t>Record 999</t>
  </si>
  <si>
    <t>Record 811</t>
  </si>
  <si>
    <t>Record 135</t>
  </si>
  <si>
    <t>Record 1286</t>
  </si>
  <si>
    <t>Record 1705</t>
  </si>
  <si>
    <t>Record 1865</t>
  </si>
  <si>
    <t>Record 2405</t>
  </si>
  <si>
    <t>Record 1913</t>
  </si>
  <si>
    <t>Record 1415</t>
  </si>
  <si>
    <t>Record 1773</t>
  </si>
  <si>
    <t>Record 2088</t>
  </si>
  <si>
    <t>Record 590</t>
  </si>
  <si>
    <t>Record 1657</t>
  </si>
  <si>
    <t>Record 988</t>
  </si>
  <si>
    <t>Record 744</t>
  </si>
  <si>
    <t>Record 2334</t>
  </si>
  <si>
    <t>Record 1735</t>
  </si>
  <si>
    <t>Record 1151</t>
  </si>
  <si>
    <t>Record 1506</t>
  </si>
  <si>
    <t>Record 1089</t>
  </si>
  <si>
    <t>Record 1697</t>
  </si>
  <si>
    <t>Record 2087</t>
  </si>
  <si>
    <t>Record 1260</t>
  </si>
  <si>
    <t>Record 910</t>
  </si>
  <si>
    <t>Record 1874</t>
  </si>
  <si>
    <t>Record 1051</t>
  </si>
  <si>
    <t>Record 799</t>
  </si>
  <si>
    <t>Record 2305</t>
  </si>
  <si>
    <t>Record 666</t>
  </si>
  <si>
    <t>Record 1884</t>
  </si>
  <si>
    <t>Record 1474</t>
  </si>
  <si>
    <t>Record 1889</t>
  </si>
  <si>
    <t>Record 701</t>
  </si>
  <si>
    <t>Record 432</t>
  </si>
  <si>
    <t>Record 838</t>
  </si>
  <si>
    <t>Data Mining: Discriminant Analysis - Stored Model</t>
  </si>
  <si>
    <t>PMML Model</t>
  </si>
  <si>
    <t>&lt;?xml version="1.0" encoding="utf-8"?&gt;</t>
  </si>
  <si>
    <t>&lt;PMML version="4.2" xsi:schemaLocation="http://www.dmg.org/PMML-4_2 http://www.dmg.org/v4-2/pmml-4-2.xsd" xmlns:xsi="http://www.w3.org/2001/XMLSchema-instance" xmlns="http://www.dmg.org/PMML-4_2"&gt;</t>
  </si>
  <si>
    <t>&lt;Header copyright="Copyright (c) 2021 Frontline Systems Inc." description="RegressionModel"&gt;</t>
  </si>
  <si>
    <t>&lt;Application name="XLMinerSDK" version="21.5.2.0"/&gt;</t>
  </si>
  <si>
    <t>&lt;Timestamp&gt;2021-10-21 0:42:44&lt;/Timestamp&gt;</t>
  </si>
  <si>
    <t>&lt;ModelName/&gt;</t>
  </si>
  <si>
    <t>&lt;/Header&gt;</t>
  </si>
  <si>
    <t>&lt;DataDictionary numberOfFields="12"&gt;</t>
  </si>
  <si>
    <t>&lt;DataField optype="continuous" dataType="double" name="Work Experience"/&gt;</t>
  </si>
  <si>
    <t>&lt;DataField optype="continuous" dataType="double" name="Income"/&gt;</t>
  </si>
  <si>
    <t>&lt;DataField optype="continuous" dataType="double" name="Family Size"/&gt;</t>
  </si>
  <si>
    <t>&lt;DataField optype="continuous" dataType="double" name="Credit Card Avg"/&gt;</t>
  </si>
  <si>
    <t>&lt;DataField optype="continuous" dataType="double" name="EdLevel-1"/&gt;</t>
  </si>
  <si>
    <t>&lt;DataField optype="continuous" dataType="double" name="EdLevel-2"/&gt;</t>
  </si>
  <si>
    <t>&lt;DataField optype="continuous" dataType="double" name="Mortgage"/&gt;</t>
  </si>
  <si>
    <t>&lt;DataField optype="continuous" dataType="double" name="Securities Account"/&gt;</t>
  </si>
  <si>
    <t>&lt;DataField optype="continuous" dataType="double" name="CD Account"/&gt;</t>
  </si>
  <si>
    <t>&lt;DataField optype="continuous" dataType="double" name="Online Banking"/&gt;</t>
  </si>
  <si>
    <t>&lt;DataField optype="continuous" dataType="double" name="Credit Card"/&gt;</t>
  </si>
  <si>
    <t>&lt;DataField optype="categorical" dataType="string" name="Personal Loan"&gt;</t>
  </si>
  <si>
    <t>&lt;Value value="0"/&gt;</t>
  </si>
  <si>
    <t>Date: 21-Oct-2021 00:42:44</t>
  </si>
  <si>
    <t>&lt;Value value="1"/&gt;</t>
  </si>
  <si>
    <t>&lt;/DataField&gt;</t>
  </si>
  <si>
    <t>&lt;/DataDictionary&gt;</t>
  </si>
  <si>
    <t>&lt;RegressionModel modelName="RegressionModel" functionName="classification" algorithmName="LinearDiscriminant" normalizationMethod="softmax"&gt;</t>
  </si>
  <si>
    <t>&lt;MiningSchema&gt;</t>
  </si>
  <si>
    <t>&lt;MiningField name="Personal Loan" usageType="predicted"/&gt;</t>
  </si>
  <si>
    <t>&lt;MiningField name="Work Experience" usageType="active"/&gt;</t>
  </si>
  <si>
    <t>&lt;MiningField name="Income" usageType="active"/&gt;</t>
  </si>
  <si>
    <t>&lt;MiningField name="Family Size" usageType="active"/&gt;</t>
  </si>
  <si>
    <t>&lt;MiningField name="Credit Card Avg" usageType="active"/&gt;</t>
  </si>
  <si>
    <t>&lt;MiningField name="EdLevel-1" usageType="active"/&gt;</t>
  </si>
  <si>
    <t>&lt;MiningField name="EdLevel-2" usageType="active"/&gt;</t>
  </si>
  <si>
    <t>&lt;MiningField name="Mortgage" usageType="active"/&gt;</t>
  </si>
  <si>
    <t>&lt;MiningField name="Securities Account" usageType="active"/&gt;</t>
  </si>
  <si>
    <t>&lt;MiningField name="CD Account" usageType="active"/&gt;</t>
  </si>
  <si>
    <t>&lt;MiningField name="Online Banking" usageType="active"/&gt;</t>
  </si>
  <si>
    <t>&lt;MiningField name="Credit Card" usageType="active"/&gt;</t>
  </si>
  <si>
    <t>&lt;/MiningSchema&gt;</t>
  </si>
  <si>
    <t>&lt;Output&gt;</t>
  </si>
  <si>
    <t>&lt;OutputField optype="categorical" dataType="string" name="Predicted_Personal Loan" feature="predictedValue"/&gt;</t>
  </si>
  <si>
    <t>&lt;/Output&gt;</t>
  </si>
  <si>
    <t>&lt;Targets&gt;</t>
  </si>
  <si>
    <t>&lt;Target field="Personal Loan" optype="categorical"&gt;</t>
  </si>
  <si>
    <t>&lt;TargetValue value="0" priorProbability="0.5"/&gt;</t>
  </si>
  <si>
    <t>&lt;TargetValue value="1" priorProbability="0.5"/&gt;</t>
  </si>
  <si>
    <t>&lt;/Target&gt;</t>
  </si>
  <si>
    <t>&lt;/Targets&gt;</t>
  </si>
  <si>
    <t>&lt;LocalTransformations/&gt;</t>
  </si>
  <si>
    <t>&lt;RegressionTable intercept="-10.796435274193241" targetCategory="0"&gt;</t>
  </si>
  <si>
    <t>&lt;NumericPredictor name="Work Experience" exponent="1" coefficient="0.20168287354645914"/&gt;</t>
  </si>
  <si>
    <t>&lt;NumericPredictor name="Income" exponent="1" coefficient="0.069118245461593855"/&gt;</t>
  </si>
  <si>
    <t>&lt;NumericPredictor name="Family Size" exponent="1" coefficient="2.5964990664521741"/&gt;</t>
  </si>
  <si>
    <t>&lt;NumericPredictor name="Credit Card Avg" exponent="1" coefficient="0.42780577253366692"/&gt;</t>
  </si>
  <si>
    <t>&lt;NumericPredictor name="EdLevel-1" exponent="1" coefficient="2.1176950356369244"/&gt;</t>
  </si>
  <si>
    <t>&lt;NumericPredictor name="EdLevel-2" exponent="1" coefficient="2.0057088895450428"/&gt;</t>
  </si>
  <si>
    <t>&lt;NumericPredictor name="Mortgage" exponent="1" coefficient="-0.0029545535224831075"/&gt;</t>
  </si>
  <si>
    <t>&lt;NumericPredictor name="Securities Account" exponent="1" coefficient="3.2328776213062183"/&gt;</t>
  </si>
  <si>
    <t>&lt;NumericPredictor name="CD Account" exponent="1" coefficient="-4.1845767310850954"/&gt;</t>
  </si>
  <si>
    <t>&lt;NumericPredictor name="Online Banking" exponent="1" coefficient="3.3448346996034295"/&gt;</t>
  </si>
  <si>
    <t>&lt;NumericPredictor name="Credit Card" exponent="1" coefficient="1.8039368507509914"/&gt;</t>
  </si>
  <si>
    <t>&lt;/RegressionTable&gt;</t>
  </si>
  <si>
    <t>&lt;RegressionTable intercept="-19.636907524535129" targetCategory="1"&gt;</t>
  </si>
  <si>
    <t>&lt;NumericPredictor name="Work Experience" exponent="1" coefficient="0.21631292295583873"/&gt;</t>
  </si>
  <si>
    <t>&lt;NumericPredictor name="Income" exponent="1" coefficient="0.12988508669150717"/&gt;</t>
  </si>
  <si>
    <t>&lt;NumericPredictor name="Family Size" exponent="1" coefficient="3.2542371019342999"/&gt;</t>
  </si>
  <si>
    <t>&lt;NumericPredictor name="Credit Card Avg" exponent="1" coefficient="0.74767075780788095"/&gt;</t>
  </si>
  <si>
    <t>&lt;NumericPredictor name="EdLevel-1" exponent="1" coefficient="-0.093366017913753097"/&gt;</t>
  </si>
  <si>
    <t>&lt;NumericPredictor name="EdLevel-2" exponent="1" coefficient="1.6386427349867416"/&gt;</t>
  </si>
  <si>
    <t>&lt;NumericPredictor name="Mortgage" exponent="1" coefficient="-0.0027151647361846475"/&gt;</t>
  </si>
  <si>
    <t>&lt;NumericPredictor name="Securities Account" exponent="1" coefficient="2.3062162135291793"/&gt;</t>
  </si>
  <si>
    <t>&lt;NumericPredictor name="CD Account" exponent="1" coefficient="-1.3546469211448773"/&gt;</t>
  </si>
  <si>
    <t>&lt;NumericPredictor name="Online Banking" exponent="1" coefficient="3.2086876058409692"/&gt;</t>
  </si>
  <si>
    <t>&lt;NumericPredictor name="Credit Card" exponent="1" coefficient="1.2691128609869013"/&gt;</t>
  </si>
  <si>
    <t>&lt;/RegressionModel&gt;</t>
  </si>
  <si>
    <t>&lt;/PMML&gt;</t>
  </si>
  <si>
    <t>Linear Discriminant Functions</t>
  </si>
  <si>
    <t>Training: Classification Summary</t>
  </si>
  <si>
    <t>Training: Classification Details</t>
  </si>
  <si>
    <t>Validation: Charts</t>
  </si>
  <si>
    <t>Validation: Classification Summary</t>
  </si>
  <si>
    <t>Validation: Classification Details</t>
  </si>
  <si>
    <t>Data Mining: Discriminant Analysis - Model Performance Charts - Validation Data</t>
  </si>
  <si>
    <t>Terminology</t>
  </si>
  <si>
    <t>PPR</t>
  </si>
  <si>
    <t>TPR</t>
  </si>
  <si>
    <t>FPR</t>
  </si>
  <si>
    <t>Decile Table</t>
  </si>
  <si>
    <t>Lift/Gain Chart Data</t>
  </si>
  <si>
    <t>Predictive Positive Rate (Support)</t>
  </si>
  <si>
    <t>True Positive Rate (Sensitivity, Recall)</t>
  </si>
  <si>
    <t>False Positive Rate (1-Specificity)</t>
  </si>
  <si>
    <t>Decile Chart Data</t>
  </si>
  <si>
    <t>{"liftOld":{"series1":{"xRange":"D33:D1283","yRange":"F33:F1283","name":"Cumulative actual when sorted using predicted values"},"series2":{"xRange":"D33:D1283","yRange":"G33:G1283","name":"Cumulative actual using average"},"xAxisTitle":"# Cases","yAxisTitle":"Cumulative","chartTitle":"Lift Chart (Original)"},"liftNew":{"series1":{"xRange":"E33:E1283","yRange":"H33:H1283","name":"Fitted Classifier"},"series2":{"xRange":"E33:E1283","yRange":"I33:I1283","name":"Random Classifier"},"series3":{"xRange":"E33:E1283","yRange":"J33:J1283","name":"Optimum Classifier"},"xAxisTitle":"Predictive positive rate (support)","yAxisTitle":"Lift","chartTitle":"Lift Chart (Alternative)"},"gain":{"series1":{"xRange":"E33:E1283","yRange":"K33:K1283","name":"Fitted Classifier"},"series2":{"xRange":"E33:E1283","yRange":"L33:L1283","name":"Random Classifier"},"series3":{"xRange":"E33:E1283","yRange":"M33:M1283","name":"Optimum Classifier"},"xAxisTitle":"Predictive positive rate (support)","yAxisTitle":"True positive rate (sensitivity)","chartTitle":"Gain Chart"}}</t>
  </si>
  <si>
    <t>{"series1":{"xRange":"D1288:D2537","yRange":"E1288:E2537","name":"Fitted Classifier"},"series2":{"xRange":"D1288:D2537","yRange":"F1288:F2537","name":"Random Classifier"},"series3":{"xRange":"D1288:D2537","yRange":"G1288:G2537","name":"Optimum Classifier"},"xAxisTitle":"1-specificity","yAxisTitle":"Sensitivity","chartTitle":"ROC Curve, AUC=0.95015875668449201"}</t>
  </si>
  <si>
    <t>{"series1":{"xRange":"K19:K28","yRange":"L19:L28"},"xAxisTitle":"Decile","yAxisTitle":"Decile/Global Mean","chartTitle":"Decile-wise Lift Chart"}</t>
  </si>
  <si>
    <t>ROC Curve Data, AUC=0.95015875668449201</t>
  </si>
  <si>
    <t>Decile</t>
  </si>
  <si>
    <t>Std.Dev.</t>
  </si>
  <si>
    <t>Min.</t>
  </si>
  <si>
    <t>Max.</t>
  </si>
  <si>
    <t>Decile 1</t>
  </si>
  <si>
    <t>Decile 2</t>
  </si>
  <si>
    <t>Decile 3</t>
  </si>
  <si>
    <t>Decile 4</t>
  </si>
  <si>
    <t>Decile 5</t>
  </si>
  <si>
    <t>Decile 6</t>
  </si>
  <si>
    <t>Decile 7</t>
  </si>
  <si>
    <t>Decile 8</t>
  </si>
  <si>
    <t>Decile 9</t>
  </si>
  <si>
    <t>Decile 10</t>
  </si>
  <si>
    <t>Decile/Global Mean</t>
  </si>
  <si>
    <t># Cases</t>
  </si>
  <si>
    <t>Cumulative (Model)</t>
  </si>
  <si>
    <t>Cumulative (Random)</t>
  </si>
  <si>
    <t>Lift (Model)</t>
  </si>
  <si>
    <t>Lift (Random)</t>
  </si>
  <si>
    <t>Lift (Optimum)</t>
  </si>
  <si>
    <t>TPR (Model)</t>
  </si>
  <si>
    <t>TPR (Random)</t>
  </si>
  <si>
    <t>TPR (Optimum)</t>
  </si>
  <si>
    <t>Data Mining: Discriminant Analysis - Prediction of Validation Data</t>
  </si>
  <si>
    <t>Confusion Matrix</t>
  </si>
  <si>
    <t>Error Report</t>
  </si>
  <si>
    <t>Class</t>
  </si>
  <si>
    <t>Overall</t>
  </si>
  <si>
    <t>Metrics</t>
  </si>
  <si>
    <t>Metric</t>
  </si>
  <si>
    <t>Accuracy (#correct)</t>
  </si>
  <si>
    <t>Accuracy (%correct)</t>
  </si>
  <si>
    <t>Specificity</t>
  </si>
  <si>
    <t>Sensitivity (Recall)</t>
  </si>
  <si>
    <t>Precision</t>
  </si>
  <si>
    <t>F1 score</t>
  </si>
  <si>
    <t>Success Class</t>
  </si>
  <si>
    <t>Success Probability</t>
  </si>
  <si>
    <t>Value</t>
  </si>
  <si>
    <t># Errors</t>
  </si>
  <si>
    <t>% Error</t>
  </si>
  <si>
    <t>Actual\Predicted</t>
  </si>
  <si>
    <t>Prediction: Personal Loan</t>
  </si>
  <si>
    <t>PostProb: 0</t>
  </si>
  <si>
    <t>PostProb: 1</t>
  </si>
  <si>
    <t>0</t>
  </si>
  <si>
    <t>1</t>
  </si>
  <si>
    <t>Data Mining: Discriminant Analysis - Prediction of Training Data</t>
  </si>
  <si>
    <t>Data Mining: Discriminant Analysis</t>
  </si>
  <si>
    <t>Training data used for building the model</t>
  </si>
  <si>
    <t># Records in the training data</t>
  </si>
  <si>
    <t>Validation data</t>
  </si>
  <si>
    <t># Records in the validation data</t>
  </si>
  <si>
    <t>Rescaling: Fitting Parameters</t>
  </si>
  <si>
    <t>Rescale Data?</t>
  </si>
  <si>
    <t>Discriminant Analysis: Fitting Parameters</t>
  </si>
  <si>
    <t>Prior Probability Calculation</t>
  </si>
  <si>
    <t>Discriminant Analysis: Model Parameters</t>
  </si>
  <si>
    <t># Classes</t>
  </si>
  <si>
    <t>EMPIRICAL</t>
  </si>
  <si>
    <t>OSPartition</t>
  </si>
  <si>
    <t>$C$42:$O$297</t>
  </si>
  <si>
    <t>$C$298:$O$1547</t>
  </si>
  <si>
    <t>{"comment":"this RASON template was auto-generated by Analytic Solver Data Mining","datasources":{},"datasets":{},"estimator":{"ldaEstimator":{"type":"classification","algorithm":"linearDiscriminantAnalysis","parameters":{"priorProbMethod":"EMPIRICAL"}}},"actions":{}}</t>
  </si>
  <si>
    <t>Discriminant Analysis: Reporting Parameters</t>
  </si>
  <si>
    <t>Show Linear Discriminant Functions?</t>
  </si>
  <si>
    <t>Perform Canonical Analysis?</t>
  </si>
  <si>
    <t>Output Options</t>
  </si>
  <si>
    <t>Summary report of scoring on training data</t>
  </si>
  <si>
    <t>Detailed report of scoring on training data</t>
  </si>
  <si>
    <t>Summary report of scoring on validation data</t>
  </si>
  <si>
    <t>Detailed report of scoring on validation data</t>
  </si>
  <si>
    <t>Lift charts on validation data</t>
  </si>
  <si>
    <t>Variable</t>
  </si>
  <si>
    <t>Intercepts</t>
  </si>
  <si>
    <t>Data Mining: Logistic Regression - Stored Model</t>
  </si>
  <si>
    <t>&lt;Timestamp&gt;2021-10-21 0:53:37&lt;/Timestamp&gt;</t>
  </si>
  <si>
    <t>Date: 21-Oct-2021 00:53:37</t>
  </si>
  <si>
    <t>&lt;RegressionModel modelName="RegressionModel" functionName="classification" algorithmName="LogisticRegression"&gt;</t>
  </si>
  <si>
    <t>&lt;Target field="Personal Loan" optype="categorical" successClass="1"&gt;</t>
  </si>
  <si>
    <t>&lt;RegressionTable intercept="-7.1828619693180675"&gt;</t>
  </si>
  <si>
    <t>&lt;NumericPredictor name="Work Experience" exponent="1" coefficient="0.012235344177340682"/&gt;</t>
  </si>
  <si>
    <t>&lt;NumericPredictor name="Income" exponent="1" coefficient="0.051023299303707866"/&gt;</t>
  </si>
  <si>
    <t>&lt;NumericPredictor name="Family Size" exponent="1" coefficient="0.57046350228991027"/&gt;</t>
  </si>
  <si>
    <t>&lt;NumericPredictor name="Credit Card Avg" exponent="1" coefficient="0.31919104884057437"/&gt;</t>
  </si>
  <si>
    <t>&lt;NumericPredictor name="EdLevel-1" exponent="1" coefficient="-2.67717107324528"/&gt;</t>
  </si>
  <si>
    <t>&lt;NumericPredictor name="EdLevel-2" exponent="1" coefficient="-0.54440226895223953"/&gt;</t>
  </si>
  <si>
    <t>&lt;NumericPredictor name="Mortgage" exponent="1" coefficient="0.00097945872411900532"/&gt;</t>
  </si>
  <si>
    <t>&lt;NumericPredictor name="Securities Account" exponent="1" coefficient="-1.5412326785786934"/&gt;</t>
  </si>
  <si>
    <t>&lt;NumericPredictor name="CD Account" exponent="1" coefficient="4.1978134210317348"/&gt;</t>
  </si>
  <si>
    <t>&lt;NumericPredictor name="Online Banking" exponent="1" coefficient="-0.30309196172249325"/&gt;</t>
  </si>
  <si>
    <t>&lt;NumericPredictor name="Credit Card" exponent="1" coefficient="-0.12678153704421283"/&gt;</t>
  </si>
  <si>
    <t>Regression Summary</t>
  </si>
  <si>
    <t>Predictor Screening</t>
  </si>
  <si>
    <t>Coefficients</t>
  </si>
  <si>
    <t>Data Mining: Logistic Regression - Model Performance Charts - Validation Data</t>
  </si>
  <si>
    <t>{"series1":{"xRange":"D1288:D2537","yRange":"E1288:E2537","name":"Fitted Classifier"},"series2":{"xRange":"D1288:D2537","yRange":"F1288:F2537","name":"Random Classifier"},"series3":{"xRange":"D1288:D2537","yRange":"G1288:G2537","name":"Optimum Classifier"},"xAxisTitle":"1-specificity","yAxisTitle":"Sensitivity","chartTitle":"ROC Curve, AUC=0.94926749108734398"}</t>
  </si>
  <si>
    <t>ROC Curve Data, AUC=0.94926749108734398</t>
  </si>
  <si>
    <t>Data Mining: Logistic Regression - Prediction of Validation Data</t>
  </si>
  <si>
    <t>Data Mining: Logistic Regression - Prediction of Training Data</t>
  </si>
  <si>
    <t>Data Mining: Logistic Regression</t>
  </si>
  <si>
    <t>Categorical Variables</t>
  </si>
  <si>
    <t>Regression Model: Fitting Parameters</t>
  </si>
  <si>
    <t>Fit Intercept</t>
  </si>
  <si>
    <t>Logistic Regression: Fitting Parameters</t>
  </si>
  <si>
    <t>{"comment":"this RASON template was auto-generated by Analytic Solver Data Mining","datasources":{},"datasets":{},"estimator":{"logisticRegressionEstimator":{"type":"classification","algorithm":"logisticRegression","parameters":{"categoricalFeaturesNames":[],"fitIntercept":true,"maxIterations":50,"priorProbMethod":"EMPIRICAL","successClass":"1"}}},"actions":{}}</t>
  </si>
  <si>
    <t>Maximum Number of Iterations</t>
  </si>
  <si>
    <t>Logistic Regression: Model Parameters</t>
  </si>
  <si>
    <t>Regression Model: Reporting Parameters</t>
  </si>
  <si>
    <t>Variance-Covariance Matrix</t>
  </si>
  <si>
    <t>Multicollinearity Diagnostic</t>
  </si>
  <si>
    <t>Analysis of Coefficients</t>
  </si>
  <si>
    <t># Iterations Used</t>
  </si>
  <si>
    <t>Residual DF</t>
  </si>
  <si>
    <t>Residual Deviance</t>
  </si>
  <si>
    <t>Multiple R2</t>
  </si>
  <si>
    <t>Predictor</t>
  </si>
  <si>
    <t>Criteria</t>
  </si>
  <si>
    <t>Included</t>
  </si>
  <si>
    <t>Intercept</t>
  </si>
  <si>
    <t>Row ID</t>
  </si>
  <si>
    <t>Tolerance for entering the model</t>
  </si>
  <si>
    <t>Estimate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</si>
</sst>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"/>
    <numFmt numFmtId="167" formatCode=";;;"/>
  </numFmts>
  <fonts count="19" x14ac:knownFonts="1">
    <font>
      <sz val="10"/>
      <name val="Arial"/>
    </font>
    <font>
      <sz val="8"/>
      <color indexed="81"/>
      <name val="Tahoma"/>
      <family val="2"/>
    </font>
    <font>
      <b/>
      <sz val="10"/>
      <name val="Verdana"/>
      <family val="2"/>
    </font>
    <font>
      <sz val="10"/>
      <name val="Verdana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sz val="10"/>
      <color rgb="FF4169E1"/>
      <name val="Calibri"/>
      <family val="2"/>
    </font>
    <font>
      <sz val="10"/>
      <name val="Calibri"/>
      <family val="2"/>
    </font>
    <font>
      <b/>
      <sz val="12"/>
      <name val="Calibri"/>
      <family val="2"/>
    </font>
    <font>
      <b/>
      <sz val="14"/>
      <color rgb="FF4169E1"/>
      <name val="Calibri"/>
      <family val="2"/>
    </font>
    <font>
      <u/>
      <sz val="10"/>
      <color theme="10"/>
      <name val="Arial"/>
      <family val="2"/>
    </font>
    <font>
      <u/>
      <sz val="10"/>
      <color theme="10"/>
      <name val="Calibri"/>
      <family val="2"/>
    </font>
    <font>
      <b/>
      <sz val="14"/>
      <name val="Calibri"/>
      <family val="2"/>
    </font>
    <font>
      <b/>
      <sz val="1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EBEBF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</borders>
  <cellStyleXfs count="3">
    <xf numFmtId="0" fontId="0" fillId="0" borderId="0"/>
    <xf numFmtId="0" fontId="7" fillId="0" borderId="0"/>
    <xf numFmtId="0" fontId="14" fillId="0" borderId="0" applyNumberFormat="0" applyFill="0" applyBorder="0" applyAlignment="0" applyProtection="0"/>
  </cellStyleXfs>
  <cellXfs count="68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Border="1" applyAlignment="1">
      <alignment wrapText="1"/>
    </xf>
    <xf numFmtId="0" fontId="5" fillId="0" borderId="0" xfId="0" applyFont="1" applyBorder="1"/>
    <xf numFmtId="0" fontId="4" fillId="0" borderId="0" xfId="0" applyFont="1" applyBorder="1" applyAlignment="1"/>
    <xf numFmtId="0" fontId="6" fillId="2" borderId="0" xfId="0" applyFont="1" applyFill="1" applyBorder="1" applyAlignment="1">
      <alignment horizontal="center" wrapText="1"/>
    </xf>
    <xf numFmtId="0" fontId="5" fillId="0" borderId="0" xfId="0" applyFont="1" applyBorder="1" applyAlignment="1">
      <alignment wrapText="1"/>
    </xf>
    <xf numFmtId="2" fontId="5" fillId="0" borderId="0" xfId="0" applyNumberFormat="1" applyFont="1" applyBorder="1"/>
    <xf numFmtId="0" fontId="3" fillId="0" borderId="0" xfId="0" applyFont="1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vertical="top" wrapText="1"/>
    </xf>
    <xf numFmtId="0" fontId="0" fillId="0" borderId="0" xfId="0" applyFill="1" applyBorder="1" applyAlignment="1"/>
    <xf numFmtId="0" fontId="0" fillId="0" borderId="2" xfId="0" applyFill="1" applyBorder="1" applyAlignment="1"/>
    <xf numFmtId="164" fontId="0" fillId="0" borderId="0" xfId="0" applyNumberFormat="1" applyFill="1" applyBorder="1" applyAlignment="1"/>
    <xf numFmtId="165" fontId="0" fillId="0" borderId="0" xfId="0" applyNumberFormat="1" applyFill="1" applyBorder="1" applyAlignment="1"/>
    <xf numFmtId="0" fontId="7" fillId="0" borderId="0" xfId="0" applyFont="1" applyFill="1" applyBorder="1" applyAlignment="1"/>
    <xf numFmtId="166" fontId="0" fillId="0" borderId="0" xfId="0" applyNumberFormat="1" applyFill="1" applyBorder="1" applyAlignment="1"/>
    <xf numFmtId="0" fontId="8" fillId="0" borderId="3" xfId="0" applyFont="1" applyFill="1" applyBorder="1" applyAlignment="1">
      <alignment horizontal="center" wrapText="1"/>
    </xf>
    <xf numFmtId="0" fontId="0" fillId="0" borderId="0" xfId="0" applyFont="1" applyFill="1" applyBorder="1" applyAlignment="1"/>
    <xf numFmtId="0" fontId="0" fillId="0" borderId="0" xfId="0" applyAlignment="1">
      <alignment wrapText="1"/>
    </xf>
    <xf numFmtId="164" fontId="0" fillId="0" borderId="2" xfId="0" applyNumberFormat="1" applyFill="1" applyBorder="1" applyAlignment="1"/>
    <xf numFmtId="0" fontId="9" fillId="0" borderId="3" xfId="0" applyFont="1" applyFill="1" applyBorder="1" applyAlignment="1">
      <alignment horizontal="center" wrapText="1"/>
    </xf>
    <xf numFmtId="0" fontId="13" fillId="0" borderId="0" xfId="0" applyFont="1" applyAlignment="1">
      <alignment horizontal="left"/>
    </xf>
    <xf numFmtId="0" fontId="11" fillId="0" borderId="4" xfId="0" applyFont="1" applyFill="1" applyBorder="1"/>
    <xf numFmtId="0" fontId="10" fillId="4" borderId="4" xfId="0" applyFont="1" applyFill="1" applyBorder="1" applyAlignment="1">
      <alignment horizontal="center"/>
    </xf>
    <xf numFmtId="0" fontId="10" fillId="4" borderId="4" xfId="0" applyFont="1" applyFill="1" applyBorder="1" applyAlignment="1">
      <alignment horizontal="center" wrapText="1"/>
    </xf>
    <xf numFmtId="0" fontId="11" fillId="0" borderId="5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12" fillId="3" borderId="5" xfId="0" applyFont="1" applyFill="1" applyBorder="1" applyAlignment="1">
      <alignment horizontal="left"/>
    </xf>
    <xf numFmtId="0" fontId="12" fillId="3" borderId="6" xfId="0" applyFont="1" applyFill="1" applyBorder="1" applyAlignment="1">
      <alignment horizontal="left"/>
    </xf>
    <xf numFmtId="0" fontId="12" fillId="3" borderId="7" xfId="0" applyFont="1" applyFill="1" applyBorder="1" applyAlignment="1">
      <alignment horizontal="left"/>
    </xf>
    <xf numFmtId="0" fontId="14" fillId="0" borderId="5" xfId="2" applyFill="1" applyBorder="1"/>
    <xf numFmtId="0" fontId="11" fillId="0" borderId="7" xfId="0" applyFont="1" applyFill="1" applyBorder="1"/>
    <xf numFmtId="0" fontId="10" fillId="4" borderId="5" xfId="0" applyFont="1" applyFill="1" applyBorder="1" applyAlignment="1">
      <alignment horizontal="left"/>
    </xf>
    <xf numFmtId="0" fontId="10" fillId="4" borderId="6" xfId="0" applyFont="1" applyFill="1" applyBorder="1" applyAlignment="1">
      <alignment horizontal="left"/>
    </xf>
    <xf numFmtId="0" fontId="10" fillId="4" borderId="7" xfId="0" applyFont="1" applyFill="1" applyBorder="1" applyAlignment="1">
      <alignment horizontal="left"/>
    </xf>
    <xf numFmtId="0" fontId="11" fillId="0" borderId="5" xfId="0" applyFont="1" applyFill="1" applyBorder="1"/>
    <xf numFmtId="0" fontId="11" fillId="0" borderId="6" xfId="0" applyFont="1" applyFill="1" applyBorder="1"/>
    <xf numFmtId="0" fontId="13" fillId="0" borderId="0" xfId="0" applyFont="1"/>
    <xf numFmtId="0" fontId="16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1" fillId="0" borderId="4" xfId="0" applyFont="1" applyBorder="1" applyAlignment="1">
      <alignment horizontal="left"/>
    </xf>
    <xf numFmtId="0" fontId="11" fillId="0" borderId="4" xfId="0" applyFont="1" applyBorder="1"/>
    <xf numFmtId="0" fontId="11" fillId="0" borderId="4" xfId="0" applyFont="1" applyBorder="1"/>
    <xf numFmtId="0" fontId="11" fillId="0" borderId="5" xfId="0" applyFont="1" applyBorder="1"/>
    <xf numFmtId="0" fontId="15" fillId="0" borderId="7" xfId="2" applyFont="1" applyBorder="1"/>
    <xf numFmtId="0" fontId="15" fillId="0" borderId="4" xfId="2" applyFont="1" applyBorder="1"/>
    <xf numFmtId="0" fontId="15" fillId="0" borderId="5" xfId="2" applyFont="1" applyBorder="1"/>
    <xf numFmtId="0" fontId="12" fillId="3" borderId="9" xfId="0" applyFont="1" applyFill="1" applyBorder="1"/>
    <xf numFmtId="0" fontId="10" fillId="4" borderId="4" xfId="0" applyFont="1" applyFill="1" applyBorder="1" applyAlignment="1">
      <alignment horizontal="left"/>
    </xf>
    <xf numFmtId="0" fontId="10" fillId="4" borderId="8" xfId="0" applyFont="1" applyFill="1" applyBorder="1" applyAlignment="1">
      <alignment horizontal="center"/>
    </xf>
    <xf numFmtId="0" fontId="12" fillId="3" borderId="4" xfId="0" applyFont="1" applyFill="1" applyBorder="1"/>
    <xf numFmtId="167" fontId="0" fillId="0" borderId="0" xfId="0" applyNumberFormat="1"/>
    <xf numFmtId="0" fontId="0" fillId="0" borderId="4" xfId="0" applyBorder="1"/>
    <xf numFmtId="0" fontId="0" fillId="0" borderId="5" xfId="0" applyBorder="1"/>
    <xf numFmtId="0" fontId="17" fillId="0" borderId="0" xfId="0" applyFont="1"/>
    <xf numFmtId="0" fontId="18" fillId="0" borderId="0" xfId="0" applyFont="1"/>
    <xf numFmtId="0" fontId="18" fillId="0" borderId="0" xfId="0" applyFont="1" applyAlignment="1">
      <alignment horizontal="right"/>
    </xf>
    <xf numFmtId="0" fontId="18" fillId="0" borderId="0" xfId="0" applyFont="1" applyAlignment="1">
      <alignment horizontal="left"/>
    </xf>
    <xf numFmtId="0" fontId="11" fillId="0" borderId="6" xfId="0" applyFont="1" applyBorder="1"/>
    <xf numFmtId="0" fontId="11" fillId="0" borderId="7" xfId="0" applyFont="1" applyBorder="1"/>
    <xf numFmtId="0" fontId="0" fillId="0" borderId="7" xfId="0" applyBorder="1"/>
    <xf numFmtId="0" fontId="12" fillId="3" borderId="5" xfId="0" applyFont="1" applyFill="1" applyBorder="1"/>
    <xf numFmtId="0" fontId="12" fillId="3" borderId="6" xfId="0" applyFont="1" applyFill="1" applyBorder="1"/>
    <xf numFmtId="0" fontId="12" fillId="3" borderId="7" xfId="0" applyFont="1" applyFill="1" applyBorder="1"/>
  </cellXfs>
  <cellStyles count="3">
    <cellStyle name="Hyperlink" xfId="2" builtinId="8"/>
    <cellStyle name="Normal" xfId="0" builtinId="0"/>
    <cellStyle name="Normal 2" xfId="1" xr:uid="{00000000-0005-0000-0000-000002000000}"/>
  </cellStyles>
  <dxfs count="114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rgb="FF808080"/>
        </top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0</xdr:row>
      <xdr:rowOff>66675</xdr:rowOff>
    </xdr:from>
    <xdr:to>
      <xdr:col>10</xdr:col>
      <xdr:colOff>504825</xdr:colOff>
      <xdr:row>1</xdr:row>
      <xdr:rowOff>142875</xdr:rowOff>
    </xdr:to>
    <xdr:sp macro="" textlink="">
      <xdr:nvSpPr>
        <xdr:cNvPr id="3" name="Tex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2286000" y="66675"/>
          <a:ext cx="3038475" cy="266700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Universal Bank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910C9F-1F62-174C-877F-6AB25A0EA52E}" name="Table1" displayName="Table1" ref="C31:D34" totalsRowShown="0">
  <autoFilter ref="C31:D34" xr:uid="{E8910C9F-1F62-174C-877F-6AB25A0EA52E}"/>
  <tableColumns count="2">
    <tableColumn id="1" xr3:uid="{C6E08D80-94E6-FC48-A24B-B060F272CC83}" name="Partition" dataDxfId="113"/>
    <tableColumn id="2" xr3:uid="{63EA8D3E-B138-9D43-A94F-53195487D093}" name="# Records"/>
  </tableColumns>
  <tableStyleInfo name="TableStyleMedium9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C3252E-717D-F545-9833-79B4C2AF5BEE}" name="Table2" displayName="Table2" ref="C37:D38" headerRowCount="0" totalsRowShown="0">
  <tableColumns count="2">
    <tableColumn id="1" xr3:uid="{AD64DFC7-99EA-444F-B785-6A230AD4556F}" name="Column1" headerRowDxfId="111" dataDxfId="112"/>
    <tableColumn id="2" xr3:uid="{B9C8C4E0-E644-2446-8302-A32111551BBB}" name="Column2"/>
  </tableColumns>
  <tableStyleInfo name="TableStyleMedium9" showFirstColumn="1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7E3AA8-9F7E-3C4D-85CC-796EBCFF5762}" name="Table3" displayName="Table3" ref="C41:O1547" totalsRowShown="0" dataDxfId="98">
  <autoFilter ref="C41:O1547" xr:uid="{757E3AA8-9F7E-3C4D-85CC-796EBCFF5762}"/>
  <tableColumns count="13">
    <tableColumn id="1" xr3:uid="{0FF41BC9-2CEC-3E47-8106-706B0599B1AB}" name="Record ID" dataDxfId="110"/>
    <tableColumn id="2" xr3:uid="{DBE4211F-FD18-F64C-A8C9-3786711FCF4E}" name="Work Experience" dataDxfId="109"/>
    <tableColumn id="3" xr3:uid="{92669AE9-1B50-2447-A716-633C18A83F80}" name="Income" dataDxfId="108"/>
    <tableColumn id="4" xr3:uid="{4B47A9F8-28F8-0D44-8571-D740FB30EB3C}" name="Family Size" dataDxfId="107"/>
    <tableColumn id="5" xr3:uid="{30393687-EC33-8C43-8B8A-C0F4F0ED2C74}" name="Credit Card Avg" dataDxfId="106"/>
    <tableColumn id="6" xr3:uid="{1DDFEEDB-EB70-EF49-83AA-8B4A5A511654}" name="EdLevel-1" dataDxfId="105"/>
    <tableColumn id="7" xr3:uid="{3C4267CC-AE62-1E4A-B47B-7D3193A3A256}" name="EdLevel-2" dataDxfId="104"/>
    <tableColumn id="8" xr3:uid="{6FA3BFD6-E4F4-4740-8DFD-4BE15AFF8DF4}" name="Mortgage" dataDxfId="103"/>
    <tableColumn id="9" xr3:uid="{07EDED9E-3D39-994F-88B6-AB0CC17F5D54}" name="Securities Account" dataDxfId="102"/>
    <tableColumn id="10" xr3:uid="{CA24D3F9-591C-7145-9BFD-A059AB18A67C}" name="CD Account" dataDxfId="101"/>
    <tableColumn id="11" xr3:uid="{404DBD12-661D-994F-98F3-5E1DAD274DAF}" name="Online Banking" dataDxfId="100"/>
    <tableColumn id="12" xr3:uid="{495498E5-0EDE-C846-9D4D-7E87ABE7CB99}" name="Credit Card" dataDxfId="99"/>
    <tableColumn id="13" xr3:uid="{49B3894F-A5D0-1443-8AFA-3F077E95F31C}" name="Personal Loan"/>
  </tableColumns>
  <tableStyleInfo name="TableStyleMedium9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67C1A01-903C-344F-88B4-A5A7F4D8D092}" name="Table29" displayName="Table29" ref="C56:D60" totalsRowShown="0">
  <autoFilter ref="C56:D60" xr:uid="{567C1A01-903C-344F-88B4-A5A7F4D8D092}"/>
  <tableColumns count="2">
    <tableColumn id="1" xr3:uid="{F13204A5-5EC0-0748-AE19-4D68748EAC4A}" name="Metric" dataDxfId="5"/>
    <tableColumn id="2" xr3:uid="{E05EE301-6B7D-944C-B0E9-2493209222FB}" name="Value"/>
  </tableColumns>
  <tableStyleInfo name="TableStyleMedium9" showFirstColumn="1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1B0A53-8AF6-144C-8B73-62C51618BE22}" name="Table30" displayName="Table30" ref="C64:E76" totalsRowShown="0">
  <autoFilter ref="C64:E76" xr:uid="{871B0A53-8AF6-144C-8B73-62C51618BE22}"/>
  <tableColumns count="3">
    <tableColumn id="1" xr3:uid="{40F9D8D3-A987-6645-9D75-60D138DF1075}" name="Predictor" dataDxfId="4"/>
    <tableColumn id="2" xr3:uid="{907130C2-7263-6F40-B0CC-25F46ACFD23B}" name="Criteria" dataDxfId="3"/>
    <tableColumn id="3" xr3:uid="{B4127F08-C4BC-E741-9832-D61714923C79}" name="Included"/>
  </tableColumns>
  <tableStyleInfo name="TableStyleMedium9" showFirstColumn="1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4222E66-13D9-4E40-B9D0-B0C62395FD8D}" name="Table31" displayName="Table31" ref="C79:D80" headerRowCount="0" totalsRowShown="0">
  <tableColumns count="2">
    <tableColumn id="1" xr3:uid="{3103BD0E-1646-6747-82B7-A38756435FFC}" name="Column1" headerRowDxfId="1" dataDxfId="2"/>
    <tableColumn id="2" xr3:uid="{1ED555EB-E879-6A4A-AAE7-0D7AFD2CC793}" name="Column2"/>
  </tableColumns>
  <tableStyleInfo name="TableStyleMedium9" showFirstColumn="1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1E784CE-6573-CF49-8157-972011809B67}" name="Table32" displayName="Table32" ref="C83:D95" totalsRowShown="0">
  <autoFilter ref="C83:D95" xr:uid="{01E784CE-6573-CF49-8157-972011809B67}"/>
  <tableColumns count="2">
    <tableColumn id="1" xr3:uid="{ED04003B-7A28-9143-8340-54657D6D3EBD}" name="Predictor" dataDxfId="0"/>
    <tableColumn id="2" xr3:uid="{7FF5D540-4B7A-6540-95FD-E54212B36B80}" name="Estimate"/>
  </tableColumns>
  <tableStyleInfo name="TableStyleMedium9" showFirstColumn="1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76FB723-5A77-0F43-848E-A3228464D972}" name="Table25" displayName="Table25" ref="C13:E15" totalsRowShown="0" tableBorderDxfId="16">
  <autoFilter ref="C13:E15" xr:uid="{B76FB723-5A77-0F43-848E-A3228464D972}"/>
  <tableColumns count="3">
    <tableColumn id="1" xr3:uid="{BD5901AF-BB8D-FC40-9759-B5F635506916}" name="Actual\Predicted" dataDxfId="15"/>
    <tableColumn id="2" xr3:uid="{3068B970-C0CD-614B-9100-3CDBC9679D8A}" name="0" dataDxfId="14"/>
    <tableColumn id="3" xr3:uid="{0C3112DF-A31D-F746-A4DA-DF53870ABF91}" name="1"/>
  </tableColumns>
  <tableStyleInfo name="TableStyleMedium9" showFirstColumn="1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530C7B5-7628-2341-97F8-CB151C463CDA}" name="Table26" displayName="Table26" ref="C18:F21" totalsRowShown="0" tableBorderDxfId="13">
  <autoFilter ref="C18:F21" xr:uid="{7530C7B5-7628-2341-97F8-CB151C463CDA}"/>
  <tableColumns count="4">
    <tableColumn id="1" xr3:uid="{689880AD-F67A-994A-8A57-82D15A7A499A}" name="Class" dataDxfId="12"/>
    <tableColumn id="2" xr3:uid="{138D7A57-A8D6-E541-ACEF-3A6C71282D4B}" name="# Cases"/>
    <tableColumn id="3" xr3:uid="{91A8D865-D84D-AA40-AE46-17883CE5BF53}" name="# Errors"/>
    <tableColumn id="4" xr3:uid="{9546972A-0FEA-D345-BE4F-1D5FB60E2A68}" name="% Error"/>
  </tableColumns>
  <tableStyleInfo name="TableStyleMedium9" showFirstColumn="1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C9DE71F5-D86E-7A4F-9B8D-F845CAB610BF}" name="Table27" displayName="Table27" ref="C24:D32" totalsRowShown="0" tableBorderDxfId="11">
  <autoFilter ref="C24:D32" xr:uid="{C9DE71F5-D86E-7A4F-9B8D-F845CAB610BF}"/>
  <tableColumns count="2">
    <tableColumn id="1" xr3:uid="{44AEE363-9FEF-5647-BA3A-0C0F8A26C917}" name="Metric"/>
    <tableColumn id="2" xr3:uid="{0F25EB1F-EE8D-204C-B304-1F5D19542CEE}" name="Value"/>
  </tableColumns>
  <tableStyleInfo name="TableStyleMedium9" showFirstColumn="1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4BD0B843-D716-6747-BFED-C1DD535BE655}" name="Table28" displayName="Table28" ref="C36:G292" totalsRowShown="0" dataDxfId="6">
  <autoFilter ref="C36:G292" xr:uid="{4BD0B843-D716-6747-BFED-C1DD535BE655}"/>
  <tableColumns count="5">
    <tableColumn id="1" xr3:uid="{E6706A5C-B8F9-3440-AFDC-035ABC82D8FF}" name="Record ID" dataDxfId="10"/>
    <tableColumn id="2" xr3:uid="{C44B18E4-ADB4-7D43-BB4A-2C3E93DC352C}" name="Personal Loan" dataDxfId="9"/>
    <tableColumn id="3" xr3:uid="{BC3A2CDD-B263-1944-8308-261D09763E02}" name="Prediction: Personal Loan" dataDxfId="8"/>
    <tableColumn id="4" xr3:uid="{886F5102-6E6E-7447-9B2E-A4F293966D7B}" name="PostProb: 1" dataDxfId="7"/>
    <tableColumn id="5" xr3:uid="{EDC35673-F0EC-CA43-B705-8A5D792C7E37}" name="PostProb: 0"/>
  </tableColumns>
  <tableStyleInfo name="TableStyleMedium9" showFirstColumn="1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566781C7-34B7-AB4C-A929-03154C0F1B09}" name="Table21" displayName="Table21" ref="C13:E15" totalsRowShown="0" tableBorderDxfId="27">
  <autoFilter ref="C13:E15" xr:uid="{566781C7-34B7-AB4C-A929-03154C0F1B09}"/>
  <tableColumns count="3">
    <tableColumn id="1" xr3:uid="{3B20B703-807D-424E-A119-6F46B5D294BD}" name="Actual\Predicted" dataDxfId="26"/>
    <tableColumn id="2" xr3:uid="{F0B8A8EE-E301-0D4A-9577-A460152E6E70}" name="0" dataDxfId="25"/>
    <tableColumn id="3" xr3:uid="{0DFA8A2C-69C5-F54F-AAC2-47A60D2CA22E}" name="1"/>
  </tableColumns>
  <tableStyleInfo name="TableStyleMedium9" showFirstColumn="1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ECCF1AE-AF79-9746-A68C-236953580A1B}" name="Table22" displayName="Table22" ref="C18:F21" totalsRowShown="0" tableBorderDxfId="24">
  <autoFilter ref="C18:F21" xr:uid="{7ECCF1AE-AF79-9746-A68C-236953580A1B}"/>
  <tableColumns count="4">
    <tableColumn id="1" xr3:uid="{5743AD49-5685-8B4B-9F35-A2A2CAA342EB}" name="Class" dataDxfId="23"/>
    <tableColumn id="2" xr3:uid="{F4614A87-7EAC-F042-85CD-1D3BFCA6579E}" name="# Cases"/>
    <tableColumn id="3" xr3:uid="{5DEFE909-F62E-3449-BDEC-DE0AFBC1836E}" name="# Errors"/>
    <tableColumn id="4" xr3:uid="{86FCA637-DE8F-294E-8C51-46D613FEA432}" name="% Error"/>
  </tableColumns>
  <tableStyleInfo name="TableStyleMedium9" showFirstColumn="1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925018B6-ECF0-D748-A53D-E6F69CAD3052}" name="Table23" displayName="Table23" ref="C24:D32" totalsRowShown="0" tableBorderDxfId="22">
  <autoFilter ref="C24:D32" xr:uid="{925018B6-ECF0-D748-A53D-E6F69CAD3052}"/>
  <tableColumns count="2">
    <tableColumn id="1" xr3:uid="{E0857A04-63A7-1E4B-AD73-AD430D75FA40}" name="Metric"/>
    <tableColumn id="2" xr3:uid="{57ACD965-F8DD-0F47-A171-F053D536A029}" name="Value"/>
  </tableColumns>
  <tableStyleInfo name="TableStyleMedium9" showFirstColumn="1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9CA96CA8-C9F8-F544-9037-18078BB684B2}" name="Table24" displayName="Table24" ref="C36:G1286" totalsRowShown="0" dataDxfId="17">
  <autoFilter ref="C36:G1286" xr:uid="{9CA96CA8-C9F8-F544-9037-18078BB684B2}"/>
  <tableColumns count="5">
    <tableColumn id="1" xr3:uid="{C8581F5F-082D-F84C-B06F-E5F434D79543}" name="Record ID" dataDxfId="21"/>
    <tableColumn id="2" xr3:uid="{1AE2E868-919F-044C-AB49-ED83F09ED18E}" name="Personal Loan" dataDxfId="20"/>
    <tableColumn id="3" xr3:uid="{AC92C4BE-16E8-BE4B-90FC-EAB24AABBEE4}" name="Prediction: Personal Loan" dataDxfId="19"/>
    <tableColumn id="4" xr3:uid="{14B9A798-341B-A740-8571-621F136C27D0}" name="PostProb: 1" dataDxfId="18"/>
    <tableColumn id="5" xr3:uid="{C89F060F-44D6-2A42-A7E4-52017717222B}" name="PostProb: 0"/>
  </tableColumns>
  <tableStyleInfo name="TableStyleMedium9" showFirstColumn="1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F6DE606-C03B-3C4C-9B72-6920086C34F6}" name="Table17" displayName="Table17" ref="C18:G28" totalsRowShown="0" dataDxfId="46">
  <autoFilter ref="C18:G28" xr:uid="{1F6DE606-C03B-3C4C-9B72-6920086C34F6}"/>
  <tableColumns count="5">
    <tableColumn id="1" xr3:uid="{1D982209-CC3C-C641-870C-A49066AFACC9}" name="Decile" dataDxfId="50"/>
    <tableColumn id="2" xr3:uid="{4F04EA35-92D7-C54F-9B31-C57E8AAFA390}" name="Mean" dataDxfId="49"/>
    <tableColumn id="3" xr3:uid="{826DED77-6F68-9147-ACFE-EE0C2B33CEDB}" name="Std.Dev." dataDxfId="48"/>
    <tableColumn id="4" xr3:uid="{EABDADF3-DA71-A143-AB5B-325561591BEB}" name="Min." dataDxfId="47"/>
    <tableColumn id="5" xr3:uid="{98378643-68FB-D345-A992-C395D9DA6EDB}" name="Max."/>
  </tableColumns>
  <tableStyleInfo name="TableStyleMedium9" showFirstColumn="1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46E8700-2819-F747-92A0-1B9D8BBB5FAA}" name="Table18" displayName="Table18" ref="J18:L28" totalsRowShown="0">
  <autoFilter ref="J18:L28" xr:uid="{746E8700-2819-F747-92A0-1B9D8BBB5FAA}"/>
  <tableColumns count="3">
    <tableColumn id="1" xr3:uid="{F23837D3-4EE5-7246-8140-8FFB7E6DB1C0}" name="ID" dataDxfId="45"/>
    <tableColumn id="2" xr3:uid="{6CE43D03-1305-1A48-BAD3-E1D37AE51AA6}" name="Decile" dataDxfId="44"/>
    <tableColumn id="3" xr3:uid="{DD60FFBA-978E-AD46-8F10-74A6E71E7D89}" name="Decile/Global Mean"/>
  </tableColumns>
  <tableStyleInfo name="TableStyleMedium9" showFirstColumn="1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DAF4422-9373-434E-B25B-35C372E7045F}" name="Table19" displayName="Table19" ref="C32:M1283" totalsRowShown="0" dataDxfId="33">
  <autoFilter ref="C32:M1283" xr:uid="{CDAF4422-9373-434E-B25B-35C372E7045F}"/>
  <tableColumns count="11">
    <tableColumn id="1" xr3:uid="{6B16ED4C-6BCA-424F-999F-11C51D5D5410}" name="# Records" dataDxfId="43"/>
    <tableColumn id="2" xr3:uid="{62647152-E39C-774E-92EE-D4F41D24D9A1}" name="# Cases" dataDxfId="42"/>
    <tableColumn id="3" xr3:uid="{97E65A03-C129-3546-B58B-D690F9546D46}" name="PPR" dataDxfId="41"/>
    <tableColumn id="4" xr3:uid="{33B33EC2-8367-BA4B-8B9C-FC9DA13BDCE0}" name="Cumulative (Model)" dataDxfId="40"/>
    <tableColumn id="5" xr3:uid="{022C33BA-46C2-5B4D-89F2-3A826A590552}" name="Cumulative (Random)" dataDxfId="39"/>
    <tableColumn id="6" xr3:uid="{339E82FF-5022-8042-A1E9-84CC2C72C653}" name="Lift (Model)" dataDxfId="38"/>
    <tableColumn id="7" xr3:uid="{1943B944-F0C7-A14D-B4F1-D43751F704EE}" name="Lift (Random)" dataDxfId="37"/>
    <tableColumn id="8" xr3:uid="{14982677-3012-F947-BB2D-8151EC53105A}" name="Lift (Optimum)" dataDxfId="36"/>
    <tableColumn id="9" xr3:uid="{05B3B5C0-AC1E-DF45-A99E-25479ED34EAF}" name="TPR (Model)" dataDxfId="35"/>
    <tableColumn id="10" xr3:uid="{800F6219-64A3-1D4F-9B0E-58A5F722E8B6}" name="TPR (Random)" dataDxfId="34"/>
    <tableColumn id="11" xr3:uid="{471BA3A8-8D9B-A943-AB06-9B129F330D99}" name="TPR (Optimum)"/>
  </tableColumns>
  <tableStyleInfo name="TableStyleMedium9" showFirstColumn="1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67A05DA4-7F2E-164D-B254-35671F80AE24}" name="Table20" displayName="Table20" ref="C1287:G2537" totalsRowShown="0" dataDxfId="28">
  <autoFilter ref="C1287:G2537" xr:uid="{67A05DA4-7F2E-164D-B254-35671F80AE24}"/>
  <tableColumns count="5">
    <tableColumn id="1" xr3:uid="{0A216EED-6AB6-A84F-8904-C84647C224BD}" name="# Records" dataDxfId="32"/>
    <tableColumn id="2" xr3:uid="{1FF25FC1-84F1-8749-89EA-8B84EAE35C28}" name="FPR" dataDxfId="31"/>
    <tableColumn id="3" xr3:uid="{F7951F2B-4866-1E40-BB7D-D7B38315B1E4}" name="TPR (Model)" dataDxfId="30"/>
    <tableColumn id="4" xr3:uid="{2F8CC225-9C69-7348-B9A5-727CEC296CCB}" name="TPR (Random)" dataDxfId="29"/>
    <tableColumn id="5" xr3:uid="{2DC1AFA7-0B53-B54A-9083-A56963769A2F}" name="TPR (Optimum)"/>
  </tableColumns>
  <tableStyleInfo name="TableStyleMedium9" showFirstColumn="1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03744D-D2C0-574F-8ECB-6D4FF5EBFA9F}" name="Table16" displayName="Table16" ref="C50:E62" totalsRowShown="0">
  <autoFilter ref="C50:E62" xr:uid="{1903744D-D2C0-574F-8ECB-6D4FF5EBFA9F}"/>
  <tableColumns count="3">
    <tableColumn id="1" xr3:uid="{6B54015D-58F3-1E48-BDA8-82770E2A6EFC}" name="Variable" dataDxfId="52"/>
    <tableColumn id="2" xr3:uid="{6CB7CD95-BAB6-8341-BABA-18EE0823463F}" name="0" dataDxfId="51"/>
    <tableColumn id="3" xr3:uid="{4E31B6D1-EC3E-D649-8FEF-6F2A2B2CB356}" name="1"/>
  </tableColumns>
  <tableStyleInfo name="TableStyleMedium9" showFirstColumn="1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C0D9693-7A42-F84E-84E2-212A866474B5}" name="Table12" displayName="Table12" ref="C13:E15" totalsRowShown="0" tableBorderDxfId="63">
  <autoFilter ref="C13:E15" xr:uid="{4C0D9693-7A42-F84E-84E2-212A866474B5}"/>
  <tableColumns count="3">
    <tableColumn id="1" xr3:uid="{B6A1F229-1707-FC4B-9F05-038333067CBD}" name="Actual\Predicted" dataDxfId="62"/>
    <tableColumn id="2" xr3:uid="{00ACE59B-74CB-FA4B-AD01-C0CD03B594C1}" name="0" dataDxfId="61"/>
    <tableColumn id="3" xr3:uid="{8A9210CD-25E4-6743-858B-A12F0E3C8038}" name="1"/>
  </tableColumns>
  <tableStyleInfo name="TableStyleMedium9" showFirstColumn="1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F0630DB-674B-214F-B088-1FD8EF502FEB}" name="Table13" displayName="Table13" ref="C18:F21" totalsRowShown="0" tableBorderDxfId="60">
  <autoFilter ref="C18:F21" xr:uid="{7F0630DB-674B-214F-B088-1FD8EF502FEB}"/>
  <tableColumns count="4">
    <tableColumn id="1" xr3:uid="{C0CCFBDB-AC81-BC48-96AF-B24C95E35EBF}" name="Class" dataDxfId="59"/>
    <tableColumn id="2" xr3:uid="{6CAFE7E9-4BC3-9448-811E-6129C94CCB93}" name="# Cases"/>
    <tableColumn id="3" xr3:uid="{FB7302C4-731A-3448-9174-E502D7198080}" name="# Errors"/>
    <tableColumn id="4" xr3:uid="{A0B24A6B-73E6-6945-823A-7181F574DB59}" name="% Error"/>
  </tableColumns>
  <tableStyleInfo name="TableStyleMedium9" showFirstColumn="1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6AAB7DB-398F-BE45-B34D-4BAF029CFD9D}" name="Table14" displayName="Table14" ref="C24:D32" totalsRowShown="0" tableBorderDxfId="58">
  <autoFilter ref="C24:D32" xr:uid="{46AAB7DB-398F-BE45-B34D-4BAF029CFD9D}"/>
  <tableColumns count="2">
    <tableColumn id="1" xr3:uid="{9BC9732F-5F11-5E46-90A2-3B909BB18B2A}" name="Metric"/>
    <tableColumn id="2" xr3:uid="{9E8C19E6-EC8B-A944-9C0C-0F3AF0901C7E}" name="Value"/>
  </tableColumns>
  <tableStyleInfo name="TableStyleMedium9" showFirstColumn="1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4FC9E54-D478-9F4B-9225-09A09968DB0D}" name="Table15" displayName="Table15" ref="C36:G292" totalsRowShown="0" dataDxfId="53">
  <autoFilter ref="C36:G292" xr:uid="{94FC9E54-D478-9F4B-9225-09A09968DB0D}"/>
  <tableColumns count="5">
    <tableColumn id="1" xr3:uid="{109861F9-3688-294D-9ED8-D8EAD879D5B0}" name="Record ID" dataDxfId="57"/>
    <tableColumn id="2" xr3:uid="{2BCBFF26-6380-654E-9796-39E1E4F49887}" name="Personal Loan" dataDxfId="56"/>
    <tableColumn id="3" xr3:uid="{DBBFC8C6-61F9-524F-A798-517EFFEDC3ED}" name="Prediction: Personal Loan" dataDxfId="55"/>
    <tableColumn id="4" xr3:uid="{F47C226B-AEB1-524D-A18B-C9EEAF3BC156}" name="PostProb: 0" dataDxfId="54"/>
    <tableColumn id="5" xr3:uid="{D3593D94-C5FF-E342-A528-E7052374E3EA}" name="PostProb: 1"/>
  </tableColumns>
  <tableStyleInfo name="TableStyleMedium9" showFirstColumn="1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9649430-14C9-DE45-A310-C9A9512B21FB}" name="Table8" displayName="Table8" ref="C13:E15" totalsRowShown="0" tableBorderDxfId="74">
  <autoFilter ref="C13:E15" xr:uid="{C9649430-14C9-DE45-A310-C9A9512B21FB}"/>
  <tableColumns count="3">
    <tableColumn id="1" xr3:uid="{452BA6A5-D460-184C-9F43-E8D7602EE2C2}" name="Actual\Predicted" dataDxfId="73"/>
    <tableColumn id="2" xr3:uid="{240ADB73-FC32-1B45-8B5D-6418813DBEAB}" name="0" dataDxfId="72"/>
    <tableColumn id="3" xr3:uid="{F51F2E31-8526-964D-BFEB-1BE8947842CD}" name="1"/>
  </tableColumns>
  <tableStyleInfo name="TableStyleMedium9" showFirstColumn="1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6C88E5C-EA75-5E4E-9194-3ECDA0DF1C69}" name="Table9" displayName="Table9" ref="C18:F21" totalsRowShown="0" tableBorderDxfId="71">
  <autoFilter ref="C18:F21" xr:uid="{26C88E5C-EA75-5E4E-9194-3ECDA0DF1C69}"/>
  <tableColumns count="4">
    <tableColumn id="1" xr3:uid="{2AFC95DE-6505-3C49-8148-689ED9A4E0C8}" name="Class" dataDxfId="70"/>
    <tableColumn id="2" xr3:uid="{53FEDA6F-D513-D048-9CCD-E659D8E5294C}" name="# Cases"/>
    <tableColumn id="3" xr3:uid="{A5C53EF7-89AE-4943-820E-D325E70954FE}" name="# Errors"/>
    <tableColumn id="4" xr3:uid="{F06EA720-D5A0-514E-9151-AA5CE267F742}" name="% Error"/>
  </tableColumns>
  <tableStyleInfo name="TableStyleMedium9" showFirstColumn="1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7BB5C21-F4A0-B348-9388-4A29A14703E7}" name="Table10" displayName="Table10" ref="C24:D32" totalsRowShown="0" tableBorderDxfId="69">
  <autoFilter ref="C24:D32" xr:uid="{37BB5C21-F4A0-B348-9388-4A29A14703E7}"/>
  <tableColumns count="2">
    <tableColumn id="1" xr3:uid="{43BA632D-FB52-A64E-B928-32C2F4EAD5BA}" name="Metric"/>
    <tableColumn id="2" xr3:uid="{753759BE-3AEB-A244-9E78-2D73CF14921E}" name="Value"/>
  </tableColumns>
  <tableStyleInfo name="TableStyleMedium9" showFirstColumn="1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4AE07F7-C000-304D-AE43-D8B38DD93963}" name="Table11" displayName="Table11" ref="C36:G1286" totalsRowShown="0" dataDxfId="64">
  <autoFilter ref="C36:G1286" xr:uid="{84AE07F7-C000-304D-AE43-D8B38DD93963}"/>
  <tableColumns count="5">
    <tableColumn id="1" xr3:uid="{2E0AE45C-F3FC-EB4C-85A3-E113FC656C69}" name="Record ID" dataDxfId="68"/>
    <tableColumn id="2" xr3:uid="{FD2A7A75-6B67-6140-A4C7-A2949DD6F260}" name="Personal Loan" dataDxfId="67"/>
    <tableColumn id="3" xr3:uid="{1CFB5B65-9790-0145-8638-DB848B58A460}" name="Prediction: Personal Loan" dataDxfId="66"/>
    <tableColumn id="4" xr3:uid="{438B85CC-FE8C-2240-8FF4-ACF984ECE1B9}" name="PostProb: 0" dataDxfId="65"/>
    <tableColumn id="5" xr3:uid="{A8A66D96-0A62-F947-8719-108158349257}" name="PostProb: 1"/>
  </tableColumns>
  <tableStyleInfo name="TableStyleMedium9" showFirstColumn="1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113455-3370-C349-A96A-3335B7AEFCE4}" name="Table4" displayName="Table4" ref="C18:G28" totalsRowShown="0" dataDxfId="93">
  <autoFilter ref="C18:G28" xr:uid="{01113455-3370-C349-A96A-3335B7AEFCE4}"/>
  <tableColumns count="5">
    <tableColumn id="1" xr3:uid="{CB5842E4-6EEB-8E42-9602-4C669FA107F8}" name="Decile" dataDxfId="97"/>
    <tableColumn id="2" xr3:uid="{28651AAF-CAB4-2245-A094-10024A72325D}" name="Mean" dataDxfId="96"/>
    <tableColumn id="3" xr3:uid="{1CD2C2EF-E33D-A34F-BD1F-A0B4F6808C4F}" name="Std.Dev." dataDxfId="95"/>
    <tableColumn id="4" xr3:uid="{34B83C71-3557-B14D-AB16-1FD31123F15A}" name="Min." dataDxfId="94"/>
    <tableColumn id="5" xr3:uid="{FD754310-7FC1-0645-98DC-7DD5DDB21035}" name="Max."/>
  </tableColumns>
  <tableStyleInfo name="TableStyleMedium9" showFirstColumn="1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7B0A7D4-700F-5B48-BB78-559722CD6301}" name="Table5" displayName="Table5" ref="J18:L28" totalsRowShown="0">
  <autoFilter ref="J18:L28" xr:uid="{C7B0A7D4-700F-5B48-BB78-559722CD6301}"/>
  <tableColumns count="3">
    <tableColumn id="1" xr3:uid="{4B4F94C5-C6CB-4942-AC3A-9181A4AE3189}" name="ID" dataDxfId="92"/>
    <tableColumn id="2" xr3:uid="{560EB14D-25B8-CE47-A671-C892A5A74268}" name="Decile" dataDxfId="91"/>
    <tableColumn id="3" xr3:uid="{4A60F61F-C1AF-8A46-8C66-413B58DB54F5}" name="Decile/Global Mean"/>
  </tableColumns>
  <tableStyleInfo name="TableStyleMedium9" showFirstColumn="1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BCCF210-89D1-FB4D-A087-CCA9B4E9A41D}" name="Table6" displayName="Table6" ref="C32:M1283" totalsRowShown="0" dataDxfId="80">
  <autoFilter ref="C32:M1283" xr:uid="{3BCCF210-89D1-FB4D-A087-CCA9B4E9A41D}"/>
  <tableColumns count="11">
    <tableColumn id="1" xr3:uid="{710AF02D-E069-924C-B86D-88ED47D65656}" name="# Records" dataDxfId="90"/>
    <tableColumn id="2" xr3:uid="{CF1242D2-F711-A340-8B10-9419CFDA9795}" name="# Cases" dataDxfId="89"/>
    <tableColumn id="3" xr3:uid="{8C69C49F-4CE9-334D-A845-81D64A843CDC}" name="PPR" dataDxfId="88"/>
    <tableColumn id="4" xr3:uid="{5A7DC91E-C9BF-A543-8ED7-D849E229859E}" name="Cumulative (Model)" dataDxfId="87"/>
    <tableColumn id="5" xr3:uid="{4F7716EC-F7ED-1248-8568-392832BD4D9B}" name="Cumulative (Random)" dataDxfId="86"/>
    <tableColumn id="6" xr3:uid="{583D3A1D-CBD6-0B47-BC85-AD502CE22EFB}" name="Lift (Model)" dataDxfId="85"/>
    <tableColumn id="7" xr3:uid="{2A8ADAA5-04B2-214B-B394-BECEBF14B3E3}" name="Lift (Random)" dataDxfId="84"/>
    <tableColumn id="8" xr3:uid="{E7E946B9-78D5-3941-B428-EDBB54AA1B22}" name="Lift (Optimum)" dataDxfId="83"/>
    <tableColumn id="9" xr3:uid="{C57A8DD7-A37C-B94C-A690-C5F86C19B5DF}" name="TPR (Model)" dataDxfId="82"/>
    <tableColumn id="10" xr3:uid="{9FFACA3D-DEE5-0449-B85D-801A026B6B7D}" name="TPR (Random)" dataDxfId="81"/>
    <tableColumn id="11" xr3:uid="{26EF19C1-4C12-0E4A-8840-6877D5B53B2E}" name="TPR (Optimum)"/>
  </tableColumns>
  <tableStyleInfo name="TableStyleMedium9" showFirstColumn="1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E53DE2A-B456-2C41-903D-964C5683B038}" name="Table7" displayName="Table7" ref="C1287:G2537" totalsRowShown="0" dataDxfId="75">
  <autoFilter ref="C1287:G2537" xr:uid="{4E53DE2A-B456-2C41-903D-964C5683B038}"/>
  <tableColumns count="5">
    <tableColumn id="1" xr3:uid="{6EDBBB66-177C-6140-AB6C-7EA365590A75}" name="# Records" dataDxfId="79"/>
    <tableColumn id="2" xr3:uid="{263FFF72-2908-1945-B172-16759B4E1F7D}" name="FPR" dataDxfId="78"/>
    <tableColumn id="3" xr3:uid="{1EAEC37E-F455-3D49-B0E3-01815923CB1F}" name="TPR (Model)" dataDxfId="77"/>
    <tableColumn id="4" xr3:uid="{E54CC7BD-DD32-5845-B266-B9AC42E3662B}" name="TPR (Random)" dataDxfId="76"/>
    <tableColumn id="5" xr3:uid="{153ECA31-F4C9-A746-9BD5-F8A53010DC58}" name="TPR (Optimum)"/>
  </tableColumns>
  <tableStyleInfo name="TableStyleMedium9" showFirstColumn="1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199D365-50A2-7D43-810B-244C833E73DD}">
  <we:reference id="wa200000019" version="21.5.0.0" store="en-US" storeType="OMEX"/>
  <we:alternateReferences>
    <we:reference id="wa200000019" version="21.5.0.0" store="WA200000019" storeType="OMEX"/>
  </we:alternateReferences>
  <we:properties/>
  <we:bindings/>
  <we:snapshot xmlns:r="http://schemas.openxmlformats.org/officeDocument/2006/relationships"/>
  <we:extLst>
    <a:ext xmlns:a="http://schemas.openxmlformats.org/drawingml/2006/main" uri="{7C84B067-C214-45C3-A712-C9D94CD141B2}">
      <we:customFunctionIdList>
        <we:customFunctionIds>PsiForecast</we:customFunctionIds>
        <we:customFunctionIds>PsiPredict</we:customFunctionIds>
        <we:customFunctionIds>PsiPosteriors</we:customFunctionIds>
        <we:customFunctionIds>PsiTransform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4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table" Target="../tables/table13.xml"/><Relationship Id="rId1" Type="http://schemas.openxmlformats.org/officeDocument/2006/relationships/table" Target="../tables/table12.xml"/><Relationship Id="rId4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table" Target="../tables/table17.xml"/><Relationship Id="rId1" Type="http://schemas.openxmlformats.org/officeDocument/2006/relationships/table" Target="../tables/table16.xml"/><Relationship Id="rId4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table" Target="../tables/table21.xml"/><Relationship Id="rId4" Type="http://schemas.openxmlformats.org/officeDocument/2006/relationships/table" Target="../tables/table2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7.xml"/><Relationship Id="rId2" Type="http://schemas.openxmlformats.org/officeDocument/2006/relationships/table" Target="../tables/table26.xml"/><Relationship Id="rId1" Type="http://schemas.openxmlformats.org/officeDocument/2006/relationships/table" Target="../tables/table25.xml"/><Relationship Id="rId4" Type="http://schemas.openxmlformats.org/officeDocument/2006/relationships/table" Target="../tables/table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table" Target="../tables/table30.xml"/><Relationship Id="rId1" Type="http://schemas.openxmlformats.org/officeDocument/2006/relationships/table" Target="../tables/table29.xml"/><Relationship Id="rId4" Type="http://schemas.openxmlformats.org/officeDocument/2006/relationships/table" Target="../tables/table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J17"/>
  <sheetViews>
    <sheetView showGridLines="0" workbookViewId="0">
      <selection activeCell="A19" sqref="A19"/>
    </sheetView>
  </sheetViews>
  <sheetFormatPr baseColWidth="10" defaultColWidth="9.1640625" defaultRowHeight="13" x14ac:dyDescent="0.15"/>
  <cols>
    <col min="1" max="1" width="9.1640625" style="2"/>
    <col min="2" max="2" width="19.83203125" style="2" customWidth="1"/>
    <col min="3" max="3" width="70.6640625" style="2" customWidth="1"/>
    <col min="4" max="10" width="11.1640625" style="2" customWidth="1"/>
    <col min="11" max="16384" width="9.1640625" style="2"/>
  </cols>
  <sheetData>
    <row r="1" spans="2:10" x14ac:dyDescent="0.15">
      <c r="B1" s="1" t="s">
        <v>17</v>
      </c>
    </row>
    <row r="3" spans="2:10" ht="14" x14ac:dyDescent="0.15">
      <c r="B3" s="10" t="s">
        <v>0</v>
      </c>
      <c r="C3" s="10" t="s">
        <v>27</v>
      </c>
      <c r="D3" s="9"/>
      <c r="E3" s="9"/>
      <c r="F3" s="9"/>
      <c r="G3" s="9"/>
      <c r="H3" s="9"/>
      <c r="I3" s="9"/>
      <c r="J3" s="9"/>
    </row>
    <row r="4" spans="2:10" ht="14" x14ac:dyDescent="0.15">
      <c r="B4" s="11" t="s">
        <v>1</v>
      </c>
      <c r="C4" s="10" t="s">
        <v>23</v>
      </c>
      <c r="D4" s="9"/>
      <c r="E4" s="9"/>
      <c r="F4" s="9"/>
      <c r="G4" s="9"/>
      <c r="H4" s="9"/>
      <c r="I4" s="9"/>
      <c r="J4" s="9"/>
    </row>
    <row r="5" spans="2:10" ht="14" x14ac:dyDescent="0.15">
      <c r="B5" s="11" t="s">
        <v>4</v>
      </c>
      <c r="C5" s="10" t="s">
        <v>16</v>
      </c>
      <c r="D5" s="9"/>
      <c r="E5" s="9"/>
      <c r="F5" s="9"/>
      <c r="G5" s="9"/>
      <c r="H5" s="9"/>
      <c r="I5" s="9"/>
      <c r="J5" s="9"/>
    </row>
    <row r="6" spans="2:10" ht="14" x14ac:dyDescent="0.15">
      <c r="B6" s="11" t="s">
        <v>2</v>
      </c>
      <c r="C6" s="10" t="s">
        <v>15</v>
      </c>
      <c r="D6" s="9"/>
      <c r="E6" s="9"/>
      <c r="F6" s="9"/>
      <c r="G6" s="9"/>
      <c r="H6" s="9"/>
      <c r="I6" s="9"/>
      <c r="J6" s="9"/>
    </row>
    <row r="7" spans="2:10" ht="14" x14ac:dyDescent="0.15">
      <c r="B7" s="11" t="s">
        <v>22</v>
      </c>
      <c r="C7" s="10" t="s">
        <v>24</v>
      </c>
      <c r="D7" s="9"/>
      <c r="E7" s="9"/>
      <c r="F7" s="9"/>
      <c r="G7" s="9"/>
      <c r="H7" s="9"/>
      <c r="I7" s="9"/>
      <c r="J7" s="9"/>
    </row>
    <row r="8" spans="2:10" ht="14" x14ac:dyDescent="0.15">
      <c r="B8" s="11" t="s">
        <v>21</v>
      </c>
      <c r="C8" s="10" t="s">
        <v>25</v>
      </c>
      <c r="D8" s="9"/>
      <c r="E8" s="9"/>
      <c r="F8" s="9"/>
      <c r="G8" s="9"/>
      <c r="H8" s="9"/>
      <c r="I8" s="9"/>
      <c r="J8" s="9"/>
    </row>
    <row r="9" spans="2:10" ht="13.5" customHeight="1" x14ac:dyDescent="0.15">
      <c r="B9" s="11" t="s">
        <v>3</v>
      </c>
      <c r="C9" s="10" t="s">
        <v>26</v>
      </c>
      <c r="D9" s="9"/>
      <c r="E9" s="9"/>
      <c r="F9" s="9"/>
      <c r="G9" s="9"/>
      <c r="H9" s="9"/>
      <c r="I9" s="9"/>
      <c r="J9" s="9"/>
    </row>
    <row r="10" spans="2:10" ht="13.5" customHeight="1" x14ac:dyDescent="0.15">
      <c r="B10" s="11" t="s">
        <v>43</v>
      </c>
      <c r="C10" s="10" t="s">
        <v>46</v>
      </c>
      <c r="D10" s="9"/>
      <c r="E10" s="9"/>
      <c r="F10" s="9"/>
      <c r="G10" s="9"/>
      <c r="H10" s="9"/>
      <c r="I10" s="9"/>
      <c r="J10" s="9"/>
    </row>
    <row r="11" spans="2:10" ht="13.5" customHeight="1" x14ac:dyDescent="0.15">
      <c r="B11" s="11" t="s">
        <v>45</v>
      </c>
      <c r="C11" s="10" t="s">
        <v>46</v>
      </c>
      <c r="D11" s="9"/>
      <c r="E11" s="9"/>
      <c r="F11" s="9"/>
      <c r="G11" s="9"/>
      <c r="H11" s="9"/>
      <c r="I11" s="9"/>
      <c r="J11" s="9"/>
    </row>
    <row r="12" spans="2:10" ht="14" x14ac:dyDescent="0.15">
      <c r="B12" s="11" t="s">
        <v>7</v>
      </c>
      <c r="C12" s="10" t="s">
        <v>14</v>
      </c>
      <c r="D12" s="9"/>
      <c r="E12" s="9"/>
      <c r="F12" s="9"/>
      <c r="G12" s="9"/>
      <c r="H12" s="9"/>
      <c r="I12" s="9"/>
      <c r="J12" s="9"/>
    </row>
    <row r="13" spans="2:10" ht="14" x14ac:dyDescent="0.15">
      <c r="B13" s="11" t="s">
        <v>6</v>
      </c>
      <c r="C13" s="10" t="s">
        <v>12</v>
      </c>
      <c r="D13" s="9"/>
      <c r="E13" s="9"/>
      <c r="F13" s="9"/>
      <c r="G13" s="9"/>
      <c r="H13" s="9"/>
      <c r="I13" s="9"/>
      <c r="J13" s="9"/>
    </row>
    <row r="14" spans="2:10" ht="28" x14ac:dyDescent="0.15">
      <c r="B14" s="11" t="s">
        <v>5</v>
      </c>
      <c r="C14" s="10" t="s">
        <v>11</v>
      </c>
      <c r="D14" s="9"/>
      <c r="E14" s="9"/>
      <c r="F14" s="9"/>
      <c r="G14" s="9"/>
      <c r="H14" s="9"/>
      <c r="I14" s="9"/>
      <c r="J14" s="9"/>
    </row>
    <row r="15" spans="2:10" ht="14" x14ac:dyDescent="0.15">
      <c r="B15" s="11" t="s">
        <v>19</v>
      </c>
      <c r="C15" s="10" t="s">
        <v>10</v>
      </c>
      <c r="D15" s="9"/>
      <c r="E15" s="9"/>
      <c r="F15" s="9"/>
      <c r="G15" s="9"/>
      <c r="H15" s="9"/>
      <c r="I15" s="9"/>
      <c r="J15" s="9"/>
    </row>
    <row r="16" spans="2:10" ht="12.75" customHeight="1" x14ac:dyDescent="0.15">
      <c r="B16" s="11" t="s">
        <v>20</v>
      </c>
      <c r="C16" s="10" t="s">
        <v>9</v>
      </c>
      <c r="D16" s="9"/>
      <c r="E16" s="9"/>
      <c r="F16" s="9"/>
      <c r="G16" s="9"/>
      <c r="H16" s="9"/>
      <c r="I16" s="9"/>
      <c r="J16" s="9"/>
    </row>
    <row r="17" spans="2:10" ht="28" x14ac:dyDescent="0.15">
      <c r="B17" s="11" t="s">
        <v>8</v>
      </c>
      <c r="C17" s="10" t="s">
        <v>13</v>
      </c>
      <c r="D17" s="9"/>
      <c r="E17" s="9"/>
      <c r="F17" s="9"/>
      <c r="G17" s="9"/>
      <c r="H17" s="9"/>
      <c r="I17" s="9"/>
      <c r="J17" s="9"/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O2503"/>
  <sheetViews>
    <sheetView workbookViewId="0">
      <pane ySplit="3" topLeftCell="A4" activePane="bottomLeft" state="frozen"/>
      <selection pane="bottomLeft" activeCell="D12" sqref="D12"/>
    </sheetView>
  </sheetViews>
  <sheetFormatPr baseColWidth="10" defaultColWidth="9.1640625" defaultRowHeight="12" x14ac:dyDescent="0.15"/>
  <cols>
    <col min="1" max="1" width="5.5" style="4" bestFit="1" customWidth="1"/>
    <col min="2" max="2" width="4.5" style="4" bestFit="1" customWidth="1"/>
    <col min="3" max="3" width="12.1640625" style="4" customWidth="1"/>
    <col min="4" max="4" width="7.6640625" style="4" customWidth="1"/>
    <col min="5" max="5" width="6.6640625" style="4" bestFit="1" customWidth="1"/>
    <col min="6" max="6" width="10.5" style="4" customWidth="1"/>
    <col min="7" max="7" width="10.1640625" style="4" customWidth="1"/>
    <col min="8" max="8" width="8.83203125" style="4" bestFit="1" customWidth="1"/>
    <col min="9" max="9" width="9.5" style="4" bestFit="1" customWidth="1"/>
    <col min="10" max="10" width="10.5" style="4" customWidth="1"/>
    <col min="11" max="11" width="10.33203125" style="4" customWidth="1"/>
    <col min="12" max="15" width="9.33203125" style="4" customWidth="1"/>
    <col min="16" max="16384" width="9.1640625" style="4"/>
  </cols>
  <sheetData>
    <row r="1" spans="1:15" ht="15" customHeight="1" x14ac:dyDescent="0.15">
      <c r="B1" s="3"/>
      <c r="C1" s="3"/>
      <c r="D1" s="3"/>
      <c r="E1" s="3"/>
      <c r="F1" s="3"/>
      <c r="G1" s="3"/>
      <c r="H1" s="3"/>
      <c r="I1" s="3"/>
      <c r="J1" s="3"/>
      <c r="K1" s="5"/>
      <c r="L1" s="5"/>
      <c r="M1" s="5"/>
      <c r="N1" s="5"/>
      <c r="O1" s="5"/>
    </row>
    <row r="2" spans="1:15" ht="17.25" customHeight="1" x14ac:dyDescent="0.15">
      <c r="B2" s="3"/>
      <c r="C2" s="3"/>
      <c r="D2" s="3"/>
      <c r="E2" s="3"/>
      <c r="F2" s="3"/>
      <c r="G2" s="3"/>
      <c r="H2" s="3"/>
      <c r="I2" s="3"/>
      <c r="J2" s="3"/>
      <c r="K2" s="3"/>
      <c r="O2" s="3"/>
    </row>
    <row r="3" spans="1:15" s="7" customFormat="1" ht="26" x14ac:dyDescent="0.15">
      <c r="A3" s="6" t="s">
        <v>0</v>
      </c>
      <c r="B3" s="6" t="s">
        <v>1</v>
      </c>
      <c r="C3" s="6" t="s">
        <v>18</v>
      </c>
      <c r="D3" s="6" t="s">
        <v>2</v>
      </c>
      <c r="E3" s="6" t="s">
        <v>22</v>
      </c>
      <c r="F3" s="6" t="s">
        <v>21</v>
      </c>
      <c r="G3" s="6" t="s">
        <v>3</v>
      </c>
      <c r="H3" s="6" t="s">
        <v>43</v>
      </c>
      <c r="I3" s="6" t="s">
        <v>44</v>
      </c>
      <c r="J3" s="6" t="s">
        <v>7</v>
      </c>
      <c r="K3" s="6" t="s">
        <v>6</v>
      </c>
      <c r="L3" s="6" t="s">
        <v>5</v>
      </c>
      <c r="M3" s="6" t="s">
        <v>19</v>
      </c>
      <c r="N3" s="6" t="s">
        <v>20</v>
      </c>
      <c r="O3" s="6" t="s">
        <v>8</v>
      </c>
    </row>
    <row r="4" spans="1:15" x14ac:dyDescent="0.15">
      <c r="A4" s="4">
        <v>1</v>
      </c>
      <c r="B4" s="4">
        <v>25</v>
      </c>
      <c r="C4" s="4">
        <v>1</v>
      </c>
      <c r="D4" s="4">
        <v>49</v>
      </c>
      <c r="E4" s="4">
        <v>4</v>
      </c>
      <c r="F4" s="8">
        <v>1.6</v>
      </c>
      <c r="G4" s="4">
        <v>1</v>
      </c>
      <c r="H4" s="4">
        <f>IF(G4=1,1,0)</f>
        <v>1</v>
      </c>
      <c r="I4" s="4">
        <f>IF(G4=2,1,0)</f>
        <v>0</v>
      </c>
      <c r="J4" s="4">
        <v>0</v>
      </c>
      <c r="K4" s="4">
        <v>1</v>
      </c>
      <c r="L4" s="4">
        <v>0</v>
      </c>
      <c r="M4" s="4">
        <v>0</v>
      </c>
      <c r="N4" s="4">
        <v>0</v>
      </c>
      <c r="O4" s="4">
        <v>0</v>
      </c>
    </row>
    <row r="5" spans="1:15" x14ac:dyDescent="0.15">
      <c r="A5" s="4">
        <v>2</v>
      </c>
      <c r="B5" s="4">
        <v>45</v>
      </c>
      <c r="C5" s="4">
        <v>19</v>
      </c>
      <c r="D5" s="4">
        <v>34</v>
      </c>
      <c r="E5" s="4">
        <v>3</v>
      </c>
      <c r="F5" s="8">
        <v>1.5</v>
      </c>
      <c r="G5" s="4">
        <v>1</v>
      </c>
      <c r="H5" s="4">
        <f t="shared" ref="H5:H68" si="0">IF(G5=1,1,0)</f>
        <v>1</v>
      </c>
      <c r="I5" s="4">
        <f t="shared" ref="I5:I68" si="1">IF(G5=2,1,0)</f>
        <v>0</v>
      </c>
      <c r="J5" s="4">
        <v>0</v>
      </c>
      <c r="K5" s="4">
        <v>1</v>
      </c>
      <c r="L5" s="4">
        <v>0</v>
      </c>
      <c r="M5" s="4">
        <v>0</v>
      </c>
      <c r="N5" s="4">
        <v>0</v>
      </c>
      <c r="O5" s="4">
        <v>0</v>
      </c>
    </row>
    <row r="6" spans="1:15" x14ac:dyDescent="0.15">
      <c r="A6" s="4">
        <v>3</v>
      </c>
      <c r="B6" s="4">
        <v>39</v>
      </c>
      <c r="C6" s="4">
        <v>15</v>
      </c>
      <c r="D6" s="4">
        <v>11</v>
      </c>
      <c r="E6" s="4">
        <v>1</v>
      </c>
      <c r="F6" s="8">
        <v>1</v>
      </c>
      <c r="G6" s="4">
        <v>1</v>
      </c>
      <c r="H6" s="4">
        <f t="shared" si="0"/>
        <v>1</v>
      </c>
      <c r="I6" s="4">
        <f t="shared" si="1"/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</row>
    <row r="7" spans="1:15" x14ac:dyDescent="0.15">
      <c r="A7" s="4">
        <v>4</v>
      </c>
      <c r="B7" s="4">
        <v>35</v>
      </c>
      <c r="C7" s="4">
        <v>9</v>
      </c>
      <c r="D7" s="4">
        <v>100</v>
      </c>
      <c r="E7" s="4">
        <v>1</v>
      </c>
      <c r="F7" s="8">
        <v>2.7</v>
      </c>
      <c r="G7" s="4">
        <v>2</v>
      </c>
      <c r="H7" s="4">
        <f t="shared" si="0"/>
        <v>0</v>
      </c>
      <c r="I7" s="4">
        <f t="shared" si="1"/>
        <v>1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</row>
    <row r="8" spans="1:15" x14ac:dyDescent="0.15">
      <c r="A8" s="4">
        <v>5</v>
      </c>
      <c r="B8" s="4">
        <v>35</v>
      </c>
      <c r="C8" s="4">
        <v>8</v>
      </c>
      <c r="D8" s="4">
        <v>45</v>
      </c>
      <c r="E8" s="4">
        <v>4</v>
      </c>
      <c r="F8" s="8">
        <v>1</v>
      </c>
      <c r="G8" s="4">
        <v>2</v>
      </c>
      <c r="H8" s="4">
        <f t="shared" si="0"/>
        <v>0</v>
      </c>
      <c r="I8" s="4">
        <f t="shared" si="1"/>
        <v>1</v>
      </c>
      <c r="J8" s="4">
        <v>0</v>
      </c>
      <c r="K8" s="4">
        <v>0</v>
      </c>
      <c r="L8" s="4">
        <v>0</v>
      </c>
      <c r="M8" s="4">
        <v>0</v>
      </c>
      <c r="N8" s="4">
        <v>1</v>
      </c>
      <c r="O8" s="4">
        <v>0</v>
      </c>
    </row>
    <row r="9" spans="1:15" x14ac:dyDescent="0.15">
      <c r="A9" s="4">
        <v>6</v>
      </c>
      <c r="B9" s="4">
        <v>37</v>
      </c>
      <c r="C9" s="4">
        <v>13</v>
      </c>
      <c r="D9" s="4">
        <v>29</v>
      </c>
      <c r="E9" s="4">
        <v>4</v>
      </c>
      <c r="F9" s="8">
        <v>0.4</v>
      </c>
      <c r="G9" s="4">
        <v>2</v>
      </c>
      <c r="H9" s="4">
        <f t="shared" si="0"/>
        <v>0</v>
      </c>
      <c r="I9" s="4">
        <f t="shared" si="1"/>
        <v>1</v>
      </c>
      <c r="J9" s="4">
        <v>155</v>
      </c>
      <c r="K9" s="4">
        <v>0</v>
      </c>
      <c r="L9" s="4">
        <v>0</v>
      </c>
      <c r="M9" s="4">
        <v>1</v>
      </c>
      <c r="N9" s="4">
        <v>0</v>
      </c>
      <c r="O9" s="4">
        <v>0</v>
      </c>
    </row>
    <row r="10" spans="1:15" x14ac:dyDescent="0.15">
      <c r="A10" s="4">
        <v>7</v>
      </c>
      <c r="B10" s="4">
        <v>53</v>
      </c>
      <c r="C10" s="4">
        <v>27</v>
      </c>
      <c r="D10" s="4">
        <v>72</v>
      </c>
      <c r="E10" s="4">
        <v>2</v>
      </c>
      <c r="F10" s="8">
        <v>1.5</v>
      </c>
      <c r="G10" s="4">
        <v>2</v>
      </c>
      <c r="H10" s="4">
        <f t="shared" si="0"/>
        <v>0</v>
      </c>
      <c r="I10" s="4">
        <f t="shared" si="1"/>
        <v>1</v>
      </c>
      <c r="J10" s="4">
        <v>0</v>
      </c>
      <c r="K10" s="4">
        <v>0</v>
      </c>
      <c r="L10" s="4">
        <v>0</v>
      </c>
      <c r="M10" s="4">
        <v>1</v>
      </c>
      <c r="N10" s="4">
        <v>0</v>
      </c>
      <c r="O10" s="4">
        <v>0</v>
      </c>
    </row>
    <row r="11" spans="1:15" x14ac:dyDescent="0.15">
      <c r="A11" s="4">
        <v>8</v>
      </c>
      <c r="B11" s="4">
        <v>50</v>
      </c>
      <c r="C11" s="4">
        <v>24</v>
      </c>
      <c r="D11" s="4">
        <v>22</v>
      </c>
      <c r="E11" s="4">
        <v>1</v>
      </c>
      <c r="F11" s="8">
        <v>0.3</v>
      </c>
      <c r="G11" s="4">
        <v>3</v>
      </c>
      <c r="H11" s="4">
        <f t="shared" si="0"/>
        <v>0</v>
      </c>
      <c r="I11" s="4">
        <f t="shared" si="1"/>
        <v>0</v>
      </c>
      <c r="J11" s="4">
        <v>0</v>
      </c>
      <c r="K11" s="4">
        <v>0</v>
      </c>
      <c r="L11" s="4">
        <v>0</v>
      </c>
      <c r="M11" s="4">
        <v>0</v>
      </c>
      <c r="N11" s="4">
        <v>1</v>
      </c>
      <c r="O11" s="4">
        <v>0</v>
      </c>
    </row>
    <row r="12" spans="1:15" x14ac:dyDescent="0.15">
      <c r="A12" s="4">
        <v>9</v>
      </c>
      <c r="B12" s="4">
        <v>35</v>
      </c>
      <c r="C12" s="4">
        <v>10</v>
      </c>
      <c r="D12" s="4">
        <v>81</v>
      </c>
      <c r="E12" s="4">
        <v>3</v>
      </c>
      <c r="F12" s="8">
        <v>0.6</v>
      </c>
      <c r="G12" s="4">
        <v>2</v>
      </c>
      <c r="H12" s="4">
        <f t="shared" si="0"/>
        <v>0</v>
      </c>
      <c r="I12" s="4">
        <f t="shared" si="1"/>
        <v>1</v>
      </c>
      <c r="J12" s="4">
        <v>104</v>
      </c>
      <c r="K12" s="4">
        <v>0</v>
      </c>
      <c r="L12" s="4">
        <v>0</v>
      </c>
      <c r="M12" s="4">
        <v>1</v>
      </c>
      <c r="N12" s="4">
        <v>0</v>
      </c>
      <c r="O12" s="4">
        <v>0</v>
      </c>
    </row>
    <row r="13" spans="1:15" x14ac:dyDescent="0.15">
      <c r="A13" s="4">
        <v>10</v>
      </c>
      <c r="B13" s="4">
        <v>34</v>
      </c>
      <c r="C13" s="4">
        <v>9</v>
      </c>
      <c r="D13" s="4">
        <v>180</v>
      </c>
      <c r="E13" s="4">
        <v>1</v>
      </c>
      <c r="F13" s="8">
        <v>8.9</v>
      </c>
      <c r="G13" s="4">
        <v>3</v>
      </c>
      <c r="H13" s="4">
        <f t="shared" si="0"/>
        <v>0</v>
      </c>
      <c r="I13" s="4">
        <f t="shared" si="1"/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1</v>
      </c>
    </row>
    <row r="14" spans="1:15" x14ac:dyDescent="0.15">
      <c r="A14" s="4">
        <v>11</v>
      </c>
      <c r="B14" s="4">
        <v>65</v>
      </c>
      <c r="C14" s="4">
        <v>39</v>
      </c>
      <c r="D14" s="4">
        <v>105</v>
      </c>
      <c r="E14" s="4">
        <v>4</v>
      </c>
      <c r="F14" s="8">
        <v>2.4</v>
      </c>
      <c r="G14" s="4">
        <v>3</v>
      </c>
      <c r="H14" s="4">
        <f t="shared" si="0"/>
        <v>0</v>
      </c>
      <c r="I14" s="4">
        <f t="shared" si="1"/>
        <v>0</v>
      </c>
      <c r="J14" s="4">
        <v>0</v>
      </c>
      <c r="K14" s="4">
        <v>0</v>
      </c>
      <c r="L14" s="4">
        <v>0</v>
      </c>
      <c r="M14" s="4">
        <v>0</v>
      </c>
      <c r="N14" s="4">
        <v>0</v>
      </c>
      <c r="O14" s="4">
        <v>0</v>
      </c>
    </row>
    <row r="15" spans="1:15" x14ac:dyDescent="0.15">
      <c r="A15" s="4">
        <v>12</v>
      </c>
      <c r="B15" s="4">
        <v>29</v>
      </c>
      <c r="C15" s="4">
        <v>5</v>
      </c>
      <c r="D15" s="4">
        <v>45</v>
      </c>
      <c r="E15" s="4">
        <v>3</v>
      </c>
      <c r="F15" s="8">
        <v>0.1</v>
      </c>
      <c r="G15" s="4">
        <v>2</v>
      </c>
      <c r="H15" s="4">
        <f t="shared" si="0"/>
        <v>0</v>
      </c>
      <c r="I15" s="4">
        <f t="shared" si="1"/>
        <v>1</v>
      </c>
      <c r="J15" s="4">
        <v>0</v>
      </c>
      <c r="K15" s="4">
        <v>0</v>
      </c>
      <c r="L15" s="4">
        <v>0</v>
      </c>
      <c r="M15" s="4">
        <v>1</v>
      </c>
      <c r="N15" s="4">
        <v>0</v>
      </c>
      <c r="O15" s="4">
        <v>0</v>
      </c>
    </row>
    <row r="16" spans="1:15" x14ac:dyDescent="0.15">
      <c r="A16" s="4">
        <v>13</v>
      </c>
      <c r="B16" s="4">
        <v>48</v>
      </c>
      <c r="C16" s="4">
        <v>23</v>
      </c>
      <c r="D16" s="4">
        <v>114</v>
      </c>
      <c r="E16" s="4">
        <v>2</v>
      </c>
      <c r="F16" s="8">
        <v>3.8</v>
      </c>
      <c r="G16" s="4">
        <v>3</v>
      </c>
      <c r="H16" s="4">
        <f t="shared" si="0"/>
        <v>0</v>
      </c>
      <c r="I16" s="4">
        <f t="shared" si="1"/>
        <v>0</v>
      </c>
      <c r="J16" s="4">
        <v>0</v>
      </c>
      <c r="K16" s="4">
        <v>1</v>
      </c>
      <c r="L16" s="4">
        <v>0</v>
      </c>
      <c r="M16" s="4">
        <v>0</v>
      </c>
      <c r="N16" s="4">
        <v>0</v>
      </c>
      <c r="O16" s="4">
        <v>0</v>
      </c>
    </row>
    <row r="17" spans="1:15" x14ac:dyDescent="0.15">
      <c r="A17" s="4">
        <v>14</v>
      </c>
      <c r="B17" s="4">
        <v>59</v>
      </c>
      <c r="C17" s="4">
        <v>32</v>
      </c>
      <c r="D17" s="4">
        <v>40</v>
      </c>
      <c r="E17" s="4">
        <v>4</v>
      </c>
      <c r="F17" s="8">
        <v>2.5</v>
      </c>
      <c r="G17" s="4">
        <v>2</v>
      </c>
      <c r="H17" s="4">
        <f t="shared" si="0"/>
        <v>0</v>
      </c>
      <c r="I17" s="4">
        <f t="shared" si="1"/>
        <v>1</v>
      </c>
      <c r="J17" s="4">
        <v>0</v>
      </c>
      <c r="K17" s="4">
        <v>0</v>
      </c>
      <c r="L17" s="4">
        <v>0</v>
      </c>
      <c r="M17" s="4">
        <v>1</v>
      </c>
      <c r="N17" s="4">
        <v>0</v>
      </c>
      <c r="O17" s="4">
        <v>0</v>
      </c>
    </row>
    <row r="18" spans="1:15" x14ac:dyDescent="0.15">
      <c r="A18" s="4">
        <v>15</v>
      </c>
      <c r="B18" s="4">
        <v>67</v>
      </c>
      <c r="C18" s="4">
        <v>41</v>
      </c>
      <c r="D18" s="4">
        <v>112</v>
      </c>
      <c r="E18" s="4">
        <v>1</v>
      </c>
      <c r="F18" s="8">
        <v>2</v>
      </c>
      <c r="G18" s="4">
        <v>1</v>
      </c>
      <c r="H18" s="4">
        <f t="shared" si="0"/>
        <v>1</v>
      </c>
      <c r="I18" s="4">
        <f t="shared" si="1"/>
        <v>0</v>
      </c>
      <c r="J18" s="4">
        <v>0</v>
      </c>
      <c r="K18" s="4">
        <v>1</v>
      </c>
      <c r="L18" s="4">
        <v>0</v>
      </c>
      <c r="M18" s="4">
        <v>0</v>
      </c>
      <c r="N18" s="4">
        <v>0</v>
      </c>
      <c r="O18" s="4">
        <v>0</v>
      </c>
    </row>
    <row r="19" spans="1:15" x14ac:dyDescent="0.15">
      <c r="A19" s="4">
        <v>16</v>
      </c>
      <c r="B19" s="4">
        <v>60</v>
      </c>
      <c r="C19" s="4">
        <v>30</v>
      </c>
      <c r="D19" s="4">
        <v>22</v>
      </c>
      <c r="E19" s="4">
        <v>1</v>
      </c>
      <c r="F19" s="8">
        <v>1.5</v>
      </c>
      <c r="G19" s="4">
        <v>3</v>
      </c>
      <c r="H19" s="4">
        <f t="shared" si="0"/>
        <v>0</v>
      </c>
      <c r="I19" s="4">
        <f t="shared" si="1"/>
        <v>0</v>
      </c>
      <c r="J19" s="4">
        <v>0</v>
      </c>
      <c r="K19" s="4">
        <v>0</v>
      </c>
      <c r="L19" s="4">
        <v>0</v>
      </c>
      <c r="M19" s="4">
        <v>1</v>
      </c>
      <c r="N19" s="4">
        <v>1</v>
      </c>
      <c r="O19" s="4">
        <v>0</v>
      </c>
    </row>
    <row r="20" spans="1:15" x14ac:dyDescent="0.15">
      <c r="A20" s="4">
        <v>17</v>
      </c>
      <c r="B20" s="4">
        <v>38</v>
      </c>
      <c r="C20" s="4">
        <v>14</v>
      </c>
      <c r="D20" s="4">
        <v>130</v>
      </c>
      <c r="E20" s="4">
        <v>4</v>
      </c>
      <c r="F20" s="8">
        <v>4.7</v>
      </c>
      <c r="G20" s="4">
        <v>3</v>
      </c>
      <c r="H20" s="4">
        <f t="shared" si="0"/>
        <v>0</v>
      </c>
      <c r="I20" s="4">
        <f t="shared" si="1"/>
        <v>0</v>
      </c>
      <c r="J20" s="4">
        <v>134</v>
      </c>
      <c r="K20" s="4">
        <v>0</v>
      </c>
      <c r="L20" s="4">
        <v>0</v>
      </c>
      <c r="M20" s="4">
        <v>0</v>
      </c>
      <c r="N20" s="4">
        <v>0</v>
      </c>
      <c r="O20" s="4">
        <v>1</v>
      </c>
    </row>
    <row r="21" spans="1:15" x14ac:dyDescent="0.15">
      <c r="A21" s="4">
        <v>18</v>
      </c>
      <c r="B21" s="4">
        <v>42</v>
      </c>
      <c r="C21" s="4">
        <v>18</v>
      </c>
      <c r="D21" s="4">
        <v>81</v>
      </c>
      <c r="E21" s="4">
        <v>4</v>
      </c>
      <c r="F21" s="8">
        <v>2.4</v>
      </c>
      <c r="G21" s="4">
        <v>1</v>
      </c>
      <c r="H21" s="4">
        <f t="shared" si="0"/>
        <v>1</v>
      </c>
      <c r="I21" s="4">
        <f t="shared" si="1"/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</row>
    <row r="22" spans="1:15" x14ac:dyDescent="0.15">
      <c r="A22" s="4">
        <v>19</v>
      </c>
      <c r="B22" s="4">
        <v>46</v>
      </c>
      <c r="C22" s="4">
        <v>21</v>
      </c>
      <c r="D22" s="4">
        <v>193</v>
      </c>
      <c r="E22" s="4">
        <v>2</v>
      </c>
      <c r="F22" s="8">
        <v>8.1</v>
      </c>
      <c r="G22" s="4">
        <v>3</v>
      </c>
      <c r="H22" s="4">
        <f t="shared" si="0"/>
        <v>0</v>
      </c>
      <c r="I22" s="4">
        <f t="shared" si="1"/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1</v>
      </c>
    </row>
    <row r="23" spans="1:15" x14ac:dyDescent="0.15">
      <c r="A23" s="4">
        <v>20</v>
      </c>
      <c r="B23" s="4">
        <v>55</v>
      </c>
      <c r="C23" s="4">
        <v>28</v>
      </c>
      <c r="D23" s="4">
        <v>21</v>
      </c>
      <c r="E23" s="4">
        <v>1</v>
      </c>
      <c r="F23" s="8">
        <v>0.5</v>
      </c>
      <c r="G23" s="4">
        <v>2</v>
      </c>
      <c r="H23" s="4">
        <f t="shared" si="0"/>
        <v>0</v>
      </c>
      <c r="I23" s="4">
        <f t="shared" si="1"/>
        <v>1</v>
      </c>
      <c r="J23" s="4">
        <v>0</v>
      </c>
      <c r="K23" s="4">
        <v>1</v>
      </c>
      <c r="L23" s="4">
        <v>0</v>
      </c>
      <c r="M23" s="4">
        <v>0</v>
      </c>
      <c r="N23" s="4">
        <v>1</v>
      </c>
      <c r="O23" s="4">
        <v>0</v>
      </c>
    </row>
    <row r="24" spans="1:15" x14ac:dyDescent="0.15">
      <c r="A24" s="4">
        <v>21</v>
      </c>
      <c r="B24" s="4">
        <v>56</v>
      </c>
      <c r="C24" s="4">
        <v>31</v>
      </c>
      <c r="D24" s="4">
        <v>25</v>
      </c>
      <c r="E24" s="4">
        <v>4</v>
      </c>
      <c r="F24" s="8">
        <v>0.9</v>
      </c>
      <c r="G24" s="4">
        <v>2</v>
      </c>
      <c r="H24" s="4">
        <f t="shared" si="0"/>
        <v>0</v>
      </c>
      <c r="I24" s="4">
        <f t="shared" si="1"/>
        <v>1</v>
      </c>
      <c r="J24" s="4">
        <v>111</v>
      </c>
      <c r="K24" s="4">
        <v>0</v>
      </c>
      <c r="L24" s="4">
        <v>0</v>
      </c>
      <c r="M24" s="4">
        <v>1</v>
      </c>
      <c r="N24" s="4">
        <v>0</v>
      </c>
      <c r="O24" s="4">
        <v>0</v>
      </c>
    </row>
    <row r="25" spans="1:15" x14ac:dyDescent="0.15">
      <c r="A25" s="4">
        <v>22</v>
      </c>
      <c r="B25" s="4">
        <v>57</v>
      </c>
      <c r="C25" s="4">
        <v>27</v>
      </c>
      <c r="D25" s="4">
        <v>63</v>
      </c>
      <c r="E25" s="4">
        <v>3</v>
      </c>
      <c r="F25" s="8">
        <v>2</v>
      </c>
      <c r="G25" s="4">
        <v>3</v>
      </c>
      <c r="H25" s="4">
        <f t="shared" si="0"/>
        <v>0</v>
      </c>
      <c r="I25" s="4">
        <f t="shared" si="1"/>
        <v>0</v>
      </c>
      <c r="J25" s="4">
        <v>0</v>
      </c>
      <c r="K25" s="4">
        <v>0</v>
      </c>
      <c r="L25" s="4">
        <v>0</v>
      </c>
      <c r="M25" s="4">
        <v>1</v>
      </c>
      <c r="N25" s="4">
        <v>0</v>
      </c>
      <c r="O25" s="4">
        <v>0</v>
      </c>
    </row>
    <row r="26" spans="1:15" x14ac:dyDescent="0.15">
      <c r="A26" s="4">
        <v>23</v>
      </c>
      <c r="B26" s="4">
        <v>29</v>
      </c>
      <c r="C26" s="4">
        <v>5</v>
      </c>
      <c r="D26" s="4">
        <v>62</v>
      </c>
      <c r="E26" s="4">
        <v>1</v>
      </c>
      <c r="F26" s="8">
        <v>1.2</v>
      </c>
      <c r="G26" s="4">
        <v>1</v>
      </c>
      <c r="H26" s="4">
        <f t="shared" si="0"/>
        <v>1</v>
      </c>
      <c r="I26" s="4">
        <f t="shared" si="1"/>
        <v>0</v>
      </c>
      <c r="J26" s="4">
        <v>260</v>
      </c>
      <c r="K26" s="4">
        <v>0</v>
      </c>
      <c r="L26" s="4">
        <v>0</v>
      </c>
      <c r="M26" s="4">
        <v>1</v>
      </c>
      <c r="N26" s="4">
        <v>0</v>
      </c>
      <c r="O26" s="4">
        <v>0</v>
      </c>
    </row>
    <row r="27" spans="1:15" x14ac:dyDescent="0.15">
      <c r="A27" s="4">
        <v>24</v>
      </c>
      <c r="B27" s="4">
        <v>44</v>
      </c>
      <c r="C27" s="4">
        <v>18</v>
      </c>
      <c r="D27" s="4">
        <v>43</v>
      </c>
      <c r="E27" s="4">
        <v>2</v>
      </c>
      <c r="F27" s="8">
        <v>0.7</v>
      </c>
      <c r="G27" s="4">
        <v>1</v>
      </c>
      <c r="H27" s="4">
        <f t="shared" si="0"/>
        <v>1</v>
      </c>
      <c r="I27" s="4">
        <f t="shared" si="1"/>
        <v>0</v>
      </c>
      <c r="J27" s="4">
        <v>163</v>
      </c>
      <c r="K27" s="4">
        <v>1</v>
      </c>
      <c r="L27" s="4">
        <v>0</v>
      </c>
      <c r="M27" s="4">
        <v>0</v>
      </c>
      <c r="N27" s="4">
        <v>0</v>
      </c>
      <c r="O27" s="4">
        <v>0</v>
      </c>
    </row>
    <row r="28" spans="1:15" x14ac:dyDescent="0.15">
      <c r="A28" s="4">
        <v>25</v>
      </c>
      <c r="B28" s="4">
        <v>36</v>
      </c>
      <c r="C28" s="4">
        <v>11</v>
      </c>
      <c r="D28" s="4">
        <v>152</v>
      </c>
      <c r="E28" s="4">
        <v>2</v>
      </c>
      <c r="F28" s="8">
        <v>3.9</v>
      </c>
      <c r="G28" s="4">
        <v>1</v>
      </c>
      <c r="H28" s="4">
        <f t="shared" si="0"/>
        <v>1</v>
      </c>
      <c r="I28" s="4">
        <f t="shared" si="1"/>
        <v>0</v>
      </c>
      <c r="J28" s="4">
        <v>159</v>
      </c>
      <c r="K28" s="4">
        <v>0</v>
      </c>
      <c r="L28" s="4">
        <v>0</v>
      </c>
      <c r="M28" s="4">
        <v>0</v>
      </c>
      <c r="N28" s="4">
        <v>1</v>
      </c>
      <c r="O28" s="4">
        <v>0</v>
      </c>
    </row>
    <row r="29" spans="1:15" x14ac:dyDescent="0.15">
      <c r="A29" s="4">
        <v>26</v>
      </c>
      <c r="B29" s="4">
        <v>43</v>
      </c>
      <c r="C29" s="4">
        <v>19</v>
      </c>
      <c r="D29" s="4">
        <v>29</v>
      </c>
      <c r="E29" s="4">
        <v>3</v>
      </c>
      <c r="F29" s="8">
        <v>0.5</v>
      </c>
      <c r="G29" s="4">
        <v>1</v>
      </c>
      <c r="H29" s="4">
        <f t="shared" si="0"/>
        <v>1</v>
      </c>
      <c r="I29" s="4">
        <f t="shared" si="1"/>
        <v>0</v>
      </c>
      <c r="J29" s="4">
        <v>97</v>
      </c>
      <c r="K29" s="4">
        <v>0</v>
      </c>
      <c r="L29" s="4">
        <v>0</v>
      </c>
      <c r="M29" s="4">
        <v>1</v>
      </c>
      <c r="N29" s="4">
        <v>0</v>
      </c>
      <c r="O29" s="4">
        <v>0</v>
      </c>
    </row>
    <row r="30" spans="1:15" x14ac:dyDescent="0.15">
      <c r="A30" s="4">
        <v>27</v>
      </c>
      <c r="B30" s="4">
        <v>40</v>
      </c>
      <c r="C30" s="4">
        <v>16</v>
      </c>
      <c r="D30" s="4">
        <v>83</v>
      </c>
      <c r="E30" s="4">
        <v>4</v>
      </c>
      <c r="F30" s="8">
        <v>0.2</v>
      </c>
      <c r="G30" s="4">
        <v>3</v>
      </c>
      <c r="H30" s="4">
        <f t="shared" si="0"/>
        <v>0</v>
      </c>
      <c r="I30" s="4">
        <f t="shared" si="1"/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</row>
    <row r="31" spans="1:15" x14ac:dyDescent="0.15">
      <c r="A31" s="4">
        <v>28</v>
      </c>
      <c r="B31" s="4">
        <v>46</v>
      </c>
      <c r="C31" s="4">
        <v>20</v>
      </c>
      <c r="D31" s="4">
        <v>158</v>
      </c>
      <c r="E31" s="4">
        <v>1</v>
      </c>
      <c r="F31" s="8">
        <v>2.4</v>
      </c>
      <c r="G31" s="4">
        <v>1</v>
      </c>
      <c r="H31" s="4">
        <f t="shared" si="0"/>
        <v>1</v>
      </c>
      <c r="I31" s="4">
        <f t="shared" si="1"/>
        <v>0</v>
      </c>
      <c r="J31" s="4">
        <v>0</v>
      </c>
      <c r="K31" s="4">
        <v>0</v>
      </c>
      <c r="L31" s="4">
        <v>0</v>
      </c>
      <c r="M31" s="4">
        <v>1</v>
      </c>
      <c r="N31" s="4">
        <v>1</v>
      </c>
      <c r="O31" s="4">
        <v>0</v>
      </c>
    </row>
    <row r="32" spans="1:15" x14ac:dyDescent="0.15">
      <c r="A32" s="4">
        <v>29</v>
      </c>
      <c r="B32" s="4">
        <v>56</v>
      </c>
      <c r="C32" s="4">
        <v>30</v>
      </c>
      <c r="D32" s="4">
        <v>48</v>
      </c>
      <c r="E32" s="4">
        <v>1</v>
      </c>
      <c r="F32" s="8">
        <v>2.2000000000000002</v>
      </c>
      <c r="G32" s="4">
        <v>3</v>
      </c>
      <c r="H32" s="4">
        <f t="shared" si="0"/>
        <v>0</v>
      </c>
      <c r="I32" s="4">
        <f t="shared" si="1"/>
        <v>0</v>
      </c>
      <c r="J32" s="4">
        <v>0</v>
      </c>
      <c r="K32" s="4">
        <v>0</v>
      </c>
      <c r="L32" s="4">
        <v>0</v>
      </c>
      <c r="M32" s="4">
        <v>1</v>
      </c>
      <c r="N32" s="4">
        <v>1</v>
      </c>
      <c r="O32" s="4">
        <v>0</v>
      </c>
    </row>
    <row r="33" spans="1:15" x14ac:dyDescent="0.15">
      <c r="A33" s="4">
        <v>30</v>
      </c>
      <c r="B33" s="4">
        <v>38</v>
      </c>
      <c r="C33" s="4">
        <v>13</v>
      </c>
      <c r="D33" s="4">
        <v>119</v>
      </c>
      <c r="E33" s="4">
        <v>1</v>
      </c>
      <c r="F33" s="8">
        <v>3.3</v>
      </c>
      <c r="G33" s="4">
        <v>2</v>
      </c>
      <c r="H33" s="4">
        <f t="shared" si="0"/>
        <v>0</v>
      </c>
      <c r="I33" s="4">
        <f t="shared" si="1"/>
        <v>1</v>
      </c>
      <c r="J33" s="4">
        <v>0</v>
      </c>
      <c r="K33" s="4">
        <v>0</v>
      </c>
      <c r="L33" s="4">
        <v>1</v>
      </c>
      <c r="M33" s="4">
        <v>1</v>
      </c>
      <c r="N33" s="4">
        <v>1</v>
      </c>
      <c r="O33" s="4">
        <v>1</v>
      </c>
    </row>
    <row r="34" spans="1:15" x14ac:dyDescent="0.15">
      <c r="A34" s="4">
        <v>31</v>
      </c>
      <c r="B34" s="4">
        <v>59</v>
      </c>
      <c r="C34" s="4">
        <v>35</v>
      </c>
      <c r="D34" s="4">
        <v>35</v>
      </c>
      <c r="E34" s="4">
        <v>1</v>
      </c>
      <c r="F34" s="8">
        <v>1.2</v>
      </c>
      <c r="G34" s="4">
        <v>3</v>
      </c>
      <c r="H34" s="4">
        <f t="shared" si="0"/>
        <v>0</v>
      </c>
      <c r="I34" s="4">
        <f t="shared" si="1"/>
        <v>0</v>
      </c>
      <c r="J34" s="4">
        <v>122</v>
      </c>
      <c r="K34" s="4">
        <v>0</v>
      </c>
      <c r="L34" s="4">
        <v>0</v>
      </c>
      <c r="M34" s="4">
        <v>1</v>
      </c>
      <c r="N34" s="4">
        <v>0</v>
      </c>
      <c r="O34" s="4">
        <v>0</v>
      </c>
    </row>
    <row r="35" spans="1:15" x14ac:dyDescent="0.15">
      <c r="A35" s="4">
        <v>32</v>
      </c>
      <c r="B35" s="4">
        <v>40</v>
      </c>
      <c r="C35" s="4">
        <v>16</v>
      </c>
      <c r="D35" s="4">
        <v>29</v>
      </c>
      <c r="E35" s="4">
        <v>1</v>
      </c>
      <c r="F35" s="8">
        <v>2</v>
      </c>
      <c r="G35" s="4">
        <v>2</v>
      </c>
      <c r="H35" s="4">
        <f t="shared" si="0"/>
        <v>0</v>
      </c>
      <c r="I35" s="4">
        <f t="shared" si="1"/>
        <v>1</v>
      </c>
      <c r="J35" s="4">
        <v>0</v>
      </c>
      <c r="K35" s="4">
        <v>0</v>
      </c>
      <c r="L35" s="4">
        <v>0</v>
      </c>
      <c r="M35" s="4">
        <v>1</v>
      </c>
      <c r="N35" s="4">
        <v>0</v>
      </c>
      <c r="O35" s="4">
        <v>0</v>
      </c>
    </row>
    <row r="36" spans="1:15" x14ac:dyDescent="0.15">
      <c r="A36" s="4">
        <v>33</v>
      </c>
      <c r="B36" s="4">
        <v>53</v>
      </c>
      <c r="C36" s="4">
        <v>28</v>
      </c>
      <c r="D36" s="4">
        <v>41</v>
      </c>
      <c r="E36" s="4">
        <v>2</v>
      </c>
      <c r="F36" s="8">
        <v>0.6</v>
      </c>
      <c r="G36" s="4">
        <v>3</v>
      </c>
      <c r="H36" s="4">
        <f t="shared" si="0"/>
        <v>0</v>
      </c>
      <c r="I36" s="4">
        <f t="shared" si="1"/>
        <v>0</v>
      </c>
      <c r="J36" s="4">
        <v>193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</row>
    <row r="37" spans="1:15" x14ac:dyDescent="0.15">
      <c r="A37" s="4">
        <v>34</v>
      </c>
      <c r="B37" s="4">
        <v>30</v>
      </c>
      <c r="C37" s="4">
        <v>6</v>
      </c>
      <c r="D37" s="4">
        <v>18</v>
      </c>
      <c r="E37" s="4">
        <v>3</v>
      </c>
      <c r="F37" s="8">
        <v>0.9</v>
      </c>
      <c r="G37" s="4">
        <v>3</v>
      </c>
      <c r="H37" s="4">
        <f t="shared" si="0"/>
        <v>0</v>
      </c>
      <c r="I37" s="4">
        <f t="shared" si="1"/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</row>
    <row r="38" spans="1:15" x14ac:dyDescent="0.15">
      <c r="A38" s="4">
        <v>35</v>
      </c>
      <c r="B38" s="4">
        <v>31</v>
      </c>
      <c r="C38" s="4">
        <v>5</v>
      </c>
      <c r="D38" s="4">
        <v>50</v>
      </c>
      <c r="E38" s="4">
        <v>4</v>
      </c>
      <c r="F38" s="8">
        <v>1.8</v>
      </c>
      <c r="G38" s="4">
        <v>3</v>
      </c>
      <c r="H38" s="4">
        <f t="shared" si="0"/>
        <v>0</v>
      </c>
      <c r="I38" s="4">
        <f t="shared" si="1"/>
        <v>0</v>
      </c>
      <c r="J38" s="4">
        <v>0</v>
      </c>
      <c r="K38" s="4">
        <v>0</v>
      </c>
      <c r="L38" s="4">
        <v>0</v>
      </c>
      <c r="M38" s="4">
        <v>1</v>
      </c>
      <c r="N38" s="4">
        <v>0</v>
      </c>
      <c r="O38" s="4">
        <v>0</v>
      </c>
    </row>
    <row r="39" spans="1:15" x14ac:dyDescent="0.15">
      <c r="A39" s="4">
        <v>36</v>
      </c>
      <c r="B39" s="4">
        <v>48</v>
      </c>
      <c r="C39" s="4">
        <v>24</v>
      </c>
      <c r="D39" s="4">
        <v>81</v>
      </c>
      <c r="E39" s="4">
        <v>3</v>
      </c>
      <c r="F39" s="8">
        <v>0.7</v>
      </c>
      <c r="G39" s="4">
        <v>1</v>
      </c>
      <c r="H39" s="4">
        <f t="shared" si="0"/>
        <v>1</v>
      </c>
      <c r="I39" s="4">
        <f t="shared" si="1"/>
        <v>0</v>
      </c>
      <c r="J39" s="4">
        <v>0</v>
      </c>
      <c r="K39" s="4">
        <v>0</v>
      </c>
      <c r="L39" s="4">
        <v>0</v>
      </c>
      <c r="M39" s="4">
        <v>0</v>
      </c>
      <c r="N39" s="4">
        <v>0</v>
      </c>
      <c r="O39" s="4">
        <v>0</v>
      </c>
    </row>
    <row r="40" spans="1:15" x14ac:dyDescent="0.15">
      <c r="A40" s="4">
        <v>37</v>
      </c>
      <c r="B40" s="4">
        <v>59</v>
      </c>
      <c r="C40" s="4">
        <v>35</v>
      </c>
      <c r="D40" s="4">
        <v>121</v>
      </c>
      <c r="E40" s="4">
        <v>1</v>
      </c>
      <c r="F40" s="8">
        <v>2.9</v>
      </c>
      <c r="G40" s="4">
        <v>1</v>
      </c>
      <c r="H40" s="4">
        <f t="shared" si="0"/>
        <v>1</v>
      </c>
      <c r="I40" s="4">
        <f t="shared" si="1"/>
        <v>0</v>
      </c>
      <c r="J40" s="4">
        <v>0</v>
      </c>
      <c r="K40" s="4">
        <v>0</v>
      </c>
      <c r="L40" s="4">
        <v>0</v>
      </c>
      <c r="M40" s="4">
        <v>0</v>
      </c>
      <c r="N40" s="4">
        <v>1</v>
      </c>
      <c r="O40" s="4">
        <v>0</v>
      </c>
    </row>
    <row r="41" spans="1:15" x14ac:dyDescent="0.15">
      <c r="A41" s="4">
        <v>38</v>
      </c>
      <c r="B41" s="4">
        <v>51</v>
      </c>
      <c r="C41" s="4">
        <v>25</v>
      </c>
      <c r="D41" s="4">
        <v>71</v>
      </c>
      <c r="E41" s="4">
        <v>1</v>
      </c>
      <c r="F41" s="8">
        <v>1.4</v>
      </c>
      <c r="G41" s="4">
        <v>3</v>
      </c>
      <c r="H41" s="4">
        <f t="shared" si="0"/>
        <v>0</v>
      </c>
      <c r="I41" s="4">
        <f t="shared" si="1"/>
        <v>0</v>
      </c>
      <c r="J41" s="4">
        <v>198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</row>
    <row r="42" spans="1:15" x14ac:dyDescent="0.15">
      <c r="A42" s="4">
        <v>39</v>
      </c>
      <c r="B42" s="4">
        <v>42</v>
      </c>
      <c r="C42" s="4">
        <v>18</v>
      </c>
      <c r="D42" s="4">
        <v>141</v>
      </c>
      <c r="E42" s="4">
        <v>3</v>
      </c>
      <c r="F42" s="8">
        <v>5</v>
      </c>
      <c r="G42" s="4">
        <v>3</v>
      </c>
      <c r="H42" s="4">
        <f t="shared" si="0"/>
        <v>0</v>
      </c>
      <c r="I42" s="4">
        <f t="shared" si="1"/>
        <v>0</v>
      </c>
      <c r="J42" s="4">
        <v>0</v>
      </c>
      <c r="K42" s="4">
        <v>1</v>
      </c>
      <c r="L42" s="4">
        <v>1</v>
      </c>
      <c r="M42" s="4">
        <v>1</v>
      </c>
      <c r="N42" s="4">
        <v>0</v>
      </c>
      <c r="O42" s="4">
        <v>1</v>
      </c>
    </row>
    <row r="43" spans="1:15" x14ac:dyDescent="0.15">
      <c r="A43" s="4">
        <v>40</v>
      </c>
      <c r="B43" s="4">
        <v>38</v>
      </c>
      <c r="C43" s="4">
        <v>13</v>
      </c>
      <c r="D43" s="4">
        <v>80</v>
      </c>
      <c r="E43" s="4">
        <v>4</v>
      </c>
      <c r="F43" s="8">
        <v>0.7</v>
      </c>
      <c r="G43" s="4">
        <v>3</v>
      </c>
      <c r="H43" s="4">
        <f t="shared" si="0"/>
        <v>0</v>
      </c>
      <c r="I43" s="4">
        <f t="shared" si="1"/>
        <v>0</v>
      </c>
      <c r="J43" s="4">
        <v>285</v>
      </c>
      <c r="K43" s="4">
        <v>0</v>
      </c>
      <c r="L43" s="4">
        <v>0</v>
      </c>
      <c r="M43" s="4">
        <v>1</v>
      </c>
      <c r="N43" s="4">
        <v>0</v>
      </c>
      <c r="O43" s="4">
        <v>0</v>
      </c>
    </row>
    <row r="44" spans="1:15" x14ac:dyDescent="0.15">
      <c r="A44" s="4">
        <v>41</v>
      </c>
      <c r="B44" s="4">
        <v>57</v>
      </c>
      <c r="C44" s="4">
        <v>32</v>
      </c>
      <c r="D44" s="4">
        <v>84</v>
      </c>
      <c r="E44" s="4">
        <v>3</v>
      </c>
      <c r="F44" s="8">
        <v>1.6</v>
      </c>
      <c r="G44" s="4">
        <v>3</v>
      </c>
      <c r="H44" s="4">
        <f t="shared" si="0"/>
        <v>0</v>
      </c>
      <c r="I44" s="4">
        <f t="shared" si="1"/>
        <v>0</v>
      </c>
      <c r="J44" s="4">
        <v>0</v>
      </c>
      <c r="K44" s="4">
        <v>1</v>
      </c>
      <c r="L44" s="4">
        <v>0</v>
      </c>
      <c r="M44" s="4">
        <v>0</v>
      </c>
      <c r="N44" s="4">
        <v>0</v>
      </c>
      <c r="O44" s="4">
        <v>0</v>
      </c>
    </row>
    <row r="45" spans="1:15" x14ac:dyDescent="0.15">
      <c r="A45" s="4">
        <v>42</v>
      </c>
      <c r="B45" s="4">
        <v>34</v>
      </c>
      <c r="C45" s="4">
        <v>9</v>
      </c>
      <c r="D45" s="4">
        <v>60</v>
      </c>
      <c r="E45" s="4">
        <v>3</v>
      </c>
      <c r="F45" s="8">
        <v>2.2999999999999998</v>
      </c>
      <c r="G45" s="4">
        <v>1</v>
      </c>
      <c r="H45" s="4">
        <f t="shared" si="0"/>
        <v>1</v>
      </c>
      <c r="I45" s="4">
        <f t="shared" si="1"/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</row>
    <row r="46" spans="1:15" x14ac:dyDescent="0.15">
      <c r="A46" s="4">
        <v>43</v>
      </c>
      <c r="B46" s="4">
        <v>32</v>
      </c>
      <c r="C46" s="4">
        <v>7</v>
      </c>
      <c r="D46" s="4">
        <v>132</v>
      </c>
      <c r="E46" s="4">
        <v>4</v>
      </c>
      <c r="F46" s="8">
        <v>1.1000000000000001</v>
      </c>
      <c r="G46" s="4">
        <v>2</v>
      </c>
      <c r="H46" s="4">
        <f t="shared" si="0"/>
        <v>0</v>
      </c>
      <c r="I46" s="4">
        <f t="shared" si="1"/>
        <v>1</v>
      </c>
      <c r="J46" s="4">
        <v>412</v>
      </c>
      <c r="K46" s="4">
        <v>0</v>
      </c>
      <c r="L46" s="4">
        <v>0</v>
      </c>
      <c r="M46" s="4">
        <v>1</v>
      </c>
      <c r="N46" s="4">
        <v>0</v>
      </c>
      <c r="O46" s="4">
        <v>1</v>
      </c>
    </row>
    <row r="47" spans="1:15" x14ac:dyDescent="0.15">
      <c r="A47" s="4">
        <v>44</v>
      </c>
      <c r="B47" s="4">
        <v>39</v>
      </c>
      <c r="C47" s="4">
        <v>15</v>
      </c>
      <c r="D47" s="4">
        <v>45</v>
      </c>
      <c r="E47" s="4">
        <v>1</v>
      </c>
      <c r="F47" s="8">
        <v>0.7</v>
      </c>
      <c r="G47" s="4">
        <v>1</v>
      </c>
      <c r="H47" s="4">
        <f t="shared" si="0"/>
        <v>1</v>
      </c>
      <c r="I47" s="4">
        <f t="shared" si="1"/>
        <v>0</v>
      </c>
      <c r="J47" s="4">
        <v>0</v>
      </c>
      <c r="K47" s="4">
        <v>0</v>
      </c>
      <c r="L47" s="4">
        <v>0</v>
      </c>
      <c r="M47" s="4">
        <v>1</v>
      </c>
      <c r="N47" s="4">
        <v>0</v>
      </c>
      <c r="O47" s="4">
        <v>0</v>
      </c>
    </row>
    <row r="48" spans="1:15" x14ac:dyDescent="0.15">
      <c r="A48" s="4">
        <v>45</v>
      </c>
      <c r="B48" s="4">
        <v>46</v>
      </c>
      <c r="C48" s="4">
        <v>20</v>
      </c>
      <c r="D48" s="4">
        <v>104</v>
      </c>
      <c r="E48" s="4">
        <v>1</v>
      </c>
      <c r="F48" s="8">
        <v>5.7</v>
      </c>
      <c r="G48" s="4">
        <v>1</v>
      </c>
      <c r="H48" s="4">
        <f t="shared" si="0"/>
        <v>1</v>
      </c>
      <c r="I48" s="4">
        <f t="shared" si="1"/>
        <v>0</v>
      </c>
      <c r="J48" s="4">
        <v>0</v>
      </c>
      <c r="K48" s="4">
        <v>0</v>
      </c>
      <c r="L48" s="4">
        <v>0</v>
      </c>
      <c r="M48" s="4">
        <v>1</v>
      </c>
      <c r="N48" s="4">
        <v>1</v>
      </c>
      <c r="O48" s="4">
        <v>0</v>
      </c>
    </row>
    <row r="49" spans="1:15" x14ac:dyDescent="0.15">
      <c r="A49" s="4">
        <v>46</v>
      </c>
      <c r="B49" s="4">
        <v>57</v>
      </c>
      <c r="C49" s="4">
        <v>31</v>
      </c>
      <c r="D49" s="4">
        <v>52</v>
      </c>
      <c r="E49" s="4">
        <v>4</v>
      </c>
      <c r="F49" s="8">
        <v>2.5</v>
      </c>
      <c r="G49" s="4">
        <v>1</v>
      </c>
      <c r="H49" s="4">
        <f t="shared" si="0"/>
        <v>1</v>
      </c>
      <c r="I49" s="4">
        <f t="shared" si="1"/>
        <v>0</v>
      </c>
      <c r="J49" s="4">
        <v>0</v>
      </c>
      <c r="K49" s="4">
        <v>0</v>
      </c>
      <c r="L49" s="4">
        <v>0</v>
      </c>
      <c r="M49" s="4">
        <v>0</v>
      </c>
      <c r="N49" s="4">
        <v>1</v>
      </c>
      <c r="O49" s="4">
        <v>0</v>
      </c>
    </row>
    <row r="50" spans="1:15" x14ac:dyDescent="0.15">
      <c r="A50" s="4">
        <v>47</v>
      </c>
      <c r="B50" s="4">
        <v>39</v>
      </c>
      <c r="C50" s="4">
        <v>14</v>
      </c>
      <c r="D50" s="4">
        <v>43</v>
      </c>
      <c r="E50" s="4">
        <v>3</v>
      </c>
      <c r="F50" s="8">
        <v>0.7</v>
      </c>
      <c r="G50" s="4">
        <v>2</v>
      </c>
      <c r="H50" s="4">
        <f t="shared" si="0"/>
        <v>0</v>
      </c>
      <c r="I50" s="4">
        <f t="shared" si="1"/>
        <v>1</v>
      </c>
      <c r="J50" s="4">
        <v>153</v>
      </c>
      <c r="K50" s="4">
        <v>0</v>
      </c>
      <c r="L50" s="4">
        <v>0</v>
      </c>
      <c r="M50" s="4">
        <v>1</v>
      </c>
      <c r="N50" s="4">
        <v>0</v>
      </c>
      <c r="O50" s="4">
        <v>0</v>
      </c>
    </row>
    <row r="51" spans="1:15" x14ac:dyDescent="0.15">
      <c r="A51" s="4">
        <v>48</v>
      </c>
      <c r="B51" s="4">
        <v>37</v>
      </c>
      <c r="C51" s="4">
        <v>12</v>
      </c>
      <c r="D51" s="4">
        <v>194</v>
      </c>
      <c r="E51" s="4">
        <v>4</v>
      </c>
      <c r="F51" s="8">
        <v>0.2</v>
      </c>
      <c r="G51" s="4">
        <v>3</v>
      </c>
      <c r="H51" s="4">
        <f t="shared" si="0"/>
        <v>0</v>
      </c>
      <c r="I51" s="4">
        <f t="shared" si="1"/>
        <v>0</v>
      </c>
      <c r="J51" s="4">
        <v>211</v>
      </c>
      <c r="K51" s="4">
        <v>1</v>
      </c>
      <c r="L51" s="4">
        <v>1</v>
      </c>
      <c r="M51" s="4">
        <v>1</v>
      </c>
      <c r="N51" s="4">
        <v>1</v>
      </c>
      <c r="O51" s="4">
        <v>1</v>
      </c>
    </row>
    <row r="52" spans="1:15" x14ac:dyDescent="0.15">
      <c r="A52" s="4">
        <v>49</v>
      </c>
      <c r="B52" s="4">
        <v>56</v>
      </c>
      <c r="C52" s="4">
        <v>26</v>
      </c>
      <c r="D52" s="4">
        <v>81</v>
      </c>
      <c r="E52" s="4">
        <v>2</v>
      </c>
      <c r="F52" s="8">
        <v>4.5</v>
      </c>
      <c r="G52" s="4">
        <v>3</v>
      </c>
      <c r="H52" s="4">
        <f t="shared" si="0"/>
        <v>0</v>
      </c>
      <c r="I52" s="4">
        <f t="shared" si="1"/>
        <v>0</v>
      </c>
      <c r="J52" s="4">
        <v>0</v>
      </c>
      <c r="K52" s="4">
        <v>0</v>
      </c>
      <c r="L52" s="4">
        <v>0</v>
      </c>
      <c r="M52" s="4">
        <v>0</v>
      </c>
      <c r="N52" s="4">
        <v>1</v>
      </c>
      <c r="O52" s="4">
        <v>0</v>
      </c>
    </row>
    <row r="53" spans="1:15" x14ac:dyDescent="0.15">
      <c r="A53" s="4">
        <v>50</v>
      </c>
      <c r="B53" s="4">
        <v>40</v>
      </c>
      <c r="C53" s="4">
        <v>16</v>
      </c>
      <c r="D53" s="4">
        <v>49</v>
      </c>
      <c r="E53" s="4">
        <v>1</v>
      </c>
      <c r="F53" s="8">
        <v>1.8</v>
      </c>
      <c r="G53" s="4">
        <v>1</v>
      </c>
      <c r="H53" s="4">
        <f t="shared" si="0"/>
        <v>1</v>
      </c>
      <c r="I53" s="4">
        <f t="shared" si="1"/>
        <v>0</v>
      </c>
      <c r="J53" s="4">
        <v>0</v>
      </c>
      <c r="K53" s="4">
        <v>0</v>
      </c>
      <c r="L53" s="4">
        <v>0</v>
      </c>
      <c r="M53" s="4">
        <v>0</v>
      </c>
      <c r="N53" s="4">
        <v>1</v>
      </c>
      <c r="O53" s="4">
        <v>0</v>
      </c>
    </row>
    <row r="54" spans="1:15" x14ac:dyDescent="0.15">
      <c r="A54" s="4">
        <v>51</v>
      </c>
      <c r="B54" s="4">
        <v>32</v>
      </c>
      <c r="C54" s="4">
        <v>8</v>
      </c>
      <c r="D54" s="4">
        <v>8</v>
      </c>
      <c r="E54" s="4">
        <v>4</v>
      </c>
      <c r="F54" s="8">
        <v>0.7</v>
      </c>
      <c r="G54" s="4">
        <v>2</v>
      </c>
      <c r="H54" s="4">
        <f t="shared" si="0"/>
        <v>0</v>
      </c>
      <c r="I54" s="4">
        <f t="shared" si="1"/>
        <v>1</v>
      </c>
      <c r="J54" s="4">
        <v>0</v>
      </c>
      <c r="K54" s="4">
        <v>1</v>
      </c>
      <c r="L54" s="4">
        <v>0</v>
      </c>
      <c r="M54" s="4">
        <v>1</v>
      </c>
      <c r="N54" s="4">
        <v>0</v>
      </c>
      <c r="O54" s="4">
        <v>0</v>
      </c>
    </row>
    <row r="55" spans="1:15" x14ac:dyDescent="0.15">
      <c r="A55" s="4">
        <v>52</v>
      </c>
      <c r="B55" s="4">
        <v>61</v>
      </c>
      <c r="C55" s="4">
        <v>37</v>
      </c>
      <c r="D55" s="4">
        <v>131</v>
      </c>
      <c r="E55" s="4">
        <v>1</v>
      </c>
      <c r="F55" s="8">
        <v>2.9</v>
      </c>
      <c r="G55" s="4">
        <v>1</v>
      </c>
      <c r="H55" s="4">
        <f t="shared" si="0"/>
        <v>1</v>
      </c>
      <c r="I55" s="4">
        <f t="shared" si="1"/>
        <v>0</v>
      </c>
      <c r="J55" s="4">
        <v>0</v>
      </c>
      <c r="K55" s="4">
        <v>0</v>
      </c>
      <c r="L55" s="4">
        <v>0</v>
      </c>
      <c r="M55" s="4">
        <v>1</v>
      </c>
      <c r="N55" s="4">
        <v>0</v>
      </c>
      <c r="O55" s="4">
        <v>0</v>
      </c>
    </row>
    <row r="56" spans="1:15" x14ac:dyDescent="0.15">
      <c r="A56" s="4">
        <v>53</v>
      </c>
      <c r="B56" s="4">
        <v>30</v>
      </c>
      <c r="C56" s="4">
        <v>6</v>
      </c>
      <c r="D56" s="4">
        <v>72</v>
      </c>
      <c r="E56" s="4">
        <v>1</v>
      </c>
      <c r="F56" s="8">
        <v>0.1</v>
      </c>
      <c r="G56" s="4">
        <v>1</v>
      </c>
      <c r="H56" s="4">
        <f t="shared" si="0"/>
        <v>1</v>
      </c>
      <c r="I56" s="4">
        <f t="shared" si="1"/>
        <v>0</v>
      </c>
      <c r="J56" s="4">
        <v>207</v>
      </c>
      <c r="K56" s="4">
        <v>0</v>
      </c>
      <c r="L56" s="4">
        <v>0</v>
      </c>
      <c r="M56" s="4">
        <v>0</v>
      </c>
      <c r="N56" s="4">
        <v>0</v>
      </c>
      <c r="O56" s="4">
        <v>0</v>
      </c>
    </row>
    <row r="57" spans="1:15" x14ac:dyDescent="0.15">
      <c r="A57" s="4">
        <v>54</v>
      </c>
      <c r="B57" s="4">
        <v>50</v>
      </c>
      <c r="C57" s="4">
        <v>26</v>
      </c>
      <c r="D57" s="4">
        <v>190</v>
      </c>
      <c r="E57" s="4">
        <v>3</v>
      </c>
      <c r="F57" s="8">
        <v>2.1</v>
      </c>
      <c r="G57" s="4">
        <v>3</v>
      </c>
      <c r="H57" s="4">
        <f t="shared" si="0"/>
        <v>0</v>
      </c>
      <c r="I57" s="4">
        <f t="shared" si="1"/>
        <v>0</v>
      </c>
      <c r="J57" s="4">
        <v>240</v>
      </c>
      <c r="K57" s="4">
        <v>0</v>
      </c>
      <c r="L57" s="4">
        <v>0</v>
      </c>
      <c r="M57" s="4">
        <v>1</v>
      </c>
      <c r="N57" s="4">
        <v>0</v>
      </c>
      <c r="O57" s="4">
        <v>1</v>
      </c>
    </row>
    <row r="58" spans="1:15" x14ac:dyDescent="0.15">
      <c r="A58" s="4">
        <v>55</v>
      </c>
      <c r="B58" s="4">
        <v>29</v>
      </c>
      <c r="C58" s="4">
        <v>5</v>
      </c>
      <c r="D58" s="4">
        <v>44</v>
      </c>
      <c r="E58" s="4">
        <v>1</v>
      </c>
      <c r="F58" s="8">
        <v>0.2</v>
      </c>
      <c r="G58" s="4">
        <v>3</v>
      </c>
      <c r="H58" s="4">
        <f t="shared" si="0"/>
        <v>0</v>
      </c>
      <c r="I58" s="4">
        <f t="shared" si="1"/>
        <v>0</v>
      </c>
      <c r="J58" s="4">
        <v>0</v>
      </c>
      <c r="K58" s="4">
        <v>0</v>
      </c>
      <c r="L58" s="4">
        <v>0</v>
      </c>
      <c r="M58" s="4">
        <v>1</v>
      </c>
      <c r="N58" s="4">
        <v>0</v>
      </c>
      <c r="O58" s="4">
        <v>0</v>
      </c>
    </row>
    <row r="59" spans="1:15" x14ac:dyDescent="0.15">
      <c r="A59" s="4">
        <v>56</v>
      </c>
      <c r="B59" s="4">
        <v>41</v>
      </c>
      <c r="C59" s="4">
        <v>17</v>
      </c>
      <c r="D59" s="4">
        <v>139</v>
      </c>
      <c r="E59" s="4">
        <v>2</v>
      </c>
      <c r="F59" s="8">
        <v>8</v>
      </c>
      <c r="G59" s="4">
        <v>1</v>
      </c>
      <c r="H59" s="4">
        <f t="shared" si="0"/>
        <v>1</v>
      </c>
      <c r="I59" s="4">
        <f t="shared" si="1"/>
        <v>0</v>
      </c>
      <c r="J59" s="4">
        <v>0</v>
      </c>
      <c r="K59" s="4">
        <v>0</v>
      </c>
      <c r="L59" s="4">
        <v>0</v>
      </c>
      <c r="M59" s="4">
        <v>1</v>
      </c>
      <c r="N59" s="4">
        <v>0</v>
      </c>
      <c r="O59" s="4">
        <v>0</v>
      </c>
    </row>
    <row r="60" spans="1:15" x14ac:dyDescent="0.15">
      <c r="A60" s="4">
        <v>57</v>
      </c>
      <c r="B60" s="4">
        <v>55</v>
      </c>
      <c r="C60" s="4">
        <v>30</v>
      </c>
      <c r="D60" s="4">
        <v>29</v>
      </c>
      <c r="E60" s="4">
        <v>3</v>
      </c>
      <c r="F60" s="8">
        <v>0.1</v>
      </c>
      <c r="G60" s="4">
        <v>2</v>
      </c>
      <c r="H60" s="4">
        <f t="shared" si="0"/>
        <v>0</v>
      </c>
      <c r="I60" s="4">
        <f t="shared" si="1"/>
        <v>1</v>
      </c>
      <c r="J60" s="4">
        <v>0</v>
      </c>
      <c r="K60" s="4">
        <v>1</v>
      </c>
      <c r="L60" s="4">
        <v>1</v>
      </c>
      <c r="M60" s="4">
        <v>1</v>
      </c>
      <c r="N60" s="4">
        <v>0</v>
      </c>
      <c r="O60" s="4">
        <v>0</v>
      </c>
    </row>
    <row r="61" spans="1:15" x14ac:dyDescent="0.15">
      <c r="A61" s="4">
        <v>58</v>
      </c>
      <c r="B61" s="4">
        <v>56</v>
      </c>
      <c r="C61" s="4">
        <v>31</v>
      </c>
      <c r="D61" s="4">
        <v>131</v>
      </c>
      <c r="E61" s="4">
        <v>2</v>
      </c>
      <c r="F61" s="8">
        <v>1.2</v>
      </c>
      <c r="G61" s="4">
        <v>3</v>
      </c>
      <c r="H61" s="4">
        <f t="shared" si="0"/>
        <v>0</v>
      </c>
      <c r="I61" s="4">
        <f t="shared" si="1"/>
        <v>0</v>
      </c>
      <c r="J61" s="4">
        <v>0</v>
      </c>
      <c r="K61" s="4">
        <v>0</v>
      </c>
      <c r="L61" s="4">
        <v>0</v>
      </c>
      <c r="M61" s="4">
        <v>0</v>
      </c>
      <c r="N61" s="4">
        <v>0</v>
      </c>
      <c r="O61" s="4">
        <v>1</v>
      </c>
    </row>
    <row r="62" spans="1:15" x14ac:dyDescent="0.15">
      <c r="A62" s="4">
        <v>59</v>
      </c>
      <c r="B62" s="4">
        <v>28</v>
      </c>
      <c r="C62" s="4">
        <v>2</v>
      </c>
      <c r="D62" s="4">
        <v>93</v>
      </c>
      <c r="E62" s="4">
        <v>2</v>
      </c>
      <c r="F62" s="8">
        <v>0.2</v>
      </c>
      <c r="G62" s="4">
        <v>1</v>
      </c>
      <c r="H62" s="4">
        <f t="shared" si="0"/>
        <v>1</v>
      </c>
      <c r="I62" s="4">
        <f t="shared" si="1"/>
        <v>0</v>
      </c>
      <c r="J62" s="4">
        <v>0</v>
      </c>
      <c r="K62" s="4">
        <v>0</v>
      </c>
      <c r="L62" s="4">
        <v>0</v>
      </c>
      <c r="M62" s="4">
        <v>0</v>
      </c>
      <c r="N62" s="4">
        <v>0</v>
      </c>
      <c r="O62" s="4">
        <v>0</v>
      </c>
    </row>
    <row r="63" spans="1:15" x14ac:dyDescent="0.15">
      <c r="A63" s="4">
        <v>60</v>
      </c>
      <c r="B63" s="4">
        <v>31</v>
      </c>
      <c r="C63" s="4">
        <v>5</v>
      </c>
      <c r="D63" s="4">
        <v>188</v>
      </c>
      <c r="E63" s="4">
        <v>2</v>
      </c>
      <c r="F63" s="8">
        <v>4.5</v>
      </c>
      <c r="G63" s="4">
        <v>1</v>
      </c>
      <c r="H63" s="4">
        <f t="shared" si="0"/>
        <v>1</v>
      </c>
      <c r="I63" s="4">
        <f t="shared" si="1"/>
        <v>0</v>
      </c>
      <c r="J63" s="4">
        <v>455</v>
      </c>
      <c r="K63" s="4">
        <v>0</v>
      </c>
      <c r="L63" s="4">
        <v>0</v>
      </c>
      <c r="M63" s="4">
        <v>0</v>
      </c>
      <c r="N63" s="4">
        <v>0</v>
      </c>
      <c r="O63" s="4">
        <v>0</v>
      </c>
    </row>
    <row r="64" spans="1:15" x14ac:dyDescent="0.15">
      <c r="A64" s="4">
        <v>61</v>
      </c>
      <c r="B64" s="4">
        <v>49</v>
      </c>
      <c r="C64" s="4">
        <v>24</v>
      </c>
      <c r="D64" s="4">
        <v>39</v>
      </c>
      <c r="E64" s="4">
        <v>3</v>
      </c>
      <c r="F64" s="8">
        <v>1.7</v>
      </c>
      <c r="G64" s="4">
        <v>2</v>
      </c>
      <c r="H64" s="4">
        <f t="shared" si="0"/>
        <v>0</v>
      </c>
      <c r="I64" s="4">
        <f t="shared" si="1"/>
        <v>1</v>
      </c>
      <c r="J64" s="4">
        <v>0</v>
      </c>
      <c r="K64" s="4">
        <v>1</v>
      </c>
      <c r="L64" s="4">
        <v>0</v>
      </c>
      <c r="M64" s="4">
        <v>1</v>
      </c>
      <c r="N64" s="4">
        <v>0</v>
      </c>
      <c r="O64" s="4">
        <v>0</v>
      </c>
    </row>
    <row r="65" spans="1:15" x14ac:dyDescent="0.15">
      <c r="A65" s="4">
        <v>62</v>
      </c>
      <c r="B65" s="4">
        <v>47</v>
      </c>
      <c r="C65" s="4">
        <v>21</v>
      </c>
      <c r="D65" s="4">
        <v>125</v>
      </c>
      <c r="E65" s="4">
        <v>1</v>
      </c>
      <c r="F65" s="8">
        <v>5.7</v>
      </c>
      <c r="G65" s="4">
        <v>1</v>
      </c>
      <c r="H65" s="4">
        <f t="shared" si="0"/>
        <v>1</v>
      </c>
      <c r="I65" s="4">
        <f t="shared" si="1"/>
        <v>0</v>
      </c>
      <c r="J65" s="4">
        <v>112</v>
      </c>
      <c r="K65" s="4">
        <v>1</v>
      </c>
      <c r="L65" s="4">
        <v>0</v>
      </c>
      <c r="M65" s="4">
        <v>0</v>
      </c>
      <c r="N65" s="4">
        <v>0</v>
      </c>
      <c r="O65" s="4">
        <v>0</v>
      </c>
    </row>
    <row r="66" spans="1:15" x14ac:dyDescent="0.15">
      <c r="A66" s="4">
        <v>63</v>
      </c>
      <c r="B66" s="4">
        <v>42</v>
      </c>
      <c r="C66" s="4">
        <v>18</v>
      </c>
      <c r="D66" s="4">
        <v>22</v>
      </c>
      <c r="E66" s="4">
        <v>1</v>
      </c>
      <c r="F66" s="8">
        <v>1</v>
      </c>
      <c r="G66" s="4">
        <v>1</v>
      </c>
      <c r="H66" s="4">
        <f t="shared" si="0"/>
        <v>1</v>
      </c>
      <c r="I66" s="4">
        <f t="shared" si="1"/>
        <v>0</v>
      </c>
      <c r="J66" s="4">
        <v>0</v>
      </c>
      <c r="K66" s="4">
        <v>0</v>
      </c>
      <c r="L66" s="4">
        <v>0</v>
      </c>
      <c r="M66" s="4">
        <v>0</v>
      </c>
      <c r="N66" s="4">
        <v>0</v>
      </c>
      <c r="O66" s="4">
        <v>0</v>
      </c>
    </row>
    <row r="67" spans="1:15" x14ac:dyDescent="0.15">
      <c r="A67" s="4">
        <v>64</v>
      </c>
      <c r="B67" s="4">
        <v>42</v>
      </c>
      <c r="C67" s="4">
        <v>17</v>
      </c>
      <c r="D67" s="4">
        <v>32</v>
      </c>
      <c r="E67" s="4">
        <v>4</v>
      </c>
      <c r="F67" s="8">
        <v>0</v>
      </c>
      <c r="G67" s="4">
        <v>2</v>
      </c>
      <c r="H67" s="4">
        <f t="shared" si="0"/>
        <v>0</v>
      </c>
      <c r="I67" s="4">
        <f t="shared" si="1"/>
        <v>1</v>
      </c>
      <c r="J67" s="4">
        <v>0</v>
      </c>
      <c r="K67" s="4">
        <v>0</v>
      </c>
      <c r="L67" s="4">
        <v>0</v>
      </c>
      <c r="M67" s="4">
        <v>1</v>
      </c>
      <c r="N67" s="4">
        <v>0</v>
      </c>
      <c r="O67" s="4">
        <v>0</v>
      </c>
    </row>
    <row r="68" spans="1:15" x14ac:dyDescent="0.15">
      <c r="A68" s="4">
        <v>65</v>
      </c>
      <c r="B68" s="4">
        <v>47</v>
      </c>
      <c r="C68" s="4">
        <v>23</v>
      </c>
      <c r="D68" s="4">
        <v>105</v>
      </c>
      <c r="E68" s="4">
        <v>2</v>
      </c>
      <c r="F68" s="8">
        <v>3.3</v>
      </c>
      <c r="G68" s="4">
        <v>1</v>
      </c>
      <c r="H68" s="4">
        <f t="shared" si="0"/>
        <v>1</v>
      </c>
      <c r="I68" s="4">
        <f t="shared" si="1"/>
        <v>0</v>
      </c>
      <c r="J68" s="4">
        <v>0</v>
      </c>
      <c r="K68" s="4">
        <v>0</v>
      </c>
      <c r="L68" s="4">
        <v>0</v>
      </c>
      <c r="M68" s="4">
        <v>0</v>
      </c>
      <c r="N68" s="4">
        <v>0</v>
      </c>
      <c r="O68" s="4">
        <v>0</v>
      </c>
    </row>
    <row r="69" spans="1:15" x14ac:dyDescent="0.15">
      <c r="A69" s="4">
        <v>66</v>
      </c>
      <c r="B69" s="4">
        <v>59</v>
      </c>
      <c r="C69" s="4">
        <v>35</v>
      </c>
      <c r="D69" s="4">
        <v>131</v>
      </c>
      <c r="E69" s="4">
        <v>1</v>
      </c>
      <c r="F69" s="8">
        <v>3.8</v>
      </c>
      <c r="G69" s="4">
        <v>1</v>
      </c>
      <c r="H69" s="4">
        <f t="shared" ref="H69:H132" si="2">IF(G69=1,1,0)</f>
        <v>1</v>
      </c>
      <c r="I69" s="4">
        <f t="shared" ref="I69:I132" si="3">IF(G69=2,1,0)</f>
        <v>0</v>
      </c>
      <c r="J69" s="4">
        <v>0</v>
      </c>
      <c r="K69" s="4">
        <v>0</v>
      </c>
      <c r="L69" s="4">
        <v>0</v>
      </c>
      <c r="M69" s="4">
        <v>1</v>
      </c>
      <c r="N69" s="4">
        <v>1</v>
      </c>
      <c r="O69" s="4">
        <v>0</v>
      </c>
    </row>
    <row r="70" spans="1:15" x14ac:dyDescent="0.15">
      <c r="A70" s="4">
        <v>67</v>
      </c>
      <c r="B70" s="4">
        <v>62</v>
      </c>
      <c r="C70" s="4">
        <v>36</v>
      </c>
      <c r="D70" s="4">
        <v>105</v>
      </c>
      <c r="E70" s="4">
        <v>2</v>
      </c>
      <c r="F70" s="8">
        <v>2.8</v>
      </c>
      <c r="G70" s="4">
        <v>1</v>
      </c>
      <c r="H70" s="4">
        <f t="shared" si="2"/>
        <v>1</v>
      </c>
      <c r="I70" s="4">
        <f t="shared" si="3"/>
        <v>0</v>
      </c>
      <c r="J70" s="4">
        <v>336</v>
      </c>
      <c r="K70" s="4">
        <v>0</v>
      </c>
      <c r="L70" s="4">
        <v>0</v>
      </c>
      <c r="M70" s="4">
        <v>0</v>
      </c>
      <c r="N70" s="4">
        <v>0</v>
      </c>
      <c r="O70" s="4">
        <v>0</v>
      </c>
    </row>
    <row r="71" spans="1:15" x14ac:dyDescent="0.15">
      <c r="A71" s="4">
        <v>68</v>
      </c>
      <c r="B71" s="4">
        <v>53</v>
      </c>
      <c r="C71" s="4">
        <v>23</v>
      </c>
      <c r="D71" s="4">
        <v>45</v>
      </c>
      <c r="E71" s="4">
        <v>4</v>
      </c>
      <c r="F71" s="8">
        <v>2</v>
      </c>
      <c r="G71" s="4">
        <v>3</v>
      </c>
      <c r="H71" s="4">
        <f t="shared" si="2"/>
        <v>0</v>
      </c>
      <c r="I71" s="4">
        <f t="shared" si="3"/>
        <v>0</v>
      </c>
      <c r="J71" s="4">
        <v>132</v>
      </c>
      <c r="K71" s="4">
        <v>1</v>
      </c>
      <c r="L71" s="4">
        <v>0</v>
      </c>
      <c r="M71" s="4">
        <v>0</v>
      </c>
      <c r="N71" s="4">
        <v>0</v>
      </c>
      <c r="O71" s="4">
        <v>0</v>
      </c>
    </row>
    <row r="72" spans="1:15" x14ac:dyDescent="0.15">
      <c r="A72" s="4">
        <v>69</v>
      </c>
      <c r="B72" s="4">
        <v>47</v>
      </c>
      <c r="C72" s="4">
        <v>21</v>
      </c>
      <c r="D72" s="4">
        <v>60</v>
      </c>
      <c r="E72" s="4">
        <v>3</v>
      </c>
      <c r="F72" s="8">
        <v>2.1</v>
      </c>
      <c r="G72" s="4">
        <v>1</v>
      </c>
      <c r="H72" s="4">
        <f t="shared" si="2"/>
        <v>1</v>
      </c>
      <c r="I72" s="4">
        <f t="shared" si="3"/>
        <v>0</v>
      </c>
      <c r="J72" s="4">
        <v>0</v>
      </c>
      <c r="K72" s="4">
        <v>0</v>
      </c>
      <c r="L72" s="4">
        <v>0</v>
      </c>
      <c r="M72" s="4">
        <v>1</v>
      </c>
      <c r="N72" s="4">
        <v>1</v>
      </c>
      <c r="O72" s="4">
        <v>0</v>
      </c>
    </row>
    <row r="73" spans="1:15" x14ac:dyDescent="0.15">
      <c r="A73" s="4">
        <v>70</v>
      </c>
      <c r="B73" s="4">
        <v>53</v>
      </c>
      <c r="C73" s="4">
        <v>29</v>
      </c>
      <c r="D73" s="4">
        <v>20</v>
      </c>
      <c r="E73" s="4">
        <v>4</v>
      </c>
      <c r="F73" s="8">
        <v>0.2</v>
      </c>
      <c r="G73" s="4">
        <v>1</v>
      </c>
      <c r="H73" s="4">
        <f t="shared" si="2"/>
        <v>1</v>
      </c>
      <c r="I73" s="4">
        <f t="shared" si="3"/>
        <v>0</v>
      </c>
      <c r="J73" s="4">
        <v>0</v>
      </c>
      <c r="K73" s="4">
        <v>0</v>
      </c>
      <c r="L73" s="4">
        <v>0</v>
      </c>
      <c r="M73" s="4">
        <v>1</v>
      </c>
      <c r="N73" s="4">
        <v>0</v>
      </c>
      <c r="O73" s="4">
        <v>0</v>
      </c>
    </row>
    <row r="74" spans="1:15" x14ac:dyDescent="0.15">
      <c r="A74" s="4">
        <v>71</v>
      </c>
      <c r="B74" s="4">
        <v>42</v>
      </c>
      <c r="C74" s="4">
        <v>18</v>
      </c>
      <c r="D74" s="4">
        <v>115</v>
      </c>
      <c r="E74" s="4">
        <v>1</v>
      </c>
      <c r="F74" s="8">
        <v>3.5</v>
      </c>
      <c r="G74" s="4">
        <v>1</v>
      </c>
      <c r="H74" s="4">
        <f t="shared" si="2"/>
        <v>1</v>
      </c>
      <c r="I74" s="4">
        <f t="shared" si="3"/>
        <v>0</v>
      </c>
      <c r="J74" s="4">
        <v>0</v>
      </c>
      <c r="K74" s="4">
        <v>0</v>
      </c>
      <c r="L74" s="4">
        <v>0</v>
      </c>
      <c r="M74" s="4">
        <v>0</v>
      </c>
      <c r="N74" s="4">
        <v>1</v>
      </c>
      <c r="O74" s="4">
        <v>0</v>
      </c>
    </row>
    <row r="75" spans="1:15" x14ac:dyDescent="0.15">
      <c r="A75" s="4">
        <v>72</v>
      </c>
      <c r="B75" s="4">
        <v>53</v>
      </c>
      <c r="C75" s="4">
        <v>29</v>
      </c>
      <c r="D75" s="4">
        <v>69</v>
      </c>
      <c r="E75" s="4">
        <v>4</v>
      </c>
      <c r="F75" s="8">
        <v>1</v>
      </c>
      <c r="G75" s="4">
        <v>2</v>
      </c>
      <c r="H75" s="4">
        <f t="shared" si="2"/>
        <v>0</v>
      </c>
      <c r="I75" s="4">
        <f t="shared" si="3"/>
        <v>1</v>
      </c>
      <c r="J75" s="4">
        <v>0</v>
      </c>
      <c r="K75" s="4">
        <v>0</v>
      </c>
      <c r="L75" s="4">
        <v>0</v>
      </c>
      <c r="M75" s="4">
        <v>1</v>
      </c>
      <c r="N75" s="4">
        <v>0</v>
      </c>
      <c r="O75" s="4">
        <v>0</v>
      </c>
    </row>
    <row r="76" spans="1:15" x14ac:dyDescent="0.15">
      <c r="A76" s="4">
        <v>73</v>
      </c>
      <c r="B76" s="4">
        <v>44</v>
      </c>
      <c r="C76" s="4">
        <v>20</v>
      </c>
      <c r="D76" s="4">
        <v>130</v>
      </c>
      <c r="E76" s="4">
        <v>1</v>
      </c>
      <c r="F76" s="8">
        <v>5</v>
      </c>
      <c r="G76" s="4">
        <v>1</v>
      </c>
      <c r="H76" s="4">
        <f t="shared" si="2"/>
        <v>1</v>
      </c>
      <c r="I76" s="4">
        <f t="shared" si="3"/>
        <v>0</v>
      </c>
      <c r="J76" s="4">
        <v>0</v>
      </c>
      <c r="K76" s="4">
        <v>0</v>
      </c>
      <c r="L76" s="4">
        <v>0</v>
      </c>
      <c r="M76" s="4">
        <v>0</v>
      </c>
      <c r="N76" s="4">
        <v>1</v>
      </c>
      <c r="O76" s="4">
        <v>0</v>
      </c>
    </row>
    <row r="77" spans="1:15" x14ac:dyDescent="0.15">
      <c r="A77" s="4">
        <v>74</v>
      </c>
      <c r="B77" s="4">
        <v>41</v>
      </c>
      <c r="C77" s="4">
        <v>16</v>
      </c>
      <c r="D77" s="4">
        <v>85</v>
      </c>
      <c r="E77" s="4">
        <v>1</v>
      </c>
      <c r="F77" s="8">
        <v>4</v>
      </c>
      <c r="G77" s="4">
        <v>3</v>
      </c>
      <c r="H77" s="4">
        <f t="shared" si="2"/>
        <v>0</v>
      </c>
      <c r="I77" s="4">
        <f t="shared" si="3"/>
        <v>0</v>
      </c>
      <c r="J77" s="4">
        <v>0</v>
      </c>
      <c r="K77" s="4">
        <v>0</v>
      </c>
      <c r="L77" s="4">
        <v>0</v>
      </c>
      <c r="M77" s="4">
        <v>1</v>
      </c>
      <c r="N77" s="4">
        <v>1</v>
      </c>
      <c r="O77" s="4">
        <v>0</v>
      </c>
    </row>
    <row r="78" spans="1:15" x14ac:dyDescent="0.15">
      <c r="A78" s="4">
        <v>75</v>
      </c>
      <c r="B78" s="4">
        <v>28</v>
      </c>
      <c r="C78" s="4">
        <v>3</v>
      </c>
      <c r="D78" s="4">
        <v>135</v>
      </c>
      <c r="E78" s="4">
        <v>2</v>
      </c>
      <c r="F78" s="8">
        <v>3.3</v>
      </c>
      <c r="G78" s="4">
        <v>1</v>
      </c>
      <c r="H78" s="4">
        <f t="shared" si="2"/>
        <v>1</v>
      </c>
      <c r="I78" s="4">
        <f t="shared" si="3"/>
        <v>0</v>
      </c>
      <c r="J78" s="4">
        <v>0</v>
      </c>
      <c r="K78" s="4">
        <v>0</v>
      </c>
      <c r="L78" s="4">
        <v>0</v>
      </c>
      <c r="M78" s="4">
        <v>0</v>
      </c>
      <c r="N78" s="4">
        <v>1</v>
      </c>
      <c r="O78" s="4">
        <v>0</v>
      </c>
    </row>
    <row r="79" spans="1:15" x14ac:dyDescent="0.15">
      <c r="A79" s="4">
        <v>76</v>
      </c>
      <c r="B79" s="4">
        <v>31</v>
      </c>
      <c r="C79" s="4">
        <v>7</v>
      </c>
      <c r="D79" s="4">
        <v>135</v>
      </c>
      <c r="E79" s="4">
        <v>4</v>
      </c>
      <c r="F79" s="8">
        <v>3.8</v>
      </c>
      <c r="G79" s="4">
        <v>2</v>
      </c>
      <c r="H79" s="4">
        <f t="shared" si="2"/>
        <v>0</v>
      </c>
      <c r="I79" s="4">
        <f t="shared" si="3"/>
        <v>1</v>
      </c>
      <c r="J79" s="4">
        <v>0</v>
      </c>
      <c r="K79" s="4">
        <v>0</v>
      </c>
      <c r="L79" s="4">
        <v>1</v>
      </c>
      <c r="M79" s="4">
        <v>1</v>
      </c>
      <c r="N79" s="4">
        <v>1</v>
      </c>
      <c r="O79" s="4">
        <v>1</v>
      </c>
    </row>
    <row r="80" spans="1:15" x14ac:dyDescent="0.15">
      <c r="A80" s="4">
        <v>77</v>
      </c>
      <c r="B80" s="4">
        <v>58</v>
      </c>
      <c r="C80" s="4">
        <v>32</v>
      </c>
      <c r="D80" s="4">
        <v>12</v>
      </c>
      <c r="E80" s="4">
        <v>3</v>
      </c>
      <c r="F80" s="8">
        <v>0.3</v>
      </c>
      <c r="G80" s="4">
        <v>3</v>
      </c>
      <c r="H80" s="4">
        <f t="shared" si="2"/>
        <v>0</v>
      </c>
      <c r="I80" s="4">
        <f t="shared" si="3"/>
        <v>0</v>
      </c>
      <c r="J80" s="4">
        <v>0</v>
      </c>
      <c r="K80" s="4">
        <v>0</v>
      </c>
      <c r="L80" s="4">
        <v>0</v>
      </c>
      <c r="M80" s="4">
        <v>0</v>
      </c>
      <c r="N80" s="4">
        <v>0</v>
      </c>
      <c r="O80" s="4">
        <v>0</v>
      </c>
    </row>
    <row r="81" spans="1:15" x14ac:dyDescent="0.15">
      <c r="A81" s="4">
        <v>78</v>
      </c>
      <c r="B81" s="4">
        <v>46</v>
      </c>
      <c r="C81" s="4">
        <v>20</v>
      </c>
      <c r="D81" s="4">
        <v>29</v>
      </c>
      <c r="E81" s="4">
        <v>3</v>
      </c>
      <c r="F81" s="8">
        <v>0.5</v>
      </c>
      <c r="G81" s="4">
        <v>2</v>
      </c>
      <c r="H81" s="4">
        <f t="shared" si="2"/>
        <v>0</v>
      </c>
      <c r="I81" s="4">
        <f t="shared" si="3"/>
        <v>1</v>
      </c>
      <c r="J81" s="4">
        <v>0</v>
      </c>
      <c r="K81" s="4">
        <v>0</v>
      </c>
      <c r="L81" s="4">
        <v>0</v>
      </c>
      <c r="M81" s="4">
        <v>0</v>
      </c>
      <c r="N81" s="4">
        <v>0</v>
      </c>
      <c r="O81" s="4">
        <v>0</v>
      </c>
    </row>
    <row r="82" spans="1:15" x14ac:dyDescent="0.15">
      <c r="A82" s="4">
        <v>79</v>
      </c>
      <c r="B82" s="4">
        <v>54</v>
      </c>
      <c r="C82" s="4">
        <v>30</v>
      </c>
      <c r="D82" s="4">
        <v>133</v>
      </c>
      <c r="E82" s="4">
        <v>2</v>
      </c>
      <c r="F82" s="8">
        <v>2.6</v>
      </c>
      <c r="G82" s="4">
        <v>3</v>
      </c>
      <c r="H82" s="4">
        <f t="shared" si="2"/>
        <v>0</v>
      </c>
      <c r="I82" s="4">
        <f t="shared" si="3"/>
        <v>0</v>
      </c>
      <c r="J82" s="4">
        <v>0</v>
      </c>
      <c r="K82" s="4">
        <v>0</v>
      </c>
      <c r="L82" s="4">
        <v>0</v>
      </c>
      <c r="M82" s="4">
        <v>0</v>
      </c>
      <c r="N82" s="4">
        <v>0</v>
      </c>
      <c r="O82" s="4">
        <v>1</v>
      </c>
    </row>
    <row r="83" spans="1:15" x14ac:dyDescent="0.15">
      <c r="A83" s="4">
        <v>80</v>
      </c>
      <c r="B83" s="4">
        <v>50</v>
      </c>
      <c r="C83" s="4">
        <v>26</v>
      </c>
      <c r="D83" s="4">
        <v>19</v>
      </c>
      <c r="E83" s="4">
        <v>2</v>
      </c>
      <c r="F83" s="8">
        <v>0.4</v>
      </c>
      <c r="G83" s="4">
        <v>1</v>
      </c>
      <c r="H83" s="4">
        <f t="shared" si="2"/>
        <v>1</v>
      </c>
      <c r="I83" s="4">
        <f t="shared" si="3"/>
        <v>0</v>
      </c>
      <c r="J83" s="4">
        <v>118</v>
      </c>
      <c r="K83" s="4">
        <v>0</v>
      </c>
      <c r="L83" s="4">
        <v>0</v>
      </c>
      <c r="M83" s="4">
        <v>1</v>
      </c>
      <c r="N83" s="4">
        <v>0</v>
      </c>
      <c r="O83" s="4">
        <v>0</v>
      </c>
    </row>
    <row r="84" spans="1:15" x14ac:dyDescent="0.15">
      <c r="A84" s="4">
        <v>81</v>
      </c>
      <c r="B84" s="4">
        <v>60</v>
      </c>
      <c r="C84" s="4">
        <v>36</v>
      </c>
      <c r="D84" s="4">
        <v>41</v>
      </c>
      <c r="E84" s="4">
        <v>4</v>
      </c>
      <c r="F84" s="8">
        <v>1.3</v>
      </c>
      <c r="G84" s="4">
        <v>1</v>
      </c>
      <c r="H84" s="4">
        <f t="shared" si="2"/>
        <v>1</v>
      </c>
      <c r="I84" s="4">
        <f t="shared" si="3"/>
        <v>0</v>
      </c>
      <c r="J84" s="4">
        <v>174</v>
      </c>
      <c r="K84" s="4">
        <v>0</v>
      </c>
      <c r="L84" s="4">
        <v>0</v>
      </c>
      <c r="M84" s="4">
        <v>1</v>
      </c>
      <c r="N84" s="4">
        <v>1</v>
      </c>
      <c r="O84" s="4">
        <v>0</v>
      </c>
    </row>
    <row r="85" spans="1:15" x14ac:dyDescent="0.15">
      <c r="A85" s="4">
        <v>82</v>
      </c>
      <c r="B85" s="4">
        <v>47</v>
      </c>
      <c r="C85" s="4">
        <v>22</v>
      </c>
      <c r="D85" s="4">
        <v>40</v>
      </c>
      <c r="E85" s="4">
        <v>3</v>
      </c>
      <c r="F85" s="8">
        <v>2.7</v>
      </c>
      <c r="G85" s="4">
        <v>2</v>
      </c>
      <c r="H85" s="4">
        <f t="shared" si="2"/>
        <v>0</v>
      </c>
      <c r="I85" s="4">
        <f t="shared" si="3"/>
        <v>1</v>
      </c>
      <c r="J85" s="4">
        <v>0</v>
      </c>
      <c r="K85" s="4">
        <v>0</v>
      </c>
      <c r="L85" s="4">
        <v>0</v>
      </c>
      <c r="M85" s="4">
        <v>1</v>
      </c>
      <c r="N85" s="4">
        <v>0</v>
      </c>
      <c r="O85" s="4">
        <v>0</v>
      </c>
    </row>
    <row r="86" spans="1:15" x14ac:dyDescent="0.15">
      <c r="A86" s="4">
        <v>83</v>
      </c>
      <c r="B86" s="4">
        <v>41</v>
      </c>
      <c r="C86" s="4">
        <v>16</v>
      </c>
      <c r="D86" s="4">
        <v>82</v>
      </c>
      <c r="E86" s="4">
        <v>1</v>
      </c>
      <c r="F86" s="8">
        <v>4</v>
      </c>
      <c r="G86" s="4">
        <v>3</v>
      </c>
      <c r="H86" s="4">
        <f t="shared" si="2"/>
        <v>0</v>
      </c>
      <c r="I86" s="4">
        <f t="shared" si="3"/>
        <v>0</v>
      </c>
      <c r="J86" s="4">
        <v>0</v>
      </c>
      <c r="K86" s="4">
        <v>0</v>
      </c>
      <c r="L86" s="4">
        <v>0</v>
      </c>
      <c r="M86" s="4">
        <v>1</v>
      </c>
      <c r="N86" s="4">
        <v>0</v>
      </c>
      <c r="O86" s="4">
        <v>0</v>
      </c>
    </row>
    <row r="87" spans="1:15" x14ac:dyDescent="0.15">
      <c r="A87" s="4">
        <v>84</v>
      </c>
      <c r="B87" s="4">
        <v>33</v>
      </c>
      <c r="C87" s="4">
        <v>9</v>
      </c>
      <c r="D87" s="4">
        <v>50</v>
      </c>
      <c r="E87" s="4">
        <v>1</v>
      </c>
      <c r="F87" s="8">
        <v>2.4</v>
      </c>
      <c r="G87" s="4">
        <v>2</v>
      </c>
      <c r="H87" s="4">
        <f t="shared" si="2"/>
        <v>0</v>
      </c>
      <c r="I87" s="4">
        <f t="shared" si="3"/>
        <v>1</v>
      </c>
      <c r="J87" s="4">
        <v>0</v>
      </c>
      <c r="K87" s="4">
        <v>0</v>
      </c>
      <c r="L87" s="4">
        <v>0</v>
      </c>
      <c r="M87" s="4">
        <v>0</v>
      </c>
      <c r="N87" s="4">
        <v>0</v>
      </c>
      <c r="O87" s="4">
        <v>0</v>
      </c>
    </row>
    <row r="88" spans="1:15" x14ac:dyDescent="0.15">
      <c r="A88" s="4">
        <v>85</v>
      </c>
      <c r="B88" s="4">
        <v>46</v>
      </c>
      <c r="C88" s="4">
        <v>22</v>
      </c>
      <c r="D88" s="4">
        <v>18</v>
      </c>
      <c r="E88" s="4">
        <v>1</v>
      </c>
      <c r="F88" s="8">
        <v>0.9</v>
      </c>
      <c r="G88" s="4">
        <v>3</v>
      </c>
      <c r="H88" s="4">
        <f t="shared" si="2"/>
        <v>0</v>
      </c>
      <c r="I88" s="4">
        <f t="shared" si="3"/>
        <v>0</v>
      </c>
      <c r="J88" s="4">
        <v>0</v>
      </c>
      <c r="K88" s="4">
        <v>0</v>
      </c>
      <c r="L88" s="4">
        <v>0</v>
      </c>
      <c r="M88" s="4">
        <v>1</v>
      </c>
      <c r="N88" s="4">
        <v>0</v>
      </c>
      <c r="O88" s="4">
        <v>0</v>
      </c>
    </row>
    <row r="89" spans="1:15" x14ac:dyDescent="0.15">
      <c r="A89" s="4">
        <v>86</v>
      </c>
      <c r="B89" s="4">
        <v>27</v>
      </c>
      <c r="C89" s="4">
        <v>2</v>
      </c>
      <c r="D89" s="4">
        <v>109</v>
      </c>
      <c r="E89" s="4">
        <v>4</v>
      </c>
      <c r="F89" s="8">
        <v>1.8</v>
      </c>
      <c r="G89" s="4">
        <v>3</v>
      </c>
      <c r="H89" s="4">
        <f t="shared" si="2"/>
        <v>0</v>
      </c>
      <c r="I89" s="4">
        <f t="shared" si="3"/>
        <v>0</v>
      </c>
      <c r="J89" s="4">
        <v>0</v>
      </c>
      <c r="K89" s="4">
        <v>0</v>
      </c>
      <c r="L89" s="4">
        <v>0</v>
      </c>
      <c r="M89" s="4">
        <v>0</v>
      </c>
      <c r="N89" s="4">
        <v>0</v>
      </c>
      <c r="O89" s="4">
        <v>0</v>
      </c>
    </row>
    <row r="90" spans="1:15" x14ac:dyDescent="0.15">
      <c r="A90" s="4">
        <v>87</v>
      </c>
      <c r="B90" s="4">
        <v>40</v>
      </c>
      <c r="C90" s="4">
        <v>16</v>
      </c>
      <c r="D90" s="4">
        <v>42</v>
      </c>
      <c r="E90" s="4">
        <v>4</v>
      </c>
      <c r="F90" s="8">
        <v>2.2000000000000002</v>
      </c>
      <c r="G90" s="4">
        <v>2</v>
      </c>
      <c r="H90" s="4">
        <f t="shared" si="2"/>
        <v>0</v>
      </c>
      <c r="I90" s="4">
        <f t="shared" si="3"/>
        <v>1</v>
      </c>
      <c r="J90" s="4">
        <v>126</v>
      </c>
      <c r="K90" s="4">
        <v>0</v>
      </c>
      <c r="L90" s="4">
        <v>0</v>
      </c>
      <c r="M90" s="4">
        <v>0</v>
      </c>
      <c r="N90" s="4">
        <v>0</v>
      </c>
      <c r="O90" s="4">
        <v>0</v>
      </c>
    </row>
    <row r="91" spans="1:15" x14ac:dyDescent="0.15">
      <c r="A91" s="4">
        <v>88</v>
      </c>
      <c r="B91" s="4">
        <v>48</v>
      </c>
      <c r="C91" s="4">
        <v>22</v>
      </c>
      <c r="D91" s="4">
        <v>78</v>
      </c>
      <c r="E91" s="4">
        <v>3</v>
      </c>
      <c r="F91" s="8">
        <v>1.1000000000000001</v>
      </c>
      <c r="G91" s="4">
        <v>1</v>
      </c>
      <c r="H91" s="4">
        <f t="shared" si="2"/>
        <v>1</v>
      </c>
      <c r="I91" s="4">
        <f t="shared" si="3"/>
        <v>0</v>
      </c>
      <c r="J91" s="4">
        <v>0</v>
      </c>
      <c r="K91" s="4">
        <v>0</v>
      </c>
      <c r="L91" s="4">
        <v>0</v>
      </c>
      <c r="M91" s="4">
        <v>1</v>
      </c>
      <c r="N91" s="4">
        <v>0</v>
      </c>
      <c r="O91" s="4">
        <v>0</v>
      </c>
    </row>
    <row r="92" spans="1:15" x14ac:dyDescent="0.15">
      <c r="A92" s="4">
        <v>89</v>
      </c>
      <c r="B92" s="4">
        <v>65</v>
      </c>
      <c r="C92" s="4">
        <v>41</v>
      </c>
      <c r="D92" s="4">
        <v>51</v>
      </c>
      <c r="E92" s="4">
        <v>2</v>
      </c>
      <c r="F92" s="8">
        <v>1.1000000000000001</v>
      </c>
      <c r="G92" s="4">
        <v>1</v>
      </c>
      <c r="H92" s="4">
        <f t="shared" si="2"/>
        <v>1</v>
      </c>
      <c r="I92" s="4">
        <f t="shared" si="3"/>
        <v>0</v>
      </c>
      <c r="J92" s="4">
        <v>0</v>
      </c>
      <c r="K92" s="4">
        <v>0</v>
      </c>
      <c r="L92" s="4">
        <v>0</v>
      </c>
      <c r="M92" s="4">
        <v>1</v>
      </c>
      <c r="N92" s="4">
        <v>0</v>
      </c>
      <c r="O92" s="4">
        <v>0</v>
      </c>
    </row>
    <row r="93" spans="1:15" x14ac:dyDescent="0.15">
      <c r="A93" s="4">
        <v>90</v>
      </c>
      <c r="B93" s="4">
        <v>25</v>
      </c>
      <c r="C93" s="4">
        <v>0</v>
      </c>
      <c r="D93" s="4">
        <v>113</v>
      </c>
      <c r="E93" s="4">
        <v>4</v>
      </c>
      <c r="F93" s="8">
        <v>2.2999999999999998</v>
      </c>
      <c r="G93" s="4">
        <v>3</v>
      </c>
      <c r="H93" s="4">
        <f t="shared" si="2"/>
        <v>0</v>
      </c>
      <c r="I93" s="4">
        <f t="shared" si="3"/>
        <v>0</v>
      </c>
      <c r="J93" s="4">
        <v>0</v>
      </c>
      <c r="K93" s="4">
        <v>0</v>
      </c>
      <c r="L93" s="4">
        <v>0</v>
      </c>
      <c r="M93" s="4">
        <v>0</v>
      </c>
      <c r="N93" s="4">
        <v>1</v>
      </c>
      <c r="O93" s="4">
        <v>0</v>
      </c>
    </row>
    <row r="94" spans="1:15" x14ac:dyDescent="0.15">
      <c r="A94" s="4">
        <v>91</v>
      </c>
      <c r="B94" s="4">
        <v>55</v>
      </c>
      <c r="C94" s="4">
        <v>30</v>
      </c>
      <c r="D94" s="4">
        <v>118</v>
      </c>
      <c r="E94" s="4">
        <v>4</v>
      </c>
      <c r="F94" s="8">
        <v>5.6</v>
      </c>
      <c r="G94" s="4">
        <v>2</v>
      </c>
      <c r="H94" s="4">
        <f t="shared" si="2"/>
        <v>0</v>
      </c>
      <c r="I94" s="4">
        <f t="shared" si="3"/>
        <v>1</v>
      </c>
      <c r="J94" s="4">
        <v>0</v>
      </c>
      <c r="K94" s="4">
        <v>0</v>
      </c>
      <c r="L94" s="4">
        <v>0</v>
      </c>
      <c r="M94" s="4">
        <v>1</v>
      </c>
      <c r="N94" s="4">
        <v>0</v>
      </c>
      <c r="O94" s="4">
        <v>1</v>
      </c>
    </row>
    <row r="95" spans="1:15" x14ac:dyDescent="0.15">
      <c r="A95" s="4">
        <v>92</v>
      </c>
      <c r="B95" s="4">
        <v>35</v>
      </c>
      <c r="C95" s="4">
        <v>10</v>
      </c>
      <c r="D95" s="4">
        <v>29</v>
      </c>
      <c r="E95" s="4">
        <v>4</v>
      </c>
      <c r="F95" s="8">
        <v>1.1000000000000001</v>
      </c>
      <c r="G95" s="4">
        <v>3</v>
      </c>
      <c r="H95" s="4">
        <f t="shared" si="2"/>
        <v>0</v>
      </c>
      <c r="I95" s="4">
        <f t="shared" si="3"/>
        <v>0</v>
      </c>
      <c r="J95" s="4">
        <v>0</v>
      </c>
      <c r="K95" s="4">
        <v>0</v>
      </c>
      <c r="L95" s="4">
        <v>0</v>
      </c>
      <c r="M95" s="4">
        <v>1</v>
      </c>
      <c r="N95" s="4">
        <v>0</v>
      </c>
      <c r="O95" s="4">
        <v>0</v>
      </c>
    </row>
    <row r="96" spans="1:15" x14ac:dyDescent="0.15">
      <c r="A96" s="4">
        <v>93</v>
      </c>
      <c r="B96" s="4">
        <v>43</v>
      </c>
      <c r="C96" s="4">
        <v>19</v>
      </c>
      <c r="D96" s="4">
        <v>34</v>
      </c>
      <c r="E96" s="4">
        <v>3</v>
      </c>
      <c r="F96" s="8">
        <v>0.6</v>
      </c>
      <c r="G96" s="4">
        <v>2</v>
      </c>
      <c r="H96" s="4">
        <f t="shared" si="2"/>
        <v>0</v>
      </c>
      <c r="I96" s="4">
        <f t="shared" si="3"/>
        <v>1</v>
      </c>
      <c r="J96" s="4">
        <v>0</v>
      </c>
      <c r="K96" s="4">
        <v>0</v>
      </c>
      <c r="L96" s="4">
        <v>0</v>
      </c>
      <c r="M96" s="4">
        <v>0</v>
      </c>
      <c r="N96" s="4">
        <v>0</v>
      </c>
      <c r="O96" s="4">
        <v>0</v>
      </c>
    </row>
    <row r="97" spans="1:15" x14ac:dyDescent="0.15">
      <c r="A97" s="4">
        <v>94</v>
      </c>
      <c r="B97" s="4">
        <v>60</v>
      </c>
      <c r="C97" s="4">
        <v>34</v>
      </c>
      <c r="D97" s="4">
        <v>64</v>
      </c>
      <c r="E97" s="4">
        <v>2</v>
      </c>
      <c r="F97" s="8">
        <v>1.7</v>
      </c>
      <c r="G97" s="4">
        <v>3</v>
      </c>
      <c r="H97" s="4">
        <f t="shared" si="2"/>
        <v>0</v>
      </c>
      <c r="I97" s="4">
        <f t="shared" si="3"/>
        <v>0</v>
      </c>
      <c r="J97" s="4">
        <v>236</v>
      </c>
      <c r="K97" s="4">
        <v>1</v>
      </c>
      <c r="L97" s="4">
        <v>0</v>
      </c>
      <c r="M97" s="4">
        <v>1</v>
      </c>
      <c r="N97" s="4">
        <v>0</v>
      </c>
      <c r="O97" s="4">
        <v>0</v>
      </c>
    </row>
    <row r="98" spans="1:15" x14ac:dyDescent="0.15">
      <c r="A98" s="4">
        <v>95</v>
      </c>
      <c r="B98" s="4">
        <v>65</v>
      </c>
      <c r="C98" s="4">
        <v>39</v>
      </c>
      <c r="D98" s="4">
        <v>121</v>
      </c>
      <c r="E98" s="4">
        <v>1</v>
      </c>
      <c r="F98" s="8">
        <v>2</v>
      </c>
      <c r="G98" s="4">
        <v>1</v>
      </c>
      <c r="H98" s="4">
        <f t="shared" si="2"/>
        <v>1</v>
      </c>
      <c r="I98" s="4">
        <f t="shared" si="3"/>
        <v>0</v>
      </c>
      <c r="J98" s="4">
        <v>0</v>
      </c>
      <c r="K98" s="4">
        <v>0</v>
      </c>
      <c r="L98" s="4">
        <v>0</v>
      </c>
      <c r="M98" s="4">
        <v>0</v>
      </c>
      <c r="N98" s="4">
        <v>0</v>
      </c>
      <c r="O98" s="4">
        <v>0</v>
      </c>
    </row>
    <row r="99" spans="1:15" x14ac:dyDescent="0.15">
      <c r="A99" s="4">
        <v>96</v>
      </c>
      <c r="B99" s="4">
        <v>38</v>
      </c>
      <c r="C99" s="4">
        <v>12</v>
      </c>
      <c r="D99" s="4">
        <v>48</v>
      </c>
      <c r="E99" s="4">
        <v>4</v>
      </c>
      <c r="F99" s="8">
        <v>0.2</v>
      </c>
      <c r="G99" s="4">
        <v>3</v>
      </c>
      <c r="H99" s="4">
        <f t="shared" si="2"/>
        <v>0</v>
      </c>
      <c r="I99" s="4">
        <f t="shared" si="3"/>
        <v>0</v>
      </c>
      <c r="J99" s="4">
        <v>0</v>
      </c>
      <c r="K99" s="4">
        <v>0</v>
      </c>
      <c r="L99" s="4">
        <v>0</v>
      </c>
      <c r="M99" s="4">
        <v>1</v>
      </c>
      <c r="N99" s="4">
        <v>0</v>
      </c>
      <c r="O99" s="4">
        <v>0</v>
      </c>
    </row>
    <row r="100" spans="1:15" x14ac:dyDescent="0.15">
      <c r="A100" s="4">
        <v>97</v>
      </c>
      <c r="B100" s="4">
        <v>41</v>
      </c>
      <c r="C100" s="4">
        <v>15</v>
      </c>
      <c r="D100" s="4">
        <v>80</v>
      </c>
      <c r="E100" s="4">
        <v>1</v>
      </c>
      <c r="F100" s="8">
        <v>5.2</v>
      </c>
      <c r="G100" s="4">
        <v>1</v>
      </c>
      <c r="H100" s="4">
        <f t="shared" si="2"/>
        <v>1</v>
      </c>
      <c r="I100" s="4">
        <f t="shared" si="3"/>
        <v>0</v>
      </c>
      <c r="J100" s="4">
        <v>0</v>
      </c>
      <c r="K100" s="4">
        <v>0</v>
      </c>
      <c r="L100" s="4">
        <v>0</v>
      </c>
      <c r="M100" s="4">
        <v>0</v>
      </c>
      <c r="N100" s="4">
        <v>0</v>
      </c>
      <c r="O100" s="4">
        <v>0</v>
      </c>
    </row>
    <row r="101" spans="1:15" x14ac:dyDescent="0.15">
      <c r="A101" s="4">
        <v>98</v>
      </c>
      <c r="B101" s="4">
        <v>54</v>
      </c>
      <c r="C101" s="4">
        <v>28</v>
      </c>
      <c r="D101" s="4">
        <v>161</v>
      </c>
      <c r="E101" s="4">
        <v>1</v>
      </c>
      <c r="F101" s="8">
        <v>2.9</v>
      </c>
      <c r="G101" s="4">
        <v>1</v>
      </c>
      <c r="H101" s="4">
        <f t="shared" si="2"/>
        <v>1</v>
      </c>
      <c r="I101" s="4">
        <f t="shared" si="3"/>
        <v>0</v>
      </c>
      <c r="J101" s="4">
        <v>0</v>
      </c>
      <c r="K101" s="4">
        <v>0</v>
      </c>
      <c r="L101" s="4">
        <v>0</v>
      </c>
      <c r="M101" s="4">
        <v>1</v>
      </c>
      <c r="N101" s="4">
        <v>0</v>
      </c>
      <c r="O101" s="4">
        <v>0</v>
      </c>
    </row>
    <row r="102" spans="1:15" x14ac:dyDescent="0.15">
      <c r="A102" s="4">
        <v>99</v>
      </c>
      <c r="B102" s="4">
        <v>49</v>
      </c>
      <c r="C102" s="4">
        <v>23</v>
      </c>
      <c r="D102" s="4">
        <v>94</v>
      </c>
      <c r="E102" s="4">
        <v>1</v>
      </c>
      <c r="F102" s="8">
        <v>0.3</v>
      </c>
      <c r="G102" s="4">
        <v>1</v>
      </c>
      <c r="H102" s="4">
        <f t="shared" si="2"/>
        <v>1</v>
      </c>
      <c r="I102" s="4">
        <f t="shared" si="3"/>
        <v>0</v>
      </c>
      <c r="J102" s="4">
        <v>0</v>
      </c>
      <c r="K102" s="4">
        <v>0</v>
      </c>
      <c r="L102" s="4">
        <v>0</v>
      </c>
      <c r="M102" s="4">
        <v>1</v>
      </c>
      <c r="N102" s="4">
        <v>0</v>
      </c>
      <c r="O102" s="4">
        <v>0</v>
      </c>
    </row>
    <row r="103" spans="1:15" x14ac:dyDescent="0.15">
      <c r="A103" s="4">
        <v>100</v>
      </c>
      <c r="B103" s="4">
        <v>66</v>
      </c>
      <c r="C103" s="4">
        <v>41</v>
      </c>
      <c r="D103" s="4">
        <v>15</v>
      </c>
      <c r="E103" s="4">
        <v>3</v>
      </c>
      <c r="F103" s="8">
        <v>0.1</v>
      </c>
      <c r="G103" s="4">
        <v>3</v>
      </c>
      <c r="H103" s="4">
        <f t="shared" si="2"/>
        <v>0</v>
      </c>
      <c r="I103" s="4">
        <f t="shared" si="3"/>
        <v>0</v>
      </c>
      <c r="J103" s="4">
        <v>0</v>
      </c>
      <c r="K103" s="4">
        <v>0</v>
      </c>
      <c r="L103" s="4">
        <v>0</v>
      </c>
      <c r="M103" s="4">
        <v>1</v>
      </c>
      <c r="N103" s="4">
        <v>0</v>
      </c>
      <c r="O103" s="4">
        <v>0</v>
      </c>
    </row>
    <row r="104" spans="1:15" x14ac:dyDescent="0.15">
      <c r="A104" s="4">
        <v>101</v>
      </c>
      <c r="B104" s="4">
        <v>48</v>
      </c>
      <c r="C104" s="4">
        <v>23</v>
      </c>
      <c r="D104" s="4">
        <v>74</v>
      </c>
      <c r="E104" s="4">
        <v>1</v>
      </c>
      <c r="F104" s="8">
        <v>1.2</v>
      </c>
      <c r="G104" s="4">
        <v>1</v>
      </c>
      <c r="H104" s="4">
        <f t="shared" si="2"/>
        <v>1</v>
      </c>
      <c r="I104" s="4">
        <f t="shared" si="3"/>
        <v>0</v>
      </c>
      <c r="J104" s="4">
        <v>0</v>
      </c>
      <c r="K104" s="4">
        <v>0</v>
      </c>
      <c r="L104" s="4">
        <v>0</v>
      </c>
      <c r="M104" s="4">
        <v>1</v>
      </c>
      <c r="N104" s="4">
        <v>0</v>
      </c>
      <c r="O104" s="4">
        <v>0</v>
      </c>
    </row>
    <row r="105" spans="1:15" x14ac:dyDescent="0.15">
      <c r="A105" s="4">
        <v>102</v>
      </c>
      <c r="B105" s="4">
        <v>61</v>
      </c>
      <c r="C105" s="4">
        <v>36</v>
      </c>
      <c r="D105" s="4">
        <v>30</v>
      </c>
      <c r="E105" s="4">
        <v>3</v>
      </c>
      <c r="F105" s="8">
        <v>1.3</v>
      </c>
      <c r="G105" s="4">
        <v>2</v>
      </c>
      <c r="H105" s="4">
        <f t="shared" si="2"/>
        <v>0</v>
      </c>
      <c r="I105" s="4">
        <f t="shared" si="3"/>
        <v>1</v>
      </c>
      <c r="J105" s="4">
        <v>0</v>
      </c>
      <c r="K105" s="4">
        <v>0</v>
      </c>
      <c r="L105" s="4">
        <v>0</v>
      </c>
      <c r="M105" s="4">
        <v>0</v>
      </c>
      <c r="N105" s="4">
        <v>0</v>
      </c>
      <c r="O105" s="4">
        <v>0</v>
      </c>
    </row>
    <row r="106" spans="1:15" x14ac:dyDescent="0.15">
      <c r="A106" s="4">
        <v>103</v>
      </c>
      <c r="B106" s="4">
        <v>53</v>
      </c>
      <c r="C106" s="4">
        <v>23</v>
      </c>
      <c r="D106" s="4">
        <v>44</v>
      </c>
      <c r="E106" s="4">
        <v>3</v>
      </c>
      <c r="F106" s="8">
        <v>1</v>
      </c>
      <c r="G106" s="4">
        <v>3</v>
      </c>
      <c r="H106" s="4">
        <f t="shared" si="2"/>
        <v>0</v>
      </c>
      <c r="I106" s="4">
        <f t="shared" si="3"/>
        <v>0</v>
      </c>
      <c r="J106" s="4">
        <v>198</v>
      </c>
      <c r="K106" s="4">
        <v>0</v>
      </c>
      <c r="L106" s="4">
        <v>0</v>
      </c>
      <c r="M106" s="4">
        <v>1</v>
      </c>
      <c r="N106" s="4">
        <v>1</v>
      </c>
      <c r="O106" s="4">
        <v>0</v>
      </c>
    </row>
    <row r="107" spans="1:15" x14ac:dyDescent="0.15">
      <c r="A107" s="4">
        <v>104</v>
      </c>
      <c r="B107" s="4">
        <v>43</v>
      </c>
      <c r="C107" s="4">
        <v>18</v>
      </c>
      <c r="D107" s="4">
        <v>22</v>
      </c>
      <c r="E107" s="4">
        <v>2</v>
      </c>
      <c r="F107" s="8">
        <v>0.3</v>
      </c>
      <c r="G107" s="4">
        <v>2</v>
      </c>
      <c r="H107" s="4">
        <f t="shared" si="2"/>
        <v>0</v>
      </c>
      <c r="I107" s="4">
        <f t="shared" si="3"/>
        <v>1</v>
      </c>
      <c r="J107" s="4">
        <v>0</v>
      </c>
      <c r="K107" s="4">
        <v>0</v>
      </c>
      <c r="L107" s="4">
        <v>0</v>
      </c>
      <c r="M107" s="4">
        <v>1</v>
      </c>
      <c r="N107" s="4">
        <v>0</v>
      </c>
      <c r="O107" s="4">
        <v>0</v>
      </c>
    </row>
    <row r="108" spans="1:15" x14ac:dyDescent="0.15">
      <c r="A108" s="4">
        <v>105</v>
      </c>
      <c r="B108" s="4">
        <v>56</v>
      </c>
      <c r="C108" s="4">
        <v>32</v>
      </c>
      <c r="D108" s="4">
        <v>38</v>
      </c>
      <c r="E108" s="4">
        <v>4</v>
      </c>
      <c r="F108" s="8">
        <v>1.3</v>
      </c>
      <c r="G108" s="4">
        <v>1</v>
      </c>
      <c r="H108" s="4">
        <f t="shared" si="2"/>
        <v>1</v>
      </c>
      <c r="I108" s="4">
        <f t="shared" si="3"/>
        <v>0</v>
      </c>
      <c r="J108" s="4">
        <v>166</v>
      </c>
      <c r="K108" s="4">
        <v>0</v>
      </c>
      <c r="L108" s="4">
        <v>0</v>
      </c>
      <c r="M108" s="4">
        <v>1</v>
      </c>
      <c r="N108" s="4">
        <v>1</v>
      </c>
      <c r="O108" s="4">
        <v>0</v>
      </c>
    </row>
    <row r="109" spans="1:15" x14ac:dyDescent="0.15">
      <c r="A109" s="4">
        <v>106</v>
      </c>
      <c r="B109" s="4">
        <v>24</v>
      </c>
      <c r="C109" s="4">
        <v>0</v>
      </c>
      <c r="D109" s="4">
        <v>35</v>
      </c>
      <c r="E109" s="4">
        <v>3</v>
      </c>
      <c r="F109" s="8">
        <v>0.1</v>
      </c>
      <c r="G109" s="4">
        <v>2</v>
      </c>
      <c r="H109" s="4">
        <f t="shared" si="2"/>
        <v>0</v>
      </c>
      <c r="I109" s="4">
        <f t="shared" si="3"/>
        <v>1</v>
      </c>
      <c r="J109" s="4">
        <v>0</v>
      </c>
      <c r="K109" s="4">
        <v>1</v>
      </c>
      <c r="L109" s="4">
        <v>0</v>
      </c>
      <c r="M109" s="4">
        <v>1</v>
      </c>
      <c r="N109" s="4">
        <v>0</v>
      </c>
      <c r="O109" s="4">
        <v>0</v>
      </c>
    </row>
    <row r="110" spans="1:15" x14ac:dyDescent="0.15">
      <c r="A110" s="4">
        <v>107</v>
      </c>
      <c r="B110" s="4">
        <v>43</v>
      </c>
      <c r="C110" s="4">
        <v>17</v>
      </c>
      <c r="D110" s="4">
        <v>69</v>
      </c>
      <c r="E110" s="4">
        <v>4</v>
      </c>
      <c r="F110" s="8">
        <v>2.9</v>
      </c>
      <c r="G110" s="4">
        <v>1</v>
      </c>
      <c r="H110" s="4">
        <f t="shared" si="2"/>
        <v>1</v>
      </c>
      <c r="I110" s="4">
        <f t="shared" si="3"/>
        <v>0</v>
      </c>
      <c r="J110" s="4">
        <v>0</v>
      </c>
      <c r="K110" s="4">
        <v>0</v>
      </c>
      <c r="L110" s="4">
        <v>0</v>
      </c>
      <c r="M110" s="4">
        <v>1</v>
      </c>
      <c r="N110" s="4">
        <v>1</v>
      </c>
      <c r="O110" s="4">
        <v>0</v>
      </c>
    </row>
    <row r="111" spans="1:15" x14ac:dyDescent="0.15">
      <c r="A111" s="4">
        <v>108</v>
      </c>
      <c r="B111" s="4">
        <v>42</v>
      </c>
      <c r="C111" s="4">
        <v>18</v>
      </c>
      <c r="D111" s="4">
        <v>43</v>
      </c>
      <c r="E111" s="4">
        <v>1</v>
      </c>
      <c r="F111" s="8">
        <v>0.7</v>
      </c>
      <c r="G111" s="4">
        <v>1</v>
      </c>
      <c r="H111" s="4">
        <f t="shared" si="2"/>
        <v>1</v>
      </c>
      <c r="I111" s="4">
        <f t="shared" si="3"/>
        <v>0</v>
      </c>
      <c r="J111" s="4">
        <v>136</v>
      </c>
      <c r="K111" s="4">
        <v>0</v>
      </c>
      <c r="L111" s="4">
        <v>0</v>
      </c>
      <c r="M111" s="4">
        <v>0</v>
      </c>
      <c r="N111" s="4">
        <v>0</v>
      </c>
      <c r="O111" s="4">
        <v>0</v>
      </c>
    </row>
    <row r="112" spans="1:15" x14ac:dyDescent="0.15">
      <c r="A112" s="4">
        <v>109</v>
      </c>
      <c r="B112" s="4">
        <v>33</v>
      </c>
      <c r="C112" s="4">
        <v>7</v>
      </c>
      <c r="D112" s="4">
        <v>32</v>
      </c>
      <c r="E112" s="4">
        <v>1</v>
      </c>
      <c r="F112" s="8">
        <v>0.6</v>
      </c>
      <c r="G112" s="4">
        <v>3</v>
      </c>
      <c r="H112" s="4">
        <f t="shared" si="2"/>
        <v>0</v>
      </c>
      <c r="I112" s="4">
        <f t="shared" si="3"/>
        <v>0</v>
      </c>
      <c r="J112" s="4">
        <v>166</v>
      </c>
      <c r="K112" s="4">
        <v>0</v>
      </c>
      <c r="L112" s="4">
        <v>0</v>
      </c>
      <c r="M112" s="4">
        <v>1</v>
      </c>
      <c r="N112" s="4">
        <v>0</v>
      </c>
      <c r="O112" s="4">
        <v>0</v>
      </c>
    </row>
    <row r="113" spans="1:15" x14ac:dyDescent="0.15">
      <c r="A113" s="4">
        <v>110</v>
      </c>
      <c r="B113" s="4">
        <v>43</v>
      </c>
      <c r="C113" s="4">
        <v>17</v>
      </c>
      <c r="D113" s="4">
        <v>49</v>
      </c>
      <c r="E113" s="4">
        <v>1</v>
      </c>
      <c r="F113" s="8">
        <v>2.8</v>
      </c>
      <c r="G113" s="4">
        <v>1</v>
      </c>
      <c r="H113" s="4">
        <f t="shared" si="2"/>
        <v>1</v>
      </c>
      <c r="I113" s="4">
        <f t="shared" si="3"/>
        <v>0</v>
      </c>
      <c r="J113" s="4">
        <v>0</v>
      </c>
      <c r="K113" s="4">
        <v>0</v>
      </c>
      <c r="L113" s="4">
        <v>0</v>
      </c>
      <c r="M113" s="4">
        <v>1</v>
      </c>
      <c r="N113" s="4">
        <v>0</v>
      </c>
      <c r="O113" s="4">
        <v>0</v>
      </c>
    </row>
    <row r="114" spans="1:15" x14ac:dyDescent="0.15">
      <c r="A114" s="4">
        <v>111</v>
      </c>
      <c r="B114" s="4">
        <v>41</v>
      </c>
      <c r="C114" s="4">
        <v>14</v>
      </c>
      <c r="D114" s="4">
        <v>9</v>
      </c>
      <c r="E114" s="4">
        <v>3</v>
      </c>
      <c r="F114" s="8">
        <v>1</v>
      </c>
      <c r="G114" s="4">
        <v>2</v>
      </c>
      <c r="H114" s="4">
        <f t="shared" si="2"/>
        <v>0</v>
      </c>
      <c r="I114" s="4">
        <f t="shared" si="3"/>
        <v>1</v>
      </c>
      <c r="J114" s="4">
        <v>0</v>
      </c>
      <c r="K114" s="4">
        <v>0</v>
      </c>
      <c r="L114" s="4">
        <v>0</v>
      </c>
      <c r="M114" s="4">
        <v>0</v>
      </c>
      <c r="N114" s="4">
        <v>0</v>
      </c>
      <c r="O114" s="4">
        <v>0</v>
      </c>
    </row>
    <row r="115" spans="1:15" x14ac:dyDescent="0.15">
      <c r="A115" s="4">
        <v>112</v>
      </c>
      <c r="B115" s="4">
        <v>62</v>
      </c>
      <c r="C115" s="4">
        <v>38</v>
      </c>
      <c r="D115" s="4">
        <v>45</v>
      </c>
      <c r="E115" s="4">
        <v>4</v>
      </c>
      <c r="F115" s="8">
        <v>1.3</v>
      </c>
      <c r="G115" s="4">
        <v>2</v>
      </c>
      <c r="H115" s="4">
        <f t="shared" si="2"/>
        <v>0</v>
      </c>
      <c r="I115" s="4">
        <f t="shared" si="3"/>
        <v>1</v>
      </c>
      <c r="J115" s="4">
        <v>0</v>
      </c>
      <c r="K115" s="4">
        <v>0</v>
      </c>
      <c r="L115" s="4">
        <v>0</v>
      </c>
      <c r="M115" s="4">
        <v>1</v>
      </c>
      <c r="N115" s="4">
        <v>0</v>
      </c>
      <c r="O115" s="4">
        <v>0</v>
      </c>
    </row>
    <row r="116" spans="1:15" x14ac:dyDescent="0.15">
      <c r="A116" s="4">
        <v>113</v>
      </c>
      <c r="B116" s="4">
        <v>40</v>
      </c>
      <c r="C116" s="4">
        <v>15</v>
      </c>
      <c r="D116" s="4">
        <v>82</v>
      </c>
      <c r="E116" s="4">
        <v>3</v>
      </c>
      <c r="F116" s="8">
        <v>1</v>
      </c>
      <c r="G116" s="4">
        <v>1</v>
      </c>
      <c r="H116" s="4">
        <f t="shared" si="2"/>
        <v>1</v>
      </c>
      <c r="I116" s="4">
        <f t="shared" si="3"/>
        <v>0</v>
      </c>
      <c r="J116" s="4">
        <v>309</v>
      </c>
      <c r="K116" s="4">
        <v>0</v>
      </c>
      <c r="L116" s="4">
        <v>0</v>
      </c>
      <c r="M116" s="4">
        <v>0</v>
      </c>
      <c r="N116" s="4">
        <v>0</v>
      </c>
      <c r="O116" s="4">
        <v>0</v>
      </c>
    </row>
    <row r="117" spans="1:15" x14ac:dyDescent="0.15">
      <c r="A117" s="4">
        <v>114</v>
      </c>
      <c r="B117" s="4">
        <v>58</v>
      </c>
      <c r="C117" s="4">
        <v>34</v>
      </c>
      <c r="D117" s="4">
        <v>92</v>
      </c>
      <c r="E117" s="4">
        <v>2</v>
      </c>
      <c r="F117" s="8">
        <v>2.8</v>
      </c>
      <c r="G117" s="4">
        <v>1</v>
      </c>
      <c r="H117" s="4">
        <f t="shared" si="2"/>
        <v>1</v>
      </c>
      <c r="I117" s="4">
        <f t="shared" si="3"/>
        <v>0</v>
      </c>
      <c r="J117" s="4">
        <v>103</v>
      </c>
      <c r="K117" s="4">
        <v>0</v>
      </c>
      <c r="L117" s="4">
        <v>0</v>
      </c>
      <c r="M117" s="4">
        <v>0</v>
      </c>
      <c r="N117" s="4">
        <v>0</v>
      </c>
      <c r="O117" s="4">
        <v>0</v>
      </c>
    </row>
    <row r="118" spans="1:15" x14ac:dyDescent="0.15">
      <c r="A118" s="4">
        <v>115</v>
      </c>
      <c r="B118" s="4">
        <v>39</v>
      </c>
      <c r="C118" s="4">
        <v>14</v>
      </c>
      <c r="D118" s="4">
        <v>39</v>
      </c>
      <c r="E118" s="4">
        <v>3</v>
      </c>
      <c r="F118" s="8">
        <v>0.5</v>
      </c>
      <c r="G118" s="4">
        <v>3</v>
      </c>
      <c r="H118" s="4">
        <f t="shared" si="2"/>
        <v>0</v>
      </c>
      <c r="I118" s="4">
        <f t="shared" si="3"/>
        <v>0</v>
      </c>
      <c r="J118" s="4">
        <v>0</v>
      </c>
      <c r="K118" s="4">
        <v>0</v>
      </c>
      <c r="L118" s="4">
        <v>0</v>
      </c>
      <c r="M118" s="4">
        <v>1</v>
      </c>
      <c r="N118" s="4">
        <v>0</v>
      </c>
      <c r="O118" s="4">
        <v>0</v>
      </c>
    </row>
    <row r="119" spans="1:15" x14ac:dyDescent="0.15">
      <c r="A119" s="4">
        <v>116</v>
      </c>
      <c r="B119" s="4">
        <v>65</v>
      </c>
      <c r="C119" s="4">
        <v>40</v>
      </c>
      <c r="D119" s="4">
        <v>81</v>
      </c>
      <c r="E119" s="4">
        <v>3</v>
      </c>
      <c r="F119" s="8">
        <v>1.8</v>
      </c>
      <c r="G119" s="4">
        <v>2</v>
      </c>
      <c r="H119" s="4">
        <f t="shared" si="2"/>
        <v>0</v>
      </c>
      <c r="I119" s="4">
        <f t="shared" si="3"/>
        <v>1</v>
      </c>
      <c r="J119" s="4">
        <v>0</v>
      </c>
      <c r="K119" s="4">
        <v>0</v>
      </c>
      <c r="L119" s="4">
        <v>0</v>
      </c>
      <c r="M119" s="4">
        <v>1</v>
      </c>
      <c r="N119" s="4">
        <v>0</v>
      </c>
      <c r="O119" s="4">
        <v>0</v>
      </c>
    </row>
    <row r="120" spans="1:15" x14ac:dyDescent="0.15">
      <c r="A120" s="4">
        <v>117</v>
      </c>
      <c r="B120" s="4">
        <v>54</v>
      </c>
      <c r="C120" s="4">
        <v>29</v>
      </c>
      <c r="D120" s="4">
        <v>35</v>
      </c>
      <c r="E120" s="4">
        <v>1</v>
      </c>
      <c r="F120" s="8">
        <v>1.5</v>
      </c>
      <c r="G120" s="4">
        <v>2</v>
      </c>
      <c r="H120" s="4">
        <f t="shared" si="2"/>
        <v>0</v>
      </c>
      <c r="I120" s="4">
        <f t="shared" si="3"/>
        <v>1</v>
      </c>
      <c r="J120" s="4">
        <v>0</v>
      </c>
      <c r="K120" s="4">
        <v>0</v>
      </c>
      <c r="L120" s="4">
        <v>0</v>
      </c>
      <c r="M120" s="4">
        <v>1</v>
      </c>
      <c r="N120" s="4">
        <v>0</v>
      </c>
      <c r="O120" s="4">
        <v>0</v>
      </c>
    </row>
    <row r="121" spans="1:15" x14ac:dyDescent="0.15">
      <c r="A121" s="4">
        <v>118</v>
      </c>
      <c r="B121" s="4">
        <v>58</v>
      </c>
      <c r="C121" s="4">
        <v>33</v>
      </c>
      <c r="D121" s="4">
        <v>61</v>
      </c>
      <c r="E121" s="4">
        <v>2</v>
      </c>
      <c r="F121" s="8">
        <v>2.2999999999999998</v>
      </c>
      <c r="G121" s="4">
        <v>3</v>
      </c>
      <c r="H121" s="4">
        <f t="shared" si="2"/>
        <v>0</v>
      </c>
      <c r="I121" s="4">
        <f t="shared" si="3"/>
        <v>0</v>
      </c>
      <c r="J121" s="4">
        <v>193</v>
      </c>
      <c r="K121" s="4">
        <v>0</v>
      </c>
      <c r="L121" s="4">
        <v>0</v>
      </c>
      <c r="M121" s="4">
        <v>1</v>
      </c>
      <c r="N121" s="4">
        <v>0</v>
      </c>
      <c r="O121" s="4">
        <v>0</v>
      </c>
    </row>
    <row r="122" spans="1:15" x14ac:dyDescent="0.15">
      <c r="A122" s="4">
        <v>119</v>
      </c>
      <c r="B122" s="4">
        <v>41</v>
      </c>
      <c r="C122" s="4">
        <v>16</v>
      </c>
      <c r="D122" s="4">
        <v>73</v>
      </c>
      <c r="E122" s="4">
        <v>3</v>
      </c>
      <c r="F122" s="8">
        <v>3</v>
      </c>
      <c r="G122" s="4">
        <v>1</v>
      </c>
      <c r="H122" s="4">
        <f t="shared" si="2"/>
        <v>1</v>
      </c>
      <c r="I122" s="4">
        <f t="shared" si="3"/>
        <v>0</v>
      </c>
      <c r="J122" s="4">
        <v>0</v>
      </c>
      <c r="K122" s="4">
        <v>0</v>
      </c>
      <c r="L122" s="4">
        <v>0</v>
      </c>
      <c r="M122" s="4">
        <v>1</v>
      </c>
      <c r="N122" s="4">
        <v>0</v>
      </c>
      <c r="O122" s="4">
        <v>0</v>
      </c>
    </row>
    <row r="123" spans="1:15" x14ac:dyDescent="0.15">
      <c r="A123" s="4">
        <v>120</v>
      </c>
      <c r="B123" s="4">
        <v>32</v>
      </c>
      <c r="C123" s="4">
        <v>7</v>
      </c>
      <c r="D123" s="4">
        <v>112</v>
      </c>
      <c r="E123" s="4">
        <v>1</v>
      </c>
      <c r="F123" s="8">
        <v>4.5999999999999996</v>
      </c>
      <c r="G123" s="4">
        <v>1</v>
      </c>
      <c r="H123" s="4">
        <f t="shared" si="2"/>
        <v>1</v>
      </c>
      <c r="I123" s="4">
        <f t="shared" si="3"/>
        <v>0</v>
      </c>
      <c r="J123" s="4">
        <v>366</v>
      </c>
      <c r="K123" s="4">
        <v>0</v>
      </c>
      <c r="L123" s="4">
        <v>0</v>
      </c>
      <c r="M123" s="4">
        <v>0</v>
      </c>
      <c r="N123" s="4">
        <v>0</v>
      </c>
      <c r="O123" s="4">
        <v>0</v>
      </c>
    </row>
    <row r="124" spans="1:15" x14ac:dyDescent="0.15">
      <c r="A124" s="4">
        <v>121</v>
      </c>
      <c r="B124" s="4">
        <v>54</v>
      </c>
      <c r="C124" s="4">
        <v>29</v>
      </c>
      <c r="D124" s="4">
        <v>12</v>
      </c>
      <c r="E124" s="4">
        <v>2</v>
      </c>
      <c r="F124" s="8">
        <v>0.2</v>
      </c>
      <c r="G124" s="4">
        <v>3</v>
      </c>
      <c r="H124" s="4">
        <f t="shared" si="2"/>
        <v>0</v>
      </c>
      <c r="I124" s="4">
        <f t="shared" si="3"/>
        <v>0</v>
      </c>
      <c r="J124" s="4">
        <v>0</v>
      </c>
      <c r="K124" s="4">
        <v>0</v>
      </c>
      <c r="L124" s="4">
        <v>0</v>
      </c>
      <c r="M124" s="4">
        <v>1</v>
      </c>
      <c r="N124" s="4">
        <v>0</v>
      </c>
      <c r="O124" s="4">
        <v>0</v>
      </c>
    </row>
    <row r="125" spans="1:15" x14ac:dyDescent="0.15">
      <c r="A125" s="4">
        <v>122</v>
      </c>
      <c r="B125" s="4">
        <v>52</v>
      </c>
      <c r="C125" s="4">
        <v>26</v>
      </c>
      <c r="D125" s="4">
        <v>38</v>
      </c>
      <c r="E125" s="4">
        <v>3</v>
      </c>
      <c r="F125" s="8">
        <v>0.9</v>
      </c>
      <c r="G125" s="4">
        <v>3</v>
      </c>
      <c r="H125" s="4">
        <f t="shared" si="2"/>
        <v>0</v>
      </c>
      <c r="I125" s="4">
        <f t="shared" si="3"/>
        <v>0</v>
      </c>
      <c r="J125" s="4">
        <v>0</v>
      </c>
      <c r="K125" s="4">
        <v>0</v>
      </c>
      <c r="L125" s="4">
        <v>0</v>
      </c>
      <c r="M125" s="4">
        <v>1</v>
      </c>
      <c r="N125" s="4">
        <v>0</v>
      </c>
      <c r="O125" s="4">
        <v>0</v>
      </c>
    </row>
    <row r="126" spans="1:15" x14ac:dyDescent="0.15">
      <c r="A126" s="4">
        <v>123</v>
      </c>
      <c r="B126" s="4">
        <v>58</v>
      </c>
      <c r="C126" s="4">
        <v>32</v>
      </c>
      <c r="D126" s="4">
        <v>73</v>
      </c>
      <c r="E126" s="4">
        <v>2</v>
      </c>
      <c r="F126" s="8">
        <v>0.7</v>
      </c>
      <c r="G126" s="4">
        <v>2</v>
      </c>
      <c r="H126" s="4">
        <f t="shared" si="2"/>
        <v>0</v>
      </c>
      <c r="I126" s="4">
        <f t="shared" si="3"/>
        <v>1</v>
      </c>
      <c r="J126" s="4">
        <v>0</v>
      </c>
      <c r="K126" s="4">
        <v>0</v>
      </c>
      <c r="L126" s="4">
        <v>0</v>
      </c>
      <c r="M126" s="4">
        <v>1</v>
      </c>
      <c r="N126" s="4">
        <v>1</v>
      </c>
      <c r="O126" s="4">
        <v>0</v>
      </c>
    </row>
    <row r="127" spans="1:15" x14ac:dyDescent="0.15">
      <c r="A127" s="4">
        <v>124</v>
      </c>
      <c r="B127" s="4">
        <v>37</v>
      </c>
      <c r="C127" s="4">
        <v>13</v>
      </c>
      <c r="D127" s="4">
        <v>84</v>
      </c>
      <c r="E127" s="4">
        <v>1</v>
      </c>
      <c r="F127" s="8">
        <v>3.6</v>
      </c>
      <c r="G127" s="4">
        <v>2</v>
      </c>
      <c r="H127" s="4">
        <f t="shared" si="2"/>
        <v>0</v>
      </c>
      <c r="I127" s="4">
        <f t="shared" si="3"/>
        <v>1</v>
      </c>
      <c r="J127" s="4">
        <v>0</v>
      </c>
      <c r="K127" s="4">
        <v>1</v>
      </c>
      <c r="L127" s="4">
        <v>0</v>
      </c>
      <c r="M127" s="4">
        <v>0</v>
      </c>
      <c r="N127" s="4">
        <v>0</v>
      </c>
      <c r="O127" s="4">
        <v>0</v>
      </c>
    </row>
    <row r="128" spans="1:15" x14ac:dyDescent="0.15">
      <c r="A128" s="4">
        <v>125</v>
      </c>
      <c r="B128" s="4">
        <v>39</v>
      </c>
      <c r="C128" s="4">
        <v>15</v>
      </c>
      <c r="D128" s="4">
        <v>78</v>
      </c>
      <c r="E128" s="4">
        <v>4</v>
      </c>
      <c r="F128" s="8">
        <v>2.4</v>
      </c>
      <c r="G128" s="4">
        <v>1</v>
      </c>
      <c r="H128" s="4">
        <f t="shared" si="2"/>
        <v>1</v>
      </c>
      <c r="I128" s="4">
        <f t="shared" si="3"/>
        <v>0</v>
      </c>
      <c r="J128" s="4">
        <v>118</v>
      </c>
      <c r="K128" s="4">
        <v>0</v>
      </c>
      <c r="L128" s="4">
        <v>0</v>
      </c>
      <c r="M128" s="4">
        <v>1</v>
      </c>
      <c r="N128" s="4">
        <v>0</v>
      </c>
      <c r="O128" s="4">
        <v>0</v>
      </c>
    </row>
    <row r="129" spans="1:15" x14ac:dyDescent="0.15">
      <c r="A129" s="4">
        <v>126</v>
      </c>
      <c r="B129" s="4">
        <v>60</v>
      </c>
      <c r="C129" s="4">
        <v>35</v>
      </c>
      <c r="D129" s="4">
        <v>80</v>
      </c>
      <c r="E129" s="4">
        <v>3</v>
      </c>
      <c r="F129" s="8">
        <v>0.5</v>
      </c>
      <c r="G129" s="4">
        <v>1</v>
      </c>
      <c r="H129" s="4">
        <f t="shared" si="2"/>
        <v>1</v>
      </c>
      <c r="I129" s="4">
        <f t="shared" si="3"/>
        <v>0</v>
      </c>
      <c r="J129" s="4">
        <v>0</v>
      </c>
      <c r="K129" s="4">
        <v>0</v>
      </c>
      <c r="L129" s="4">
        <v>0</v>
      </c>
      <c r="M129" s="4">
        <v>1</v>
      </c>
      <c r="N129" s="4">
        <v>0</v>
      </c>
      <c r="O129" s="4">
        <v>0</v>
      </c>
    </row>
    <row r="130" spans="1:15" x14ac:dyDescent="0.15">
      <c r="A130" s="4">
        <v>127</v>
      </c>
      <c r="B130" s="4">
        <v>31</v>
      </c>
      <c r="C130" s="4">
        <v>5</v>
      </c>
      <c r="D130" s="4">
        <v>115</v>
      </c>
      <c r="E130" s="4">
        <v>2</v>
      </c>
      <c r="F130" s="8">
        <v>1.3</v>
      </c>
      <c r="G130" s="4">
        <v>1</v>
      </c>
      <c r="H130" s="4">
        <f t="shared" si="2"/>
        <v>1</v>
      </c>
      <c r="I130" s="4">
        <f t="shared" si="3"/>
        <v>0</v>
      </c>
      <c r="J130" s="4">
        <v>101</v>
      </c>
      <c r="K130" s="4">
        <v>0</v>
      </c>
      <c r="L130" s="4">
        <v>0</v>
      </c>
      <c r="M130" s="4">
        <v>1</v>
      </c>
      <c r="N130" s="4">
        <v>1</v>
      </c>
      <c r="O130" s="4">
        <v>0</v>
      </c>
    </row>
    <row r="131" spans="1:15" x14ac:dyDescent="0.15">
      <c r="A131" s="4">
        <v>128</v>
      </c>
      <c r="B131" s="4">
        <v>34</v>
      </c>
      <c r="C131" s="4">
        <v>8</v>
      </c>
      <c r="D131" s="4">
        <v>82</v>
      </c>
      <c r="E131" s="4">
        <v>1</v>
      </c>
      <c r="F131" s="8">
        <v>2.7</v>
      </c>
      <c r="G131" s="4">
        <v>2</v>
      </c>
      <c r="H131" s="4">
        <f t="shared" si="2"/>
        <v>0</v>
      </c>
      <c r="I131" s="4">
        <f t="shared" si="3"/>
        <v>1</v>
      </c>
      <c r="J131" s="4">
        <v>251</v>
      </c>
      <c r="K131" s="4">
        <v>0</v>
      </c>
      <c r="L131" s="4">
        <v>0</v>
      </c>
      <c r="M131" s="4">
        <v>1</v>
      </c>
      <c r="N131" s="4">
        <v>0</v>
      </c>
      <c r="O131" s="4">
        <v>0</v>
      </c>
    </row>
    <row r="132" spans="1:15" x14ac:dyDescent="0.15">
      <c r="A132" s="4">
        <v>129</v>
      </c>
      <c r="B132" s="4">
        <v>38</v>
      </c>
      <c r="C132" s="4">
        <v>14</v>
      </c>
      <c r="D132" s="4">
        <v>74</v>
      </c>
      <c r="E132" s="4">
        <v>2</v>
      </c>
      <c r="F132" s="8">
        <v>0</v>
      </c>
      <c r="G132" s="4">
        <v>1</v>
      </c>
      <c r="H132" s="4">
        <f t="shared" si="2"/>
        <v>1</v>
      </c>
      <c r="I132" s="4">
        <f t="shared" si="3"/>
        <v>0</v>
      </c>
      <c r="J132" s="4">
        <v>0</v>
      </c>
      <c r="K132" s="4">
        <v>1</v>
      </c>
      <c r="L132" s="4">
        <v>0</v>
      </c>
      <c r="M132" s="4">
        <v>1</v>
      </c>
      <c r="N132" s="4">
        <v>0</v>
      </c>
      <c r="O132" s="4">
        <v>0</v>
      </c>
    </row>
    <row r="133" spans="1:15" x14ac:dyDescent="0.15">
      <c r="A133" s="4">
        <v>130</v>
      </c>
      <c r="B133" s="4">
        <v>41</v>
      </c>
      <c r="C133" s="4">
        <v>16</v>
      </c>
      <c r="D133" s="4">
        <v>70</v>
      </c>
      <c r="E133" s="4">
        <v>3</v>
      </c>
      <c r="F133" s="8">
        <v>0.5</v>
      </c>
      <c r="G133" s="4">
        <v>3</v>
      </c>
      <c r="H133" s="4">
        <f t="shared" ref="H133:H196" si="4">IF(G133=1,1,0)</f>
        <v>0</v>
      </c>
      <c r="I133" s="4">
        <f t="shared" ref="I133:I196" si="5">IF(G133=2,1,0)</f>
        <v>0</v>
      </c>
      <c r="J133" s="4">
        <v>0</v>
      </c>
      <c r="K133" s="4">
        <v>0</v>
      </c>
      <c r="L133" s="4">
        <v>0</v>
      </c>
      <c r="M133" s="4">
        <v>0</v>
      </c>
      <c r="N133" s="4">
        <v>1</v>
      </c>
      <c r="O133" s="4">
        <v>0</v>
      </c>
    </row>
    <row r="134" spans="1:15" x14ac:dyDescent="0.15">
      <c r="A134" s="4">
        <v>131</v>
      </c>
      <c r="B134" s="4">
        <v>28</v>
      </c>
      <c r="C134" s="4">
        <v>4</v>
      </c>
      <c r="D134" s="4">
        <v>81</v>
      </c>
      <c r="E134" s="4">
        <v>3</v>
      </c>
      <c r="F134" s="8">
        <v>1.5</v>
      </c>
      <c r="G134" s="4">
        <v>1</v>
      </c>
      <c r="H134" s="4">
        <f t="shared" si="4"/>
        <v>1</v>
      </c>
      <c r="I134" s="4">
        <f t="shared" si="5"/>
        <v>0</v>
      </c>
      <c r="J134" s="4">
        <v>276</v>
      </c>
      <c r="K134" s="4">
        <v>0</v>
      </c>
      <c r="L134" s="4">
        <v>0</v>
      </c>
      <c r="M134" s="4">
        <v>1</v>
      </c>
      <c r="N134" s="4">
        <v>0</v>
      </c>
      <c r="O134" s="4">
        <v>0</v>
      </c>
    </row>
    <row r="135" spans="1:15" x14ac:dyDescent="0.15">
      <c r="A135" s="4">
        <v>132</v>
      </c>
      <c r="B135" s="4">
        <v>58</v>
      </c>
      <c r="C135" s="4">
        <v>34</v>
      </c>
      <c r="D135" s="4">
        <v>149</v>
      </c>
      <c r="E135" s="4">
        <v>4</v>
      </c>
      <c r="F135" s="8">
        <v>7.2</v>
      </c>
      <c r="G135" s="4">
        <v>2</v>
      </c>
      <c r="H135" s="4">
        <f t="shared" si="4"/>
        <v>0</v>
      </c>
      <c r="I135" s="4">
        <f t="shared" si="5"/>
        <v>1</v>
      </c>
      <c r="J135" s="4">
        <v>0</v>
      </c>
      <c r="K135" s="4">
        <v>0</v>
      </c>
      <c r="L135" s="4">
        <v>1</v>
      </c>
      <c r="M135" s="4">
        <v>1</v>
      </c>
      <c r="N135" s="4">
        <v>1</v>
      </c>
      <c r="O135" s="4">
        <v>1</v>
      </c>
    </row>
    <row r="136" spans="1:15" x14ac:dyDescent="0.15">
      <c r="A136" s="4">
        <v>133</v>
      </c>
      <c r="B136" s="4">
        <v>31</v>
      </c>
      <c r="C136" s="4">
        <v>1</v>
      </c>
      <c r="D136" s="4">
        <v>51</v>
      </c>
      <c r="E136" s="4">
        <v>2</v>
      </c>
      <c r="F136" s="8">
        <v>1.75</v>
      </c>
      <c r="G136" s="4">
        <v>3</v>
      </c>
      <c r="H136" s="4">
        <f t="shared" si="4"/>
        <v>0</v>
      </c>
      <c r="I136" s="4">
        <f t="shared" si="5"/>
        <v>0</v>
      </c>
      <c r="J136" s="4">
        <v>0</v>
      </c>
      <c r="K136" s="4">
        <v>0</v>
      </c>
      <c r="L136" s="4">
        <v>0</v>
      </c>
      <c r="M136" s="4">
        <v>0</v>
      </c>
      <c r="N136" s="4">
        <v>0</v>
      </c>
      <c r="O136" s="4">
        <v>0</v>
      </c>
    </row>
    <row r="137" spans="1:15" x14ac:dyDescent="0.15">
      <c r="A137" s="4">
        <v>134</v>
      </c>
      <c r="B137" s="4">
        <v>30</v>
      </c>
      <c r="C137" s="4">
        <v>4</v>
      </c>
      <c r="D137" s="4">
        <v>39</v>
      </c>
      <c r="E137" s="4">
        <v>3</v>
      </c>
      <c r="F137" s="8">
        <v>1.1000000000000001</v>
      </c>
      <c r="G137" s="4">
        <v>2</v>
      </c>
      <c r="H137" s="4">
        <f t="shared" si="4"/>
        <v>0</v>
      </c>
      <c r="I137" s="4">
        <f t="shared" si="5"/>
        <v>1</v>
      </c>
      <c r="J137" s="4">
        <v>0</v>
      </c>
      <c r="K137" s="4">
        <v>0</v>
      </c>
      <c r="L137" s="4">
        <v>0</v>
      </c>
      <c r="M137" s="4">
        <v>1</v>
      </c>
      <c r="N137" s="4">
        <v>0</v>
      </c>
      <c r="O137" s="4">
        <v>0</v>
      </c>
    </row>
    <row r="138" spans="1:15" x14ac:dyDescent="0.15">
      <c r="A138" s="4">
        <v>135</v>
      </c>
      <c r="B138" s="4">
        <v>53</v>
      </c>
      <c r="C138" s="4">
        <v>29</v>
      </c>
      <c r="D138" s="4">
        <v>98</v>
      </c>
      <c r="E138" s="4">
        <v>3</v>
      </c>
      <c r="F138" s="8">
        <v>1.8</v>
      </c>
      <c r="G138" s="4">
        <v>2</v>
      </c>
      <c r="H138" s="4">
        <f t="shared" si="4"/>
        <v>0</v>
      </c>
      <c r="I138" s="4">
        <f t="shared" si="5"/>
        <v>1</v>
      </c>
      <c r="J138" s="4">
        <v>0</v>
      </c>
      <c r="K138" s="4">
        <v>0</v>
      </c>
      <c r="L138" s="4">
        <v>0</v>
      </c>
      <c r="M138" s="4">
        <v>0</v>
      </c>
      <c r="N138" s="4">
        <v>0</v>
      </c>
      <c r="O138" s="4">
        <v>0</v>
      </c>
    </row>
    <row r="139" spans="1:15" x14ac:dyDescent="0.15">
      <c r="A139" s="4">
        <v>136</v>
      </c>
      <c r="B139" s="4">
        <v>58</v>
      </c>
      <c r="C139" s="4">
        <v>33</v>
      </c>
      <c r="D139" s="4">
        <v>45</v>
      </c>
      <c r="E139" s="4">
        <v>4</v>
      </c>
      <c r="F139" s="8">
        <v>2.1</v>
      </c>
      <c r="G139" s="4">
        <v>1</v>
      </c>
      <c r="H139" s="4">
        <f t="shared" si="4"/>
        <v>1</v>
      </c>
      <c r="I139" s="4">
        <f t="shared" si="5"/>
        <v>0</v>
      </c>
      <c r="J139" s="4">
        <v>0</v>
      </c>
      <c r="K139" s="4">
        <v>0</v>
      </c>
      <c r="L139" s="4">
        <v>0</v>
      </c>
      <c r="M139" s="4">
        <v>1</v>
      </c>
      <c r="N139" s="4">
        <v>1</v>
      </c>
      <c r="O139" s="4">
        <v>0</v>
      </c>
    </row>
    <row r="140" spans="1:15" x14ac:dyDescent="0.15">
      <c r="A140" s="4">
        <v>137</v>
      </c>
      <c r="B140" s="4">
        <v>59</v>
      </c>
      <c r="C140" s="4">
        <v>32</v>
      </c>
      <c r="D140" s="4">
        <v>49</v>
      </c>
      <c r="E140" s="4">
        <v>4</v>
      </c>
      <c r="F140" s="8">
        <v>2.5</v>
      </c>
      <c r="G140" s="4">
        <v>2</v>
      </c>
      <c r="H140" s="4">
        <f t="shared" si="4"/>
        <v>0</v>
      </c>
      <c r="I140" s="4">
        <f t="shared" si="5"/>
        <v>1</v>
      </c>
      <c r="J140" s="4">
        <v>0</v>
      </c>
      <c r="K140" s="4">
        <v>0</v>
      </c>
      <c r="L140" s="4">
        <v>0</v>
      </c>
      <c r="M140" s="4">
        <v>1</v>
      </c>
      <c r="N140" s="4">
        <v>0</v>
      </c>
      <c r="O140" s="4">
        <v>0</v>
      </c>
    </row>
    <row r="141" spans="1:15" x14ac:dyDescent="0.15">
      <c r="A141" s="4">
        <v>138</v>
      </c>
      <c r="B141" s="4">
        <v>49</v>
      </c>
      <c r="C141" s="4">
        <v>25</v>
      </c>
      <c r="D141" s="4">
        <v>128</v>
      </c>
      <c r="E141" s="4">
        <v>2</v>
      </c>
      <c r="F141" s="8">
        <v>0.4</v>
      </c>
      <c r="G141" s="4">
        <v>1</v>
      </c>
      <c r="H141" s="4">
        <f t="shared" si="4"/>
        <v>1</v>
      </c>
      <c r="I141" s="4">
        <f t="shared" si="5"/>
        <v>0</v>
      </c>
      <c r="J141" s="4">
        <v>0</v>
      </c>
      <c r="K141" s="4">
        <v>0</v>
      </c>
      <c r="L141" s="4">
        <v>0</v>
      </c>
      <c r="M141" s="4">
        <v>0</v>
      </c>
      <c r="N141" s="4">
        <v>0</v>
      </c>
      <c r="O141" s="4">
        <v>0</v>
      </c>
    </row>
    <row r="142" spans="1:15" x14ac:dyDescent="0.15">
      <c r="A142" s="4">
        <v>139</v>
      </c>
      <c r="B142" s="4">
        <v>59</v>
      </c>
      <c r="C142" s="4">
        <v>34</v>
      </c>
      <c r="D142" s="4">
        <v>42</v>
      </c>
      <c r="E142" s="4">
        <v>3</v>
      </c>
      <c r="F142" s="8">
        <v>1.5</v>
      </c>
      <c r="G142" s="4">
        <v>1</v>
      </c>
      <c r="H142" s="4">
        <f t="shared" si="4"/>
        <v>1</v>
      </c>
      <c r="I142" s="4">
        <f t="shared" si="5"/>
        <v>0</v>
      </c>
      <c r="J142" s="4">
        <v>0</v>
      </c>
      <c r="K142" s="4">
        <v>1</v>
      </c>
      <c r="L142" s="4">
        <v>1</v>
      </c>
      <c r="M142" s="4">
        <v>0</v>
      </c>
      <c r="N142" s="4">
        <v>1</v>
      </c>
      <c r="O142" s="4">
        <v>0</v>
      </c>
    </row>
    <row r="143" spans="1:15" x14ac:dyDescent="0.15">
      <c r="A143" s="4">
        <v>140</v>
      </c>
      <c r="B143" s="4">
        <v>59</v>
      </c>
      <c r="C143" s="4">
        <v>35</v>
      </c>
      <c r="D143" s="4">
        <v>18</v>
      </c>
      <c r="E143" s="4">
        <v>1</v>
      </c>
      <c r="F143" s="8">
        <v>1.2</v>
      </c>
      <c r="G143" s="4">
        <v>3</v>
      </c>
      <c r="H143" s="4">
        <f t="shared" si="4"/>
        <v>0</v>
      </c>
      <c r="I143" s="4">
        <f t="shared" si="5"/>
        <v>0</v>
      </c>
      <c r="J143" s="4">
        <v>0</v>
      </c>
      <c r="K143" s="4">
        <v>0</v>
      </c>
      <c r="L143" s="4">
        <v>0</v>
      </c>
      <c r="M143" s="4">
        <v>1</v>
      </c>
      <c r="N143" s="4">
        <v>0</v>
      </c>
      <c r="O143" s="4">
        <v>0</v>
      </c>
    </row>
    <row r="144" spans="1:15" x14ac:dyDescent="0.15">
      <c r="A144" s="4">
        <v>141</v>
      </c>
      <c r="B144" s="4">
        <v>51</v>
      </c>
      <c r="C144" s="4">
        <v>25</v>
      </c>
      <c r="D144" s="4">
        <v>31</v>
      </c>
      <c r="E144" s="4">
        <v>2</v>
      </c>
      <c r="F144" s="8">
        <v>0.4</v>
      </c>
      <c r="G144" s="4">
        <v>3</v>
      </c>
      <c r="H144" s="4">
        <f t="shared" si="4"/>
        <v>0</v>
      </c>
      <c r="I144" s="4">
        <f t="shared" si="5"/>
        <v>0</v>
      </c>
      <c r="J144" s="4">
        <v>161</v>
      </c>
      <c r="K144" s="4">
        <v>0</v>
      </c>
      <c r="L144" s="4">
        <v>0</v>
      </c>
      <c r="M144" s="4">
        <v>1</v>
      </c>
      <c r="N144" s="4">
        <v>1</v>
      </c>
      <c r="O144" s="4">
        <v>0</v>
      </c>
    </row>
    <row r="145" spans="1:15" x14ac:dyDescent="0.15">
      <c r="A145" s="4">
        <v>142</v>
      </c>
      <c r="B145" s="4">
        <v>35</v>
      </c>
      <c r="C145" s="4">
        <v>11</v>
      </c>
      <c r="D145" s="4">
        <v>58</v>
      </c>
      <c r="E145" s="4">
        <v>3</v>
      </c>
      <c r="F145" s="8">
        <v>2</v>
      </c>
      <c r="G145" s="4">
        <v>1</v>
      </c>
      <c r="H145" s="4">
        <f t="shared" si="4"/>
        <v>1</v>
      </c>
      <c r="I145" s="4">
        <f t="shared" si="5"/>
        <v>0</v>
      </c>
      <c r="J145" s="4">
        <v>149</v>
      </c>
      <c r="K145" s="4">
        <v>0</v>
      </c>
      <c r="L145" s="4">
        <v>0</v>
      </c>
      <c r="M145" s="4">
        <v>1</v>
      </c>
      <c r="N145" s="4">
        <v>1</v>
      </c>
      <c r="O145" s="4">
        <v>0</v>
      </c>
    </row>
    <row r="146" spans="1:15" x14ac:dyDescent="0.15">
      <c r="A146" s="4">
        <v>143</v>
      </c>
      <c r="B146" s="4">
        <v>33</v>
      </c>
      <c r="C146" s="4">
        <v>9</v>
      </c>
      <c r="D146" s="4">
        <v>48</v>
      </c>
      <c r="E146" s="4">
        <v>1</v>
      </c>
      <c r="F146" s="8">
        <v>2.1</v>
      </c>
      <c r="G146" s="4">
        <v>3</v>
      </c>
      <c r="H146" s="4">
        <f t="shared" si="4"/>
        <v>0</v>
      </c>
      <c r="I146" s="4">
        <f t="shared" si="5"/>
        <v>0</v>
      </c>
      <c r="J146" s="4">
        <v>0</v>
      </c>
      <c r="K146" s="4">
        <v>0</v>
      </c>
      <c r="L146" s="4">
        <v>0</v>
      </c>
      <c r="M146" s="4">
        <v>0</v>
      </c>
      <c r="N146" s="4">
        <v>1</v>
      </c>
      <c r="O146" s="4">
        <v>0</v>
      </c>
    </row>
    <row r="147" spans="1:15" x14ac:dyDescent="0.15">
      <c r="A147" s="4">
        <v>144</v>
      </c>
      <c r="B147" s="4">
        <v>25</v>
      </c>
      <c r="C147" s="4">
        <v>1</v>
      </c>
      <c r="D147" s="4">
        <v>54</v>
      </c>
      <c r="E147" s="4">
        <v>4</v>
      </c>
      <c r="F147" s="8">
        <v>1.6</v>
      </c>
      <c r="G147" s="4">
        <v>1</v>
      </c>
      <c r="H147" s="4">
        <f t="shared" si="4"/>
        <v>1</v>
      </c>
      <c r="I147" s="4">
        <f t="shared" si="5"/>
        <v>0</v>
      </c>
      <c r="J147" s="4">
        <v>0</v>
      </c>
      <c r="K147" s="4">
        <v>0</v>
      </c>
      <c r="L147" s="4">
        <v>0</v>
      </c>
      <c r="M147" s="4">
        <v>1</v>
      </c>
      <c r="N147" s="4">
        <v>1</v>
      </c>
      <c r="O147" s="4">
        <v>0</v>
      </c>
    </row>
    <row r="148" spans="1:15" x14ac:dyDescent="0.15">
      <c r="A148" s="4">
        <v>145</v>
      </c>
      <c r="B148" s="4">
        <v>49</v>
      </c>
      <c r="C148" s="4">
        <v>23</v>
      </c>
      <c r="D148" s="4">
        <v>70</v>
      </c>
      <c r="E148" s="4">
        <v>2</v>
      </c>
      <c r="F148" s="8">
        <v>1.5</v>
      </c>
      <c r="G148" s="4">
        <v>2</v>
      </c>
      <c r="H148" s="4">
        <f t="shared" si="4"/>
        <v>0</v>
      </c>
      <c r="I148" s="4">
        <f t="shared" si="5"/>
        <v>1</v>
      </c>
      <c r="J148" s="4">
        <v>0</v>
      </c>
      <c r="K148" s="4">
        <v>0</v>
      </c>
      <c r="L148" s="4">
        <v>0</v>
      </c>
      <c r="M148" s="4">
        <v>0</v>
      </c>
      <c r="N148" s="4">
        <v>0</v>
      </c>
      <c r="O148" s="4">
        <v>0</v>
      </c>
    </row>
    <row r="149" spans="1:15" x14ac:dyDescent="0.15">
      <c r="A149" s="4">
        <v>146</v>
      </c>
      <c r="B149" s="4">
        <v>59</v>
      </c>
      <c r="C149" s="4">
        <v>35</v>
      </c>
      <c r="D149" s="4">
        <v>124</v>
      </c>
      <c r="E149" s="4">
        <v>1</v>
      </c>
      <c r="F149" s="8">
        <v>7.4</v>
      </c>
      <c r="G149" s="4">
        <v>1</v>
      </c>
      <c r="H149" s="4">
        <f t="shared" si="4"/>
        <v>1</v>
      </c>
      <c r="I149" s="4">
        <f t="shared" si="5"/>
        <v>0</v>
      </c>
      <c r="J149" s="4">
        <v>0</v>
      </c>
      <c r="K149" s="4">
        <v>0</v>
      </c>
      <c r="L149" s="4">
        <v>0</v>
      </c>
      <c r="M149" s="4">
        <v>0</v>
      </c>
      <c r="N149" s="4">
        <v>1</v>
      </c>
      <c r="O149" s="4">
        <v>0</v>
      </c>
    </row>
    <row r="150" spans="1:15" x14ac:dyDescent="0.15">
      <c r="A150" s="4">
        <v>147</v>
      </c>
      <c r="B150" s="4">
        <v>46</v>
      </c>
      <c r="C150" s="4">
        <v>19</v>
      </c>
      <c r="D150" s="4">
        <v>84</v>
      </c>
      <c r="E150" s="4">
        <v>1</v>
      </c>
      <c r="F150" s="8">
        <v>2.6666666666666665</v>
      </c>
      <c r="G150" s="4">
        <v>2</v>
      </c>
      <c r="H150" s="4">
        <f t="shared" si="4"/>
        <v>0</v>
      </c>
      <c r="I150" s="4">
        <f t="shared" si="5"/>
        <v>1</v>
      </c>
      <c r="J150" s="4">
        <v>0</v>
      </c>
      <c r="K150" s="4">
        <v>0</v>
      </c>
      <c r="L150" s="4">
        <v>0</v>
      </c>
      <c r="M150" s="4">
        <v>1</v>
      </c>
      <c r="N150" s="4">
        <v>1</v>
      </c>
      <c r="O150" s="4">
        <v>0</v>
      </c>
    </row>
    <row r="151" spans="1:15" x14ac:dyDescent="0.15">
      <c r="A151" s="4">
        <v>148</v>
      </c>
      <c r="B151" s="4">
        <v>50</v>
      </c>
      <c r="C151" s="4">
        <v>25</v>
      </c>
      <c r="D151" s="4">
        <v>83</v>
      </c>
      <c r="E151" s="4">
        <v>4</v>
      </c>
      <c r="F151" s="8">
        <v>3.6</v>
      </c>
      <c r="G151" s="4">
        <v>3</v>
      </c>
      <c r="H151" s="4">
        <f t="shared" si="4"/>
        <v>0</v>
      </c>
      <c r="I151" s="4">
        <f t="shared" si="5"/>
        <v>0</v>
      </c>
      <c r="J151" s="4">
        <v>188</v>
      </c>
      <c r="K151" s="4">
        <v>0</v>
      </c>
      <c r="L151" s="4">
        <v>0</v>
      </c>
      <c r="M151" s="4">
        <v>1</v>
      </c>
      <c r="N151" s="4">
        <v>0</v>
      </c>
      <c r="O151" s="4">
        <v>0</v>
      </c>
    </row>
    <row r="152" spans="1:15" x14ac:dyDescent="0.15">
      <c r="A152" s="4">
        <v>149</v>
      </c>
      <c r="B152" s="4">
        <v>52</v>
      </c>
      <c r="C152" s="4">
        <v>28</v>
      </c>
      <c r="D152" s="4">
        <v>163</v>
      </c>
      <c r="E152" s="4">
        <v>2</v>
      </c>
      <c r="F152" s="8">
        <v>0.4</v>
      </c>
      <c r="G152" s="4">
        <v>1</v>
      </c>
      <c r="H152" s="4">
        <f t="shared" si="4"/>
        <v>1</v>
      </c>
      <c r="I152" s="4">
        <f t="shared" si="5"/>
        <v>0</v>
      </c>
      <c r="J152" s="4">
        <v>116</v>
      </c>
      <c r="K152" s="4">
        <v>0</v>
      </c>
      <c r="L152" s="4">
        <v>0</v>
      </c>
      <c r="M152" s="4">
        <v>1</v>
      </c>
      <c r="N152" s="4">
        <v>0</v>
      </c>
      <c r="O152" s="4">
        <v>0</v>
      </c>
    </row>
    <row r="153" spans="1:15" x14ac:dyDescent="0.15">
      <c r="A153" s="4">
        <v>150</v>
      </c>
      <c r="B153" s="4">
        <v>48</v>
      </c>
      <c r="C153" s="4">
        <v>22</v>
      </c>
      <c r="D153" s="4">
        <v>42</v>
      </c>
      <c r="E153" s="4">
        <v>3</v>
      </c>
      <c r="F153" s="8">
        <v>2.2000000000000002</v>
      </c>
      <c r="G153" s="4">
        <v>2</v>
      </c>
      <c r="H153" s="4">
        <f t="shared" si="4"/>
        <v>0</v>
      </c>
      <c r="I153" s="4">
        <f t="shared" si="5"/>
        <v>1</v>
      </c>
      <c r="J153" s="4">
        <v>0</v>
      </c>
      <c r="K153" s="4">
        <v>0</v>
      </c>
      <c r="L153" s="4">
        <v>0</v>
      </c>
      <c r="M153" s="4">
        <v>0</v>
      </c>
      <c r="N153" s="4">
        <v>0</v>
      </c>
      <c r="O153" s="4">
        <v>0</v>
      </c>
    </row>
    <row r="154" spans="1:15" x14ac:dyDescent="0.15">
      <c r="A154" s="4">
        <v>151</v>
      </c>
      <c r="B154" s="4">
        <v>46</v>
      </c>
      <c r="C154" s="4">
        <v>22</v>
      </c>
      <c r="D154" s="4">
        <v>118</v>
      </c>
      <c r="E154" s="4">
        <v>2</v>
      </c>
      <c r="F154" s="8">
        <v>7.5</v>
      </c>
      <c r="G154" s="4">
        <v>1</v>
      </c>
      <c r="H154" s="4">
        <f t="shared" si="4"/>
        <v>1</v>
      </c>
      <c r="I154" s="4">
        <f t="shared" si="5"/>
        <v>0</v>
      </c>
      <c r="J154" s="4">
        <v>0</v>
      </c>
      <c r="K154" s="4">
        <v>0</v>
      </c>
      <c r="L154" s="4">
        <v>1</v>
      </c>
      <c r="M154" s="4">
        <v>1</v>
      </c>
      <c r="N154" s="4">
        <v>1</v>
      </c>
      <c r="O154" s="4">
        <v>0</v>
      </c>
    </row>
    <row r="155" spans="1:15" x14ac:dyDescent="0.15">
      <c r="A155" s="4">
        <v>152</v>
      </c>
      <c r="B155" s="4">
        <v>26</v>
      </c>
      <c r="C155" s="4">
        <v>0</v>
      </c>
      <c r="D155" s="4">
        <v>132</v>
      </c>
      <c r="E155" s="4">
        <v>3</v>
      </c>
      <c r="F155" s="8">
        <v>6.5</v>
      </c>
      <c r="G155" s="4">
        <v>3</v>
      </c>
      <c r="H155" s="4">
        <f t="shared" si="4"/>
        <v>0</v>
      </c>
      <c r="I155" s="4">
        <f t="shared" si="5"/>
        <v>0</v>
      </c>
      <c r="J155" s="4">
        <v>0</v>
      </c>
      <c r="K155" s="4">
        <v>0</v>
      </c>
      <c r="L155" s="4">
        <v>0</v>
      </c>
      <c r="M155" s="4">
        <v>0</v>
      </c>
      <c r="N155" s="4">
        <v>1</v>
      </c>
      <c r="O155" s="4">
        <v>1</v>
      </c>
    </row>
    <row r="156" spans="1:15" x14ac:dyDescent="0.15">
      <c r="A156" s="4">
        <v>153</v>
      </c>
      <c r="B156" s="4">
        <v>57</v>
      </c>
      <c r="C156" s="4">
        <v>32</v>
      </c>
      <c r="D156" s="4">
        <v>24</v>
      </c>
      <c r="E156" s="4">
        <v>1</v>
      </c>
      <c r="F156" s="8">
        <v>1.3</v>
      </c>
      <c r="G156" s="4">
        <v>1</v>
      </c>
      <c r="H156" s="4">
        <f t="shared" si="4"/>
        <v>1</v>
      </c>
      <c r="I156" s="4">
        <f t="shared" si="5"/>
        <v>0</v>
      </c>
      <c r="J156" s="4">
        <v>0</v>
      </c>
      <c r="K156" s="4">
        <v>0</v>
      </c>
      <c r="L156" s="4">
        <v>0</v>
      </c>
      <c r="M156" s="4">
        <v>1</v>
      </c>
      <c r="N156" s="4">
        <v>1</v>
      </c>
      <c r="O156" s="4">
        <v>0</v>
      </c>
    </row>
    <row r="157" spans="1:15" x14ac:dyDescent="0.15">
      <c r="A157" s="4">
        <v>154</v>
      </c>
      <c r="B157" s="4">
        <v>60</v>
      </c>
      <c r="C157" s="4">
        <v>36</v>
      </c>
      <c r="D157" s="4">
        <v>22</v>
      </c>
      <c r="E157" s="4">
        <v>2</v>
      </c>
      <c r="F157" s="8">
        <v>1</v>
      </c>
      <c r="G157" s="4">
        <v>1</v>
      </c>
      <c r="H157" s="4">
        <f t="shared" si="4"/>
        <v>1</v>
      </c>
      <c r="I157" s="4">
        <f t="shared" si="5"/>
        <v>0</v>
      </c>
      <c r="J157" s="4">
        <v>0</v>
      </c>
      <c r="K157" s="4">
        <v>1</v>
      </c>
      <c r="L157" s="4">
        <v>1</v>
      </c>
      <c r="M157" s="4">
        <v>1</v>
      </c>
      <c r="N157" s="4">
        <v>1</v>
      </c>
      <c r="O157" s="4">
        <v>0</v>
      </c>
    </row>
    <row r="158" spans="1:15" x14ac:dyDescent="0.15">
      <c r="A158" s="4">
        <v>155</v>
      </c>
      <c r="B158" s="4">
        <v>54</v>
      </c>
      <c r="C158" s="4">
        <v>29</v>
      </c>
      <c r="D158" s="4">
        <v>58</v>
      </c>
      <c r="E158" s="4">
        <v>4</v>
      </c>
      <c r="F158" s="8">
        <v>1.3</v>
      </c>
      <c r="G158" s="4">
        <v>3</v>
      </c>
      <c r="H158" s="4">
        <f t="shared" si="4"/>
        <v>0</v>
      </c>
      <c r="I158" s="4">
        <f t="shared" si="5"/>
        <v>0</v>
      </c>
      <c r="J158" s="4">
        <v>0</v>
      </c>
      <c r="K158" s="4">
        <v>0</v>
      </c>
      <c r="L158" s="4">
        <v>0</v>
      </c>
      <c r="M158" s="4">
        <v>0</v>
      </c>
      <c r="N158" s="4">
        <v>0</v>
      </c>
      <c r="O158" s="4">
        <v>0</v>
      </c>
    </row>
    <row r="159" spans="1:15" x14ac:dyDescent="0.15">
      <c r="A159" s="4">
        <v>156</v>
      </c>
      <c r="B159" s="4">
        <v>24</v>
      </c>
      <c r="C159" s="4">
        <v>0</v>
      </c>
      <c r="D159" s="4">
        <v>60</v>
      </c>
      <c r="E159" s="4">
        <v>4</v>
      </c>
      <c r="F159" s="8">
        <v>1.6</v>
      </c>
      <c r="G159" s="4">
        <v>1</v>
      </c>
      <c r="H159" s="4">
        <f t="shared" si="4"/>
        <v>1</v>
      </c>
      <c r="I159" s="4">
        <f t="shared" si="5"/>
        <v>0</v>
      </c>
      <c r="J159" s="4">
        <v>0</v>
      </c>
      <c r="K159" s="4">
        <v>0</v>
      </c>
      <c r="L159" s="4">
        <v>0</v>
      </c>
      <c r="M159" s="4">
        <v>1</v>
      </c>
      <c r="N159" s="4">
        <v>0</v>
      </c>
      <c r="O159" s="4">
        <v>0</v>
      </c>
    </row>
    <row r="160" spans="1:15" x14ac:dyDescent="0.15">
      <c r="A160" s="4">
        <v>157</v>
      </c>
      <c r="B160" s="4">
        <v>26</v>
      </c>
      <c r="C160" s="4">
        <v>0</v>
      </c>
      <c r="D160" s="4">
        <v>15</v>
      </c>
      <c r="E160" s="4">
        <v>4</v>
      </c>
      <c r="F160" s="8">
        <v>0.4</v>
      </c>
      <c r="G160" s="4">
        <v>1</v>
      </c>
      <c r="H160" s="4">
        <f t="shared" si="4"/>
        <v>1</v>
      </c>
      <c r="I160" s="4">
        <f t="shared" si="5"/>
        <v>0</v>
      </c>
      <c r="J160" s="4">
        <v>0</v>
      </c>
      <c r="K160" s="4">
        <v>0</v>
      </c>
      <c r="L160" s="4">
        <v>0</v>
      </c>
      <c r="M160" s="4">
        <v>0</v>
      </c>
      <c r="N160" s="4">
        <v>1</v>
      </c>
      <c r="O160" s="4">
        <v>0</v>
      </c>
    </row>
    <row r="161" spans="1:15" x14ac:dyDescent="0.15">
      <c r="A161" s="4">
        <v>158</v>
      </c>
      <c r="B161" s="4">
        <v>41</v>
      </c>
      <c r="C161" s="4">
        <v>17</v>
      </c>
      <c r="D161" s="4">
        <v>83</v>
      </c>
      <c r="E161" s="4">
        <v>4</v>
      </c>
      <c r="F161" s="8">
        <v>2.6666666666666665</v>
      </c>
      <c r="G161" s="4">
        <v>1</v>
      </c>
      <c r="H161" s="4">
        <f t="shared" si="4"/>
        <v>1</v>
      </c>
      <c r="I161" s="4">
        <f t="shared" si="5"/>
        <v>0</v>
      </c>
      <c r="J161" s="4">
        <v>0</v>
      </c>
      <c r="K161" s="4">
        <v>0</v>
      </c>
      <c r="L161" s="4">
        <v>0</v>
      </c>
      <c r="M161" s="4">
        <v>1</v>
      </c>
      <c r="N161" s="4">
        <v>1</v>
      </c>
      <c r="O161" s="4">
        <v>0</v>
      </c>
    </row>
    <row r="162" spans="1:15" x14ac:dyDescent="0.15">
      <c r="A162" s="4">
        <v>159</v>
      </c>
      <c r="B162" s="4">
        <v>32</v>
      </c>
      <c r="C162" s="4">
        <v>6</v>
      </c>
      <c r="D162" s="4">
        <v>79</v>
      </c>
      <c r="E162" s="4">
        <v>2</v>
      </c>
      <c r="F162" s="8">
        <v>1.5</v>
      </c>
      <c r="G162" s="4">
        <v>3</v>
      </c>
      <c r="H162" s="4">
        <f t="shared" si="4"/>
        <v>0</v>
      </c>
      <c r="I162" s="4">
        <f t="shared" si="5"/>
        <v>0</v>
      </c>
      <c r="J162" s="4">
        <v>0</v>
      </c>
      <c r="K162" s="4">
        <v>0</v>
      </c>
      <c r="L162" s="4">
        <v>0</v>
      </c>
      <c r="M162" s="4">
        <v>1</v>
      </c>
      <c r="N162" s="4">
        <v>1</v>
      </c>
      <c r="O162" s="4">
        <v>0</v>
      </c>
    </row>
    <row r="163" spans="1:15" x14ac:dyDescent="0.15">
      <c r="A163" s="4">
        <v>160</v>
      </c>
      <c r="B163" s="4">
        <v>61</v>
      </c>
      <c r="C163" s="4">
        <v>35</v>
      </c>
      <c r="D163" s="4">
        <v>41</v>
      </c>
      <c r="E163" s="4">
        <v>4</v>
      </c>
      <c r="F163" s="8">
        <v>1.7</v>
      </c>
      <c r="G163" s="4">
        <v>2</v>
      </c>
      <c r="H163" s="4">
        <f t="shared" si="4"/>
        <v>0</v>
      </c>
      <c r="I163" s="4">
        <f t="shared" si="5"/>
        <v>1</v>
      </c>
      <c r="J163" s="4">
        <v>0</v>
      </c>
      <c r="K163" s="4">
        <v>1</v>
      </c>
      <c r="L163" s="4">
        <v>0</v>
      </c>
      <c r="M163" s="4">
        <v>1</v>
      </c>
      <c r="N163" s="4">
        <v>0</v>
      </c>
      <c r="O163" s="4">
        <v>0</v>
      </c>
    </row>
    <row r="164" spans="1:15" x14ac:dyDescent="0.15">
      <c r="A164" s="4">
        <v>161</v>
      </c>
      <c r="B164" s="4">
        <v>29</v>
      </c>
      <c r="C164" s="4">
        <v>0</v>
      </c>
      <c r="D164" s="4">
        <v>134</v>
      </c>
      <c r="E164" s="4">
        <v>4</v>
      </c>
      <c r="F164" s="8">
        <v>6.5</v>
      </c>
      <c r="G164" s="4">
        <v>3</v>
      </c>
      <c r="H164" s="4">
        <f t="shared" si="4"/>
        <v>0</v>
      </c>
      <c r="I164" s="4">
        <f t="shared" si="5"/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1</v>
      </c>
    </row>
    <row r="165" spans="1:15" x14ac:dyDescent="0.15">
      <c r="A165" s="4">
        <v>162</v>
      </c>
      <c r="B165" s="4">
        <v>61</v>
      </c>
      <c r="C165" s="4">
        <v>35</v>
      </c>
      <c r="D165" s="4">
        <v>80</v>
      </c>
      <c r="E165" s="4">
        <v>2</v>
      </c>
      <c r="F165" s="8">
        <v>2.8</v>
      </c>
      <c r="G165" s="4">
        <v>1</v>
      </c>
      <c r="H165" s="4">
        <f t="shared" si="4"/>
        <v>1</v>
      </c>
      <c r="I165" s="4">
        <f t="shared" si="5"/>
        <v>0</v>
      </c>
      <c r="J165" s="4">
        <v>0</v>
      </c>
      <c r="K165" s="4">
        <v>0</v>
      </c>
      <c r="L165" s="4">
        <v>0</v>
      </c>
      <c r="M165" s="4">
        <v>1</v>
      </c>
      <c r="N165" s="4">
        <v>0</v>
      </c>
      <c r="O165" s="4">
        <v>0</v>
      </c>
    </row>
    <row r="166" spans="1:15" x14ac:dyDescent="0.15">
      <c r="A166" s="4">
        <v>163</v>
      </c>
      <c r="B166" s="4">
        <v>38</v>
      </c>
      <c r="C166" s="4">
        <v>12</v>
      </c>
      <c r="D166" s="4">
        <v>52</v>
      </c>
      <c r="E166" s="4">
        <v>1</v>
      </c>
      <c r="F166" s="8">
        <v>2</v>
      </c>
      <c r="G166" s="4">
        <v>1</v>
      </c>
      <c r="H166" s="4">
        <f t="shared" si="4"/>
        <v>1</v>
      </c>
      <c r="I166" s="4">
        <f t="shared" si="5"/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</row>
    <row r="167" spans="1:15" x14ac:dyDescent="0.15">
      <c r="A167" s="4">
        <v>164</v>
      </c>
      <c r="B167" s="4">
        <v>28</v>
      </c>
      <c r="C167" s="4">
        <v>4</v>
      </c>
      <c r="D167" s="4">
        <v>70</v>
      </c>
      <c r="E167" s="4">
        <v>4</v>
      </c>
      <c r="F167" s="8">
        <v>2.6</v>
      </c>
      <c r="G167" s="4">
        <v>1</v>
      </c>
      <c r="H167" s="4">
        <f t="shared" si="4"/>
        <v>1</v>
      </c>
      <c r="I167" s="4">
        <f t="shared" si="5"/>
        <v>0</v>
      </c>
      <c r="J167" s="4">
        <v>0</v>
      </c>
      <c r="K167" s="4">
        <v>0</v>
      </c>
      <c r="L167" s="4">
        <v>0</v>
      </c>
      <c r="M167" s="4">
        <v>1</v>
      </c>
      <c r="N167" s="4">
        <v>0</v>
      </c>
      <c r="O167" s="4">
        <v>0</v>
      </c>
    </row>
    <row r="168" spans="1:15" x14ac:dyDescent="0.15">
      <c r="A168" s="4">
        <v>165</v>
      </c>
      <c r="B168" s="4">
        <v>53</v>
      </c>
      <c r="C168" s="4">
        <v>27</v>
      </c>
      <c r="D168" s="4">
        <v>92</v>
      </c>
      <c r="E168" s="4">
        <v>2</v>
      </c>
      <c r="F168" s="8">
        <v>1.1000000000000001</v>
      </c>
      <c r="G168" s="4">
        <v>1</v>
      </c>
      <c r="H168" s="4">
        <f t="shared" si="4"/>
        <v>1</v>
      </c>
      <c r="I168" s="4">
        <f t="shared" si="5"/>
        <v>0</v>
      </c>
      <c r="J168" s="4">
        <v>0</v>
      </c>
      <c r="K168" s="4">
        <v>1</v>
      </c>
      <c r="L168" s="4">
        <v>0</v>
      </c>
      <c r="M168" s="4">
        <v>0</v>
      </c>
      <c r="N168" s="4">
        <v>0</v>
      </c>
      <c r="O168" s="4">
        <v>0</v>
      </c>
    </row>
    <row r="169" spans="1:15" x14ac:dyDescent="0.15">
      <c r="A169" s="4">
        <v>166</v>
      </c>
      <c r="B169" s="4">
        <v>27</v>
      </c>
      <c r="C169" s="4">
        <v>1</v>
      </c>
      <c r="D169" s="4">
        <v>43</v>
      </c>
      <c r="E169" s="4">
        <v>1</v>
      </c>
      <c r="F169" s="8">
        <v>1.5</v>
      </c>
      <c r="G169" s="4">
        <v>1</v>
      </c>
      <c r="H169" s="4">
        <f t="shared" si="4"/>
        <v>1</v>
      </c>
      <c r="I169" s="4">
        <f t="shared" si="5"/>
        <v>0</v>
      </c>
      <c r="J169" s="4">
        <v>0</v>
      </c>
      <c r="K169" s="4">
        <v>0</v>
      </c>
      <c r="L169" s="4">
        <v>0</v>
      </c>
      <c r="M169" s="4">
        <v>1</v>
      </c>
      <c r="N169" s="4">
        <v>0</v>
      </c>
      <c r="O169" s="4">
        <v>0</v>
      </c>
    </row>
    <row r="170" spans="1:15" x14ac:dyDescent="0.15">
      <c r="A170" s="4">
        <v>167</v>
      </c>
      <c r="B170" s="4">
        <v>25</v>
      </c>
      <c r="C170" s="4">
        <v>1</v>
      </c>
      <c r="D170" s="4">
        <v>21</v>
      </c>
      <c r="E170" s="4">
        <v>3</v>
      </c>
      <c r="F170" s="8">
        <v>1</v>
      </c>
      <c r="G170" s="4">
        <v>2</v>
      </c>
      <c r="H170" s="4">
        <f t="shared" si="4"/>
        <v>0</v>
      </c>
      <c r="I170" s="4">
        <f t="shared" si="5"/>
        <v>1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</row>
    <row r="171" spans="1:15" x14ac:dyDescent="0.15">
      <c r="A171" s="4">
        <v>168</v>
      </c>
      <c r="B171" s="4">
        <v>33</v>
      </c>
      <c r="C171" s="4">
        <v>9</v>
      </c>
      <c r="D171" s="4">
        <v>23</v>
      </c>
      <c r="E171" s="4">
        <v>3</v>
      </c>
      <c r="F171" s="8">
        <v>0.9</v>
      </c>
      <c r="G171" s="4">
        <v>3</v>
      </c>
      <c r="H171" s="4">
        <f t="shared" si="4"/>
        <v>0</v>
      </c>
      <c r="I171" s="4">
        <f t="shared" si="5"/>
        <v>0</v>
      </c>
      <c r="J171" s="4">
        <v>0</v>
      </c>
      <c r="K171" s="4">
        <v>0</v>
      </c>
      <c r="L171" s="4">
        <v>0</v>
      </c>
      <c r="M171" s="4">
        <v>1</v>
      </c>
      <c r="N171" s="4">
        <v>1</v>
      </c>
      <c r="O171" s="4">
        <v>0</v>
      </c>
    </row>
    <row r="172" spans="1:15" x14ac:dyDescent="0.15">
      <c r="A172" s="4">
        <v>169</v>
      </c>
      <c r="B172" s="4">
        <v>50</v>
      </c>
      <c r="C172" s="4">
        <v>26</v>
      </c>
      <c r="D172" s="4">
        <v>13</v>
      </c>
      <c r="E172" s="4">
        <v>4</v>
      </c>
      <c r="F172" s="8">
        <v>1</v>
      </c>
      <c r="G172" s="4">
        <v>1</v>
      </c>
      <c r="H172" s="4">
        <f t="shared" si="4"/>
        <v>1</v>
      </c>
      <c r="I172" s="4">
        <f t="shared" si="5"/>
        <v>0</v>
      </c>
      <c r="J172" s="4">
        <v>0</v>
      </c>
      <c r="K172" s="4">
        <v>0</v>
      </c>
      <c r="L172" s="4">
        <v>0</v>
      </c>
      <c r="M172" s="4">
        <v>1</v>
      </c>
      <c r="N172" s="4">
        <v>0</v>
      </c>
      <c r="O172" s="4">
        <v>0</v>
      </c>
    </row>
    <row r="173" spans="1:15" x14ac:dyDescent="0.15">
      <c r="A173" s="4">
        <v>170</v>
      </c>
      <c r="B173" s="4">
        <v>27</v>
      </c>
      <c r="C173" s="4">
        <v>1</v>
      </c>
      <c r="D173" s="4">
        <v>112</v>
      </c>
      <c r="E173" s="4">
        <v>4</v>
      </c>
      <c r="F173" s="8">
        <v>2.1</v>
      </c>
      <c r="G173" s="4">
        <v>3</v>
      </c>
      <c r="H173" s="4">
        <f t="shared" si="4"/>
        <v>0</v>
      </c>
      <c r="I173" s="4">
        <f t="shared" si="5"/>
        <v>0</v>
      </c>
      <c r="J173" s="4">
        <v>0</v>
      </c>
      <c r="K173" s="4">
        <v>0</v>
      </c>
      <c r="L173" s="4">
        <v>0</v>
      </c>
      <c r="M173" s="4">
        <v>0</v>
      </c>
      <c r="N173" s="4">
        <v>1</v>
      </c>
      <c r="O173" s="4">
        <v>0</v>
      </c>
    </row>
    <row r="174" spans="1:15" x14ac:dyDescent="0.15">
      <c r="A174" s="4">
        <v>171</v>
      </c>
      <c r="B174" s="4">
        <v>27</v>
      </c>
      <c r="C174" s="4">
        <v>1</v>
      </c>
      <c r="D174" s="4">
        <v>138</v>
      </c>
      <c r="E174" s="4">
        <v>2</v>
      </c>
      <c r="F174" s="8">
        <v>2</v>
      </c>
      <c r="G174" s="4">
        <v>1</v>
      </c>
      <c r="H174" s="4">
        <f t="shared" si="4"/>
        <v>1</v>
      </c>
      <c r="I174" s="4">
        <f t="shared" si="5"/>
        <v>0</v>
      </c>
      <c r="J174" s="4">
        <v>0</v>
      </c>
      <c r="K174" s="4">
        <v>0</v>
      </c>
      <c r="L174" s="4">
        <v>0</v>
      </c>
      <c r="M174" s="4">
        <v>1</v>
      </c>
      <c r="N174" s="4">
        <v>0</v>
      </c>
      <c r="O174" s="4">
        <v>0</v>
      </c>
    </row>
    <row r="175" spans="1:15" x14ac:dyDescent="0.15">
      <c r="A175" s="4">
        <v>172</v>
      </c>
      <c r="B175" s="4">
        <v>52</v>
      </c>
      <c r="C175" s="4">
        <v>28</v>
      </c>
      <c r="D175" s="4">
        <v>11</v>
      </c>
      <c r="E175" s="4">
        <v>3</v>
      </c>
      <c r="F175" s="8">
        <v>0.4</v>
      </c>
      <c r="G175" s="4">
        <v>1</v>
      </c>
      <c r="H175" s="4">
        <f t="shared" si="4"/>
        <v>1</v>
      </c>
      <c r="I175" s="4">
        <f t="shared" si="5"/>
        <v>0</v>
      </c>
      <c r="J175" s="4">
        <v>0</v>
      </c>
      <c r="K175" s="4">
        <v>1</v>
      </c>
      <c r="L175" s="4">
        <v>0</v>
      </c>
      <c r="M175" s="4">
        <v>0</v>
      </c>
      <c r="N175" s="4">
        <v>0</v>
      </c>
      <c r="O175" s="4">
        <v>0</v>
      </c>
    </row>
    <row r="176" spans="1:15" x14ac:dyDescent="0.15">
      <c r="A176" s="4">
        <v>173</v>
      </c>
      <c r="B176" s="4">
        <v>38</v>
      </c>
      <c r="C176" s="4">
        <v>13</v>
      </c>
      <c r="D176" s="4">
        <v>171</v>
      </c>
      <c r="E176" s="4">
        <v>2</v>
      </c>
      <c r="F176" s="8">
        <v>7.8</v>
      </c>
      <c r="G176" s="4">
        <v>1</v>
      </c>
      <c r="H176" s="4">
        <f t="shared" si="4"/>
        <v>1</v>
      </c>
      <c r="I176" s="4">
        <f t="shared" si="5"/>
        <v>0</v>
      </c>
      <c r="J176" s="4">
        <v>0</v>
      </c>
      <c r="K176" s="4">
        <v>0</v>
      </c>
      <c r="L176" s="4">
        <v>0</v>
      </c>
      <c r="M176" s="4">
        <v>1</v>
      </c>
      <c r="N176" s="4">
        <v>0</v>
      </c>
      <c r="O176" s="4">
        <v>0</v>
      </c>
    </row>
    <row r="177" spans="1:15" x14ac:dyDescent="0.15">
      <c r="A177" s="4">
        <v>174</v>
      </c>
      <c r="B177" s="4">
        <v>58</v>
      </c>
      <c r="C177" s="4">
        <v>34</v>
      </c>
      <c r="D177" s="4">
        <v>42</v>
      </c>
      <c r="E177" s="4">
        <v>4</v>
      </c>
      <c r="F177" s="8">
        <v>1.5</v>
      </c>
      <c r="G177" s="4">
        <v>1</v>
      </c>
      <c r="H177" s="4">
        <f t="shared" si="4"/>
        <v>1</v>
      </c>
      <c r="I177" s="4">
        <f t="shared" si="5"/>
        <v>0</v>
      </c>
      <c r="J177" s="4">
        <v>0</v>
      </c>
      <c r="K177" s="4">
        <v>0</v>
      </c>
      <c r="L177" s="4">
        <v>0</v>
      </c>
      <c r="M177" s="4">
        <v>1</v>
      </c>
      <c r="N177" s="4">
        <v>1</v>
      </c>
      <c r="O177" s="4">
        <v>0</v>
      </c>
    </row>
    <row r="178" spans="1:15" x14ac:dyDescent="0.15">
      <c r="A178" s="4">
        <v>175</v>
      </c>
      <c r="B178" s="4">
        <v>42</v>
      </c>
      <c r="C178" s="4">
        <v>17</v>
      </c>
      <c r="D178" s="4">
        <v>168</v>
      </c>
      <c r="E178" s="4">
        <v>2</v>
      </c>
      <c r="F178" s="8">
        <v>7.9</v>
      </c>
      <c r="G178" s="4">
        <v>2</v>
      </c>
      <c r="H178" s="4">
        <f t="shared" si="4"/>
        <v>0</v>
      </c>
      <c r="I178" s="4">
        <f t="shared" si="5"/>
        <v>1</v>
      </c>
      <c r="J178" s="4">
        <v>0</v>
      </c>
      <c r="K178" s="4">
        <v>0</v>
      </c>
      <c r="L178" s="4">
        <v>0</v>
      </c>
      <c r="M178" s="4">
        <v>1</v>
      </c>
      <c r="N178" s="4">
        <v>0</v>
      </c>
      <c r="O178" s="4">
        <v>1</v>
      </c>
    </row>
    <row r="179" spans="1:15" x14ac:dyDescent="0.15">
      <c r="A179" s="4">
        <v>176</v>
      </c>
      <c r="B179" s="4">
        <v>45</v>
      </c>
      <c r="C179" s="4">
        <v>20</v>
      </c>
      <c r="D179" s="4">
        <v>85</v>
      </c>
      <c r="E179" s="4">
        <v>4</v>
      </c>
      <c r="F179" s="8">
        <v>1.1000000000000001</v>
      </c>
      <c r="G179" s="4">
        <v>2</v>
      </c>
      <c r="H179" s="4">
        <f t="shared" si="4"/>
        <v>0</v>
      </c>
      <c r="I179" s="4">
        <f t="shared" si="5"/>
        <v>1</v>
      </c>
      <c r="J179" s="4">
        <v>0</v>
      </c>
      <c r="K179" s="4">
        <v>1</v>
      </c>
      <c r="L179" s="4">
        <v>0</v>
      </c>
      <c r="M179" s="4">
        <v>1</v>
      </c>
      <c r="N179" s="4">
        <v>0</v>
      </c>
      <c r="O179" s="4">
        <v>0</v>
      </c>
    </row>
    <row r="180" spans="1:15" x14ac:dyDescent="0.15">
      <c r="A180" s="4">
        <v>177</v>
      </c>
      <c r="B180" s="4">
        <v>52</v>
      </c>
      <c r="C180" s="4">
        <v>25</v>
      </c>
      <c r="D180" s="4">
        <v>44</v>
      </c>
      <c r="E180" s="4">
        <v>3</v>
      </c>
      <c r="F180" s="8">
        <v>1</v>
      </c>
      <c r="G180" s="4">
        <v>2</v>
      </c>
      <c r="H180" s="4">
        <f t="shared" si="4"/>
        <v>0</v>
      </c>
      <c r="I180" s="4">
        <f t="shared" si="5"/>
        <v>1</v>
      </c>
      <c r="J180" s="4">
        <v>135</v>
      </c>
      <c r="K180" s="4">
        <v>0</v>
      </c>
      <c r="L180" s="4">
        <v>0</v>
      </c>
      <c r="M180" s="4">
        <v>1</v>
      </c>
      <c r="N180" s="4">
        <v>0</v>
      </c>
      <c r="O180" s="4">
        <v>0</v>
      </c>
    </row>
    <row r="181" spans="1:15" x14ac:dyDescent="0.15">
      <c r="A181" s="4">
        <v>178</v>
      </c>
      <c r="B181" s="4">
        <v>29</v>
      </c>
      <c r="C181" s="4">
        <v>3</v>
      </c>
      <c r="D181" s="4">
        <v>65</v>
      </c>
      <c r="E181" s="4">
        <v>4</v>
      </c>
      <c r="F181" s="8">
        <v>1.8</v>
      </c>
      <c r="G181" s="4">
        <v>2</v>
      </c>
      <c r="H181" s="4">
        <f t="shared" si="4"/>
        <v>0</v>
      </c>
      <c r="I181" s="4">
        <f t="shared" si="5"/>
        <v>1</v>
      </c>
      <c r="J181" s="4">
        <v>244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</row>
    <row r="182" spans="1:15" x14ac:dyDescent="0.15">
      <c r="A182" s="4">
        <v>179</v>
      </c>
      <c r="B182" s="4">
        <v>53</v>
      </c>
      <c r="C182" s="4">
        <v>29</v>
      </c>
      <c r="D182" s="4">
        <v>24</v>
      </c>
      <c r="E182" s="4">
        <v>4</v>
      </c>
      <c r="F182" s="8">
        <v>0.2</v>
      </c>
      <c r="G182" s="4">
        <v>1</v>
      </c>
      <c r="H182" s="4">
        <f t="shared" si="4"/>
        <v>1</v>
      </c>
      <c r="I182" s="4">
        <f t="shared" si="5"/>
        <v>0</v>
      </c>
      <c r="J182" s="4">
        <v>0</v>
      </c>
      <c r="K182" s="4">
        <v>0</v>
      </c>
      <c r="L182" s="4">
        <v>0</v>
      </c>
      <c r="M182" s="4">
        <v>1</v>
      </c>
      <c r="N182" s="4">
        <v>1</v>
      </c>
      <c r="O182" s="4">
        <v>0</v>
      </c>
    </row>
    <row r="183" spans="1:15" x14ac:dyDescent="0.15">
      <c r="A183" s="4">
        <v>180</v>
      </c>
      <c r="B183" s="4">
        <v>62</v>
      </c>
      <c r="C183" s="4">
        <v>37</v>
      </c>
      <c r="D183" s="4">
        <v>11</v>
      </c>
      <c r="E183" s="4">
        <v>1</v>
      </c>
      <c r="F183" s="8">
        <v>0.1</v>
      </c>
      <c r="G183" s="4">
        <v>1</v>
      </c>
      <c r="H183" s="4">
        <f t="shared" si="4"/>
        <v>1</v>
      </c>
      <c r="I183" s="4">
        <f t="shared" si="5"/>
        <v>0</v>
      </c>
      <c r="J183" s="4">
        <v>0</v>
      </c>
      <c r="K183" s="4">
        <v>0</v>
      </c>
      <c r="L183" s="4">
        <v>0</v>
      </c>
      <c r="M183" s="4">
        <v>1</v>
      </c>
      <c r="N183" s="4">
        <v>0</v>
      </c>
      <c r="O183" s="4">
        <v>0</v>
      </c>
    </row>
    <row r="184" spans="1:15" x14ac:dyDescent="0.15">
      <c r="A184" s="4">
        <v>181</v>
      </c>
      <c r="B184" s="4">
        <v>51</v>
      </c>
      <c r="C184" s="4">
        <v>27</v>
      </c>
      <c r="D184" s="4">
        <v>38</v>
      </c>
      <c r="E184" s="4">
        <v>2</v>
      </c>
      <c r="F184" s="8">
        <v>1</v>
      </c>
      <c r="G184" s="4">
        <v>3</v>
      </c>
      <c r="H184" s="4">
        <f t="shared" si="4"/>
        <v>0</v>
      </c>
      <c r="I184" s="4">
        <f t="shared" si="5"/>
        <v>0</v>
      </c>
      <c r="J184" s="4">
        <v>164</v>
      </c>
      <c r="K184" s="4">
        <v>0</v>
      </c>
      <c r="L184" s="4">
        <v>0</v>
      </c>
      <c r="M184" s="4">
        <v>1</v>
      </c>
      <c r="N184" s="4">
        <v>0</v>
      </c>
      <c r="O184" s="4">
        <v>0</v>
      </c>
    </row>
    <row r="185" spans="1:15" x14ac:dyDescent="0.15">
      <c r="A185" s="4">
        <v>182</v>
      </c>
      <c r="B185" s="4">
        <v>36</v>
      </c>
      <c r="C185" s="4">
        <v>12</v>
      </c>
      <c r="D185" s="4">
        <v>10</v>
      </c>
      <c r="E185" s="4">
        <v>4</v>
      </c>
      <c r="F185" s="8">
        <v>0.7</v>
      </c>
      <c r="G185" s="4">
        <v>2</v>
      </c>
      <c r="H185" s="4">
        <f t="shared" si="4"/>
        <v>0</v>
      </c>
      <c r="I185" s="4">
        <f t="shared" si="5"/>
        <v>1</v>
      </c>
      <c r="J185" s="4">
        <v>81</v>
      </c>
      <c r="K185" s="4">
        <v>0</v>
      </c>
      <c r="L185" s="4">
        <v>0</v>
      </c>
      <c r="M185" s="4">
        <v>0</v>
      </c>
      <c r="N185" s="4">
        <v>0</v>
      </c>
      <c r="O185" s="4">
        <v>0</v>
      </c>
    </row>
    <row r="186" spans="1:15" x14ac:dyDescent="0.15">
      <c r="A186" s="4">
        <v>183</v>
      </c>
      <c r="B186" s="4">
        <v>24</v>
      </c>
      <c r="C186" s="4">
        <v>0</v>
      </c>
      <c r="D186" s="4">
        <v>135</v>
      </c>
      <c r="E186" s="4">
        <v>1</v>
      </c>
      <c r="F186" s="8">
        <v>1.5</v>
      </c>
      <c r="G186" s="4">
        <v>1</v>
      </c>
      <c r="H186" s="4">
        <f t="shared" si="4"/>
        <v>1</v>
      </c>
      <c r="I186" s="4">
        <f t="shared" si="5"/>
        <v>0</v>
      </c>
      <c r="J186" s="4">
        <v>0</v>
      </c>
      <c r="K186" s="4">
        <v>0</v>
      </c>
      <c r="L186" s="4">
        <v>0</v>
      </c>
      <c r="M186" s="4">
        <v>1</v>
      </c>
      <c r="N186" s="4">
        <v>0</v>
      </c>
      <c r="O186" s="4">
        <v>0</v>
      </c>
    </row>
    <row r="187" spans="1:15" x14ac:dyDescent="0.15">
      <c r="A187" s="4">
        <v>184</v>
      </c>
      <c r="B187" s="4">
        <v>29</v>
      </c>
      <c r="C187" s="4">
        <v>3</v>
      </c>
      <c r="D187" s="4">
        <v>148</v>
      </c>
      <c r="E187" s="4">
        <v>3</v>
      </c>
      <c r="F187" s="8">
        <v>4.0999999999999996</v>
      </c>
      <c r="G187" s="4">
        <v>1</v>
      </c>
      <c r="H187" s="4">
        <f t="shared" si="4"/>
        <v>1</v>
      </c>
      <c r="I187" s="4">
        <f t="shared" si="5"/>
        <v>0</v>
      </c>
      <c r="J187" s="4">
        <v>0</v>
      </c>
      <c r="K187" s="4">
        <v>0</v>
      </c>
      <c r="L187" s="4">
        <v>0</v>
      </c>
      <c r="M187" s="4">
        <v>1</v>
      </c>
      <c r="N187" s="4">
        <v>0</v>
      </c>
      <c r="O187" s="4">
        <v>1</v>
      </c>
    </row>
    <row r="188" spans="1:15" x14ac:dyDescent="0.15">
      <c r="A188" s="4">
        <v>185</v>
      </c>
      <c r="B188" s="4">
        <v>52</v>
      </c>
      <c r="C188" s="4">
        <v>26</v>
      </c>
      <c r="D188" s="4">
        <v>63</v>
      </c>
      <c r="E188" s="4">
        <v>2</v>
      </c>
      <c r="F188" s="8">
        <v>1.5</v>
      </c>
      <c r="G188" s="4">
        <v>2</v>
      </c>
      <c r="H188" s="4">
        <f t="shared" si="4"/>
        <v>0</v>
      </c>
      <c r="I188" s="4">
        <f t="shared" si="5"/>
        <v>1</v>
      </c>
      <c r="J188" s="4">
        <v>0</v>
      </c>
      <c r="K188" s="4">
        <v>1</v>
      </c>
      <c r="L188" s="4">
        <v>0</v>
      </c>
      <c r="M188" s="4">
        <v>1</v>
      </c>
      <c r="N188" s="4">
        <v>0</v>
      </c>
      <c r="O188" s="4">
        <v>0</v>
      </c>
    </row>
    <row r="189" spans="1:15" x14ac:dyDescent="0.15">
      <c r="A189" s="4">
        <v>186</v>
      </c>
      <c r="B189" s="4">
        <v>39</v>
      </c>
      <c r="C189" s="4">
        <v>14</v>
      </c>
      <c r="D189" s="4">
        <v>115</v>
      </c>
      <c r="E189" s="4">
        <v>1</v>
      </c>
      <c r="F189" s="8">
        <v>1</v>
      </c>
      <c r="G189" s="4">
        <v>3</v>
      </c>
      <c r="H189" s="4">
        <f t="shared" si="4"/>
        <v>0</v>
      </c>
      <c r="I189" s="4">
        <f t="shared" si="5"/>
        <v>0</v>
      </c>
      <c r="J189" s="4">
        <v>0</v>
      </c>
      <c r="K189" s="4">
        <v>0</v>
      </c>
      <c r="L189" s="4">
        <v>0</v>
      </c>
      <c r="M189" s="4">
        <v>1</v>
      </c>
      <c r="N189" s="4">
        <v>0</v>
      </c>
      <c r="O189" s="4">
        <v>0</v>
      </c>
    </row>
    <row r="190" spans="1:15" x14ac:dyDescent="0.15">
      <c r="A190" s="4">
        <v>187</v>
      </c>
      <c r="B190" s="4">
        <v>48</v>
      </c>
      <c r="C190" s="4">
        <v>23</v>
      </c>
      <c r="D190" s="4">
        <v>45</v>
      </c>
      <c r="E190" s="4">
        <v>1</v>
      </c>
      <c r="F190" s="8">
        <v>0.3</v>
      </c>
      <c r="G190" s="4">
        <v>1</v>
      </c>
      <c r="H190" s="4">
        <f t="shared" si="4"/>
        <v>1</v>
      </c>
      <c r="I190" s="4">
        <f t="shared" si="5"/>
        <v>0</v>
      </c>
      <c r="J190" s="4">
        <v>0</v>
      </c>
      <c r="K190" s="4">
        <v>0</v>
      </c>
      <c r="L190" s="4">
        <v>0</v>
      </c>
      <c r="M190" s="4">
        <v>1</v>
      </c>
      <c r="N190" s="4">
        <v>1</v>
      </c>
      <c r="O190" s="4">
        <v>0</v>
      </c>
    </row>
    <row r="191" spans="1:15" x14ac:dyDescent="0.15">
      <c r="A191" s="4">
        <v>188</v>
      </c>
      <c r="B191" s="4">
        <v>46</v>
      </c>
      <c r="C191" s="4">
        <v>21</v>
      </c>
      <c r="D191" s="4">
        <v>159</v>
      </c>
      <c r="E191" s="4">
        <v>3</v>
      </c>
      <c r="F191" s="8">
        <v>1.9</v>
      </c>
      <c r="G191" s="4">
        <v>3</v>
      </c>
      <c r="H191" s="4">
        <f t="shared" si="4"/>
        <v>0</v>
      </c>
      <c r="I191" s="4">
        <f t="shared" si="5"/>
        <v>0</v>
      </c>
      <c r="J191" s="4">
        <v>315</v>
      </c>
      <c r="K191" s="4">
        <v>0</v>
      </c>
      <c r="L191" s="4">
        <v>0</v>
      </c>
      <c r="M191" s="4">
        <v>1</v>
      </c>
      <c r="N191" s="4">
        <v>0</v>
      </c>
      <c r="O191" s="4">
        <v>1</v>
      </c>
    </row>
    <row r="192" spans="1:15" x14ac:dyDescent="0.15">
      <c r="A192" s="4">
        <v>189</v>
      </c>
      <c r="B192" s="4">
        <v>64</v>
      </c>
      <c r="C192" s="4">
        <v>40</v>
      </c>
      <c r="D192" s="4">
        <v>169</v>
      </c>
      <c r="E192" s="4">
        <v>2</v>
      </c>
      <c r="F192" s="8">
        <v>2.1</v>
      </c>
      <c r="G192" s="4">
        <v>1</v>
      </c>
      <c r="H192" s="4">
        <f t="shared" si="4"/>
        <v>1</v>
      </c>
      <c r="I192" s="4">
        <f t="shared" si="5"/>
        <v>0</v>
      </c>
      <c r="J192" s="4">
        <v>122</v>
      </c>
      <c r="K192" s="4">
        <v>0</v>
      </c>
      <c r="L192" s="4">
        <v>0</v>
      </c>
      <c r="M192" s="4">
        <v>1</v>
      </c>
      <c r="N192" s="4">
        <v>0</v>
      </c>
      <c r="O192" s="4">
        <v>0</v>
      </c>
    </row>
    <row r="193" spans="1:15" x14ac:dyDescent="0.15">
      <c r="A193" s="4">
        <v>190</v>
      </c>
      <c r="B193" s="4">
        <v>55</v>
      </c>
      <c r="C193" s="4">
        <v>29</v>
      </c>
      <c r="D193" s="4">
        <v>112</v>
      </c>
      <c r="E193" s="4">
        <v>2</v>
      </c>
      <c r="F193" s="8">
        <v>1.4</v>
      </c>
      <c r="G193" s="4">
        <v>1</v>
      </c>
      <c r="H193" s="4">
        <f t="shared" si="4"/>
        <v>1</v>
      </c>
      <c r="I193" s="4">
        <f t="shared" si="5"/>
        <v>0</v>
      </c>
      <c r="J193" s="4">
        <v>0</v>
      </c>
      <c r="K193" s="4">
        <v>0</v>
      </c>
      <c r="L193" s="4">
        <v>0</v>
      </c>
      <c r="M193" s="4">
        <v>1</v>
      </c>
      <c r="N193" s="4">
        <v>0</v>
      </c>
      <c r="O193" s="4">
        <v>0</v>
      </c>
    </row>
    <row r="194" spans="1:15" x14ac:dyDescent="0.15">
      <c r="A194" s="4">
        <v>191</v>
      </c>
      <c r="B194" s="4">
        <v>60</v>
      </c>
      <c r="C194" s="4">
        <v>36</v>
      </c>
      <c r="D194" s="4">
        <v>93</v>
      </c>
      <c r="E194" s="4">
        <v>1</v>
      </c>
      <c r="F194" s="8">
        <v>4.3</v>
      </c>
      <c r="G194" s="4">
        <v>1</v>
      </c>
      <c r="H194" s="4">
        <f t="shared" si="4"/>
        <v>1</v>
      </c>
      <c r="I194" s="4">
        <f t="shared" si="5"/>
        <v>0</v>
      </c>
      <c r="J194" s="4">
        <v>0</v>
      </c>
      <c r="K194" s="4">
        <v>0</v>
      </c>
      <c r="L194" s="4">
        <v>0</v>
      </c>
      <c r="M194" s="4">
        <v>1</v>
      </c>
      <c r="N194" s="4">
        <v>0</v>
      </c>
      <c r="O194" s="4">
        <v>0</v>
      </c>
    </row>
    <row r="195" spans="1:15" x14ac:dyDescent="0.15">
      <c r="A195" s="4">
        <v>192</v>
      </c>
      <c r="B195" s="4">
        <v>51</v>
      </c>
      <c r="C195" s="4">
        <v>25</v>
      </c>
      <c r="D195" s="4">
        <v>29</v>
      </c>
      <c r="E195" s="4">
        <v>1</v>
      </c>
      <c r="F195" s="8">
        <v>0.3</v>
      </c>
      <c r="G195" s="4">
        <v>3</v>
      </c>
      <c r="H195" s="4">
        <f t="shared" si="4"/>
        <v>0</v>
      </c>
      <c r="I195" s="4">
        <f t="shared" si="5"/>
        <v>0</v>
      </c>
      <c r="J195" s="4">
        <v>140</v>
      </c>
      <c r="K195" s="4">
        <v>0</v>
      </c>
      <c r="L195" s="4">
        <v>0</v>
      </c>
      <c r="M195" s="4">
        <v>0</v>
      </c>
      <c r="N195" s="4">
        <v>0</v>
      </c>
      <c r="O195" s="4">
        <v>0</v>
      </c>
    </row>
    <row r="196" spans="1:15" x14ac:dyDescent="0.15">
      <c r="A196" s="4">
        <v>193</v>
      </c>
      <c r="B196" s="4">
        <v>50</v>
      </c>
      <c r="C196" s="4">
        <v>23</v>
      </c>
      <c r="D196" s="4">
        <v>85</v>
      </c>
      <c r="E196" s="4">
        <v>1</v>
      </c>
      <c r="F196" s="8">
        <v>2.6666666666666665</v>
      </c>
      <c r="G196" s="4">
        <v>2</v>
      </c>
      <c r="H196" s="4">
        <f t="shared" si="4"/>
        <v>0</v>
      </c>
      <c r="I196" s="4">
        <f t="shared" si="5"/>
        <v>1</v>
      </c>
      <c r="J196" s="4">
        <v>0</v>
      </c>
      <c r="K196" s="4">
        <v>0</v>
      </c>
      <c r="L196" s="4">
        <v>0</v>
      </c>
      <c r="M196" s="4">
        <v>1</v>
      </c>
      <c r="N196" s="4">
        <v>0</v>
      </c>
      <c r="O196" s="4">
        <v>0</v>
      </c>
    </row>
    <row r="197" spans="1:15" x14ac:dyDescent="0.15">
      <c r="A197" s="4">
        <v>194</v>
      </c>
      <c r="B197" s="4">
        <v>48</v>
      </c>
      <c r="C197" s="4">
        <v>24</v>
      </c>
      <c r="D197" s="4">
        <v>21</v>
      </c>
      <c r="E197" s="4">
        <v>4</v>
      </c>
      <c r="F197" s="8">
        <v>0.6</v>
      </c>
      <c r="G197" s="4">
        <v>1</v>
      </c>
      <c r="H197" s="4">
        <f t="shared" ref="H197:H260" si="6">IF(G197=1,1,0)</f>
        <v>1</v>
      </c>
      <c r="I197" s="4">
        <f t="shared" ref="I197:I260" si="7">IF(G197=2,1,0)</f>
        <v>0</v>
      </c>
      <c r="J197" s="4">
        <v>0</v>
      </c>
      <c r="K197" s="4">
        <v>0</v>
      </c>
      <c r="L197" s="4">
        <v>0</v>
      </c>
      <c r="M197" s="4">
        <v>1</v>
      </c>
      <c r="N197" s="4">
        <v>1</v>
      </c>
      <c r="O197" s="4">
        <v>0</v>
      </c>
    </row>
    <row r="198" spans="1:15" x14ac:dyDescent="0.15">
      <c r="A198" s="4">
        <v>195</v>
      </c>
      <c r="B198" s="4">
        <v>53</v>
      </c>
      <c r="C198" s="4">
        <v>29</v>
      </c>
      <c r="D198" s="4">
        <v>144</v>
      </c>
      <c r="E198" s="4">
        <v>2</v>
      </c>
      <c r="F198" s="8">
        <v>6.8</v>
      </c>
      <c r="G198" s="4">
        <v>1</v>
      </c>
      <c r="H198" s="4">
        <f t="shared" si="6"/>
        <v>1</v>
      </c>
      <c r="I198" s="4">
        <f t="shared" si="7"/>
        <v>0</v>
      </c>
      <c r="J198" s="4">
        <v>0</v>
      </c>
      <c r="K198" s="4">
        <v>0</v>
      </c>
      <c r="L198" s="4">
        <v>0</v>
      </c>
      <c r="M198" s="4">
        <v>1</v>
      </c>
      <c r="N198" s="4">
        <v>0</v>
      </c>
      <c r="O198" s="4">
        <v>0</v>
      </c>
    </row>
    <row r="199" spans="1:15" x14ac:dyDescent="0.15">
      <c r="A199" s="4">
        <v>196</v>
      </c>
      <c r="B199" s="4">
        <v>34</v>
      </c>
      <c r="C199" s="4">
        <v>10</v>
      </c>
      <c r="D199" s="4">
        <v>13</v>
      </c>
      <c r="E199" s="4">
        <v>4</v>
      </c>
      <c r="F199" s="8">
        <v>1</v>
      </c>
      <c r="G199" s="4">
        <v>1</v>
      </c>
      <c r="H199" s="4">
        <f t="shared" si="6"/>
        <v>1</v>
      </c>
      <c r="I199" s="4">
        <f t="shared" si="7"/>
        <v>0</v>
      </c>
      <c r="J199" s="4">
        <v>95</v>
      </c>
      <c r="K199" s="4">
        <v>1</v>
      </c>
      <c r="L199" s="4">
        <v>0</v>
      </c>
      <c r="M199" s="4">
        <v>1</v>
      </c>
      <c r="N199" s="4">
        <v>0</v>
      </c>
      <c r="O199" s="4">
        <v>0</v>
      </c>
    </row>
    <row r="200" spans="1:15" x14ac:dyDescent="0.15">
      <c r="A200" s="4">
        <v>197</v>
      </c>
      <c r="B200" s="4">
        <v>48</v>
      </c>
      <c r="C200" s="4">
        <v>24</v>
      </c>
      <c r="D200" s="4">
        <v>165</v>
      </c>
      <c r="E200" s="4">
        <v>1</v>
      </c>
      <c r="F200" s="8">
        <v>5</v>
      </c>
      <c r="G200" s="4">
        <v>1</v>
      </c>
      <c r="H200" s="4">
        <f t="shared" si="6"/>
        <v>1</v>
      </c>
      <c r="I200" s="4">
        <f t="shared" si="7"/>
        <v>0</v>
      </c>
      <c r="J200" s="4">
        <v>0</v>
      </c>
      <c r="K200" s="4">
        <v>0</v>
      </c>
      <c r="L200" s="4">
        <v>0</v>
      </c>
      <c r="M200" s="4">
        <v>0</v>
      </c>
      <c r="N200" s="4">
        <v>1</v>
      </c>
      <c r="O200" s="4">
        <v>0</v>
      </c>
    </row>
    <row r="201" spans="1:15" x14ac:dyDescent="0.15">
      <c r="A201" s="4">
        <v>198</v>
      </c>
      <c r="B201" s="4">
        <v>55</v>
      </c>
      <c r="C201" s="4">
        <v>31</v>
      </c>
      <c r="D201" s="4">
        <v>9</v>
      </c>
      <c r="E201" s="4">
        <v>4</v>
      </c>
      <c r="F201" s="8">
        <v>0.7</v>
      </c>
      <c r="G201" s="4">
        <v>1</v>
      </c>
      <c r="H201" s="4">
        <f t="shared" si="6"/>
        <v>1</v>
      </c>
      <c r="I201" s="4">
        <f t="shared" si="7"/>
        <v>0</v>
      </c>
      <c r="J201" s="4">
        <v>89</v>
      </c>
      <c r="K201" s="4">
        <v>0</v>
      </c>
      <c r="L201" s="4">
        <v>0</v>
      </c>
      <c r="M201" s="4">
        <v>1</v>
      </c>
      <c r="N201" s="4">
        <v>0</v>
      </c>
      <c r="O201" s="4">
        <v>0</v>
      </c>
    </row>
    <row r="202" spans="1:15" x14ac:dyDescent="0.15">
      <c r="A202" s="4">
        <v>199</v>
      </c>
      <c r="B202" s="4">
        <v>27</v>
      </c>
      <c r="C202" s="4">
        <v>3</v>
      </c>
      <c r="D202" s="4">
        <v>59</v>
      </c>
      <c r="E202" s="4">
        <v>4</v>
      </c>
      <c r="F202" s="8">
        <v>0</v>
      </c>
      <c r="G202" s="4">
        <v>1</v>
      </c>
      <c r="H202" s="4">
        <f t="shared" si="6"/>
        <v>1</v>
      </c>
      <c r="I202" s="4">
        <f t="shared" si="7"/>
        <v>0</v>
      </c>
      <c r="J202" s="4">
        <v>90</v>
      </c>
      <c r="K202" s="4">
        <v>1</v>
      </c>
      <c r="L202" s="4">
        <v>0</v>
      </c>
      <c r="M202" s="4">
        <v>1</v>
      </c>
      <c r="N202" s="4">
        <v>0</v>
      </c>
      <c r="O202" s="4">
        <v>0</v>
      </c>
    </row>
    <row r="203" spans="1:15" x14ac:dyDescent="0.15">
      <c r="A203" s="4">
        <v>200</v>
      </c>
      <c r="B203" s="4">
        <v>36</v>
      </c>
      <c r="C203" s="4">
        <v>11</v>
      </c>
      <c r="D203" s="4">
        <v>158</v>
      </c>
      <c r="E203" s="4">
        <v>1</v>
      </c>
      <c r="F203" s="8">
        <v>5.0999999999999996</v>
      </c>
      <c r="G203" s="4">
        <v>3</v>
      </c>
      <c r="H203" s="4">
        <f t="shared" si="6"/>
        <v>0</v>
      </c>
      <c r="I203" s="4">
        <f t="shared" si="7"/>
        <v>0</v>
      </c>
      <c r="J203" s="4">
        <v>0</v>
      </c>
      <c r="K203" s="4">
        <v>0</v>
      </c>
      <c r="L203" s="4">
        <v>1</v>
      </c>
      <c r="M203" s="4">
        <v>1</v>
      </c>
      <c r="N203" s="4">
        <v>1</v>
      </c>
      <c r="O203" s="4">
        <v>1</v>
      </c>
    </row>
    <row r="204" spans="1:15" x14ac:dyDescent="0.15">
      <c r="A204" s="4">
        <v>201</v>
      </c>
      <c r="B204" s="4">
        <v>32</v>
      </c>
      <c r="C204" s="4">
        <v>6</v>
      </c>
      <c r="D204" s="4">
        <v>29</v>
      </c>
      <c r="E204" s="4">
        <v>1</v>
      </c>
      <c r="F204" s="8">
        <v>1.9</v>
      </c>
      <c r="G204" s="4">
        <v>3</v>
      </c>
      <c r="H204" s="4">
        <f t="shared" si="6"/>
        <v>0</v>
      </c>
      <c r="I204" s="4">
        <f t="shared" si="7"/>
        <v>0</v>
      </c>
      <c r="J204" s="4">
        <v>0</v>
      </c>
      <c r="K204" s="4">
        <v>0</v>
      </c>
      <c r="L204" s="4">
        <v>0</v>
      </c>
      <c r="M204" s="4">
        <v>1</v>
      </c>
      <c r="N204" s="4">
        <v>1</v>
      </c>
      <c r="O204" s="4">
        <v>0</v>
      </c>
    </row>
    <row r="205" spans="1:15" x14ac:dyDescent="0.15">
      <c r="A205" s="4">
        <v>202</v>
      </c>
      <c r="B205" s="4">
        <v>35</v>
      </c>
      <c r="C205" s="4">
        <v>9</v>
      </c>
      <c r="D205" s="4">
        <v>20</v>
      </c>
      <c r="E205" s="4">
        <v>2</v>
      </c>
      <c r="F205" s="8">
        <v>1.4</v>
      </c>
      <c r="G205" s="4">
        <v>3</v>
      </c>
      <c r="H205" s="4">
        <f t="shared" si="6"/>
        <v>0</v>
      </c>
      <c r="I205" s="4">
        <f t="shared" si="7"/>
        <v>0</v>
      </c>
      <c r="J205" s="4">
        <v>0</v>
      </c>
      <c r="K205" s="4">
        <v>0</v>
      </c>
      <c r="L205" s="4">
        <v>0</v>
      </c>
      <c r="M205" s="4">
        <v>1</v>
      </c>
      <c r="N205" s="4">
        <v>1</v>
      </c>
      <c r="O205" s="4">
        <v>0</v>
      </c>
    </row>
    <row r="206" spans="1:15" x14ac:dyDescent="0.15">
      <c r="A206" s="4">
        <v>203</v>
      </c>
      <c r="B206" s="4">
        <v>30</v>
      </c>
      <c r="C206" s="4">
        <v>3</v>
      </c>
      <c r="D206" s="4">
        <v>68</v>
      </c>
      <c r="E206" s="4">
        <v>4</v>
      </c>
      <c r="F206" s="8">
        <v>2</v>
      </c>
      <c r="G206" s="4">
        <v>2</v>
      </c>
      <c r="H206" s="4">
        <f t="shared" si="6"/>
        <v>0</v>
      </c>
      <c r="I206" s="4">
        <f t="shared" si="7"/>
        <v>1</v>
      </c>
      <c r="J206" s="4">
        <v>0</v>
      </c>
      <c r="K206" s="4">
        <v>0</v>
      </c>
      <c r="L206" s="4">
        <v>0</v>
      </c>
      <c r="M206" s="4">
        <v>1</v>
      </c>
      <c r="N206" s="4">
        <v>0</v>
      </c>
      <c r="O206" s="4">
        <v>0</v>
      </c>
    </row>
    <row r="207" spans="1:15" x14ac:dyDescent="0.15">
      <c r="A207" s="4">
        <v>204</v>
      </c>
      <c r="B207" s="4">
        <v>58</v>
      </c>
      <c r="C207" s="4">
        <v>34</v>
      </c>
      <c r="D207" s="4">
        <v>65</v>
      </c>
      <c r="E207" s="4">
        <v>4</v>
      </c>
      <c r="F207" s="8">
        <v>2.2000000000000002</v>
      </c>
      <c r="G207" s="4">
        <v>1</v>
      </c>
      <c r="H207" s="4">
        <f t="shared" si="6"/>
        <v>1</v>
      </c>
      <c r="I207" s="4">
        <f t="shared" si="7"/>
        <v>0</v>
      </c>
      <c r="J207" s="4">
        <v>0</v>
      </c>
      <c r="K207" s="4">
        <v>0</v>
      </c>
      <c r="L207" s="4">
        <v>0</v>
      </c>
      <c r="M207" s="4">
        <v>1</v>
      </c>
      <c r="N207" s="4">
        <v>0</v>
      </c>
      <c r="O207" s="4">
        <v>0</v>
      </c>
    </row>
    <row r="208" spans="1:15" x14ac:dyDescent="0.15">
      <c r="A208" s="4">
        <v>205</v>
      </c>
      <c r="B208" s="4">
        <v>56</v>
      </c>
      <c r="C208" s="4">
        <v>31</v>
      </c>
      <c r="D208" s="4">
        <v>61</v>
      </c>
      <c r="E208" s="4">
        <v>2</v>
      </c>
      <c r="F208" s="8">
        <v>1.9</v>
      </c>
      <c r="G208" s="4">
        <v>2</v>
      </c>
      <c r="H208" s="4">
        <f t="shared" si="6"/>
        <v>0</v>
      </c>
      <c r="I208" s="4">
        <f t="shared" si="7"/>
        <v>1</v>
      </c>
      <c r="J208" s="4">
        <v>105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</row>
    <row r="209" spans="1:15" x14ac:dyDescent="0.15">
      <c r="A209" s="4">
        <v>206</v>
      </c>
      <c r="B209" s="4">
        <v>38</v>
      </c>
      <c r="C209" s="4">
        <v>12</v>
      </c>
      <c r="D209" s="4">
        <v>91</v>
      </c>
      <c r="E209" s="4">
        <v>4</v>
      </c>
      <c r="F209" s="8">
        <v>1.4</v>
      </c>
      <c r="G209" s="4">
        <v>2</v>
      </c>
      <c r="H209" s="4">
        <f t="shared" si="6"/>
        <v>0</v>
      </c>
      <c r="I209" s="4">
        <f t="shared" si="7"/>
        <v>1</v>
      </c>
      <c r="J209" s="4">
        <v>100</v>
      </c>
      <c r="K209" s="4">
        <v>0</v>
      </c>
      <c r="L209" s="4">
        <v>0</v>
      </c>
      <c r="M209" s="4">
        <v>0</v>
      </c>
      <c r="N209" s="4">
        <v>1</v>
      </c>
      <c r="O209" s="4">
        <v>0</v>
      </c>
    </row>
    <row r="210" spans="1:15" x14ac:dyDescent="0.15">
      <c r="A210" s="4">
        <v>207</v>
      </c>
      <c r="B210" s="4">
        <v>49</v>
      </c>
      <c r="C210" s="4">
        <v>25</v>
      </c>
      <c r="D210" s="4">
        <v>31</v>
      </c>
      <c r="E210" s="4">
        <v>1</v>
      </c>
      <c r="F210" s="8">
        <v>1</v>
      </c>
      <c r="G210" s="4">
        <v>1</v>
      </c>
      <c r="H210" s="4">
        <f t="shared" si="6"/>
        <v>1</v>
      </c>
      <c r="I210" s="4">
        <f t="shared" si="7"/>
        <v>0</v>
      </c>
      <c r="J210" s="4">
        <v>0</v>
      </c>
      <c r="K210" s="4">
        <v>1</v>
      </c>
      <c r="L210" s="4">
        <v>0</v>
      </c>
      <c r="M210" s="4">
        <v>1</v>
      </c>
      <c r="N210" s="4">
        <v>0</v>
      </c>
      <c r="O210" s="4">
        <v>0</v>
      </c>
    </row>
    <row r="211" spans="1:15" x14ac:dyDescent="0.15">
      <c r="A211" s="4">
        <v>208</v>
      </c>
      <c r="B211" s="4">
        <v>34</v>
      </c>
      <c r="C211" s="4">
        <v>10</v>
      </c>
      <c r="D211" s="4">
        <v>71</v>
      </c>
      <c r="E211" s="4">
        <v>4</v>
      </c>
      <c r="F211" s="8">
        <v>0.1</v>
      </c>
      <c r="G211" s="4">
        <v>2</v>
      </c>
      <c r="H211" s="4">
        <f t="shared" si="6"/>
        <v>0</v>
      </c>
      <c r="I211" s="4">
        <f t="shared" si="7"/>
        <v>1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</row>
    <row r="212" spans="1:15" x14ac:dyDescent="0.15">
      <c r="A212" s="4">
        <v>209</v>
      </c>
      <c r="B212" s="4">
        <v>40</v>
      </c>
      <c r="C212" s="4">
        <v>16</v>
      </c>
      <c r="D212" s="4">
        <v>73</v>
      </c>
      <c r="E212" s="4">
        <v>4</v>
      </c>
      <c r="F212" s="8">
        <v>2.6666666666666665</v>
      </c>
      <c r="G212" s="4">
        <v>1</v>
      </c>
      <c r="H212" s="4">
        <f t="shared" si="6"/>
        <v>1</v>
      </c>
      <c r="I212" s="4">
        <f t="shared" si="7"/>
        <v>0</v>
      </c>
      <c r="J212" s="4">
        <v>0</v>
      </c>
      <c r="K212" s="4">
        <v>0</v>
      </c>
      <c r="L212" s="4">
        <v>0</v>
      </c>
      <c r="M212" s="4">
        <v>1</v>
      </c>
      <c r="N212" s="4">
        <v>1</v>
      </c>
      <c r="O212" s="4">
        <v>0</v>
      </c>
    </row>
    <row r="213" spans="1:15" x14ac:dyDescent="0.15">
      <c r="A213" s="4">
        <v>210</v>
      </c>
      <c r="B213" s="4">
        <v>64</v>
      </c>
      <c r="C213" s="4">
        <v>39</v>
      </c>
      <c r="D213" s="4">
        <v>172</v>
      </c>
      <c r="E213" s="4">
        <v>4</v>
      </c>
      <c r="F213" s="8">
        <v>3.1</v>
      </c>
      <c r="G213" s="4">
        <v>1</v>
      </c>
      <c r="H213" s="4">
        <f t="shared" si="6"/>
        <v>1</v>
      </c>
      <c r="I213" s="4">
        <f t="shared" si="7"/>
        <v>0</v>
      </c>
      <c r="J213" s="4">
        <v>282</v>
      </c>
      <c r="K213" s="4">
        <v>0</v>
      </c>
      <c r="L213" s="4">
        <v>1</v>
      </c>
      <c r="M213" s="4">
        <v>1</v>
      </c>
      <c r="N213" s="4">
        <v>1</v>
      </c>
      <c r="O213" s="4">
        <v>1</v>
      </c>
    </row>
    <row r="214" spans="1:15" x14ac:dyDescent="0.15">
      <c r="A214" s="4">
        <v>211</v>
      </c>
      <c r="B214" s="4">
        <v>51</v>
      </c>
      <c r="C214" s="4">
        <v>26</v>
      </c>
      <c r="D214" s="4">
        <v>20</v>
      </c>
      <c r="E214" s="4">
        <v>2</v>
      </c>
      <c r="F214" s="8">
        <v>0</v>
      </c>
      <c r="G214" s="4">
        <v>1</v>
      </c>
      <c r="H214" s="4">
        <f t="shared" si="6"/>
        <v>1</v>
      </c>
      <c r="I214" s="4">
        <f t="shared" si="7"/>
        <v>0</v>
      </c>
      <c r="J214" s="4">
        <v>0</v>
      </c>
      <c r="K214" s="4">
        <v>0</v>
      </c>
      <c r="L214" s="4">
        <v>0</v>
      </c>
      <c r="M214" s="4">
        <v>0</v>
      </c>
      <c r="N214" s="4">
        <v>0</v>
      </c>
      <c r="O214" s="4">
        <v>0</v>
      </c>
    </row>
    <row r="215" spans="1:15" x14ac:dyDescent="0.15">
      <c r="A215" s="4">
        <v>212</v>
      </c>
      <c r="B215" s="4">
        <v>44</v>
      </c>
      <c r="C215" s="4">
        <v>18</v>
      </c>
      <c r="D215" s="4">
        <v>55</v>
      </c>
      <c r="E215" s="4">
        <v>1</v>
      </c>
      <c r="F215" s="8">
        <v>0.2</v>
      </c>
      <c r="G215" s="4">
        <v>1</v>
      </c>
      <c r="H215" s="4">
        <f t="shared" si="6"/>
        <v>1</v>
      </c>
      <c r="I215" s="4">
        <f t="shared" si="7"/>
        <v>0</v>
      </c>
      <c r="J215" s="4">
        <v>0</v>
      </c>
      <c r="K215" s="4">
        <v>0</v>
      </c>
      <c r="L215" s="4">
        <v>0</v>
      </c>
      <c r="M215" s="4">
        <v>0</v>
      </c>
      <c r="N215" s="4">
        <v>0</v>
      </c>
      <c r="O215" s="4">
        <v>0</v>
      </c>
    </row>
    <row r="216" spans="1:15" x14ac:dyDescent="0.15">
      <c r="A216" s="4">
        <v>213</v>
      </c>
      <c r="B216" s="4">
        <v>46</v>
      </c>
      <c r="C216" s="4">
        <v>22</v>
      </c>
      <c r="D216" s="4">
        <v>69</v>
      </c>
      <c r="E216" s="4">
        <v>2</v>
      </c>
      <c r="F216" s="8">
        <v>1.7</v>
      </c>
      <c r="G216" s="4">
        <v>1</v>
      </c>
      <c r="H216" s="4">
        <f t="shared" si="6"/>
        <v>1</v>
      </c>
      <c r="I216" s="4">
        <f t="shared" si="7"/>
        <v>0</v>
      </c>
      <c r="J216" s="4">
        <v>209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</row>
    <row r="217" spans="1:15" x14ac:dyDescent="0.15">
      <c r="A217" s="4">
        <v>214</v>
      </c>
      <c r="B217" s="4">
        <v>57</v>
      </c>
      <c r="C217" s="4">
        <v>33</v>
      </c>
      <c r="D217" s="4">
        <v>155</v>
      </c>
      <c r="E217" s="4">
        <v>1</v>
      </c>
      <c r="F217" s="8">
        <v>7.4</v>
      </c>
      <c r="G217" s="4">
        <v>1</v>
      </c>
      <c r="H217" s="4">
        <f t="shared" si="6"/>
        <v>1</v>
      </c>
      <c r="I217" s="4">
        <f t="shared" si="7"/>
        <v>0</v>
      </c>
      <c r="J217" s="4">
        <v>0</v>
      </c>
      <c r="K217" s="4">
        <v>0</v>
      </c>
      <c r="L217" s="4">
        <v>0</v>
      </c>
      <c r="M217" s="4">
        <v>1</v>
      </c>
      <c r="N217" s="4">
        <v>0</v>
      </c>
      <c r="O217" s="4">
        <v>0</v>
      </c>
    </row>
    <row r="218" spans="1:15" x14ac:dyDescent="0.15">
      <c r="A218" s="4">
        <v>215</v>
      </c>
      <c r="B218" s="4">
        <v>54</v>
      </c>
      <c r="C218" s="4">
        <v>28</v>
      </c>
      <c r="D218" s="4">
        <v>94</v>
      </c>
      <c r="E218" s="4">
        <v>1</v>
      </c>
      <c r="F218" s="8">
        <v>1.9</v>
      </c>
      <c r="G218" s="4">
        <v>2</v>
      </c>
      <c r="H218" s="4">
        <f t="shared" si="6"/>
        <v>0</v>
      </c>
      <c r="I218" s="4">
        <f t="shared" si="7"/>
        <v>1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</row>
    <row r="219" spans="1:15" x14ac:dyDescent="0.15">
      <c r="A219" s="4">
        <v>216</v>
      </c>
      <c r="B219" s="4">
        <v>38</v>
      </c>
      <c r="C219" s="4">
        <v>14</v>
      </c>
      <c r="D219" s="4">
        <v>92</v>
      </c>
      <c r="E219" s="4">
        <v>2</v>
      </c>
      <c r="F219" s="8">
        <v>0</v>
      </c>
      <c r="G219" s="4">
        <v>1</v>
      </c>
      <c r="H219" s="4">
        <f t="shared" si="6"/>
        <v>1</v>
      </c>
      <c r="I219" s="4">
        <f t="shared" si="7"/>
        <v>0</v>
      </c>
      <c r="J219" s="4">
        <v>249</v>
      </c>
      <c r="K219" s="4">
        <v>0</v>
      </c>
      <c r="L219" s="4">
        <v>0</v>
      </c>
      <c r="M219" s="4">
        <v>1</v>
      </c>
      <c r="N219" s="4">
        <v>1</v>
      </c>
      <c r="O219" s="4">
        <v>0</v>
      </c>
    </row>
    <row r="220" spans="1:15" x14ac:dyDescent="0.15">
      <c r="A220" s="4">
        <v>217</v>
      </c>
      <c r="B220" s="4">
        <v>27</v>
      </c>
      <c r="C220" s="4">
        <v>3</v>
      </c>
      <c r="D220" s="4">
        <v>125</v>
      </c>
      <c r="E220" s="4">
        <v>2</v>
      </c>
      <c r="F220" s="8">
        <v>0.6</v>
      </c>
      <c r="G220" s="4">
        <v>1</v>
      </c>
      <c r="H220" s="4">
        <f t="shared" si="6"/>
        <v>1</v>
      </c>
      <c r="I220" s="4">
        <f t="shared" si="7"/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</row>
    <row r="221" spans="1:15" x14ac:dyDescent="0.15">
      <c r="A221" s="4">
        <v>218</v>
      </c>
      <c r="B221" s="4">
        <v>39</v>
      </c>
      <c r="C221" s="4">
        <v>14</v>
      </c>
      <c r="D221" s="4">
        <v>74</v>
      </c>
      <c r="E221" s="4">
        <v>3</v>
      </c>
      <c r="F221" s="8">
        <v>3</v>
      </c>
      <c r="G221" s="4">
        <v>1</v>
      </c>
      <c r="H221" s="4">
        <f t="shared" si="6"/>
        <v>1</v>
      </c>
      <c r="I221" s="4">
        <f t="shared" si="7"/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</row>
    <row r="222" spans="1:15" x14ac:dyDescent="0.15">
      <c r="A222" s="4">
        <v>219</v>
      </c>
      <c r="B222" s="4">
        <v>44</v>
      </c>
      <c r="C222" s="4">
        <v>20</v>
      </c>
      <c r="D222" s="4">
        <v>72</v>
      </c>
      <c r="E222" s="4">
        <v>3</v>
      </c>
      <c r="F222" s="8">
        <v>0.3</v>
      </c>
      <c r="G222" s="4">
        <v>3</v>
      </c>
      <c r="H222" s="4">
        <f t="shared" si="6"/>
        <v>0</v>
      </c>
      <c r="I222" s="4">
        <f t="shared" si="7"/>
        <v>0</v>
      </c>
      <c r="J222" s="4">
        <v>0</v>
      </c>
      <c r="K222" s="4">
        <v>0</v>
      </c>
      <c r="L222" s="4">
        <v>0</v>
      </c>
      <c r="M222" s="4">
        <v>1</v>
      </c>
      <c r="N222" s="4">
        <v>0</v>
      </c>
      <c r="O222" s="4">
        <v>0</v>
      </c>
    </row>
    <row r="223" spans="1:15" x14ac:dyDescent="0.15">
      <c r="A223" s="4">
        <v>220</v>
      </c>
      <c r="B223" s="4">
        <v>56</v>
      </c>
      <c r="C223" s="4">
        <v>30</v>
      </c>
      <c r="D223" s="4">
        <v>61</v>
      </c>
      <c r="E223" s="4">
        <v>1</v>
      </c>
      <c r="F223" s="8">
        <v>2.2000000000000002</v>
      </c>
      <c r="G223" s="4">
        <v>3</v>
      </c>
      <c r="H223" s="4">
        <f t="shared" si="6"/>
        <v>0</v>
      </c>
      <c r="I223" s="4">
        <f t="shared" si="7"/>
        <v>0</v>
      </c>
      <c r="J223" s="4">
        <v>0</v>
      </c>
      <c r="K223" s="4">
        <v>0</v>
      </c>
      <c r="L223" s="4">
        <v>0</v>
      </c>
      <c r="M223" s="4">
        <v>1</v>
      </c>
      <c r="N223" s="4">
        <v>1</v>
      </c>
      <c r="O223" s="4">
        <v>0</v>
      </c>
    </row>
    <row r="224" spans="1:15" x14ac:dyDescent="0.15">
      <c r="A224" s="4">
        <v>221</v>
      </c>
      <c r="B224" s="4">
        <v>32</v>
      </c>
      <c r="C224" s="4">
        <v>6</v>
      </c>
      <c r="D224" s="4">
        <v>25</v>
      </c>
      <c r="E224" s="4">
        <v>2</v>
      </c>
      <c r="F224" s="8">
        <v>0.3</v>
      </c>
      <c r="G224" s="4">
        <v>1</v>
      </c>
      <c r="H224" s="4">
        <f t="shared" si="6"/>
        <v>1</v>
      </c>
      <c r="I224" s="4">
        <f t="shared" si="7"/>
        <v>0</v>
      </c>
      <c r="J224" s="4">
        <v>0</v>
      </c>
      <c r="K224" s="4">
        <v>0</v>
      </c>
      <c r="L224" s="4">
        <v>0</v>
      </c>
      <c r="M224" s="4">
        <v>0</v>
      </c>
      <c r="N224" s="4">
        <v>1</v>
      </c>
      <c r="O224" s="4">
        <v>0</v>
      </c>
    </row>
    <row r="225" spans="1:15" x14ac:dyDescent="0.15">
      <c r="A225" s="4">
        <v>222</v>
      </c>
      <c r="B225" s="4">
        <v>45</v>
      </c>
      <c r="C225" s="4">
        <v>19</v>
      </c>
      <c r="D225" s="4">
        <v>83</v>
      </c>
      <c r="E225" s="4">
        <v>2</v>
      </c>
      <c r="F225" s="8">
        <v>1.7</v>
      </c>
      <c r="G225" s="4">
        <v>2</v>
      </c>
      <c r="H225" s="4">
        <f t="shared" si="6"/>
        <v>0</v>
      </c>
      <c r="I225" s="4">
        <f t="shared" si="7"/>
        <v>1</v>
      </c>
      <c r="J225" s="4">
        <v>0</v>
      </c>
      <c r="K225" s="4">
        <v>0</v>
      </c>
      <c r="L225" s="4">
        <v>0</v>
      </c>
      <c r="M225" s="4">
        <v>1</v>
      </c>
      <c r="N225" s="4">
        <v>0</v>
      </c>
      <c r="O225" s="4">
        <v>0</v>
      </c>
    </row>
    <row r="226" spans="1:15" x14ac:dyDescent="0.15">
      <c r="A226" s="4">
        <v>223</v>
      </c>
      <c r="B226" s="4">
        <v>26</v>
      </c>
      <c r="C226" s="4">
        <v>2</v>
      </c>
      <c r="D226" s="4">
        <v>104</v>
      </c>
      <c r="E226" s="4">
        <v>3</v>
      </c>
      <c r="F226" s="8">
        <v>2.5</v>
      </c>
      <c r="G226" s="4">
        <v>1</v>
      </c>
      <c r="H226" s="4">
        <f t="shared" si="6"/>
        <v>1</v>
      </c>
      <c r="I226" s="4">
        <f t="shared" si="7"/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</row>
    <row r="227" spans="1:15" x14ac:dyDescent="0.15">
      <c r="A227" s="4">
        <v>224</v>
      </c>
      <c r="B227" s="4">
        <v>55</v>
      </c>
      <c r="C227" s="4">
        <v>25</v>
      </c>
      <c r="D227" s="4">
        <v>41</v>
      </c>
      <c r="E227" s="4">
        <v>3</v>
      </c>
      <c r="F227" s="8">
        <v>1</v>
      </c>
      <c r="G227" s="4">
        <v>3</v>
      </c>
      <c r="H227" s="4">
        <f t="shared" si="6"/>
        <v>0</v>
      </c>
      <c r="I227" s="4">
        <f t="shared" si="7"/>
        <v>0</v>
      </c>
      <c r="J227" s="4">
        <v>0</v>
      </c>
      <c r="K227" s="4">
        <v>0</v>
      </c>
      <c r="L227" s="4">
        <v>0</v>
      </c>
      <c r="M227" s="4">
        <v>1</v>
      </c>
      <c r="N227" s="4">
        <v>0</v>
      </c>
      <c r="O227" s="4">
        <v>0</v>
      </c>
    </row>
    <row r="228" spans="1:15" x14ac:dyDescent="0.15">
      <c r="A228" s="4">
        <v>225</v>
      </c>
      <c r="B228" s="4">
        <v>52</v>
      </c>
      <c r="C228" s="4">
        <v>27</v>
      </c>
      <c r="D228" s="4">
        <v>58</v>
      </c>
      <c r="E228" s="4">
        <v>4</v>
      </c>
      <c r="F228" s="8">
        <v>1.8</v>
      </c>
      <c r="G228" s="4">
        <v>3</v>
      </c>
      <c r="H228" s="4">
        <f t="shared" si="6"/>
        <v>0</v>
      </c>
      <c r="I228" s="4">
        <f t="shared" si="7"/>
        <v>0</v>
      </c>
      <c r="J228" s="4">
        <v>91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</row>
    <row r="229" spans="1:15" x14ac:dyDescent="0.15">
      <c r="A229" s="4">
        <v>226</v>
      </c>
      <c r="B229" s="4">
        <v>39</v>
      </c>
      <c r="C229" s="4">
        <v>13</v>
      </c>
      <c r="D229" s="4">
        <v>93</v>
      </c>
      <c r="E229" s="4">
        <v>1</v>
      </c>
      <c r="F229" s="8">
        <v>1.5</v>
      </c>
      <c r="G229" s="4">
        <v>3</v>
      </c>
      <c r="H229" s="4">
        <f t="shared" si="6"/>
        <v>0</v>
      </c>
      <c r="I229" s="4">
        <f t="shared" si="7"/>
        <v>0</v>
      </c>
      <c r="J229" s="4">
        <v>0</v>
      </c>
      <c r="K229" s="4">
        <v>0</v>
      </c>
      <c r="L229" s="4">
        <v>0</v>
      </c>
      <c r="M229" s="4">
        <v>0</v>
      </c>
      <c r="N229" s="4">
        <v>1</v>
      </c>
      <c r="O229" s="4">
        <v>0</v>
      </c>
    </row>
    <row r="230" spans="1:15" x14ac:dyDescent="0.15">
      <c r="A230" s="4">
        <v>227</v>
      </c>
      <c r="B230" s="4">
        <v>24</v>
      </c>
      <c r="C230" s="4">
        <v>0</v>
      </c>
      <c r="D230" s="4">
        <v>39</v>
      </c>
      <c r="E230" s="4">
        <v>2</v>
      </c>
      <c r="F230" s="8">
        <v>1.7</v>
      </c>
      <c r="G230" s="4">
        <v>2</v>
      </c>
      <c r="H230" s="4">
        <f t="shared" si="6"/>
        <v>0</v>
      </c>
      <c r="I230" s="4">
        <f t="shared" si="7"/>
        <v>1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</row>
    <row r="231" spans="1:15" x14ac:dyDescent="0.15">
      <c r="A231" s="4">
        <v>228</v>
      </c>
      <c r="B231" s="4">
        <v>47</v>
      </c>
      <c r="C231" s="4">
        <v>23</v>
      </c>
      <c r="D231" s="4">
        <v>148</v>
      </c>
      <c r="E231" s="4">
        <v>2</v>
      </c>
      <c r="F231" s="8">
        <v>7.5</v>
      </c>
      <c r="G231" s="4">
        <v>1</v>
      </c>
      <c r="H231" s="4">
        <f t="shared" si="6"/>
        <v>1</v>
      </c>
      <c r="I231" s="4">
        <f t="shared" si="7"/>
        <v>0</v>
      </c>
      <c r="J231" s="4">
        <v>0</v>
      </c>
      <c r="K231" s="4">
        <v>0</v>
      </c>
      <c r="L231" s="4">
        <v>1</v>
      </c>
      <c r="M231" s="4">
        <v>1</v>
      </c>
      <c r="N231" s="4">
        <v>1</v>
      </c>
      <c r="O231" s="4">
        <v>0</v>
      </c>
    </row>
    <row r="232" spans="1:15" x14ac:dyDescent="0.15">
      <c r="A232" s="4">
        <v>229</v>
      </c>
      <c r="B232" s="4">
        <v>47</v>
      </c>
      <c r="C232" s="4">
        <v>22</v>
      </c>
      <c r="D232" s="4">
        <v>53</v>
      </c>
      <c r="E232" s="4">
        <v>4</v>
      </c>
      <c r="F232" s="8">
        <v>1.9</v>
      </c>
      <c r="G232" s="4">
        <v>3</v>
      </c>
      <c r="H232" s="4">
        <f t="shared" si="6"/>
        <v>0</v>
      </c>
      <c r="I232" s="4">
        <f t="shared" si="7"/>
        <v>0</v>
      </c>
      <c r="J232" s="4">
        <v>98</v>
      </c>
      <c r="K232" s="4">
        <v>1</v>
      </c>
      <c r="L232" s="4">
        <v>1</v>
      </c>
      <c r="M232" s="4">
        <v>0</v>
      </c>
      <c r="N232" s="4">
        <v>1</v>
      </c>
      <c r="O232" s="4">
        <v>0</v>
      </c>
    </row>
    <row r="233" spans="1:15" x14ac:dyDescent="0.15">
      <c r="A233" s="4">
        <v>230</v>
      </c>
      <c r="B233" s="4">
        <v>48</v>
      </c>
      <c r="C233" s="4">
        <v>24</v>
      </c>
      <c r="D233" s="4">
        <v>71</v>
      </c>
      <c r="E233" s="4">
        <v>2</v>
      </c>
      <c r="F233" s="8">
        <v>1.7</v>
      </c>
      <c r="G233" s="4">
        <v>1</v>
      </c>
      <c r="H233" s="4">
        <f t="shared" si="6"/>
        <v>1</v>
      </c>
      <c r="I233" s="4">
        <f t="shared" si="7"/>
        <v>0</v>
      </c>
      <c r="J233" s="4">
        <v>145</v>
      </c>
      <c r="K233" s="4">
        <v>0</v>
      </c>
      <c r="L233" s="4">
        <v>0</v>
      </c>
      <c r="M233" s="4">
        <v>0</v>
      </c>
      <c r="N233" s="4">
        <v>1</v>
      </c>
      <c r="O233" s="4">
        <v>0</v>
      </c>
    </row>
    <row r="234" spans="1:15" x14ac:dyDescent="0.15">
      <c r="A234" s="4">
        <v>231</v>
      </c>
      <c r="B234" s="4">
        <v>47</v>
      </c>
      <c r="C234" s="4">
        <v>22</v>
      </c>
      <c r="D234" s="4">
        <v>92</v>
      </c>
      <c r="E234" s="4">
        <v>1</v>
      </c>
      <c r="F234" s="8">
        <v>2.8</v>
      </c>
      <c r="G234" s="4">
        <v>2</v>
      </c>
      <c r="H234" s="4">
        <f t="shared" si="6"/>
        <v>0</v>
      </c>
      <c r="I234" s="4">
        <f t="shared" si="7"/>
        <v>1</v>
      </c>
      <c r="J234" s="4">
        <v>0</v>
      </c>
      <c r="K234" s="4">
        <v>0</v>
      </c>
      <c r="L234" s="4">
        <v>0</v>
      </c>
      <c r="M234" s="4">
        <v>1</v>
      </c>
      <c r="N234" s="4">
        <v>0</v>
      </c>
      <c r="O234" s="4">
        <v>0</v>
      </c>
    </row>
    <row r="235" spans="1:15" x14ac:dyDescent="0.15">
      <c r="A235" s="4">
        <v>232</v>
      </c>
      <c r="B235" s="4">
        <v>35</v>
      </c>
      <c r="C235" s="4">
        <v>10</v>
      </c>
      <c r="D235" s="4">
        <v>61</v>
      </c>
      <c r="E235" s="4">
        <v>4</v>
      </c>
      <c r="F235" s="8">
        <v>2.1</v>
      </c>
      <c r="G235" s="4">
        <v>3</v>
      </c>
      <c r="H235" s="4">
        <f t="shared" si="6"/>
        <v>0</v>
      </c>
      <c r="I235" s="4">
        <f t="shared" si="7"/>
        <v>0</v>
      </c>
      <c r="J235" s="4">
        <v>0</v>
      </c>
      <c r="K235" s="4">
        <v>0</v>
      </c>
      <c r="L235" s="4">
        <v>0</v>
      </c>
      <c r="M235" s="4">
        <v>1</v>
      </c>
      <c r="N235" s="4">
        <v>0</v>
      </c>
      <c r="O235" s="4">
        <v>0</v>
      </c>
    </row>
    <row r="236" spans="1:15" x14ac:dyDescent="0.15">
      <c r="A236" s="4">
        <v>233</v>
      </c>
      <c r="B236" s="4">
        <v>46</v>
      </c>
      <c r="C236" s="4">
        <v>19</v>
      </c>
      <c r="D236" s="4">
        <v>38</v>
      </c>
      <c r="E236" s="4">
        <v>3</v>
      </c>
      <c r="F236" s="8">
        <v>2.5</v>
      </c>
      <c r="G236" s="4">
        <v>2</v>
      </c>
      <c r="H236" s="4">
        <f t="shared" si="6"/>
        <v>0</v>
      </c>
      <c r="I236" s="4">
        <f t="shared" si="7"/>
        <v>1</v>
      </c>
      <c r="J236" s="4">
        <v>135</v>
      </c>
      <c r="K236" s="4">
        <v>0</v>
      </c>
      <c r="L236" s="4">
        <v>0</v>
      </c>
      <c r="M236" s="4">
        <v>0</v>
      </c>
      <c r="N236" s="4">
        <v>0</v>
      </c>
      <c r="O236" s="4">
        <v>0</v>
      </c>
    </row>
    <row r="237" spans="1:15" x14ac:dyDescent="0.15">
      <c r="A237" s="4">
        <v>234</v>
      </c>
      <c r="B237" s="4">
        <v>62</v>
      </c>
      <c r="C237" s="4">
        <v>37</v>
      </c>
      <c r="D237" s="4">
        <v>58</v>
      </c>
      <c r="E237" s="4">
        <v>4</v>
      </c>
      <c r="F237" s="8">
        <v>1.7</v>
      </c>
      <c r="G237" s="4">
        <v>1</v>
      </c>
      <c r="H237" s="4">
        <f t="shared" si="6"/>
        <v>1</v>
      </c>
      <c r="I237" s="4">
        <f t="shared" si="7"/>
        <v>0</v>
      </c>
      <c r="J237" s="4">
        <v>0</v>
      </c>
      <c r="K237" s="4">
        <v>0</v>
      </c>
      <c r="L237" s="4">
        <v>0</v>
      </c>
      <c r="M237" s="4">
        <v>1</v>
      </c>
      <c r="N237" s="4">
        <v>0</v>
      </c>
      <c r="O237" s="4">
        <v>0</v>
      </c>
    </row>
    <row r="238" spans="1:15" x14ac:dyDescent="0.15">
      <c r="A238" s="4">
        <v>235</v>
      </c>
      <c r="B238" s="4">
        <v>26</v>
      </c>
      <c r="C238" s="4">
        <v>1</v>
      </c>
      <c r="D238" s="4">
        <v>80</v>
      </c>
      <c r="E238" s="4">
        <v>1</v>
      </c>
      <c r="F238" s="8">
        <v>0.8</v>
      </c>
      <c r="G238" s="4">
        <v>2</v>
      </c>
      <c r="H238" s="4">
        <f t="shared" si="6"/>
        <v>0</v>
      </c>
      <c r="I238" s="4">
        <f t="shared" si="7"/>
        <v>1</v>
      </c>
      <c r="J238" s="4">
        <v>150</v>
      </c>
      <c r="K238" s="4">
        <v>0</v>
      </c>
      <c r="L238" s="4">
        <v>0</v>
      </c>
      <c r="M238" s="4">
        <v>0</v>
      </c>
      <c r="N238" s="4">
        <v>0</v>
      </c>
      <c r="O238" s="4">
        <v>0</v>
      </c>
    </row>
    <row r="239" spans="1:15" x14ac:dyDescent="0.15">
      <c r="A239" s="4">
        <v>236</v>
      </c>
      <c r="B239" s="4">
        <v>38</v>
      </c>
      <c r="C239" s="4">
        <v>8</v>
      </c>
      <c r="D239" s="4">
        <v>71</v>
      </c>
      <c r="E239" s="4">
        <v>4</v>
      </c>
      <c r="F239" s="8">
        <v>1.8</v>
      </c>
      <c r="G239" s="4">
        <v>3</v>
      </c>
      <c r="H239" s="4">
        <f t="shared" si="6"/>
        <v>0</v>
      </c>
      <c r="I239" s="4">
        <f t="shared" si="7"/>
        <v>0</v>
      </c>
      <c r="J239" s="4">
        <v>0</v>
      </c>
      <c r="K239" s="4">
        <v>0</v>
      </c>
      <c r="L239" s="4">
        <v>0</v>
      </c>
      <c r="M239" s="4">
        <v>1</v>
      </c>
      <c r="N239" s="4">
        <v>0</v>
      </c>
      <c r="O239" s="4">
        <v>0</v>
      </c>
    </row>
    <row r="240" spans="1:15" x14ac:dyDescent="0.15">
      <c r="A240" s="4">
        <v>237</v>
      </c>
      <c r="B240" s="4">
        <v>43</v>
      </c>
      <c r="C240" s="4">
        <v>18</v>
      </c>
      <c r="D240" s="4">
        <v>89</v>
      </c>
      <c r="E240" s="4">
        <v>3</v>
      </c>
      <c r="F240" s="8">
        <v>0.5</v>
      </c>
      <c r="G240" s="4">
        <v>3</v>
      </c>
      <c r="H240" s="4">
        <f t="shared" si="6"/>
        <v>0</v>
      </c>
      <c r="I240" s="4">
        <f t="shared" si="7"/>
        <v>0</v>
      </c>
      <c r="J240" s="4">
        <v>0</v>
      </c>
      <c r="K240" s="4">
        <v>0</v>
      </c>
      <c r="L240" s="4">
        <v>0</v>
      </c>
      <c r="M240" s="4">
        <v>1</v>
      </c>
      <c r="N240" s="4">
        <v>1</v>
      </c>
      <c r="O240" s="4">
        <v>0</v>
      </c>
    </row>
    <row r="241" spans="1:15" x14ac:dyDescent="0.15">
      <c r="A241" s="4">
        <v>238</v>
      </c>
      <c r="B241" s="4">
        <v>62</v>
      </c>
      <c r="C241" s="4">
        <v>38</v>
      </c>
      <c r="D241" s="4">
        <v>83</v>
      </c>
      <c r="E241" s="4">
        <v>1</v>
      </c>
      <c r="F241" s="8">
        <v>1.8</v>
      </c>
      <c r="G241" s="4">
        <v>3</v>
      </c>
      <c r="H241" s="4">
        <f t="shared" si="6"/>
        <v>0</v>
      </c>
      <c r="I241" s="4">
        <f t="shared" si="7"/>
        <v>0</v>
      </c>
      <c r="J241" s="4">
        <v>0</v>
      </c>
      <c r="K241" s="4">
        <v>0</v>
      </c>
      <c r="L241" s="4">
        <v>0</v>
      </c>
      <c r="M241" s="4">
        <v>1</v>
      </c>
      <c r="N241" s="4">
        <v>0</v>
      </c>
      <c r="O241" s="4">
        <v>0</v>
      </c>
    </row>
    <row r="242" spans="1:15" x14ac:dyDescent="0.15">
      <c r="A242" s="4">
        <v>239</v>
      </c>
      <c r="B242" s="4">
        <v>57</v>
      </c>
      <c r="C242" s="4">
        <v>32</v>
      </c>
      <c r="D242" s="4">
        <v>28</v>
      </c>
      <c r="E242" s="4">
        <v>3</v>
      </c>
      <c r="F242" s="8">
        <v>0.2</v>
      </c>
      <c r="G242" s="4">
        <v>1</v>
      </c>
      <c r="H242" s="4">
        <f t="shared" si="6"/>
        <v>1</v>
      </c>
      <c r="I242" s="4">
        <f t="shared" si="7"/>
        <v>0</v>
      </c>
      <c r="J242" s="4">
        <v>0</v>
      </c>
      <c r="K242" s="4">
        <v>0</v>
      </c>
      <c r="L242" s="4">
        <v>0</v>
      </c>
      <c r="M242" s="4">
        <v>1</v>
      </c>
      <c r="N242" s="4">
        <v>1</v>
      </c>
      <c r="O242" s="4">
        <v>0</v>
      </c>
    </row>
    <row r="243" spans="1:15" x14ac:dyDescent="0.15">
      <c r="A243" s="4">
        <v>240</v>
      </c>
      <c r="B243" s="4">
        <v>28</v>
      </c>
      <c r="C243" s="4">
        <v>3</v>
      </c>
      <c r="D243" s="4">
        <v>52</v>
      </c>
      <c r="E243" s="4">
        <v>4</v>
      </c>
      <c r="F243" s="8">
        <v>1.7</v>
      </c>
      <c r="G243" s="4">
        <v>2</v>
      </c>
      <c r="H243" s="4">
        <f t="shared" si="6"/>
        <v>0</v>
      </c>
      <c r="I243" s="4">
        <f t="shared" si="7"/>
        <v>1</v>
      </c>
      <c r="J243" s="4">
        <v>0</v>
      </c>
      <c r="K243" s="4">
        <v>0</v>
      </c>
      <c r="L243" s="4">
        <v>0</v>
      </c>
      <c r="M243" s="4">
        <v>0</v>
      </c>
      <c r="N243" s="4">
        <v>0</v>
      </c>
      <c r="O243" s="4">
        <v>0</v>
      </c>
    </row>
    <row r="244" spans="1:15" x14ac:dyDescent="0.15">
      <c r="A244" s="4">
        <v>241</v>
      </c>
      <c r="B244" s="4">
        <v>51</v>
      </c>
      <c r="C244" s="4">
        <v>26</v>
      </c>
      <c r="D244" s="4">
        <v>70</v>
      </c>
      <c r="E244" s="4">
        <v>1</v>
      </c>
      <c r="F244" s="8">
        <v>1.2</v>
      </c>
      <c r="G244" s="4">
        <v>1</v>
      </c>
      <c r="H244" s="4">
        <f t="shared" si="6"/>
        <v>1</v>
      </c>
      <c r="I244" s="4">
        <f t="shared" si="7"/>
        <v>0</v>
      </c>
      <c r="J244" s="4">
        <v>169</v>
      </c>
      <c r="K244" s="4">
        <v>0</v>
      </c>
      <c r="L244" s="4">
        <v>0</v>
      </c>
      <c r="M244" s="4">
        <v>0</v>
      </c>
      <c r="N244" s="4">
        <v>0</v>
      </c>
      <c r="O244" s="4">
        <v>0</v>
      </c>
    </row>
    <row r="245" spans="1:15" x14ac:dyDescent="0.15">
      <c r="A245" s="4">
        <v>242</v>
      </c>
      <c r="B245" s="4">
        <v>48</v>
      </c>
      <c r="C245" s="4">
        <v>22</v>
      </c>
      <c r="D245" s="4">
        <v>71</v>
      </c>
      <c r="E245" s="4">
        <v>1</v>
      </c>
      <c r="F245" s="8">
        <v>1.4</v>
      </c>
      <c r="G245" s="4">
        <v>3</v>
      </c>
      <c r="H245" s="4">
        <f t="shared" si="6"/>
        <v>0</v>
      </c>
      <c r="I245" s="4">
        <f t="shared" si="7"/>
        <v>0</v>
      </c>
      <c r="J245" s="4">
        <v>0</v>
      </c>
      <c r="K245" s="4">
        <v>0</v>
      </c>
      <c r="L245" s="4">
        <v>0</v>
      </c>
      <c r="M245" s="4">
        <v>0</v>
      </c>
      <c r="N245" s="4">
        <v>1</v>
      </c>
      <c r="O245" s="4">
        <v>0</v>
      </c>
    </row>
    <row r="246" spans="1:15" x14ac:dyDescent="0.15">
      <c r="A246" s="4">
        <v>243</v>
      </c>
      <c r="B246" s="4">
        <v>41</v>
      </c>
      <c r="C246" s="4">
        <v>16</v>
      </c>
      <c r="D246" s="4">
        <v>75</v>
      </c>
      <c r="E246" s="4">
        <v>1</v>
      </c>
      <c r="F246" s="8">
        <v>3.7</v>
      </c>
      <c r="G246" s="4">
        <v>3</v>
      </c>
      <c r="H246" s="4">
        <f t="shared" si="6"/>
        <v>0</v>
      </c>
      <c r="I246" s="4">
        <f t="shared" si="7"/>
        <v>0</v>
      </c>
      <c r="J246" s="4">
        <v>280</v>
      </c>
      <c r="K246" s="4">
        <v>0</v>
      </c>
      <c r="L246" s="4">
        <v>0</v>
      </c>
      <c r="M246" s="4">
        <v>0</v>
      </c>
      <c r="N246" s="4">
        <v>0</v>
      </c>
      <c r="O246" s="4">
        <v>0</v>
      </c>
    </row>
    <row r="247" spans="1:15" x14ac:dyDescent="0.15">
      <c r="A247" s="4">
        <v>244</v>
      </c>
      <c r="B247" s="4">
        <v>65</v>
      </c>
      <c r="C247" s="4">
        <v>39</v>
      </c>
      <c r="D247" s="4">
        <v>170</v>
      </c>
      <c r="E247" s="4">
        <v>3</v>
      </c>
      <c r="F247" s="8">
        <v>7.9</v>
      </c>
      <c r="G247" s="4">
        <v>3</v>
      </c>
      <c r="H247" s="4">
        <f t="shared" si="6"/>
        <v>0</v>
      </c>
      <c r="I247" s="4">
        <f t="shared" si="7"/>
        <v>0</v>
      </c>
      <c r="J247" s="4">
        <v>99</v>
      </c>
      <c r="K247" s="4">
        <v>0</v>
      </c>
      <c r="L247" s="4">
        <v>1</v>
      </c>
      <c r="M247" s="4">
        <v>1</v>
      </c>
      <c r="N247" s="4">
        <v>0</v>
      </c>
      <c r="O247" s="4">
        <v>1</v>
      </c>
    </row>
    <row r="248" spans="1:15" x14ac:dyDescent="0.15">
      <c r="A248" s="4">
        <v>245</v>
      </c>
      <c r="B248" s="4">
        <v>41</v>
      </c>
      <c r="C248" s="4">
        <v>17</v>
      </c>
      <c r="D248" s="4">
        <v>78</v>
      </c>
      <c r="E248" s="4">
        <v>4</v>
      </c>
      <c r="F248" s="8">
        <v>0.8</v>
      </c>
      <c r="G248" s="4">
        <v>1</v>
      </c>
      <c r="H248" s="4">
        <f t="shared" si="6"/>
        <v>1</v>
      </c>
      <c r="I248" s="4">
        <f t="shared" si="7"/>
        <v>0</v>
      </c>
      <c r="J248" s="4">
        <v>78</v>
      </c>
      <c r="K248" s="4">
        <v>0</v>
      </c>
      <c r="L248" s="4">
        <v>0</v>
      </c>
      <c r="M248" s="4">
        <v>1</v>
      </c>
      <c r="N248" s="4">
        <v>0</v>
      </c>
      <c r="O248" s="4">
        <v>0</v>
      </c>
    </row>
    <row r="249" spans="1:15" x14ac:dyDescent="0.15">
      <c r="A249" s="4">
        <v>246</v>
      </c>
      <c r="B249" s="4">
        <v>35</v>
      </c>
      <c r="C249" s="4">
        <v>11</v>
      </c>
      <c r="D249" s="4">
        <v>25</v>
      </c>
      <c r="E249" s="4">
        <v>2</v>
      </c>
      <c r="F249" s="8">
        <v>1</v>
      </c>
      <c r="G249" s="4">
        <v>2</v>
      </c>
      <c r="H249" s="4">
        <f t="shared" si="6"/>
        <v>0</v>
      </c>
      <c r="I249" s="4">
        <f t="shared" si="7"/>
        <v>1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</row>
    <row r="250" spans="1:15" x14ac:dyDescent="0.15">
      <c r="A250" s="4">
        <v>247</v>
      </c>
      <c r="B250" s="4">
        <v>38</v>
      </c>
      <c r="C250" s="4">
        <v>14</v>
      </c>
      <c r="D250" s="4">
        <v>60</v>
      </c>
      <c r="E250" s="4">
        <v>2</v>
      </c>
      <c r="F250" s="8">
        <v>0.6</v>
      </c>
      <c r="G250" s="4">
        <v>3</v>
      </c>
      <c r="H250" s="4">
        <f t="shared" si="6"/>
        <v>0</v>
      </c>
      <c r="I250" s="4">
        <f t="shared" si="7"/>
        <v>0</v>
      </c>
      <c r="J250" s="4">
        <v>0</v>
      </c>
      <c r="K250" s="4">
        <v>0</v>
      </c>
      <c r="L250" s="4">
        <v>0</v>
      </c>
      <c r="M250" s="4">
        <v>1</v>
      </c>
      <c r="N250" s="4">
        <v>1</v>
      </c>
      <c r="O250" s="4">
        <v>0</v>
      </c>
    </row>
    <row r="251" spans="1:15" x14ac:dyDescent="0.15">
      <c r="A251" s="4">
        <v>248</v>
      </c>
      <c r="B251" s="4">
        <v>53</v>
      </c>
      <c r="C251" s="4">
        <v>29</v>
      </c>
      <c r="D251" s="4">
        <v>120</v>
      </c>
      <c r="E251" s="4">
        <v>4</v>
      </c>
      <c r="F251" s="8">
        <v>2.7</v>
      </c>
      <c r="G251" s="4">
        <v>2</v>
      </c>
      <c r="H251" s="4">
        <f t="shared" si="6"/>
        <v>0</v>
      </c>
      <c r="I251" s="4">
        <f t="shared" si="7"/>
        <v>1</v>
      </c>
      <c r="J251" s="4">
        <v>111</v>
      </c>
      <c r="K251" s="4">
        <v>1</v>
      </c>
      <c r="L251" s="4">
        <v>1</v>
      </c>
      <c r="M251" s="4">
        <v>1</v>
      </c>
      <c r="N251" s="4">
        <v>0</v>
      </c>
      <c r="O251" s="4">
        <v>1</v>
      </c>
    </row>
    <row r="252" spans="1:15" x14ac:dyDescent="0.15">
      <c r="A252" s="4">
        <v>249</v>
      </c>
      <c r="B252" s="4">
        <v>55</v>
      </c>
      <c r="C252" s="4">
        <v>29</v>
      </c>
      <c r="D252" s="4">
        <v>99</v>
      </c>
      <c r="E252" s="4">
        <v>2</v>
      </c>
      <c r="F252" s="8">
        <v>1.4</v>
      </c>
      <c r="G252" s="4">
        <v>1</v>
      </c>
      <c r="H252" s="4">
        <f t="shared" si="6"/>
        <v>1</v>
      </c>
      <c r="I252" s="4">
        <f t="shared" si="7"/>
        <v>0</v>
      </c>
      <c r="J252" s="4">
        <v>264</v>
      </c>
      <c r="K252" s="4">
        <v>0</v>
      </c>
      <c r="L252" s="4">
        <v>0</v>
      </c>
      <c r="M252" s="4">
        <v>1</v>
      </c>
      <c r="N252" s="4">
        <v>1</v>
      </c>
      <c r="O252" s="4">
        <v>0</v>
      </c>
    </row>
    <row r="253" spans="1:15" x14ac:dyDescent="0.15">
      <c r="A253" s="4">
        <v>250</v>
      </c>
      <c r="B253" s="4">
        <v>26</v>
      </c>
      <c r="C253" s="4">
        <v>1</v>
      </c>
      <c r="D253" s="4">
        <v>55</v>
      </c>
      <c r="E253" s="4">
        <v>3</v>
      </c>
      <c r="F253" s="8">
        <v>2.6</v>
      </c>
      <c r="G253" s="4">
        <v>3</v>
      </c>
      <c r="H253" s="4">
        <f t="shared" si="6"/>
        <v>0</v>
      </c>
      <c r="I253" s="4">
        <f t="shared" si="7"/>
        <v>0</v>
      </c>
      <c r="J253" s="4">
        <v>113</v>
      </c>
      <c r="K253" s="4">
        <v>0</v>
      </c>
      <c r="L253" s="4">
        <v>0</v>
      </c>
      <c r="M253" s="4">
        <v>0</v>
      </c>
      <c r="N253" s="4">
        <v>1</v>
      </c>
      <c r="O253" s="4">
        <v>0</v>
      </c>
    </row>
    <row r="254" spans="1:15" x14ac:dyDescent="0.15">
      <c r="A254" s="4">
        <v>251</v>
      </c>
      <c r="B254" s="4">
        <v>30</v>
      </c>
      <c r="C254" s="4">
        <v>6</v>
      </c>
      <c r="D254" s="4">
        <v>29</v>
      </c>
      <c r="E254" s="4">
        <v>3</v>
      </c>
      <c r="F254" s="8">
        <v>1</v>
      </c>
      <c r="G254" s="4">
        <v>2</v>
      </c>
      <c r="H254" s="4">
        <f t="shared" si="6"/>
        <v>0</v>
      </c>
      <c r="I254" s="4">
        <f t="shared" si="7"/>
        <v>1</v>
      </c>
      <c r="J254" s="4">
        <v>117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</row>
    <row r="255" spans="1:15" x14ac:dyDescent="0.15">
      <c r="A255" s="4">
        <v>252</v>
      </c>
      <c r="B255" s="4">
        <v>54</v>
      </c>
      <c r="C255" s="4">
        <v>28</v>
      </c>
      <c r="D255" s="4">
        <v>170</v>
      </c>
      <c r="E255" s="4">
        <v>2</v>
      </c>
      <c r="F255" s="8">
        <v>6.2</v>
      </c>
      <c r="G255" s="4">
        <v>2</v>
      </c>
      <c r="H255" s="4">
        <f t="shared" si="6"/>
        <v>0</v>
      </c>
      <c r="I255" s="4">
        <f t="shared" si="7"/>
        <v>1</v>
      </c>
      <c r="J255" s="4">
        <v>325</v>
      </c>
      <c r="K255" s="4">
        <v>0</v>
      </c>
      <c r="L255" s="4">
        <v>0</v>
      </c>
      <c r="M255" s="4">
        <v>1</v>
      </c>
      <c r="N255" s="4">
        <v>0</v>
      </c>
      <c r="O255" s="4">
        <v>1</v>
      </c>
    </row>
    <row r="256" spans="1:15" x14ac:dyDescent="0.15">
      <c r="A256" s="4">
        <v>253</v>
      </c>
      <c r="B256" s="4">
        <v>65</v>
      </c>
      <c r="C256" s="4">
        <v>40</v>
      </c>
      <c r="D256" s="4">
        <v>53</v>
      </c>
      <c r="E256" s="4">
        <v>3</v>
      </c>
      <c r="F256" s="8">
        <v>2.2000000000000002</v>
      </c>
      <c r="G256" s="4">
        <v>1</v>
      </c>
      <c r="H256" s="4">
        <f t="shared" si="6"/>
        <v>1</v>
      </c>
      <c r="I256" s="4">
        <f t="shared" si="7"/>
        <v>0</v>
      </c>
      <c r="J256" s="4">
        <v>0</v>
      </c>
      <c r="K256" s="4">
        <v>0</v>
      </c>
      <c r="L256" s="4">
        <v>0</v>
      </c>
      <c r="M256" s="4">
        <v>0</v>
      </c>
      <c r="N256" s="4">
        <v>1</v>
      </c>
      <c r="O256" s="4">
        <v>0</v>
      </c>
    </row>
    <row r="257" spans="1:15" x14ac:dyDescent="0.15">
      <c r="A257" s="4">
        <v>254</v>
      </c>
      <c r="B257" s="4">
        <v>47</v>
      </c>
      <c r="C257" s="4">
        <v>21</v>
      </c>
      <c r="D257" s="4">
        <v>138</v>
      </c>
      <c r="E257" s="4">
        <v>1</v>
      </c>
      <c r="F257" s="8">
        <v>0</v>
      </c>
      <c r="G257" s="4">
        <v>1</v>
      </c>
      <c r="H257" s="4">
        <f t="shared" si="6"/>
        <v>1</v>
      </c>
      <c r="I257" s="4">
        <f t="shared" si="7"/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</row>
    <row r="258" spans="1:15" x14ac:dyDescent="0.15">
      <c r="A258" s="4">
        <v>255</v>
      </c>
      <c r="B258" s="4">
        <v>65</v>
      </c>
      <c r="C258" s="4">
        <v>41</v>
      </c>
      <c r="D258" s="4">
        <v>134</v>
      </c>
      <c r="E258" s="4">
        <v>3</v>
      </c>
      <c r="F258" s="8">
        <v>3.9</v>
      </c>
      <c r="G258" s="4">
        <v>3</v>
      </c>
      <c r="H258" s="4">
        <f t="shared" si="6"/>
        <v>0</v>
      </c>
      <c r="I258" s="4">
        <f t="shared" si="7"/>
        <v>0</v>
      </c>
      <c r="J258" s="4">
        <v>121</v>
      </c>
      <c r="K258" s="4">
        <v>0</v>
      </c>
      <c r="L258" s="4">
        <v>0</v>
      </c>
      <c r="M258" s="4">
        <v>1</v>
      </c>
      <c r="N258" s="4">
        <v>0</v>
      </c>
      <c r="O258" s="4">
        <v>1</v>
      </c>
    </row>
    <row r="259" spans="1:15" x14ac:dyDescent="0.15">
      <c r="A259" s="4">
        <v>256</v>
      </c>
      <c r="B259" s="4">
        <v>66</v>
      </c>
      <c r="C259" s="4">
        <v>40</v>
      </c>
      <c r="D259" s="4">
        <v>42</v>
      </c>
      <c r="E259" s="4">
        <v>2</v>
      </c>
      <c r="F259" s="8">
        <v>0.7</v>
      </c>
      <c r="G259" s="4">
        <v>3</v>
      </c>
      <c r="H259" s="4">
        <f t="shared" si="6"/>
        <v>0</v>
      </c>
      <c r="I259" s="4">
        <f t="shared" si="7"/>
        <v>0</v>
      </c>
      <c r="J259" s="4">
        <v>138</v>
      </c>
      <c r="K259" s="4">
        <v>0</v>
      </c>
      <c r="L259" s="4">
        <v>0</v>
      </c>
      <c r="M259" s="4">
        <v>0</v>
      </c>
      <c r="N259" s="4">
        <v>1</v>
      </c>
      <c r="O259" s="4">
        <v>0</v>
      </c>
    </row>
    <row r="260" spans="1:15" x14ac:dyDescent="0.15">
      <c r="A260" s="4">
        <v>257</v>
      </c>
      <c r="B260" s="4">
        <v>26</v>
      </c>
      <c r="C260" s="4">
        <v>0</v>
      </c>
      <c r="D260" s="4">
        <v>99</v>
      </c>
      <c r="E260" s="4">
        <v>4</v>
      </c>
      <c r="F260" s="8">
        <v>2.2999999999999998</v>
      </c>
      <c r="G260" s="4">
        <v>3</v>
      </c>
      <c r="H260" s="4">
        <f t="shared" si="6"/>
        <v>0</v>
      </c>
      <c r="I260" s="4">
        <f t="shared" si="7"/>
        <v>0</v>
      </c>
      <c r="J260" s="4">
        <v>0</v>
      </c>
      <c r="K260" s="4">
        <v>0</v>
      </c>
      <c r="L260" s="4">
        <v>0</v>
      </c>
      <c r="M260" s="4">
        <v>0</v>
      </c>
      <c r="N260" s="4">
        <v>1</v>
      </c>
      <c r="O260" s="4">
        <v>0</v>
      </c>
    </row>
    <row r="261" spans="1:15" x14ac:dyDescent="0.15">
      <c r="A261" s="4">
        <v>258</v>
      </c>
      <c r="B261" s="4">
        <v>66</v>
      </c>
      <c r="C261" s="4">
        <v>41</v>
      </c>
      <c r="D261" s="4">
        <v>18</v>
      </c>
      <c r="E261" s="4">
        <v>3</v>
      </c>
      <c r="F261" s="8">
        <v>0.5</v>
      </c>
      <c r="G261" s="4">
        <v>1</v>
      </c>
      <c r="H261" s="4">
        <f t="shared" ref="H261:H324" si="8">IF(G261=1,1,0)</f>
        <v>1</v>
      </c>
      <c r="I261" s="4">
        <f t="shared" ref="I261:I324" si="9">IF(G261=2,1,0)</f>
        <v>0</v>
      </c>
      <c r="J261" s="4">
        <v>0</v>
      </c>
      <c r="K261" s="4">
        <v>0</v>
      </c>
      <c r="L261" s="4">
        <v>0</v>
      </c>
      <c r="M261" s="4">
        <v>0</v>
      </c>
      <c r="N261" s="4">
        <v>1</v>
      </c>
      <c r="O261" s="4">
        <v>0</v>
      </c>
    </row>
    <row r="262" spans="1:15" x14ac:dyDescent="0.15">
      <c r="A262" s="4">
        <v>259</v>
      </c>
      <c r="B262" s="4">
        <v>35</v>
      </c>
      <c r="C262" s="4">
        <v>9</v>
      </c>
      <c r="D262" s="4">
        <v>24</v>
      </c>
      <c r="E262" s="4">
        <v>4</v>
      </c>
      <c r="F262" s="8">
        <v>0.3</v>
      </c>
      <c r="G262" s="4">
        <v>1</v>
      </c>
      <c r="H262" s="4">
        <f t="shared" si="8"/>
        <v>1</v>
      </c>
      <c r="I262" s="4">
        <f t="shared" si="9"/>
        <v>0</v>
      </c>
      <c r="J262" s="4">
        <v>0</v>
      </c>
      <c r="K262" s="4">
        <v>0</v>
      </c>
      <c r="L262" s="4">
        <v>0</v>
      </c>
      <c r="M262" s="4">
        <v>1</v>
      </c>
      <c r="N262" s="4">
        <v>0</v>
      </c>
      <c r="O262" s="4">
        <v>0</v>
      </c>
    </row>
    <row r="263" spans="1:15" x14ac:dyDescent="0.15">
      <c r="A263" s="4">
        <v>260</v>
      </c>
      <c r="B263" s="4">
        <v>56</v>
      </c>
      <c r="C263" s="4">
        <v>30</v>
      </c>
      <c r="D263" s="4">
        <v>55</v>
      </c>
      <c r="E263" s="4">
        <v>1</v>
      </c>
      <c r="F263" s="8">
        <v>1.4</v>
      </c>
      <c r="G263" s="4">
        <v>1</v>
      </c>
      <c r="H263" s="4">
        <f t="shared" si="8"/>
        <v>1</v>
      </c>
      <c r="I263" s="4">
        <f t="shared" si="9"/>
        <v>0</v>
      </c>
      <c r="J263" s="4">
        <v>77</v>
      </c>
      <c r="K263" s="4">
        <v>0</v>
      </c>
      <c r="L263" s="4">
        <v>0</v>
      </c>
      <c r="M263" s="4">
        <v>1</v>
      </c>
      <c r="N263" s="4">
        <v>0</v>
      </c>
      <c r="O263" s="4">
        <v>0</v>
      </c>
    </row>
    <row r="264" spans="1:15" x14ac:dyDescent="0.15">
      <c r="A264" s="4">
        <v>261</v>
      </c>
      <c r="B264" s="4">
        <v>51</v>
      </c>
      <c r="C264" s="4">
        <v>27</v>
      </c>
      <c r="D264" s="4">
        <v>58</v>
      </c>
      <c r="E264" s="4">
        <v>1</v>
      </c>
      <c r="F264" s="8">
        <v>0</v>
      </c>
      <c r="G264" s="4">
        <v>1</v>
      </c>
      <c r="H264" s="4">
        <f t="shared" si="8"/>
        <v>1</v>
      </c>
      <c r="I264" s="4">
        <f t="shared" si="9"/>
        <v>0</v>
      </c>
      <c r="J264" s="4">
        <v>0</v>
      </c>
      <c r="K264" s="4">
        <v>0</v>
      </c>
      <c r="L264" s="4">
        <v>0</v>
      </c>
      <c r="M264" s="4">
        <v>0</v>
      </c>
      <c r="N264" s="4">
        <v>1</v>
      </c>
      <c r="O264" s="4">
        <v>0</v>
      </c>
    </row>
    <row r="265" spans="1:15" x14ac:dyDescent="0.15">
      <c r="A265" s="4">
        <v>262</v>
      </c>
      <c r="B265" s="4">
        <v>42</v>
      </c>
      <c r="C265" s="4">
        <v>16</v>
      </c>
      <c r="D265" s="4">
        <v>111</v>
      </c>
      <c r="E265" s="4">
        <v>2</v>
      </c>
      <c r="F265" s="8">
        <v>1.2</v>
      </c>
      <c r="G265" s="4">
        <v>3</v>
      </c>
      <c r="H265" s="4">
        <f t="shared" si="8"/>
        <v>0</v>
      </c>
      <c r="I265" s="4">
        <f t="shared" si="9"/>
        <v>0</v>
      </c>
      <c r="J265" s="4">
        <v>251</v>
      </c>
      <c r="K265" s="4">
        <v>0</v>
      </c>
      <c r="L265" s="4">
        <v>0</v>
      </c>
      <c r="M265" s="4">
        <v>1</v>
      </c>
      <c r="N265" s="4">
        <v>0</v>
      </c>
      <c r="O265" s="4">
        <v>1</v>
      </c>
    </row>
    <row r="266" spans="1:15" x14ac:dyDescent="0.15">
      <c r="A266" s="4">
        <v>263</v>
      </c>
      <c r="B266" s="4">
        <v>49</v>
      </c>
      <c r="C266" s="4">
        <v>23</v>
      </c>
      <c r="D266" s="4">
        <v>33</v>
      </c>
      <c r="E266" s="4">
        <v>1</v>
      </c>
      <c r="F266" s="8">
        <v>0.3</v>
      </c>
      <c r="G266" s="4">
        <v>3</v>
      </c>
      <c r="H266" s="4">
        <f t="shared" si="8"/>
        <v>0</v>
      </c>
      <c r="I266" s="4">
        <f t="shared" si="9"/>
        <v>0</v>
      </c>
      <c r="J266" s="4">
        <v>0</v>
      </c>
      <c r="K266" s="4">
        <v>0</v>
      </c>
      <c r="L266" s="4">
        <v>1</v>
      </c>
      <c r="M266" s="4">
        <v>1</v>
      </c>
      <c r="N266" s="4">
        <v>1</v>
      </c>
      <c r="O266" s="4">
        <v>0</v>
      </c>
    </row>
    <row r="267" spans="1:15" x14ac:dyDescent="0.15">
      <c r="A267" s="4">
        <v>264</v>
      </c>
      <c r="B267" s="4">
        <v>27</v>
      </c>
      <c r="C267" s="4">
        <v>1</v>
      </c>
      <c r="D267" s="4">
        <v>74</v>
      </c>
      <c r="E267" s="4">
        <v>4</v>
      </c>
      <c r="F267" s="8">
        <v>1.8</v>
      </c>
      <c r="G267" s="4">
        <v>2</v>
      </c>
      <c r="H267" s="4">
        <f t="shared" si="8"/>
        <v>0</v>
      </c>
      <c r="I267" s="4">
        <f t="shared" si="9"/>
        <v>1</v>
      </c>
      <c r="J267" s="4">
        <v>112</v>
      </c>
      <c r="K267" s="4">
        <v>0</v>
      </c>
      <c r="L267" s="4">
        <v>0</v>
      </c>
      <c r="M267" s="4">
        <v>1</v>
      </c>
      <c r="N267" s="4">
        <v>1</v>
      </c>
      <c r="O267" s="4">
        <v>0</v>
      </c>
    </row>
    <row r="268" spans="1:15" x14ac:dyDescent="0.15">
      <c r="A268" s="4">
        <v>265</v>
      </c>
      <c r="B268" s="4">
        <v>45</v>
      </c>
      <c r="C268" s="4">
        <v>19</v>
      </c>
      <c r="D268" s="4">
        <v>38</v>
      </c>
      <c r="E268" s="4">
        <v>2</v>
      </c>
      <c r="F268" s="8">
        <v>0.7</v>
      </c>
      <c r="G268" s="4">
        <v>1</v>
      </c>
      <c r="H268" s="4">
        <f t="shared" si="8"/>
        <v>1</v>
      </c>
      <c r="I268" s="4">
        <f t="shared" si="9"/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</row>
    <row r="269" spans="1:15" x14ac:dyDescent="0.15">
      <c r="A269" s="4">
        <v>266</v>
      </c>
      <c r="B269" s="4">
        <v>49</v>
      </c>
      <c r="C269" s="4">
        <v>23</v>
      </c>
      <c r="D269" s="4">
        <v>23</v>
      </c>
      <c r="E269" s="4">
        <v>4</v>
      </c>
      <c r="F269" s="8">
        <v>0.6</v>
      </c>
      <c r="G269" s="4">
        <v>3</v>
      </c>
      <c r="H269" s="4">
        <f t="shared" si="8"/>
        <v>0</v>
      </c>
      <c r="I269" s="4">
        <f t="shared" si="9"/>
        <v>0</v>
      </c>
      <c r="J269" s="4">
        <v>98</v>
      </c>
      <c r="K269" s="4">
        <v>1</v>
      </c>
      <c r="L269" s="4">
        <v>0</v>
      </c>
      <c r="M269" s="4">
        <v>0</v>
      </c>
      <c r="N269" s="4">
        <v>0</v>
      </c>
      <c r="O269" s="4">
        <v>0</v>
      </c>
    </row>
    <row r="270" spans="1:15" x14ac:dyDescent="0.15">
      <c r="A270" s="4">
        <v>267</v>
      </c>
      <c r="B270" s="4">
        <v>63</v>
      </c>
      <c r="C270" s="4">
        <v>38</v>
      </c>
      <c r="D270" s="4">
        <v>61</v>
      </c>
      <c r="E270" s="4">
        <v>2</v>
      </c>
      <c r="F270" s="8">
        <v>1.5</v>
      </c>
      <c r="G270" s="4">
        <v>1</v>
      </c>
      <c r="H270" s="4">
        <f t="shared" si="8"/>
        <v>1</v>
      </c>
      <c r="I270" s="4">
        <f t="shared" si="9"/>
        <v>0</v>
      </c>
      <c r="J270" s="4">
        <v>0</v>
      </c>
      <c r="K270" s="4">
        <v>0</v>
      </c>
      <c r="L270" s="4">
        <v>0</v>
      </c>
      <c r="M270" s="4">
        <v>1</v>
      </c>
      <c r="N270" s="4">
        <v>0</v>
      </c>
      <c r="O270" s="4">
        <v>0</v>
      </c>
    </row>
    <row r="271" spans="1:15" x14ac:dyDescent="0.15">
      <c r="A271" s="4">
        <v>268</v>
      </c>
      <c r="B271" s="4">
        <v>47</v>
      </c>
      <c r="C271" s="4">
        <v>22</v>
      </c>
      <c r="D271" s="4">
        <v>81</v>
      </c>
      <c r="E271" s="4">
        <v>1</v>
      </c>
      <c r="F271" s="8">
        <v>2.9</v>
      </c>
      <c r="G271" s="4">
        <v>1</v>
      </c>
      <c r="H271" s="4">
        <f t="shared" si="8"/>
        <v>1</v>
      </c>
      <c r="I271" s="4">
        <f t="shared" si="9"/>
        <v>0</v>
      </c>
      <c r="J271" s="4">
        <v>138</v>
      </c>
      <c r="K271" s="4">
        <v>0</v>
      </c>
      <c r="L271" s="4">
        <v>0</v>
      </c>
      <c r="M271" s="4">
        <v>0</v>
      </c>
      <c r="N271" s="4">
        <v>0</v>
      </c>
      <c r="O271" s="4">
        <v>0</v>
      </c>
    </row>
    <row r="272" spans="1:15" x14ac:dyDescent="0.15">
      <c r="A272" s="4">
        <v>269</v>
      </c>
      <c r="B272" s="4">
        <v>64</v>
      </c>
      <c r="C272" s="4">
        <v>39</v>
      </c>
      <c r="D272" s="4">
        <v>129</v>
      </c>
      <c r="E272" s="4">
        <v>1</v>
      </c>
      <c r="F272" s="8">
        <v>2.5</v>
      </c>
      <c r="G272" s="4">
        <v>1</v>
      </c>
      <c r="H272" s="4">
        <f t="shared" si="8"/>
        <v>1</v>
      </c>
      <c r="I272" s="4">
        <f t="shared" si="9"/>
        <v>0</v>
      </c>
      <c r="J272" s="4">
        <v>0</v>
      </c>
      <c r="K272" s="4">
        <v>0</v>
      </c>
      <c r="L272" s="4">
        <v>0</v>
      </c>
      <c r="M272" s="4">
        <v>1</v>
      </c>
      <c r="N272" s="4">
        <v>0</v>
      </c>
      <c r="O272" s="4">
        <v>0</v>
      </c>
    </row>
    <row r="273" spans="1:15" x14ac:dyDescent="0.15">
      <c r="A273" s="4">
        <v>270</v>
      </c>
      <c r="B273" s="4">
        <v>43</v>
      </c>
      <c r="C273" s="4">
        <v>13</v>
      </c>
      <c r="D273" s="4">
        <v>33</v>
      </c>
      <c r="E273" s="4">
        <v>1</v>
      </c>
      <c r="F273" s="8">
        <v>0.75</v>
      </c>
      <c r="G273" s="4">
        <v>3</v>
      </c>
      <c r="H273" s="4">
        <f t="shared" si="8"/>
        <v>0</v>
      </c>
      <c r="I273" s="4">
        <f t="shared" si="9"/>
        <v>0</v>
      </c>
      <c r="J273" s="4">
        <v>0</v>
      </c>
      <c r="K273" s="4">
        <v>0</v>
      </c>
      <c r="L273" s="4">
        <v>0</v>
      </c>
      <c r="M273" s="4">
        <v>0</v>
      </c>
      <c r="N273" s="4">
        <v>0</v>
      </c>
      <c r="O273" s="4">
        <v>0</v>
      </c>
    </row>
    <row r="274" spans="1:15" x14ac:dyDescent="0.15">
      <c r="A274" s="4">
        <v>271</v>
      </c>
      <c r="B274" s="4">
        <v>60</v>
      </c>
      <c r="C274" s="4">
        <v>36</v>
      </c>
      <c r="D274" s="4">
        <v>63</v>
      </c>
      <c r="E274" s="4">
        <v>4</v>
      </c>
      <c r="F274" s="8">
        <v>2.2000000000000002</v>
      </c>
      <c r="G274" s="4">
        <v>1</v>
      </c>
      <c r="H274" s="4">
        <f t="shared" si="8"/>
        <v>1</v>
      </c>
      <c r="I274" s="4">
        <f t="shared" si="9"/>
        <v>0</v>
      </c>
      <c r="J274" s="4">
        <v>0</v>
      </c>
      <c r="K274" s="4">
        <v>0</v>
      </c>
      <c r="L274" s="4">
        <v>0</v>
      </c>
      <c r="M274" s="4">
        <v>1</v>
      </c>
      <c r="N274" s="4">
        <v>0</v>
      </c>
      <c r="O274" s="4">
        <v>0</v>
      </c>
    </row>
    <row r="275" spans="1:15" x14ac:dyDescent="0.15">
      <c r="A275" s="4">
        <v>272</v>
      </c>
      <c r="B275" s="4">
        <v>40</v>
      </c>
      <c r="C275" s="4">
        <v>14</v>
      </c>
      <c r="D275" s="4">
        <v>70</v>
      </c>
      <c r="E275" s="4">
        <v>4</v>
      </c>
      <c r="F275" s="8">
        <v>1.4</v>
      </c>
      <c r="G275" s="4">
        <v>2</v>
      </c>
      <c r="H275" s="4">
        <f t="shared" si="8"/>
        <v>0</v>
      </c>
      <c r="I275" s="4">
        <f t="shared" si="9"/>
        <v>1</v>
      </c>
      <c r="J275" s="4">
        <v>0</v>
      </c>
      <c r="K275" s="4">
        <v>0</v>
      </c>
      <c r="L275" s="4">
        <v>0</v>
      </c>
      <c r="M275" s="4">
        <v>1</v>
      </c>
      <c r="N275" s="4">
        <v>0</v>
      </c>
      <c r="O275" s="4">
        <v>0</v>
      </c>
    </row>
    <row r="276" spans="1:15" x14ac:dyDescent="0.15">
      <c r="A276" s="4">
        <v>273</v>
      </c>
      <c r="B276" s="4">
        <v>29</v>
      </c>
      <c r="C276" s="4">
        <v>3</v>
      </c>
      <c r="D276" s="4">
        <v>45</v>
      </c>
      <c r="E276" s="4">
        <v>4</v>
      </c>
      <c r="F276" s="8">
        <v>0.2</v>
      </c>
      <c r="G276" s="4">
        <v>1</v>
      </c>
      <c r="H276" s="4">
        <f t="shared" si="8"/>
        <v>1</v>
      </c>
      <c r="I276" s="4">
        <f t="shared" si="9"/>
        <v>0</v>
      </c>
      <c r="J276" s="4">
        <v>158</v>
      </c>
      <c r="K276" s="4">
        <v>0</v>
      </c>
      <c r="L276" s="4">
        <v>0</v>
      </c>
      <c r="M276" s="4">
        <v>1</v>
      </c>
      <c r="N276" s="4">
        <v>1</v>
      </c>
      <c r="O276" s="4">
        <v>0</v>
      </c>
    </row>
    <row r="277" spans="1:15" x14ac:dyDescent="0.15">
      <c r="A277" s="4">
        <v>274</v>
      </c>
      <c r="B277" s="4">
        <v>41</v>
      </c>
      <c r="C277" s="4">
        <v>16</v>
      </c>
      <c r="D277" s="4">
        <v>65</v>
      </c>
      <c r="E277" s="4">
        <v>3</v>
      </c>
      <c r="F277" s="8">
        <v>0.5</v>
      </c>
      <c r="G277" s="4">
        <v>3</v>
      </c>
      <c r="H277" s="4">
        <f t="shared" si="8"/>
        <v>0</v>
      </c>
      <c r="I277" s="4">
        <f t="shared" si="9"/>
        <v>0</v>
      </c>
      <c r="J277" s="4">
        <v>0</v>
      </c>
      <c r="K277" s="4">
        <v>0</v>
      </c>
      <c r="L277" s="4">
        <v>0</v>
      </c>
      <c r="M277" s="4">
        <v>1</v>
      </c>
      <c r="N277" s="4">
        <v>0</v>
      </c>
      <c r="O277" s="4">
        <v>0</v>
      </c>
    </row>
    <row r="278" spans="1:15" x14ac:dyDescent="0.15">
      <c r="A278" s="4">
        <v>275</v>
      </c>
      <c r="B278" s="4">
        <v>30</v>
      </c>
      <c r="C278" s="4">
        <v>5</v>
      </c>
      <c r="D278" s="4">
        <v>74</v>
      </c>
      <c r="E278" s="4">
        <v>4</v>
      </c>
      <c r="F278" s="8">
        <v>2.2000000000000002</v>
      </c>
      <c r="G278" s="4">
        <v>1</v>
      </c>
      <c r="H278" s="4">
        <f t="shared" si="8"/>
        <v>1</v>
      </c>
      <c r="I278" s="4">
        <f t="shared" si="9"/>
        <v>0</v>
      </c>
      <c r="J278" s="4">
        <v>0</v>
      </c>
      <c r="K278" s="4">
        <v>1</v>
      </c>
      <c r="L278" s="4">
        <v>0</v>
      </c>
      <c r="M278" s="4">
        <v>0</v>
      </c>
      <c r="N278" s="4">
        <v>1</v>
      </c>
      <c r="O278" s="4">
        <v>0</v>
      </c>
    </row>
    <row r="279" spans="1:15" x14ac:dyDescent="0.15">
      <c r="A279" s="4">
        <v>276</v>
      </c>
      <c r="B279" s="4">
        <v>49</v>
      </c>
      <c r="C279" s="4">
        <v>24</v>
      </c>
      <c r="D279" s="4">
        <v>50</v>
      </c>
      <c r="E279" s="4">
        <v>4</v>
      </c>
      <c r="F279" s="8">
        <v>1.8</v>
      </c>
      <c r="G279" s="4">
        <v>3</v>
      </c>
      <c r="H279" s="4">
        <f t="shared" si="8"/>
        <v>0</v>
      </c>
      <c r="I279" s="4">
        <f t="shared" si="9"/>
        <v>0</v>
      </c>
      <c r="J279" s="4">
        <v>0</v>
      </c>
      <c r="K279" s="4">
        <v>1</v>
      </c>
      <c r="L279" s="4">
        <v>0</v>
      </c>
      <c r="M279" s="4">
        <v>0</v>
      </c>
      <c r="N279" s="4">
        <v>0</v>
      </c>
      <c r="O279" s="4">
        <v>0</v>
      </c>
    </row>
    <row r="280" spans="1:15" x14ac:dyDescent="0.15">
      <c r="A280" s="4">
        <v>277</v>
      </c>
      <c r="B280" s="4">
        <v>30</v>
      </c>
      <c r="C280" s="4">
        <v>5</v>
      </c>
      <c r="D280" s="4">
        <v>22</v>
      </c>
      <c r="E280" s="4">
        <v>4</v>
      </c>
      <c r="F280" s="8">
        <v>0.5</v>
      </c>
      <c r="G280" s="4">
        <v>3</v>
      </c>
      <c r="H280" s="4">
        <f t="shared" si="8"/>
        <v>0</v>
      </c>
      <c r="I280" s="4">
        <f t="shared" si="9"/>
        <v>0</v>
      </c>
      <c r="J280" s="4">
        <v>109</v>
      </c>
      <c r="K280" s="4">
        <v>0</v>
      </c>
      <c r="L280" s="4">
        <v>0</v>
      </c>
      <c r="M280" s="4">
        <v>1</v>
      </c>
      <c r="N280" s="4">
        <v>0</v>
      </c>
      <c r="O280" s="4">
        <v>0</v>
      </c>
    </row>
    <row r="281" spans="1:15" x14ac:dyDescent="0.15">
      <c r="A281" s="4">
        <v>278</v>
      </c>
      <c r="B281" s="4">
        <v>29</v>
      </c>
      <c r="C281" s="4">
        <v>2</v>
      </c>
      <c r="D281" s="4">
        <v>30</v>
      </c>
      <c r="E281" s="4">
        <v>4</v>
      </c>
      <c r="F281" s="8">
        <v>1</v>
      </c>
      <c r="G281" s="4">
        <v>3</v>
      </c>
      <c r="H281" s="4">
        <f t="shared" si="8"/>
        <v>0</v>
      </c>
      <c r="I281" s="4">
        <f t="shared" si="9"/>
        <v>0</v>
      </c>
      <c r="J281" s="4">
        <v>0</v>
      </c>
      <c r="K281" s="4">
        <v>0</v>
      </c>
      <c r="L281" s="4">
        <v>0</v>
      </c>
      <c r="M281" s="4">
        <v>0</v>
      </c>
      <c r="N281" s="4">
        <v>0</v>
      </c>
      <c r="O281" s="4">
        <v>0</v>
      </c>
    </row>
    <row r="282" spans="1:15" x14ac:dyDescent="0.15">
      <c r="A282" s="4">
        <v>279</v>
      </c>
      <c r="B282" s="4">
        <v>50</v>
      </c>
      <c r="C282" s="4">
        <v>26</v>
      </c>
      <c r="D282" s="4">
        <v>21</v>
      </c>
      <c r="E282" s="4">
        <v>4</v>
      </c>
      <c r="F282" s="8">
        <v>1</v>
      </c>
      <c r="G282" s="4">
        <v>1</v>
      </c>
      <c r="H282" s="4">
        <f t="shared" si="8"/>
        <v>1</v>
      </c>
      <c r="I282" s="4">
        <f t="shared" si="9"/>
        <v>0</v>
      </c>
      <c r="J282" s="4">
        <v>0</v>
      </c>
      <c r="K282" s="4">
        <v>0</v>
      </c>
      <c r="L282" s="4">
        <v>0</v>
      </c>
      <c r="M282" s="4">
        <v>1</v>
      </c>
      <c r="N282" s="4">
        <v>0</v>
      </c>
      <c r="O282" s="4">
        <v>0</v>
      </c>
    </row>
    <row r="283" spans="1:15" x14ac:dyDescent="0.15">
      <c r="A283" s="4">
        <v>280</v>
      </c>
      <c r="B283" s="4">
        <v>39</v>
      </c>
      <c r="C283" s="4">
        <v>14</v>
      </c>
      <c r="D283" s="4">
        <v>155</v>
      </c>
      <c r="E283" s="4">
        <v>2</v>
      </c>
      <c r="F283" s="8">
        <v>3.9</v>
      </c>
      <c r="G283" s="4">
        <v>1</v>
      </c>
      <c r="H283" s="4">
        <f t="shared" si="8"/>
        <v>1</v>
      </c>
      <c r="I283" s="4">
        <f t="shared" si="9"/>
        <v>0</v>
      </c>
      <c r="J283" s="4">
        <v>0</v>
      </c>
      <c r="K283" s="4">
        <v>0</v>
      </c>
      <c r="L283" s="4">
        <v>0</v>
      </c>
      <c r="M283" s="4">
        <v>1</v>
      </c>
      <c r="N283" s="4">
        <v>0</v>
      </c>
      <c r="O283" s="4">
        <v>0</v>
      </c>
    </row>
    <row r="284" spans="1:15" x14ac:dyDescent="0.15">
      <c r="A284" s="4">
        <v>281</v>
      </c>
      <c r="B284" s="4">
        <v>33</v>
      </c>
      <c r="C284" s="4">
        <v>8</v>
      </c>
      <c r="D284" s="4">
        <v>64</v>
      </c>
      <c r="E284" s="4">
        <v>4</v>
      </c>
      <c r="F284" s="8">
        <v>2.1</v>
      </c>
      <c r="G284" s="4">
        <v>3</v>
      </c>
      <c r="H284" s="4">
        <f t="shared" si="8"/>
        <v>0</v>
      </c>
      <c r="I284" s="4">
        <f t="shared" si="9"/>
        <v>0</v>
      </c>
      <c r="J284" s="4">
        <v>164</v>
      </c>
      <c r="K284" s="4">
        <v>0</v>
      </c>
      <c r="L284" s="4">
        <v>0</v>
      </c>
      <c r="M284" s="4">
        <v>1</v>
      </c>
      <c r="N284" s="4">
        <v>0</v>
      </c>
      <c r="O284" s="4">
        <v>0</v>
      </c>
    </row>
    <row r="285" spans="1:15" x14ac:dyDescent="0.15">
      <c r="A285" s="4">
        <v>282</v>
      </c>
      <c r="B285" s="4">
        <v>57</v>
      </c>
      <c r="C285" s="4">
        <v>31</v>
      </c>
      <c r="D285" s="4">
        <v>65</v>
      </c>
      <c r="E285" s="4">
        <v>4</v>
      </c>
      <c r="F285" s="8">
        <v>2.6</v>
      </c>
      <c r="G285" s="4">
        <v>3</v>
      </c>
      <c r="H285" s="4">
        <f t="shared" si="8"/>
        <v>0</v>
      </c>
      <c r="I285" s="4">
        <f t="shared" si="9"/>
        <v>0</v>
      </c>
      <c r="J285" s="4">
        <v>0</v>
      </c>
      <c r="K285" s="4">
        <v>0</v>
      </c>
      <c r="L285" s="4">
        <v>0</v>
      </c>
      <c r="M285" s="4">
        <v>0</v>
      </c>
      <c r="N285" s="4">
        <v>1</v>
      </c>
      <c r="O285" s="4">
        <v>0</v>
      </c>
    </row>
    <row r="286" spans="1:15" x14ac:dyDescent="0.15">
      <c r="A286" s="4">
        <v>283</v>
      </c>
      <c r="B286" s="4">
        <v>34</v>
      </c>
      <c r="C286" s="4">
        <v>9</v>
      </c>
      <c r="D286" s="4">
        <v>71</v>
      </c>
      <c r="E286" s="4">
        <v>4</v>
      </c>
      <c r="F286" s="8">
        <v>0.7</v>
      </c>
      <c r="G286" s="4">
        <v>3</v>
      </c>
      <c r="H286" s="4">
        <f t="shared" si="8"/>
        <v>0</v>
      </c>
      <c r="I286" s="4">
        <f t="shared" si="9"/>
        <v>0</v>
      </c>
      <c r="J286" s="4">
        <v>0</v>
      </c>
      <c r="K286" s="4">
        <v>0</v>
      </c>
      <c r="L286" s="4">
        <v>0</v>
      </c>
      <c r="M286" s="4">
        <v>1</v>
      </c>
      <c r="N286" s="4">
        <v>0</v>
      </c>
      <c r="O286" s="4">
        <v>0</v>
      </c>
    </row>
    <row r="287" spans="1:15" x14ac:dyDescent="0.15">
      <c r="A287" s="4">
        <v>284</v>
      </c>
      <c r="B287" s="4">
        <v>61</v>
      </c>
      <c r="C287" s="4">
        <v>36</v>
      </c>
      <c r="D287" s="4">
        <v>40</v>
      </c>
      <c r="E287" s="4">
        <v>3</v>
      </c>
      <c r="F287" s="8">
        <v>0.5</v>
      </c>
      <c r="G287" s="4">
        <v>2</v>
      </c>
      <c r="H287" s="4">
        <f t="shared" si="8"/>
        <v>0</v>
      </c>
      <c r="I287" s="4">
        <f t="shared" si="9"/>
        <v>1</v>
      </c>
      <c r="J287" s="4">
        <v>0</v>
      </c>
      <c r="K287" s="4">
        <v>1</v>
      </c>
      <c r="L287" s="4">
        <v>0</v>
      </c>
      <c r="M287" s="4">
        <v>1</v>
      </c>
      <c r="N287" s="4">
        <v>0</v>
      </c>
      <c r="O287" s="4">
        <v>0</v>
      </c>
    </row>
    <row r="288" spans="1:15" x14ac:dyDescent="0.15">
      <c r="A288" s="4">
        <v>285</v>
      </c>
      <c r="B288" s="4">
        <v>44</v>
      </c>
      <c r="C288" s="4">
        <v>19</v>
      </c>
      <c r="D288" s="4">
        <v>69</v>
      </c>
      <c r="E288" s="4">
        <v>3</v>
      </c>
      <c r="F288" s="8">
        <v>0.5</v>
      </c>
      <c r="G288" s="4">
        <v>3</v>
      </c>
      <c r="H288" s="4">
        <f t="shared" si="8"/>
        <v>0</v>
      </c>
      <c r="I288" s="4">
        <f t="shared" si="9"/>
        <v>0</v>
      </c>
      <c r="J288" s="4">
        <v>0</v>
      </c>
      <c r="K288" s="4">
        <v>0</v>
      </c>
      <c r="L288" s="4">
        <v>0</v>
      </c>
      <c r="M288" s="4">
        <v>1</v>
      </c>
      <c r="N288" s="4">
        <v>0</v>
      </c>
      <c r="O288" s="4">
        <v>0</v>
      </c>
    </row>
    <row r="289" spans="1:15" x14ac:dyDescent="0.15">
      <c r="A289" s="4">
        <v>286</v>
      </c>
      <c r="B289" s="4">
        <v>40</v>
      </c>
      <c r="C289" s="4">
        <v>13</v>
      </c>
      <c r="D289" s="4">
        <v>69</v>
      </c>
      <c r="E289" s="4">
        <v>3</v>
      </c>
      <c r="F289" s="8">
        <v>2.3333333333333335</v>
      </c>
      <c r="G289" s="4">
        <v>2</v>
      </c>
      <c r="H289" s="4">
        <f t="shared" si="8"/>
        <v>0</v>
      </c>
      <c r="I289" s="4">
        <f t="shared" si="9"/>
        <v>1</v>
      </c>
      <c r="J289" s="4">
        <v>0</v>
      </c>
      <c r="K289" s="4">
        <v>0</v>
      </c>
      <c r="L289" s="4">
        <v>0</v>
      </c>
      <c r="M289" s="4">
        <v>0</v>
      </c>
      <c r="N289" s="4">
        <v>0</v>
      </c>
      <c r="O289" s="4">
        <v>0</v>
      </c>
    </row>
    <row r="290" spans="1:15" x14ac:dyDescent="0.15">
      <c r="A290" s="4">
        <v>287</v>
      </c>
      <c r="B290" s="4">
        <v>51</v>
      </c>
      <c r="C290" s="4">
        <v>25</v>
      </c>
      <c r="D290" s="4">
        <v>45</v>
      </c>
      <c r="E290" s="4">
        <v>3</v>
      </c>
      <c r="F290" s="8">
        <v>0.6</v>
      </c>
      <c r="G290" s="4">
        <v>2</v>
      </c>
      <c r="H290" s="4">
        <f t="shared" si="8"/>
        <v>0</v>
      </c>
      <c r="I290" s="4">
        <f t="shared" si="9"/>
        <v>1</v>
      </c>
      <c r="J290" s="4">
        <v>131</v>
      </c>
      <c r="K290" s="4">
        <v>0</v>
      </c>
      <c r="L290" s="4">
        <v>0</v>
      </c>
      <c r="M290" s="4">
        <v>1</v>
      </c>
      <c r="N290" s="4">
        <v>0</v>
      </c>
      <c r="O290" s="4">
        <v>0</v>
      </c>
    </row>
    <row r="291" spans="1:15" x14ac:dyDescent="0.15">
      <c r="A291" s="4">
        <v>288</v>
      </c>
      <c r="B291" s="4">
        <v>37</v>
      </c>
      <c r="C291" s="4">
        <v>12</v>
      </c>
      <c r="D291" s="4">
        <v>62</v>
      </c>
      <c r="E291" s="4">
        <v>3</v>
      </c>
      <c r="F291" s="8">
        <v>0.7</v>
      </c>
      <c r="G291" s="4">
        <v>2</v>
      </c>
      <c r="H291" s="4">
        <f t="shared" si="8"/>
        <v>0</v>
      </c>
      <c r="I291" s="4">
        <f t="shared" si="9"/>
        <v>1</v>
      </c>
      <c r="J291" s="4">
        <v>0</v>
      </c>
      <c r="K291" s="4">
        <v>0</v>
      </c>
      <c r="L291" s="4">
        <v>0</v>
      </c>
      <c r="M291" s="4">
        <v>0</v>
      </c>
      <c r="N291" s="4">
        <v>1</v>
      </c>
      <c r="O291" s="4">
        <v>0</v>
      </c>
    </row>
    <row r="292" spans="1:15" x14ac:dyDescent="0.15">
      <c r="A292" s="4">
        <v>289</v>
      </c>
      <c r="B292" s="4">
        <v>44</v>
      </c>
      <c r="C292" s="4">
        <v>19</v>
      </c>
      <c r="D292" s="4">
        <v>172</v>
      </c>
      <c r="E292" s="4">
        <v>2</v>
      </c>
      <c r="F292" s="8">
        <v>4.3</v>
      </c>
      <c r="G292" s="4">
        <v>3</v>
      </c>
      <c r="H292" s="4">
        <f t="shared" si="8"/>
        <v>0</v>
      </c>
      <c r="I292" s="4">
        <f t="shared" si="9"/>
        <v>0</v>
      </c>
      <c r="J292" s="4">
        <v>391</v>
      </c>
      <c r="K292" s="4">
        <v>1</v>
      </c>
      <c r="L292" s="4">
        <v>1</v>
      </c>
      <c r="M292" s="4">
        <v>1</v>
      </c>
      <c r="N292" s="4">
        <v>0</v>
      </c>
      <c r="O292" s="4">
        <v>1</v>
      </c>
    </row>
    <row r="293" spans="1:15" x14ac:dyDescent="0.15">
      <c r="A293" s="4">
        <v>290</v>
      </c>
      <c r="B293" s="4">
        <v>42</v>
      </c>
      <c r="C293" s="4">
        <v>15</v>
      </c>
      <c r="D293" s="4">
        <v>24</v>
      </c>
      <c r="E293" s="4">
        <v>3</v>
      </c>
      <c r="F293" s="8">
        <v>1</v>
      </c>
      <c r="G293" s="4">
        <v>2</v>
      </c>
      <c r="H293" s="4">
        <f t="shared" si="8"/>
        <v>0</v>
      </c>
      <c r="I293" s="4">
        <f t="shared" si="9"/>
        <v>1</v>
      </c>
      <c r="J293" s="4">
        <v>0</v>
      </c>
      <c r="K293" s="4">
        <v>0</v>
      </c>
      <c r="L293" s="4">
        <v>0</v>
      </c>
      <c r="M293" s="4">
        <v>1</v>
      </c>
      <c r="N293" s="4">
        <v>1</v>
      </c>
      <c r="O293" s="4">
        <v>0</v>
      </c>
    </row>
    <row r="294" spans="1:15" x14ac:dyDescent="0.15">
      <c r="A294" s="4">
        <v>291</v>
      </c>
      <c r="B294" s="4">
        <v>51</v>
      </c>
      <c r="C294" s="4">
        <v>25</v>
      </c>
      <c r="D294" s="4">
        <v>80</v>
      </c>
      <c r="E294" s="4">
        <v>1</v>
      </c>
      <c r="F294" s="8">
        <v>4.9000000000000004</v>
      </c>
      <c r="G294" s="4">
        <v>1</v>
      </c>
      <c r="H294" s="4">
        <f t="shared" si="8"/>
        <v>1</v>
      </c>
      <c r="I294" s="4">
        <f t="shared" si="9"/>
        <v>0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0</v>
      </c>
    </row>
    <row r="295" spans="1:15" x14ac:dyDescent="0.15">
      <c r="A295" s="4">
        <v>292</v>
      </c>
      <c r="B295" s="4">
        <v>43</v>
      </c>
      <c r="C295" s="4">
        <v>16</v>
      </c>
      <c r="D295" s="4">
        <v>8</v>
      </c>
      <c r="E295" s="4">
        <v>3</v>
      </c>
      <c r="F295" s="8">
        <v>0.66666666666666663</v>
      </c>
      <c r="G295" s="4">
        <v>2</v>
      </c>
      <c r="H295" s="4">
        <f t="shared" si="8"/>
        <v>0</v>
      </c>
      <c r="I295" s="4">
        <f t="shared" si="9"/>
        <v>1</v>
      </c>
      <c r="J295" s="4">
        <v>88</v>
      </c>
      <c r="K295" s="4">
        <v>0</v>
      </c>
      <c r="L295" s="4">
        <v>0</v>
      </c>
      <c r="M295" s="4">
        <v>1</v>
      </c>
      <c r="N295" s="4">
        <v>0</v>
      </c>
      <c r="O295" s="4">
        <v>0</v>
      </c>
    </row>
    <row r="296" spans="1:15" x14ac:dyDescent="0.15">
      <c r="A296" s="4">
        <v>293</v>
      </c>
      <c r="B296" s="4">
        <v>30</v>
      </c>
      <c r="C296" s="4">
        <v>5</v>
      </c>
      <c r="D296" s="4">
        <v>38</v>
      </c>
      <c r="E296" s="4">
        <v>4</v>
      </c>
      <c r="F296" s="8">
        <v>0.8</v>
      </c>
      <c r="G296" s="4">
        <v>1</v>
      </c>
      <c r="H296" s="4">
        <f t="shared" si="8"/>
        <v>1</v>
      </c>
      <c r="I296" s="4">
        <f t="shared" si="9"/>
        <v>0</v>
      </c>
      <c r="J296" s="4">
        <v>129</v>
      </c>
      <c r="K296" s="4">
        <v>0</v>
      </c>
      <c r="L296" s="4">
        <v>0</v>
      </c>
      <c r="M296" s="4">
        <v>1</v>
      </c>
      <c r="N296" s="4">
        <v>1</v>
      </c>
      <c r="O296" s="4">
        <v>0</v>
      </c>
    </row>
    <row r="297" spans="1:15" x14ac:dyDescent="0.15">
      <c r="A297" s="4">
        <v>294</v>
      </c>
      <c r="B297" s="4">
        <v>45</v>
      </c>
      <c r="C297" s="4">
        <v>19</v>
      </c>
      <c r="D297" s="4">
        <v>93</v>
      </c>
      <c r="E297" s="4">
        <v>4</v>
      </c>
      <c r="F297" s="8">
        <v>2.6</v>
      </c>
      <c r="G297" s="4">
        <v>3</v>
      </c>
      <c r="H297" s="4">
        <f t="shared" si="8"/>
        <v>0</v>
      </c>
      <c r="I297" s="4">
        <f t="shared" si="9"/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</row>
    <row r="298" spans="1:15" x14ac:dyDescent="0.15">
      <c r="A298" s="4">
        <v>295</v>
      </c>
      <c r="B298" s="4">
        <v>35</v>
      </c>
      <c r="C298" s="4">
        <v>9</v>
      </c>
      <c r="D298" s="4">
        <v>55</v>
      </c>
      <c r="E298" s="4">
        <v>1</v>
      </c>
      <c r="F298" s="8">
        <v>2</v>
      </c>
      <c r="G298" s="4">
        <v>1</v>
      </c>
      <c r="H298" s="4">
        <f t="shared" si="8"/>
        <v>1</v>
      </c>
      <c r="I298" s="4">
        <f t="shared" si="9"/>
        <v>0</v>
      </c>
      <c r="J298" s="4">
        <v>0</v>
      </c>
      <c r="K298" s="4">
        <v>0</v>
      </c>
      <c r="L298" s="4">
        <v>0</v>
      </c>
      <c r="M298" s="4">
        <v>1</v>
      </c>
      <c r="N298" s="4">
        <v>0</v>
      </c>
      <c r="O298" s="4">
        <v>0</v>
      </c>
    </row>
    <row r="299" spans="1:15" x14ac:dyDescent="0.15">
      <c r="A299" s="4">
        <v>296</v>
      </c>
      <c r="B299" s="4">
        <v>60</v>
      </c>
      <c r="C299" s="4">
        <v>34</v>
      </c>
      <c r="D299" s="4">
        <v>64</v>
      </c>
      <c r="E299" s="4">
        <v>2</v>
      </c>
      <c r="F299" s="8">
        <v>1.7</v>
      </c>
      <c r="G299" s="4">
        <v>3</v>
      </c>
      <c r="H299" s="4">
        <f t="shared" si="8"/>
        <v>0</v>
      </c>
      <c r="I299" s="4">
        <f t="shared" si="9"/>
        <v>0</v>
      </c>
      <c r="J299" s="4">
        <v>0</v>
      </c>
      <c r="K299" s="4">
        <v>0</v>
      </c>
      <c r="L299" s="4">
        <v>0</v>
      </c>
      <c r="M299" s="4">
        <v>0</v>
      </c>
      <c r="N299" s="4">
        <v>1</v>
      </c>
      <c r="O299" s="4">
        <v>0</v>
      </c>
    </row>
    <row r="300" spans="1:15" x14ac:dyDescent="0.15">
      <c r="A300" s="4">
        <v>297</v>
      </c>
      <c r="B300" s="4">
        <v>34</v>
      </c>
      <c r="C300" s="4">
        <v>9</v>
      </c>
      <c r="D300" s="4">
        <v>122</v>
      </c>
      <c r="E300" s="4">
        <v>1</v>
      </c>
      <c r="F300" s="8">
        <v>0</v>
      </c>
      <c r="G300" s="4">
        <v>1</v>
      </c>
      <c r="H300" s="4">
        <f t="shared" si="8"/>
        <v>1</v>
      </c>
      <c r="I300" s="4">
        <f t="shared" si="9"/>
        <v>0</v>
      </c>
      <c r="J300" s="4">
        <v>0</v>
      </c>
      <c r="K300" s="4">
        <v>0</v>
      </c>
      <c r="L300" s="4">
        <v>0</v>
      </c>
      <c r="M300" s="4">
        <v>1</v>
      </c>
      <c r="N300" s="4">
        <v>0</v>
      </c>
      <c r="O300" s="4">
        <v>0</v>
      </c>
    </row>
    <row r="301" spans="1:15" x14ac:dyDescent="0.15">
      <c r="A301" s="4">
        <v>298</v>
      </c>
      <c r="B301" s="4">
        <v>55</v>
      </c>
      <c r="C301" s="4">
        <v>25</v>
      </c>
      <c r="D301" s="4">
        <v>70</v>
      </c>
      <c r="E301" s="4">
        <v>3</v>
      </c>
      <c r="F301" s="8">
        <v>1.4</v>
      </c>
      <c r="G301" s="4">
        <v>3</v>
      </c>
      <c r="H301" s="4">
        <f t="shared" si="8"/>
        <v>0</v>
      </c>
      <c r="I301" s="4">
        <f t="shared" si="9"/>
        <v>0</v>
      </c>
      <c r="J301" s="4">
        <v>0</v>
      </c>
      <c r="K301" s="4">
        <v>0</v>
      </c>
      <c r="L301" s="4">
        <v>0</v>
      </c>
      <c r="M301" s="4">
        <v>1</v>
      </c>
      <c r="N301" s="4">
        <v>0</v>
      </c>
      <c r="O301" s="4">
        <v>0</v>
      </c>
    </row>
    <row r="302" spans="1:15" x14ac:dyDescent="0.15">
      <c r="A302" s="4">
        <v>299</v>
      </c>
      <c r="B302" s="4">
        <v>43</v>
      </c>
      <c r="C302" s="4">
        <v>19</v>
      </c>
      <c r="D302" s="4">
        <v>81</v>
      </c>
      <c r="E302" s="4">
        <v>2</v>
      </c>
      <c r="F302" s="8">
        <v>3.2</v>
      </c>
      <c r="G302" s="4">
        <v>1</v>
      </c>
      <c r="H302" s="4">
        <f t="shared" si="8"/>
        <v>1</v>
      </c>
      <c r="I302" s="4">
        <f t="shared" si="9"/>
        <v>0</v>
      </c>
      <c r="J302" s="4">
        <v>0</v>
      </c>
      <c r="K302" s="4">
        <v>0</v>
      </c>
      <c r="L302" s="4">
        <v>0</v>
      </c>
      <c r="M302" s="4">
        <v>0</v>
      </c>
      <c r="N302" s="4">
        <v>0</v>
      </c>
      <c r="O302" s="4">
        <v>0</v>
      </c>
    </row>
    <row r="303" spans="1:15" x14ac:dyDescent="0.15">
      <c r="A303" s="4">
        <v>300</v>
      </c>
      <c r="B303" s="4">
        <v>41</v>
      </c>
      <c r="C303" s="4">
        <v>15</v>
      </c>
      <c r="D303" s="4">
        <v>159</v>
      </c>
      <c r="E303" s="4">
        <v>1</v>
      </c>
      <c r="F303" s="8">
        <v>5.5</v>
      </c>
      <c r="G303" s="4">
        <v>3</v>
      </c>
      <c r="H303" s="4">
        <f t="shared" si="8"/>
        <v>0</v>
      </c>
      <c r="I303" s="4">
        <f t="shared" si="9"/>
        <v>0</v>
      </c>
      <c r="J303" s="4">
        <v>0</v>
      </c>
      <c r="K303" s="4">
        <v>0</v>
      </c>
      <c r="L303" s="4">
        <v>1</v>
      </c>
      <c r="M303" s="4">
        <v>1</v>
      </c>
      <c r="N303" s="4">
        <v>0</v>
      </c>
      <c r="O303" s="4">
        <v>1</v>
      </c>
    </row>
    <row r="304" spans="1:15" x14ac:dyDescent="0.15">
      <c r="A304" s="4">
        <v>301</v>
      </c>
      <c r="B304" s="4">
        <v>34</v>
      </c>
      <c r="C304" s="4">
        <v>9</v>
      </c>
      <c r="D304" s="4">
        <v>70</v>
      </c>
      <c r="E304" s="4">
        <v>4</v>
      </c>
      <c r="F304" s="8">
        <v>1.3</v>
      </c>
      <c r="G304" s="4">
        <v>1</v>
      </c>
      <c r="H304" s="4">
        <f t="shared" si="8"/>
        <v>1</v>
      </c>
      <c r="I304" s="4">
        <f t="shared" si="9"/>
        <v>0</v>
      </c>
      <c r="J304" s="4">
        <v>0</v>
      </c>
      <c r="K304" s="4">
        <v>1</v>
      </c>
      <c r="L304" s="4">
        <v>0</v>
      </c>
      <c r="M304" s="4">
        <v>0</v>
      </c>
      <c r="N304" s="4">
        <v>0</v>
      </c>
      <c r="O304" s="4">
        <v>0</v>
      </c>
    </row>
    <row r="305" spans="1:15" x14ac:dyDescent="0.15">
      <c r="A305" s="4">
        <v>302</v>
      </c>
      <c r="B305" s="4">
        <v>65</v>
      </c>
      <c r="C305" s="4">
        <v>39</v>
      </c>
      <c r="D305" s="4">
        <v>150</v>
      </c>
      <c r="E305" s="4">
        <v>2</v>
      </c>
      <c r="F305" s="8">
        <v>6.9</v>
      </c>
      <c r="G305" s="4">
        <v>1</v>
      </c>
      <c r="H305" s="4">
        <f t="shared" si="8"/>
        <v>1</v>
      </c>
      <c r="I305" s="4">
        <f t="shared" si="9"/>
        <v>0</v>
      </c>
      <c r="J305" s="4">
        <v>196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</row>
    <row r="306" spans="1:15" x14ac:dyDescent="0.15">
      <c r="A306" s="4">
        <v>303</v>
      </c>
      <c r="B306" s="4">
        <v>45</v>
      </c>
      <c r="C306" s="4">
        <v>21</v>
      </c>
      <c r="D306" s="4">
        <v>152</v>
      </c>
      <c r="E306" s="4">
        <v>2</v>
      </c>
      <c r="F306" s="8">
        <v>7.5</v>
      </c>
      <c r="G306" s="4">
        <v>1</v>
      </c>
      <c r="H306" s="4">
        <f t="shared" si="8"/>
        <v>1</v>
      </c>
      <c r="I306" s="4">
        <f t="shared" si="9"/>
        <v>0</v>
      </c>
      <c r="J306" s="4">
        <v>0</v>
      </c>
      <c r="K306" s="4">
        <v>0</v>
      </c>
      <c r="L306" s="4">
        <v>0</v>
      </c>
      <c r="M306" s="4">
        <v>1</v>
      </c>
      <c r="N306" s="4">
        <v>0</v>
      </c>
      <c r="O306" s="4">
        <v>0</v>
      </c>
    </row>
    <row r="307" spans="1:15" x14ac:dyDescent="0.15">
      <c r="A307" s="4">
        <v>304</v>
      </c>
      <c r="B307" s="4">
        <v>49</v>
      </c>
      <c r="C307" s="4">
        <v>25</v>
      </c>
      <c r="D307" s="4">
        <v>195</v>
      </c>
      <c r="E307" s="4">
        <v>4</v>
      </c>
      <c r="F307" s="8">
        <v>3</v>
      </c>
      <c r="G307" s="4">
        <v>1</v>
      </c>
      <c r="H307" s="4">
        <f t="shared" si="8"/>
        <v>1</v>
      </c>
      <c r="I307" s="4">
        <f t="shared" si="9"/>
        <v>0</v>
      </c>
      <c r="J307" s="4">
        <v>617</v>
      </c>
      <c r="K307" s="4">
        <v>0</v>
      </c>
      <c r="L307" s="4">
        <v>0</v>
      </c>
      <c r="M307" s="4">
        <v>0</v>
      </c>
      <c r="N307" s="4">
        <v>0</v>
      </c>
      <c r="O307" s="4">
        <v>1</v>
      </c>
    </row>
    <row r="308" spans="1:15" x14ac:dyDescent="0.15">
      <c r="A308" s="4">
        <v>305</v>
      </c>
      <c r="B308" s="4">
        <v>48</v>
      </c>
      <c r="C308" s="4">
        <v>23</v>
      </c>
      <c r="D308" s="4">
        <v>22</v>
      </c>
      <c r="E308" s="4">
        <v>1</v>
      </c>
      <c r="F308" s="8">
        <v>0.1</v>
      </c>
      <c r="G308" s="4">
        <v>1</v>
      </c>
      <c r="H308" s="4">
        <f t="shared" si="8"/>
        <v>1</v>
      </c>
      <c r="I308" s="4">
        <f t="shared" si="9"/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</row>
    <row r="309" spans="1:15" x14ac:dyDescent="0.15">
      <c r="A309" s="4">
        <v>306</v>
      </c>
      <c r="B309" s="4">
        <v>60</v>
      </c>
      <c r="C309" s="4">
        <v>35</v>
      </c>
      <c r="D309" s="4">
        <v>22</v>
      </c>
      <c r="E309" s="4">
        <v>1</v>
      </c>
      <c r="F309" s="8">
        <v>1.3</v>
      </c>
      <c r="G309" s="4">
        <v>1</v>
      </c>
      <c r="H309" s="4">
        <f t="shared" si="8"/>
        <v>1</v>
      </c>
      <c r="I309" s="4">
        <f t="shared" si="9"/>
        <v>0</v>
      </c>
      <c r="J309" s="4">
        <v>123</v>
      </c>
      <c r="K309" s="4">
        <v>0</v>
      </c>
      <c r="L309" s="4">
        <v>0</v>
      </c>
      <c r="M309" s="4">
        <v>1</v>
      </c>
      <c r="N309" s="4">
        <v>0</v>
      </c>
      <c r="O309" s="4">
        <v>0</v>
      </c>
    </row>
    <row r="310" spans="1:15" x14ac:dyDescent="0.15">
      <c r="A310" s="4">
        <v>307</v>
      </c>
      <c r="B310" s="4">
        <v>55</v>
      </c>
      <c r="C310" s="4">
        <v>29</v>
      </c>
      <c r="D310" s="4">
        <v>79</v>
      </c>
      <c r="E310" s="4">
        <v>3</v>
      </c>
      <c r="F310" s="8">
        <v>0.8</v>
      </c>
      <c r="G310" s="4">
        <v>1</v>
      </c>
      <c r="H310" s="4">
        <f t="shared" si="8"/>
        <v>1</v>
      </c>
      <c r="I310" s="4">
        <f t="shared" si="9"/>
        <v>0</v>
      </c>
      <c r="J310" s="4">
        <v>0</v>
      </c>
      <c r="K310" s="4">
        <v>0</v>
      </c>
      <c r="L310" s="4">
        <v>0</v>
      </c>
      <c r="M310" s="4">
        <v>1</v>
      </c>
      <c r="N310" s="4">
        <v>1</v>
      </c>
      <c r="O310" s="4">
        <v>0</v>
      </c>
    </row>
    <row r="311" spans="1:15" x14ac:dyDescent="0.15">
      <c r="A311" s="4">
        <v>308</v>
      </c>
      <c r="B311" s="4">
        <v>42</v>
      </c>
      <c r="C311" s="4">
        <v>18</v>
      </c>
      <c r="D311" s="4">
        <v>33</v>
      </c>
      <c r="E311" s="4">
        <v>1</v>
      </c>
      <c r="F311" s="8">
        <v>1.4</v>
      </c>
      <c r="G311" s="4">
        <v>3</v>
      </c>
      <c r="H311" s="4">
        <f t="shared" si="8"/>
        <v>0</v>
      </c>
      <c r="I311" s="4">
        <f t="shared" si="9"/>
        <v>0</v>
      </c>
      <c r="J311" s="4">
        <v>0</v>
      </c>
      <c r="K311" s="4">
        <v>0</v>
      </c>
      <c r="L311" s="4">
        <v>0</v>
      </c>
      <c r="M311" s="4">
        <v>1</v>
      </c>
      <c r="N311" s="4">
        <v>0</v>
      </c>
      <c r="O311" s="4">
        <v>0</v>
      </c>
    </row>
    <row r="312" spans="1:15" x14ac:dyDescent="0.15">
      <c r="A312" s="4">
        <v>309</v>
      </c>
      <c r="B312" s="4">
        <v>32</v>
      </c>
      <c r="C312" s="4">
        <v>8</v>
      </c>
      <c r="D312" s="4">
        <v>128</v>
      </c>
      <c r="E312" s="4">
        <v>2</v>
      </c>
      <c r="F312" s="8">
        <v>4.333333333333333</v>
      </c>
      <c r="G312" s="4">
        <v>1</v>
      </c>
      <c r="H312" s="4">
        <f t="shared" si="8"/>
        <v>1</v>
      </c>
      <c r="I312" s="4">
        <f t="shared" si="9"/>
        <v>0</v>
      </c>
      <c r="J312" s="4">
        <v>0</v>
      </c>
      <c r="K312" s="4">
        <v>0</v>
      </c>
      <c r="L312" s="4">
        <v>1</v>
      </c>
      <c r="M312" s="4">
        <v>1</v>
      </c>
      <c r="N312" s="4">
        <v>1</v>
      </c>
      <c r="O312" s="4">
        <v>0</v>
      </c>
    </row>
    <row r="313" spans="1:15" x14ac:dyDescent="0.15">
      <c r="A313" s="4">
        <v>310</v>
      </c>
      <c r="B313" s="4">
        <v>62</v>
      </c>
      <c r="C313" s="4">
        <v>38</v>
      </c>
      <c r="D313" s="4">
        <v>91</v>
      </c>
      <c r="E313" s="4">
        <v>1</v>
      </c>
      <c r="F313" s="8">
        <v>3.8</v>
      </c>
      <c r="G313" s="4">
        <v>1</v>
      </c>
      <c r="H313" s="4">
        <f t="shared" si="8"/>
        <v>1</v>
      </c>
      <c r="I313" s="4">
        <f t="shared" si="9"/>
        <v>0</v>
      </c>
      <c r="J313" s="4">
        <v>0</v>
      </c>
      <c r="K313" s="4">
        <v>1</v>
      </c>
      <c r="L313" s="4">
        <v>0</v>
      </c>
      <c r="M313" s="4">
        <v>1</v>
      </c>
      <c r="N313" s="4">
        <v>0</v>
      </c>
      <c r="O313" s="4">
        <v>0</v>
      </c>
    </row>
    <row r="314" spans="1:15" x14ac:dyDescent="0.15">
      <c r="A314" s="4">
        <v>311</v>
      </c>
      <c r="B314" s="4">
        <v>57</v>
      </c>
      <c r="C314" s="4">
        <v>32</v>
      </c>
      <c r="D314" s="4">
        <v>39</v>
      </c>
      <c r="E314" s="4">
        <v>4</v>
      </c>
      <c r="F314" s="8">
        <v>0.9</v>
      </c>
      <c r="G314" s="4">
        <v>1</v>
      </c>
      <c r="H314" s="4">
        <f t="shared" si="8"/>
        <v>1</v>
      </c>
      <c r="I314" s="4">
        <f t="shared" si="9"/>
        <v>0</v>
      </c>
      <c r="J314" s="4">
        <v>0</v>
      </c>
      <c r="K314" s="4">
        <v>0</v>
      </c>
      <c r="L314" s="4">
        <v>0</v>
      </c>
      <c r="M314" s="4">
        <v>1</v>
      </c>
      <c r="N314" s="4">
        <v>1</v>
      </c>
      <c r="O314" s="4">
        <v>0</v>
      </c>
    </row>
    <row r="315" spans="1:15" x14ac:dyDescent="0.15">
      <c r="A315" s="4">
        <v>312</v>
      </c>
      <c r="B315" s="4">
        <v>52</v>
      </c>
      <c r="C315" s="4">
        <v>26</v>
      </c>
      <c r="D315" s="4">
        <v>121</v>
      </c>
      <c r="E315" s="4">
        <v>1</v>
      </c>
      <c r="F315" s="8">
        <v>7.3</v>
      </c>
      <c r="G315" s="4">
        <v>1</v>
      </c>
      <c r="H315" s="4">
        <f t="shared" si="8"/>
        <v>1</v>
      </c>
      <c r="I315" s="4">
        <f t="shared" si="9"/>
        <v>0</v>
      </c>
      <c r="J315" s="4">
        <v>167</v>
      </c>
      <c r="K315" s="4">
        <v>0</v>
      </c>
      <c r="L315" s="4">
        <v>0</v>
      </c>
      <c r="M315" s="4">
        <v>1</v>
      </c>
      <c r="N315" s="4">
        <v>0</v>
      </c>
      <c r="O315" s="4">
        <v>0</v>
      </c>
    </row>
    <row r="316" spans="1:15" x14ac:dyDescent="0.15">
      <c r="A316" s="4">
        <v>313</v>
      </c>
      <c r="B316" s="4">
        <v>36</v>
      </c>
      <c r="C316" s="4">
        <v>6</v>
      </c>
      <c r="D316" s="4">
        <v>21</v>
      </c>
      <c r="E316" s="4">
        <v>1</v>
      </c>
      <c r="F316" s="8">
        <v>0.66666666666666663</v>
      </c>
      <c r="G316" s="4">
        <v>3</v>
      </c>
      <c r="H316" s="4">
        <f t="shared" si="8"/>
        <v>0</v>
      </c>
      <c r="I316" s="4">
        <f t="shared" si="9"/>
        <v>0</v>
      </c>
      <c r="J316" s="4">
        <v>0</v>
      </c>
      <c r="K316" s="4">
        <v>1</v>
      </c>
      <c r="L316" s="4">
        <v>0</v>
      </c>
      <c r="M316" s="4">
        <v>1</v>
      </c>
      <c r="N316" s="4">
        <v>0</v>
      </c>
      <c r="O316" s="4">
        <v>0</v>
      </c>
    </row>
    <row r="317" spans="1:15" x14ac:dyDescent="0.15">
      <c r="A317" s="4">
        <v>314</v>
      </c>
      <c r="B317" s="4">
        <v>34</v>
      </c>
      <c r="C317" s="4">
        <v>9</v>
      </c>
      <c r="D317" s="4">
        <v>41</v>
      </c>
      <c r="E317" s="4">
        <v>3</v>
      </c>
      <c r="F317" s="8">
        <v>2.2999999999999998</v>
      </c>
      <c r="G317" s="4">
        <v>1</v>
      </c>
      <c r="H317" s="4">
        <f t="shared" si="8"/>
        <v>1</v>
      </c>
      <c r="I317" s="4">
        <f t="shared" si="9"/>
        <v>0</v>
      </c>
      <c r="J317" s="4">
        <v>0</v>
      </c>
      <c r="K317" s="4">
        <v>0</v>
      </c>
      <c r="L317" s="4">
        <v>0</v>
      </c>
      <c r="M317" s="4">
        <v>0</v>
      </c>
      <c r="N317" s="4">
        <v>1</v>
      </c>
      <c r="O317" s="4">
        <v>0</v>
      </c>
    </row>
    <row r="318" spans="1:15" x14ac:dyDescent="0.15">
      <c r="A318" s="4">
        <v>315</v>
      </c>
      <c r="B318" s="4">
        <v>63</v>
      </c>
      <c r="C318" s="4">
        <v>37</v>
      </c>
      <c r="D318" s="4">
        <v>45</v>
      </c>
      <c r="E318" s="4">
        <v>2</v>
      </c>
      <c r="F318" s="8">
        <v>0.7</v>
      </c>
      <c r="G318" s="4">
        <v>3</v>
      </c>
      <c r="H318" s="4">
        <f t="shared" si="8"/>
        <v>0</v>
      </c>
      <c r="I318" s="4">
        <f t="shared" si="9"/>
        <v>0</v>
      </c>
      <c r="J318" s="4">
        <v>0</v>
      </c>
      <c r="K318" s="4">
        <v>0</v>
      </c>
      <c r="L318" s="4">
        <v>0</v>
      </c>
      <c r="M318" s="4">
        <v>1</v>
      </c>
      <c r="N318" s="4">
        <v>0</v>
      </c>
      <c r="O318" s="4">
        <v>0</v>
      </c>
    </row>
    <row r="319" spans="1:15" x14ac:dyDescent="0.15">
      <c r="A319" s="4">
        <v>316</v>
      </c>
      <c r="B319" s="4">
        <v>24</v>
      </c>
      <c r="C319" s="4">
        <v>0</v>
      </c>
      <c r="D319" s="4">
        <v>51</v>
      </c>
      <c r="E319" s="4">
        <v>3</v>
      </c>
      <c r="F319" s="8">
        <v>0.3</v>
      </c>
      <c r="G319" s="4">
        <v>3</v>
      </c>
      <c r="H319" s="4">
        <f t="shared" si="8"/>
        <v>0</v>
      </c>
      <c r="I319" s="4">
        <f t="shared" si="9"/>
        <v>0</v>
      </c>
      <c r="J319" s="4">
        <v>0</v>
      </c>
      <c r="K319" s="4">
        <v>0</v>
      </c>
      <c r="L319" s="4">
        <v>0</v>
      </c>
      <c r="M319" s="4">
        <v>1</v>
      </c>
      <c r="N319" s="4">
        <v>0</v>
      </c>
      <c r="O319" s="4">
        <v>0</v>
      </c>
    </row>
    <row r="320" spans="1:15" x14ac:dyDescent="0.15">
      <c r="A320" s="4">
        <v>317</v>
      </c>
      <c r="B320" s="4">
        <v>57</v>
      </c>
      <c r="C320" s="4">
        <v>31</v>
      </c>
      <c r="D320" s="4">
        <v>165</v>
      </c>
      <c r="E320" s="4">
        <v>1</v>
      </c>
      <c r="F320" s="8">
        <v>1.6</v>
      </c>
      <c r="G320" s="4">
        <v>2</v>
      </c>
      <c r="H320" s="4">
        <f t="shared" si="8"/>
        <v>0</v>
      </c>
      <c r="I320" s="4">
        <f t="shared" si="9"/>
        <v>1</v>
      </c>
      <c r="J320" s="4">
        <v>0</v>
      </c>
      <c r="K320" s="4">
        <v>0</v>
      </c>
      <c r="L320" s="4">
        <v>0</v>
      </c>
      <c r="M320" s="4">
        <v>1</v>
      </c>
      <c r="N320" s="4">
        <v>0</v>
      </c>
      <c r="O320" s="4">
        <v>1</v>
      </c>
    </row>
    <row r="321" spans="1:15" x14ac:dyDescent="0.15">
      <c r="A321" s="4">
        <v>318</v>
      </c>
      <c r="B321" s="4">
        <v>40</v>
      </c>
      <c r="C321" s="4">
        <v>16</v>
      </c>
      <c r="D321" s="4">
        <v>119</v>
      </c>
      <c r="E321" s="4">
        <v>2</v>
      </c>
      <c r="F321" s="8">
        <v>4.2</v>
      </c>
      <c r="G321" s="4">
        <v>2</v>
      </c>
      <c r="H321" s="4">
        <f t="shared" si="8"/>
        <v>0</v>
      </c>
      <c r="I321" s="4">
        <f t="shared" si="9"/>
        <v>1</v>
      </c>
      <c r="J321" s="4">
        <v>0</v>
      </c>
      <c r="K321" s="4">
        <v>0</v>
      </c>
      <c r="L321" s="4">
        <v>0</v>
      </c>
      <c r="M321" s="4">
        <v>1</v>
      </c>
      <c r="N321" s="4">
        <v>0</v>
      </c>
      <c r="O321" s="4">
        <v>1</v>
      </c>
    </row>
    <row r="322" spans="1:15" x14ac:dyDescent="0.15">
      <c r="A322" s="4">
        <v>319</v>
      </c>
      <c r="B322" s="4">
        <v>27</v>
      </c>
      <c r="C322" s="4">
        <v>2</v>
      </c>
      <c r="D322" s="4">
        <v>110</v>
      </c>
      <c r="E322" s="4">
        <v>4</v>
      </c>
      <c r="F322" s="8">
        <v>1.8</v>
      </c>
      <c r="G322" s="4">
        <v>3</v>
      </c>
      <c r="H322" s="4">
        <f t="shared" si="8"/>
        <v>0</v>
      </c>
      <c r="I322" s="4">
        <f t="shared" si="9"/>
        <v>0</v>
      </c>
      <c r="J322" s="4">
        <v>190</v>
      </c>
      <c r="K322" s="4">
        <v>0</v>
      </c>
      <c r="L322" s="4">
        <v>0</v>
      </c>
      <c r="M322" s="4">
        <v>1</v>
      </c>
      <c r="N322" s="4">
        <v>0</v>
      </c>
      <c r="O322" s="4">
        <v>0</v>
      </c>
    </row>
    <row r="323" spans="1:15" x14ac:dyDescent="0.15">
      <c r="A323" s="4">
        <v>320</v>
      </c>
      <c r="B323" s="4">
        <v>65</v>
      </c>
      <c r="C323" s="4">
        <v>39</v>
      </c>
      <c r="D323" s="4">
        <v>20</v>
      </c>
      <c r="E323" s="4">
        <v>3</v>
      </c>
      <c r="F323" s="8">
        <v>0.7</v>
      </c>
      <c r="G323" s="4">
        <v>2</v>
      </c>
      <c r="H323" s="4">
        <f t="shared" si="8"/>
        <v>0</v>
      </c>
      <c r="I323" s="4">
        <f t="shared" si="9"/>
        <v>1</v>
      </c>
      <c r="J323" s="4">
        <v>0</v>
      </c>
      <c r="K323" s="4">
        <v>0</v>
      </c>
      <c r="L323" s="4">
        <v>0</v>
      </c>
      <c r="M323" s="4">
        <v>0</v>
      </c>
      <c r="N323" s="4">
        <v>1</v>
      </c>
      <c r="O323" s="4">
        <v>0</v>
      </c>
    </row>
    <row r="324" spans="1:15" x14ac:dyDescent="0.15">
      <c r="A324" s="4">
        <v>321</v>
      </c>
      <c r="B324" s="4">
        <v>60</v>
      </c>
      <c r="C324" s="4">
        <v>34</v>
      </c>
      <c r="D324" s="4">
        <v>64</v>
      </c>
      <c r="E324" s="4">
        <v>1</v>
      </c>
      <c r="F324" s="8">
        <v>0.8</v>
      </c>
      <c r="G324" s="4">
        <v>2</v>
      </c>
      <c r="H324" s="4">
        <f t="shared" si="8"/>
        <v>0</v>
      </c>
      <c r="I324" s="4">
        <f t="shared" si="9"/>
        <v>1</v>
      </c>
      <c r="J324" s="4">
        <v>248</v>
      </c>
      <c r="K324" s="4">
        <v>0</v>
      </c>
      <c r="L324" s="4">
        <v>0</v>
      </c>
      <c r="M324" s="4">
        <v>0</v>
      </c>
      <c r="N324" s="4">
        <v>0</v>
      </c>
      <c r="O324" s="4">
        <v>0</v>
      </c>
    </row>
    <row r="325" spans="1:15" x14ac:dyDescent="0.15">
      <c r="A325" s="4">
        <v>322</v>
      </c>
      <c r="B325" s="4">
        <v>44</v>
      </c>
      <c r="C325" s="4">
        <v>20</v>
      </c>
      <c r="D325" s="4">
        <v>101</v>
      </c>
      <c r="E325" s="4">
        <v>3</v>
      </c>
      <c r="F325" s="8">
        <v>4.4000000000000004</v>
      </c>
      <c r="G325" s="4">
        <v>2</v>
      </c>
      <c r="H325" s="4">
        <f t="shared" ref="H325:H388" si="10">IF(G325=1,1,0)</f>
        <v>0</v>
      </c>
      <c r="I325" s="4">
        <f t="shared" ref="I325:I388" si="11">IF(G325=2,1,0)</f>
        <v>1</v>
      </c>
      <c r="J325" s="4">
        <v>82</v>
      </c>
      <c r="K325" s="4">
        <v>0</v>
      </c>
      <c r="L325" s="4">
        <v>0</v>
      </c>
      <c r="M325" s="4">
        <v>0</v>
      </c>
      <c r="N325" s="4">
        <v>0</v>
      </c>
      <c r="O325" s="4">
        <v>1</v>
      </c>
    </row>
    <row r="326" spans="1:15" x14ac:dyDescent="0.15">
      <c r="A326" s="4">
        <v>323</v>
      </c>
      <c r="B326" s="4">
        <v>63</v>
      </c>
      <c r="C326" s="4">
        <v>39</v>
      </c>
      <c r="D326" s="4">
        <v>101</v>
      </c>
      <c r="E326" s="4">
        <v>1</v>
      </c>
      <c r="F326" s="8">
        <v>3.9</v>
      </c>
      <c r="G326" s="4">
        <v>1</v>
      </c>
      <c r="H326" s="4">
        <f t="shared" si="10"/>
        <v>1</v>
      </c>
      <c r="I326" s="4">
        <f t="shared" si="11"/>
        <v>0</v>
      </c>
      <c r="J326" s="4">
        <v>0</v>
      </c>
      <c r="K326" s="4">
        <v>1</v>
      </c>
      <c r="L326" s="4">
        <v>1</v>
      </c>
      <c r="M326" s="4">
        <v>1</v>
      </c>
      <c r="N326" s="4">
        <v>0</v>
      </c>
      <c r="O326" s="4">
        <v>1</v>
      </c>
    </row>
    <row r="327" spans="1:15" x14ac:dyDescent="0.15">
      <c r="A327" s="4">
        <v>324</v>
      </c>
      <c r="B327" s="4">
        <v>59</v>
      </c>
      <c r="C327" s="4">
        <v>34</v>
      </c>
      <c r="D327" s="4">
        <v>99</v>
      </c>
      <c r="E327" s="4">
        <v>1</v>
      </c>
      <c r="F327" s="8">
        <v>4.4000000000000004</v>
      </c>
      <c r="G327" s="4">
        <v>1</v>
      </c>
      <c r="H327" s="4">
        <f t="shared" si="10"/>
        <v>1</v>
      </c>
      <c r="I327" s="4">
        <f t="shared" si="11"/>
        <v>0</v>
      </c>
      <c r="J327" s="4">
        <v>0</v>
      </c>
      <c r="K327" s="4">
        <v>0</v>
      </c>
      <c r="L327" s="4">
        <v>0</v>
      </c>
      <c r="M327" s="4">
        <v>0</v>
      </c>
      <c r="N327" s="4">
        <v>0</v>
      </c>
      <c r="O327" s="4">
        <v>1</v>
      </c>
    </row>
    <row r="328" spans="1:15" x14ac:dyDescent="0.15">
      <c r="A328" s="4">
        <v>325</v>
      </c>
      <c r="B328" s="4">
        <v>56</v>
      </c>
      <c r="C328" s="4">
        <v>30</v>
      </c>
      <c r="D328" s="4">
        <v>158</v>
      </c>
      <c r="E328" s="4">
        <v>4</v>
      </c>
      <c r="F328" s="8">
        <v>6.1</v>
      </c>
      <c r="G328" s="4">
        <v>1</v>
      </c>
      <c r="H328" s="4">
        <f t="shared" si="10"/>
        <v>1</v>
      </c>
      <c r="I328" s="4">
        <f t="shared" si="11"/>
        <v>0</v>
      </c>
      <c r="J328" s="4">
        <v>0</v>
      </c>
      <c r="K328" s="4">
        <v>0</v>
      </c>
      <c r="L328" s="4">
        <v>0</v>
      </c>
      <c r="M328" s="4">
        <v>0</v>
      </c>
      <c r="N328" s="4">
        <v>0</v>
      </c>
      <c r="O328" s="4">
        <v>1</v>
      </c>
    </row>
    <row r="329" spans="1:15" x14ac:dyDescent="0.15">
      <c r="A329" s="4">
        <v>326</v>
      </c>
      <c r="B329" s="4">
        <v>54</v>
      </c>
      <c r="C329" s="4">
        <v>28</v>
      </c>
      <c r="D329" s="4">
        <v>89</v>
      </c>
      <c r="E329" s="4">
        <v>1</v>
      </c>
      <c r="F329" s="8">
        <v>1.9</v>
      </c>
      <c r="G329" s="4">
        <v>2</v>
      </c>
      <c r="H329" s="4">
        <f t="shared" si="10"/>
        <v>0</v>
      </c>
      <c r="I329" s="4">
        <f t="shared" si="11"/>
        <v>1</v>
      </c>
      <c r="J329" s="4">
        <v>0</v>
      </c>
      <c r="K329" s="4">
        <v>0</v>
      </c>
      <c r="L329" s="4">
        <v>0</v>
      </c>
      <c r="M329" s="4">
        <v>1</v>
      </c>
      <c r="N329" s="4">
        <v>1</v>
      </c>
      <c r="O329" s="4">
        <v>0</v>
      </c>
    </row>
    <row r="330" spans="1:15" x14ac:dyDescent="0.15">
      <c r="A330" s="4">
        <v>327</v>
      </c>
      <c r="B330" s="4">
        <v>52</v>
      </c>
      <c r="C330" s="4">
        <v>27</v>
      </c>
      <c r="D330" s="4">
        <v>80</v>
      </c>
      <c r="E330" s="4">
        <v>1</v>
      </c>
      <c r="F330" s="8">
        <v>1.3</v>
      </c>
      <c r="G330" s="4">
        <v>3</v>
      </c>
      <c r="H330" s="4">
        <f t="shared" si="10"/>
        <v>0</v>
      </c>
      <c r="I330" s="4">
        <f t="shared" si="11"/>
        <v>0</v>
      </c>
      <c r="J330" s="4">
        <v>0</v>
      </c>
      <c r="K330" s="4">
        <v>0</v>
      </c>
      <c r="L330" s="4">
        <v>1</v>
      </c>
      <c r="M330" s="4">
        <v>1</v>
      </c>
      <c r="N330" s="4">
        <v>1</v>
      </c>
      <c r="O330" s="4">
        <v>0</v>
      </c>
    </row>
    <row r="331" spans="1:15" x14ac:dyDescent="0.15">
      <c r="A331" s="4">
        <v>328</v>
      </c>
      <c r="B331" s="4">
        <v>58</v>
      </c>
      <c r="C331" s="4">
        <v>32</v>
      </c>
      <c r="D331" s="4">
        <v>114</v>
      </c>
      <c r="E331" s="4">
        <v>2</v>
      </c>
      <c r="F331" s="8">
        <v>2</v>
      </c>
      <c r="G331" s="4">
        <v>1</v>
      </c>
      <c r="H331" s="4">
        <f t="shared" si="10"/>
        <v>1</v>
      </c>
      <c r="I331" s="4">
        <f t="shared" si="11"/>
        <v>0</v>
      </c>
      <c r="J331" s="4">
        <v>402</v>
      </c>
      <c r="K331" s="4">
        <v>0</v>
      </c>
      <c r="L331" s="4">
        <v>0</v>
      </c>
      <c r="M331" s="4">
        <v>1</v>
      </c>
      <c r="N331" s="4">
        <v>0</v>
      </c>
      <c r="O331" s="4">
        <v>0</v>
      </c>
    </row>
    <row r="332" spans="1:15" x14ac:dyDescent="0.15">
      <c r="A332" s="4">
        <v>329</v>
      </c>
      <c r="B332" s="4">
        <v>60</v>
      </c>
      <c r="C332" s="4">
        <v>35</v>
      </c>
      <c r="D332" s="4">
        <v>49</v>
      </c>
      <c r="E332" s="4">
        <v>3</v>
      </c>
      <c r="F332" s="8">
        <v>0.5</v>
      </c>
      <c r="G332" s="4">
        <v>2</v>
      </c>
      <c r="H332" s="4">
        <f t="shared" si="10"/>
        <v>0</v>
      </c>
      <c r="I332" s="4">
        <f t="shared" si="11"/>
        <v>1</v>
      </c>
      <c r="J332" s="4">
        <v>0</v>
      </c>
      <c r="K332" s="4">
        <v>0</v>
      </c>
      <c r="L332" s="4">
        <v>0</v>
      </c>
      <c r="M332" s="4">
        <v>1</v>
      </c>
      <c r="N332" s="4">
        <v>1</v>
      </c>
      <c r="O332" s="4">
        <v>0</v>
      </c>
    </row>
    <row r="333" spans="1:15" x14ac:dyDescent="0.15">
      <c r="A333" s="4">
        <v>330</v>
      </c>
      <c r="B333" s="4">
        <v>28</v>
      </c>
      <c r="C333" s="4">
        <v>4</v>
      </c>
      <c r="D333" s="4">
        <v>191</v>
      </c>
      <c r="E333" s="4">
        <v>1</v>
      </c>
      <c r="F333" s="8">
        <v>6.333333333333333</v>
      </c>
      <c r="G333" s="4">
        <v>1</v>
      </c>
      <c r="H333" s="4">
        <f t="shared" si="10"/>
        <v>1</v>
      </c>
      <c r="I333" s="4">
        <f t="shared" si="11"/>
        <v>0</v>
      </c>
      <c r="J333" s="4">
        <v>0</v>
      </c>
      <c r="K333" s="4">
        <v>0</v>
      </c>
      <c r="L333" s="4">
        <v>0</v>
      </c>
      <c r="M333" s="4">
        <v>1</v>
      </c>
      <c r="N333" s="4">
        <v>0</v>
      </c>
      <c r="O333" s="4">
        <v>0</v>
      </c>
    </row>
    <row r="334" spans="1:15" x14ac:dyDescent="0.15">
      <c r="A334" s="4">
        <v>331</v>
      </c>
      <c r="B334" s="4">
        <v>54</v>
      </c>
      <c r="C334" s="4">
        <v>30</v>
      </c>
      <c r="D334" s="4">
        <v>78</v>
      </c>
      <c r="E334" s="4">
        <v>4</v>
      </c>
      <c r="F334" s="8">
        <v>1</v>
      </c>
      <c r="G334" s="4">
        <v>2</v>
      </c>
      <c r="H334" s="4">
        <f t="shared" si="10"/>
        <v>0</v>
      </c>
      <c r="I334" s="4">
        <f t="shared" si="11"/>
        <v>1</v>
      </c>
      <c r="J334" s="4">
        <v>0</v>
      </c>
      <c r="K334" s="4">
        <v>0</v>
      </c>
      <c r="L334" s="4">
        <v>0</v>
      </c>
      <c r="M334" s="4">
        <v>1</v>
      </c>
      <c r="N334" s="4">
        <v>0</v>
      </c>
      <c r="O334" s="4">
        <v>0</v>
      </c>
    </row>
    <row r="335" spans="1:15" x14ac:dyDescent="0.15">
      <c r="A335" s="4">
        <v>332</v>
      </c>
      <c r="B335" s="4">
        <v>32</v>
      </c>
      <c r="C335" s="4">
        <v>6</v>
      </c>
      <c r="D335" s="4">
        <v>28</v>
      </c>
      <c r="E335" s="4">
        <v>3</v>
      </c>
      <c r="F335" s="8">
        <v>1</v>
      </c>
      <c r="G335" s="4">
        <v>1</v>
      </c>
      <c r="H335" s="4">
        <f t="shared" si="10"/>
        <v>1</v>
      </c>
      <c r="I335" s="4">
        <f t="shared" si="11"/>
        <v>0</v>
      </c>
      <c r="J335" s="4">
        <v>0</v>
      </c>
      <c r="K335" s="4">
        <v>0</v>
      </c>
      <c r="L335" s="4">
        <v>0</v>
      </c>
      <c r="M335" s="4">
        <v>0</v>
      </c>
      <c r="N335" s="4">
        <v>0</v>
      </c>
      <c r="O335" s="4">
        <v>0</v>
      </c>
    </row>
    <row r="336" spans="1:15" x14ac:dyDescent="0.15">
      <c r="A336" s="4">
        <v>333</v>
      </c>
      <c r="B336" s="4">
        <v>59</v>
      </c>
      <c r="C336" s="4">
        <v>33</v>
      </c>
      <c r="D336" s="4">
        <v>42</v>
      </c>
      <c r="E336" s="4">
        <v>1</v>
      </c>
      <c r="F336" s="8">
        <v>0.8</v>
      </c>
      <c r="G336" s="4">
        <v>2</v>
      </c>
      <c r="H336" s="4">
        <f t="shared" si="10"/>
        <v>0</v>
      </c>
      <c r="I336" s="4">
        <f t="shared" si="11"/>
        <v>1</v>
      </c>
      <c r="J336" s="4">
        <v>0</v>
      </c>
      <c r="K336" s="4">
        <v>0</v>
      </c>
      <c r="L336" s="4">
        <v>0</v>
      </c>
      <c r="M336" s="4">
        <v>1</v>
      </c>
      <c r="N336" s="4">
        <v>0</v>
      </c>
      <c r="O336" s="4">
        <v>0</v>
      </c>
    </row>
    <row r="337" spans="1:15" x14ac:dyDescent="0.15">
      <c r="A337" s="4">
        <v>334</v>
      </c>
      <c r="B337" s="4">
        <v>63</v>
      </c>
      <c r="C337" s="4">
        <v>38</v>
      </c>
      <c r="D337" s="4">
        <v>140</v>
      </c>
      <c r="E337" s="4">
        <v>1</v>
      </c>
      <c r="F337" s="8">
        <v>2.5</v>
      </c>
      <c r="G337" s="4">
        <v>1</v>
      </c>
      <c r="H337" s="4">
        <f t="shared" si="10"/>
        <v>1</v>
      </c>
      <c r="I337" s="4">
        <f t="shared" si="11"/>
        <v>0</v>
      </c>
      <c r="J337" s="4">
        <v>0</v>
      </c>
      <c r="K337" s="4">
        <v>0</v>
      </c>
      <c r="L337" s="4">
        <v>0</v>
      </c>
      <c r="M337" s="4">
        <v>0</v>
      </c>
      <c r="N337" s="4">
        <v>0</v>
      </c>
      <c r="O337" s="4">
        <v>0</v>
      </c>
    </row>
    <row r="338" spans="1:15" x14ac:dyDescent="0.15">
      <c r="A338" s="4">
        <v>335</v>
      </c>
      <c r="B338" s="4">
        <v>48</v>
      </c>
      <c r="C338" s="4">
        <v>23</v>
      </c>
      <c r="D338" s="4">
        <v>45</v>
      </c>
      <c r="E338" s="4">
        <v>1</v>
      </c>
      <c r="F338" s="8">
        <v>1.3</v>
      </c>
      <c r="G338" s="4">
        <v>2</v>
      </c>
      <c r="H338" s="4">
        <f t="shared" si="10"/>
        <v>0</v>
      </c>
      <c r="I338" s="4">
        <f t="shared" si="11"/>
        <v>1</v>
      </c>
      <c r="J338" s="4">
        <v>0</v>
      </c>
      <c r="K338" s="4">
        <v>0</v>
      </c>
      <c r="L338" s="4">
        <v>0</v>
      </c>
      <c r="M338" s="4">
        <v>1</v>
      </c>
      <c r="N338" s="4">
        <v>0</v>
      </c>
      <c r="O338" s="4">
        <v>0</v>
      </c>
    </row>
    <row r="339" spans="1:15" x14ac:dyDescent="0.15">
      <c r="A339" s="4">
        <v>336</v>
      </c>
      <c r="B339" s="4">
        <v>56</v>
      </c>
      <c r="C339" s="4">
        <v>32</v>
      </c>
      <c r="D339" s="4">
        <v>122</v>
      </c>
      <c r="E339" s="4">
        <v>2</v>
      </c>
      <c r="F339" s="8">
        <v>0.3</v>
      </c>
      <c r="G339" s="4">
        <v>1</v>
      </c>
      <c r="H339" s="4">
        <f t="shared" si="10"/>
        <v>1</v>
      </c>
      <c r="I339" s="4">
        <f t="shared" si="11"/>
        <v>0</v>
      </c>
      <c r="J339" s="4">
        <v>360</v>
      </c>
      <c r="K339" s="4">
        <v>0</v>
      </c>
      <c r="L339" s="4">
        <v>1</v>
      </c>
      <c r="M339" s="4">
        <v>1</v>
      </c>
      <c r="N339" s="4">
        <v>1</v>
      </c>
      <c r="O339" s="4">
        <v>0</v>
      </c>
    </row>
    <row r="340" spans="1:15" x14ac:dyDescent="0.15">
      <c r="A340" s="4">
        <v>337</v>
      </c>
      <c r="B340" s="4">
        <v>36</v>
      </c>
      <c r="C340" s="4">
        <v>12</v>
      </c>
      <c r="D340" s="4">
        <v>65</v>
      </c>
      <c r="E340" s="4">
        <v>3</v>
      </c>
      <c r="F340" s="8">
        <v>2.6</v>
      </c>
      <c r="G340" s="4">
        <v>2</v>
      </c>
      <c r="H340" s="4">
        <f t="shared" si="10"/>
        <v>0</v>
      </c>
      <c r="I340" s="4">
        <f t="shared" si="11"/>
        <v>1</v>
      </c>
      <c r="J340" s="4">
        <v>0</v>
      </c>
      <c r="K340" s="4">
        <v>0</v>
      </c>
      <c r="L340" s="4">
        <v>0</v>
      </c>
      <c r="M340" s="4">
        <v>1</v>
      </c>
      <c r="N340" s="4">
        <v>0</v>
      </c>
      <c r="O340" s="4">
        <v>0</v>
      </c>
    </row>
    <row r="341" spans="1:15" x14ac:dyDescent="0.15">
      <c r="A341" s="4">
        <v>338</v>
      </c>
      <c r="B341" s="4">
        <v>57</v>
      </c>
      <c r="C341" s="4">
        <v>27</v>
      </c>
      <c r="D341" s="4">
        <v>68</v>
      </c>
      <c r="E341" s="4">
        <v>1</v>
      </c>
      <c r="F341" s="8">
        <v>1.4</v>
      </c>
      <c r="G341" s="4">
        <v>3</v>
      </c>
      <c r="H341" s="4">
        <f t="shared" si="10"/>
        <v>0</v>
      </c>
      <c r="I341" s="4">
        <f t="shared" si="11"/>
        <v>0</v>
      </c>
      <c r="J341" s="4">
        <v>0</v>
      </c>
      <c r="K341" s="4">
        <v>0</v>
      </c>
      <c r="L341" s="4">
        <v>0</v>
      </c>
      <c r="M341" s="4">
        <v>1</v>
      </c>
      <c r="N341" s="4">
        <v>0</v>
      </c>
      <c r="O341" s="4">
        <v>0</v>
      </c>
    </row>
    <row r="342" spans="1:15" x14ac:dyDescent="0.15">
      <c r="A342" s="4">
        <v>339</v>
      </c>
      <c r="B342" s="4">
        <v>29</v>
      </c>
      <c r="C342" s="4">
        <v>3</v>
      </c>
      <c r="D342" s="4">
        <v>153</v>
      </c>
      <c r="E342" s="4">
        <v>2</v>
      </c>
      <c r="F342" s="8">
        <v>2</v>
      </c>
      <c r="G342" s="4">
        <v>1</v>
      </c>
      <c r="H342" s="4">
        <f t="shared" si="10"/>
        <v>1</v>
      </c>
      <c r="I342" s="4">
        <f t="shared" si="11"/>
        <v>0</v>
      </c>
      <c r="J342" s="4">
        <v>392</v>
      </c>
      <c r="K342" s="4">
        <v>0</v>
      </c>
      <c r="L342" s="4">
        <v>0</v>
      </c>
      <c r="M342" s="4">
        <v>0</v>
      </c>
      <c r="N342" s="4">
        <v>0</v>
      </c>
      <c r="O342" s="4">
        <v>0</v>
      </c>
    </row>
    <row r="343" spans="1:15" x14ac:dyDescent="0.15">
      <c r="A343" s="4">
        <v>340</v>
      </c>
      <c r="B343" s="4">
        <v>39</v>
      </c>
      <c r="C343" s="4">
        <v>13</v>
      </c>
      <c r="D343" s="4">
        <v>89</v>
      </c>
      <c r="E343" s="4">
        <v>4</v>
      </c>
      <c r="F343" s="8">
        <v>1.4</v>
      </c>
      <c r="G343" s="4">
        <v>2</v>
      </c>
      <c r="H343" s="4">
        <f t="shared" si="10"/>
        <v>0</v>
      </c>
      <c r="I343" s="4">
        <f t="shared" si="11"/>
        <v>1</v>
      </c>
      <c r="J343" s="4">
        <v>0</v>
      </c>
      <c r="K343" s="4">
        <v>0</v>
      </c>
      <c r="L343" s="4">
        <v>0</v>
      </c>
      <c r="M343" s="4">
        <v>0</v>
      </c>
      <c r="N343" s="4">
        <v>0</v>
      </c>
      <c r="O343" s="4">
        <v>0</v>
      </c>
    </row>
    <row r="344" spans="1:15" x14ac:dyDescent="0.15">
      <c r="A344" s="4">
        <v>341</v>
      </c>
      <c r="B344" s="4">
        <v>59</v>
      </c>
      <c r="C344" s="4">
        <v>34</v>
      </c>
      <c r="D344" s="4">
        <v>91</v>
      </c>
      <c r="E344" s="4">
        <v>1</v>
      </c>
      <c r="F344" s="8">
        <v>2.6</v>
      </c>
      <c r="G344" s="4">
        <v>1</v>
      </c>
      <c r="H344" s="4">
        <f t="shared" si="10"/>
        <v>1</v>
      </c>
      <c r="I344" s="4">
        <f t="shared" si="11"/>
        <v>0</v>
      </c>
      <c r="J344" s="4">
        <v>0</v>
      </c>
      <c r="K344" s="4">
        <v>0</v>
      </c>
      <c r="L344" s="4">
        <v>0</v>
      </c>
      <c r="M344" s="4">
        <v>1</v>
      </c>
      <c r="N344" s="4">
        <v>1</v>
      </c>
      <c r="O344" s="4">
        <v>0</v>
      </c>
    </row>
    <row r="345" spans="1:15" x14ac:dyDescent="0.15">
      <c r="A345" s="4">
        <v>342</v>
      </c>
      <c r="B345" s="4">
        <v>31</v>
      </c>
      <c r="C345" s="4">
        <v>6</v>
      </c>
      <c r="D345" s="4">
        <v>55</v>
      </c>
      <c r="E345" s="4">
        <v>4</v>
      </c>
      <c r="F345" s="8">
        <v>2</v>
      </c>
      <c r="G345" s="4">
        <v>2</v>
      </c>
      <c r="H345" s="4">
        <f t="shared" si="10"/>
        <v>0</v>
      </c>
      <c r="I345" s="4">
        <f t="shared" si="11"/>
        <v>1</v>
      </c>
      <c r="J345" s="4">
        <v>185</v>
      </c>
      <c r="K345" s="4">
        <v>0</v>
      </c>
      <c r="L345" s="4">
        <v>0</v>
      </c>
      <c r="M345" s="4">
        <v>1</v>
      </c>
      <c r="N345" s="4">
        <v>0</v>
      </c>
      <c r="O345" s="4">
        <v>0</v>
      </c>
    </row>
    <row r="346" spans="1:15" x14ac:dyDescent="0.15">
      <c r="A346" s="4">
        <v>343</v>
      </c>
      <c r="B346" s="4">
        <v>43</v>
      </c>
      <c r="C346" s="4">
        <v>19</v>
      </c>
      <c r="D346" s="4">
        <v>118</v>
      </c>
      <c r="E346" s="4">
        <v>2</v>
      </c>
      <c r="F346" s="8">
        <v>3.3</v>
      </c>
      <c r="G346" s="4">
        <v>1</v>
      </c>
      <c r="H346" s="4">
        <f t="shared" si="10"/>
        <v>1</v>
      </c>
      <c r="I346" s="4">
        <f t="shared" si="11"/>
        <v>0</v>
      </c>
      <c r="J346" s="4">
        <v>0</v>
      </c>
      <c r="K346" s="4">
        <v>0</v>
      </c>
      <c r="L346" s="4">
        <v>0</v>
      </c>
      <c r="M346" s="4">
        <v>0</v>
      </c>
      <c r="N346" s="4">
        <v>1</v>
      </c>
      <c r="O346" s="4">
        <v>0</v>
      </c>
    </row>
    <row r="347" spans="1:15" x14ac:dyDescent="0.15">
      <c r="A347" s="4">
        <v>344</v>
      </c>
      <c r="B347" s="4">
        <v>35</v>
      </c>
      <c r="C347" s="4">
        <v>5</v>
      </c>
      <c r="D347" s="4">
        <v>22</v>
      </c>
      <c r="E347" s="4">
        <v>1</v>
      </c>
      <c r="F347" s="8">
        <v>0.66666666666666663</v>
      </c>
      <c r="G347" s="4">
        <v>3</v>
      </c>
      <c r="H347" s="4">
        <f t="shared" si="10"/>
        <v>0</v>
      </c>
      <c r="I347" s="4">
        <f t="shared" si="11"/>
        <v>0</v>
      </c>
      <c r="J347" s="4">
        <v>103</v>
      </c>
      <c r="K347" s="4">
        <v>0</v>
      </c>
      <c r="L347" s="4">
        <v>0</v>
      </c>
      <c r="M347" s="4">
        <v>0</v>
      </c>
      <c r="N347" s="4">
        <v>0</v>
      </c>
      <c r="O347" s="4">
        <v>0</v>
      </c>
    </row>
    <row r="348" spans="1:15" x14ac:dyDescent="0.15">
      <c r="A348" s="4">
        <v>345</v>
      </c>
      <c r="B348" s="4">
        <v>54</v>
      </c>
      <c r="C348" s="4">
        <v>24</v>
      </c>
      <c r="D348" s="4">
        <v>63</v>
      </c>
      <c r="E348" s="4">
        <v>3</v>
      </c>
      <c r="F348" s="8">
        <v>1.4</v>
      </c>
      <c r="G348" s="4">
        <v>3</v>
      </c>
      <c r="H348" s="4">
        <f t="shared" si="10"/>
        <v>0</v>
      </c>
      <c r="I348" s="4">
        <f t="shared" si="11"/>
        <v>0</v>
      </c>
      <c r="J348" s="4">
        <v>138</v>
      </c>
      <c r="K348" s="4">
        <v>0</v>
      </c>
      <c r="L348" s="4">
        <v>0</v>
      </c>
      <c r="M348" s="4">
        <v>1</v>
      </c>
      <c r="N348" s="4">
        <v>1</v>
      </c>
      <c r="O348" s="4">
        <v>0</v>
      </c>
    </row>
    <row r="349" spans="1:15" x14ac:dyDescent="0.15">
      <c r="A349" s="4">
        <v>346</v>
      </c>
      <c r="B349" s="4">
        <v>51</v>
      </c>
      <c r="C349" s="4">
        <v>27</v>
      </c>
      <c r="D349" s="4">
        <v>12</v>
      </c>
      <c r="E349" s="4">
        <v>4</v>
      </c>
      <c r="F349" s="8">
        <v>0.5</v>
      </c>
      <c r="G349" s="4">
        <v>2</v>
      </c>
      <c r="H349" s="4">
        <f t="shared" si="10"/>
        <v>0</v>
      </c>
      <c r="I349" s="4">
        <f t="shared" si="11"/>
        <v>1</v>
      </c>
      <c r="J349" s="4">
        <v>78</v>
      </c>
      <c r="K349" s="4">
        <v>1</v>
      </c>
      <c r="L349" s="4">
        <v>0</v>
      </c>
      <c r="M349" s="4">
        <v>1</v>
      </c>
      <c r="N349" s="4">
        <v>0</v>
      </c>
      <c r="O349" s="4">
        <v>0</v>
      </c>
    </row>
    <row r="350" spans="1:15" x14ac:dyDescent="0.15">
      <c r="A350" s="4">
        <v>347</v>
      </c>
      <c r="B350" s="4">
        <v>44</v>
      </c>
      <c r="C350" s="4">
        <v>19</v>
      </c>
      <c r="D350" s="4">
        <v>50</v>
      </c>
      <c r="E350" s="4">
        <v>3</v>
      </c>
      <c r="F350" s="8">
        <v>2.7</v>
      </c>
      <c r="G350" s="4">
        <v>2</v>
      </c>
      <c r="H350" s="4">
        <f t="shared" si="10"/>
        <v>0</v>
      </c>
      <c r="I350" s="4">
        <f t="shared" si="11"/>
        <v>1</v>
      </c>
      <c r="J350" s="4">
        <v>0</v>
      </c>
      <c r="K350" s="4">
        <v>0</v>
      </c>
      <c r="L350" s="4">
        <v>0</v>
      </c>
      <c r="M350" s="4">
        <v>1</v>
      </c>
      <c r="N350" s="4">
        <v>0</v>
      </c>
      <c r="O350" s="4">
        <v>0</v>
      </c>
    </row>
    <row r="351" spans="1:15" x14ac:dyDescent="0.15">
      <c r="A351" s="4">
        <v>348</v>
      </c>
      <c r="B351" s="4">
        <v>25</v>
      </c>
      <c r="C351" s="4">
        <v>0</v>
      </c>
      <c r="D351" s="4">
        <v>43</v>
      </c>
      <c r="E351" s="4">
        <v>2</v>
      </c>
      <c r="F351" s="8">
        <v>1.6</v>
      </c>
      <c r="G351" s="4">
        <v>3</v>
      </c>
      <c r="H351" s="4">
        <f t="shared" si="10"/>
        <v>0</v>
      </c>
      <c r="I351" s="4">
        <f t="shared" si="11"/>
        <v>0</v>
      </c>
      <c r="J351" s="4">
        <v>0</v>
      </c>
      <c r="K351" s="4">
        <v>1</v>
      </c>
      <c r="L351" s="4">
        <v>1</v>
      </c>
      <c r="M351" s="4">
        <v>1</v>
      </c>
      <c r="N351" s="4">
        <v>1</v>
      </c>
      <c r="O351" s="4">
        <v>0</v>
      </c>
    </row>
    <row r="352" spans="1:15" x14ac:dyDescent="0.15">
      <c r="A352" s="4">
        <v>349</v>
      </c>
      <c r="B352" s="4">
        <v>40</v>
      </c>
      <c r="C352" s="4">
        <v>15</v>
      </c>
      <c r="D352" s="4">
        <v>173</v>
      </c>
      <c r="E352" s="4">
        <v>4</v>
      </c>
      <c r="F352" s="8">
        <v>6.6</v>
      </c>
      <c r="G352" s="4">
        <v>1</v>
      </c>
      <c r="H352" s="4">
        <f t="shared" si="10"/>
        <v>1</v>
      </c>
      <c r="I352" s="4">
        <f t="shared" si="11"/>
        <v>0</v>
      </c>
      <c r="J352" s="4">
        <v>0</v>
      </c>
      <c r="K352" s="4">
        <v>0</v>
      </c>
      <c r="L352" s="4">
        <v>1</v>
      </c>
      <c r="M352" s="4">
        <v>1</v>
      </c>
      <c r="N352" s="4">
        <v>1</v>
      </c>
      <c r="O352" s="4">
        <v>1</v>
      </c>
    </row>
    <row r="353" spans="1:15" x14ac:dyDescent="0.15">
      <c r="A353" s="4">
        <v>350</v>
      </c>
      <c r="B353" s="4">
        <v>26</v>
      </c>
      <c r="C353" s="4">
        <v>2</v>
      </c>
      <c r="D353" s="4">
        <v>60</v>
      </c>
      <c r="E353" s="4">
        <v>2</v>
      </c>
      <c r="F353" s="8">
        <v>3</v>
      </c>
      <c r="G353" s="4">
        <v>1</v>
      </c>
      <c r="H353" s="4">
        <f t="shared" si="10"/>
        <v>1</v>
      </c>
      <c r="I353" s="4">
        <f t="shared" si="11"/>
        <v>0</v>
      </c>
      <c r="J353" s="4">
        <v>132</v>
      </c>
      <c r="K353" s="4">
        <v>0</v>
      </c>
      <c r="L353" s="4">
        <v>0</v>
      </c>
      <c r="M353" s="4">
        <v>0</v>
      </c>
      <c r="N353" s="4">
        <v>0</v>
      </c>
      <c r="O353" s="4">
        <v>1</v>
      </c>
    </row>
    <row r="354" spans="1:15" x14ac:dyDescent="0.15">
      <c r="A354" s="4">
        <v>351</v>
      </c>
      <c r="B354" s="4">
        <v>39</v>
      </c>
      <c r="C354" s="4">
        <v>14</v>
      </c>
      <c r="D354" s="4">
        <v>113</v>
      </c>
      <c r="E354" s="4">
        <v>1</v>
      </c>
      <c r="F354" s="8">
        <v>1</v>
      </c>
      <c r="G354" s="4">
        <v>3</v>
      </c>
      <c r="H354" s="4">
        <f t="shared" si="10"/>
        <v>0</v>
      </c>
      <c r="I354" s="4">
        <f t="shared" si="11"/>
        <v>0</v>
      </c>
      <c r="J354" s="4">
        <v>0</v>
      </c>
      <c r="K354" s="4">
        <v>1</v>
      </c>
      <c r="L354" s="4">
        <v>0</v>
      </c>
      <c r="M354" s="4">
        <v>1</v>
      </c>
      <c r="N354" s="4">
        <v>0</v>
      </c>
      <c r="O354" s="4">
        <v>0</v>
      </c>
    </row>
    <row r="355" spans="1:15" x14ac:dyDescent="0.15">
      <c r="A355" s="4">
        <v>352</v>
      </c>
      <c r="B355" s="4">
        <v>28</v>
      </c>
      <c r="C355" s="4">
        <v>4</v>
      </c>
      <c r="D355" s="4">
        <v>155</v>
      </c>
      <c r="E355" s="4">
        <v>4</v>
      </c>
      <c r="F355" s="8">
        <v>5.3</v>
      </c>
      <c r="G355" s="4">
        <v>2</v>
      </c>
      <c r="H355" s="4">
        <f t="shared" si="10"/>
        <v>0</v>
      </c>
      <c r="I355" s="4">
        <f t="shared" si="11"/>
        <v>1</v>
      </c>
      <c r="J355" s="4">
        <v>0</v>
      </c>
      <c r="K355" s="4">
        <v>0</v>
      </c>
      <c r="L355" s="4">
        <v>0</v>
      </c>
      <c r="M355" s="4">
        <v>1</v>
      </c>
      <c r="N355" s="4">
        <v>0</v>
      </c>
      <c r="O355" s="4">
        <v>1</v>
      </c>
    </row>
    <row r="356" spans="1:15" x14ac:dyDescent="0.15">
      <c r="A356" s="4">
        <v>353</v>
      </c>
      <c r="B356" s="4">
        <v>52</v>
      </c>
      <c r="C356" s="4">
        <v>28</v>
      </c>
      <c r="D356" s="4">
        <v>91</v>
      </c>
      <c r="E356" s="4">
        <v>4</v>
      </c>
      <c r="F356" s="8">
        <v>1</v>
      </c>
      <c r="G356" s="4">
        <v>2</v>
      </c>
      <c r="H356" s="4">
        <f t="shared" si="10"/>
        <v>0</v>
      </c>
      <c r="I356" s="4">
        <f t="shared" si="11"/>
        <v>1</v>
      </c>
      <c r="J356" s="4">
        <v>0</v>
      </c>
      <c r="K356" s="4">
        <v>0</v>
      </c>
      <c r="L356" s="4">
        <v>0</v>
      </c>
      <c r="M356" s="4">
        <v>0</v>
      </c>
      <c r="N356" s="4">
        <v>1</v>
      </c>
      <c r="O356" s="4">
        <v>0</v>
      </c>
    </row>
    <row r="357" spans="1:15" x14ac:dyDescent="0.15">
      <c r="A357" s="4">
        <v>354</v>
      </c>
      <c r="B357" s="4">
        <v>53</v>
      </c>
      <c r="C357" s="4">
        <v>29</v>
      </c>
      <c r="D357" s="4">
        <v>55</v>
      </c>
      <c r="E357" s="4">
        <v>4</v>
      </c>
      <c r="F357" s="8">
        <v>1.1000000000000001</v>
      </c>
      <c r="G357" s="4">
        <v>2</v>
      </c>
      <c r="H357" s="4">
        <f t="shared" si="10"/>
        <v>0</v>
      </c>
      <c r="I357" s="4">
        <f t="shared" si="11"/>
        <v>1</v>
      </c>
      <c r="J357" s="4">
        <v>0</v>
      </c>
      <c r="K357" s="4">
        <v>0</v>
      </c>
      <c r="L357" s="4">
        <v>0</v>
      </c>
      <c r="M357" s="4">
        <v>1</v>
      </c>
      <c r="N357" s="4">
        <v>0</v>
      </c>
      <c r="O357" s="4">
        <v>0</v>
      </c>
    </row>
    <row r="358" spans="1:15" x14ac:dyDescent="0.15">
      <c r="A358" s="4">
        <v>355</v>
      </c>
      <c r="B358" s="4">
        <v>44</v>
      </c>
      <c r="C358" s="4">
        <v>20</v>
      </c>
      <c r="D358" s="4">
        <v>173</v>
      </c>
      <c r="E358" s="4">
        <v>2</v>
      </c>
      <c r="F358" s="8">
        <v>1.4</v>
      </c>
      <c r="G358" s="4">
        <v>1</v>
      </c>
      <c r="H358" s="4">
        <f t="shared" si="10"/>
        <v>1</v>
      </c>
      <c r="I358" s="4">
        <f t="shared" si="11"/>
        <v>0</v>
      </c>
      <c r="J358" s="4">
        <v>419</v>
      </c>
      <c r="K358" s="4">
        <v>0</v>
      </c>
      <c r="L358" s="4">
        <v>0</v>
      </c>
      <c r="M358" s="4">
        <v>1</v>
      </c>
      <c r="N358" s="4">
        <v>0</v>
      </c>
      <c r="O358" s="4">
        <v>0</v>
      </c>
    </row>
    <row r="359" spans="1:15" x14ac:dyDescent="0.15">
      <c r="A359" s="4">
        <v>356</v>
      </c>
      <c r="B359" s="4">
        <v>43</v>
      </c>
      <c r="C359" s="4">
        <v>19</v>
      </c>
      <c r="D359" s="4">
        <v>71</v>
      </c>
      <c r="E359" s="4">
        <v>3</v>
      </c>
      <c r="F359" s="8">
        <v>0.3</v>
      </c>
      <c r="G359" s="4">
        <v>3</v>
      </c>
      <c r="H359" s="4">
        <f t="shared" si="10"/>
        <v>0</v>
      </c>
      <c r="I359" s="4">
        <f t="shared" si="11"/>
        <v>0</v>
      </c>
      <c r="J359" s="4">
        <v>0</v>
      </c>
      <c r="K359" s="4">
        <v>0</v>
      </c>
      <c r="L359" s="4">
        <v>0</v>
      </c>
      <c r="M359" s="4">
        <v>0</v>
      </c>
      <c r="N359" s="4">
        <v>1</v>
      </c>
      <c r="O359" s="4">
        <v>0</v>
      </c>
    </row>
    <row r="360" spans="1:15" x14ac:dyDescent="0.15">
      <c r="A360" s="4">
        <v>357</v>
      </c>
      <c r="B360" s="4">
        <v>56</v>
      </c>
      <c r="C360" s="4">
        <v>30</v>
      </c>
      <c r="D360" s="4">
        <v>24</v>
      </c>
      <c r="E360" s="4">
        <v>2</v>
      </c>
      <c r="F360" s="8">
        <v>0.4</v>
      </c>
      <c r="G360" s="4">
        <v>3</v>
      </c>
      <c r="H360" s="4">
        <f t="shared" si="10"/>
        <v>0</v>
      </c>
      <c r="I360" s="4">
        <f t="shared" si="11"/>
        <v>0</v>
      </c>
      <c r="J360" s="4">
        <v>88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</row>
    <row r="361" spans="1:15" x14ac:dyDescent="0.15">
      <c r="A361" s="4">
        <v>358</v>
      </c>
      <c r="B361" s="4">
        <v>38</v>
      </c>
      <c r="C361" s="4">
        <v>14</v>
      </c>
      <c r="D361" s="4">
        <v>42</v>
      </c>
      <c r="E361" s="4">
        <v>1</v>
      </c>
      <c r="F361" s="8">
        <v>2</v>
      </c>
      <c r="G361" s="4">
        <v>2</v>
      </c>
      <c r="H361" s="4">
        <f t="shared" si="10"/>
        <v>0</v>
      </c>
      <c r="I361" s="4">
        <f t="shared" si="11"/>
        <v>1</v>
      </c>
      <c r="J361" s="4">
        <v>81</v>
      </c>
      <c r="K361" s="4">
        <v>0</v>
      </c>
      <c r="L361" s="4">
        <v>0</v>
      </c>
      <c r="M361" s="4">
        <v>1</v>
      </c>
      <c r="N361" s="4">
        <v>0</v>
      </c>
      <c r="O361" s="4">
        <v>0</v>
      </c>
    </row>
    <row r="362" spans="1:15" x14ac:dyDescent="0.15">
      <c r="A362" s="4">
        <v>359</v>
      </c>
      <c r="B362" s="4">
        <v>30</v>
      </c>
      <c r="C362" s="4">
        <v>6</v>
      </c>
      <c r="D362" s="4">
        <v>141</v>
      </c>
      <c r="E362" s="4">
        <v>2</v>
      </c>
      <c r="F362" s="8">
        <v>4.333333333333333</v>
      </c>
      <c r="G362" s="4">
        <v>1</v>
      </c>
      <c r="H362" s="4">
        <f t="shared" si="10"/>
        <v>1</v>
      </c>
      <c r="I362" s="4">
        <f t="shared" si="11"/>
        <v>0</v>
      </c>
      <c r="J362" s="4">
        <v>0</v>
      </c>
      <c r="K362" s="4">
        <v>0</v>
      </c>
      <c r="L362" s="4">
        <v>0</v>
      </c>
      <c r="M362" s="4">
        <v>1</v>
      </c>
      <c r="N362" s="4">
        <v>0</v>
      </c>
      <c r="O362" s="4">
        <v>0</v>
      </c>
    </row>
    <row r="363" spans="1:15" x14ac:dyDescent="0.15">
      <c r="A363" s="4">
        <v>360</v>
      </c>
      <c r="B363" s="4">
        <v>32</v>
      </c>
      <c r="C363" s="4">
        <v>6</v>
      </c>
      <c r="D363" s="4">
        <v>32</v>
      </c>
      <c r="E363" s="4">
        <v>1</v>
      </c>
      <c r="F363" s="8">
        <v>1.9</v>
      </c>
      <c r="G363" s="4">
        <v>3</v>
      </c>
      <c r="H363" s="4">
        <f t="shared" si="10"/>
        <v>0</v>
      </c>
      <c r="I363" s="4">
        <f t="shared" si="11"/>
        <v>0</v>
      </c>
      <c r="J363" s="4">
        <v>0</v>
      </c>
      <c r="K363" s="4">
        <v>0</v>
      </c>
      <c r="L363" s="4">
        <v>0</v>
      </c>
      <c r="M363" s="4">
        <v>1</v>
      </c>
      <c r="N363" s="4">
        <v>0</v>
      </c>
      <c r="O363" s="4">
        <v>0</v>
      </c>
    </row>
    <row r="364" spans="1:15" x14ac:dyDescent="0.15">
      <c r="A364" s="4">
        <v>361</v>
      </c>
      <c r="B364" s="4">
        <v>35</v>
      </c>
      <c r="C364" s="4">
        <v>10</v>
      </c>
      <c r="D364" s="4">
        <v>55</v>
      </c>
      <c r="E364" s="4">
        <v>4</v>
      </c>
      <c r="F364" s="8">
        <v>1.3</v>
      </c>
      <c r="G364" s="4">
        <v>1</v>
      </c>
      <c r="H364" s="4">
        <f t="shared" si="10"/>
        <v>1</v>
      </c>
      <c r="I364" s="4">
        <f t="shared" si="11"/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</row>
    <row r="365" spans="1:15" x14ac:dyDescent="0.15">
      <c r="A365" s="4">
        <v>362</v>
      </c>
      <c r="B365" s="4">
        <v>43</v>
      </c>
      <c r="C365" s="4">
        <v>19</v>
      </c>
      <c r="D365" s="4">
        <v>153</v>
      </c>
      <c r="E365" s="4">
        <v>2</v>
      </c>
      <c r="F365" s="8">
        <v>7.5</v>
      </c>
      <c r="G365" s="4">
        <v>1</v>
      </c>
      <c r="H365" s="4">
        <f t="shared" si="10"/>
        <v>1</v>
      </c>
      <c r="I365" s="4">
        <f t="shared" si="11"/>
        <v>0</v>
      </c>
      <c r="J365" s="4">
        <v>0</v>
      </c>
      <c r="K365" s="4">
        <v>0</v>
      </c>
      <c r="L365" s="4">
        <v>0</v>
      </c>
      <c r="M365" s="4">
        <v>1</v>
      </c>
      <c r="N365" s="4">
        <v>0</v>
      </c>
      <c r="O365" s="4">
        <v>0</v>
      </c>
    </row>
    <row r="366" spans="1:15" x14ac:dyDescent="0.15">
      <c r="A366" s="4">
        <v>363</v>
      </c>
      <c r="B366" s="4">
        <v>58</v>
      </c>
      <c r="C366" s="4">
        <v>32</v>
      </c>
      <c r="D366" s="4">
        <v>113</v>
      </c>
      <c r="E366" s="4">
        <v>2</v>
      </c>
      <c r="F366" s="8">
        <v>1.4</v>
      </c>
      <c r="G366" s="4">
        <v>1</v>
      </c>
      <c r="H366" s="4">
        <f t="shared" si="10"/>
        <v>1</v>
      </c>
      <c r="I366" s="4">
        <f t="shared" si="11"/>
        <v>0</v>
      </c>
      <c r="J366" s="4">
        <v>270</v>
      </c>
      <c r="K366" s="4">
        <v>0</v>
      </c>
      <c r="L366" s="4">
        <v>0</v>
      </c>
      <c r="M366" s="4">
        <v>0</v>
      </c>
      <c r="N366" s="4">
        <v>1</v>
      </c>
      <c r="O366" s="4">
        <v>0</v>
      </c>
    </row>
    <row r="367" spans="1:15" x14ac:dyDescent="0.15">
      <c r="A367" s="4">
        <v>364</v>
      </c>
      <c r="B367" s="4">
        <v>25</v>
      </c>
      <c r="C367" s="4">
        <v>0</v>
      </c>
      <c r="D367" s="4">
        <v>30</v>
      </c>
      <c r="E367" s="4">
        <v>2</v>
      </c>
      <c r="F367" s="8">
        <v>1.7</v>
      </c>
      <c r="G367" s="4">
        <v>2</v>
      </c>
      <c r="H367" s="4">
        <f t="shared" si="10"/>
        <v>0</v>
      </c>
      <c r="I367" s="4">
        <f t="shared" si="11"/>
        <v>1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</row>
    <row r="368" spans="1:15" x14ac:dyDescent="0.15">
      <c r="A368" s="4">
        <v>365</v>
      </c>
      <c r="B368" s="4">
        <v>54</v>
      </c>
      <c r="C368" s="4">
        <v>24</v>
      </c>
      <c r="D368" s="4">
        <v>29</v>
      </c>
      <c r="E368" s="4">
        <v>3</v>
      </c>
      <c r="F368" s="8">
        <v>1</v>
      </c>
      <c r="G368" s="4">
        <v>3</v>
      </c>
      <c r="H368" s="4">
        <f t="shared" si="10"/>
        <v>0</v>
      </c>
      <c r="I368" s="4">
        <f t="shared" si="11"/>
        <v>0</v>
      </c>
      <c r="J368" s="4">
        <v>148</v>
      </c>
      <c r="K368" s="4">
        <v>0</v>
      </c>
      <c r="L368" s="4">
        <v>0</v>
      </c>
      <c r="M368" s="4">
        <v>0</v>
      </c>
      <c r="N368" s="4">
        <v>1</v>
      </c>
      <c r="O368" s="4">
        <v>0</v>
      </c>
    </row>
    <row r="369" spans="1:15" x14ac:dyDescent="0.15">
      <c r="A369" s="4">
        <v>366</v>
      </c>
      <c r="B369" s="4">
        <v>57</v>
      </c>
      <c r="C369" s="4">
        <v>32</v>
      </c>
      <c r="D369" s="4">
        <v>174</v>
      </c>
      <c r="E369" s="4">
        <v>1</v>
      </c>
      <c r="F369" s="8">
        <v>6.8</v>
      </c>
      <c r="G369" s="4">
        <v>2</v>
      </c>
      <c r="H369" s="4">
        <f t="shared" si="10"/>
        <v>0</v>
      </c>
      <c r="I369" s="4">
        <f t="shared" si="11"/>
        <v>1</v>
      </c>
      <c r="J369" s="4">
        <v>466</v>
      </c>
      <c r="K369" s="4">
        <v>0</v>
      </c>
      <c r="L369" s="4">
        <v>0</v>
      </c>
      <c r="M369" s="4">
        <v>1</v>
      </c>
      <c r="N369" s="4">
        <v>0</v>
      </c>
      <c r="O369" s="4">
        <v>1</v>
      </c>
    </row>
    <row r="370" spans="1:15" x14ac:dyDescent="0.15">
      <c r="A370" s="4">
        <v>367</v>
      </c>
      <c r="B370" s="4">
        <v>50</v>
      </c>
      <c r="C370" s="4">
        <v>24</v>
      </c>
      <c r="D370" s="4">
        <v>35</v>
      </c>
      <c r="E370" s="4">
        <v>1</v>
      </c>
      <c r="F370" s="8">
        <v>0.3</v>
      </c>
      <c r="G370" s="4">
        <v>3</v>
      </c>
      <c r="H370" s="4">
        <f t="shared" si="10"/>
        <v>0</v>
      </c>
      <c r="I370" s="4">
        <f t="shared" si="11"/>
        <v>0</v>
      </c>
      <c r="J370" s="4">
        <v>0</v>
      </c>
      <c r="K370" s="4">
        <v>0</v>
      </c>
      <c r="L370" s="4">
        <v>0</v>
      </c>
      <c r="M370" s="4">
        <v>1</v>
      </c>
      <c r="N370" s="4">
        <v>0</v>
      </c>
      <c r="O370" s="4">
        <v>0</v>
      </c>
    </row>
    <row r="371" spans="1:15" x14ac:dyDescent="0.15">
      <c r="A371" s="4">
        <v>368</v>
      </c>
      <c r="B371" s="4">
        <v>32</v>
      </c>
      <c r="C371" s="4">
        <v>8</v>
      </c>
      <c r="D371" s="4">
        <v>98</v>
      </c>
      <c r="E371" s="4">
        <v>2</v>
      </c>
      <c r="F371" s="8">
        <v>2</v>
      </c>
      <c r="G371" s="4">
        <v>2</v>
      </c>
      <c r="H371" s="4">
        <f t="shared" si="10"/>
        <v>0</v>
      </c>
      <c r="I371" s="4">
        <f t="shared" si="11"/>
        <v>1</v>
      </c>
      <c r="J371" s="4">
        <v>175</v>
      </c>
      <c r="K371" s="4">
        <v>0</v>
      </c>
      <c r="L371" s="4">
        <v>0</v>
      </c>
      <c r="M371" s="4">
        <v>1</v>
      </c>
      <c r="N371" s="4">
        <v>0</v>
      </c>
      <c r="O371" s="4">
        <v>0</v>
      </c>
    </row>
    <row r="372" spans="1:15" x14ac:dyDescent="0.15">
      <c r="A372" s="4">
        <v>369</v>
      </c>
      <c r="B372" s="4">
        <v>63</v>
      </c>
      <c r="C372" s="4">
        <v>37</v>
      </c>
      <c r="D372" s="4">
        <v>30</v>
      </c>
      <c r="E372" s="4">
        <v>2</v>
      </c>
      <c r="F372" s="8">
        <v>1</v>
      </c>
      <c r="G372" s="4">
        <v>3</v>
      </c>
      <c r="H372" s="4">
        <f t="shared" si="10"/>
        <v>0</v>
      </c>
      <c r="I372" s="4">
        <f t="shared" si="11"/>
        <v>0</v>
      </c>
      <c r="J372" s="4">
        <v>159</v>
      </c>
      <c r="K372" s="4">
        <v>0</v>
      </c>
      <c r="L372" s="4">
        <v>0</v>
      </c>
      <c r="M372" s="4">
        <v>1</v>
      </c>
      <c r="N372" s="4">
        <v>0</v>
      </c>
      <c r="O372" s="4">
        <v>0</v>
      </c>
    </row>
    <row r="373" spans="1:15" x14ac:dyDescent="0.15">
      <c r="A373" s="4">
        <v>370</v>
      </c>
      <c r="B373" s="4">
        <v>31</v>
      </c>
      <c r="C373" s="4">
        <v>6</v>
      </c>
      <c r="D373" s="4">
        <v>58</v>
      </c>
      <c r="E373" s="4">
        <v>2</v>
      </c>
      <c r="F373" s="8">
        <v>2.5</v>
      </c>
      <c r="G373" s="4">
        <v>1</v>
      </c>
      <c r="H373" s="4">
        <f t="shared" si="10"/>
        <v>1</v>
      </c>
      <c r="I373" s="4">
        <f t="shared" si="11"/>
        <v>0</v>
      </c>
      <c r="J373" s="4">
        <v>0</v>
      </c>
      <c r="K373" s="4">
        <v>0</v>
      </c>
      <c r="L373" s="4">
        <v>0</v>
      </c>
      <c r="M373" s="4">
        <v>0</v>
      </c>
      <c r="N373" s="4">
        <v>1</v>
      </c>
      <c r="O373" s="4">
        <v>0</v>
      </c>
    </row>
    <row r="374" spans="1:15" x14ac:dyDescent="0.15">
      <c r="A374" s="4">
        <v>371</v>
      </c>
      <c r="B374" s="4">
        <v>36</v>
      </c>
      <c r="C374" s="4">
        <v>12</v>
      </c>
      <c r="D374" s="4">
        <v>25</v>
      </c>
      <c r="E374" s="4">
        <v>4</v>
      </c>
      <c r="F374" s="8">
        <v>1</v>
      </c>
      <c r="G374" s="4">
        <v>1</v>
      </c>
      <c r="H374" s="4">
        <f t="shared" si="10"/>
        <v>1</v>
      </c>
      <c r="I374" s="4">
        <f t="shared" si="11"/>
        <v>0</v>
      </c>
      <c r="J374" s="4">
        <v>147</v>
      </c>
      <c r="K374" s="4">
        <v>0</v>
      </c>
      <c r="L374" s="4">
        <v>0</v>
      </c>
      <c r="M374" s="4">
        <v>0</v>
      </c>
      <c r="N374" s="4">
        <v>0</v>
      </c>
      <c r="O374" s="4">
        <v>0</v>
      </c>
    </row>
    <row r="375" spans="1:15" x14ac:dyDescent="0.15">
      <c r="A375" s="4">
        <v>372</v>
      </c>
      <c r="B375" s="4">
        <v>58</v>
      </c>
      <c r="C375" s="4">
        <v>34</v>
      </c>
      <c r="D375" s="4">
        <v>19</v>
      </c>
      <c r="E375" s="4">
        <v>4</v>
      </c>
      <c r="F375" s="8">
        <v>0.7</v>
      </c>
      <c r="G375" s="4">
        <v>1</v>
      </c>
      <c r="H375" s="4">
        <f t="shared" si="10"/>
        <v>1</v>
      </c>
      <c r="I375" s="4">
        <f t="shared" si="11"/>
        <v>0</v>
      </c>
      <c r="J375" s="4">
        <v>0</v>
      </c>
      <c r="K375" s="4">
        <v>0</v>
      </c>
      <c r="L375" s="4">
        <v>0</v>
      </c>
      <c r="M375" s="4">
        <v>0</v>
      </c>
      <c r="N375" s="4">
        <v>0</v>
      </c>
      <c r="O375" s="4">
        <v>0</v>
      </c>
    </row>
    <row r="376" spans="1:15" x14ac:dyDescent="0.15">
      <c r="A376" s="4">
        <v>373</v>
      </c>
      <c r="B376" s="4">
        <v>56</v>
      </c>
      <c r="C376" s="4">
        <v>30</v>
      </c>
      <c r="D376" s="4">
        <v>44</v>
      </c>
      <c r="E376" s="4">
        <v>4</v>
      </c>
      <c r="F376" s="8">
        <v>0.7</v>
      </c>
      <c r="G376" s="4">
        <v>2</v>
      </c>
      <c r="H376" s="4">
        <f t="shared" si="10"/>
        <v>0</v>
      </c>
      <c r="I376" s="4">
        <f t="shared" si="11"/>
        <v>1</v>
      </c>
      <c r="J376" s="4">
        <v>174</v>
      </c>
      <c r="K376" s="4">
        <v>0</v>
      </c>
      <c r="L376" s="4">
        <v>0</v>
      </c>
      <c r="M376" s="4">
        <v>1</v>
      </c>
      <c r="N376" s="4">
        <v>0</v>
      </c>
      <c r="O376" s="4">
        <v>0</v>
      </c>
    </row>
    <row r="377" spans="1:15" x14ac:dyDescent="0.15">
      <c r="A377" s="4">
        <v>374</v>
      </c>
      <c r="B377" s="4">
        <v>49</v>
      </c>
      <c r="C377" s="4">
        <v>25</v>
      </c>
      <c r="D377" s="4">
        <v>20</v>
      </c>
      <c r="E377" s="4">
        <v>4</v>
      </c>
      <c r="F377" s="8">
        <v>1</v>
      </c>
      <c r="G377" s="4">
        <v>1</v>
      </c>
      <c r="H377" s="4">
        <f t="shared" si="10"/>
        <v>1</v>
      </c>
      <c r="I377" s="4">
        <f t="shared" si="11"/>
        <v>0</v>
      </c>
      <c r="J377" s="4">
        <v>111</v>
      </c>
      <c r="K377" s="4">
        <v>0</v>
      </c>
      <c r="L377" s="4">
        <v>0</v>
      </c>
      <c r="M377" s="4">
        <v>1</v>
      </c>
      <c r="N377" s="4">
        <v>1</v>
      </c>
      <c r="O377" s="4">
        <v>0</v>
      </c>
    </row>
    <row r="378" spans="1:15" x14ac:dyDescent="0.15">
      <c r="A378" s="4">
        <v>375</v>
      </c>
      <c r="B378" s="4">
        <v>30</v>
      </c>
      <c r="C378" s="4">
        <v>5</v>
      </c>
      <c r="D378" s="4">
        <v>98</v>
      </c>
      <c r="E378" s="4">
        <v>2</v>
      </c>
      <c r="F378" s="8">
        <v>3.1</v>
      </c>
      <c r="G378" s="4">
        <v>1</v>
      </c>
      <c r="H378" s="4">
        <f t="shared" si="10"/>
        <v>1</v>
      </c>
      <c r="I378" s="4">
        <f t="shared" si="11"/>
        <v>0</v>
      </c>
      <c r="J378" s="4">
        <v>220</v>
      </c>
      <c r="K378" s="4">
        <v>0</v>
      </c>
      <c r="L378" s="4">
        <v>0</v>
      </c>
      <c r="M378" s="4">
        <v>1</v>
      </c>
      <c r="N378" s="4">
        <v>0</v>
      </c>
      <c r="O378" s="4">
        <v>0</v>
      </c>
    </row>
    <row r="379" spans="1:15" x14ac:dyDescent="0.15">
      <c r="A379" s="4">
        <v>376</v>
      </c>
      <c r="B379" s="4">
        <v>33</v>
      </c>
      <c r="C379" s="4">
        <v>7</v>
      </c>
      <c r="D379" s="4">
        <v>90</v>
      </c>
      <c r="E379" s="4">
        <v>3</v>
      </c>
      <c r="F379" s="8">
        <v>1.6</v>
      </c>
      <c r="G379" s="4">
        <v>1</v>
      </c>
      <c r="H379" s="4">
        <f t="shared" si="10"/>
        <v>1</v>
      </c>
      <c r="I379" s="4">
        <f t="shared" si="11"/>
        <v>0</v>
      </c>
      <c r="J379" s="4">
        <v>0</v>
      </c>
      <c r="K379" s="4">
        <v>0</v>
      </c>
      <c r="L379" s="4">
        <v>0</v>
      </c>
      <c r="M379" s="4">
        <v>1</v>
      </c>
      <c r="N379" s="4">
        <v>0</v>
      </c>
      <c r="O379" s="4">
        <v>0</v>
      </c>
    </row>
    <row r="380" spans="1:15" x14ac:dyDescent="0.15">
      <c r="A380" s="4">
        <v>377</v>
      </c>
      <c r="B380" s="4">
        <v>45</v>
      </c>
      <c r="C380" s="4">
        <v>21</v>
      </c>
      <c r="D380" s="4">
        <v>61</v>
      </c>
      <c r="E380" s="4">
        <v>3</v>
      </c>
      <c r="F380" s="8">
        <v>0.7</v>
      </c>
      <c r="G380" s="4">
        <v>1</v>
      </c>
      <c r="H380" s="4">
        <f t="shared" si="10"/>
        <v>1</v>
      </c>
      <c r="I380" s="4">
        <f t="shared" si="11"/>
        <v>0</v>
      </c>
      <c r="J380" s="4">
        <v>0</v>
      </c>
      <c r="K380" s="4">
        <v>0</v>
      </c>
      <c r="L380" s="4">
        <v>0</v>
      </c>
      <c r="M380" s="4">
        <v>0</v>
      </c>
      <c r="N380" s="4">
        <v>0</v>
      </c>
      <c r="O380" s="4">
        <v>0</v>
      </c>
    </row>
    <row r="381" spans="1:15" x14ac:dyDescent="0.15">
      <c r="A381" s="4">
        <v>378</v>
      </c>
      <c r="B381" s="4">
        <v>30</v>
      </c>
      <c r="C381" s="4">
        <v>5</v>
      </c>
      <c r="D381" s="4">
        <v>40</v>
      </c>
      <c r="E381" s="4">
        <v>4</v>
      </c>
      <c r="F381" s="8">
        <v>2</v>
      </c>
      <c r="G381" s="4">
        <v>2</v>
      </c>
      <c r="H381" s="4">
        <f t="shared" si="10"/>
        <v>0</v>
      </c>
      <c r="I381" s="4">
        <f t="shared" si="11"/>
        <v>1</v>
      </c>
      <c r="J381" s="4">
        <v>0</v>
      </c>
      <c r="K381" s="4">
        <v>0</v>
      </c>
      <c r="L381" s="4">
        <v>0</v>
      </c>
      <c r="M381" s="4">
        <v>1</v>
      </c>
      <c r="N381" s="4">
        <v>0</v>
      </c>
      <c r="O381" s="4">
        <v>0</v>
      </c>
    </row>
    <row r="382" spans="1:15" x14ac:dyDescent="0.15">
      <c r="A382" s="4">
        <v>379</v>
      </c>
      <c r="B382" s="4">
        <v>47</v>
      </c>
      <c r="C382" s="4">
        <v>23</v>
      </c>
      <c r="D382" s="4">
        <v>38</v>
      </c>
      <c r="E382" s="4">
        <v>2</v>
      </c>
      <c r="F382" s="8">
        <v>2.1</v>
      </c>
      <c r="G382" s="4">
        <v>3</v>
      </c>
      <c r="H382" s="4">
        <f t="shared" si="10"/>
        <v>0</v>
      </c>
      <c r="I382" s="4">
        <f t="shared" si="11"/>
        <v>0</v>
      </c>
      <c r="J382" s="4">
        <v>0</v>
      </c>
      <c r="K382" s="4">
        <v>0</v>
      </c>
      <c r="L382" s="4">
        <v>0</v>
      </c>
      <c r="M382" s="4">
        <v>0</v>
      </c>
      <c r="N382" s="4">
        <v>0</v>
      </c>
      <c r="O382" s="4">
        <v>0</v>
      </c>
    </row>
    <row r="383" spans="1:15" x14ac:dyDescent="0.15">
      <c r="A383" s="4">
        <v>380</v>
      </c>
      <c r="B383" s="4">
        <v>25</v>
      </c>
      <c r="C383" s="4">
        <v>0</v>
      </c>
      <c r="D383" s="4">
        <v>28</v>
      </c>
      <c r="E383" s="4">
        <v>2</v>
      </c>
      <c r="F383" s="8">
        <v>1.7</v>
      </c>
      <c r="G383" s="4">
        <v>2</v>
      </c>
      <c r="H383" s="4">
        <f t="shared" si="10"/>
        <v>0</v>
      </c>
      <c r="I383" s="4">
        <f t="shared" si="11"/>
        <v>1</v>
      </c>
      <c r="J383" s="4">
        <v>0</v>
      </c>
      <c r="K383" s="4">
        <v>0</v>
      </c>
      <c r="L383" s="4">
        <v>0</v>
      </c>
      <c r="M383" s="4">
        <v>0</v>
      </c>
      <c r="N383" s="4">
        <v>0</v>
      </c>
      <c r="O383" s="4">
        <v>0</v>
      </c>
    </row>
    <row r="384" spans="1:15" x14ac:dyDescent="0.15">
      <c r="A384" s="4">
        <v>381</v>
      </c>
      <c r="B384" s="4">
        <v>63</v>
      </c>
      <c r="C384" s="4">
        <v>33</v>
      </c>
      <c r="D384" s="4">
        <v>34</v>
      </c>
      <c r="E384" s="4">
        <v>1</v>
      </c>
      <c r="F384" s="8">
        <v>1.5</v>
      </c>
      <c r="G384" s="4">
        <v>3</v>
      </c>
      <c r="H384" s="4">
        <f t="shared" si="10"/>
        <v>0</v>
      </c>
      <c r="I384" s="4">
        <f t="shared" si="11"/>
        <v>0</v>
      </c>
      <c r="J384" s="4">
        <v>0</v>
      </c>
      <c r="K384" s="4">
        <v>0</v>
      </c>
      <c r="L384" s="4">
        <v>0</v>
      </c>
      <c r="M384" s="4">
        <v>1</v>
      </c>
      <c r="N384" s="4">
        <v>1</v>
      </c>
      <c r="O384" s="4">
        <v>0</v>
      </c>
    </row>
    <row r="385" spans="1:15" x14ac:dyDescent="0.15">
      <c r="A385" s="4">
        <v>382</v>
      </c>
      <c r="B385" s="4">
        <v>55</v>
      </c>
      <c r="C385" s="4">
        <v>29</v>
      </c>
      <c r="D385" s="4">
        <v>73</v>
      </c>
      <c r="E385" s="4">
        <v>2</v>
      </c>
      <c r="F385" s="8">
        <v>2.2999999999999998</v>
      </c>
      <c r="G385" s="4">
        <v>3</v>
      </c>
      <c r="H385" s="4">
        <f t="shared" si="10"/>
        <v>0</v>
      </c>
      <c r="I385" s="4">
        <f t="shared" si="11"/>
        <v>0</v>
      </c>
      <c r="J385" s="4">
        <v>0</v>
      </c>
      <c r="K385" s="4">
        <v>0</v>
      </c>
      <c r="L385" s="4">
        <v>0</v>
      </c>
      <c r="M385" s="4">
        <v>1</v>
      </c>
      <c r="N385" s="4">
        <v>1</v>
      </c>
      <c r="O385" s="4">
        <v>0</v>
      </c>
    </row>
    <row r="386" spans="1:15" x14ac:dyDescent="0.15">
      <c r="A386" s="4">
        <v>383</v>
      </c>
      <c r="B386" s="4">
        <v>65</v>
      </c>
      <c r="C386" s="4">
        <v>41</v>
      </c>
      <c r="D386" s="4">
        <v>133</v>
      </c>
      <c r="E386" s="4">
        <v>4</v>
      </c>
      <c r="F386" s="8">
        <v>2</v>
      </c>
      <c r="G386" s="4">
        <v>1</v>
      </c>
      <c r="H386" s="4">
        <f t="shared" si="10"/>
        <v>1</v>
      </c>
      <c r="I386" s="4">
        <f t="shared" si="11"/>
        <v>0</v>
      </c>
      <c r="J386" s="4">
        <v>0</v>
      </c>
      <c r="K386" s="4">
        <v>0</v>
      </c>
      <c r="L386" s="4">
        <v>0</v>
      </c>
      <c r="M386" s="4">
        <v>0</v>
      </c>
      <c r="N386" s="4">
        <v>1</v>
      </c>
      <c r="O386" s="4">
        <v>1</v>
      </c>
    </row>
    <row r="387" spans="1:15" x14ac:dyDescent="0.15">
      <c r="A387" s="4">
        <v>384</v>
      </c>
      <c r="B387" s="4">
        <v>44</v>
      </c>
      <c r="C387" s="4">
        <v>18</v>
      </c>
      <c r="D387" s="4">
        <v>53</v>
      </c>
      <c r="E387" s="4">
        <v>1</v>
      </c>
      <c r="F387" s="8">
        <v>0.2</v>
      </c>
      <c r="G387" s="4">
        <v>1</v>
      </c>
      <c r="H387" s="4">
        <f t="shared" si="10"/>
        <v>1</v>
      </c>
      <c r="I387" s="4">
        <f t="shared" si="11"/>
        <v>0</v>
      </c>
      <c r="J387" s="4">
        <v>0</v>
      </c>
      <c r="K387" s="4">
        <v>0</v>
      </c>
      <c r="L387" s="4">
        <v>0</v>
      </c>
      <c r="M387" s="4">
        <v>1</v>
      </c>
      <c r="N387" s="4">
        <v>0</v>
      </c>
      <c r="O387" s="4">
        <v>0</v>
      </c>
    </row>
    <row r="388" spans="1:15" x14ac:dyDescent="0.15">
      <c r="A388" s="4">
        <v>385</v>
      </c>
      <c r="B388" s="4">
        <v>51</v>
      </c>
      <c r="C388" s="4">
        <v>25</v>
      </c>
      <c r="D388" s="4">
        <v>21</v>
      </c>
      <c r="E388" s="4">
        <v>4</v>
      </c>
      <c r="F388" s="8">
        <v>0.6</v>
      </c>
      <c r="G388" s="4">
        <v>3</v>
      </c>
      <c r="H388" s="4">
        <f t="shared" si="10"/>
        <v>0</v>
      </c>
      <c r="I388" s="4">
        <f t="shared" si="11"/>
        <v>0</v>
      </c>
      <c r="J388" s="4">
        <v>0</v>
      </c>
      <c r="K388" s="4">
        <v>0</v>
      </c>
      <c r="L388" s="4">
        <v>0</v>
      </c>
      <c r="M388" s="4">
        <v>1</v>
      </c>
      <c r="N388" s="4">
        <v>1</v>
      </c>
      <c r="O388" s="4">
        <v>0</v>
      </c>
    </row>
    <row r="389" spans="1:15" x14ac:dyDescent="0.15">
      <c r="A389" s="4">
        <v>386</v>
      </c>
      <c r="B389" s="4">
        <v>35</v>
      </c>
      <c r="C389" s="4">
        <v>9</v>
      </c>
      <c r="D389" s="4">
        <v>40</v>
      </c>
      <c r="E389" s="4">
        <v>3</v>
      </c>
      <c r="F389" s="8">
        <v>0.9</v>
      </c>
      <c r="G389" s="4">
        <v>1</v>
      </c>
      <c r="H389" s="4">
        <f t="shared" ref="H389:H452" si="12">IF(G389=1,1,0)</f>
        <v>1</v>
      </c>
      <c r="I389" s="4">
        <f t="shared" ref="I389:I452" si="13">IF(G389=2,1,0)</f>
        <v>0</v>
      </c>
      <c r="J389" s="4">
        <v>0</v>
      </c>
      <c r="K389" s="4">
        <v>0</v>
      </c>
      <c r="L389" s="4">
        <v>0</v>
      </c>
      <c r="M389" s="4">
        <v>1</v>
      </c>
      <c r="N389" s="4">
        <v>0</v>
      </c>
      <c r="O389" s="4">
        <v>0</v>
      </c>
    </row>
    <row r="390" spans="1:15" x14ac:dyDescent="0.15">
      <c r="A390" s="4">
        <v>387</v>
      </c>
      <c r="B390" s="4">
        <v>30</v>
      </c>
      <c r="C390" s="4">
        <v>5</v>
      </c>
      <c r="D390" s="4">
        <v>41</v>
      </c>
      <c r="E390" s="4">
        <v>4</v>
      </c>
      <c r="F390" s="8">
        <v>1.7</v>
      </c>
      <c r="G390" s="4">
        <v>2</v>
      </c>
      <c r="H390" s="4">
        <f t="shared" si="12"/>
        <v>0</v>
      </c>
      <c r="I390" s="4">
        <f t="shared" si="13"/>
        <v>1</v>
      </c>
      <c r="J390" s="4">
        <v>0</v>
      </c>
      <c r="K390" s="4">
        <v>0</v>
      </c>
      <c r="L390" s="4">
        <v>0</v>
      </c>
      <c r="M390" s="4">
        <v>1</v>
      </c>
      <c r="N390" s="4">
        <v>0</v>
      </c>
      <c r="O390" s="4">
        <v>0</v>
      </c>
    </row>
    <row r="391" spans="1:15" x14ac:dyDescent="0.15">
      <c r="A391" s="4">
        <v>388</v>
      </c>
      <c r="B391" s="4">
        <v>31</v>
      </c>
      <c r="C391" s="4">
        <v>5</v>
      </c>
      <c r="D391" s="4">
        <v>82</v>
      </c>
      <c r="E391" s="4">
        <v>4</v>
      </c>
      <c r="F391" s="8">
        <v>1.8</v>
      </c>
      <c r="G391" s="4">
        <v>2</v>
      </c>
      <c r="H391" s="4">
        <f t="shared" si="12"/>
        <v>0</v>
      </c>
      <c r="I391" s="4">
        <f t="shared" si="13"/>
        <v>1</v>
      </c>
      <c r="J391" s="4">
        <v>0</v>
      </c>
      <c r="K391" s="4">
        <v>0</v>
      </c>
      <c r="L391" s="4">
        <v>0</v>
      </c>
      <c r="M391" s="4">
        <v>1</v>
      </c>
      <c r="N391" s="4">
        <v>0</v>
      </c>
      <c r="O391" s="4">
        <v>0</v>
      </c>
    </row>
    <row r="392" spans="1:15" x14ac:dyDescent="0.15">
      <c r="A392" s="4">
        <v>389</v>
      </c>
      <c r="B392" s="4">
        <v>54</v>
      </c>
      <c r="C392" s="4">
        <v>30</v>
      </c>
      <c r="D392" s="4">
        <v>100</v>
      </c>
      <c r="E392" s="4">
        <v>4</v>
      </c>
      <c r="F392" s="8">
        <v>3.4</v>
      </c>
      <c r="G392" s="4">
        <v>3</v>
      </c>
      <c r="H392" s="4">
        <f t="shared" si="12"/>
        <v>0</v>
      </c>
      <c r="I392" s="4">
        <f t="shared" si="13"/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1</v>
      </c>
    </row>
    <row r="393" spans="1:15" x14ac:dyDescent="0.15">
      <c r="A393" s="4">
        <v>390</v>
      </c>
      <c r="B393" s="4">
        <v>45</v>
      </c>
      <c r="C393" s="4">
        <v>20</v>
      </c>
      <c r="D393" s="4">
        <v>155</v>
      </c>
      <c r="E393" s="4">
        <v>1</v>
      </c>
      <c r="F393" s="8">
        <v>7</v>
      </c>
      <c r="G393" s="4">
        <v>1</v>
      </c>
      <c r="H393" s="4">
        <f t="shared" si="12"/>
        <v>1</v>
      </c>
      <c r="I393" s="4">
        <f t="shared" si="13"/>
        <v>0</v>
      </c>
      <c r="J393" s="4">
        <v>0</v>
      </c>
      <c r="K393" s="4">
        <v>0</v>
      </c>
      <c r="L393" s="4">
        <v>0</v>
      </c>
      <c r="M393" s="4">
        <v>1</v>
      </c>
      <c r="N393" s="4">
        <v>1</v>
      </c>
      <c r="O393" s="4">
        <v>0</v>
      </c>
    </row>
    <row r="394" spans="1:15" x14ac:dyDescent="0.15">
      <c r="A394" s="4">
        <v>391</v>
      </c>
      <c r="B394" s="4">
        <v>45</v>
      </c>
      <c r="C394" s="4">
        <v>19</v>
      </c>
      <c r="D394" s="4">
        <v>45</v>
      </c>
      <c r="E394" s="4">
        <v>1</v>
      </c>
      <c r="F394" s="8">
        <v>0.2</v>
      </c>
      <c r="G394" s="4">
        <v>1</v>
      </c>
      <c r="H394" s="4">
        <f t="shared" si="12"/>
        <v>1</v>
      </c>
      <c r="I394" s="4">
        <f t="shared" si="13"/>
        <v>0</v>
      </c>
      <c r="J394" s="4">
        <v>0</v>
      </c>
      <c r="K394" s="4">
        <v>0</v>
      </c>
      <c r="L394" s="4">
        <v>0</v>
      </c>
      <c r="M394" s="4">
        <v>1</v>
      </c>
      <c r="N394" s="4">
        <v>0</v>
      </c>
      <c r="O394" s="4">
        <v>0</v>
      </c>
    </row>
    <row r="395" spans="1:15" x14ac:dyDescent="0.15">
      <c r="A395" s="4">
        <v>392</v>
      </c>
      <c r="B395" s="4">
        <v>58</v>
      </c>
      <c r="C395" s="4">
        <v>32</v>
      </c>
      <c r="D395" s="4">
        <v>9</v>
      </c>
      <c r="E395" s="4">
        <v>3</v>
      </c>
      <c r="F395" s="8">
        <v>0.3</v>
      </c>
      <c r="G395" s="4">
        <v>3</v>
      </c>
      <c r="H395" s="4">
        <f t="shared" si="12"/>
        <v>0</v>
      </c>
      <c r="I395" s="4">
        <f t="shared" si="13"/>
        <v>0</v>
      </c>
      <c r="J395" s="4">
        <v>0</v>
      </c>
      <c r="K395" s="4">
        <v>0</v>
      </c>
      <c r="L395" s="4">
        <v>0</v>
      </c>
      <c r="M395" s="4">
        <v>0</v>
      </c>
      <c r="N395" s="4">
        <v>1</v>
      </c>
      <c r="O395" s="4">
        <v>0</v>
      </c>
    </row>
    <row r="396" spans="1:15" x14ac:dyDescent="0.15">
      <c r="A396" s="4">
        <v>393</v>
      </c>
      <c r="B396" s="4">
        <v>54</v>
      </c>
      <c r="C396" s="4">
        <v>29</v>
      </c>
      <c r="D396" s="4">
        <v>48</v>
      </c>
      <c r="E396" s="4">
        <v>4</v>
      </c>
      <c r="F396" s="8">
        <v>1.8</v>
      </c>
      <c r="G396" s="4">
        <v>3</v>
      </c>
      <c r="H396" s="4">
        <f t="shared" si="12"/>
        <v>0</v>
      </c>
      <c r="I396" s="4">
        <f t="shared" si="13"/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</row>
    <row r="397" spans="1:15" x14ac:dyDescent="0.15">
      <c r="A397" s="4">
        <v>394</v>
      </c>
      <c r="B397" s="4">
        <v>53</v>
      </c>
      <c r="C397" s="4">
        <v>28</v>
      </c>
      <c r="D397" s="4">
        <v>18</v>
      </c>
      <c r="E397" s="4">
        <v>4</v>
      </c>
      <c r="F397" s="8">
        <v>0.1</v>
      </c>
      <c r="G397" s="4">
        <v>3</v>
      </c>
      <c r="H397" s="4">
        <f t="shared" si="12"/>
        <v>0</v>
      </c>
      <c r="I397" s="4">
        <f t="shared" si="13"/>
        <v>0</v>
      </c>
      <c r="J397" s="4">
        <v>109</v>
      </c>
      <c r="K397" s="4">
        <v>1</v>
      </c>
      <c r="L397" s="4">
        <v>1</v>
      </c>
      <c r="M397" s="4">
        <v>1</v>
      </c>
      <c r="N397" s="4">
        <v>1</v>
      </c>
      <c r="O397" s="4">
        <v>0</v>
      </c>
    </row>
    <row r="398" spans="1:15" x14ac:dyDescent="0.15">
      <c r="A398" s="4">
        <v>395</v>
      </c>
      <c r="B398" s="4">
        <v>33</v>
      </c>
      <c r="C398" s="4">
        <v>9</v>
      </c>
      <c r="D398" s="4">
        <v>80</v>
      </c>
      <c r="E398" s="4">
        <v>4</v>
      </c>
      <c r="F398" s="8">
        <v>3.4</v>
      </c>
      <c r="G398" s="4">
        <v>1</v>
      </c>
      <c r="H398" s="4">
        <f t="shared" si="12"/>
        <v>1</v>
      </c>
      <c r="I398" s="4">
        <f t="shared" si="13"/>
        <v>0</v>
      </c>
      <c r="J398" s="4">
        <v>0</v>
      </c>
      <c r="K398" s="4">
        <v>0</v>
      </c>
      <c r="L398" s="4">
        <v>0</v>
      </c>
      <c r="M398" s="4">
        <v>1</v>
      </c>
      <c r="N398" s="4">
        <v>1</v>
      </c>
      <c r="O398" s="4">
        <v>0</v>
      </c>
    </row>
    <row r="399" spans="1:15" x14ac:dyDescent="0.15">
      <c r="A399" s="4">
        <v>396</v>
      </c>
      <c r="B399" s="4">
        <v>60</v>
      </c>
      <c r="C399" s="4">
        <v>35</v>
      </c>
      <c r="D399" s="4">
        <v>64</v>
      </c>
      <c r="E399" s="4">
        <v>2</v>
      </c>
      <c r="F399" s="8">
        <v>2.8</v>
      </c>
      <c r="G399" s="4">
        <v>1</v>
      </c>
      <c r="H399" s="4">
        <f t="shared" si="12"/>
        <v>1</v>
      </c>
      <c r="I399" s="4">
        <f t="shared" si="13"/>
        <v>0</v>
      </c>
      <c r="J399" s="4">
        <v>0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</row>
    <row r="400" spans="1:15" x14ac:dyDescent="0.15">
      <c r="A400" s="4">
        <v>397</v>
      </c>
      <c r="B400" s="4">
        <v>50</v>
      </c>
      <c r="C400" s="4">
        <v>24</v>
      </c>
      <c r="D400" s="4">
        <v>29</v>
      </c>
      <c r="E400" s="4">
        <v>4</v>
      </c>
      <c r="F400" s="8">
        <v>0.1</v>
      </c>
      <c r="G400" s="4">
        <v>1</v>
      </c>
      <c r="H400" s="4">
        <f t="shared" si="12"/>
        <v>1</v>
      </c>
      <c r="I400" s="4">
        <f t="shared" si="13"/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</row>
    <row r="401" spans="1:15" x14ac:dyDescent="0.15">
      <c r="A401" s="4">
        <v>398</v>
      </c>
      <c r="B401" s="4">
        <v>26</v>
      </c>
      <c r="C401" s="4">
        <v>2</v>
      </c>
      <c r="D401" s="4">
        <v>48</v>
      </c>
      <c r="E401" s="4">
        <v>3</v>
      </c>
      <c r="F401" s="8">
        <v>0.7</v>
      </c>
      <c r="G401" s="4">
        <v>2</v>
      </c>
      <c r="H401" s="4">
        <f t="shared" si="12"/>
        <v>0</v>
      </c>
      <c r="I401" s="4">
        <f t="shared" si="13"/>
        <v>1</v>
      </c>
      <c r="J401" s="4">
        <v>0</v>
      </c>
      <c r="K401" s="4">
        <v>0</v>
      </c>
      <c r="L401" s="4">
        <v>0</v>
      </c>
      <c r="M401" s="4">
        <v>1</v>
      </c>
      <c r="N401" s="4">
        <v>0</v>
      </c>
      <c r="O401" s="4">
        <v>0</v>
      </c>
    </row>
    <row r="402" spans="1:15" x14ac:dyDescent="0.15">
      <c r="A402" s="4">
        <v>399</v>
      </c>
      <c r="B402" s="4">
        <v>54</v>
      </c>
      <c r="C402" s="4">
        <v>30</v>
      </c>
      <c r="D402" s="4">
        <v>23</v>
      </c>
      <c r="E402" s="4">
        <v>2</v>
      </c>
      <c r="F402" s="8">
        <v>0.4</v>
      </c>
      <c r="G402" s="4">
        <v>1</v>
      </c>
      <c r="H402" s="4">
        <f t="shared" si="12"/>
        <v>1</v>
      </c>
      <c r="I402" s="4">
        <f t="shared" si="13"/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0</v>
      </c>
    </row>
    <row r="403" spans="1:15" x14ac:dyDescent="0.15">
      <c r="A403" s="4">
        <v>400</v>
      </c>
      <c r="B403" s="4">
        <v>28</v>
      </c>
      <c r="C403" s="4">
        <v>3</v>
      </c>
      <c r="D403" s="4">
        <v>84</v>
      </c>
      <c r="E403" s="4">
        <v>4</v>
      </c>
      <c r="F403" s="8">
        <v>0.2</v>
      </c>
      <c r="G403" s="4">
        <v>1</v>
      </c>
      <c r="H403" s="4">
        <f t="shared" si="12"/>
        <v>1</v>
      </c>
      <c r="I403" s="4">
        <f t="shared" si="13"/>
        <v>0</v>
      </c>
      <c r="J403" s="4">
        <v>0</v>
      </c>
      <c r="K403" s="4">
        <v>0</v>
      </c>
      <c r="L403" s="4">
        <v>0</v>
      </c>
      <c r="M403" s="4">
        <v>1</v>
      </c>
      <c r="N403" s="4">
        <v>1</v>
      </c>
      <c r="O403" s="4">
        <v>0</v>
      </c>
    </row>
    <row r="404" spans="1:15" x14ac:dyDescent="0.15">
      <c r="A404" s="4">
        <v>401</v>
      </c>
      <c r="B404" s="4">
        <v>36</v>
      </c>
      <c r="C404" s="4">
        <v>10</v>
      </c>
      <c r="D404" s="4">
        <v>179</v>
      </c>
      <c r="E404" s="4">
        <v>3</v>
      </c>
      <c r="F404" s="8">
        <v>6.6</v>
      </c>
      <c r="G404" s="4">
        <v>1</v>
      </c>
      <c r="H404" s="4">
        <f t="shared" si="12"/>
        <v>1</v>
      </c>
      <c r="I404" s="4">
        <f t="shared" si="13"/>
        <v>0</v>
      </c>
      <c r="J404" s="4">
        <v>0</v>
      </c>
      <c r="K404" s="4">
        <v>0</v>
      </c>
      <c r="L404" s="4">
        <v>0</v>
      </c>
      <c r="M404" s="4">
        <v>1</v>
      </c>
      <c r="N404" s="4">
        <v>0</v>
      </c>
      <c r="O404" s="4">
        <v>1</v>
      </c>
    </row>
    <row r="405" spans="1:15" x14ac:dyDescent="0.15">
      <c r="A405" s="4">
        <v>402</v>
      </c>
      <c r="B405" s="4">
        <v>29</v>
      </c>
      <c r="C405" s="4">
        <v>2</v>
      </c>
      <c r="D405" s="4">
        <v>30</v>
      </c>
      <c r="E405" s="4">
        <v>4</v>
      </c>
      <c r="F405" s="8">
        <v>1.5</v>
      </c>
      <c r="G405" s="4">
        <v>2</v>
      </c>
      <c r="H405" s="4">
        <f t="shared" si="12"/>
        <v>0</v>
      </c>
      <c r="I405" s="4">
        <f t="shared" si="13"/>
        <v>1</v>
      </c>
      <c r="J405" s="4">
        <v>112</v>
      </c>
      <c r="K405" s="4">
        <v>0</v>
      </c>
      <c r="L405" s="4">
        <v>0</v>
      </c>
      <c r="M405" s="4">
        <v>0</v>
      </c>
      <c r="N405" s="4">
        <v>1</v>
      </c>
      <c r="O405" s="4">
        <v>0</v>
      </c>
    </row>
    <row r="406" spans="1:15" x14ac:dyDescent="0.15">
      <c r="A406" s="4">
        <v>403</v>
      </c>
      <c r="B406" s="4">
        <v>54</v>
      </c>
      <c r="C406" s="4">
        <v>28</v>
      </c>
      <c r="D406" s="4">
        <v>93</v>
      </c>
      <c r="E406" s="4">
        <v>1</v>
      </c>
      <c r="F406" s="8">
        <v>4.9000000000000004</v>
      </c>
      <c r="G406" s="4">
        <v>1</v>
      </c>
      <c r="H406" s="4">
        <f t="shared" si="12"/>
        <v>1</v>
      </c>
      <c r="I406" s="4">
        <f t="shared" si="13"/>
        <v>0</v>
      </c>
      <c r="J406" s="4">
        <v>133</v>
      </c>
      <c r="K406" s="4">
        <v>0</v>
      </c>
      <c r="L406" s="4">
        <v>1</v>
      </c>
      <c r="M406" s="4">
        <v>1</v>
      </c>
      <c r="N406" s="4">
        <v>1</v>
      </c>
      <c r="O406" s="4">
        <v>0</v>
      </c>
    </row>
    <row r="407" spans="1:15" x14ac:dyDescent="0.15">
      <c r="A407" s="4">
        <v>404</v>
      </c>
      <c r="B407" s="4">
        <v>55</v>
      </c>
      <c r="C407" s="4">
        <v>30</v>
      </c>
      <c r="D407" s="4">
        <v>39</v>
      </c>
      <c r="E407" s="4">
        <v>2</v>
      </c>
      <c r="F407" s="8">
        <v>1.9</v>
      </c>
      <c r="G407" s="4">
        <v>2</v>
      </c>
      <c r="H407" s="4">
        <f t="shared" si="12"/>
        <v>0</v>
      </c>
      <c r="I407" s="4">
        <f t="shared" si="13"/>
        <v>1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</row>
    <row r="408" spans="1:15" x14ac:dyDescent="0.15">
      <c r="A408" s="4">
        <v>405</v>
      </c>
      <c r="B408" s="4">
        <v>61</v>
      </c>
      <c r="C408" s="4">
        <v>36</v>
      </c>
      <c r="D408" s="4">
        <v>60</v>
      </c>
      <c r="E408" s="4">
        <v>3</v>
      </c>
      <c r="F408" s="8">
        <v>0.5</v>
      </c>
      <c r="G408" s="4">
        <v>2</v>
      </c>
      <c r="H408" s="4">
        <f t="shared" si="12"/>
        <v>0</v>
      </c>
      <c r="I408" s="4">
        <f t="shared" si="13"/>
        <v>1</v>
      </c>
      <c r="J408" s="4">
        <v>182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</row>
    <row r="409" spans="1:15" x14ac:dyDescent="0.15">
      <c r="A409" s="4">
        <v>406</v>
      </c>
      <c r="B409" s="4">
        <v>36</v>
      </c>
      <c r="C409" s="4">
        <v>11</v>
      </c>
      <c r="D409" s="4">
        <v>133</v>
      </c>
      <c r="E409" s="4">
        <v>1</v>
      </c>
      <c r="F409" s="8">
        <v>3.8</v>
      </c>
      <c r="G409" s="4">
        <v>1</v>
      </c>
      <c r="H409" s="4">
        <f t="shared" si="12"/>
        <v>1</v>
      </c>
      <c r="I409" s="4">
        <f t="shared" si="13"/>
        <v>0</v>
      </c>
      <c r="J409" s="4">
        <v>290</v>
      </c>
      <c r="K409" s="4">
        <v>1</v>
      </c>
      <c r="L409" s="4">
        <v>1</v>
      </c>
      <c r="M409" s="4">
        <v>1</v>
      </c>
      <c r="N409" s="4">
        <v>1</v>
      </c>
      <c r="O409" s="4">
        <v>0</v>
      </c>
    </row>
    <row r="410" spans="1:15" x14ac:dyDescent="0.15">
      <c r="A410" s="4">
        <v>407</v>
      </c>
      <c r="B410" s="4">
        <v>45</v>
      </c>
      <c r="C410" s="4">
        <v>19</v>
      </c>
      <c r="D410" s="4">
        <v>125</v>
      </c>
      <c r="E410" s="4">
        <v>1</v>
      </c>
      <c r="F410" s="8">
        <v>2.4</v>
      </c>
      <c r="G410" s="4">
        <v>1</v>
      </c>
      <c r="H410" s="4">
        <f t="shared" si="12"/>
        <v>1</v>
      </c>
      <c r="I410" s="4">
        <f t="shared" si="13"/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</row>
    <row r="411" spans="1:15" x14ac:dyDescent="0.15">
      <c r="A411" s="4">
        <v>408</v>
      </c>
      <c r="B411" s="4">
        <v>64</v>
      </c>
      <c r="C411" s="4">
        <v>40</v>
      </c>
      <c r="D411" s="4">
        <v>58</v>
      </c>
      <c r="E411" s="4">
        <v>1</v>
      </c>
      <c r="F411" s="8">
        <v>1.8</v>
      </c>
      <c r="G411" s="4">
        <v>3</v>
      </c>
      <c r="H411" s="4">
        <f t="shared" si="12"/>
        <v>0</v>
      </c>
      <c r="I411" s="4">
        <f t="shared" si="13"/>
        <v>0</v>
      </c>
      <c r="J411" s="4">
        <v>0</v>
      </c>
      <c r="K411" s="4">
        <v>0</v>
      </c>
      <c r="L411" s="4">
        <v>0</v>
      </c>
      <c r="M411" s="4">
        <v>1</v>
      </c>
      <c r="N411" s="4">
        <v>0</v>
      </c>
      <c r="O411" s="4">
        <v>0</v>
      </c>
    </row>
    <row r="412" spans="1:15" x14ac:dyDescent="0.15">
      <c r="A412" s="4">
        <v>409</v>
      </c>
      <c r="B412" s="4">
        <v>60</v>
      </c>
      <c r="C412" s="4">
        <v>36</v>
      </c>
      <c r="D412" s="4">
        <v>89</v>
      </c>
      <c r="E412" s="4">
        <v>2</v>
      </c>
      <c r="F412" s="8">
        <v>2.8</v>
      </c>
      <c r="G412" s="4">
        <v>1</v>
      </c>
      <c r="H412" s="4">
        <f t="shared" si="12"/>
        <v>1</v>
      </c>
      <c r="I412" s="4">
        <f t="shared" si="13"/>
        <v>0</v>
      </c>
      <c r="J412" s="4">
        <v>0</v>
      </c>
      <c r="K412" s="4">
        <v>0</v>
      </c>
      <c r="L412" s="4">
        <v>0</v>
      </c>
      <c r="M412" s="4">
        <v>1</v>
      </c>
      <c r="N412" s="4">
        <v>0</v>
      </c>
      <c r="O412" s="4">
        <v>0</v>
      </c>
    </row>
    <row r="413" spans="1:15" x14ac:dyDescent="0.15">
      <c r="A413" s="4">
        <v>410</v>
      </c>
      <c r="B413" s="4">
        <v>49</v>
      </c>
      <c r="C413" s="4">
        <v>22</v>
      </c>
      <c r="D413" s="4">
        <v>82</v>
      </c>
      <c r="E413" s="4">
        <v>1</v>
      </c>
      <c r="F413" s="8">
        <v>2.6666666666666665</v>
      </c>
      <c r="G413" s="4">
        <v>2</v>
      </c>
      <c r="H413" s="4">
        <f t="shared" si="12"/>
        <v>0</v>
      </c>
      <c r="I413" s="4">
        <f t="shared" si="13"/>
        <v>1</v>
      </c>
      <c r="J413" s="4">
        <v>125</v>
      </c>
      <c r="K413" s="4">
        <v>0</v>
      </c>
      <c r="L413" s="4">
        <v>0</v>
      </c>
      <c r="M413" s="4">
        <v>1</v>
      </c>
      <c r="N413" s="4">
        <v>0</v>
      </c>
      <c r="O413" s="4">
        <v>0</v>
      </c>
    </row>
    <row r="414" spans="1:15" x14ac:dyDescent="0.15">
      <c r="A414" s="4">
        <v>411</v>
      </c>
      <c r="B414" s="4">
        <v>47</v>
      </c>
      <c r="C414" s="4">
        <v>23</v>
      </c>
      <c r="D414" s="4">
        <v>110</v>
      </c>
      <c r="E414" s="4">
        <v>2</v>
      </c>
      <c r="F414" s="8">
        <v>3.3</v>
      </c>
      <c r="G414" s="4">
        <v>1</v>
      </c>
      <c r="H414" s="4">
        <f t="shared" si="12"/>
        <v>1</v>
      </c>
      <c r="I414" s="4">
        <f t="shared" si="13"/>
        <v>0</v>
      </c>
      <c r="J414" s="4">
        <v>0</v>
      </c>
      <c r="K414" s="4">
        <v>0</v>
      </c>
      <c r="L414" s="4">
        <v>0</v>
      </c>
      <c r="M414" s="4">
        <v>1</v>
      </c>
      <c r="N414" s="4">
        <v>1</v>
      </c>
      <c r="O414" s="4">
        <v>0</v>
      </c>
    </row>
    <row r="415" spans="1:15" x14ac:dyDescent="0.15">
      <c r="A415" s="4">
        <v>412</v>
      </c>
      <c r="B415" s="4">
        <v>60</v>
      </c>
      <c r="C415" s="4">
        <v>36</v>
      </c>
      <c r="D415" s="4">
        <v>54</v>
      </c>
      <c r="E415" s="4">
        <v>4</v>
      </c>
      <c r="F415" s="8">
        <v>2.2999999999999998</v>
      </c>
      <c r="G415" s="4">
        <v>3</v>
      </c>
      <c r="H415" s="4">
        <f t="shared" si="12"/>
        <v>0</v>
      </c>
      <c r="I415" s="4">
        <f t="shared" si="13"/>
        <v>0</v>
      </c>
      <c r="J415" s="4">
        <v>0</v>
      </c>
      <c r="K415" s="4">
        <v>1</v>
      </c>
      <c r="L415" s="4">
        <v>0</v>
      </c>
      <c r="M415" s="4">
        <v>0</v>
      </c>
      <c r="N415" s="4">
        <v>0</v>
      </c>
      <c r="O415" s="4">
        <v>0</v>
      </c>
    </row>
    <row r="416" spans="1:15" x14ac:dyDescent="0.15">
      <c r="A416" s="4">
        <v>413</v>
      </c>
      <c r="B416" s="4">
        <v>45</v>
      </c>
      <c r="C416" s="4">
        <v>20</v>
      </c>
      <c r="D416" s="4">
        <v>89</v>
      </c>
      <c r="E416" s="4">
        <v>4</v>
      </c>
      <c r="F416" s="8">
        <v>1.9</v>
      </c>
      <c r="G416" s="4">
        <v>3</v>
      </c>
      <c r="H416" s="4">
        <f t="shared" si="12"/>
        <v>0</v>
      </c>
      <c r="I416" s="4">
        <f t="shared" si="13"/>
        <v>0</v>
      </c>
      <c r="J416" s="4">
        <v>0</v>
      </c>
      <c r="K416" s="4">
        <v>0</v>
      </c>
      <c r="L416" s="4">
        <v>0</v>
      </c>
      <c r="M416" s="4">
        <v>1</v>
      </c>
      <c r="N416" s="4">
        <v>0</v>
      </c>
      <c r="O416" s="4">
        <v>0</v>
      </c>
    </row>
    <row r="417" spans="1:15" x14ac:dyDescent="0.15">
      <c r="A417" s="4">
        <v>414</v>
      </c>
      <c r="B417" s="4">
        <v>32</v>
      </c>
      <c r="C417" s="4">
        <v>7</v>
      </c>
      <c r="D417" s="4">
        <v>42</v>
      </c>
      <c r="E417" s="4">
        <v>3</v>
      </c>
      <c r="F417" s="8">
        <v>2.2999999999999998</v>
      </c>
      <c r="G417" s="4">
        <v>1</v>
      </c>
      <c r="H417" s="4">
        <f t="shared" si="12"/>
        <v>1</v>
      </c>
      <c r="I417" s="4">
        <f t="shared" si="13"/>
        <v>0</v>
      </c>
      <c r="J417" s="4">
        <v>0</v>
      </c>
      <c r="K417" s="4">
        <v>0</v>
      </c>
      <c r="L417" s="4">
        <v>0</v>
      </c>
      <c r="M417" s="4">
        <v>1</v>
      </c>
      <c r="N417" s="4">
        <v>0</v>
      </c>
      <c r="O417" s="4">
        <v>0</v>
      </c>
    </row>
    <row r="418" spans="1:15" x14ac:dyDescent="0.15">
      <c r="A418" s="4">
        <v>415</v>
      </c>
      <c r="B418" s="4">
        <v>52</v>
      </c>
      <c r="C418" s="4">
        <v>28</v>
      </c>
      <c r="D418" s="4">
        <v>41</v>
      </c>
      <c r="E418" s="4">
        <v>3</v>
      </c>
      <c r="F418" s="8">
        <v>1.9</v>
      </c>
      <c r="G418" s="4">
        <v>2</v>
      </c>
      <c r="H418" s="4">
        <f t="shared" si="12"/>
        <v>0</v>
      </c>
      <c r="I418" s="4">
        <f t="shared" si="13"/>
        <v>1</v>
      </c>
      <c r="J418" s="4">
        <v>0</v>
      </c>
      <c r="K418" s="4">
        <v>0</v>
      </c>
      <c r="L418" s="4">
        <v>0</v>
      </c>
      <c r="M418" s="4">
        <v>0</v>
      </c>
      <c r="N418" s="4">
        <v>1</v>
      </c>
      <c r="O418" s="4">
        <v>0</v>
      </c>
    </row>
    <row r="419" spans="1:15" x14ac:dyDescent="0.15">
      <c r="A419" s="4">
        <v>416</v>
      </c>
      <c r="B419" s="4">
        <v>35</v>
      </c>
      <c r="C419" s="4">
        <v>8</v>
      </c>
      <c r="D419" s="4">
        <v>38</v>
      </c>
      <c r="E419" s="4">
        <v>4</v>
      </c>
      <c r="F419" s="8">
        <v>1</v>
      </c>
      <c r="G419" s="4">
        <v>2</v>
      </c>
      <c r="H419" s="4">
        <f t="shared" si="12"/>
        <v>0</v>
      </c>
      <c r="I419" s="4">
        <f t="shared" si="13"/>
        <v>1</v>
      </c>
      <c r="J419" s="4">
        <v>124</v>
      </c>
      <c r="K419" s="4">
        <v>0</v>
      </c>
      <c r="L419" s="4">
        <v>0</v>
      </c>
      <c r="M419" s="4">
        <v>1</v>
      </c>
      <c r="N419" s="4">
        <v>0</v>
      </c>
      <c r="O419" s="4">
        <v>0</v>
      </c>
    </row>
    <row r="420" spans="1:15" x14ac:dyDescent="0.15">
      <c r="A420" s="4">
        <v>417</v>
      </c>
      <c r="B420" s="4">
        <v>40</v>
      </c>
      <c r="C420" s="4">
        <v>15</v>
      </c>
      <c r="D420" s="4">
        <v>85</v>
      </c>
      <c r="E420" s="4">
        <v>2</v>
      </c>
      <c r="F420" s="8">
        <v>0.4</v>
      </c>
      <c r="G420" s="4">
        <v>1</v>
      </c>
      <c r="H420" s="4">
        <f t="shared" si="12"/>
        <v>1</v>
      </c>
      <c r="I420" s="4">
        <f t="shared" si="13"/>
        <v>0</v>
      </c>
      <c r="J420" s="4">
        <v>0</v>
      </c>
      <c r="K420" s="4">
        <v>0</v>
      </c>
      <c r="L420" s="4">
        <v>0</v>
      </c>
      <c r="M420" s="4">
        <v>1</v>
      </c>
      <c r="N420" s="4">
        <v>0</v>
      </c>
      <c r="O420" s="4">
        <v>0</v>
      </c>
    </row>
    <row r="421" spans="1:15" x14ac:dyDescent="0.15">
      <c r="A421" s="4">
        <v>418</v>
      </c>
      <c r="B421" s="4">
        <v>53</v>
      </c>
      <c r="C421" s="4">
        <v>29</v>
      </c>
      <c r="D421" s="4">
        <v>83</v>
      </c>
      <c r="E421" s="4">
        <v>4</v>
      </c>
      <c r="F421" s="8">
        <v>1</v>
      </c>
      <c r="G421" s="4">
        <v>2</v>
      </c>
      <c r="H421" s="4">
        <f t="shared" si="12"/>
        <v>0</v>
      </c>
      <c r="I421" s="4">
        <f t="shared" si="13"/>
        <v>1</v>
      </c>
      <c r="J421" s="4">
        <v>0</v>
      </c>
      <c r="K421" s="4">
        <v>0</v>
      </c>
      <c r="L421" s="4">
        <v>0</v>
      </c>
      <c r="M421" s="4">
        <v>1</v>
      </c>
      <c r="N421" s="4">
        <v>0</v>
      </c>
      <c r="O421" s="4">
        <v>0</v>
      </c>
    </row>
    <row r="422" spans="1:15" x14ac:dyDescent="0.15">
      <c r="A422" s="4">
        <v>419</v>
      </c>
      <c r="B422" s="4">
        <v>27</v>
      </c>
      <c r="C422" s="4">
        <v>0</v>
      </c>
      <c r="D422" s="4">
        <v>33</v>
      </c>
      <c r="E422" s="4">
        <v>4</v>
      </c>
      <c r="F422" s="8">
        <v>1</v>
      </c>
      <c r="G422" s="4">
        <v>3</v>
      </c>
      <c r="H422" s="4">
        <f t="shared" si="12"/>
        <v>0</v>
      </c>
      <c r="I422" s="4">
        <f t="shared" si="13"/>
        <v>0</v>
      </c>
      <c r="J422" s="4">
        <v>0</v>
      </c>
      <c r="K422" s="4">
        <v>0</v>
      </c>
      <c r="L422" s="4">
        <v>0</v>
      </c>
      <c r="M422" s="4">
        <v>0</v>
      </c>
      <c r="N422" s="4">
        <v>0</v>
      </c>
      <c r="O422" s="4">
        <v>0</v>
      </c>
    </row>
    <row r="423" spans="1:15" x14ac:dyDescent="0.15">
      <c r="A423" s="4">
        <v>420</v>
      </c>
      <c r="B423" s="4">
        <v>58</v>
      </c>
      <c r="C423" s="4">
        <v>33</v>
      </c>
      <c r="D423" s="4">
        <v>50</v>
      </c>
      <c r="E423" s="4">
        <v>4</v>
      </c>
      <c r="F423" s="8">
        <v>2.1</v>
      </c>
      <c r="G423" s="4">
        <v>1</v>
      </c>
      <c r="H423" s="4">
        <f t="shared" si="12"/>
        <v>1</v>
      </c>
      <c r="I423" s="4">
        <f t="shared" si="13"/>
        <v>0</v>
      </c>
      <c r="J423" s="4">
        <v>0</v>
      </c>
      <c r="K423" s="4">
        <v>0</v>
      </c>
      <c r="L423" s="4">
        <v>0</v>
      </c>
      <c r="M423" s="4">
        <v>0</v>
      </c>
      <c r="N423" s="4">
        <v>1</v>
      </c>
      <c r="O423" s="4">
        <v>0</v>
      </c>
    </row>
    <row r="424" spans="1:15" x14ac:dyDescent="0.15">
      <c r="A424" s="4">
        <v>421</v>
      </c>
      <c r="B424" s="4">
        <v>47</v>
      </c>
      <c r="C424" s="4">
        <v>22</v>
      </c>
      <c r="D424" s="4">
        <v>58</v>
      </c>
      <c r="E424" s="4">
        <v>4</v>
      </c>
      <c r="F424" s="8">
        <v>3.6</v>
      </c>
      <c r="G424" s="4">
        <v>3</v>
      </c>
      <c r="H424" s="4">
        <f t="shared" si="12"/>
        <v>0</v>
      </c>
      <c r="I424" s="4">
        <f t="shared" si="13"/>
        <v>0</v>
      </c>
      <c r="J424" s="4">
        <v>0</v>
      </c>
      <c r="K424" s="4">
        <v>0</v>
      </c>
      <c r="L424" s="4">
        <v>0</v>
      </c>
      <c r="M424" s="4">
        <v>1</v>
      </c>
      <c r="N424" s="4">
        <v>1</v>
      </c>
      <c r="O424" s="4">
        <v>0</v>
      </c>
    </row>
    <row r="425" spans="1:15" x14ac:dyDescent="0.15">
      <c r="A425" s="4">
        <v>422</v>
      </c>
      <c r="B425" s="4">
        <v>28</v>
      </c>
      <c r="C425" s="4">
        <v>3</v>
      </c>
      <c r="D425" s="4">
        <v>115</v>
      </c>
      <c r="E425" s="4">
        <v>4</v>
      </c>
      <c r="F425" s="8">
        <v>3.1</v>
      </c>
      <c r="G425" s="4">
        <v>2</v>
      </c>
      <c r="H425" s="4">
        <f t="shared" si="12"/>
        <v>0</v>
      </c>
      <c r="I425" s="4">
        <f t="shared" si="13"/>
        <v>1</v>
      </c>
      <c r="J425" s="4">
        <v>0</v>
      </c>
      <c r="K425" s="4">
        <v>0</v>
      </c>
      <c r="L425" s="4">
        <v>0</v>
      </c>
      <c r="M425" s="4">
        <v>0</v>
      </c>
      <c r="N425" s="4">
        <v>0</v>
      </c>
      <c r="O425" s="4">
        <v>1</v>
      </c>
    </row>
    <row r="426" spans="1:15" x14ac:dyDescent="0.15">
      <c r="A426" s="4">
        <v>423</v>
      </c>
      <c r="B426" s="4">
        <v>46</v>
      </c>
      <c r="C426" s="4">
        <v>20</v>
      </c>
      <c r="D426" s="4">
        <v>145</v>
      </c>
      <c r="E426" s="4">
        <v>2</v>
      </c>
      <c r="F426" s="8">
        <v>6.3</v>
      </c>
      <c r="G426" s="4">
        <v>1</v>
      </c>
      <c r="H426" s="4">
        <f t="shared" si="12"/>
        <v>1</v>
      </c>
      <c r="I426" s="4">
        <f t="shared" si="13"/>
        <v>0</v>
      </c>
      <c r="J426" s="4">
        <v>0</v>
      </c>
      <c r="K426" s="4">
        <v>1</v>
      </c>
      <c r="L426" s="4">
        <v>1</v>
      </c>
      <c r="M426" s="4">
        <v>1</v>
      </c>
      <c r="N426" s="4">
        <v>0</v>
      </c>
      <c r="O426" s="4">
        <v>0</v>
      </c>
    </row>
    <row r="427" spans="1:15" x14ac:dyDescent="0.15">
      <c r="A427" s="4">
        <v>424</v>
      </c>
      <c r="B427" s="4">
        <v>43</v>
      </c>
      <c r="C427" s="4">
        <v>19</v>
      </c>
      <c r="D427" s="4">
        <v>161</v>
      </c>
      <c r="E427" s="4">
        <v>2</v>
      </c>
      <c r="F427" s="8">
        <v>7.5</v>
      </c>
      <c r="G427" s="4">
        <v>1</v>
      </c>
      <c r="H427" s="4">
        <f t="shared" si="12"/>
        <v>1</v>
      </c>
      <c r="I427" s="4">
        <f t="shared" si="13"/>
        <v>0</v>
      </c>
      <c r="J427" s="4">
        <v>0</v>
      </c>
      <c r="K427" s="4">
        <v>0</v>
      </c>
      <c r="L427" s="4">
        <v>0</v>
      </c>
      <c r="M427" s="4">
        <v>0</v>
      </c>
      <c r="N427" s="4">
        <v>0</v>
      </c>
      <c r="O427" s="4">
        <v>0</v>
      </c>
    </row>
    <row r="428" spans="1:15" x14ac:dyDescent="0.15">
      <c r="A428" s="4">
        <v>425</v>
      </c>
      <c r="B428" s="4">
        <v>56</v>
      </c>
      <c r="C428" s="4">
        <v>30</v>
      </c>
      <c r="D428" s="4">
        <v>38</v>
      </c>
      <c r="E428" s="4">
        <v>1</v>
      </c>
      <c r="F428" s="8">
        <v>0.2</v>
      </c>
      <c r="G428" s="4">
        <v>1</v>
      </c>
      <c r="H428" s="4">
        <f t="shared" si="12"/>
        <v>1</v>
      </c>
      <c r="I428" s="4">
        <f t="shared" si="13"/>
        <v>0</v>
      </c>
      <c r="J428" s="4">
        <v>0</v>
      </c>
      <c r="K428" s="4">
        <v>0</v>
      </c>
      <c r="L428" s="4">
        <v>0</v>
      </c>
      <c r="M428" s="4">
        <v>0</v>
      </c>
      <c r="N428" s="4">
        <v>0</v>
      </c>
      <c r="O428" s="4">
        <v>0</v>
      </c>
    </row>
    <row r="429" spans="1:15" x14ac:dyDescent="0.15">
      <c r="A429" s="4">
        <v>426</v>
      </c>
      <c r="B429" s="4">
        <v>28</v>
      </c>
      <c r="C429" s="4">
        <v>3</v>
      </c>
      <c r="D429" s="4">
        <v>28</v>
      </c>
      <c r="E429" s="4">
        <v>4</v>
      </c>
      <c r="F429" s="8">
        <v>0.8</v>
      </c>
      <c r="G429" s="4">
        <v>1</v>
      </c>
      <c r="H429" s="4">
        <f t="shared" si="12"/>
        <v>1</v>
      </c>
      <c r="I429" s="4">
        <f t="shared" si="13"/>
        <v>0</v>
      </c>
      <c r="J429" s="4">
        <v>0</v>
      </c>
      <c r="K429" s="4">
        <v>0</v>
      </c>
      <c r="L429" s="4">
        <v>0</v>
      </c>
      <c r="M429" s="4">
        <v>1</v>
      </c>
      <c r="N429" s="4">
        <v>0</v>
      </c>
      <c r="O429" s="4">
        <v>0</v>
      </c>
    </row>
    <row r="430" spans="1:15" x14ac:dyDescent="0.15">
      <c r="A430" s="4">
        <v>427</v>
      </c>
      <c r="B430" s="4">
        <v>42</v>
      </c>
      <c r="C430" s="4">
        <v>18</v>
      </c>
      <c r="D430" s="4">
        <v>75</v>
      </c>
      <c r="E430" s="4">
        <v>3</v>
      </c>
      <c r="F430" s="8">
        <v>2.3333333333333335</v>
      </c>
      <c r="G430" s="4">
        <v>1</v>
      </c>
      <c r="H430" s="4">
        <f t="shared" si="12"/>
        <v>1</v>
      </c>
      <c r="I430" s="4">
        <f t="shared" si="13"/>
        <v>0</v>
      </c>
      <c r="J430" s="4">
        <v>0</v>
      </c>
      <c r="K430" s="4">
        <v>0</v>
      </c>
      <c r="L430" s="4">
        <v>0</v>
      </c>
      <c r="M430" s="4">
        <v>0</v>
      </c>
      <c r="N430" s="4">
        <v>1</v>
      </c>
      <c r="O430" s="4">
        <v>0</v>
      </c>
    </row>
    <row r="431" spans="1:15" x14ac:dyDescent="0.15">
      <c r="A431" s="4">
        <v>428</v>
      </c>
      <c r="B431" s="4">
        <v>32</v>
      </c>
      <c r="C431" s="4">
        <v>7</v>
      </c>
      <c r="D431" s="4">
        <v>35</v>
      </c>
      <c r="E431" s="4">
        <v>3</v>
      </c>
      <c r="F431" s="8">
        <v>1.3</v>
      </c>
      <c r="G431" s="4">
        <v>1</v>
      </c>
      <c r="H431" s="4">
        <f t="shared" si="12"/>
        <v>1</v>
      </c>
      <c r="I431" s="4">
        <f t="shared" si="13"/>
        <v>0</v>
      </c>
      <c r="J431" s="4">
        <v>116</v>
      </c>
      <c r="K431" s="4">
        <v>0</v>
      </c>
      <c r="L431" s="4">
        <v>0</v>
      </c>
      <c r="M431" s="4">
        <v>0</v>
      </c>
      <c r="N431" s="4">
        <v>1</v>
      </c>
      <c r="O431" s="4">
        <v>0</v>
      </c>
    </row>
    <row r="432" spans="1:15" x14ac:dyDescent="0.15">
      <c r="A432" s="4">
        <v>429</v>
      </c>
      <c r="B432" s="4">
        <v>62</v>
      </c>
      <c r="C432" s="4">
        <v>38</v>
      </c>
      <c r="D432" s="4">
        <v>24</v>
      </c>
      <c r="E432" s="4">
        <v>2</v>
      </c>
      <c r="F432" s="8">
        <v>1</v>
      </c>
      <c r="G432" s="4">
        <v>1</v>
      </c>
      <c r="H432" s="4">
        <f t="shared" si="12"/>
        <v>1</v>
      </c>
      <c r="I432" s="4">
        <f t="shared" si="13"/>
        <v>0</v>
      </c>
      <c r="J432" s="4">
        <v>116</v>
      </c>
      <c r="K432" s="4">
        <v>0</v>
      </c>
      <c r="L432" s="4">
        <v>0</v>
      </c>
      <c r="M432" s="4">
        <v>0</v>
      </c>
      <c r="N432" s="4">
        <v>1</v>
      </c>
      <c r="O432" s="4">
        <v>0</v>
      </c>
    </row>
    <row r="433" spans="1:15" x14ac:dyDescent="0.15">
      <c r="A433" s="4">
        <v>430</v>
      </c>
      <c r="B433" s="4">
        <v>37</v>
      </c>
      <c r="C433" s="4">
        <v>13</v>
      </c>
      <c r="D433" s="4">
        <v>78</v>
      </c>
      <c r="E433" s="4">
        <v>4</v>
      </c>
      <c r="F433" s="8">
        <v>0.1</v>
      </c>
      <c r="G433" s="4">
        <v>2</v>
      </c>
      <c r="H433" s="4">
        <f t="shared" si="12"/>
        <v>0</v>
      </c>
      <c r="I433" s="4">
        <f t="shared" si="13"/>
        <v>1</v>
      </c>
      <c r="J433" s="4">
        <v>0</v>
      </c>
      <c r="K433" s="4">
        <v>0</v>
      </c>
      <c r="L433" s="4">
        <v>0</v>
      </c>
      <c r="M433" s="4">
        <v>1</v>
      </c>
      <c r="N433" s="4">
        <v>0</v>
      </c>
      <c r="O433" s="4">
        <v>0</v>
      </c>
    </row>
    <row r="434" spans="1:15" x14ac:dyDescent="0.15">
      <c r="A434" s="4">
        <v>431</v>
      </c>
      <c r="B434" s="4">
        <v>51</v>
      </c>
      <c r="C434" s="4">
        <v>26</v>
      </c>
      <c r="D434" s="4">
        <v>113</v>
      </c>
      <c r="E434" s="4">
        <v>1</v>
      </c>
      <c r="F434" s="8">
        <v>1.3</v>
      </c>
      <c r="G434" s="4">
        <v>3</v>
      </c>
      <c r="H434" s="4">
        <f t="shared" si="12"/>
        <v>0</v>
      </c>
      <c r="I434" s="4">
        <f t="shared" si="13"/>
        <v>0</v>
      </c>
      <c r="J434" s="4">
        <v>161</v>
      </c>
      <c r="K434" s="4">
        <v>0</v>
      </c>
      <c r="L434" s="4">
        <v>0</v>
      </c>
      <c r="M434" s="4">
        <v>1</v>
      </c>
      <c r="N434" s="4">
        <v>0</v>
      </c>
      <c r="O434" s="4">
        <v>0</v>
      </c>
    </row>
    <row r="435" spans="1:15" x14ac:dyDescent="0.15">
      <c r="A435" s="4">
        <v>432</v>
      </c>
      <c r="B435" s="4">
        <v>39</v>
      </c>
      <c r="C435" s="4">
        <v>13</v>
      </c>
      <c r="D435" s="4">
        <v>75</v>
      </c>
      <c r="E435" s="4">
        <v>3</v>
      </c>
      <c r="F435" s="8">
        <v>2.1</v>
      </c>
      <c r="G435" s="4">
        <v>1</v>
      </c>
      <c r="H435" s="4">
        <f t="shared" si="12"/>
        <v>1</v>
      </c>
      <c r="I435" s="4">
        <f t="shared" si="13"/>
        <v>0</v>
      </c>
      <c r="J435" s="4">
        <v>224</v>
      </c>
      <c r="K435" s="4">
        <v>0</v>
      </c>
      <c r="L435" s="4">
        <v>0</v>
      </c>
      <c r="M435" s="4">
        <v>1</v>
      </c>
      <c r="N435" s="4">
        <v>0</v>
      </c>
      <c r="O435" s="4">
        <v>0</v>
      </c>
    </row>
    <row r="436" spans="1:15" x14ac:dyDescent="0.15">
      <c r="A436" s="4">
        <v>433</v>
      </c>
      <c r="B436" s="4">
        <v>43</v>
      </c>
      <c r="C436" s="4">
        <v>17</v>
      </c>
      <c r="D436" s="4">
        <v>91</v>
      </c>
      <c r="E436" s="4">
        <v>1</v>
      </c>
      <c r="F436" s="8">
        <v>5.7</v>
      </c>
      <c r="G436" s="4">
        <v>1</v>
      </c>
      <c r="H436" s="4">
        <f t="shared" si="12"/>
        <v>1</v>
      </c>
      <c r="I436" s="4">
        <f t="shared" si="13"/>
        <v>0</v>
      </c>
      <c r="J436" s="4">
        <v>0</v>
      </c>
      <c r="K436" s="4">
        <v>0</v>
      </c>
      <c r="L436" s="4">
        <v>0</v>
      </c>
      <c r="M436" s="4">
        <v>1</v>
      </c>
      <c r="N436" s="4">
        <v>0</v>
      </c>
      <c r="O436" s="4">
        <v>0</v>
      </c>
    </row>
    <row r="437" spans="1:15" x14ac:dyDescent="0.15">
      <c r="A437" s="4">
        <v>434</v>
      </c>
      <c r="B437" s="4">
        <v>52</v>
      </c>
      <c r="C437" s="4">
        <v>28</v>
      </c>
      <c r="D437" s="4">
        <v>31</v>
      </c>
      <c r="E437" s="4">
        <v>4</v>
      </c>
      <c r="F437" s="8">
        <v>0.2</v>
      </c>
      <c r="G437" s="4">
        <v>1</v>
      </c>
      <c r="H437" s="4">
        <f t="shared" si="12"/>
        <v>1</v>
      </c>
      <c r="I437" s="4">
        <f t="shared" si="13"/>
        <v>0</v>
      </c>
      <c r="J437" s="4">
        <v>141</v>
      </c>
      <c r="K437" s="4">
        <v>0</v>
      </c>
      <c r="L437" s="4">
        <v>0</v>
      </c>
      <c r="M437" s="4">
        <v>1</v>
      </c>
      <c r="N437" s="4">
        <v>1</v>
      </c>
      <c r="O437" s="4">
        <v>0</v>
      </c>
    </row>
    <row r="438" spans="1:15" x14ac:dyDescent="0.15">
      <c r="A438" s="4">
        <v>435</v>
      </c>
      <c r="B438" s="4">
        <v>30</v>
      </c>
      <c r="C438" s="4">
        <v>6</v>
      </c>
      <c r="D438" s="4">
        <v>45</v>
      </c>
      <c r="E438" s="4">
        <v>1</v>
      </c>
      <c r="F438" s="8">
        <v>1.8</v>
      </c>
      <c r="G438" s="4">
        <v>2</v>
      </c>
      <c r="H438" s="4">
        <f t="shared" si="12"/>
        <v>0</v>
      </c>
      <c r="I438" s="4">
        <f t="shared" si="13"/>
        <v>1</v>
      </c>
      <c r="J438" s="4">
        <v>0</v>
      </c>
      <c r="K438" s="4">
        <v>0</v>
      </c>
      <c r="L438" s="4">
        <v>0</v>
      </c>
      <c r="M438" s="4">
        <v>1</v>
      </c>
      <c r="N438" s="4">
        <v>0</v>
      </c>
      <c r="O438" s="4">
        <v>0</v>
      </c>
    </row>
    <row r="439" spans="1:15" x14ac:dyDescent="0.15">
      <c r="A439" s="4">
        <v>436</v>
      </c>
      <c r="B439" s="4">
        <v>52</v>
      </c>
      <c r="C439" s="4">
        <v>26</v>
      </c>
      <c r="D439" s="4">
        <v>80</v>
      </c>
      <c r="E439" s="4">
        <v>3</v>
      </c>
      <c r="F439" s="8">
        <v>0.8</v>
      </c>
      <c r="G439" s="4">
        <v>1</v>
      </c>
      <c r="H439" s="4">
        <f t="shared" si="12"/>
        <v>1</v>
      </c>
      <c r="I439" s="4">
        <f t="shared" si="13"/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</row>
    <row r="440" spans="1:15" x14ac:dyDescent="0.15">
      <c r="A440" s="4">
        <v>437</v>
      </c>
      <c r="B440" s="4">
        <v>61</v>
      </c>
      <c r="C440" s="4">
        <v>35</v>
      </c>
      <c r="D440" s="4">
        <v>50</v>
      </c>
      <c r="E440" s="4">
        <v>3</v>
      </c>
      <c r="F440" s="8">
        <v>1.4</v>
      </c>
      <c r="G440" s="4">
        <v>3</v>
      </c>
      <c r="H440" s="4">
        <f t="shared" si="12"/>
        <v>0</v>
      </c>
      <c r="I440" s="4">
        <f t="shared" si="13"/>
        <v>0</v>
      </c>
      <c r="J440" s="4">
        <v>112</v>
      </c>
      <c r="K440" s="4">
        <v>0</v>
      </c>
      <c r="L440" s="4">
        <v>0</v>
      </c>
      <c r="M440" s="4">
        <v>1</v>
      </c>
      <c r="N440" s="4">
        <v>0</v>
      </c>
      <c r="O440" s="4">
        <v>0</v>
      </c>
    </row>
    <row r="441" spans="1:15" x14ac:dyDescent="0.15">
      <c r="A441" s="4">
        <v>438</v>
      </c>
      <c r="B441" s="4">
        <v>36</v>
      </c>
      <c r="C441" s="4">
        <v>9</v>
      </c>
      <c r="D441" s="4">
        <v>31</v>
      </c>
      <c r="E441" s="4">
        <v>4</v>
      </c>
      <c r="F441" s="8">
        <v>1</v>
      </c>
      <c r="G441" s="4">
        <v>2</v>
      </c>
      <c r="H441" s="4">
        <f t="shared" si="12"/>
        <v>0</v>
      </c>
      <c r="I441" s="4">
        <f t="shared" si="13"/>
        <v>1</v>
      </c>
      <c r="J441" s="4">
        <v>0</v>
      </c>
      <c r="K441" s="4">
        <v>1</v>
      </c>
      <c r="L441" s="4">
        <v>0</v>
      </c>
      <c r="M441" s="4">
        <v>1</v>
      </c>
      <c r="N441" s="4">
        <v>0</v>
      </c>
      <c r="O441" s="4">
        <v>0</v>
      </c>
    </row>
    <row r="442" spans="1:15" x14ac:dyDescent="0.15">
      <c r="A442" s="4">
        <v>439</v>
      </c>
      <c r="B442" s="4">
        <v>58</v>
      </c>
      <c r="C442" s="4">
        <v>32</v>
      </c>
      <c r="D442" s="4">
        <v>113</v>
      </c>
      <c r="E442" s="4">
        <v>2</v>
      </c>
      <c r="F442" s="8">
        <v>3.8</v>
      </c>
      <c r="G442" s="4">
        <v>2</v>
      </c>
      <c r="H442" s="4">
        <f t="shared" si="12"/>
        <v>0</v>
      </c>
      <c r="I442" s="4">
        <f t="shared" si="13"/>
        <v>1</v>
      </c>
      <c r="J442" s="4">
        <v>119</v>
      </c>
      <c r="K442" s="4">
        <v>0</v>
      </c>
      <c r="L442" s="4">
        <v>1</v>
      </c>
      <c r="M442" s="4">
        <v>1</v>
      </c>
      <c r="N442" s="4">
        <v>1</v>
      </c>
      <c r="O442" s="4">
        <v>1</v>
      </c>
    </row>
    <row r="443" spans="1:15" x14ac:dyDescent="0.15">
      <c r="A443" s="4">
        <v>440</v>
      </c>
      <c r="B443" s="4">
        <v>47</v>
      </c>
      <c r="C443" s="4">
        <v>23</v>
      </c>
      <c r="D443" s="4">
        <v>29</v>
      </c>
      <c r="E443" s="4">
        <v>4</v>
      </c>
      <c r="F443" s="8">
        <v>0.6</v>
      </c>
      <c r="G443" s="4">
        <v>1</v>
      </c>
      <c r="H443" s="4">
        <f t="shared" si="12"/>
        <v>1</v>
      </c>
      <c r="I443" s="4">
        <f t="shared" si="13"/>
        <v>0</v>
      </c>
      <c r="J443" s="4">
        <v>0</v>
      </c>
      <c r="K443" s="4">
        <v>0</v>
      </c>
      <c r="L443" s="4">
        <v>0</v>
      </c>
      <c r="M443" s="4">
        <v>1</v>
      </c>
      <c r="N443" s="4">
        <v>0</v>
      </c>
      <c r="O443" s="4">
        <v>0</v>
      </c>
    </row>
    <row r="444" spans="1:15" x14ac:dyDescent="0.15">
      <c r="A444" s="4">
        <v>441</v>
      </c>
      <c r="B444" s="4">
        <v>64</v>
      </c>
      <c r="C444" s="4">
        <v>39</v>
      </c>
      <c r="D444" s="4">
        <v>59</v>
      </c>
      <c r="E444" s="4">
        <v>2</v>
      </c>
      <c r="F444" s="8">
        <v>1.5</v>
      </c>
      <c r="G444" s="4">
        <v>1</v>
      </c>
      <c r="H444" s="4">
        <f t="shared" si="12"/>
        <v>1</v>
      </c>
      <c r="I444" s="4">
        <f t="shared" si="13"/>
        <v>0</v>
      </c>
      <c r="J444" s="4">
        <v>139</v>
      </c>
      <c r="K444" s="4">
        <v>0</v>
      </c>
      <c r="L444" s="4">
        <v>0</v>
      </c>
      <c r="M444" s="4">
        <v>1</v>
      </c>
      <c r="N444" s="4">
        <v>0</v>
      </c>
      <c r="O444" s="4">
        <v>0</v>
      </c>
    </row>
    <row r="445" spans="1:15" x14ac:dyDescent="0.15">
      <c r="A445" s="4">
        <v>442</v>
      </c>
      <c r="B445" s="4">
        <v>52</v>
      </c>
      <c r="C445" s="4">
        <v>27</v>
      </c>
      <c r="D445" s="4">
        <v>43</v>
      </c>
      <c r="E445" s="4">
        <v>1</v>
      </c>
      <c r="F445" s="8">
        <v>1.3</v>
      </c>
      <c r="G445" s="4">
        <v>2</v>
      </c>
      <c r="H445" s="4">
        <f t="shared" si="12"/>
        <v>0</v>
      </c>
      <c r="I445" s="4">
        <f t="shared" si="13"/>
        <v>1</v>
      </c>
      <c r="J445" s="4">
        <v>0</v>
      </c>
      <c r="K445" s="4">
        <v>1</v>
      </c>
      <c r="L445" s="4">
        <v>0</v>
      </c>
      <c r="M445" s="4">
        <v>1</v>
      </c>
      <c r="N445" s="4">
        <v>0</v>
      </c>
      <c r="O445" s="4">
        <v>0</v>
      </c>
    </row>
    <row r="446" spans="1:15" x14ac:dyDescent="0.15">
      <c r="A446" s="4">
        <v>443</v>
      </c>
      <c r="B446" s="4">
        <v>58</v>
      </c>
      <c r="C446" s="4">
        <v>28</v>
      </c>
      <c r="D446" s="4">
        <v>122</v>
      </c>
      <c r="E446" s="4">
        <v>1</v>
      </c>
      <c r="F446" s="8">
        <v>3</v>
      </c>
      <c r="G446" s="4">
        <v>3</v>
      </c>
      <c r="H446" s="4">
        <f t="shared" si="12"/>
        <v>0</v>
      </c>
      <c r="I446" s="4">
        <f t="shared" si="13"/>
        <v>0</v>
      </c>
      <c r="J446" s="4">
        <v>115</v>
      </c>
      <c r="K446" s="4">
        <v>0</v>
      </c>
      <c r="L446" s="4">
        <v>0</v>
      </c>
      <c r="M446" s="4">
        <v>1</v>
      </c>
      <c r="N446" s="4">
        <v>0</v>
      </c>
      <c r="O446" s="4">
        <v>1</v>
      </c>
    </row>
    <row r="447" spans="1:15" x14ac:dyDescent="0.15">
      <c r="A447" s="4">
        <v>444</v>
      </c>
      <c r="B447" s="4">
        <v>48</v>
      </c>
      <c r="C447" s="4">
        <v>24</v>
      </c>
      <c r="D447" s="4">
        <v>29</v>
      </c>
      <c r="E447" s="4">
        <v>1</v>
      </c>
      <c r="F447" s="8">
        <v>1</v>
      </c>
      <c r="G447" s="4">
        <v>1</v>
      </c>
      <c r="H447" s="4">
        <f t="shared" si="12"/>
        <v>1</v>
      </c>
      <c r="I447" s="4">
        <f t="shared" si="13"/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</row>
    <row r="448" spans="1:15" x14ac:dyDescent="0.15">
      <c r="A448" s="4">
        <v>445</v>
      </c>
      <c r="B448" s="4">
        <v>64</v>
      </c>
      <c r="C448" s="4">
        <v>40</v>
      </c>
      <c r="D448" s="4">
        <v>91</v>
      </c>
      <c r="E448" s="4">
        <v>2</v>
      </c>
      <c r="F448" s="8">
        <v>0</v>
      </c>
      <c r="G448" s="4">
        <v>3</v>
      </c>
      <c r="H448" s="4">
        <f t="shared" si="12"/>
        <v>0</v>
      </c>
      <c r="I448" s="4">
        <f t="shared" si="13"/>
        <v>0</v>
      </c>
      <c r="J448" s="4">
        <v>0</v>
      </c>
      <c r="K448" s="4">
        <v>0</v>
      </c>
      <c r="L448" s="4">
        <v>0</v>
      </c>
      <c r="M448" s="4">
        <v>1</v>
      </c>
      <c r="N448" s="4">
        <v>1</v>
      </c>
      <c r="O448" s="4">
        <v>0</v>
      </c>
    </row>
    <row r="449" spans="1:15" x14ac:dyDescent="0.15">
      <c r="A449" s="4">
        <v>446</v>
      </c>
      <c r="B449" s="4">
        <v>58</v>
      </c>
      <c r="C449" s="4">
        <v>32</v>
      </c>
      <c r="D449" s="4">
        <v>65</v>
      </c>
      <c r="E449" s="4">
        <v>3</v>
      </c>
      <c r="F449" s="8">
        <v>2.2000000000000002</v>
      </c>
      <c r="G449" s="4">
        <v>3</v>
      </c>
      <c r="H449" s="4">
        <f t="shared" si="12"/>
        <v>0</v>
      </c>
      <c r="I449" s="4">
        <f t="shared" si="13"/>
        <v>0</v>
      </c>
      <c r="J449" s="4">
        <v>0</v>
      </c>
      <c r="K449" s="4">
        <v>0</v>
      </c>
      <c r="L449" s="4">
        <v>0</v>
      </c>
      <c r="M449" s="4">
        <v>1</v>
      </c>
      <c r="N449" s="4">
        <v>0</v>
      </c>
      <c r="O449" s="4">
        <v>0</v>
      </c>
    </row>
    <row r="450" spans="1:15" x14ac:dyDescent="0.15">
      <c r="A450" s="4">
        <v>447</v>
      </c>
      <c r="B450" s="4">
        <v>47</v>
      </c>
      <c r="C450" s="4">
        <v>23</v>
      </c>
      <c r="D450" s="4">
        <v>22</v>
      </c>
      <c r="E450" s="4">
        <v>1</v>
      </c>
      <c r="F450" s="8">
        <v>1</v>
      </c>
      <c r="G450" s="4">
        <v>1</v>
      </c>
      <c r="H450" s="4">
        <f t="shared" si="12"/>
        <v>1</v>
      </c>
      <c r="I450" s="4">
        <f t="shared" si="13"/>
        <v>0</v>
      </c>
      <c r="J450" s="4">
        <v>0</v>
      </c>
      <c r="K450" s="4">
        <v>0</v>
      </c>
      <c r="L450" s="4">
        <v>0</v>
      </c>
      <c r="M450" s="4">
        <v>0</v>
      </c>
      <c r="N450" s="4">
        <v>1</v>
      </c>
      <c r="O450" s="4">
        <v>0</v>
      </c>
    </row>
    <row r="451" spans="1:15" x14ac:dyDescent="0.15">
      <c r="A451" s="4">
        <v>448</v>
      </c>
      <c r="B451" s="4">
        <v>49</v>
      </c>
      <c r="C451" s="4">
        <v>23</v>
      </c>
      <c r="D451" s="4">
        <v>71</v>
      </c>
      <c r="E451" s="4">
        <v>1</v>
      </c>
      <c r="F451" s="8">
        <v>1.4</v>
      </c>
      <c r="G451" s="4">
        <v>3</v>
      </c>
      <c r="H451" s="4">
        <f t="shared" si="12"/>
        <v>0</v>
      </c>
      <c r="I451" s="4">
        <f t="shared" si="13"/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</row>
    <row r="452" spans="1:15" x14ac:dyDescent="0.15">
      <c r="A452" s="4">
        <v>449</v>
      </c>
      <c r="B452" s="4">
        <v>31</v>
      </c>
      <c r="C452" s="4">
        <v>4</v>
      </c>
      <c r="D452" s="4">
        <v>60</v>
      </c>
      <c r="E452" s="4">
        <v>4</v>
      </c>
      <c r="F452" s="8">
        <v>2</v>
      </c>
      <c r="G452" s="4">
        <v>2</v>
      </c>
      <c r="H452" s="4">
        <f t="shared" si="12"/>
        <v>0</v>
      </c>
      <c r="I452" s="4">
        <f t="shared" si="13"/>
        <v>1</v>
      </c>
      <c r="J452" s="4">
        <v>0</v>
      </c>
      <c r="K452" s="4">
        <v>0</v>
      </c>
      <c r="L452" s="4">
        <v>0</v>
      </c>
      <c r="M452" s="4">
        <v>1</v>
      </c>
      <c r="N452" s="4">
        <v>1</v>
      </c>
      <c r="O452" s="4">
        <v>0</v>
      </c>
    </row>
    <row r="453" spans="1:15" x14ac:dyDescent="0.15">
      <c r="A453" s="4">
        <v>450</v>
      </c>
      <c r="B453" s="4">
        <v>61</v>
      </c>
      <c r="C453" s="4">
        <v>37</v>
      </c>
      <c r="D453" s="4">
        <v>60</v>
      </c>
      <c r="E453" s="4">
        <v>3</v>
      </c>
      <c r="F453" s="8">
        <v>2</v>
      </c>
      <c r="G453" s="4">
        <v>3</v>
      </c>
      <c r="H453" s="4">
        <f t="shared" ref="H453:H516" si="14">IF(G453=1,1,0)</f>
        <v>0</v>
      </c>
      <c r="I453" s="4">
        <f t="shared" ref="I453:I516" si="15">IF(G453=2,1,0)</f>
        <v>0</v>
      </c>
      <c r="J453" s="4">
        <v>0</v>
      </c>
      <c r="K453" s="4">
        <v>0</v>
      </c>
      <c r="L453" s="4">
        <v>0</v>
      </c>
      <c r="M453" s="4">
        <v>1</v>
      </c>
      <c r="N453" s="4">
        <v>0</v>
      </c>
      <c r="O453" s="4">
        <v>0</v>
      </c>
    </row>
    <row r="454" spans="1:15" x14ac:dyDescent="0.15">
      <c r="A454" s="4">
        <v>451</v>
      </c>
      <c r="B454" s="4">
        <v>51</v>
      </c>
      <c r="C454" s="4">
        <v>25</v>
      </c>
      <c r="D454" s="4">
        <v>69</v>
      </c>
      <c r="E454" s="4">
        <v>1</v>
      </c>
      <c r="F454" s="8">
        <v>0.3</v>
      </c>
      <c r="G454" s="4">
        <v>1</v>
      </c>
      <c r="H454" s="4">
        <f t="shared" si="14"/>
        <v>1</v>
      </c>
      <c r="I454" s="4">
        <f t="shared" si="15"/>
        <v>0</v>
      </c>
      <c r="J454" s="4">
        <v>0</v>
      </c>
      <c r="K454" s="4">
        <v>0</v>
      </c>
      <c r="L454" s="4">
        <v>0</v>
      </c>
      <c r="M454" s="4">
        <v>1</v>
      </c>
      <c r="N454" s="4">
        <v>1</v>
      </c>
      <c r="O454" s="4">
        <v>0</v>
      </c>
    </row>
    <row r="455" spans="1:15" x14ac:dyDescent="0.15">
      <c r="A455" s="4">
        <v>452</v>
      </c>
      <c r="B455" s="4">
        <v>28</v>
      </c>
      <c r="C455" s="4">
        <v>0</v>
      </c>
      <c r="D455" s="4">
        <v>48</v>
      </c>
      <c r="E455" s="4">
        <v>2</v>
      </c>
      <c r="F455" s="8">
        <v>1.75</v>
      </c>
      <c r="G455" s="4">
        <v>3</v>
      </c>
      <c r="H455" s="4">
        <f t="shared" si="14"/>
        <v>0</v>
      </c>
      <c r="I455" s="4">
        <f t="shared" si="15"/>
        <v>0</v>
      </c>
      <c r="J455" s="4">
        <v>89</v>
      </c>
      <c r="K455" s="4">
        <v>0</v>
      </c>
      <c r="L455" s="4">
        <v>0</v>
      </c>
      <c r="M455" s="4">
        <v>1</v>
      </c>
      <c r="N455" s="4">
        <v>0</v>
      </c>
      <c r="O455" s="4">
        <v>0</v>
      </c>
    </row>
    <row r="456" spans="1:15" x14ac:dyDescent="0.15">
      <c r="A456" s="4">
        <v>453</v>
      </c>
      <c r="B456" s="4">
        <v>39</v>
      </c>
      <c r="C456" s="4">
        <v>13</v>
      </c>
      <c r="D456" s="4">
        <v>21</v>
      </c>
      <c r="E456" s="4">
        <v>3</v>
      </c>
      <c r="F456" s="8">
        <v>0.2</v>
      </c>
      <c r="G456" s="4">
        <v>2</v>
      </c>
      <c r="H456" s="4">
        <f t="shared" si="14"/>
        <v>0</v>
      </c>
      <c r="I456" s="4">
        <f t="shared" si="15"/>
        <v>1</v>
      </c>
      <c r="J456" s="4">
        <v>0</v>
      </c>
      <c r="K456" s="4">
        <v>0</v>
      </c>
      <c r="L456" s="4">
        <v>0</v>
      </c>
      <c r="M456" s="4">
        <v>0</v>
      </c>
      <c r="N456" s="4">
        <v>0</v>
      </c>
      <c r="O456" s="4">
        <v>0</v>
      </c>
    </row>
    <row r="457" spans="1:15" x14ac:dyDescent="0.15">
      <c r="A457" s="4">
        <v>454</v>
      </c>
      <c r="B457" s="4">
        <v>54</v>
      </c>
      <c r="C457" s="4">
        <v>28</v>
      </c>
      <c r="D457" s="4">
        <v>53</v>
      </c>
      <c r="E457" s="4">
        <v>4</v>
      </c>
      <c r="F457" s="8">
        <v>2.8</v>
      </c>
      <c r="G457" s="4">
        <v>2</v>
      </c>
      <c r="H457" s="4">
        <f t="shared" si="14"/>
        <v>0</v>
      </c>
      <c r="I457" s="4">
        <f t="shared" si="15"/>
        <v>1</v>
      </c>
      <c r="J457" s="4">
        <v>0</v>
      </c>
      <c r="K457" s="4">
        <v>1</v>
      </c>
      <c r="L457" s="4">
        <v>0</v>
      </c>
      <c r="M457" s="4">
        <v>0</v>
      </c>
      <c r="N457" s="4">
        <v>0</v>
      </c>
      <c r="O457" s="4">
        <v>0</v>
      </c>
    </row>
    <row r="458" spans="1:15" x14ac:dyDescent="0.15">
      <c r="A458" s="4">
        <v>455</v>
      </c>
      <c r="B458" s="4">
        <v>50</v>
      </c>
      <c r="C458" s="4">
        <v>24</v>
      </c>
      <c r="D458" s="4">
        <v>29</v>
      </c>
      <c r="E458" s="4">
        <v>3</v>
      </c>
      <c r="F458" s="8">
        <v>0.9</v>
      </c>
      <c r="G458" s="4">
        <v>3</v>
      </c>
      <c r="H458" s="4">
        <f t="shared" si="14"/>
        <v>0</v>
      </c>
      <c r="I458" s="4">
        <f t="shared" si="15"/>
        <v>0</v>
      </c>
      <c r="J458" s="4">
        <v>0</v>
      </c>
      <c r="K458" s="4">
        <v>0</v>
      </c>
      <c r="L458" s="4">
        <v>0</v>
      </c>
      <c r="M458" s="4">
        <v>0</v>
      </c>
      <c r="N458" s="4">
        <v>0</v>
      </c>
      <c r="O458" s="4">
        <v>0</v>
      </c>
    </row>
    <row r="459" spans="1:15" x14ac:dyDescent="0.15">
      <c r="A459" s="4">
        <v>456</v>
      </c>
      <c r="B459" s="4">
        <v>30</v>
      </c>
      <c r="C459" s="4">
        <v>4</v>
      </c>
      <c r="D459" s="4">
        <v>60</v>
      </c>
      <c r="E459" s="4">
        <v>4</v>
      </c>
      <c r="F459" s="8">
        <v>2.2000000000000002</v>
      </c>
      <c r="G459" s="4">
        <v>2</v>
      </c>
      <c r="H459" s="4">
        <f t="shared" si="14"/>
        <v>0</v>
      </c>
      <c r="I459" s="4">
        <f t="shared" si="15"/>
        <v>1</v>
      </c>
      <c r="J459" s="4">
        <v>0</v>
      </c>
      <c r="K459" s="4">
        <v>0</v>
      </c>
      <c r="L459" s="4">
        <v>0</v>
      </c>
      <c r="M459" s="4">
        <v>1</v>
      </c>
      <c r="N459" s="4">
        <v>0</v>
      </c>
      <c r="O459" s="4">
        <v>0</v>
      </c>
    </row>
    <row r="460" spans="1:15" x14ac:dyDescent="0.15">
      <c r="A460" s="4">
        <v>457</v>
      </c>
      <c r="B460" s="4">
        <v>64</v>
      </c>
      <c r="C460" s="4">
        <v>39</v>
      </c>
      <c r="D460" s="4">
        <v>42</v>
      </c>
      <c r="E460" s="4">
        <v>3</v>
      </c>
      <c r="F460" s="8">
        <v>0.5</v>
      </c>
      <c r="G460" s="4">
        <v>2</v>
      </c>
      <c r="H460" s="4">
        <f t="shared" si="14"/>
        <v>0</v>
      </c>
      <c r="I460" s="4">
        <f t="shared" si="15"/>
        <v>1</v>
      </c>
      <c r="J460" s="4">
        <v>116</v>
      </c>
      <c r="K460" s="4">
        <v>0</v>
      </c>
      <c r="L460" s="4">
        <v>0</v>
      </c>
      <c r="M460" s="4">
        <v>1</v>
      </c>
      <c r="N460" s="4">
        <v>0</v>
      </c>
      <c r="O460" s="4">
        <v>0</v>
      </c>
    </row>
    <row r="461" spans="1:15" x14ac:dyDescent="0.15">
      <c r="A461" s="4">
        <v>458</v>
      </c>
      <c r="B461" s="4">
        <v>29</v>
      </c>
      <c r="C461" s="4">
        <v>3</v>
      </c>
      <c r="D461" s="4">
        <v>69</v>
      </c>
      <c r="E461" s="4">
        <v>3</v>
      </c>
      <c r="F461" s="8">
        <v>0.3</v>
      </c>
      <c r="G461" s="4">
        <v>3</v>
      </c>
      <c r="H461" s="4">
        <f t="shared" si="14"/>
        <v>0</v>
      </c>
      <c r="I461" s="4">
        <f t="shared" si="15"/>
        <v>0</v>
      </c>
      <c r="J461" s="4">
        <v>0</v>
      </c>
      <c r="K461" s="4">
        <v>0</v>
      </c>
      <c r="L461" s="4">
        <v>0</v>
      </c>
      <c r="M461" s="4">
        <v>0</v>
      </c>
      <c r="N461" s="4">
        <v>0</v>
      </c>
      <c r="O461" s="4">
        <v>0</v>
      </c>
    </row>
    <row r="462" spans="1:15" x14ac:dyDescent="0.15">
      <c r="A462" s="4">
        <v>459</v>
      </c>
      <c r="B462" s="4">
        <v>48</v>
      </c>
      <c r="C462" s="4">
        <v>24</v>
      </c>
      <c r="D462" s="4">
        <v>20</v>
      </c>
      <c r="E462" s="4">
        <v>1</v>
      </c>
      <c r="F462" s="8">
        <v>1</v>
      </c>
      <c r="G462" s="4">
        <v>1</v>
      </c>
      <c r="H462" s="4">
        <f t="shared" si="14"/>
        <v>1</v>
      </c>
      <c r="I462" s="4">
        <f t="shared" si="15"/>
        <v>0</v>
      </c>
      <c r="J462" s="4">
        <v>0</v>
      </c>
      <c r="K462" s="4">
        <v>0</v>
      </c>
      <c r="L462" s="4">
        <v>0</v>
      </c>
      <c r="M462" s="4">
        <v>1</v>
      </c>
      <c r="N462" s="4">
        <v>1</v>
      </c>
      <c r="O462" s="4">
        <v>0</v>
      </c>
    </row>
    <row r="463" spans="1:15" x14ac:dyDescent="0.15">
      <c r="A463" s="4">
        <v>460</v>
      </c>
      <c r="B463" s="4">
        <v>35</v>
      </c>
      <c r="C463" s="4">
        <v>10</v>
      </c>
      <c r="D463" s="4">
        <v>200</v>
      </c>
      <c r="E463" s="4">
        <v>2</v>
      </c>
      <c r="F463" s="8">
        <v>3</v>
      </c>
      <c r="G463" s="4">
        <v>1</v>
      </c>
      <c r="H463" s="4">
        <f t="shared" si="14"/>
        <v>1</v>
      </c>
      <c r="I463" s="4">
        <f t="shared" si="15"/>
        <v>0</v>
      </c>
      <c r="J463" s="4">
        <v>458</v>
      </c>
      <c r="K463" s="4">
        <v>0</v>
      </c>
      <c r="L463" s="4">
        <v>0</v>
      </c>
      <c r="M463" s="4">
        <v>0</v>
      </c>
      <c r="N463" s="4">
        <v>0</v>
      </c>
      <c r="O463" s="4">
        <v>0</v>
      </c>
    </row>
    <row r="464" spans="1:15" x14ac:dyDescent="0.15">
      <c r="A464" s="4">
        <v>461</v>
      </c>
      <c r="B464" s="4">
        <v>60</v>
      </c>
      <c r="C464" s="4">
        <v>36</v>
      </c>
      <c r="D464" s="4">
        <v>141</v>
      </c>
      <c r="E464" s="4">
        <v>2</v>
      </c>
      <c r="F464" s="8">
        <v>2.1</v>
      </c>
      <c r="G464" s="4">
        <v>1</v>
      </c>
      <c r="H464" s="4">
        <f t="shared" si="14"/>
        <v>1</v>
      </c>
      <c r="I464" s="4">
        <f t="shared" si="15"/>
        <v>0</v>
      </c>
      <c r="J464" s="4">
        <v>0</v>
      </c>
      <c r="K464" s="4">
        <v>0</v>
      </c>
      <c r="L464" s="4">
        <v>0</v>
      </c>
      <c r="M464" s="4">
        <v>1</v>
      </c>
      <c r="N464" s="4">
        <v>1</v>
      </c>
      <c r="O464" s="4">
        <v>0</v>
      </c>
    </row>
    <row r="465" spans="1:15" x14ac:dyDescent="0.15">
      <c r="A465" s="4">
        <v>462</v>
      </c>
      <c r="B465" s="4">
        <v>55</v>
      </c>
      <c r="C465" s="4">
        <v>30</v>
      </c>
      <c r="D465" s="4">
        <v>81</v>
      </c>
      <c r="E465" s="4">
        <v>2</v>
      </c>
      <c r="F465" s="8">
        <v>3.7</v>
      </c>
      <c r="G465" s="4">
        <v>1</v>
      </c>
      <c r="H465" s="4">
        <f t="shared" si="14"/>
        <v>1</v>
      </c>
      <c r="I465" s="4">
        <f t="shared" si="15"/>
        <v>0</v>
      </c>
      <c r="J465" s="4">
        <v>0</v>
      </c>
      <c r="K465" s="4">
        <v>1</v>
      </c>
      <c r="L465" s="4">
        <v>0</v>
      </c>
      <c r="M465" s="4">
        <v>0</v>
      </c>
      <c r="N465" s="4">
        <v>0</v>
      </c>
      <c r="O465" s="4">
        <v>0</v>
      </c>
    </row>
    <row r="466" spans="1:15" x14ac:dyDescent="0.15">
      <c r="A466" s="4">
        <v>463</v>
      </c>
      <c r="B466" s="4">
        <v>29</v>
      </c>
      <c r="C466" s="4">
        <v>4</v>
      </c>
      <c r="D466" s="4">
        <v>183</v>
      </c>
      <c r="E466" s="4">
        <v>3</v>
      </c>
      <c r="F466" s="8">
        <v>8.3000000000000007</v>
      </c>
      <c r="G466" s="4">
        <v>3</v>
      </c>
      <c r="H466" s="4">
        <f t="shared" si="14"/>
        <v>0</v>
      </c>
      <c r="I466" s="4">
        <f t="shared" si="15"/>
        <v>0</v>
      </c>
      <c r="J466" s="4">
        <v>0</v>
      </c>
      <c r="K466" s="4">
        <v>0</v>
      </c>
      <c r="L466" s="4">
        <v>0</v>
      </c>
      <c r="M466" s="4">
        <v>1</v>
      </c>
      <c r="N466" s="4">
        <v>0</v>
      </c>
      <c r="O466" s="4">
        <v>1</v>
      </c>
    </row>
    <row r="467" spans="1:15" x14ac:dyDescent="0.15">
      <c r="A467" s="4">
        <v>464</v>
      </c>
      <c r="B467" s="4">
        <v>48</v>
      </c>
      <c r="C467" s="4">
        <v>22</v>
      </c>
      <c r="D467" s="4">
        <v>149</v>
      </c>
      <c r="E467" s="4">
        <v>2</v>
      </c>
      <c r="F467" s="8">
        <v>5.5</v>
      </c>
      <c r="G467" s="4">
        <v>2</v>
      </c>
      <c r="H467" s="4">
        <f t="shared" si="14"/>
        <v>0</v>
      </c>
      <c r="I467" s="4">
        <f t="shared" si="15"/>
        <v>1</v>
      </c>
      <c r="J467" s="4">
        <v>0</v>
      </c>
      <c r="K467" s="4">
        <v>1</v>
      </c>
      <c r="L467" s="4">
        <v>1</v>
      </c>
      <c r="M467" s="4">
        <v>1</v>
      </c>
      <c r="N467" s="4">
        <v>0</v>
      </c>
      <c r="O467" s="4">
        <v>1</v>
      </c>
    </row>
    <row r="468" spans="1:15" x14ac:dyDescent="0.15">
      <c r="A468" s="4">
        <v>465</v>
      </c>
      <c r="B468" s="4">
        <v>43</v>
      </c>
      <c r="C468" s="4">
        <v>19</v>
      </c>
      <c r="D468" s="4">
        <v>83</v>
      </c>
      <c r="E468" s="4">
        <v>4</v>
      </c>
      <c r="F468" s="8">
        <v>3.6</v>
      </c>
      <c r="G468" s="4">
        <v>3</v>
      </c>
      <c r="H468" s="4">
        <f t="shared" si="14"/>
        <v>0</v>
      </c>
      <c r="I468" s="4">
        <f t="shared" si="15"/>
        <v>0</v>
      </c>
      <c r="J468" s="4">
        <v>0</v>
      </c>
      <c r="K468" s="4">
        <v>0</v>
      </c>
      <c r="L468" s="4">
        <v>0</v>
      </c>
      <c r="M468" s="4">
        <v>0</v>
      </c>
      <c r="N468" s="4">
        <v>1</v>
      </c>
      <c r="O468" s="4">
        <v>1</v>
      </c>
    </row>
    <row r="469" spans="1:15" x14ac:dyDescent="0.15">
      <c r="A469" s="4">
        <v>466</v>
      </c>
      <c r="B469" s="4">
        <v>66</v>
      </c>
      <c r="C469" s="4">
        <v>42</v>
      </c>
      <c r="D469" s="4">
        <v>35</v>
      </c>
      <c r="E469" s="4">
        <v>1</v>
      </c>
      <c r="F469" s="8">
        <v>1.9</v>
      </c>
      <c r="G469" s="4">
        <v>2</v>
      </c>
      <c r="H469" s="4">
        <f t="shared" si="14"/>
        <v>0</v>
      </c>
      <c r="I469" s="4">
        <f t="shared" si="15"/>
        <v>1</v>
      </c>
      <c r="J469" s="4">
        <v>172</v>
      </c>
      <c r="K469" s="4">
        <v>0</v>
      </c>
      <c r="L469" s="4">
        <v>0</v>
      </c>
      <c r="M469" s="4">
        <v>1</v>
      </c>
      <c r="N469" s="4">
        <v>0</v>
      </c>
      <c r="O469" s="4">
        <v>0</v>
      </c>
    </row>
    <row r="470" spans="1:15" x14ac:dyDescent="0.15">
      <c r="A470" s="4">
        <v>467</v>
      </c>
      <c r="B470" s="4">
        <v>25</v>
      </c>
      <c r="C470" s="4">
        <v>0</v>
      </c>
      <c r="D470" s="4">
        <v>13</v>
      </c>
      <c r="E470" s="4">
        <v>2</v>
      </c>
      <c r="F470" s="8">
        <v>0.9</v>
      </c>
      <c r="G470" s="4">
        <v>3</v>
      </c>
      <c r="H470" s="4">
        <f t="shared" si="14"/>
        <v>0</v>
      </c>
      <c r="I470" s="4">
        <f t="shared" si="15"/>
        <v>0</v>
      </c>
      <c r="J470" s="4">
        <v>0</v>
      </c>
      <c r="K470" s="4">
        <v>0</v>
      </c>
      <c r="L470" s="4">
        <v>0</v>
      </c>
      <c r="M470" s="4">
        <v>1</v>
      </c>
      <c r="N470" s="4">
        <v>0</v>
      </c>
      <c r="O470" s="4">
        <v>0</v>
      </c>
    </row>
    <row r="471" spans="1:15" x14ac:dyDescent="0.15">
      <c r="A471" s="4">
        <v>468</v>
      </c>
      <c r="B471" s="4">
        <v>45</v>
      </c>
      <c r="C471" s="4">
        <v>20</v>
      </c>
      <c r="D471" s="4">
        <v>39</v>
      </c>
      <c r="E471" s="4">
        <v>1</v>
      </c>
      <c r="F471" s="8">
        <v>2.4</v>
      </c>
      <c r="G471" s="4">
        <v>1</v>
      </c>
      <c r="H471" s="4">
        <f t="shared" si="14"/>
        <v>1</v>
      </c>
      <c r="I471" s="4">
        <f t="shared" si="15"/>
        <v>0</v>
      </c>
      <c r="J471" s="4">
        <v>0</v>
      </c>
      <c r="K471" s="4">
        <v>0</v>
      </c>
      <c r="L471" s="4">
        <v>0</v>
      </c>
      <c r="M471" s="4">
        <v>0</v>
      </c>
      <c r="N471" s="4">
        <v>1</v>
      </c>
      <c r="O471" s="4">
        <v>0</v>
      </c>
    </row>
    <row r="472" spans="1:15" x14ac:dyDescent="0.15">
      <c r="A472" s="4">
        <v>469</v>
      </c>
      <c r="B472" s="4">
        <v>34</v>
      </c>
      <c r="C472" s="4">
        <v>10</v>
      </c>
      <c r="D472" s="4">
        <v>21</v>
      </c>
      <c r="E472" s="4">
        <v>1</v>
      </c>
      <c r="F472" s="8">
        <v>0.5</v>
      </c>
      <c r="G472" s="4">
        <v>3</v>
      </c>
      <c r="H472" s="4">
        <f t="shared" si="14"/>
        <v>0</v>
      </c>
      <c r="I472" s="4">
        <f t="shared" si="15"/>
        <v>0</v>
      </c>
      <c r="J472" s="4">
        <v>0</v>
      </c>
      <c r="K472" s="4">
        <v>0</v>
      </c>
      <c r="L472" s="4">
        <v>0</v>
      </c>
      <c r="M472" s="4">
        <v>1</v>
      </c>
      <c r="N472" s="4">
        <v>0</v>
      </c>
      <c r="O472" s="4">
        <v>0</v>
      </c>
    </row>
    <row r="473" spans="1:15" x14ac:dyDescent="0.15">
      <c r="A473" s="4">
        <v>470</v>
      </c>
      <c r="B473" s="4">
        <v>48</v>
      </c>
      <c r="C473" s="4">
        <v>23</v>
      </c>
      <c r="D473" s="4">
        <v>10</v>
      </c>
      <c r="E473" s="4">
        <v>2</v>
      </c>
      <c r="F473" s="8">
        <v>0.7</v>
      </c>
      <c r="G473" s="4">
        <v>3</v>
      </c>
      <c r="H473" s="4">
        <f t="shared" si="14"/>
        <v>0</v>
      </c>
      <c r="I473" s="4">
        <f t="shared" si="15"/>
        <v>0</v>
      </c>
      <c r="J473" s="4">
        <v>0</v>
      </c>
      <c r="K473" s="4">
        <v>0</v>
      </c>
      <c r="L473" s="4">
        <v>0</v>
      </c>
      <c r="M473" s="4">
        <v>1</v>
      </c>
      <c r="N473" s="4">
        <v>1</v>
      </c>
      <c r="O473" s="4">
        <v>0</v>
      </c>
    </row>
    <row r="474" spans="1:15" x14ac:dyDescent="0.15">
      <c r="A474" s="4">
        <v>471</v>
      </c>
      <c r="B474" s="4">
        <v>32</v>
      </c>
      <c r="C474" s="4">
        <v>6</v>
      </c>
      <c r="D474" s="4">
        <v>84</v>
      </c>
      <c r="E474" s="4">
        <v>4</v>
      </c>
      <c r="F474" s="8">
        <v>1.8</v>
      </c>
      <c r="G474" s="4">
        <v>2</v>
      </c>
      <c r="H474" s="4">
        <f t="shared" si="14"/>
        <v>0</v>
      </c>
      <c r="I474" s="4">
        <f t="shared" si="15"/>
        <v>1</v>
      </c>
      <c r="J474" s="4">
        <v>0</v>
      </c>
      <c r="K474" s="4">
        <v>0</v>
      </c>
      <c r="L474" s="4">
        <v>0</v>
      </c>
      <c r="M474" s="4">
        <v>0</v>
      </c>
      <c r="N474" s="4">
        <v>0</v>
      </c>
      <c r="O474" s="4">
        <v>0</v>
      </c>
    </row>
    <row r="475" spans="1:15" x14ac:dyDescent="0.15">
      <c r="A475" s="4">
        <v>472</v>
      </c>
      <c r="B475" s="4">
        <v>50</v>
      </c>
      <c r="C475" s="4">
        <v>24</v>
      </c>
      <c r="D475" s="4">
        <v>30</v>
      </c>
      <c r="E475" s="4">
        <v>4</v>
      </c>
      <c r="F475" s="8">
        <v>0.1</v>
      </c>
      <c r="G475" s="4">
        <v>1</v>
      </c>
      <c r="H475" s="4">
        <f t="shared" si="14"/>
        <v>1</v>
      </c>
      <c r="I475" s="4">
        <f t="shared" si="15"/>
        <v>0</v>
      </c>
      <c r="J475" s="4">
        <v>161</v>
      </c>
      <c r="K475" s="4">
        <v>0</v>
      </c>
      <c r="L475" s="4">
        <v>0</v>
      </c>
      <c r="M475" s="4">
        <v>1</v>
      </c>
      <c r="N475" s="4">
        <v>1</v>
      </c>
      <c r="O475" s="4">
        <v>0</v>
      </c>
    </row>
    <row r="476" spans="1:15" x14ac:dyDescent="0.15">
      <c r="A476" s="4">
        <v>473</v>
      </c>
      <c r="B476" s="4">
        <v>43</v>
      </c>
      <c r="C476" s="4">
        <v>19</v>
      </c>
      <c r="D476" s="4">
        <v>31</v>
      </c>
      <c r="E476" s="4">
        <v>4</v>
      </c>
      <c r="F476" s="8">
        <v>0.3</v>
      </c>
      <c r="G476" s="4">
        <v>1</v>
      </c>
      <c r="H476" s="4">
        <f t="shared" si="14"/>
        <v>1</v>
      </c>
      <c r="I476" s="4">
        <f t="shared" si="15"/>
        <v>0</v>
      </c>
      <c r="J476" s="4">
        <v>156</v>
      </c>
      <c r="K476" s="4">
        <v>0</v>
      </c>
      <c r="L476" s="4">
        <v>0</v>
      </c>
      <c r="M476" s="4">
        <v>1</v>
      </c>
      <c r="N476" s="4">
        <v>0</v>
      </c>
      <c r="O476" s="4">
        <v>0</v>
      </c>
    </row>
    <row r="477" spans="1:15" x14ac:dyDescent="0.15">
      <c r="A477" s="4">
        <v>474</v>
      </c>
      <c r="B477" s="4">
        <v>64</v>
      </c>
      <c r="C477" s="4">
        <v>39</v>
      </c>
      <c r="D477" s="4">
        <v>182</v>
      </c>
      <c r="E477" s="4">
        <v>1</v>
      </c>
      <c r="F477" s="8">
        <v>1.2</v>
      </c>
      <c r="G477" s="4">
        <v>2</v>
      </c>
      <c r="H477" s="4">
        <f t="shared" si="14"/>
        <v>0</v>
      </c>
      <c r="I477" s="4">
        <f t="shared" si="15"/>
        <v>1</v>
      </c>
      <c r="J477" s="4">
        <v>547</v>
      </c>
      <c r="K477" s="4">
        <v>0</v>
      </c>
      <c r="L477" s="4">
        <v>0</v>
      </c>
      <c r="M477" s="4">
        <v>1</v>
      </c>
      <c r="N477" s="4">
        <v>0</v>
      </c>
      <c r="O477" s="4">
        <v>1</v>
      </c>
    </row>
    <row r="478" spans="1:15" x14ac:dyDescent="0.15">
      <c r="A478" s="4">
        <v>475</v>
      </c>
      <c r="B478" s="4">
        <v>60</v>
      </c>
      <c r="C478" s="4">
        <v>34</v>
      </c>
      <c r="D478" s="4">
        <v>114</v>
      </c>
      <c r="E478" s="4">
        <v>2</v>
      </c>
      <c r="F478" s="8">
        <v>6.9</v>
      </c>
      <c r="G478" s="4">
        <v>1</v>
      </c>
      <c r="H478" s="4">
        <f t="shared" si="14"/>
        <v>1</v>
      </c>
      <c r="I478" s="4">
        <f t="shared" si="15"/>
        <v>0</v>
      </c>
      <c r="J478" s="4">
        <v>0</v>
      </c>
      <c r="K478" s="4">
        <v>0</v>
      </c>
      <c r="L478" s="4">
        <v>0</v>
      </c>
      <c r="M478" s="4">
        <v>1</v>
      </c>
      <c r="N478" s="4">
        <v>0</v>
      </c>
      <c r="O478" s="4">
        <v>0</v>
      </c>
    </row>
    <row r="479" spans="1:15" x14ac:dyDescent="0.15">
      <c r="A479" s="4">
        <v>476</v>
      </c>
      <c r="B479" s="4">
        <v>43</v>
      </c>
      <c r="C479" s="4">
        <v>19</v>
      </c>
      <c r="D479" s="4">
        <v>152</v>
      </c>
      <c r="E479" s="4">
        <v>3</v>
      </c>
      <c r="F479" s="8">
        <v>6.1</v>
      </c>
      <c r="G479" s="4">
        <v>2</v>
      </c>
      <c r="H479" s="4">
        <f t="shared" si="14"/>
        <v>0</v>
      </c>
      <c r="I479" s="4">
        <f t="shared" si="15"/>
        <v>1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1</v>
      </c>
    </row>
    <row r="480" spans="1:15" x14ac:dyDescent="0.15">
      <c r="A480" s="4">
        <v>477</v>
      </c>
      <c r="B480" s="4">
        <v>60</v>
      </c>
      <c r="C480" s="4">
        <v>34</v>
      </c>
      <c r="D480" s="4">
        <v>53</v>
      </c>
      <c r="E480" s="4">
        <v>1</v>
      </c>
      <c r="F480" s="8">
        <v>0.8</v>
      </c>
      <c r="G480" s="4">
        <v>2</v>
      </c>
      <c r="H480" s="4">
        <f t="shared" si="14"/>
        <v>0</v>
      </c>
      <c r="I480" s="4">
        <f t="shared" si="15"/>
        <v>1</v>
      </c>
      <c r="J480" s="4">
        <v>0</v>
      </c>
      <c r="K480" s="4">
        <v>1</v>
      </c>
      <c r="L480" s="4">
        <v>0</v>
      </c>
      <c r="M480" s="4">
        <v>0</v>
      </c>
      <c r="N480" s="4">
        <v>1</v>
      </c>
      <c r="O480" s="4">
        <v>0</v>
      </c>
    </row>
    <row r="481" spans="1:15" x14ac:dyDescent="0.15">
      <c r="A481" s="4">
        <v>478</v>
      </c>
      <c r="B481" s="4">
        <v>64</v>
      </c>
      <c r="C481" s="4">
        <v>39</v>
      </c>
      <c r="D481" s="4">
        <v>24</v>
      </c>
      <c r="E481" s="4">
        <v>4</v>
      </c>
      <c r="F481" s="8">
        <v>0.4</v>
      </c>
      <c r="G481" s="4">
        <v>2</v>
      </c>
      <c r="H481" s="4">
        <f t="shared" si="14"/>
        <v>0</v>
      </c>
      <c r="I481" s="4">
        <f t="shared" si="15"/>
        <v>1</v>
      </c>
      <c r="J481" s="4">
        <v>78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</row>
    <row r="482" spans="1:15" x14ac:dyDescent="0.15">
      <c r="A482" s="4">
        <v>479</v>
      </c>
      <c r="B482" s="4">
        <v>44</v>
      </c>
      <c r="C482" s="4">
        <v>20</v>
      </c>
      <c r="D482" s="4">
        <v>150</v>
      </c>
      <c r="E482" s="4">
        <v>2</v>
      </c>
      <c r="F482" s="8">
        <v>3.3</v>
      </c>
      <c r="G482" s="4">
        <v>1</v>
      </c>
      <c r="H482" s="4">
        <f t="shared" si="14"/>
        <v>1</v>
      </c>
      <c r="I482" s="4">
        <f t="shared" si="15"/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</row>
    <row r="483" spans="1:15" x14ac:dyDescent="0.15">
      <c r="A483" s="4">
        <v>480</v>
      </c>
      <c r="B483" s="4">
        <v>60</v>
      </c>
      <c r="C483" s="4">
        <v>36</v>
      </c>
      <c r="D483" s="4">
        <v>132</v>
      </c>
      <c r="E483" s="4">
        <v>2</v>
      </c>
      <c r="F483" s="8">
        <v>6</v>
      </c>
      <c r="G483" s="4">
        <v>1</v>
      </c>
      <c r="H483" s="4">
        <f t="shared" si="14"/>
        <v>1</v>
      </c>
      <c r="I483" s="4">
        <f t="shared" si="15"/>
        <v>0</v>
      </c>
      <c r="J483" s="4">
        <v>470</v>
      </c>
      <c r="K483" s="4">
        <v>0</v>
      </c>
      <c r="L483" s="4">
        <v>0</v>
      </c>
      <c r="M483" s="4">
        <v>1</v>
      </c>
      <c r="N483" s="4">
        <v>1</v>
      </c>
      <c r="O483" s="4">
        <v>0</v>
      </c>
    </row>
    <row r="484" spans="1:15" x14ac:dyDescent="0.15">
      <c r="A484" s="4">
        <v>481</v>
      </c>
      <c r="B484" s="4">
        <v>54</v>
      </c>
      <c r="C484" s="4">
        <v>29</v>
      </c>
      <c r="D484" s="4">
        <v>68</v>
      </c>
      <c r="E484" s="4">
        <v>3</v>
      </c>
      <c r="F484" s="8">
        <v>1.6</v>
      </c>
      <c r="G484" s="4">
        <v>3</v>
      </c>
      <c r="H484" s="4">
        <f t="shared" si="14"/>
        <v>0</v>
      </c>
      <c r="I484" s="4">
        <f t="shared" si="15"/>
        <v>0</v>
      </c>
      <c r="J484" s="4">
        <v>0</v>
      </c>
      <c r="K484" s="4">
        <v>0</v>
      </c>
      <c r="L484" s="4">
        <v>0</v>
      </c>
      <c r="M484" s="4">
        <v>1</v>
      </c>
      <c r="N484" s="4">
        <v>1</v>
      </c>
      <c r="O484" s="4">
        <v>0</v>
      </c>
    </row>
    <row r="485" spans="1:15" x14ac:dyDescent="0.15">
      <c r="A485" s="4">
        <v>482</v>
      </c>
      <c r="B485" s="4">
        <v>33</v>
      </c>
      <c r="C485" s="4">
        <v>9</v>
      </c>
      <c r="D485" s="4">
        <v>53</v>
      </c>
      <c r="E485" s="4">
        <v>1</v>
      </c>
      <c r="F485" s="8">
        <v>1.2</v>
      </c>
      <c r="G485" s="4">
        <v>1</v>
      </c>
      <c r="H485" s="4">
        <f t="shared" si="14"/>
        <v>1</v>
      </c>
      <c r="I485" s="4">
        <f t="shared" si="15"/>
        <v>0</v>
      </c>
      <c r="J485" s="4">
        <v>0</v>
      </c>
      <c r="K485" s="4">
        <v>0</v>
      </c>
      <c r="L485" s="4">
        <v>0</v>
      </c>
      <c r="M485" s="4">
        <v>0</v>
      </c>
      <c r="N485" s="4">
        <v>1</v>
      </c>
      <c r="O485" s="4">
        <v>0</v>
      </c>
    </row>
    <row r="486" spans="1:15" x14ac:dyDescent="0.15">
      <c r="A486" s="4">
        <v>483</v>
      </c>
      <c r="B486" s="4">
        <v>56</v>
      </c>
      <c r="C486" s="4">
        <v>32</v>
      </c>
      <c r="D486" s="4">
        <v>173</v>
      </c>
      <c r="E486" s="4">
        <v>1</v>
      </c>
      <c r="F486" s="8">
        <v>4.5999999999999996</v>
      </c>
      <c r="G486" s="4">
        <v>2</v>
      </c>
      <c r="H486" s="4">
        <f t="shared" si="14"/>
        <v>0</v>
      </c>
      <c r="I486" s="4">
        <f t="shared" si="15"/>
        <v>1</v>
      </c>
      <c r="J486" s="4">
        <v>88</v>
      </c>
      <c r="K486" s="4">
        <v>0</v>
      </c>
      <c r="L486" s="4">
        <v>1</v>
      </c>
      <c r="M486" s="4">
        <v>1</v>
      </c>
      <c r="N486" s="4">
        <v>0</v>
      </c>
      <c r="O486" s="4">
        <v>1</v>
      </c>
    </row>
    <row r="487" spans="1:15" x14ac:dyDescent="0.15">
      <c r="A487" s="4">
        <v>484</v>
      </c>
      <c r="B487" s="4">
        <v>29</v>
      </c>
      <c r="C487" s="4">
        <v>5</v>
      </c>
      <c r="D487" s="4">
        <v>30</v>
      </c>
      <c r="E487" s="4">
        <v>3</v>
      </c>
      <c r="F487" s="8">
        <v>1</v>
      </c>
      <c r="G487" s="4">
        <v>2</v>
      </c>
      <c r="H487" s="4">
        <f t="shared" si="14"/>
        <v>0</v>
      </c>
      <c r="I487" s="4">
        <f t="shared" si="15"/>
        <v>1</v>
      </c>
      <c r="J487" s="4">
        <v>0</v>
      </c>
      <c r="K487" s="4">
        <v>0</v>
      </c>
      <c r="L487" s="4">
        <v>0</v>
      </c>
      <c r="M487" s="4">
        <v>0</v>
      </c>
      <c r="N487" s="4">
        <v>0</v>
      </c>
      <c r="O487" s="4">
        <v>0</v>
      </c>
    </row>
    <row r="488" spans="1:15" x14ac:dyDescent="0.15">
      <c r="A488" s="4">
        <v>485</v>
      </c>
      <c r="B488" s="4">
        <v>25</v>
      </c>
      <c r="C488" s="4">
        <v>1</v>
      </c>
      <c r="D488" s="4">
        <v>113</v>
      </c>
      <c r="E488" s="4">
        <v>2</v>
      </c>
      <c r="F488" s="8">
        <v>0.2</v>
      </c>
      <c r="G488" s="4">
        <v>1</v>
      </c>
      <c r="H488" s="4">
        <f t="shared" si="14"/>
        <v>1</v>
      </c>
      <c r="I488" s="4">
        <f t="shared" si="15"/>
        <v>0</v>
      </c>
      <c r="J488" s="4">
        <v>0</v>
      </c>
      <c r="K488" s="4">
        <v>0</v>
      </c>
      <c r="L488" s="4">
        <v>0</v>
      </c>
      <c r="M488" s="4">
        <v>1</v>
      </c>
      <c r="N488" s="4">
        <v>1</v>
      </c>
      <c r="O488" s="4">
        <v>0</v>
      </c>
    </row>
    <row r="489" spans="1:15" x14ac:dyDescent="0.15">
      <c r="A489" s="4">
        <v>486</v>
      </c>
      <c r="B489" s="4">
        <v>60</v>
      </c>
      <c r="C489" s="4">
        <v>34</v>
      </c>
      <c r="D489" s="4">
        <v>15</v>
      </c>
      <c r="E489" s="4">
        <v>1</v>
      </c>
      <c r="F489" s="8">
        <v>0.8</v>
      </c>
      <c r="G489" s="4">
        <v>2</v>
      </c>
      <c r="H489" s="4">
        <f t="shared" si="14"/>
        <v>0</v>
      </c>
      <c r="I489" s="4">
        <f t="shared" si="15"/>
        <v>1</v>
      </c>
      <c r="J489" s="4">
        <v>0</v>
      </c>
      <c r="K489" s="4">
        <v>0</v>
      </c>
      <c r="L489" s="4">
        <v>0</v>
      </c>
      <c r="M489" s="4">
        <v>1</v>
      </c>
      <c r="N489" s="4">
        <v>0</v>
      </c>
      <c r="O489" s="4">
        <v>0</v>
      </c>
    </row>
    <row r="490" spans="1:15" x14ac:dyDescent="0.15">
      <c r="A490" s="4">
        <v>487</v>
      </c>
      <c r="B490" s="4">
        <v>55</v>
      </c>
      <c r="C490" s="4">
        <v>30</v>
      </c>
      <c r="D490" s="4">
        <v>84</v>
      </c>
      <c r="E490" s="4">
        <v>2</v>
      </c>
      <c r="F490" s="8">
        <v>3.7</v>
      </c>
      <c r="G490" s="4">
        <v>1</v>
      </c>
      <c r="H490" s="4">
        <f t="shared" si="14"/>
        <v>1</v>
      </c>
      <c r="I490" s="4">
        <f t="shared" si="15"/>
        <v>0</v>
      </c>
      <c r="J490" s="4">
        <v>304</v>
      </c>
      <c r="K490" s="4">
        <v>1</v>
      </c>
      <c r="L490" s="4">
        <v>0</v>
      </c>
      <c r="M490" s="4">
        <v>1</v>
      </c>
      <c r="N490" s="4">
        <v>0</v>
      </c>
      <c r="O490" s="4">
        <v>0</v>
      </c>
    </row>
    <row r="491" spans="1:15" x14ac:dyDescent="0.15">
      <c r="A491" s="4">
        <v>488</v>
      </c>
      <c r="B491" s="4">
        <v>39</v>
      </c>
      <c r="C491" s="4">
        <v>13</v>
      </c>
      <c r="D491" s="4">
        <v>88</v>
      </c>
      <c r="E491" s="4">
        <v>4</v>
      </c>
      <c r="F491" s="8">
        <v>1.4</v>
      </c>
      <c r="G491" s="4">
        <v>2</v>
      </c>
      <c r="H491" s="4">
        <f t="shared" si="14"/>
        <v>0</v>
      </c>
      <c r="I491" s="4">
        <f t="shared" si="15"/>
        <v>1</v>
      </c>
      <c r="J491" s="4">
        <v>0</v>
      </c>
      <c r="K491" s="4">
        <v>0</v>
      </c>
      <c r="L491" s="4">
        <v>0</v>
      </c>
      <c r="M491" s="4">
        <v>1</v>
      </c>
      <c r="N491" s="4">
        <v>1</v>
      </c>
      <c r="O491" s="4">
        <v>0</v>
      </c>
    </row>
    <row r="492" spans="1:15" x14ac:dyDescent="0.15">
      <c r="A492" s="4">
        <v>489</v>
      </c>
      <c r="B492" s="4">
        <v>37</v>
      </c>
      <c r="C492" s="4">
        <v>13</v>
      </c>
      <c r="D492" s="4">
        <v>43</v>
      </c>
      <c r="E492" s="4">
        <v>3</v>
      </c>
      <c r="F492" s="8">
        <v>2.8</v>
      </c>
      <c r="G492" s="4">
        <v>1</v>
      </c>
      <c r="H492" s="4">
        <f t="shared" si="14"/>
        <v>1</v>
      </c>
      <c r="I492" s="4">
        <f t="shared" si="15"/>
        <v>0</v>
      </c>
      <c r="J492" s="4">
        <v>0</v>
      </c>
      <c r="K492" s="4">
        <v>0</v>
      </c>
      <c r="L492" s="4">
        <v>0</v>
      </c>
      <c r="M492" s="4">
        <v>1</v>
      </c>
      <c r="N492" s="4">
        <v>0</v>
      </c>
      <c r="O492" s="4">
        <v>0</v>
      </c>
    </row>
    <row r="493" spans="1:15" x14ac:dyDescent="0.15">
      <c r="A493" s="4">
        <v>490</v>
      </c>
      <c r="B493" s="4">
        <v>53</v>
      </c>
      <c r="C493" s="4">
        <v>28</v>
      </c>
      <c r="D493" s="4">
        <v>43</v>
      </c>
      <c r="E493" s="4">
        <v>2</v>
      </c>
      <c r="F493" s="8">
        <v>2.1</v>
      </c>
      <c r="G493" s="4">
        <v>3</v>
      </c>
      <c r="H493" s="4">
        <f t="shared" si="14"/>
        <v>0</v>
      </c>
      <c r="I493" s="4">
        <f t="shared" si="15"/>
        <v>0</v>
      </c>
      <c r="J493" s="4">
        <v>0</v>
      </c>
      <c r="K493" s="4">
        <v>0</v>
      </c>
      <c r="L493" s="4">
        <v>1</v>
      </c>
      <c r="M493" s="4">
        <v>1</v>
      </c>
      <c r="N493" s="4">
        <v>1</v>
      </c>
      <c r="O493" s="4">
        <v>0</v>
      </c>
    </row>
    <row r="494" spans="1:15" x14ac:dyDescent="0.15">
      <c r="A494" s="4">
        <v>491</v>
      </c>
      <c r="B494" s="4">
        <v>34</v>
      </c>
      <c r="C494" s="4">
        <v>10</v>
      </c>
      <c r="D494" s="4">
        <v>90</v>
      </c>
      <c r="E494" s="4">
        <v>2</v>
      </c>
      <c r="F494" s="8">
        <v>2.7</v>
      </c>
      <c r="G494" s="4">
        <v>1</v>
      </c>
      <c r="H494" s="4">
        <f t="shared" si="14"/>
        <v>1</v>
      </c>
      <c r="I494" s="4">
        <f t="shared" si="15"/>
        <v>0</v>
      </c>
      <c r="J494" s="4">
        <v>0</v>
      </c>
      <c r="K494" s="4">
        <v>0</v>
      </c>
      <c r="L494" s="4">
        <v>0</v>
      </c>
      <c r="M494" s="4">
        <v>1</v>
      </c>
      <c r="N494" s="4">
        <v>0</v>
      </c>
      <c r="O494" s="4">
        <v>0</v>
      </c>
    </row>
    <row r="495" spans="1:15" x14ac:dyDescent="0.15">
      <c r="A495" s="4">
        <v>492</v>
      </c>
      <c r="B495" s="4">
        <v>42</v>
      </c>
      <c r="C495" s="4">
        <v>18</v>
      </c>
      <c r="D495" s="4">
        <v>34</v>
      </c>
      <c r="E495" s="4">
        <v>4</v>
      </c>
      <c r="F495" s="8">
        <v>0.3</v>
      </c>
      <c r="G495" s="4">
        <v>1</v>
      </c>
      <c r="H495" s="4">
        <f t="shared" si="14"/>
        <v>1</v>
      </c>
      <c r="I495" s="4">
        <f t="shared" si="15"/>
        <v>0</v>
      </c>
      <c r="J495" s="4">
        <v>104</v>
      </c>
      <c r="K495" s="4">
        <v>1</v>
      </c>
      <c r="L495" s="4">
        <v>0</v>
      </c>
      <c r="M495" s="4">
        <v>1</v>
      </c>
      <c r="N495" s="4">
        <v>0</v>
      </c>
      <c r="O495" s="4">
        <v>0</v>
      </c>
    </row>
    <row r="496" spans="1:15" x14ac:dyDescent="0.15">
      <c r="A496" s="4">
        <v>493</v>
      </c>
      <c r="B496" s="4">
        <v>60</v>
      </c>
      <c r="C496" s="4">
        <v>36</v>
      </c>
      <c r="D496" s="4">
        <v>38</v>
      </c>
      <c r="E496" s="4">
        <v>4</v>
      </c>
      <c r="F496" s="8">
        <v>1.3</v>
      </c>
      <c r="G496" s="4">
        <v>1</v>
      </c>
      <c r="H496" s="4">
        <f t="shared" si="14"/>
        <v>1</v>
      </c>
      <c r="I496" s="4">
        <f t="shared" si="15"/>
        <v>0</v>
      </c>
      <c r="J496" s="4">
        <v>0</v>
      </c>
      <c r="K496" s="4">
        <v>0</v>
      </c>
      <c r="L496" s="4">
        <v>0</v>
      </c>
      <c r="M496" s="4">
        <v>1</v>
      </c>
      <c r="N496" s="4">
        <v>0</v>
      </c>
      <c r="O496" s="4">
        <v>0</v>
      </c>
    </row>
    <row r="497" spans="1:15" x14ac:dyDescent="0.15">
      <c r="A497" s="4">
        <v>494</v>
      </c>
      <c r="B497" s="4">
        <v>50</v>
      </c>
      <c r="C497" s="4">
        <v>24</v>
      </c>
      <c r="D497" s="4">
        <v>173</v>
      </c>
      <c r="E497" s="4">
        <v>1</v>
      </c>
      <c r="F497" s="8">
        <v>1</v>
      </c>
      <c r="G497" s="4">
        <v>1</v>
      </c>
      <c r="H497" s="4">
        <f t="shared" si="14"/>
        <v>1</v>
      </c>
      <c r="I497" s="4">
        <f t="shared" si="15"/>
        <v>0</v>
      </c>
      <c r="J497" s="4">
        <v>0</v>
      </c>
      <c r="K497" s="4">
        <v>0</v>
      </c>
      <c r="L497" s="4">
        <v>0</v>
      </c>
      <c r="M497" s="4">
        <v>1</v>
      </c>
      <c r="N497" s="4">
        <v>1</v>
      </c>
      <c r="O497" s="4">
        <v>0</v>
      </c>
    </row>
    <row r="498" spans="1:15" x14ac:dyDescent="0.15">
      <c r="A498" s="4">
        <v>495</v>
      </c>
      <c r="B498" s="4">
        <v>41</v>
      </c>
      <c r="C498" s="4">
        <v>17</v>
      </c>
      <c r="D498" s="4">
        <v>160</v>
      </c>
      <c r="E498" s="4">
        <v>2</v>
      </c>
      <c r="F498" s="8">
        <v>8</v>
      </c>
      <c r="G498" s="4">
        <v>1</v>
      </c>
      <c r="H498" s="4">
        <f t="shared" si="14"/>
        <v>1</v>
      </c>
      <c r="I498" s="4">
        <f t="shared" si="15"/>
        <v>0</v>
      </c>
      <c r="J498" s="4">
        <v>0</v>
      </c>
      <c r="K498" s="4">
        <v>0</v>
      </c>
      <c r="L498" s="4">
        <v>0</v>
      </c>
      <c r="M498" s="4">
        <v>1</v>
      </c>
      <c r="N498" s="4">
        <v>0</v>
      </c>
      <c r="O498" s="4">
        <v>0</v>
      </c>
    </row>
    <row r="499" spans="1:15" x14ac:dyDescent="0.15">
      <c r="A499" s="4">
        <v>496</v>
      </c>
      <c r="B499" s="4">
        <v>25</v>
      </c>
      <c r="C499" s="4">
        <v>0</v>
      </c>
      <c r="D499" s="4">
        <v>44</v>
      </c>
      <c r="E499" s="4">
        <v>4</v>
      </c>
      <c r="F499" s="8">
        <v>0.6</v>
      </c>
      <c r="G499" s="4">
        <v>2</v>
      </c>
      <c r="H499" s="4">
        <f t="shared" si="14"/>
        <v>0</v>
      </c>
      <c r="I499" s="4">
        <f t="shared" si="15"/>
        <v>1</v>
      </c>
      <c r="J499" s="4">
        <v>0</v>
      </c>
      <c r="K499" s="4">
        <v>0</v>
      </c>
      <c r="L499" s="4">
        <v>0</v>
      </c>
      <c r="M499" s="4">
        <v>1</v>
      </c>
      <c r="N499" s="4">
        <v>1</v>
      </c>
      <c r="O499" s="4">
        <v>0</v>
      </c>
    </row>
    <row r="500" spans="1:15" x14ac:dyDescent="0.15">
      <c r="A500" s="4">
        <v>497</v>
      </c>
      <c r="B500" s="4">
        <v>50</v>
      </c>
      <c r="C500" s="4">
        <v>24</v>
      </c>
      <c r="D500" s="4">
        <v>83</v>
      </c>
      <c r="E500" s="4">
        <v>2</v>
      </c>
      <c r="F500" s="8">
        <v>0.4</v>
      </c>
      <c r="G500" s="4">
        <v>3</v>
      </c>
      <c r="H500" s="4">
        <f t="shared" si="14"/>
        <v>0</v>
      </c>
      <c r="I500" s="4">
        <f t="shared" si="15"/>
        <v>0</v>
      </c>
      <c r="J500" s="4">
        <v>0</v>
      </c>
      <c r="K500" s="4">
        <v>0</v>
      </c>
      <c r="L500" s="4">
        <v>0</v>
      </c>
      <c r="M500" s="4">
        <v>1</v>
      </c>
      <c r="N500" s="4">
        <v>0</v>
      </c>
      <c r="O500" s="4">
        <v>0</v>
      </c>
    </row>
    <row r="501" spans="1:15" x14ac:dyDescent="0.15">
      <c r="A501" s="4">
        <v>498</v>
      </c>
      <c r="B501" s="4">
        <v>48</v>
      </c>
      <c r="C501" s="4">
        <v>22</v>
      </c>
      <c r="D501" s="4">
        <v>94</v>
      </c>
      <c r="E501" s="4">
        <v>4</v>
      </c>
      <c r="F501" s="8">
        <v>2.6</v>
      </c>
      <c r="G501" s="4">
        <v>3</v>
      </c>
      <c r="H501" s="4">
        <f t="shared" si="14"/>
        <v>0</v>
      </c>
      <c r="I501" s="4">
        <f t="shared" si="15"/>
        <v>0</v>
      </c>
      <c r="J501" s="4">
        <v>0</v>
      </c>
      <c r="K501" s="4">
        <v>0</v>
      </c>
      <c r="L501" s="4">
        <v>0</v>
      </c>
      <c r="M501" s="4">
        <v>1</v>
      </c>
      <c r="N501" s="4">
        <v>0</v>
      </c>
      <c r="O501" s="4">
        <v>0</v>
      </c>
    </row>
    <row r="502" spans="1:15" x14ac:dyDescent="0.15">
      <c r="A502" s="4">
        <v>499</v>
      </c>
      <c r="B502" s="4">
        <v>32</v>
      </c>
      <c r="C502" s="4">
        <v>8</v>
      </c>
      <c r="D502" s="4">
        <v>43</v>
      </c>
      <c r="E502" s="4">
        <v>1</v>
      </c>
      <c r="F502" s="8">
        <v>2.1</v>
      </c>
      <c r="G502" s="4">
        <v>3</v>
      </c>
      <c r="H502" s="4">
        <f t="shared" si="14"/>
        <v>0</v>
      </c>
      <c r="I502" s="4">
        <f t="shared" si="15"/>
        <v>0</v>
      </c>
      <c r="J502" s="4">
        <v>0</v>
      </c>
      <c r="K502" s="4">
        <v>0</v>
      </c>
      <c r="L502" s="4">
        <v>0</v>
      </c>
      <c r="M502" s="4">
        <v>0</v>
      </c>
      <c r="N502" s="4">
        <v>1</v>
      </c>
      <c r="O502" s="4">
        <v>0</v>
      </c>
    </row>
    <row r="503" spans="1:15" x14ac:dyDescent="0.15">
      <c r="A503" s="4">
        <v>500</v>
      </c>
      <c r="B503" s="4">
        <v>50</v>
      </c>
      <c r="C503" s="4">
        <v>25</v>
      </c>
      <c r="D503" s="4">
        <v>42</v>
      </c>
      <c r="E503" s="4">
        <v>3</v>
      </c>
      <c r="F503" s="8">
        <v>1.7</v>
      </c>
      <c r="G503" s="4">
        <v>2</v>
      </c>
      <c r="H503" s="4">
        <f t="shared" si="14"/>
        <v>0</v>
      </c>
      <c r="I503" s="4">
        <f t="shared" si="15"/>
        <v>1</v>
      </c>
      <c r="J503" s="4">
        <v>0</v>
      </c>
      <c r="K503" s="4">
        <v>0</v>
      </c>
      <c r="L503" s="4">
        <v>0</v>
      </c>
      <c r="M503" s="4">
        <v>1</v>
      </c>
      <c r="N503" s="4">
        <v>0</v>
      </c>
      <c r="O503" s="4">
        <v>0</v>
      </c>
    </row>
    <row r="504" spans="1:15" x14ac:dyDescent="0.15">
      <c r="A504" s="4">
        <v>501</v>
      </c>
      <c r="B504" s="4">
        <v>59</v>
      </c>
      <c r="C504" s="4">
        <v>33</v>
      </c>
      <c r="D504" s="4">
        <v>34</v>
      </c>
      <c r="E504" s="4">
        <v>2</v>
      </c>
      <c r="F504" s="8">
        <v>0.3</v>
      </c>
      <c r="G504" s="4">
        <v>1</v>
      </c>
      <c r="H504" s="4">
        <f t="shared" si="14"/>
        <v>1</v>
      </c>
      <c r="I504" s="4">
        <f t="shared" si="15"/>
        <v>0</v>
      </c>
      <c r="J504" s="4">
        <v>0</v>
      </c>
      <c r="K504" s="4">
        <v>0</v>
      </c>
      <c r="L504" s="4">
        <v>0</v>
      </c>
      <c r="M504" s="4">
        <v>0</v>
      </c>
      <c r="N504" s="4">
        <v>0</v>
      </c>
      <c r="O504" s="4">
        <v>0</v>
      </c>
    </row>
    <row r="505" spans="1:15" x14ac:dyDescent="0.15">
      <c r="A505" s="4">
        <v>502</v>
      </c>
      <c r="B505" s="4">
        <v>50</v>
      </c>
      <c r="C505" s="4">
        <v>26</v>
      </c>
      <c r="D505" s="4">
        <v>39</v>
      </c>
      <c r="E505" s="4">
        <v>3</v>
      </c>
      <c r="F505" s="8">
        <v>1.9</v>
      </c>
      <c r="G505" s="4">
        <v>2</v>
      </c>
      <c r="H505" s="4">
        <f t="shared" si="14"/>
        <v>0</v>
      </c>
      <c r="I505" s="4">
        <f t="shared" si="15"/>
        <v>1</v>
      </c>
      <c r="J505" s="4">
        <v>0</v>
      </c>
      <c r="K505" s="4">
        <v>0</v>
      </c>
      <c r="L505" s="4">
        <v>0</v>
      </c>
      <c r="M505" s="4">
        <v>1</v>
      </c>
      <c r="N505" s="4">
        <v>0</v>
      </c>
      <c r="O505" s="4">
        <v>0</v>
      </c>
    </row>
    <row r="506" spans="1:15" x14ac:dyDescent="0.15">
      <c r="A506" s="4">
        <v>503</v>
      </c>
      <c r="B506" s="4">
        <v>44</v>
      </c>
      <c r="C506" s="4">
        <v>19</v>
      </c>
      <c r="D506" s="4">
        <v>70</v>
      </c>
      <c r="E506" s="4">
        <v>1</v>
      </c>
      <c r="F506" s="8">
        <v>0.1</v>
      </c>
      <c r="G506" s="4">
        <v>2</v>
      </c>
      <c r="H506" s="4">
        <f t="shared" si="14"/>
        <v>0</v>
      </c>
      <c r="I506" s="4">
        <f t="shared" si="15"/>
        <v>1</v>
      </c>
      <c r="J506" s="4">
        <v>0</v>
      </c>
      <c r="K506" s="4">
        <v>0</v>
      </c>
      <c r="L506" s="4">
        <v>0</v>
      </c>
      <c r="M506" s="4">
        <v>0</v>
      </c>
      <c r="N506" s="4">
        <v>0</v>
      </c>
      <c r="O506" s="4">
        <v>0</v>
      </c>
    </row>
    <row r="507" spans="1:15" x14ac:dyDescent="0.15">
      <c r="A507" s="4">
        <v>504</v>
      </c>
      <c r="B507" s="4">
        <v>31</v>
      </c>
      <c r="C507" s="4">
        <v>5</v>
      </c>
      <c r="D507" s="4">
        <v>39</v>
      </c>
      <c r="E507" s="4">
        <v>4</v>
      </c>
      <c r="F507" s="8">
        <v>1.8</v>
      </c>
      <c r="G507" s="4">
        <v>3</v>
      </c>
      <c r="H507" s="4">
        <f t="shared" si="14"/>
        <v>0</v>
      </c>
      <c r="I507" s="4">
        <f t="shared" si="15"/>
        <v>0</v>
      </c>
      <c r="J507" s="4">
        <v>185</v>
      </c>
      <c r="K507" s="4">
        <v>0</v>
      </c>
      <c r="L507" s="4">
        <v>0</v>
      </c>
      <c r="M507" s="4">
        <v>0</v>
      </c>
      <c r="N507" s="4">
        <v>1</v>
      </c>
      <c r="O507" s="4">
        <v>0</v>
      </c>
    </row>
    <row r="508" spans="1:15" x14ac:dyDescent="0.15">
      <c r="A508" s="4">
        <v>505</v>
      </c>
      <c r="B508" s="4">
        <v>40</v>
      </c>
      <c r="C508" s="4">
        <v>10</v>
      </c>
      <c r="D508" s="4">
        <v>44</v>
      </c>
      <c r="E508" s="4">
        <v>3</v>
      </c>
      <c r="F508" s="8">
        <v>2</v>
      </c>
      <c r="G508" s="4">
        <v>3</v>
      </c>
      <c r="H508" s="4">
        <f t="shared" si="14"/>
        <v>0</v>
      </c>
      <c r="I508" s="4">
        <f t="shared" si="15"/>
        <v>0</v>
      </c>
      <c r="J508" s="4">
        <v>0</v>
      </c>
      <c r="K508" s="4">
        <v>0</v>
      </c>
      <c r="L508" s="4">
        <v>0</v>
      </c>
      <c r="M508" s="4">
        <v>1</v>
      </c>
      <c r="N508" s="4">
        <v>0</v>
      </c>
      <c r="O508" s="4">
        <v>0</v>
      </c>
    </row>
    <row r="509" spans="1:15" x14ac:dyDescent="0.15">
      <c r="A509" s="4">
        <v>506</v>
      </c>
      <c r="B509" s="4">
        <v>36</v>
      </c>
      <c r="C509" s="4">
        <v>12</v>
      </c>
      <c r="D509" s="4">
        <v>69</v>
      </c>
      <c r="E509" s="4">
        <v>3</v>
      </c>
      <c r="F509" s="8">
        <v>3.1</v>
      </c>
      <c r="G509" s="4">
        <v>2</v>
      </c>
      <c r="H509" s="4">
        <f t="shared" si="14"/>
        <v>0</v>
      </c>
      <c r="I509" s="4">
        <f t="shared" si="15"/>
        <v>1</v>
      </c>
      <c r="J509" s="4">
        <v>0</v>
      </c>
      <c r="K509" s="4">
        <v>0</v>
      </c>
      <c r="L509" s="4">
        <v>0</v>
      </c>
      <c r="M509" s="4">
        <v>1</v>
      </c>
      <c r="N509" s="4">
        <v>0</v>
      </c>
      <c r="O509" s="4">
        <v>1</v>
      </c>
    </row>
    <row r="510" spans="1:15" x14ac:dyDescent="0.15">
      <c r="A510" s="4">
        <v>507</v>
      </c>
      <c r="B510" s="4">
        <v>51</v>
      </c>
      <c r="C510" s="4">
        <v>25</v>
      </c>
      <c r="D510" s="4">
        <v>44</v>
      </c>
      <c r="E510" s="4">
        <v>3</v>
      </c>
      <c r="F510" s="8">
        <v>0.9</v>
      </c>
      <c r="G510" s="4">
        <v>3</v>
      </c>
      <c r="H510" s="4">
        <f t="shared" si="14"/>
        <v>0</v>
      </c>
      <c r="I510" s="4">
        <f t="shared" si="15"/>
        <v>0</v>
      </c>
      <c r="J510" s="4">
        <v>0</v>
      </c>
      <c r="K510" s="4">
        <v>0</v>
      </c>
      <c r="L510" s="4">
        <v>0</v>
      </c>
      <c r="M510" s="4">
        <v>0</v>
      </c>
      <c r="N510" s="4">
        <v>0</v>
      </c>
      <c r="O510" s="4">
        <v>0</v>
      </c>
    </row>
    <row r="511" spans="1:15" x14ac:dyDescent="0.15">
      <c r="A511" s="4">
        <v>508</v>
      </c>
      <c r="B511" s="4">
        <v>64</v>
      </c>
      <c r="C511" s="4">
        <v>40</v>
      </c>
      <c r="D511" s="4">
        <v>32</v>
      </c>
      <c r="E511" s="4">
        <v>3</v>
      </c>
      <c r="F511" s="8">
        <v>0.1</v>
      </c>
      <c r="G511" s="4">
        <v>3</v>
      </c>
      <c r="H511" s="4">
        <f t="shared" si="14"/>
        <v>0</v>
      </c>
      <c r="I511" s="4">
        <f t="shared" si="15"/>
        <v>0</v>
      </c>
      <c r="J511" s="4">
        <v>0</v>
      </c>
      <c r="K511" s="4">
        <v>0</v>
      </c>
      <c r="L511" s="4">
        <v>0</v>
      </c>
      <c r="M511" s="4">
        <v>1</v>
      </c>
      <c r="N511" s="4">
        <v>0</v>
      </c>
      <c r="O511" s="4">
        <v>0</v>
      </c>
    </row>
    <row r="512" spans="1:15" x14ac:dyDescent="0.15">
      <c r="A512" s="4">
        <v>509</v>
      </c>
      <c r="B512" s="4">
        <v>47</v>
      </c>
      <c r="C512" s="4">
        <v>22</v>
      </c>
      <c r="D512" s="4">
        <v>15</v>
      </c>
      <c r="E512" s="4">
        <v>2</v>
      </c>
      <c r="F512" s="8">
        <v>0.7</v>
      </c>
      <c r="G512" s="4">
        <v>3</v>
      </c>
      <c r="H512" s="4">
        <f t="shared" si="14"/>
        <v>0</v>
      </c>
      <c r="I512" s="4">
        <f t="shared" si="15"/>
        <v>0</v>
      </c>
      <c r="J512" s="4">
        <v>0</v>
      </c>
      <c r="K512" s="4">
        <v>0</v>
      </c>
      <c r="L512" s="4">
        <v>0</v>
      </c>
      <c r="M512" s="4">
        <v>0</v>
      </c>
      <c r="N512" s="4">
        <v>0</v>
      </c>
      <c r="O512" s="4">
        <v>0</v>
      </c>
    </row>
    <row r="513" spans="1:15" x14ac:dyDescent="0.15">
      <c r="A513" s="4">
        <v>510</v>
      </c>
      <c r="B513" s="4">
        <v>52</v>
      </c>
      <c r="C513" s="4">
        <v>28</v>
      </c>
      <c r="D513" s="4">
        <v>118</v>
      </c>
      <c r="E513" s="4">
        <v>2</v>
      </c>
      <c r="F513" s="8">
        <v>6.8</v>
      </c>
      <c r="G513" s="4">
        <v>1</v>
      </c>
      <c r="H513" s="4">
        <f t="shared" si="14"/>
        <v>1</v>
      </c>
      <c r="I513" s="4">
        <f t="shared" si="15"/>
        <v>0</v>
      </c>
      <c r="J513" s="4">
        <v>112</v>
      </c>
      <c r="K513" s="4">
        <v>0</v>
      </c>
      <c r="L513" s="4">
        <v>0</v>
      </c>
      <c r="M513" s="4">
        <v>1</v>
      </c>
      <c r="N513" s="4">
        <v>0</v>
      </c>
      <c r="O513" s="4">
        <v>0</v>
      </c>
    </row>
    <row r="514" spans="1:15" x14ac:dyDescent="0.15">
      <c r="A514" s="4">
        <v>511</v>
      </c>
      <c r="B514" s="4">
        <v>51</v>
      </c>
      <c r="C514" s="4">
        <v>26</v>
      </c>
      <c r="D514" s="4">
        <v>62</v>
      </c>
      <c r="E514" s="4">
        <v>1</v>
      </c>
      <c r="F514" s="8">
        <v>1.3</v>
      </c>
      <c r="G514" s="4">
        <v>2</v>
      </c>
      <c r="H514" s="4">
        <f t="shared" si="14"/>
        <v>0</v>
      </c>
      <c r="I514" s="4">
        <f t="shared" si="15"/>
        <v>1</v>
      </c>
      <c r="J514" s="4">
        <v>221</v>
      </c>
      <c r="K514" s="4">
        <v>0</v>
      </c>
      <c r="L514" s="4">
        <v>0</v>
      </c>
      <c r="M514" s="4">
        <v>1</v>
      </c>
      <c r="N514" s="4">
        <v>0</v>
      </c>
      <c r="O514" s="4">
        <v>0</v>
      </c>
    </row>
    <row r="515" spans="1:15" x14ac:dyDescent="0.15">
      <c r="A515" s="4">
        <v>512</v>
      </c>
      <c r="B515" s="4">
        <v>31</v>
      </c>
      <c r="C515" s="4">
        <v>5</v>
      </c>
      <c r="D515" s="4">
        <v>82</v>
      </c>
      <c r="E515" s="4">
        <v>4</v>
      </c>
      <c r="F515" s="8">
        <v>2.2000000000000002</v>
      </c>
      <c r="G515" s="4">
        <v>2</v>
      </c>
      <c r="H515" s="4">
        <f t="shared" si="14"/>
        <v>0</v>
      </c>
      <c r="I515" s="4">
        <f t="shared" si="15"/>
        <v>1</v>
      </c>
      <c r="J515" s="4">
        <v>0</v>
      </c>
      <c r="K515" s="4">
        <v>0</v>
      </c>
      <c r="L515" s="4">
        <v>0</v>
      </c>
      <c r="M515" s="4">
        <v>0</v>
      </c>
      <c r="N515" s="4">
        <v>0</v>
      </c>
      <c r="O515" s="4">
        <v>0</v>
      </c>
    </row>
    <row r="516" spans="1:15" x14ac:dyDescent="0.15">
      <c r="A516" s="4">
        <v>513</v>
      </c>
      <c r="B516" s="4">
        <v>39</v>
      </c>
      <c r="C516" s="4">
        <v>14</v>
      </c>
      <c r="D516" s="4">
        <v>54</v>
      </c>
      <c r="E516" s="4">
        <v>3</v>
      </c>
      <c r="F516" s="8">
        <v>3</v>
      </c>
      <c r="G516" s="4">
        <v>1</v>
      </c>
      <c r="H516" s="4">
        <f t="shared" si="14"/>
        <v>1</v>
      </c>
      <c r="I516" s="4">
        <f t="shared" si="15"/>
        <v>0</v>
      </c>
      <c r="J516" s="4">
        <v>108</v>
      </c>
      <c r="K516" s="4">
        <v>0</v>
      </c>
      <c r="L516" s="4">
        <v>0</v>
      </c>
      <c r="M516" s="4">
        <v>0</v>
      </c>
      <c r="N516" s="4">
        <v>1</v>
      </c>
      <c r="O516" s="4">
        <v>0</v>
      </c>
    </row>
    <row r="517" spans="1:15" x14ac:dyDescent="0.15">
      <c r="A517" s="4">
        <v>514</v>
      </c>
      <c r="B517" s="4">
        <v>30</v>
      </c>
      <c r="C517" s="4">
        <v>6</v>
      </c>
      <c r="D517" s="4">
        <v>48</v>
      </c>
      <c r="E517" s="4">
        <v>1</v>
      </c>
      <c r="F517" s="8">
        <v>2.1</v>
      </c>
      <c r="G517" s="4">
        <v>3</v>
      </c>
      <c r="H517" s="4">
        <f t="shared" ref="H517:H580" si="16">IF(G517=1,1,0)</f>
        <v>0</v>
      </c>
      <c r="I517" s="4">
        <f t="shared" ref="I517:I580" si="17">IF(G517=2,1,0)</f>
        <v>0</v>
      </c>
      <c r="J517" s="4">
        <v>0</v>
      </c>
      <c r="K517" s="4">
        <v>0</v>
      </c>
      <c r="L517" s="4">
        <v>0</v>
      </c>
      <c r="M517" s="4">
        <v>0</v>
      </c>
      <c r="N517" s="4">
        <v>0</v>
      </c>
      <c r="O517" s="4">
        <v>0</v>
      </c>
    </row>
    <row r="518" spans="1:15" x14ac:dyDescent="0.15">
      <c r="A518" s="4">
        <v>515</v>
      </c>
      <c r="B518" s="4">
        <v>27</v>
      </c>
      <c r="C518" s="4">
        <v>1</v>
      </c>
      <c r="D518" s="4">
        <v>74</v>
      </c>
      <c r="E518" s="4">
        <v>3</v>
      </c>
      <c r="F518" s="8">
        <v>0.3</v>
      </c>
      <c r="G518" s="4">
        <v>3</v>
      </c>
      <c r="H518" s="4">
        <f t="shared" si="16"/>
        <v>0</v>
      </c>
      <c r="I518" s="4">
        <f t="shared" si="17"/>
        <v>0</v>
      </c>
      <c r="J518" s="4">
        <v>0</v>
      </c>
      <c r="K518" s="4">
        <v>0</v>
      </c>
      <c r="L518" s="4">
        <v>0</v>
      </c>
      <c r="M518" s="4">
        <v>1</v>
      </c>
      <c r="N518" s="4">
        <v>0</v>
      </c>
      <c r="O518" s="4">
        <v>0</v>
      </c>
    </row>
    <row r="519" spans="1:15" x14ac:dyDescent="0.15">
      <c r="A519" s="4">
        <v>516</v>
      </c>
      <c r="B519" s="4">
        <v>41</v>
      </c>
      <c r="C519" s="4">
        <v>16</v>
      </c>
      <c r="D519" s="4">
        <v>113</v>
      </c>
      <c r="E519" s="4">
        <v>1</v>
      </c>
      <c r="F519" s="8">
        <v>1</v>
      </c>
      <c r="G519" s="4">
        <v>3</v>
      </c>
      <c r="H519" s="4">
        <f t="shared" si="16"/>
        <v>0</v>
      </c>
      <c r="I519" s="4">
        <f t="shared" si="17"/>
        <v>0</v>
      </c>
      <c r="J519" s="4">
        <v>211</v>
      </c>
      <c r="K519" s="4">
        <v>0</v>
      </c>
      <c r="L519" s="4">
        <v>0</v>
      </c>
      <c r="M519" s="4">
        <v>0</v>
      </c>
      <c r="N519" s="4">
        <v>1</v>
      </c>
      <c r="O519" s="4">
        <v>0</v>
      </c>
    </row>
    <row r="520" spans="1:15" x14ac:dyDescent="0.15">
      <c r="A520" s="4">
        <v>517</v>
      </c>
      <c r="B520" s="4">
        <v>53</v>
      </c>
      <c r="C520" s="4">
        <v>27</v>
      </c>
      <c r="D520" s="4">
        <v>81</v>
      </c>
      <c r="E520" s="4">
        <v>3</v>
      </c>
      <c r="F520" s="8">
        <v>1.7</v>
      </c>
      <c r="G520" s="4">
        <v>2</v>
      </c>
      <c r="H520" s="4">
        <f t="shared" si="16"/>
        <v>0</v>
      </c>
      <c r="I520" s="4">
        <f t="shared" si="17"/>
        <v>1</v>
      </c>
      <c r="J520" s="4">
        <v>0</v>
      </c>
      <c r="K520" s="4">
        <v>0</v>
      </c>
      <c r="L520" s="4">
        <v>0</v>
      </c>
      <c r="M520" s="4">
        <v>0</v>
      </c>
      <c r="N520" s="4">
        <v>0</v>
      </c>
      <c r="O520" s="4">
        <v>0</v>
      </c>
    </row>
    <row r="521" spans="1:15" x14ac:dyDescent="0.15">
      <c r="A521" s="4">
        <v>518</v>
      </c>
      <c r="B521" s="4">
        <v>54</v>
      </c>
      <c r="C521" s="4">
        <v>27</v>
      </c>
      <c r="D521" s="4">
        <v>43</v>
      </c>
      <c r="E521" s="4">
        <v>3</v>
      </c>
      <c r="F521" s="8">
        <v>1</v>
      </c>
      <c r="G521" s="4">
        <v>2</v>
      </c>
      <c r="H521" s="4">
        <f t="shared" si="16"/>
        <v>0</v>
      </c>
      <c r="I521" s="4">
        <f t="shared" si="17"/>
        <v>1</v>
      </c>
      <c r="J521" s="4">
        <v>169</v>
      </c>
      <c r="K521" s="4">
        <v>0</v>
      </c>
      <c r="L521" s="4">
        <v>0</v>
      </c>
      <c r="M521" s="4">
        <v>0</v>
      </c>
      <c r="N521" s="4">
        <v>0</v>
      </c>
      <c r="O521" s="4">
        <v>0</v>
      </c>
    </row>
    <row r="522" spans="1:15" x14ac:dyDescent="0.15">
      <c r="A522" s="4">
        <v>519</v>
      </c>
      <c r="B522" s="4">
        <v>28</v>
      </c>
      <c r="C522" s="4">
        <v>4</v>
      </c>
      <c r="D522" s="4">
        <v>34</v>
      </c>
      <c r="E522" s="4">
        <v>1</v>
      </c>
      <c r="F522" s="8">
        <v>1.8</v>
      </c>
      <c r="G522" s="4">
        <v>2</v>
      </c>
      <c r="H522" s="4">
        <f t="shared" si="16"/>
        <v>0</v>
      </c>
      <c r="I522" s="4">
        <f t="shared" si="17"/>
        <v>1</v>
      </c>
      <c r="J522" s="4">
        <v>0</v>
      </c>
      <c r="K522" s="4">
        <v>0</v>
      </c>
      <c r="L522" s="4">
        <v>0</v>
      </c>
      <c r="M522" s="4">
        <v>1</v>
      </c>
      <c r="N522" s="4">
        <v>0</v>
      </c>
      <c r="O522" s="4">
        <v>0</v>
      </c>
    </row>
    <row r="523" spans="1:15" x14ac:dyDescent="0.15">
      <c r="A523" s="4">
        <v>520</v>
      </c>
      <c r="B523" s="4">
        <v>34</v>
      </c>
      <c r="C523" s="4">
        <v>9</v>
      </c>
      <c r="D523" s="4">
        <v>48</v>
      </c>
      <c r="E523" s="4">
        <v>1</v>
      </c>
      <c r="F523" s="8">
        <v>2.5</v>
      </c>
      <c r="G523" s="4">
        <v>3</v>
      </c>
      <c r="H523" s="4">
        <f t="shared" si="16"/>
        <v>0</v>
      </c>
      <c r="I523" s="4">
        <f t="shared" si="17"/>
        <v>0</v>
      </c>
      <c r="J523" s="4">
        <v>105</v>
      </c>
      <c r="K523" s="4">
        <v>0</v>
      </c>
      <c r="L523" s="4">
        <v>0</v>
      </c>
      <c r="M523" s="4">
        <v>1</v>
      </c>
      <c r="N523" s="4">
        <v>0</v>
      </c>
      <c r="O523" s="4">
        <v>0</v>
      </c>
    </row>
    <row r="524" spans="1:15" x14ac:dyDescent="0.15">
      <c r="A524" s="4">
        <v>521</v>
      </c>
      <c r="B524" s="4">
        <v>61</v>
      </c>
      <c r="C524" s="4">
        <v>37</v>
      </c>
      <c r="D524" s="4">
        <v>54</v>
      </c>
      <c r="E524" s="4">
        <v>4</v>
      </c>
      <c r="F524" s="8">
        <v>1.2</v>
      </c>
      <c r="G524" s="4">
        <v>2</v>
      </c>
      <c r="H524" s="4">
        <f t="shared" si="16"/>
        <v>0</v>
      </c>
      <c r="I524" s="4">
        <f t="shared" si="17"/>
        <v>1</v>
      </c>
      <c r="J524" s="4">
        <v>129</v>
      </c>
      <c r="K524" s="4">
        <v>0</v>
      </c>
      <c r="L524" s="4">
        <v>0</v>
      </c>
      <c r="M524" s="4">
        <v>1</v>
      </c>
      <c r="N524" s="4">
        <v>1</v>
      </c>
      <c r="O524" s="4">
        <v>0</v>
      </c>
    </row>
    <row r="525" spans="1:15" x14ac:dyDescent="0.15">
      <c r="A525" s="4">
        <v>522</v>
      </c>
      <c r="B525" s="4">
        <v>48</v>
      </c>
      <c r="C525" s="4">
        <v>24</v>
      </c>
      <c r="D525" s="4">
        <v>75</v>
      </c>
      <c r="E525" s="4">
        <v>4</v>
      </c>
      <c r="F525" s="8">
        <v>1.4</v>
      </c>
      <c r="G525" s="4">
        <v>2</v>
      </c>
      <c r="H525" s="4">
        <f t="shared" si="16"/>
        <v>0</v>
      </c>
      <c r="I525" s="4">
        <f t="shared" si="17"/>
        <v>1</v>
      </c>
      <c r="J525" s="4">
        <v>0</v>
      </c>
      <c r="K525" s="4">
        <v>0</v>
      </c>
      <c r="L525" s="4">
        <v>0</v>
      </c>
      <c r="M525" s="4">
        <v>1</v>
      </c>
      <c r="N525" s="4">
        <v>0</v>
      </c>
      <c r="O525" s="4">
        <v>0</v>
      </c>
    </row>
    <row r="526" spans="1:15" x14ac:dyDescent="0.15">
      <c r="A526" s="4">
        <v>523</v>
      </c>
      <c r="B526" s="4">
        <v>36</v>
      </c>
      <c r="C526" s="4">
        <v>11</v>
      </c>
      <c r="D526" s="4">
        <v>72</v>
      </c>
      <c r="E526" s="4">
        <v>1</v>
      </c>
      <c r="F526" s="8">
        <v>2.8</v>
      </c>
      <c r="G526" s="4">
        <v>1</v>
      </c>
      <c r="H526" s="4">
        <f t="shared" si="16"/>
        <v>1</v>
      </c>
      <c r="I526" s="4">
        <f t="shared" si="17"/>
        <v>0</v>
      </c>
      <c r="J526" s="4">
        <v>224</v>
      </c>
      <c r="K526" s="4">
        <v>0</v>
      </c>
      <c r="L526" s="4">
        <v>0</v>
      </c>
      <c r="M526" s="4">
        <v>0</v>
      </c>
      <c r="N526" s="4">
        <v>0</v>
      </c>
      <c r="O526" s="4">
        <v>0</v>
      </c>
    </row>
    <row r="527" spans="1:15" x14ac:dyDescent="0.15">
      <c r="A527" s="4">
        <v>524</v>
      </c>
      <c r="B527" s="4">
        <v>56</v>
      </c>
      <c r="C527" s="4">
        <v>31</v>
      </c>
      <c r="D527" s="4">
        <v>39</v>
      </c>
      <c r="E527" s="4">
        <v>4</v>
      </c>
      <c r="F527" s="8">
        <v>0.9</v>
      </c>
      <c r="G527" s="4">
        <v>1</v>
      </c>
      <c r="H527" s="4">
        <f t="shared" si="16"/>
        <v>1</v>
      </c>
      <c r="I527" s="4">
        <f t="shared" si="17"/>
        <v>0</v>
      </c>
      <c r="J527" s="4">
        <v>0</v>
      </c>
      <c r="K527" s="4">
        <v>0</v>
      </c>
      <c r="L527" s="4">
        <v>0</v>
      </c>
      <c r="M527" s="4">
        <v>0</v>
      </c>
      <c r="N527" s="4">
        <v>0</v>
      </c>
      <c r="O527" s="4">
        <v>0</v>
      </c>
    </row>
    <row r="528" spans="1:15" x14ac:dyDescent="0.15">
      <c r="A528" s="4">
        <v>525</v>
      </c>
      <c r="B528" s="4">
        <v>24</v>
      </c>
      <c r="C528" s="4">
        <v>0</v>
      </c>
      <c r="D528" s="4">
        <v>75</v>
      </c>
      <c r="E528" s="4">
        <v>4</v>
      </c>
      <c r="F528" s="8">
        <v>0.2</v>
      </c>
      <c r="G528" s="4">
        <v>1</v>
      </c>
      <c r="H528" s="4">
        <f t="shared" si="16"/>
        <v>1</v>
      </c>
      <c r="I528" s="4">
        <f t="shared" si="17"/>
        <v>0</v>
      </c>
      <c r="J528" s="4">
        <v>0</v>
      </c>
      <c r="K528" s="4">
        <v>0</v>
      </c>
      <c r="L528" s="4">
        <v>0</v>
      </c>
      <c r="M528" s="4">
        <v>1</v>
      </c>
      <c r="N528" s="4">
        <v>0</v>
      </c>
      <c r="O528" s="4">
        <v>0</v>
      </c>
    </row>
    <row r="529" spans="1:15" x14ac:dyDescent="0.15">
      <c r="A529" s="4">
        <v>526</v>
      </c>
      <c r="B529" s="4">
        <v>64</v>
      </c>
      <c r="C529" s="4">
        <v>38</v>
      </c>
      <c r="D529" s="4">
        <v>79</v>
      </c>
      <c r="E529" s="4">
        <v>2</v>
      </c>
      <c r="F529" s="8">
        <v>2.8</v>
      </c>
      <c r="G529" s="4">
        <v>1</v>
      </c>
      <c r="H529" s="4">
        <f t="shared" si="16"/>
        <v>1</v>
      </c>
      <c r="I529" s="4">
        <f t="shared" si="17"/>
        <v>0</v>
      </c>
      <c r="J529" s="4">
        <v>179</v>
      </c>
      <c r="K529" s="4">
        <v>0</v>
      </c>
      <c r="L529" s="4">
        <v>0</v>
      </c>
      <c r="M529" s="4">
        <v>0</v>
      </c>
      <c r="N529" s="4">
        <v>0</v>
      </c>
      <c r="O529" s="4">
        <v>0</v>
      </c>
    </row>
    <row r="530" spans="1:15" x14ac:dyDescent="0.15">
      <c r="A530" s="4">
        <v>527</v>
      </c>
      <c r="B530" s="4">
        <v>26</v>
      </c>
      <c r="C530" s="4">
        <v>2</v>
      </c>
      <c r="D530" s="4">
        <v>205</v>
      </c>
      <c r="E530" s="4">
        <v>1</v>
      </c>
      <c r="F530" s="8">
        <v>6.333333333333333</v>
      </c>
      <c r="G530" s="4">
        <v>1</v>
      </c>
      <c r="H530" s="4">
        <f t="shared" si="16"/>
        <v>1</v>
      </c>
      <c r="I530" s="4">
        <f t="shared" si="17"/>
        <v>0</v>
      </c>
      <c r="J530" s="4">
        <v>271</v>
      </c>
      <c r="K530" s="4">
        <v>0</v>
      </c>
      <c r="L530" s="4">
        <v>0</v>
      </c>
      <c r="M530" s="4">
        <v>0</v>
      </c>
      <c r="N530" s="4">
        <v>1</v>
      </c>
      <c r="O530" s="4">
        <v>0</v>
      </c>
    </row>
    <row r="531" spans="1:15" x14ac:dyDescent="0.15">
      <c r="A531" s="4">
        <v>528</v>
      </c>
      <c r="B531" s="4">
        <v>33</v>
      </c>
      <c r="C531" s="4">
        <v>8</v>
      </c>
      <c r="D531" s="4">
        <v>65</v>
      </c>
      <c r="E531" s="4">
        <v>2</v>
      </c>
      <c r="F531" s="8">
        <v>0.1</v>
      </c>
      <c r="G531" s="4">
        <v>1</v>
      </c>
      <c r="H531" s="4">
        <f t="shared" si="16"/>
        <v>1</v>
      </c>
      <c r="I531" s="4">
        <f t="shared" si="17"/>
        <v>0</v>
      </c>
      <c r="J531" s="4">
        <v>89</v>
      </c>
      <c r="K531" s="4">
        <v>0</v>
      </c>
      <c r="L531" s="4">
        <v>0</v>
      </c>
      <c r="M531" s="4">
        <v>1</v>
      </c>
      <c r="N531" s="4">
        <v>0</v>
      </c>
      <c r="O531" s="4">
        <v>0</v>
      </c>
    </row>
    <row r="532" spans="1:15" x14ac:dyDescent="0.15">
      <c r="A532" s="4">
        <v>529</v>
      </c>
      <c r="B532" s="4">
        <v>64</v>
      </c>
      <c r="C532" s="4">
        <v>39</v>
      </c>
      <c r="D532" s="4">
        <v>122</v>
      </c>
      <c r="E532" s="4">
        <v>4</v>
      </c>
      <c r="F532" s="8">
        <v>0.2</v>
      </c>
      <c r="G532" s="4">
        <v>1</v>
      </c>
      <c r="H532" s="4">
        <f t="shared" si="16"/>
        <v>1</v>
      </c>
      <c r="I532" s="4">
        <f t="shared" si="17"/>
        <v>0</v>
      </c>
      <c r="J532" s="4">
        <v>378</v>
      </c>
      <c r="K532" s="4">
        <v>0</v>
      </c>
      <c r="L532" s="4">
        <v>0</v>
      </c>
      <c r="M532" s="4">
        <v>1</v>
      </c>
      <c r="N532" s="4">
        <v>0</v>
      </c>
      <c r="O532" s="4">
        <v>1</v>
      </c>
    </row>
    <row r="533" spans="1:15" x14ac:dyDescent="0.15">
      <c r="A533" s="4">
        <v>530</v>
      </c>
      <c r="B533" s="4">
        <v>39</v>
      </c>
      <c r="C533" s="4">
        <v>15</v>
      </c>
      <c r="D533" s="4">
        <v>82</v>
      </c>
      <c r="E533" s="4">
        <v>1</v>
      </c>
      <c r="F533" s="8">
        <v>0.8</v>
      </c>
      <c r="G533" s="4">
        <v>2</v>
      </c>
      <c r="H533" s="4">
        <f t="shared" si="16"/>
        <v>0</v>
      </c>
      <c r="I533" s="4">
        <f t="shared" si="17"/>
        <v>1</v>
      </c>
      <c r="J533" s="4">
        <v>0</v>
      </c>
      <c r="K533" s="4">
        <v>0</v>
      </c>
      <c r="L533" s="4">
        <v>0</v>
      </c>
      <c r="M533" s="4">
        <v>1</v>
      </c>
      <c r="N533" s="4">
        <v>0</v>
      </c>
      <c r="O533" s="4">
        <v>0</v>
      </c>
    </row>
    <row r="534" spans="1:15" x14ac:dyDescent="0.15">
      <c r="A534" s="4">
        <v>531</v>
      </c>
      <c r="B534" s="4">
        <v>54</v>
      </c>
      <c r="C534" s="4">
        <v>30</v>
      </c>
      <c r="D534" s="4">
        <v>21</v>
      </c>
      <c r="E534" s="4">
        <v>2</v>
      </c>
      <c r="F534" s="8">
        <v>0.2</v>
      </c>
      <c r="G534" s="4">
        <v>1</v>
      </c>
      <c r="H534" s="4">
        <f t="shared" si="16"/>
        <v>1</v>
      </c>
      <c r="I534" s="4">
        <f t="shared" si="17"/>
        <v>0</v>
      </c>
      <c r="J534" s="4">
        <v>0</v>
      </c>
      <c r="K534" s="4">
        <v>0</v>
      </c>
      <c r="L534" s="4">
        <v>0</v>
      </c>
      <c r="M534" s="4">
        <v>0</v>
      </c>
      <c r="N534" s="4">
        <v>1</v>
      </c>
      <c r="O534" s="4">
        <v>0</v>
      </c>
    </row>
    <row r="535" spans="1:15" x14ac:dyDescent="0.15">
      <c r="A535" s="4">
        <v>532</v>
      </c>
      <c r="B535" s="4">
        <v>32</v>
      </c>
      <c r="C535" s="4">
        <v>6</v>
      </c>
      <c r="D535" s="4">
        <v>50</v>
      </c>
      <c r="E535" s="4">
        <v>4</v>
      </c>
      <c r="F535" s="8">
        <v>2.1</v>
      </c>
      <c r="G535" s="4">
        <v>3</v>
      </c>
      <c r="H535" s="4">
        <f t="shared" si="16"/>
        <v>0</v>
      </c>
      <c r="I535" s="4">
        <f t="shared" si="17"/>
        <v>0</v>
      </c>
      <c r="J535" s="4">
        <v>0</v>
      </c>
      <c r="K535" s="4">
        <v>1</v>
      </c>
      <c r="L535" s="4">
        <v>1</v>
      </c>
      <c r="M535" s="4">
        <v>1</v>
      </c>
      <c r="N535" s="4">
        <v>1</v>
      </c>
      <c r="O535" s="4">
        <v>0</v>
      </c>
    </row>
    <row r="536" spans="1:15" x14ac:dyDescent="0.15">
      <c r="A536" s="4">
        <v>533</v>
      </c>
      <c r="B536" s="4">
        <v>62</v>
      </c>
      <c r="C536" s="4">
        <v>37</v>
      </c>
      <c r="D536" s="4">
        <v>39</v>
      </c>
      <c r="E536" s="4">
        <v>2</v>
      </c>
      <c r="F536" s="8">
        <v>2.8</v>
      </c>
      <c r="G536" s="4">
        <v>1</v>
      </c>
      <c r="H536" s="4">
        <f t="shared" si="16"/>
        <v>1</v>
      </c>
      <c r="I536" s="4">
        <f t="shared" si="17"/>
        <v>0</v>
      </c>
      <c r="J536" s="4">
        <v>113</v>
      </c>
      <c r="K536" s="4">
        <v>0</v>
      </c>
      <c r="L536" s="4">
        <v>1</v>
      </c>
      <c r="M536" s="4">
        <v>1</v>
      </c>
      <c r="N536" s="4">
        <v>1</v>
      </c>
      <c r="O536" s="4">
        <v>0</v>
      </c>
    </row>
    <row r="537" spans="1:15" x14ac:dyDescent="0.15">
      <c r="A537" s="4">
        <v>534</v>
      </c>
      <c r="B537" s="4">
        <v>27</v>
      </c>
      <c r="C537" s="4">
        <v>2</v>
      </c>
      <c r="D537" s="4">
        <v>101</v>
      </c>
      <c r="E537" s="4">
        <v>1</v>
      </c>
      <c r="F537" s="8">
        <v>1.9</v>
      </c>
      <c r="G537" s="4">
        <v>1</v>
      </c>
      <c r="H537" s="4">
        <f t="shared" si="16"/>
        <v>1</v>
      </c>
      <c r="I537" s="4">
        <f t="shared" si="17"/>
        <v>0</v>
      </c>
      <c r="J537" s="4">
        <v>0</v>
      </c>
      <c r="K537" s="4">
        <v>0</v>
      </c>
      <c r="L537" s="4">
        <v>0</v>
      </c>
      <c r="M537" s="4">
        <v>0</v>
      </c>
      <c r="N537" s="4">
        <v>0</v>
      </c>
      <c r="O537" s="4">
        <v>0</v>
      </c>
    </row>
    <row r="538" spans="1:15" x14ac:dyDescent="0.15">
      <c r="A538" s="4">
        <v>535</v>
      </c>
      <c r="B538" s="4">
        <v>53</v>
      </c>
      <c r="C538" s="4">
        <v>28</v>
      </c>
      <c r="D538" s="4">
        <v>41</v>
      </c>
      <c r="E538" s="4">
        <v>2</v>
      </c>
      <c r="F538" s="8">
        <v>0.6</v>
      </c>
      <c r="G538" s="4">
        <v>3</v>
      </c>
      <c r="H538" s="4">
        <f t="shared" si="16"/>
        <v>0</v>
      </c>
      <c r="I538" s="4">
        <f t="shared" si="17"/>
        <v>0</v>
      </c>
      <c r="J538" s="4">
        <v>0</v>
      </c>
      <c r="K538" s="4">
        <v>1</v>
      </c>
      <c r="L538" s="4">
        <v>0</v>
      </c>
      <c r="M538" s="4">
        <v>0</v>
      </c>
      <c r="N538" s="4">
        <v>0</v>
      </c>
      <c r="O538" s="4">
        <v>0</v>
      </c>
    </row>
    <row r="539" spans="1:15" x14ac:dyDescent="0.15">
      <c r="A539" s="4">
        <v>536</v>
      </c>
      <c r="B539" s="4">
        <v>51</v>
      </c>
      <c r="C539" s="4">
        <v>25</v>
      </c>
      <c r="D539" s="4">
        <v>132</v>
      </c>
      <c r="E539" s="4">
        <v>1</v>
      </c>
      <c r="F539" s="8">
        <v>0.3</v>
      </c>
      <c r="G539" s="4">
        <v>1</v>
      </c>
      <c r="H539" s="4">
        <f t="shared" si="16"/>
        <v>1</v>
      </c>
      <c r="I539" s="4">
        <f t="shared" si="17"/>
        <v>0</v>
      </c>
      <c r="J539" s="4">
        <v>0</v>
      </c>
      <c r="K539" s="4">
        <v>0</v>
      </c>
      <c r="L539" s="4">
        <v>0</v>
      </c>
      <c r="M539" s="4">
        <v>1</v>
      </c>
      <c r="N539" s="4">
        <v>0</v>
      </c>
      <c r="O539" s="4">
        <v>0</v>
      </c>
    </row>
    <row r="540" spans="1:15" x14ac:dyDescent="0.15">
      <c r="A540" s="4">
        <v>537</v>
      </c>
      <c r="B540" s="4">
        <v>25</v>
      </c>
      <c r="C540" s="4">
        <v>0</v>
      </c>
      <c r="D540" s="4">
        <v>43</v>
      </c>
      <c r="E540" s="4">
        <v>3</v>
      </c>
      <c r="F540" s="8">
        <v>2.4</v>
      </c>
      <c r="G540" s="4">
        <v>2</v>
      </c>
      <c r="H540" s="4">
        <f t="shared" si="16"/>
        <v>0</v>
      </c>
      <c r="I540" s="4">
        <f t="shared" si="17"/>
        <v>1</v>
      </c>
      <c r="J540" s="4">
        <v>176</v>
      </c>
      <c r="K540" s="4">
        <v>0</v>
      </c>
      <c r="L540" s="4">
        <v>0</v>
      </c>
      <c r="M540" s="4">
        <v>1</v>
      </c>
      <c r="N540" s="4">
        <v>0</v>
      </c>
      <c r="O540" s="4">
        <v>0</v>
      </c>
    </row>
    <row r="541" spans="1:15" x14ac:dyDescent="0.15">
      <c r="A541" s="4">
        <v>538</v>
      </c>
      <c r="B541" s="4">
        <v>44</v>
      </c>
      <c r="C541" s="4">
        <v>20</v>
      </c>
      <c r="D541" s="4">
        <v>131</v>
      </c>
      <c r="E541" s="4">
        <v>1</v>
      </c>
      <c r="F541" s="8">
        <v>4.9000000000000004</v>
      </c>
      <c r="G541" s="4">
        <v>3</v>
      </c>
      <c r="H541" s="4">
        <f t="shared" si="16"/>
        <v>0</v>
      </c>
      <c r="I541" s="4">
        <f t="shared" si="17"/>
        <v>0</v>
      </c>
      <c r="J541" s="4">
        <v>0</v>
      </c>
      <c r="K541" s="4">
        <v>0</v>
      </c>
      <c r="L541" s="4">
        <v>0</v>
      </c>
      <c r="M541" s="4">
        <v>1</v>
      </c>
      <c r="N541" s="4">
        <v>0</v>
      </c>
      <c r="O541" s="4">
        <v>1</v>
      </c>
    </row>
    <row r="542" spans="1:15" x14ac:dyDescent="0.15">
      <c r="A542" s="4">
        <v>539</v>
      </c>
      <c r="B542" s="4">
        <v>31</v>
      </c>
      <c r="C542" s="4">
        <v>5</v>
      </c>
      <c r="D542" s="4">
        <v>11</v>
      </c>
      <c r="E542" s="4">
        <v>1</v>
      </c>
      <c r="F542" s="8">
        <v>0.4</v>
      </c>
      <c r="G542" s="4">
        <v>2</v>
      </c>
      <c r="H542" s="4">
        <f t="shared" si="16"/>
        <v>0</v>
      </c>
      <c r="I542" s="4">
        <f t="shared" si="17"/>
        <v>1</v>
      </c>
      <c r="J542" s="4">
        <v>76</v>
      </c>
      <c r="K542" s="4">
        <v>0</v>
      </c>
      <c r="L542" s="4">
        <v>0</v>
      </c>
      <c r="M542" s="4">
        <v>0</v>
      </c>
      <c r="N542" s="4">
        <v>1</v>
      </c>
      <c r="O542" s="4">
        <v>0</v>
      </c>
    </row>
    <row r="543" spans="1:15" x14ac:dyDescent="0.15">
      <c r="A543" s="4">
        <v>540</v>
      </c>
      <c r="B543" s="4">
        <v>57</v>
      </c>
      <c r="C543" s="4">
        <v>32</v>
      </c>
      <c r="D543" s="4">
        <v>21</v>
      </c>
      <c r="E543" s="4">
        <v>1</v>
      </c>
      <c r="F543" s="8">
        <v>0.3</v>
      </c>
      <c r="G543" s="4">
        <v>3</v>
      </c>
      <c r="H543" s="4">
        <f t="shared" si="16"/>
        <v>0</v>
      </c>
      <c r="I543" s="4">
        <f t="shared" si="17"/>
        <v>0</v>
      </c>
      <c r="J543" s="4">
        <v>117</v>
      </c>
      <c r="K543" s="4">
        <v>0</v>
      </c>
      <c r="L543" s="4">
        <v>0</v>
      </c>
      <c r="M543" s="4">
        <v>0</v>
      </c>
      <c r="N543" s="4">
        <v>0</v>
      </c>
      <c r="O543" s="4">
        <v>0</v>
      </c>
    </row>
    <row r="544" spans="1:15" x14ac:dyDescent="0.15">
      <c r="A544" s="4">
        <v>541</v>
      </c>
      <c r="B544" s="4">
        <v>25</v>
      </c>
      <c r="C544" s="4">
        <v>0</v>
      </c>
      <c r="D544" s="4">
        <v>109</v>
      </c>
      <c r="E544" s="4">
        <v>4</v>
      </c>
      <c r="F544" s="8">
        <v>2.2999999999999998</v>
      </c>
      <c r="G544" s="4">
        <v>3</v>
      </c>
      <c r="H544" s="4">
        <f t="shared" si="16"/>
        <v>0</v>
      </c>
      <c r="I544" s="4">
        <f t="shared" si="17"/>
        <v>0</v>
      </c>
      <c r="J544" s="4">
        <v>314</v>
      </c>
      <c r="K544" s="4">
        <v>0</v>
      </c>
      <c r="L544" s="4">
        <v>0</v>
      </c>
      <c r="M544" s="4">
        <v>1</v>
      </c>
      <c r="N544" s="4">
        <v>0</v>
      </c>
      <c r="O544" s="4">
        <v>0</v>
      </c>
    </row>
    <row r="545" spans="1:15" x14ac:dyDescent="0.15">
      <c r="A545" s="4">
        <v>542</v>
      </c>
      <c r="B545" s="4">
        <v>30</v>
      </c>
      <c r="C545" s="4">
        <v>6</v>
      </c>
      <c r="D545" s="4">
        <v>141</v>
      </c>
      <c r="E545" s="4">
        <v>2</v>
      </c>
      <c r="F545" s="8">
        <v>4.333333333333333</v>
      </c>
      <c r="G545" s="4">
        <v>1</v>
      </c>
      <c r="H545" s="4">
        <f t="shared" si="16"/>
        <v>1</v>
      </c>
      <c r="I545" s="4">
        <f t="shared" si="17"/>
        <v>0</v>
      </c>
      <c r="J545" s="4">
        <v>0</v>
      </c>
      <c r="K545" s="4">
        <v>0</v>
      </c>
      <c r="L545" s="4">
        <v>0</v>
      </c>
      <c r="M545" s="4">
        <v>0</v>
      </c>
      <c r="N545" s="4">
        <v>0</v>
      </c>
      <c r="O545" s="4">
        <v>0</v>
      </c>
    </row>
    <row r="546" spans="1:15" x14ac:dyDescent="0.15">
      <c r="A546" s="4">
        <v>543</v>
      </c>
      <c r="B546" s="4">
        <v>40</v>
      </c>
      <c r="C546" s="4">
        <v>14</v>
      </c>
      <c r="D546" s="4">
        <v>81</v>
      </c>
      <c r="E546" s="4">
        <v>3</v>
      </c>
      <c r="F546" s="8">
        <v>0.1</v>
      </c>
      <c r="G546" s="4">
        <v>1</v>
      </c>
      <c r="H546" s="4">
        <f t="shared" si="16"/>
        <v>1</v>
      </c>
      <c r="I546" s="4">
        <f t="shared" si="17"/>
        <v>0</v>
      </c>
      <c r="J546" s="4">
        <v>0</v>
      </c>
      <c r="K546" s="4">
        <v>0</v>
      </c>
      <c r="L546" s="4">
        <v>0</v>
      </c>
      <c r="M546" s="4">
        <v>1</v>
      </c>
      <c r="N546" s="4">
        <v>0</v>
      </c>
      <c r="O546" s="4">
        <v>0</v>
      </c>
    </row>
    <row r="547" spans="1:15" x14ac:dyDescent="0.15">
      <c r="A547" s="4">
        <v>544</v>
      </c>
      <c r="B547" s="4">
        <v>63</v>
      </c>
      <c r="C547" s="4">
        <v>38</v>
      </c>
      <c r="D547" s="4">
        <v>54</v>
      </c>
      <c r="E547" s="4">
        <v>3</v>
      </c>
      <c r="F547" s="8">
        <v>2.4</v>
      </c>
      <c r="G547" s="4">
        <v>1</v>
      </c>
      <c r="H547" s="4">
        <f t="shared" si="16"/>
        <v>1</v>
      </c>
      <c r="I547" s="4">
        <f t="shared" si="17"/>
        <v>0</v>
      </c>
      <c r="J547" s="4">
        <v>90</v>
      </c>
      <c r="K547" s="4">
        <v>0</v>
      </c>
      <c r="L547" s="4">
        <v>0</v>
      </c>
      <c r="M547" s="4">
        <v>0</v>
      </c>
      <c r="N547" s="4">
        <v>1</v>
      </c>
      <c r="O547" s="4">
        <v>0</v>
      </c>
    </row>
    <row r="548" spans="1:15" x14ac:dyDescent="0.15">
      <c r="A548" s="4">
        <v>545</v>
      </c>
      <c r="B548" s="4">
        <v>35</v>
      </c>
      <c r="C548" s="4">
        <v>10</v>
      </c>
      <c r="D548" s="4">
        <v>164</v>
      </c>
      <c r="E548" s="4">
        <v>2</v>
      </c>
      <c r="F548" s="8">
        <v>7.8</v>
      </c>
      <c r="G548" s="4">
        <v>1</v>
      </c>
      <c r="H548" s="4">
        <f t="shared" si="16"/>
        <v>1</v>
      </c>
      <c r="I548" s="4">
        <f t="shared" si="17"/>
        <v>0</v>
      </c>
      <c r="J548" s="4">
        <v>0</v>
      </c>
      <c r="K548" s="4">
        <v>0</v>
      </c>
      <c r="L548" s="4">
        <v>0</v>
      </c>
      <c r="M548" s="4">
        <v>1</v>
      </c>
      <c r="N548" s="4">
        <v>0</v>
      </c>
      <c r="O548" s="4">
        <v>0</v>
      </c>
    </row>
    <row r="549" spans="1:15" x14ac:dyDescent="0.15">
      <c r="A549" s="4">
        <v>546</v>
      </c>
      <c r="B549" s="4">
        <v>43</v>
      </c>
      <c r="C549" s="4">
        <v>19</v>
      </c>
      <c r="D549" s="4">
        <v>28</v>
      </c>
      <c r="E549" s="4">
        <v>4</v>
      </c>
      <c r="F549" s="8">
        <v>0.3</v>
      </c>
      <c r="G549" s="4">
        <v>1</v>
      </c>
      <c r="H549" s="4">
        <f t="shared" si="16"/>
        <v>1</v>
      </c>
      <c r="I549" s="4">
        <f t="shared" si="17"/>
        <v>0</v>
      </c>
      <c r="J549" s="4">
        <v>87</v>
      </c>
      <c r="K549" s="4">
        <v>0</v>
      </c>
      <c r="L549" s="4">
        <v>0</v>
      </c>
      <c r="M549" s="4">
        <v>0</v>
      </c>
      <c r="N549" s="4">
        <v>0</v>
      </c>
      <c r="O549" s="4">
        <v>0</v>
      </c>
    </row>
    <row r="550" spans="1:15" x14ac:dyDescent="0.15">
      <c r="A550" s="4">
        <v>547</v>
      </c>
      <c r="B550" s="4">
        <v>27</v>
      </c>
      <c r="C550" s="4">
        <v>2</v>
      </c>
      <c r="D550" s="4">
        <v>68</v>
      </c>
      <c r="E550" s="4">
        <v>3</v>
      </c>
      <c r="F550" s="8">
        <v>2.6</v>
      </c>
      <c r="G550" s="4">
        <v>3</v>
      </c>
      <c r="H550" s="4">
        <f t="shared" si="16"/>
        <v>0</v>
      </c>
      <c r="I550" s="4">
        <f t="shared" si="17"/>
        <v>0</v>
      </c>
      <c r="J550" s="4">
        <v>203</v>
      </c>
      <c r="K550" s="4">
        <v>1</v>
      </c>
      <c r="L550" s="4">
        <v>0</v>
      </c>
      <c r="M550" s="4">
        <v>0</v>
      </c>
      <c r="N550" s="4">
        <v>0</v>
      </c>
      <c r="O550" s="4">
        <v>0</v>
      </c>
    </row>
    <row r="551" spans="1:15" x14ac:dyDescent="0.15">
      <c r="A551" s="4">
        <v>548</v>
      </c>
      <c r="B551" s="4">
        <v>44</v>
      </c>
      <c r="C551" s="4">
        <v>14</v>
      </c>
      <c r="D551" s="4">
        <v>44</v>
      </c>
      <c r="E551" s="4">
        <v>3</v>
      </c>
      <c r="F551" s="8">
        <v>2</v>
      </c>
      <c r="G551" s="4">
        <v>3</v>
      </c>
      <c r="H551" s="4">
        <f t="shared" si="16"/>
        <v>0</v>
      </c>
      <c r="I551" s="4">
        <f t="shared" si="17"/>
        <v>0</v>
      </c>
      <c r="J551" s="4">
        <v>180</v>
      </c>
      <c r="K551" s="4">
        <v>1</v>
      </c>
      <c r="L551" s="4">
        <v>1</v>
      </c>
      <c r="M551" s="4">
        <v>1</v>
      </c>
      <c r="N551" s="4">
        <v>1</v>
      </c>
      <c r="O551" s="4">
        <v>0</v>
      </c>
    </row>
    <row r="552" spans="1:15" x14ac:dyDescent="0.15">
      <c r="A552" s="4">
        <v>549</v>
      </c>
      <c r="B552" s="4">
        <v>49</v>
      </c>
      <c r="C552" s="4">
        <v>23</v>
      </c>
      <c r="D552" s="4">
        <v>61</v>
      </c>
      <c r="E552" s="4">
        <v>1</v>
      </c>
      <c r="F552" s="8">
        <v>1.4</v>
      </c>
      <c r="G552" s="4">
        <v>3</v>
      </c>
      <c r="H552" s="4">
        <f t="shared" si="16"/>
        <v>0</v>
      </c>
      <c r="I552" s="4">
        <f t="shared" si="17"/>
        <v>0</v>
      </c>
      <c r="J552" s="4">
        <v>0</v>
      </c>
      <c r="K552" s="4">
        <v>0</v>
      </c>
      <c r="L552" s="4">
        <v>0</v>
      </c>
      <c r="M552" s="4">
        <v>1</v>
      </c>
      <c r="N552" s="4">
        <v>1</v>
      </c>
      <c r="O552" s="4">
        <v>0</v>
      </c>
    </row>
    <row r="553" spans="1:15" x14ac:dyDescent="0.15">
      <c r="A553" s="4">
        <v>550</v>
      </c>
      <c r="B553" s="4">
        <v>61</v>
      </c>
      <c r="C553" s="4">
        <v>36</v>
      </c>
      <c r="D553" s="4">
        <v>35</v>
      </c>
      <c r="E553" s="4">
        <v>3</v>
      </c>
      <c r="F553" s="8">
        <v>1.3</v>
      </c>
      <c r="G553" s="4">
        <v>2</v>
      </c>
      <c r="H553" s="4">
        <f t="shared" si="16"/>
        <v>0</v>
      </c>
      <c r="I553" s="4">
        <f t="shared" si="17"/>
        <v>1</v>
      </c>
      <c r="J553" s="4">
        <v>0</v>
      </c>
      <c r="K553" s="4">
        <v>0</v>
      </c>
      <c r="L553" s="4">
        <v>0</v>
      </c>
      <c r="M553" s="4">
        <v>0</v>
      </c>
      <c r="N553" s="4">
        <v>1</v>
      </c>
      <c r="O553" s="4">
        <v>0</v>
      </c>
    </row>
    <row r="554" spans="1:15" x14ac:dyDescent="0.15">
      <c r="A554" s="4">
        <v>551</v>
      </c>
      <c r="B554" s="4">
        <v>60</v>
      </c>
      <c r="C554" s="4">
        <v>34</v>
      </c>
      <c r="D554" s="4">
        <v>54</v>
      </c>
      <c r="E554" s="4">
        <v>3</v>
      </c>
      <c r="F554" s="8">
        <v>0.3</v>
      </c>
      <c r="G554" s="4">
        <v>2</v>
      </c>
      <c r="H554" s="4">
        <f t="shared" si="16"/>
        <v>0</v>
      </c>
      <c r="I554" s="4">
        <f t="shared" si="17"/>
        <v>1</v>
      </c>
      <c r="J554" s="4">
        <v>0</v>
      </c>
      <c r="K554" s="4">
        <v>0</v>
      </c>
      <c r="L554" s="4">
        <v>0</v>
      </c>
      <c r="M554" s="4">
        <v>1</v>
      </c>
      <c r="N554" s="4">
        <v>1</v>
      </c>
      <c r="O554" s="4">
        <v>0</v>
      </c>
    </row>
    <row r="555" spans="1:15" x14ac:dyDescent="0.15">
      <c r="A555" s="4">
        <v>552</v>
      </c>
      <c r="B555" s="4">
        <v>59</v>
      </c>
      <c r="C555" s="4">
        <v>34</v>
      </c>
      <c r="D555" s="4">
        <v>14</v>
      </c>
      <c r="E555" s="4">
        <v>1</v>
      </c>
      <c r="F555" s="8">
        <v>0.1</v>
      </c>
      <c r="G555" s="4">
        <v>1</v>
      </c>
      <c r="H555" s="4">
        <f t="shared" si="16"/>
        <v>1</v>
      </c>
      <c r="I555" s="4">
        <f t="shared" si="17"/>
        <v>0</v>
      </c>
      <c r="J555" s="4">
        <v>0</v>
      </c>
      <c r="K555" s="4">
        <v>0</v>
      </c>
      <c r="L555" s="4">
        <v>0</v>
      </c>
      <c r="M555" s="4">
        <v>1</v>
      </c>
      <c r="N555" s="4">
        <v>1</v>
      </c>
      <c r="O555" s="4">
        <v>0</v>
      </c>
    </row>
    <row r="556" spans="1:15" x14ac:dyDescent="0.15">
      <c r="A556" s="4">
        <v>553</v>
      </c>
      <c r="B556" s="4">
        <v>28</v>
      </c>
      <c r="C556" s="4">
        <v>3</v>
      </c>
      <c r="D556" s="4">
        <v>52</v>
      </c>
      <c r="E556" s="4">
        <v>4</v>
      </c>
      <c r="F556" s="8">
        <v>2.2000000000000002</v>
      </c>
      <c r="G556" s="4">
        <v>1</v>
      </c>
      <c r="H556" s="4">
        <f t="shared" si="16"/>
        <v>1</v>
      </c>
      <c r="I556" s="4">
        <f t="shared" si="17"/>
        <v>0</v>
      </c>
      <c r="J556" s="4">
        <v>230</v>
      </c>
      <c r="K556" s="4">
        <v>0</v>
      </c>
      <c r="L556" s="4">
        <v>0</v>
      </c>
      <c r="M556" s="4">
        <v>1</v>
      </c>
      <c r="N556" s="4">
        <v>0</v>
      </c>
      <c r="O556" s="4">
        <v>0</v>
      </c>
    </row>
    <row r="557" spans="1:15" x14ac:dyDescent="0.15">
      <c r="A557" s="4">
        <v>554</v>
      </c>
      <c r="B557" s="4">
        <v>52</v>
      </c>
      <c r="C557" s="4">
        <v>28</v>
      </c>
      <c r="D557" s="4">
        <v>101</v>
      </c>
      <c r="E557" s="4">
        <v>2</v>
      </c>
      <c r="F557" s="8">
        <v>0.3</v>
      </c>
      <c r="G557" s="4">
        <v>1</v>
      </c>
      <c r="H557" s="4">
        <f t="shared" si="16"/>
        <v>1</v>
      </c>
      <c r="I557" s="4">
        <f t="shared" si="17"/>
        <v>0</v>
      </c>
      <c r="J557" s="4">
        <v>0</v>
      </c>
      <c r="K557" s="4">
        <v>0</v>
      </c>
      <c r="L557" s="4">
        <v>0</v>
      </c>
      <c r="M557" s="4">
        <v>0</v>
      </c>
      <c r="N557" s="4">
        <v>0</v>
      </c>
      <c r="O557" s="4">
        <v>0</v>
      </c>
    </row>
    <row r="558" spans="1:15" x14ac:dyDescent="0.15">
      <c r="A558" s="4">
        <v>555</v>
      </c>
      <c r="B558" s="4">
        <v>28</v>
      </c>
      <c r="C558" s="4">
        <v>2</v>
      </c>
      <c r="D558" s="4">
        <v>149</v>
      </c>
      <c r="E558" s="4">
        <v>2</v>
      </c>
      <c r="F558" s="8">
        <v>7.2</v>
      </c>
      <c r="G558" s="4">
        <v>1</v>
      </c>
      <c r="H558" s="4">
        <f t="shared" si="16"/>
        <v>1</v>
      </c>
      <c r="I558" s="4">
        <f t="shared" si="17"/>
        <v>0</v>
      </c>
      <c r="J558" s="4">
        <v>0</v>
      </c>
      <c r="K558" s="4">
        <v>0</v>
      </c>
      <c r="L558" s="4">
        <v>0</v>
      </c>
      <c r="M558" s="4">
        <v>1</v>
      </c>
      <c r="N558" s="4">
        <v>0</v>
      </c>
      <c r="O558" s="4">
        <v>0</v>
      </c>
    </row>
    <row r="559" spans="1:15" x14ac:dyDescent="0.15">
      <c r="A559" s="4">
        <v>556</v>
      </c>
      <c r="B559" s="4">
        <v>34</v>
      </c>
      <c r="C559" s="4">
        <v>8</v>
      </c>
      <c r="D559" s="4">
        <v>35</v>
      </c>
      <c r="E559" s="4">
        <v>4</v>
      </c>
      <c r="F559" s="8">
        <v>0.8</v>
      </c>
      <c r="G559" s="4">
        <v>1</v>
      </c>
      <c r="H559" s="4">
        <f t="shared" si="16"/>
        <v>1</v>
      </c>
      <c r="I559" s="4">
        <f t="shared" si="17"/>
        <v>0</v>
      </c>
      <c r="J559" s="4">
        <v>137</v>
      </c>
      <c r="K559" s="4">
        <v>0</v>
      </c>
      <c r="L559" s="4">
        <v>1</v>
      </c>
      <c r="M559" s="4">
        <v>1</v>
      </c>
      <c r="N559" s="4">
        <v>1</v>
      </c>
      <c r="O559" s="4">
        <v>0</v>
      </c>
    </row>
    <row r="560" spans="1:15" x14ac:dyDescent="0.15">
      <c r="A560" s="4">
        <v>557</v>
      </c>
      <c r="B560" s="4">
        <v>60</v>
      </c>
      <c r="C560" s="4">
        <v>34</v>
      </c>
      <c r="D560" s="4">
        <v>21</v>
      </c>
      <c r="E560" s="4">
        <v>3</v>
      </c>
      <c r="F560" s="8">
        <v>0.3</v>
      </c>
      <c r="G560" s="4">
        <v>3</v>
      </c>
      <c r="H560" s="4">
        <f t="shared" si="16"/>
        <v>0</v>
      </c>
      <c r="I560" s="4">
        <f t="shared" si="17"/>
        <v>0</v>
      </c>
      <c r="J560" s="4">
        <v>129</v>
      </c>
      <c r="K560" s="4">
        <v>0</v>
      </c>
      <c r="L560" s="4">
        <v>0</v>
      </c>
      <c r="M560" s="4">
        <v>1</v>
      </c>
      <c r="N560" s="4">
        <v>0</v>
      </c>
      <c r="O560" s="4">
        <v>0</v>
      </c>
    </row>
    <row r="561" spans="1:15" x14ac:dyDescent="0.15">
      <c r="A561" s="4">
        <v>558</v>
      </c>
      <c r="B561" s="4">
        <v>39</v>
      </c>
      <c r="C561" s="4">
        <v>15</v>
      </c>
      <c r="D561" s="4">
        <v>118</v>
      </c>
      <c r="E561" s="4">
        <v>2</v>
      </c>
      <c r="F561" s="8">
        <v>1.9</v>
      </c>
      <c r="G561" s="4">
        <v>1</v>
      </c>
      <c r="H561" s="4">
        <f t="shared" si="16"/>
        <v>1</v>
      </c>
      <c r="I561" s="4">
        <f t="shared" si="17"/>
        <v>0</v>
      </c>
      <c r="J561" s="4">
        <v>0</v>
      </c>
      <c r="K561" s="4">
        <v>0</v>
      </c>
      <c r="L561" s="4">
        <v>0</v>
      </c>
      <c r="M561" s="4">
        <v>0</v>
      </c>
      <c r="N561" s="4">
        <v>1</v>
      </c>
      <c r="O561" s="4">
        <v>0</v>
      </c>
    </row>
    <row r="562" spans="1:15" x14ac:dyDescent="0.15">
      <c r="A562" s="4">
        <v>559</v>
      </c>
      <c r="B562" s="4">
        <v>30</v>
      </c>
      <c r="C562" s="4">
        <v>5</v>
      </c>
      <c r="D562" s="4">
        <v>38</v>
      </c>
      <c r="E562" s="4">
        <v>4</v>
      </c>
      <c r="F562" s="8">
        <v>2</v>
      </c>
      <c r="G562" s="4">
        <v>2</v>
      </c>
      <c r="H562" s="4">
        <f t="shared" si="16"/>
        <v>0</v>
      </c>
      <c r="I562" s="4">
        <f t="shared" si="17"/>
        <v>1</v>
      </c>
      <c r="J562" s="4">
        <v>0</v>
      </c>
      <c r="K562" s="4">
        <v>1</v>
      </c>
      <c r="L562" s="4">
        <v>0</v>
      </c>
      <c r="M562" s="4">
        <v>0</v>
      </c>
      <c r="N562" s="4">
        <v>0</v>
      </c>
      <c r="O562" s="4">
        <v>0</v>
      </c>
    </row>
    <row r="563" spans="1:15" x14ac:dyDescent="0.15">
      <c r="A563" s="4">
        <v>560</v>
      </c>
      <c r="B563" s="4">
        <v>49</v>
      </c>
      <c r="C563" s="4">
        <v>25</v>
      </c>
      <c r="D563" s="4">
        <v>24</v>
      </c>
      <c r="E563" s="4">
        <v>4</v>
      </c>
      <c r="F563" s="8">
        <v>0.2</v>
      </c>
      <c r="G563" s="4">
        <v>1</v>
      </c>
      <c r="H563" s="4">
        <f t="shared" si="16"/>
        <v>1</v>
      </c>
      <c r="I563" s="4">
        <f t="shared" si="17"/>
        <v>0</v>
      </c>
      <c r="J563" s="4">
        <v>138</v>
      </c>
      <c r="K563" s="4">
        <v>0</v>
      </c>
      <c r="L563" s="4">
        <v>0</v>
      </c>
      <c r="M563" s="4">
        <v>1</v>
      </c>
      <c r="N563" s="4">
        <v>0</v>
      </c>
      <c r="O563" s="4">
        <v>0</v>
      </c>
    </row>
    <row r="564" spans="1:15" x14ac:dyDescent="0.15">
      <c r="A564" s="4">
        <v>561</v>
      </c>
      <c r="B564" s="4">
        <v>43</v>
      </c>
      <c r="C564" s="4">
        <v>18</v>
      </c>
      <c r="D564" s="4">
        <v>59</v>
      </c>
      <c r="E564" s="4">
        <v>1</v>
      </c>
      <c r="F564" s="8">
        <v>3.7</v>
      </c>
      <c r="G564" s="4">
        <v>3</v>
      </c>
      <c r="H564" s="4">
        <f t="shared" si="16"/>
        <v>0</v>
      </c>
      <c r="I564" s="4">
        <f t="shared" si="17"/>
        <v>0</v>
      </c>
      <c r="J564" s="4">
        <v>0</v>
      </c>
      <c r="K564" s="4">
        <v>0</v>
      </c>
      <c r="L564" s="4">
        <v>0</v>
      </c>
      <c r="M564" s="4">
        <v>1</v>
      </c>
      <c r="N564" s="4">
        <v>0</v>
      </c>
      <c r="O564" s="4">
        <v>0</v>
      </c>
    </row>
    <row r="565" spans="1:15" x14ac:dyDescent="0.15">
      <c r="A565" s="4">
        <v>562</v>
      </c>
      <c r="B565" s="4">
        <v>63</v>
      </c>
      <c r="C565" s="4">
        <v>33</v>
      </c>
      <c r="D565" s="4">
        <v>41</v>
      </c>
      <c r="E565" s="4">
        <v>4</v>
      </c>
      <c r="F565" s="8">
        <v>1.6666666666666667</v>
      </c>
      <c r="G565" s="4">
        <v>3</v>
      </c>
      <c r="H565" s="4">
        <f t="shared" si="16"/>
        <v>0</v>
      </c>
      <c r="I565" s="4">
        <f t="shared" si="17"/>
        <v>0</v>
      </c>
      <c r="J565" s="4">
        <v>0</v>
      </c>
      <c r="K565" s="4">
        <v>0</v>
      </c>
      <c r="L565" s="4">
        <v>0</v>
      </c>
      <c r="M565" s="4">
        <v>1</v>
      </c>
      <c r="N565" s="4">
        <v>0</v>
      </c>
      <c r="O565" s="4">
        <v>0</v>
      </c>
    </row>
    <row r="566" spans="1:15" x14ac:dyDescent="0.15">
      <c r="A566" s="4">
        <v>563</v>
      </c>
      <c r="B566" s="4">
        <v>28</v>
      </c>
      <c r="C566" s="4">
        <v>3</v>
      </c>
      <c r="D566" s="4">
        <v>85</v>
      </c>
      <c r="E566" s="4">
        <v>1</v>
      </c>
      <c r="F566" s="8">
        <v>0.8</v>
      </c>
      <c r="G566" s="4">
        <v>2</v>
      </c>
      <c r="H566" s="4">
        <f t="shared" si="16"/>
        <v>0</v>
      </c>
      <c r="I566" s="4">
        <f t="shared" si="17"/>
        <v>1</v>
      </c>
      <c r="J566" s="4">
        <v>0</v>
      </c>
      <c r="K566" s="4">
        <v>0</v>
      </c>
      <c r="L566" s="4">
        <v>0</v>
      </c>
      <c r="M566" s="4">
        <v>1</v>
      </c>
      <c r="N566" s="4">
        <v>1</v>
      </c>
      <c r="O566" s="4">
        <v>0</v>
      </c>
    </row>
    <row r="567" spans="1:15" x14ac:dyDescent="0.15">
      <c r="A567" s="4">
        <v>564</v>
      </c>
      <c r="B567" s="4">
        <v>51</v>
      </c>
      <c r="C567" s="4">
        <v>27</v>
      </c>
      <c r="D567" s="4">
        <v>12</v>
      </c>
      <c r="E567" s="4">
        <v>4</v>
      </c>
      <c r="F567" s="8">
        <v>1</v>
      </c>
      <c r="G567" s="4">
        <v>1</v>
      </c>
      <c r="H567" s="4">
        <f t="shared" si="16"/>
        <v>1</v>
      </c>
      <c r="I567" s="4">
        <f t="shared" si="17"/>
        <v>0</v>
      </c>
      <c r="J567" s="4">
        <v>0</v>
      </c>
      <c r="K567" s="4">
        <v>0</v>
      </c>
      <c r="L567" s="4">
        <v>0</v>
      </c>
      <c r="M567" s="4">
        <v>1</v>
      </c>
      <c r="N567" s="4">
        <v>0</v>
      </c>
      <c r="O567" s="4">
        <v>0</v>
      </c>
    </row>
    <row r="568" spans="1:15" x14ac:dyDescent="0.15">
      <c r="A568" s="4">
        <v>565</v>
      </c>
      <c r="B568" s="4">
        <v>33</v>
      </c>
      <c r="C568" s="4">
        <v>7</v>
      </c>
      <c r="D568" s="4">
        <v>32</v>
      </c>
      <c r="E568" s="4">
        <v>1</v>
      </c>
      <c r="F568" s="8">
        <v>0.6</v>
      </c>
      <c r="G568" s="4">
        <v>3</v>
      </c>
      <c r="H568" s="4">
        <f t="shared" si="16"/>
        <v>0</v>
      </c>
      <c r="I568" s="4">
        <f t="shared" si="17"/>
        <v>0</v>
      </c>
      <c r="J568" s="4">
        <v>152</v>
      </c>
      <c r="K568" s="4">
        <v>0</v>
      </c>
      <c r="L568" s="4">
        <v>0</v>
      </c>
      <c r="M568" s="4">
        <v>0</v>
      </c>
      <c r="N568" s="4">
        <v>0</v>
      </c>
      <c r="O568" s="4">
        <v>0</v>
      </c>
    </row>
    <row r="569" spans="1:15" x14ac:dyDescent="0.15">
      <c r="A569" s="4">
        <v>566</v>
      </c>
      <c r="B569" s="4">
        <v>55</v>
      </c>
      <c r="C569" s="4">
        <v>29</v>
      </c>
      <c r="D569" s="4">
        <v>79</v>
      </c>
      <c r="E569" s="4">
        <v>3</v>
      </c>
      <c r="F569" s="8">
        <v>0.8</v>
      </c>
      <c r="G569" s="4">
        <v>1</v>
      </c>
      <c r="H569" s="4">
        <f t="shared" si="16"/>
        <v>1</v>
      </c>
      <c r="I569" s="4">
        <f t="shared" si="17"/>
        <v>0</v>
      </c>
      <c r="J569" s="4">
        <v>0</v>
      </c>
      <c r="K569" s="4">
        <v>0</v>
      </c>
      <c r="L569" s="4">
        <v>0</v>
      </c>
      <c r="M569" s="4">
        <v>1</v>
      </c>
      <c r="N569" s="4">
        <v>0</v>
      </c>
      <c r="O569" s="4">
        <v>0</v>
      </c>
    </row>
    <row r="570" spans="1:15" x14ac:dyDescent="0.15">
      <c r="A570" s="4">
        <v>567</v>
      </c>
      <c r="B570" s="4">
        <v>53</v>
      </c>
      <c r="C570" s="4">
        <v>28</v>
      </c>
      <c r="D570" s="4">
        <v>175</v>
      </c>
      <c r="E570" s="4">
        <v>3</v>
      </c>
      <c r="F570" s="8">
        <v>3.6</v>
      </c>
      <c r="G570" s="4">
        <v>3</v>
      </c>
      <c r="H570" s="4">
        <f t="shared" si="16"/>
        <v>0</v>
      </c>
      <c r="I570" s="4">
        <f t="shared" si="17"/>
        <v>0</v>
      </c>
      <c r="J570" s="4">
        <v>0</v>
      </c>
      <c r="K570" s="4">
        <v>0</v>
      </c>
      <c r="L570" s="4">
        <v>1</v>
      </c>
      <c r="M570" s="4">
        <v>1</v>
      </c>
      <c r="N570" s="4">
        <v>1</v>
      </c>
      <c r="O570" s="4">
        <v>1</v>
      </c>
    </row>
    <row r="571" spans="1:15" x14ac:dyDescent="0.15">
      <c r="A571" s="4">
        <v>568</v>
      </c>
      <c r="B571" s="4">
        <v>34</v>
      </c>
      <c r="C571" s="4">
        <v>8</v>
      </c>
      <c r="D571" s="4">
        <v>28</v>
      </c>
      <c r="E571" s="4">
        <v>3</v>
      </c>
      <c r="F571" s="8">
        <v>0.9</v>
      </c>
      <c r="G571" s="4">
        <v>1</v>
      </c>
      <c r="H571" s="4">
        <f t="shared" si="16"/>
        <v>1</v>
      </c>
      <c r="I571" s="4">
        <f t="shared" si="17"/>
        <v>0</v>
      </c>
      <c r="J571" s="4">
        <v>0</v>
      </c>
      <c r="K571" s="4">
        <v>0</v>
      </c>
      <c r="L571" s="4">
        <v>0</v>
      </c>
      <c r="M571" s="4">
        <v>0</v>
      </c>
      <c r="N571" s="4">
        <v>0</v>
      </c>
      <c r="O571" s="4">
        <v>0</v>
      </c>
    </row>
    <row r="572" spans="1:15" x14ac:dyDescent="0.15">
      <c r="A572" s="4">
        <v>569</v>
      </c>
      <c r="B572" s="4">
        <v>34</v>
      </c>
      <c r="C572" s="4">
        <v>9</v>
      </c>
      <c r="D572" s="4">
        <v>41</v>
      </c>
      <c r="E572" s="4">
        <v>2</v>
      </c>
      <c r="F572" s="8">
        <v>0.1</v>
      </c>
      <c r="G572" s="4">
        <v>1</v>
      </c>
      <c r="H572" s="4">
        <f t="shared" si="16"/>
        <v>1</v>
      </c>
      <c r="I572" s="4">
        <f t="shared" si="17"/>
        <v>0</v>
      </c>
      <c r="J572" s="4">
        <v>161</v>
      </c>
      <c r="K572" s="4">
        <v>0</v>
      </c>
      <c r="L572" s="4">
        <v>0</v>
      </c>
      <c r="M572" s="4">
        <v>1</v>
      </c>
      <c r="N572" s="4">
        <v>1</v>
      </c>
      <c r="O572" s="4">
        <v>0</v>
      </c>
    </row>
    <row r="573" spans="1:15" x14ac:dyDescent="0.15">
      <c r="A573" s="4">
        <v>570</v>
      </c>
      <c r="B573" s="4">
        <v>40</v>
      </c>
      <c r="C573" s="4">
        <v>14</v>
      </c>
      <c r="D573" s="4">
        <v>70</v>
      </c>
      <c r="E573" s="4">
        <v>3</v>
      </c>
      <c r="F573" s="8">
        <v>2.1</v>
      </c>
      <c r="G573" s="4">
        <v>1</v>
      </c>
      <c r="H573" s="4">
        <f t="shared" si="16"/>
        <v>1</v>
      </c>
      <c r="I573" s="4">
        <f t="shared" si="17"/>
        <v>0</v>
      </c>
      <c r="J573" s="4">
        <v>185</v>
      </c>
      <c r="K573" s="4">
        <v>0</v>
      </c>
      <c r="L573" s="4">
        <v>0</v>
      </c>
      <c r="M573" s="4">
        <v>0</v>
      </c>
      <c r="N573" s="4">
        <v>0</v>
      </c>
      <c r="O573" s="4">
        <v>0</v>
      </c>
    </row>
    <row r="574" spans="1:15" x14ac:dyDescent="0.15">
      <c r="A574" s="4">
        <v>571</v>
      </c>
      <c r="B574" s="4">
        <v>49</v>
      </c>
      <c r="C574" s="4">
        <v>25</v>
      </c>
      <c r="D574" s="4">
        <v>161</v>
      </c>
      <c r="E574" s="4">
        <v>3</v>
      </c>
      <c r="F574" s="8">
        <v>6.5</v>
      </c>
      <c r="G574" s="4">
        <v>2</v>
      </c>
      <c r="H574" s="4">
        <f t="shared" si="16"/>
        <v>0</v>
      </c>
      <c r="I574" s="4">
        <f t="shared" si="17"/>
        <v>1</v>
      </c>
      <c r="J574" s="4">
        <v>485</v>
      </c>
      <c r="K574" s="4">
        <v>1</v>
      </c>
      <c r="L574" s="4">
        <v>1</v>
      </c>
      <c r="M574" s="4">
        <v>0</v>
      </c>
      <c r="N574" s="4">
        <v>0</v>
      </c>
      <c r="O574" s="4">
        <v>1</v>
      </c>
    </row>
    <row r="575" spans="1:15" x14ac:dyDescent="0.15">
      <c r="A575" s="4">
        <v>572</v>
      </c>
      <c r="B575" s="4">
        <v>35</v>
      </c>
      <c r="C575" s="4">
        <v>9</v>
      </c>
      <c r="D575" s="4">
        <v>53</v>
      </c>
      <c r="E575" s="4">
        <v>4</v>
      </c>
      <c r="F575" s="8">
        <v>2.2000000000000002</v>
      </c>
      <c r="G575" s="4">
        <v>2</v>
      </c>
      <c r="H575" s="4">
        <f t="shared" si="16"/>
        <v>0</v>
      </c>
      <c r="I575" s="4">
        <f t="shared" si="17"/>
        <v>1</v>
      </c>
      <c r="J575" s="4">
        <v>0</v>
      </c>
      <c r="K575" s="4">
        <v>0</v>
      </c>
      <c r="L575" s="4">
        <v>0</v>
      </c>
      <c r="M575" s="4">
        <v>1</v>
      </c>
      <c r="N575" s="4">
        <v>0</v>
      </c>
      <c r="O575" s="4">
        <v>0</v>
      </c>
    </row>
    <row r="576" spans="1:15" x14ac:dyDescent="0.15">
      <c r="A576" s="4">
        <v>573</v>
      </c>
      <c r="B576" s="4">
        <v>39</v>
      </c>
      <c r="C576" s="4">
        <v>15</v>
      </c>
      <c r="D576" s="4">
        <v>128</v>
      </c>
      <c r="E576" s="4">
        <v>1</v>
      </c>
      <c r="F576" s="8">
        <v>3.4</v>
      </c>
      <c r="G576" s="4">
        <v>1</v>
      </c>
      <c r="H576" s="4">
        <f t="shared" si="16"/>
        <v>1</v>
      </c>
      <c r="I576" s="4">
        <f t="shared" si="17"/>
        <v>0</v>
      </c>
      <c r="J576" s="4">
        <v>0</v>
      </c>
      <c r="K576" s="4">
        <v>0</v>
      </c>
      <c r="L576" s="4">
        <v>0</v>
      </c>
      <c r="M576" s="4">
        <v>0</v>
      </c>
      <c r="N576" s="4">
        <v>0</v>
      </c>
      <c r="O576" s="4">
        <v>0</v>
      </c>
    </row>
    <row r="577" spans="1:15" x14ac:dyDescent="0.15">
      <c r="A577" s="4">
        <v>574</v>
      </c>
      <c r="B577" s="4">
        <v>55</v>
      </c>
      <c r="C577" s="4">
        <v>28</v>
      </c>
      <c r="D577" s="4">
        <v>50</v>
      </c>
      <c r="E577" s="4">
        <v>3</v>
      </c>
      <c r="F577" s="8">
        <v>1</v>
      </c>
      <c r="G577" s="4">
        <v>2</v>
      </c>
      <c r="H577" s="4">
        <f t="shared" si="16"/>
        <v>0</v>
      </c>
      <c r="I577" s="4">
        <f t="shared" si="17"/>
        <v>1</v>
      </c>
      <c r="J577" s="4">
        <v>0</v>
      </c>
      <c r="K577" s="4">
        <v>0</v>
      </c>
      <c r="L577" s="4">
        <v>0</v>
      </c>
      <c r="M577" s="4">
        <v>1</v>
      </c>
      <c r="N577" s="4">
        <v>1</v>
      </c>
      <c r="O577" s="4">
        <v>0</v>
      </c>
    </row>
    <row r="578" spans="1:15" x14ac:dyDescent="0.15">
      <c r="A578" s="4">
        <v>575</v>
      </c>
      <c r="B578" s="4">
        <v>29</v>
      </c>
      <c r="C578" s="4">
        <v>5</v>
      </c>
      <c r="D578" s="4">
        <v>80</v>
      </c>
      <c r="E578" s="4">
        <v>2</v>
      </c>
      <c r="F578" s="8">
        <v>2</v>
      </c>
      <c r="G578" s="4">
        <v>2</v>
      </c>
      <c r="H578" s="4">
        <f t="shared" si="16"/>
        <v>0</v>
      </c>
      <c r="I578" s="4">
        <f t="shared" si="17"/>
        <v>1</v>
      </c>
      <c r="J578" s="4">
        <v>0</v>
      </c>
      <c r="K578" s="4">
        <v>0</v>
      </c>
      <c r="L578" s="4">
        <v>0</v>
      </c>
      <c r="M578" s="4">
        <v>1</v>
      </c>
      <c r="N578" s="4">
        <v>1</v>
      </c>
      <c r="O578" s="4">
        <v>0</v>
      </c>
    </row>
    <row r="579" spans="1:15" x14ac:dyDescent="0.15">
      <c r="A579" s="4">
        <v>576</v>
      </c>
      <c r="B579" s="4">
        <v>54</v>
      </c>
      <c r="C579" s="4">
        <v>30</v>
      </c>
      <c r="D579" s="4">
        <v>93</v>
      </c>
      <c r="E579" s="4">
        <v>1</v>
      </c>
      <c r="F579" s="8">
        <v>2.7</v>
      </c>
      <c r="G579" s="4">
        <v>2</v>
      </c>
      <c r="H579" s="4">
        <f t="shared" si="16"/>
        <v>0</v>
      </c>
      <c r="I579" s="4">
        <f t="shared" si="17"/>
        <v>1</v>
      </c>
      <c r="J579" s="4">
        <v>0</v>
      </c>
      <c r="K579" s="4">
        <v>0</v>
      </c>
      <c r="L579" s="4">
        <v>0</v>
      </c>
      <c r="M579" s="4">
        <v>1</v>
      </c>
      <c r="N579" s="4">
        <v>0</v>
      </c>
      <c r="O579" s="4">
        <v>0</v>
      </c>
    </row>
    <row r="580" spans="1:15" x14ac:dyDescent="0.15">
      <c r="A580" s="4">
        <v>577</v>
      </c>
      <c r="B580" s="4">
        <v>25</v>
      </c>
      <c r="C580" s="4">
        <v>0</v>
      </c>
      <c r="D580" s="4">
        <v>48</v>
      </c>
      <c r="E580" s="4">
        <v>3</v>
      </c>
      <c r="F580" s="8">
        <v>0.3</v>
      </c>
      <c r="G580" s="4">
        <v>3</v>
      </c>
      <c r="H580" s="4">
        <f t="shared" si="16"/>
        <v>0</v>
      </c>
      <c r="I580" s="4">
        <f t="shared" si="17"/>
        <v>0</v>
      </c>
      <c r="J580" s="4">
        <v>0</v>
      </c>
      <c r="K580" s="4">
        <v>0</v>
      </c>
      <c r="L580" s="4">
        <v>0</v>
      </c>
      <c r="M580" s="4">
        <v>0</v>
      </c>
      <c r="N580" s="4">
        <v>1</v>
      </c>
      <c r="O580" s="4">
        <v>0</v>
      </c>
    </row>
    <row r="581" spans="1:15" x14ac:dyDescent="0.15">
      <c r="A581" s="4">
        <v>578</v>
      </c>
      <c r="B581" s="4">
        <v>52</v>
      </c>
      <c r="C581" s="4">
        <v>28</v>
      </c>
      <c r="D581" s="4">
        <v>149</v>
      </c>
      <c r="E581" s="4">
        <v>2</v>
      </c>
      <c r="F581" s="8">
        <v>6.8</v>
      </c>
      <c r="G581" s="4">
        <v>1</v>
      </c>
      <c r="H581" s="4">
        <f t="shared" ref="H581:H644" si="18">IF(G581=1,1,0)</f>
        <v>1</v>
      </c>
      <c r="I581" s="4">
        <f t="shared" ref="I581:I644" si="19">IF(G581=2,1,0)</f>
        <v>0</v>
      </c>
      <c r="J581" s="4">
        <v>0</v>
      </c>
      <c r="K581" s="4">
        <v>0</v>
      </c>
      <c r="L581" s="4">
        <v>0</v>
      </c>
      <c r="M581" s="4">
        <v>1</v>
      </c>
      <c r="N581" s="4">
        <v>0</v>
      </c>
      <c r="O581" s="4">
        <v>0</v>
      </c>
    </row>
    <row r="582" spans="1:15" x14ac:dyDescent="0.15">
      <c r="A582" s="4">
        <v>579</v>
      </c>
      <c r="B582" s="4">
        <v>46</v>
      </c>
      <c r="C582" s="4">
        <v>19</v>
      </c>
      <c r="D582" s="4">
        <v>49</v>
      </c>
      <c r="E582" s="4">
        <v>3</v>
      </c>
      <c r="F582" s="8">
        <v>2.5</v>
      </c>
      <c r="G582" s="4">
        <v>2</v>
      </c>
      <c r="H582" s="4">
        <f t="shared" si="18"/>
        <v>0</v>
      </c>
      <c r="I582" s="4">
        <f t="shared" si="19"/>
        <v>1</v>
      </c>
      <c r="J582" s="4">
        <v>0</v>
      </c>
      <c r="K582" s="4">
        <v>0</v>
      </c>
      <c r="L582" s="4">
        <v>0</v>
      </c>
      <c r="M582" s="4">
        <v>1</v>
      </c>
      <c r="N582" s="4">
        <v>1</v>
      </c>
      <c r="O582" s="4">
        <v>0</v>
      </c>
    </row>
    <row r="583" spans="1:15" x14ac:dyDescent="0.15">
      <c r="A583" s="4">
        <v>580</v>
      </c>
      <c r="B583" s="4">
        <v>57</v>
      </c>
      <c r="C583" s="4">
        <v>33</v>
      </c>
      <c r="D583" s="4">
        <v>88</v>
      </c>
      <c r="E583" s="4">
        <v>1</v>
      </c>
      <c r="F583" s="8">
        <v>2.7</v>
      </c>
      <c r="G583" s="4">
        <v>2</v>
      </c>
      <c r="H583" s="4">
        <f t="shared" si="18"/>
        <v>0</v>
      </c>
      <c r="I583" s="4">
        <f t="shared" si="19"/>
        <v>1</v>
      </c>
      <c r="J583" s="4">
        <v>0</v>
      </c>
      <c r="K583" s="4">
        <v>0</v>
      </c>
      <c r="L583" s="4">
        <v>0</v>
      </c>
      <c r="M583" s="4">
        <v>1</v>
      </c>
      <c r="N583" s="4">
        <v>0</v>
      </c>
      <c r="O583" s="4">
        <v>0</v>
      </c>
    </row>
    <row r="584" spans="1:15" x14ac:dyDescent="0.15">
      <c r="A584" s="4">
        <v>581</v>
      </c>
      <c r="B584" s="4">
        <v>52</v>
      </c>
      <c r="C584" s="4">
        <v>22</v>
      </c>
      <c r="D584" s="4">
        <v>22</v>
      </c>
      <c r="E584" s="4">
        <v>4</v>
      </c>
      <c r="F584" s="8">
        <v>0.4</v>
      </c>
      <c r="G584" s="4">
        <v>3</v>
      </c>
      <c r="H584" s="4">
        <f t="shared" si="18"/>
        <v>0</v>
      </c>
      <c r="I584" s="4">
        <f t="shared" si="19"/>
        <v>0</v>
      </c>
      <c r="J584" s="4">
        <v>0</v>
      </c>
      <c r="K584" s="4">
        <v>0</v>
      </c>
      <c r="L584" s="4">
        <v>0</v>
      </c>
      <c r="M584" s="4">
        <v>1</v>
      </c>
      <c r="N584" s="4">
        <v>1</v>
      </c>
      <c r="O584" s="4">
        <v>0</v>
      </c>
    </row>
    <row r="585" spans="1:15" x14ac:dyDescent="0.15">
      <c r="A585" s="4">
        <v>582</v>
      </c>
      <c r="B585" s="4">
        <v>28</v>
      </c>
      <c r="C585" s="4">
        <v>3</v>
      </c>
      <c r="D585" s="4">
        <v>55</v>
      </c>
      <c r="E585" s="4">
        <v>4</v>
      </c>
      <c r="F585" s="8">
        <v>2.2000000000000002</v>
      </c>
      <c r="G585" s="4">
        <v>1</v>
      </c>
      <c r="H585" s="4">
        <f t="shared" si="18"/>
        <v>1</v>
      </c>
      <c r="I585" s="4">
        <f t="shared" si="19"/>
        <v>0</v>
      </c>
      <c r="J585" s="4">
        <v>0</v>
      </c>
      <c r="K585" s="4">
        <v>0</v>
      </c>
      <c r="L585" s="4">
        <v>0</v>
      </c>
      <c r="M585" s="4">
        <v>1</v>
      </c>
      <c r="N585" s="4">
        <v>1</v>
      </c>
      <c r="O585" s="4">
        <v>0</v>
      </c>
    </row>
    <row r="586" spans="1:15" x14ac:dyDescent="0.15">
      <c r="A586" s="4">
        <v>583</v>
      </c>
      <c r="B586" s="4">
        <v>44</v>
      </c>
      <c r="C586" s="4">
        <v>18</v>
      </c>
      <c r="D586" s="4">
        <v>72</v>
      </c>
      <c r="E586" s="4">
        <v>1</v>
      </c>
      <c r="F586" s="8">
        <v>0.7</v>
      </c>
      <c r="G586" s="4">
        <v>3</v>
      </c>
      <c r="H586" s="4">
        <f t="shared" si="18"/>
        <v>0</v>
      </c>
      <c r="I586" s="4">
        <f t="shared" si="19"/>
        <v>0</v>
      </c>
      <c r="J586" s="4">
        <v>155</v>
      </c>
      <c r="K586" s="4">
        <v>0</v>
      </c>
      <c r="L586" s="4">
        <v>0</v>
      </c>
      <c r="M586" s="4">
        <v>0</v>
      </c>
      <c r="N586" s="4">
        <v>0</v>
      </c>
      <c r="O586" s="4">
        <v>0</v>
      </c>
    </row>
    <row r="587" spans="1:15" x14ac:dyDescent="0.15">
      <c r="A587" s="4">
        <v>584</v>
      </c>
      <c r="B587" s="4">
        <v>24</v>
      </c>
      <c r="C587" s="4">
        <v>0</v>
      </c>
      <c r="D587" s="4">
        <v>38</v>
      </c>
      <c r="E587" s="4">
        <v>2</v>
      </c>
      <c r="F587" s="8">
        <v>1.7</v>
      </c>
      <c r="G587" s="4">
        <v>2</v>
      </c>
      <c r="H587" s="4">
        <f t="shared" si="18"/>
        <v>0</v>
      </c>
      <c r="I587" s="4">
        <f t="shared" si="19"/>
        <v>1</v>
      </c>
      <c r="J587" s="4">
        <v>0</v>
      </c>
      <c r="K587" s="4">
        <v>0</v>
      </c>
      <c r="L587" s="4">
        <v>0</v>
      </c>
      <c r="M587" s="4">
        <v>1</v>
      </c>
      <c r="N587" s="4">
        <v>0</v>
      </c>
      <c r="O587" s="4">
        <v>0</v>
      </c>
    </row>
    <row r="588" spans="1:15" x14ac:dyDescent="0.15">
      <c r="A588" s="4">
        <v>585</v>
      </c>
      <c r="B588" s="4">
        <v>40</v>
      </c>
      <c r="C588" s="4">
        <v>16</v>
      </c>
      <c r="D588" s="4">
        <v>114</v>
      </c>
      <c r="E588" s="4">
        <v>1</v>
      </c>
      <c r="F588" s="8">
        <v>3.4</v>
      </c>
      <c r="G588" s="4">
        <v>1</v>
      </c>
      <c r="H588" s="4">
        <f t="shared" si="18"/>
        <v>1</v>
      </c>
      <c r="I588" s="4">
        <f t="shared" si="19"/>
        <v>0</v>
      </c>
      <c r="J588" s="4">
        <v>300</v>
      </c>
      <c r="K588" s="4">
        <v>0</v>
      </c>
      <c r="L588" s="4">
        <v>0</v>
      </c>
      <c r="M588" s="4">
        <v>1</v>
      </c>
      <c r="N588" s="4">
        <v>0</v>
      </c>
      <c r="O588" s="4">
        <v>0</v>
      </c>
    </row>
    <row r="589" spans="1:15" x14ac:dyDescent="0.15">
      <c r="A589" s="4">
        <v>586</v>
      </c>
      <c r="B589" s="4">
        <v>34</v>
      </c>
      <c r="C589" s="4">
        <v>4</v>
      </c>
      <c r="D589" s="4">
        <v>83</v>
      </c>
      <c r="E589" s="4">
        <v>4</v>
      </c>
      <c r="F589" s="8">
        <v>4</v>
      </c>
      <c r="G589" s="4">
        <v>3</v>
      </c>
      <c r="H589" s="4">
        <f t="shared" si="18"/>
        <v>0</v>
      </c>
      <c r="I589" s="4">
        <f t="shared" si="19"/>
        <v>0</v>
      </c>
      <c r="J589" s="4">
        <v>0</v>
      </c>
      <c r="K589" s="4">
        <v>0</v>
      </c>
      <c r="L589" s="4">
        <v>0</v>
      </c>
      <c r="M589" s="4">
        <v>1</v>
      </c>
      <c r="N589" s="4">
        <v>0</v>
      </c>
      <c r="O589" s="4">
        <v>0</v>
      </c>
    </row>
    <row r="590" spans="1:15" x14ac:dyDescent="0.15">
      <c r="A590" s="4">
        <v>587</v>
      </c>
      <c r="B590" s="4">
        <v>39</v>
      </c>
      <c r="C590" s="4">
        <v>14</v>
      </c>
      <c r="D590" s="4">
        <v>101</v>
      </c>
      <c r="E590" s="4">
        <v>2</v>
      </c>
      <c r="F590" s="8">
        <v>0.4</v>
      </c>
      <c r="G590" s="4">
        <v>1</v>
      </c>
      <c r="H590" s="4">
        <f t="shared" si="18"/>
        <v>1</v>
      </c>
      <c r="I590" s="4">
        <f t="shared" si="19"/>
        <v>0</v>
      </c>
      <c r="J590" s="4">
        <v>0</v>
      </c>
      <c r="K590" s="4">
        <v>0</v>
      </c>
      <c r="L590" s="4">
        <v>0</v>
      </c>
      <c r="M590" s="4">
        <v>1</v>
      </c>
      <c r="N590" s="4">
        <v>1</v>
      </c>
      <c r="O590" s="4">
        <v>0</v>
      </c>
    </row>
    <row r="591" spans="1:15" x14ac:dyDescent="0.15">
      <c r="A591" s="4">
        <v>588</v>
      </c>
      <c r="B591" s="4">
        <v>50</v>
      </c>
      <c r="C591" s="4">
        <v>24</v>
      </c>
      <c r="D591" s="4">
        <v>94</v>
      </c>
      <c r="E591" s="4">
        <v>1</v>
      </c>
      <c r="F591" s="8">
        <v>4.9000000000000004</v>
      </c>
      <c r="G591" s="4">
        <v>1</v>
      </c>
      <c r="H591" s="4">
        <f t="shared" si="18"/>
        <v>1</v>
      </c>
      <c r="I591" s="4">
        <f t="shared" si="19"/>
        <v>0</v>
      </c>
      <c r="J591" s="4">
        <v>272</v>
      </c>
      <c r="K591" s="4">
        <v>0</v>
      </c>
      <c r="L591" s="4">
        <v>0</v>
      </c>
      <c r="M591" s="4">
        <v>1</v>
      </c>
      <c r="N591" s="4">
        <v>0</v>
      </c>
      <c r="O591" s="4">
        <v>0</v>
      </c>
    </row>
    <row r="592" spans="1:15" x14ac:dyDescent="0.15">
      <c r="A592" s="4">
        <v>589</v>
      </c>
      <c r="B592" s="4">
        <v>41</v>
      </c>
      <c r="C592" s="4">
        <v>17</v>
      </c>
      <c r="D592" s="4">
        <v>40</v>
      </c>
      <c r="E592" s="4">
        <v>2</v>
      </c>
      <c r="F592" s="8">
        <v>2.5</v>
      </c>
      <c r="G592" s="4">
        <v>1</v>
      </c>
      <c r="H592" s="4">
        <f t="shared" si="18"/>
        <v>1</v>
      </c>
      <c r="I592" s="4">
        <f t="shared" si="19"/>
        <v>0</v>
      </c>
      <c r="J592" s="4">
        <v>0</v>
      </c>
      <c r="K592" s="4">
        <v>0</v>
      </c>
      <c r="L592" s="4">
        <v>1</v>
      </c>
      <c r="M592" s="4">
        <v>1</v>
      </c>
      <c r="N592" s="4">
        <v>1</v>
      </c>
      <c r="O592" s="4">
        <v>0</v>
      </c>
    </row>
    <row r="593" spans="1:15" x14ac:dyDescent="0.15">
      <c r="A593" s="4">
        <v>590</v>
      </c>
      <c r="B593" s="4">
        <v>31</v>
      </c>
      <c r="C593" s="4">
        <v>7</v>
      </c>
      <c r="D593" s="4">
        <v>128</v>
      </c>
      <c r="E593" s="4">
        <v>1</v>
      </c>
      <c r="F593" s="8">
        <v>6</v>
      </c>
      <c r="G593" s="4">
        <v>1</v>
      </c>
      <c r="H593" s="4">
        <f t="shared" si="18"/>
        <v>1</v>
      </c>
      <c r="I593" s="4">
        <f t="shared" si="19"/>
        <v>0</v>
      </c>
      <c r="J593" s="4">
        <v>0</v>
      </c>
      <c r="K593" s="4">
        <v>0</v>
      </c>
      <c r="L593" s="4">
        <v>0</v>
      </c>
      <c r="M593" s="4">
        <v>0</v>
      </c>
      <c r="N593" s="4">
        <v>0</v>
      </c>
      <c r="O593" s="4">
        <v>0</v>
      </c>
    </row>
    <row r="594" spans="1:15" x14ac:dyDescent="0.15">
      <c r="A594" s="4">
        <v>591</v>
      </c>
      <c r="B594" s="4">
        <v>29</v>
      </c>
      <c r="C594" s="4">
        <v>3</v>
      </c>
      <c r="D594" s="4">
        <v>39</v>
      </c>
      <c r="E594" s="4">
        <v>4</v>
      </c>
      <c r="F594" s="8">
        <v>2.1</v>
      </c>
      <c r="G594" s="4">
        <v>3</v>
      </c>
      <c r="H594" s="4">
        <f t="shared" si="18"/>
        <v>0</v>
      </c>
      <c r="I594" s="4">
        <f t="shared" si="19"/>
        <v>0</v>
      </c>
      <c r="J594" s="4">
        <v>0</v>
      </c>
      <c r="K594" s="4">
        <v>0</v>
      </c>
      <c r="L594" s="4">
        <v>0</v>
      </c>
      <c r="M594" s="4">
        <v>1</v>
      </c>
      <c r="N594" s="4">
        <v>0</v>
      </c>
      <c r="O594" s="4">
        <v>0</v>
      </c>
    </row>
    <row r="595" spans="1:15" x14ac:dyDescent="0.15">
      <c r="A595" s="4">
        <v>592</v>
      </c>
      <c r="B595" s="4">
        <v>30</v>
      </c>
      <c r="C595" s="4">
        <v>5</v>
      </c>
      <c r="D595" s="4">
        <v>51</v>
      </c>
      <c r="E595" s="4">
        <v>1</v>
      </c>
      <c r="F595" s="8">
        <v>1</v>
      </c>
      <c r="G595" s="4">
        <v>1</v>
      </c>
      <c r="H595" s="4">
        <f t="shared" si="18"/>
        <v>1</v>
      </c>
      <c r="I595" s="4">
        <f t="shared" si="19"/>
        <v>0</v>
      </c>
      <c r="J595" s="4">
        <v>0</v>
      </c>
      <c r="K595" s="4">
        <v>0</v>
      </c>
      <c r="L595" s="4">
        <v>0</v>
      </c>
      <c r="M595" s="4">
        <v>1</v>
      </c>
      <c r="N595" s="4">
        <v>0</v>
      </c>
      <c r="O595" s="4">
        <v>0</v>
      </c>
    </row>
    <row r="596" spans="1:15" x14ac:dyDescent="0.15">
      <c r="A596" s="4">
        <v>593</v>
      </c>
      <c r="B596" s="4">
        <v>44</v>
      </c>
      <c r="C596" s="4">
        <v>20</v>
      </c>
      <c r="D596" s="4">
        <v>79</v>
      </c>
      <c r="E596" s="4">
        <v>4</v>
      </c>
      <c r="F596" s="8">
        <v>2</v>
      </c>
      <c r="G596" s="4">
        <v>3</v>
      </c>
      <c r="H596" s="4">
        <f t="shared" si="18"/>
        <v>0</v>
      </c>
      <c r="I596" s="4">
        <f t="shared" si="19"/>
        <v>0</v>
      </c>
      <c r="J596" s="4">
        <v>0</v>
      </c>
      <c r="K596" s="4">
        <v>1</v>
      </c>
      <c r="L596" s="4">
        <v>1</v>
      </c>
      <c r="M596" s="4">
        <v>1</v>
      </c>
      <c r="N596" s="4">
        <v>1</v>
      </c>
      <c r="O596" s="4">
        <v>0</v>
      </c>
    </row>
    <row r="597" spans="1:15" x14ac:dyDescent="0.15">
      <c r="A597" s="4">
        <v>594</v>
      </c>
      <c r="B597" s="4">
        <v>33</v>
      </c>
      <c r="C597" s="4">
        <v>7</v>
      </c>
      <c r="D597" s="4">
        <v>48</v>
      </c>
      <c r="E597" s="4">
        <v>4</v>
      </c>
      <c r="F597" s="8">
        <v>2.2000000000000002</v>
      </c>
      <c r="G597" s="4">
        <v>2</v>
      </c>
      <c r="H597" s="4">
        <f t="shared" si="18"/>
        <v>0</v>
      </c>
      <c r="I597" s="4">
        <f t="shared" si="19"/>
        <v>1</v>
      </c>
      <c r="J597" s="4">
        <v>0</v>
      </c>
      <c r="K597" s="4">
        <v>0</v>
      </c>
      <c r="L597" s="4">
        <v>0</v>
      </c>
      <c r="M597" s="4">
        <v>1</v>
      </c>
      <c r="N597" s="4">
        <v>0</v>
      </c>
      <c r="O597" s="4">
        <v>0</v>
      </c>
    </row>
    <row r="598" spans="1:15" x14ac:dyDescent="0.15">
      <c r="A598" s="4">
        <v>595</v>
      </c>
      <c r="B598" s="4">
        <v>50</v>
      </c>
      <c r="C598" s="4">
        <v>26</v>
      </c>
      <c r="D598" s="4">
        <v>85</v>
      </c>
      <c r="E598" s="4">
        <v>1</v>
      </c>
      <c r="F598" s="8">
        <v>0</v>
      </c>
      <c r="G598" s="4">
        <v>1</v>
      </c>
      <c r="H598" s="4">
        <f t="shared" si="18"/>
        <v>1</v>
      </c>
      <c r="I598" s="4">
        <f t="shared" si="19"/>
        <v>0</v>
      </c>
      <c r="J598" s="4">
        <v>144</v>
      </c>
      <c r="K598" s="4">
        <v>0</v>
      </c>
      <c r="L598" s="4">
        <v>0</v>
      </c>
      <c r="M598" s="4">
        <v>0</v>
      </c>
      <c r="N598" s="4">
        <v>0</v>
      </c>
      <c r="O598" s="4">
        <v>0</v>
      </c>
    </row>
    <row r="599" spans="1:15" x14ac:dyDescent="0.15">
      <c r="A599" s="4">
        <v>596</v>
      </c>
      <c r="B599" s="4">
        <v>42</v>
      </c>
      <c r="C599" s="4">
        <v>18</v>
      </c>
      <c r="D599" s="4">
        <v>41</v>
      </c>
      <c r="E599" s="4">
        <v>1</v>
      </c>
      <c r="F599" s="8">
        <v>1.8</v>
      </c>
      <c r="G599" s="4">
        <v>1</v>
      </c>
      <c r="H599" s="4">
        <f t="shared" si="18"/>
        <v>1</v>
      </c>
      <c r="I599" s="4">
        <f t="shared" si="19"/>
        <v>0</v>
      </c>
      <c r="J599" s="4">
        <v>94</v>
      </c>
      <c r="K599" s="4">
        <v>0</v>
      </c>
      <c r="L599" s="4">
        <v>0</v>
      </c>
      <c r="M599" s="4">
        <v>1</v>
      </c>
      <c r="N599" s="4">
        <v>0</v>
      </c>
      <c r="O599" s="4">
        <v>0</v>
      </c>
    </row>
    <row r="600" spans="1:15" x14ac:dyDescent="0.15">
      <c r="A600" s="4">
        <v>597</v>
      </c>
      <c r="B600" s="4">
        <v>48</v>
      </c>
      <c r="C600" s="4">
        <v>22</v>
      </c>
      <c r="D600" s="4">
        <v>152</v>
      </c>
      <c r="E600" s="4">
        <v>1</v>
      </c>
      <c r="F600" s="8">
        <v>3.5</v>
      </c>
      <c r="G600" s="4">
        <v>3</v>
      </c>
      <c r="H600" s="4">
        <f t="shared" si="18"/>
        <v>0</v>
      </c>
      <c r="I600" s="4">
        <f t="shared" si="19"/>
        <v>0</v>
      </c>
      <c r="J600" s="4">
        <v>0</v>
      </c>
      <c r="K600" s="4">
        <v>0</v>
      </c>
      <c r="L600" s="4">
        <v>0</v>
      </c>
      <c r="M600" s="4">
        <v>1</v>
      </c>
      <c r="N600" s="4">
        <v>0</v>
      </c>
      <c r="O600" s="4">
        <v>1</v>
      </c>
    </row>
    <row r="601" spans="1:15" x14ac:dyDescent="0.15">
      <c r="A601" s="4">
        <v>598</v>
      </c>
      <c r="B601" s="4">
        <v>24</v>
      </c>
      <c r="C601" s="4">
        <v>0</v>
      </c>
      <c r="D601" s="4">
        <v>125</v>
      </c>
      <c r="E601" s="4">
        <v>2</v>
      </c>
      <c r="F601" s="8">
        <v>7.2</v>
      </c>
      <c r="G601" s="4">
        <v>1</v>
      </c>
      <c r="H601" s="4">
        <f t="shared" si="18"/>
        <v>1</v>
      </c>
      <c r="I601" s="4">
        <f t="shared" si="19"/>
        <v>0</v>
      </c>
      <c r="J601" s="4">
        <v>0</v>
      </c>
      <c r="K601" s="4">
        <v>1</v>
      </c>
      <c r="L601" s="4">
        <v>0</v>
      </c>
      <c r="M601" s="4">
        <v>0</v>
      </c>
      <c r="N601" s="4">
        <v>1</v>
      </c>
      <c r="O601" s="4">
        <v>0</v>
      </c>
    </row>
    <row r="602" spans="1:15" x14ac:dyDescent="0.15">
      <c r="A602" s="4">
        <v>599</v>
      </c>
      <c r="B602" s="4">
        <v>56</v>
      </c>
      <c r="C602" s="4">
        <v>31</v>
      </c>
      <c r="D602" s="4">
        <v>11</v>
      </c>
      <c r="E602" s="4">
        <v>2</v>
      </c>
      <c r="F602" s="8">
        <v>0.2</v>
      </c>
      <c r="G602" s="4">
        <v>3</v>
      </c>
      <c r="H602" s="4">
        <f t="shared" si="18"/>
        <v>0</v>
      </c>
      <c r="I602" s="4">
        <f t="shared" si="19"/>
        <v>0</v>
      </c>
      <c r="J602" s="4">
        <v>90</v>
      </c>
      <c r="K602" s="4">
        <v>0</v>
      </c>
      <c r="L602" s="4">
        <v>0</v>
      </c>
      <c r="M602" s="4">
        <v>0</v>
      </c>
      <c r="N602" s="4">
        <v>0</v>
      </c>
      <c r="O602" s="4">
        <v>0</v>
      </c>
    </row>
    <row r="603" spans="1:15" x14ac:dyDescent="0.15">
      <c r="A603" s="4">
        <v>600</v>
      </c>
      <c r="B603" s="4">
        <v>28</v>
      </c>
      <c r="C603" s="4">
        <v>4</v>
      </c>
      <c r="D603" s="4">
        <v>103</v>
      </c>
      <c r="E603" s="4">
        <v>2</v>
      </c>
      <c r="F603" s="8">
        <v>2.5</v>
      </c>
      <c r="G603" s="4">
        <v>1</v>
      </c>
      <c r="H603" s="4">
        <f t="shared" si="18"/>
        <v>1</v>
      </c>
      <c r="I603" s="4">
        <f t="shared" si="19"/>
        <v>0</v>
      </c>
      <c r="J603" s="4">
        <v>0</v>
      </c>
      <c r="K603" s="4">
        <v>0</v>
      </c>
      <c r="L603" s="4">
        <v>0</v>
      </c>
      <c r="M603" s="4">
        <v>1</v>
      </c>
      <c r="N603" s="4">
        <v>1</v>
      </c>
      <c r="O603" s="4">
        <v>0</v>
      </c>
    </row>
    <row r="604" spans="1:15" x14ac:dyDescent="0.15">
      <c r="A604" s="4">
        <v>601</v>
      </c>
      <c r="B604" s="4">
        <v>56</v>
      </c>
      <c r="C604" s="4">
        <v>30</v>
      </c>
      <c r="D604" s="4">
        <v>141</v>
      </c>
      <c r="E604" s="4">
        <v>2</v>
      </c>
      <c r="F604" s="8">
        <v>0.5</v>
      </c>
      <c r="G604" s="4">
        <v>1</v>
      </c>
      <c r="H604" s="4">
        <f t="shared" si="18"/>
        <v>1</v>
      </c>
      <c r="I604" s="4">
        <f t="shared" si="19"/>
        <v>0</v>
      </c>
      <c r="J604" s="4">
        <v>0</v>
      </c>
      <c r="K604" s="4">
        <v>0</v>
      </c>
      <c r="L604" s="4">
        <v>0</v>
      </c>
      <c r="M604" s="4">
        <v>1</v>
      </c>
      <c r="N604" s="4">
        <v>0</v>
      </c>
      <c r="O604" s="4">
        <v>0</v>
      </c>
    </row>
    <row r="605" spans="1:15" x14ac:dyDescent="0.15">
      <c r="A605" s="4">
        <v>602</v>
      </c>
      <c r="B605" s="4">
        <v>58</v>
      </c>
      <c r="C605" s="4">
        <v>32</v>
      </c>
      <c r="D605" s="4">
        <v>38</v>
      </c>
      <c r="E605" s="4">
        <v>1</v>
      </c>
      <c r="F605" s="8">
        <v>1.4</v>
      </c>
      <c r="G605" s="4">
        <v>1</v>
      </c>
      <c r="H605" s="4">
        <f t="shared" si="18"/>
        <v>1</v>
      </c>
      <c r="I605" s="4">
        <f t="shared" si="19"/>
        <v>0</v>
      </c>
      <c r="J605" s="4">
        <v>0</v>
      </c>
      <c r="K605" s="4">
        <v>0</v>
      </c>
      <c r="L605" s="4">
        <v>0</v>
      </c>
      <c r="M605" s="4">
        <v>1</v>
      </c>
      <c r="N605" s="4">
        <v>1</v>
      </c>
      <c r="O605" s="4">
        <v>0</v>
      </c>
    </row>
    <row r="606" spans="1:15" x14ac:dyDescent="0.15">
      <c r="A606" s="4">
        <v>603</v>
      </c>
      <c r="B606" s="4">
        <v>29</v>
      </c>
      <c r="C606" s="4">
        <v>5</v>
      </c>
      <c r="D606" s="4">
        <v>135</v>
      </c>
      <c r="E606" s="4">
        <v>2</v>
      </c>
      <c r="F606" s="8">
        <v>0.6</v>
      </c>
      <c r="G606" s="4">
        <v>1</v>
      </c>
      <c r="H606" s="4">
        <f t="shared" si="18"/>
        <v>1</v>
      </c>
      <c r="I606" s="4">
        <f t="shared" si="19"/>
        <v>0</v>
      </c>
      <c r="J606" s="4">
        <v>0</v>
      </c>
      <c r="K606" s="4">
        <v>0</v>
      </c>
      <c r="L606" s="4">
        <v>0</v>
      </c>
      <c r="M606" s="4">
        <v>0</v>
      </c>
      <c r="N606" s="4">
        <v>0</v>
      </c>
      <c r="O606" s="4">
        <v>0</v>
      </c>
    </row>
    <row r="607" spans="1:15" x14ac:dyDescent="0.15">
      <c r="A607" s="4">
        <v>604</v>
      </c>
      <c r="B607" s="4">
        <v>63</v>
      </c>
      <c r="C607" s="4">
        <v>38</v>
      </c>
      <c r="D607" s="4">
        <v>28</v>
      </c>
      <c r="E607" s="4">
        <v>2</v>
      </c>
      <c r="F607" s="8">
        <v>0.5</v>
      </c>
      <c r="G607" s="4">
        <v>2</v>
      </c>
      <c r="H607" s="4">
        <f t="shared" si="18"/>
        <v>0</v>
      </c>
      <c r="I607" s="4">
        <f t="shared" si="19"/>
        <v>1</v>
      </c>
      <c r="J607" s="4">
        <v>89</v>
      </c>
      <c r="K607" s="4">
        <v>0</v>
      </c>
      <c r="L607" s="4">
        <v>0</v>
      </c>
      <c r="M607" s="4">
        <v>1</v>
      </c>
      <c r="N607" s="4">
        <v>0</v>
      </c>
      <c r="O607" s="4">
        <v>0</v>
      </c>
    </row>
    <row r="608" spans="1:15" x14ac:dyDescent="0.15">
      <c r="A608" s="4">
        <v>605</v>
      </c>
      <c r="B608" s="4">
        <v>28</v>
      </c>
      <c r="C608" s="4">
        <v>3</v>
      </c>
      <c r="D608" s="4">
        <v>70</v>
      </c>
      <c r="E608" s="4">
        <v>4</v>
      </c>
      <c r="F608" s="8">
        <v>2.2000000000000002</v>
      </c>
      <c r="G608" s="4">
        <v>1</v>
      </c>
      <c r="H608" s="4">
        <f t="shared" si="18"/>
        <v>1</v>
      </c>
      <c r="I608" s="4">
        <f t="shared" si="19"/>
        <v>0</v>
      </c>
      <c r="J608" s="4">
        <v>240</v>
      </c>
      <c r="K608" s="4">
        <v>0</v>
      </c>
      <c r="L608" s="4">
        <v>0</v>
      </c>
      <c r="M608" s="4">
        <v>0</v>
      </c>
      <c r="N608" s="4">
        <v>1</v>
      </c>
      <c r="O608" s="4">
        <v>0</v>
      </c>
    </row>
    <row r="609" spans="1:15" x14ac:dyDescent="0.15">
      <c r="A609" s="4">
        <v>606</v>
      </c>
      <c r="B609" s="4">
        <v>57</v>
      </c>
      <c r="C609" s="4">
        <v>31</v>
      </c>
      <c r="D609" s="4">
        <v>41</v>
      </c>
      <c r="E609" s="4">
        <v>1</v>
      </c>
      <c r="F609" s="8">
        <v>0.2</v>
      </c>
      <c r="G609" s="4">
        <v>1</v>
      </c>
      <c r="H609" s="4">
        <f t="shared" si="18"/>
        <v>1</v>
      </c>
      <c r="I609" s="4">
        <f t="shared" si="19"/>
        <v>0</v>
      </c>
      <c r="J609" s="4">
        <v>0</v>
      </c>
      <c r="K609" s="4">
        <v>0</v>
      </c>
      <c r="L609" s="4">
        <v>0</v>
      </c>
      <c r="M609" s="4">
        <v>1</v>
      </c>
      <c r="N609" s="4">
        <v>1</v>
      </c>
      <c r="O609" s="4">
        <v>0</v>
      </c>
    </row>
    <row r="610" spans="1:15" x14ac:dyDescent="0.15">
      <c r="A610" s="4">
        <v>607</v>
      </c>
      <c r="B610" s="4">
        <v>34</v>
      </c>
      <c r="C610" s="4">
        <v>8</v>
      </c>
      <c r="D610" s="4">
        <v>81</v>
      </c>
      <c r="E610" s="4">
        <v>3</v>
      </c>
      <c r="F610" s="8">
        <v>0.9</v>
      </c>
      <c r="G610" s="4">
        <v>2</v>
      </c>
      <c r="H610" s="4">
        <f t="shared" si="18"/>
        <v>0</v>
      </c>
      <c r="I610" s="4">
        <f t="shared" si="19"/>
        <v>1</v>
      </c>
      <c r="J610" s="4">
        <v>208</v>
      </c>
      <c r="K610" s="4">
        <v>0</v>
      </c>
      <c r="L610" s="4">
        <v>0</v>
      </c>
      <c r="M610" s="4">
        <v>1</v>
      </c>
      <c r="N610" s="4">
        <v>0</v>
      </c>
      <c r="O610" s="4">
        <v>0</v>
      </c>
    </row>
    <row r="611" spans="1:15" x14ac:dyDescent="0.15">
      <c r="A611" s="4">
        <v>608</v>
      </c>
      <c r="B611" s="4">
        <v>28</v>
      </c>
      <c r="C611" s="4">
        <v>3</v>
      </c>
      <c r="D611" s="4">
        <v>170</v>
      </c>
      <c r="E611" s="4">
        <v>1</v>
      </c>
      <c r="F611" s="8">
        <v>0.1</v>
      </c>
      <c r="G611" s="4">
        <v>3</v>
      </c>
      <c r="H611" s="4">
        <f t="shared" si="18"/>
        <v>0</v>
      </c>
      <c r="I611" s="4">
        <f t="shared" si="19"/>
        <v>0</v>
      </c>
      <c r="J611" s="4">
        <v>0</v>
      </c>
      <c r="K611" s="4">
        <v>0</v>
      </c>
      <c r="L611" s="4">
        <v>0</v>
      </c>
      <c r="M611" s="4">
        <v>0</v>
      </c>
      <c r="N611" s="4">
        <v>0</v>
      </c>
      <c r="O611" s="4">
        <v>1</v>
      </c>
    </row>
    <row r="612" spans="1:15" x14ac:dyDescent="0.15">
      <c r="A612" s="4">
        <v>609</v>
      </c>
      <c r="B612" s="4">
        <v>27</v>
      </c>
      <c r="C612" s="4">
        <v>2</v>
      </c>
      <c r="D612" s="4">
        <v>55</v>
      </c>
      <c r="E612" s="4">
        <v>4</v>
      </c>
      <c r="F612" s="8">
        <v>1.7</v>
      </c>
      <c r="G612" s="4">
        <v>2</v>
      </c>
      <c r="H612" s="4">
        <f t="shared" si="18"/>
        <v>0</v>
      </c>
      <c r="I612" s="4">
        <f t="shared" si="19"/>
        <v>1</v>
      </c>
      <c r="J612" s="4">
        <v>0</v>
      </c>
      <c r="K612" s="4">
        <v>0</v>
      </c>
      <c r="L612" s="4">
        <v>0</v>
      </c>
      <c r="M612" s="4">
        <v>1</v>
      </c>
      <c r="N612" s="4">
        <v>0</v>
      </c>
      <c r="O612" s="4">
        <v>0</v>
      </c>
    </row>
    <row r="613" spans="1:15" x14ac:dyDescent="0.15">
      <c r="A613" s="4">
        <v>610</v>
      </c>
      <c r="B613" s="4">
        <v>37</v>
      </c>
      <c r="C613" s="4">
        <v>11</v>
      </c>
      <c r="D613" s="4">
        <v>24</v>
      </c>
      <c r="E613" s="4">
        <v>4</v>
      </c>
      <c r="F613" s="8">
        <v>1.5</v>
      </c>
      <c r="G613" s="4">
        <v>3</v>
      </c>
      <c r="H613" s="4">
        <f t="shared" si="18"/>
        <v>0</v>
      </c>
      <c r="I613" s="4">
        <f t="shared" si="19"/>
        <v>0</v>
      </c>
      <c r="J613" s="4">
        <v>0</v>
      </c>
      <c r="K613" s="4">
        <v>0</v>
      </c>
      <c r="L613" s="4">
        <v>0</v>
      </c>
      <c r="M613" s="4">
        <v>0</v>
      </c>
      <c r="N613" s="4">
        <v>0</v>
      </c>
      <c r="O613" s="4">
        <v>0</v>
      </c>
    </row>
    <row r="614" spans="1:15" x14ac:dyDescent="0.15">
      <c r="A614" s="4">
        <v>611</v>
      </c>
      <c r="B614" s="4">
        <v>52</v>
      </c>
      <c r="C614" s="4">
        <v>28</v>
      </c>
      <c r="D614" s="4">
        <v>81</v>
      </c>
      <c r="E614" s="4">
        <v>3</v>
      </c>
      <c r="F614" s="8">
        <v>1.8</v>
      </c>
      <c r="G614" s="4">
        <v>2</v>
      </c>
      <c r="H614" s="4">
        <f t="shared" si="18"/>
        <v>0</v>
      </c>
      <c r="I614" s="4">
        <f t="shared" si="19"/>
        <v>1</v>
      </c>
      <c r="J614" s="4">
        <v>275</v>
      </c>
      <c r="K614" s="4">
        <v>0</v>
      </c>
      <c r="L614" s="4">
        <v>0</v>
      </c>
      <c r="M614" s="4">
        <v>0</v>
      </c>
      <c r="N614" s="4">
        <v>0</v>
      </c>
      <c r="O614" s="4">
        <v>0</v>
      </c>
    </row>
    <row r="615" spans="1:15" x14ac:dyDescent="0.15">
      <c r="A615" s="4">
        <v>612</v>
      </c>
      <c r="B615" s="4">
        <v>49</v>
      </c>
      <c r="C615" s="4">
        <v>23</v>
      </c>
      <c r="D615" s="4">
        <v>32</v>
      </c>
      <c r="E615" s="4">
        <v>4</v>
      </c>
      <c r="F615" s="8">
        <v>1.8</v>
      </c>
      <c r="G615" s="4">
        <v>1</v>
      </c>
      <c r="H615" s="4">
        <f t="shared" si="18"/>
        <v>1</v>
      </c>
      <c r="I615" s="4">
        <f t="shared" si="19"/>
        <v>0</v>
      </c>
      <c r="J615" s="4">
        <v>83</v>
      </c>
      <c r="K615" s="4">
        <v>0</v>
      </c>
      <c r="L615" s="4">
        <v>0</v>
      </c>
      <c r="M615" s="4">
        <v>0</v>
      </c>
      <c r="N615" s="4">
        <v>0</v>
      </c>
      <c r="O615" s="4">
        <v>0</v>
      </c>
    </row>
    <row r="616" spans="1:15" x14ac:dyDescent="0.15">
      <c r="A616" s="4">
        <v>613</v>
      </c>
      <c r="B616" s="4">
        <v>65</v>
      </c>
      <c r="C616" s="4">
        <v>40</v>
      </c>
      <c r="D616" s="4">
        <v>129</v>
      </c>
      <c r="E616" s="4">
        <v>1</v>
      </c>
      <c r="F616" s="8">
        <v>1.3</v>
      </c>
      <c r="G616" s="4">
        <v>1</v>
      </c>
      <c r="H616" s="4">
        <f t="shared" si="18"/>
        <v>1</v>
      </c>
      <c r="I616" s="4">
        <f t="shared" si="19"/>
        <v>0</v>
      </c>
      <c r="J616" s="4">
        <v>0</v>
      </c>
      <c r="K616" s="4">
        <v>0</v>
      </c>
      <c r="L616" s="4">
        <v>0</v>
      </c>
      <c r="M616" s="4">
        <v>1</v>
      </c>
      <c r="N616" s="4">
        <v>1</v>
      </c>
      <c r="O616" s="4">
        <v>0</v>
      </c>
    </row>
    <row r="617" spans="1:15" x14ac:dyDescent="0.15">
      <c r="A617" s="4">
        <v>614</v>
      </c>
      <c r="B617" s="4">
        <v>60</v>
      </c>
      <c r="C617" s="4">
        <v>35</v>
      </c>
      <c r="D617" s="4">
        <v>108</v>
      </c>
      <c r="E617" s="4">
        <v>1</v>
      </c>
      <c r="F617" s="8">
        <v>0.9</v>
      </c>
      <c r="G617" s="4">
        <v>1</v>
      </c>
      <c r="H617" s="4">
        <f t="shared" si="18"/>
        <v>1</v>
      </c>
      <c r="I617" s="4">
        <f t="shared" si="19"/>
        <v>0</v>
      </c>
      <c r="J617" s="4">
        <v>0</v>
      </c>
      <c r="K617" s="4">
        <v>1</v>
      </c>
      <c r="L617" s="4">
        <v>0</v>
      </c>
      <c r="M617" s="4">
        <v>0</v>
      </c>
      <c r="N617" s="4">
        <v>0</v>
      </c>
      <c r="O617" s="4">
        <v>0</v>
      </c>
    </row>
    <row r="618" spans="1:15" x14ac:dyDescent="0.15">
      <c r="A618" s="4">
        <v>615</v>
      </c>
      <c r="B618" s="4">
        <v>37</v>
      </c>
      <c r="C618" s="4">
        <v>12</v>
      </c>
      <c r="D618" s="4">
        <v>180</v>
      </c>
      <c r="E618" s="4">
        <v>1</v>
      </c>
      <c r="F618" s="8">
        <v>8.6</v>
      </c>
      <c r="G618" s="4">
        <v>1</v>
      </c>
      <c r="H618" s="4">
        <f t="shared" si="18"/>
        <v>1</v>
      </c>
      <c r="I618" s="4">
        <f t="shared" si="19"/>
        <v>0</v>
      </c>
      <c r="J618" s="4">
        <v>0</v>
      </c>
      <c r="K618" s="4">
        <v>0</v>
      </c>
      <c r="L618" s="4">
        <v>0</v>
      </c>
      <c r="M618" s="4">
        <v>1</v>
      </c>
      <c r="N618" s="4">
        <v>1</v>
      </c>
      <c r="O618" s="4">
        <v>0</v>
      </c>
    </row>
    <row r="619" spans="1:15" x14ac:dyDescent="0.15">
      <c r="A619" s="4">
        <v>616</v>
      </c>
      <c r="B619" s="4">
        <v>63</v>
      </c>
      <c r="C619" s="4">
        <v>37</v>
      </c>
      <c r="D619" s="4">
        <v>139</v>
      </c>
      <c r="E619" s="4">
        <v>2</v>
      </c>
      <c r="F619" s="8">
        <v>6.9</v>
      </c>
      <c r="G619" s="4">
        <v>1</v>
      </c>
      <c r="H619" s="4">
        <f t="shared" si="18"/>
        <v>1</v>
      </c>
      <c r="I619" s="4">
        <f t="shared" si="19"/>
        <v>0</v>
      </c>
      <c r="J619" s="4">
        <v>0</v>
      </c>
      <c r="K619" s="4">
        <v>0</v>
      </c>
      <c r="L619" s="4">
        <v>0</v>
      </c>
      <c r="M619" s="4">
        <v>0</v>
      </c>
      <c r="N619" s="4">
        <v>0</v>
      </c>
      <c r="O619" s="4">
        <v>0</v>
      </c>
    </row>
    <row r="620" spans="1:15" x14ac:dyDescent="0.15">
      <c r="A620" s="4">
        <v>617</v>
      </c>
      <c r="B620" s="4">
        <v>40</v>
      </c>
      <c r="C620" s="4">
        <v>14</v>
      </c>
      <c r="D620" s="4">
        <v>33</v>
      </c>
      <c r="E620" s="4">
        <v>2</v>
      </c>
      <c r="F620" s="8">
        <v>1.4</v>
      </c>
      <c r="G620" s="4">
        <v>3</v>
      </c>
      <c r="H620" s="4">
        <f t="shared" si="18"/>
        <v>0</v>
      </c>
      <c r="I620" s="4">
        <f t="shared" si="19"/>
        <v>0</v>
      </c>
      <c r="J620" s="4">
        <v>0</v>
      </c>
      <c r="K620" s="4">
        <v>0</v>
      </c>
      <c r="L620" s="4">
        <v>0</v>
      </c>
      <c r="M620" s="4">
        <v>1</v>
      </c>
      <c r="N620" s="4">
        <v>1</v>
      </c>
      <c r="O620" s="4">
        <v>0</v>
      </c>
    </row>
    <row r="621" spans="1:15" x14ac:dyDescent="0.15">
      <c r="A621" s="4">
        <v>618</v>
      </c>
      <c r="B621" s="4">
        <v>46</v>
      </c>
      <c r="C621" s="4">
        <v>20</v>
      </c>
      <c r="D621" s="4">
        <v>74</v>
      </c>
      <c r="E621" s="4">
        <v>4</v>
      </c>
      <c r="F621" s="8">
        <v>2.6</v>
      </c>
      <c r="G621" s="4">
        <v>3</v>
      </c>
      <c r="H621" s="4">
        <f t="shared" si="18"/>
        <v>0</v>
      </c>
      <c r="I621" s="4">
        <f t="shared" si="19"/>
        <v>0</v>
      </c>
      <c r="J621" s="4">
        <v>0</v>
      </c>
      <c r="K621" s="4">
        <v>0</v>
      </c>
      <c r="L621" s="4">
        <v>0</v>
      </c>
      <c r="M621" s="4">
        <v>1</v>
      </c>
      <c r="N621" s="4">
        <v>0</v>
      </c>
      <c r="O621" s="4">
        <v>0</v>
      </c>
    </row>
    <row r="622" spans="1:15" x14ac:dyDescent="0.15">
      <c r="A622" s="4">
        <v>619</v>
      </c>
      <c r="B622" s="4">
        <v>63</v>
      </c>
      <c r="C622" s="4">
        <v>37</v>
      </c>
      <c r="D622" s="4">
        <v>42</v>
      </c>
      <c r="E622" s="4">
        <v>2</v>
      </c>
      <c r="F622" s="8">
        <v>0.7</v>
      </c>
      <c r="G622" s="4">
        <v>3</v>
      </c>
      <c r="H622" s="4">
        <f t="shared" si="18"/>
        <v>0</v>
      </c>
      <c r="I622" s="4">
        <f t="shared" si="19"/>
        <v>0</v>
      </c>
      <c r="J622" s="4">
        <v>115</v>
      </c>
      <c r="K622" s="4">
        <v>0</v>
      </c>
      <c r="L622" s="4">
        <v>0</v>
      </c>
      <c r="M622" s="4">
        <v>1</v>
      </c>
      <c r="N622" s="4">
        <v>0</v>
      </c>
      <c r="O622" s="4">
        <v>0</v>
      </c>
    </row>
    <row r="623" spans="1:15" x14ac:dyDescent="0.15">
      <c r="A623" s="4">
        <v>620</v>
      </c>
      <c r="B623" s="4">
        <v>57</v>
      </c>
      <c r="C623" s="4">
        <v>27</v>
      </c>
      <c r="D623" s="4">
        <v>73</v>
      </c>
      <c r="E623" s="4">
        <v>1</v>
      </c>
      <c r="F623" s="8">
        <v>3</v>
      </c>
      <c r="G623" s="4">
        <v>3</v>
      </c>
      <c r="H623" s="4">
        <f t="shared" si="18"/>
        <v>0</v>
      </c>
      <c r="I623" s="4">
        <f t="shared" si="19"/>
        <v>0</v>
      </c>
      <c r="J623" s="4">
        <v>0</v>
      </c>
      <c r="K623" s="4">
        <v>0</v>
      </c>
      <c r="L623" s="4">
        <v>0</v>
      </c>
      <c r="M623" s="4">
        <v>0</v>
      </c>
      <c r="N623" s="4">
        <v>0</v>
      </c>
      <c r="O623" s="4">
        <v>0</v>
      </c>
    </row>
    <row r="624" spans="1:15" x14ac:dyDescent="0.15">
      <c r="A624" s="4">
        <v>621</v>
      </c>
      <c r="B624" s="4">
        <v>33</v>
      </c>
      <c r="C624" s="4">
        <v>8</v>
      </c>
      <c r="D624" s="4">
        <v>115</v>
      </c>
      <c r="E624" s="4">
        <v>4</v>
      </c>
      <c r="F624" s="8">
        <v>2.9</v>
      </c>
      <c r="G624" s="4">
        <v>2</v>
      </c>
      <c r="H624" s="4">
        <f t="shared" si="18"/>
        <v>0</v>
      </c>
      <c r="I624" s="4">
        <f t="shared" si="19"/>
        <v>1</v>
      </c>
      <c r="J624" s="4">
        <v>0</v>
      </c>
      <c r="K624" s="4">
        <v>0</v>
      </c>
      <c r="L624" s="4">
        <v>0</v>
      </c>
      <c r="M624" s="4">
        <v>1</v>
      </c>
      <c r="N624" s="4">
        <v>0</v>
      </c>
      <c r="O624" s="4">
        <v>1</v>
      </c>
    </row>
    <row r="625" spans="1:15" x14ac:dyDescent="0.15">
      <c r="A625" s="4">
        <v>622</v>
      </c>
      <c r="B625" s="4">
        <v>41</v>
      </c>
      <c r="C625" s="4">
        <v>17</v>
      </c>
      <c r="D625" s="4">
        <v>114</v>
      </c>
      <c r="E625" s="4">
        <v>2</v>
      </c>
      <c r="F625" s="8">
        <v>1.8</v>
      </c>
      <c r="G625" s="4">
        <v>2</v>
      </c>
      <c r="H625" s="4">
        <f t="shared" si="18"/>
        <v>0</v>
      </c>
      <c r="I625" s="4">
        <f t="shared" si="19"/>
        <v>1</v>
      </c>
      <c r="J625" s="4">
        <v>0</v>
      </c>
      <c r="K625" s="4">
        <v>0</v>
      </c>
      <c r="L625" s="4">
        <v>0</v>
      </c>
      <c r="M625" s="4">
        <v>1</v>
      </c>
      <c r="N625" s="4">
        <v>0</v>
      </c>
      <c r="O625" s="4">
        <v>0</v>
      </c>
    </row>
    <row r="626" spans="1:15" x14ac:dyDescent="0.15">
      <c r="A626" s="4">
        <v>623</v>
      </c>
      <c r="B626" s="4">
        <v>41</v>
      </c>
      <c r="C626" s="4">
        <v>17</v>
      </c>
      <c r="D626" s="4">
        <v>92</v>
      </c>
      <c r="E626" s="4">
        <v>2</v>
      </c>
      <c r="F626" s="8">
        <v>1.9</v>
      </c>
      <c r="G626" s="4">
        <v>1</v>
      </c>
      <c r="H626" s="4">
        <f t="shared" si="18"/>
        <v>1</v>
      </c>
      <c r="I626" s="4">
        <f t="shared" si="19"/>
        <v>0</v>
      </c>
      <c r="J626" s="4">
        <v>131</v>
      </c>
      <c r="K626" s="4">
        <v>0</v>
      </c>
      <c r="L626" s="4">
        <v>0</v>
      </c>
      <c r="M626" s="4">
        <v>1</v>
      </c>
      <c r="N626" s="4">
        <v>0</v>
      </c>
      <c r="O626" s="4">
        <v>0</v>
      </c>
    </row>
    <row r="627" spans="1:15" x14ac:dyDescent="0.15">
      <c r="A627" s="4">
        <v>624</v>
      </c>
      <c r="B627" s="4">
        <v>44</v>
      </c>
      <c r="C627" s="4">
        <v>19</v>
      </c>
      <c r="D627" s="4">
        <v>34</v>
      </c>
      <c r="E627" s="4">
        <v>1</v>
      </c>
      <c r="F627" s="8">
        <v>0.3</v>
      </c>
      <c r="G627" s="4">
        <v>3</v>
      </c>
      <c r="H627" s="4">
        <f t="shared" si="18"/>
        <v>0</v>
      </c>
      <c r="I627" s="4">
        <f t="shared" si="19"/>
        <v>0</v>
      </c>
      <c r="J627" s="4">
        <v>78</v>
      </c>
      <c r="K627" s="4">
        <v>0</v>
      </c>
      <c r="L627" s="4">
        <v>0</v>
      </c>
      <c r="M627" s="4">
        <v>1</v>
      </c>
      <c r="N627" s="4">
        <v>0</v>
      </c>
      <c r="O627" s="4">
        <v>0</v>
      </c>
    </row>
    <row r="628" spans="1:15" x14ac:dyDescent="0.15">
      <c r="A628" s="4">
        <v>625</v>
      </c>
      <c r="B628" s="4">
        <v>33</v>
      </c>
      <c r="C628" s="4">
        <v>6</v>
      </c>
      <c r="D628" s="4">
        <v>54</v>
      </c>
      <c r="E628" s="4">
        <v>2</v>
      </c>
      <c r="F628" s="8">
        <v>1.6666666666666667</v>
      </c>
      <c r="G628" s="4">
        <v>2</v>
      </c>
      <c r="H628" s="4">
        <f t="shared" si="18"/>
        <v>0</v>
      </c>
      <c r="I628" s="4">
        <f t="shared" si="19"/>
        <v>1</v>
      </c>
      <c r="J628" s="4">
        <v>122</v>
      </c>
      <c r="K628" s="4">
        <v>0</v>
      </c>
      <c r="L628" s="4">
        <v>0</v>
      </c>
      <c r="M628" s="4">
        <v>1</v>
      </c>
      <c r="N628" s="4">
        <v>0</v>
      </c>
      <c r="O628" s="4">
        <v>0</v>
      </c>
    </row>
    <row r="629" spans="1:15" x14ac:dyDescent="0.15">
      <c r="A629" s="4">
        <v>626</v>
      </c>
      <c r="B629" s="4">
        <v>52</v>
      </c>
      <c r="C629" s="4">
        <v>28</v>
      </c>
      <c r="D629" s="4">
        <v>64</v>
      </c>
      <c r="E629" s="4">
        <v>2</v>
      </c>
      <c r="F629" s="8">
        <v>1</v>
      </c>
      <c r="G629" s="4">
        <v>3</v>
      </c>
      <c r="H629" s="4">
        <f t="shared" si="18"/>
        <v>0</v>
      </c>
      <c r="I629" s="4">
        <f t="shared" si="19"/>
        <v>0</v>
      </c>
      <c r="J629" s="4">
        <v>211</v>
      </c>
      <c r="K629" s="4">
        <v>0</v>
      </c>
      <c r="L629" s="4">
        <v>0</v>
      </c>
      <c r="M629" s="4">
        <v>1</v>
      </c>
      <c r="N629" s="4">
        <v>0</v>
      </c>
      <c r="O629" s="4">
        <v>0</v>
      </c>
    </row>
    <row r="630" spans="1:15" x14ac:dyDescent="0.15">
      <c r="A630" s="4">
        <v>627</v>
      </c>
      <c r="B630" s="4">
        <v>30</v>
      </c>
      <c r="C630" s="4">
        <v>6</v>
      </c>
      <c r="D630" s="4">
        <v>42</v>
      </c>
      <c r="E630" s="4">
        <v>1</v>
      </c>
      <c r="F630" s="8">
        <v>0.2</v>
      </c>
      <c r="G630" s="4">
        <v>3</v>
      </c>
      <c r="H630" s="4">
        <f t="shared" si="18"/>
        <v>0</v>
      </c>
      <c r="I630" s="4">
        <f t="shared" si="19"/>
        <v>0</v>
      </c>
      <c r="J630" s="4">
        <v>100</v>
      </c>
      <c r="K630" s="4">
        <v>0</v>
      </c>
      <c r="L630" s="4">
        <v>0</v>
      </c>
      <c r="M630" s="4">
        <v>0</v>
      </c>
      <c r="N630" s="4">
        <v>1</v>
      </c>
      <c r="O630" s="4">
        <v>0</v>
      </c>
    </row>
    <row r="631" spans="1:15" x14ac:dyDescent="0.15">
      <c r="A631" s="4">
        <v>628</v>
      </c>
      <c r="B631" s="4">
        <v>45</v>
      </c>
      <c r="C631" s="4">
        <v>19</v>
      </c>
      <c r="D631" s="4">
        <v>70</v>
      </c>
      <c r="E631" s="4">
        <v>3</v>
      </c>
      <c r="F631" s="8">
        <v>2.1</v>
      </c>
      <c r="G631" s="4">
        <v>1</v>
      </c>
      <c r="H631" s="4">
        <f t="shared" si="18"/>
        <v>1</v>
      </c>
      <c r="I631" s="4">
        <f t="shared" si="19"/>
        <v>0</v>
      </c>
      <c r="J631" s="4">
        <v>0</v>
      </c>
      <c r="K631" s="4">
        <v>0</v>
      </c>
      <c r="L631" s="4">
        <v>0</v>
      </c>
      <c r="M631" s="4">
        <v>1</v>
      </c>
      <c r="N631" s="4">
        <v>0</v>
      </c>
      <c r="O631" s="4">
        <v>0</v>
      </c>
    </row>
    <row r="632" spans="1:15" x14ac:dyDescent="0.15">
      <c r="A632" s="4">
        <v>629</v>
      </c>
      <c r="B632" s="4">
        <v>49</v>
      </c>
      <c r="C632" s="4">
        <v>24</v>
      </c>
      <c r="D632" s="4">
        <v>51</v>
      </c>
      <c r="E632" s="4">
        <v>1</v>
      </c>
      <c r="F632" s="8">
        <v>1.3</v>
      </c>
      <c r="G632" s="4">
        <v>2</v>
      </c>
      <c r="H632" s="4">
        <f t="shared" si="18"/>
        <v>0</v>
      </c>
      <c r="I632" s="4">
        <f t="shared" si="19"/>
        <v>1</v>
      </c>
      <c r="J632" s="4">
        <v>0</v>
      </c>
      <c r="K632" s="4">
        <v>0</v>
      </c>
      <c r="L632" s="4">
        <v>0</v>
      </c>
      <c r="M632" s="4">
        <v>0</v>
      </c>
      <c r="N632" s="4">
        <v>0</v>
      </c>
      <c r="O632" s="4">
        <v>0</v>
      </c>
    </row>
    <row r="633" spans="1:15" x14ac:dyDescent="0.15">
      <c r="A633" s="4">
        <v>630</v>
      </c>
      <c r="B633" s="4">
        <v>45</v>
      </c>
      <c r="C633" s="4">
        <v>19</v>
      </c>
      <c r="D633" s="4">
        <v>71</v>
      </c>
      <c r="E633" s="4">
        <v>4</v>
      </c>
      <c r="F633" s="8">
        <v>2.9</v>
      </c>
      <c r="G633" s="4">
        <v>1</v>
      </c>
      <c r="H633" s="4">
        <f t="shared" si="18"/>
        <v>1</v>
      </c>
      <c r="I633" s="4">
        <f t="shared" si="19"/>
        <v>0</v>
      </c>
      <c r="J633" s="4">
        <v>218</v>
      </c>
      <c r="K633" s="4">
        <v>0</v>
      </c>
      <c r="L633" s="4">
        <v>1</v>
      </c>
      <c r="M633" s="4">
        <v>1</v>
      </c>
      <c r="N633" s="4">
        <v>1</v>
      </c>
      <c r="O633" s="4">
        <v>0</v>
      </c>
    </row>
    <row r="634" spans="1:15" x14ac:dyDescent="0.15">
      <c r="A634" s="4">
        <v>631</v>
      </c>
      <c r="B634" s="4">
        <v>32</v>
      </c>
      <c r="C634" s="4">
        <v>7</v>
      </c>
      <c r="D634" s="4">
        <v>35</v>
      </c>
      <c r="E634" s="4">
        <v>3</v>
      </c>
      <c r="F634" s="8">
        <v>1.3</v>
      </c>
      <c r="G634" s="4">
        <v>1</v>
      </c>
      <c r="H634" s="4">
        <f t="shared" si="18"/>
        <v>1</v>
      </c>
      <c r="I634" s="4">
        <f t="shared" si="19"/>
        <v>0</v>
      </c>
      <c r="J634" s="4">
        <v>108</v>
      </c>
      <c r="K634" s="4">
        <v>0</v>
      </c>
      <c r="L634" s="4">
        <v>0</v>
      </c>
      <c r="M634" s="4">
        <v>0</v>
      </c>
      <c r="N634" s="4">
        <v>1</v>
      </c>
      <c r="O634" s="4">
        <v>0</v>
      </c>
    </row>
    <row r="635" spans="1:15" x14ac:dyDescent="0.15">
      <c r="A635" s="4">
        <v>632</v>
      </c>
      <c r="B635" s="4">
        <v>45</v>
      </c>
      <c r="C635" s="4">
        <v>18</v>
      </c>
      <c r="D635" s="4">
        <v>40</v>
      </c>
      <c r="E635" s="4">
        <v>3</v>
      </c>
      <c r="F635" s="8">
        <v>1</v>
      </c>
      <c r="G635" s="4">
        <v>2</v>
      </c>
      <c r="H635" s="4">
        <f t="shared" si="18"/>
        <v>0</v>
      </c>
      <c r="I635" s="4">
        <f t="shared" si="19"/>
        <v>1</v>
      </c>
      <c r="J635" s="4">
        <v>0</v>
      </c>
      <c r="K635" s="4">
        <v>0</v>
      </c>
      <c r="L635" s="4">
        <v>0</v>
      </c>
      <c r="M635" s="4">
        <v>1</v>
      </c>
      <c r="N635" s="4">
        <v>0</v>
      </c>
      <c r="O635" s="4">
        <v>0</v>
      </c>
    </row>
    <row r="636" spans="1:15" x14ac:dyDescent="0.15">
      <c r="A636" s="4">
        <v>633</v>
      </c>
      <c r="B636" s="4">
        <v>57</v>
      </c>
      <c r="C636" s="4">
        <v>32</v>
      </c>
      <c r="D636" s="4">
        <v>165</v>
      </c>
      <c r="E636" s="4">
        <v>4</v>
      </c>
      <c r="F636" s="8">
        <v>2.7</v>
      </c>
      <c r="G636" s="4">
        <v>3</v>
      </c>
      <c r="H636" s="4">
        <f t="shared" si="18"/>
        <v>0</v>
      </c>
      <c r="I636" s="4">
        <f t="shared" si="19"/>
        <v>0</v>
      </c>
      <c r="J636" s="4">
        <v>0</v>
      </c>
      <c r="K636" s="4">
        <v>0</v>
      </c>
      <c r="L636" s="4">
        <v>0</v>
      </c>
      <c r="M636" s="4">
        <v>1</v>
      </c>
      <c r="N636" s="4">
        <v>0</v>
      </c>
      <c r="O636" s="4">
        <v>1</v>
      </c>
    </row>
    <row r="637" spans="1:15" x14ac:dyDescent="0.15">
      <c r="A637" s="4">
        <v>634</v>
      </c>
      <c r="B637" s="4">
        <v>61</v>
      </c>
      <c r="C637" s="4">
        <v>31</v>
      </c>
      <c r="D637" s="4">
        <v>18</v>
      </c>
      <c r="E637" s="4">
        <v>1</v>
      </c>
      <c r="F637" s="8">
        <v>1.5</v>
      </c>
      <c r="G637" s="4">
        <v>3</v>
      </c>
      <c r="H637" s="4">
        <f t="shared" si="18"/>
        <v>0</v>
      </c>
      <c r="I637" s="4">
        <f t="shared" si="19"/>
        <v>0</v>
      </c>
      <c r="J637" s="4">
        <v>0</v>
      </c>
      <c r="K637" s="4">
        <v>0</v>
      </c>
      <c r="L637" s="4">
        <v>0</v>
      </c>
      <c r="M637" s="4">
        <v>1</v>
      </c>
      <c r="N637" s="4">
        <v>1</v>
      </c>
      <c r="O637" s="4">
        <v>0</v>
      </c>
    </row>
    <row r="638" spans="1:15" x14ac:dyDescent="0.15">
      <c r="A638" s="4">
        <v>635</v>
      </c>
      <c r="B638" s="4">
        <v>57</v>
      </c>
      <c r="C638" s="4">
        <v>31</v>
      </c>
      <c r="D638" s="4">
        <v>32</v>
      </c>
      <c r="E638" s="4">
        <v>3</v>
      </c>
      <c r="F638" s="8">
        <v>1.4</v>
      </c>
      <c r="G638" s="4">
        <v>1</v>
      </c>
      <c r="H638" s="4">
        <f t="shared" si="18"/>
        <v>1</v>
      </c>
      <c r="I638" s="4">
        <f t="shared" si="19"/>
        <v>0</v>
      </c>
      <c r="J638" s="4">
        <v>0</v>
      </c>
      <c r="K638" s="4">
        <v>1</v>
      </c>
      <c r="L638" s="4">
        <v>1</v>
      </c>
      <c r="M638" s="4">
        <v>1</v>
      </c>
      <c r="N638" s="4">
        <v>1</v>
      </c>
      <c r="O638" s="4">
        <v>0</v>
      </c>
    </row>
    <row r="639" spans="1:15" x14ac:dyDescent="0.15">
      <c r="A639" s="4">
        <v>636</v>
      </c>
      <c r="B639" s="4">
        <v>60</v>
      </c>
      <c r="C639" s="4">
        <v>35</v>
      </c>
      <c r="D639" s="4">
        <v>35</v>
      </c>
      <c r="E639" s="4">
        <v>3</v>
      </c>
      <c r="F639" s="8">
        <v>0.2</v>
      </c>
      <c r="G639" s="4">
        <v>1</v>
      </c>
      <c r="H639" s="4">
        <f t="shared" si="18"/>
        <v>1</v>
      </c>
      <c r="I639" s="4">
        <f t="shared" si="19"/>
        <v>0</v>
      </c>
      <c r="J639" s="4">
        <v>169</v>
      </c>
      <c r="K639" s="4">
        <v>0</v>
      </c>
      <c r="L639" s="4">
        <v>0</v>
      </c>
      <c r="M639" s="4">
        <v>1</v>
      </c>
      <c r="N639" s="4">
        <v>0</v>
      </c>
      <c r="O639" s="4">
        <v>0</v>
      </c>
    </row>
    <row r="640" spans="1:15" x14ac:dyDescent="0.15">
      <c r="A640" s="4">
        <v>637</v>
      </c>
      <c r="B640" s="4">
        <v>40</v>
      </c>
      <c r="C640" s="4">
        <v>16</v>
      </c>
      <c r="D640" s="4">
        <v>120</v>
      </c>
      <c r="E640" s="4">
        <v>2</v>
      </c>
      <c r="F640" s="8">
        <v>6.1</v>
      </c>
      <c r="G640" s="4">
        <v>1</v>
      </c>
      <c r="H640" s="4">
        <f t="shared" si="18"/>
        <v>1</v>
      </c>
      <c r="I640" s="4">
        <f t="shared" si="19"/>
        <v>0</v>
      </c>
      <c r="J640" s="4">
        <v>196</v>
      </c>
      <c r="K640" s="4">
        <v>0</v>
      </c>
      <c r="L640" s="4">
        <v>0</v>
      </c>
      <c r="M640" s="4">
        <v>1</v>
      </c>
      <c r="N640" s="4">
        <v>0</v>
      </c>
      <c r="O640" s="4">
        <v>0</v>
      </c>
    </row>
    <row r="641" spans="1:15" x14ac:dyDescent="0.15">
      <c r="A641" s="4">
        <v>638</v>
      </c>
      <c r="B641" s="4">
        <v>53</v>
      </c>
      <c r="C641" s="4">
        <v>28</v>
      </c>
      <c r="D641" s="4">
        <v>31</v>
      </c>
      <c r="E641" s="4">
        <v>4</v>
      </c>
      <c r="F641" s="8">
        <v>0.1</v>
      </c>
      <c r="G641" s="4">
        <v>3</v>
      </c>
      <c r="H641" s="4">
        <f t="shared" si="18"/>
        <v>0</v>
      </c>
      <c r="I641" s="4">
        <f t="shared" si="19"/>
        <v>0</v>
      </c>
      <c r="J641" s="4">
        <v>0</v>
      </c>
      <c r="K641" s="4">
        <v>0</v>
      </c>
      <c r="L641" s="4">
        <v>0</v>
      </c>
      <c r="M641" s="4">
        <v>1</v>
      </c>
      <c r="N641" s="4">
        <v>0</v>
      </c>
      <c r="O641" s="4">
        <v>0</v>
      </c>
    </row>
    <row r="642" spans="1:15" x14ac:dyDescent="0.15">
      <c r="A642" s="4">
        <v>639</v>
      </c>
      <c r="B642" s="4">
        <v>42</v>
      </c>
      <c r="C642" s="4">
        <v>16</v>
      </c>
      <c r="D642" s="4">
        <v>35</v>
      </c>
      <c r="E642" s="4">
        <v>3</v>
      </c>
      <c r="F642" s="8">
        <v>1.5</v>
      </c>
      <c r="G642" s="4">
        <v>1</v>
      </c>
      <c r="H642" s="4">
        <f t="shared" si="18"/>
        <v>1</v>
      </c>
      <c r="I642" s="4">
        <f t="shared" si="19"/>
        <v>0</v>
      </c>
      <c r="J642" s="4">
        <v>0</v>
      </c>
      <c r="K642" s="4">
        <v>0</v>
      </c>
      <c r="L642" s="4">
        <v>0</v>
      </c>
      <c r="M642" s="4">
        <v>0</v>
      </c>
      <c r="N642" s="4">
        <v>0</v>
      </c>
      <c r="O642" s="4">
        <v>0</v>
      </c>
    </row>
    <row r="643" spans="1:15" x14ac:dyDescent="0.15">
      <c r="A643" s="4">
        <v>640</v>
      </c>
      <c r="B643" s="4">
        <v>62</v>
      </c>
      <c r="C643" s="4">
        <v>36</v>
      </c>
      <c r="D643" s="4">
        <v>32</v>
      </c>
      <c r="E643" s="4">
        <v>2</v>
      </c>
      <c r="F643" s="8">
        <v>0.2</v>
      </c>
      <c r="G643" s="4">
        <v>3</v>
      </c>
      <c r="H643" s="4">
        <f t="shared" si="18"/>
        <v>0</v>
      </c>
      <c r="I643" s="4">
        <f t="shared" si="19"/>
        <v>0</v>
      </c>
      <c r="J643" s="4">
        <v>0</v>
      </c>
      <c r="K643" s="4">
        <v>0</v>
      </c>
      <c r="L643" s="4">
        <v>0</v>
      </c>
      <c r="M643" s="4">
        <v>1</v>
      </c>
      <c r="N643" s="4">
        <v>1</v>
      </c>
      <c r="O643" s="4">
        <v>0</v>
      </c>
    </row>
    <row r="644" spans="1:15" x14ac:dyDescent="0.15">
      <c r="A644" s="4">
        <v>641</v>
      </c>
      <c r="B644" s="4">
        <v>43</v>
      </c>
      <c r="C644" s="4">
        <v>18</v>
      </c>
      <c r="D644" s="4">
        <v>85</v>
      </c>
      <c r="E644" s="4">
        <v>1</v>
      </c>
      <c r="F644" s="8">
        <v>3.7</v>
      </c>
      <c r="G644" s="4">
        <v>3</v>
      </c>
      <c r="H644" s="4">
        <f t="shared" si="18"/>
        <v>0</v>
      </c>
      <c r="I644" s="4">
        <f t="shared" si="19"/>
        <v>0</v>
      </c>
      <c r="J644" s="4">
        <v>327</v>
      </c>
      <c r="K644" s="4">
        <v>1</v>
      </c>
      <c r="L644" s="4">
        <v>0</v>
      </c>
      <c r="M644" s="4">
        <v>1</v>
      </c>
      <c r="N644" s="4">
        <v>0</v>
      </c>
      <c r="O644" s="4">
        <v>0</v>
      </c>
    </row>
    <row r="645" spans="1:15" x14ac:dyDescent="0.15">
      <c r="A645" s="4">
        <v>642</v>
      </c>
      <c r="B645" s="4">
        <v>35</v>
      </c>
      <c r="C645" s="4">
        <v>10</v>
      </c>
      <c r="D645" s="4">
        <v>139</v>
      </c>
      <c r="E645" s="4">
        <v>2</v>
      </c>
      <c r="F645" s="8">
        <v>7.8</v>
      </c>
      <c r="G645" s="4">
        <v>1</v>
      </c>
      <c r="H645" s="4">
        <f t="shared" ref="H645:H708" si="20">IF(G645=1,1,0)</f>
        <v>1</v>
      </c>
      <c r="I645" s="4">
        <f t="shared" ref="I645:I708" si="21">IF(G645=2,1,0)</f>
        <v>0</v>
      </c>
      <c r="J645" s="4">
        <v>0</v>
      </c>
      <c r="K645" s="4">
        <v>0</v>
      </c>
      <c r="L645" s="4">
        <v>0</v>
      </c>
      <c r="M645" s="4">
        <v>0</v>
      </c>
      <c r="N645" s="4">
        <v>0</v>
      </c>
      <c r="O645" s="4">
        <v>0</v>
      </c>
    </row>
    <row r="646" spans="1:15" x14ac:dyDescent="0.15">
      <c r="A646" s="4">
        <v>643</v>
      </c>
      <c r="B646" s="4">
        <v>50</v>
      </c>
      <c r="C646" s="4">
        <v>24</v>
      </c>
      <c r="D646" s="4">
        <v>103</v>
      </c>
      <c r="E646" s="4">
        <v>1</v>
      </c>
      <c r="F646" s="8">
        <v>0.3</v>
      </c>
      <c r="G646" s="4">
        <v>1</v>
      </c>
      <c r="H646" s="4">
        <f t="shared" si="20"/>
        <v>1</v>
      </c>
      <c r="I646" s="4">
        <f t="shared" si="21"/>
        <v>0</v>
      </c>
      <c r="J646" s="4">
        <v>0</v>
      </c>
      <c r="K646" s="4">
        <v>0</v>
      </c>
      <c r="L646" s="4">
        <v>0</v>
      </c>
      <c r="M646" s="4">
        <v>1</v>
      </c>
      <c r="N646" s="4">
        <v>0</v>
      </c>
      <c r="O646" s="4">
        <v>0</v>
      </c>
    </row>
    <row r="647" spans="1:15" x14ac:dyDescent="0.15">
      <c r="A647" s="4">
        <v>644</v>
      </c>
      <c r="B647" s="4">
        <v>45</v>
      </c>
      <c r="C647" s="4">
        <v>21</v>
      </c>
      <c r="D647" s="4">
        <v>152</v>
      </c>
      <c r="E647" s="4">
        <v>2</v>
      </c>
      <c r="F647" s="8">
        <v>1.4</v>
      </c>
      <c r="G647" s="4">
        <v>1</v>
      </c>
      <c r="H647" s="4">
        <f t="shared" si="20"/>
        <v>1</v>
      </c>
      <c r="I647" s="4">
        <f t="shared" si="21"/>
        <v>0</v>
      </c>
      <c r="J647" s="4">
        <v>0</v>
      </c>
      <c r="K647" s="4">
        <v>0</v>
      </c>
      <c r="L647" s="4">
        <v>0</v>
      </c>
      <c r="M647" s="4">
        <v>1</v>
      </c>
      <c r="N647" s="4">
        <v>0</v>
      </c>
      <c r="O647" s="4">
        <v>0</v>
      </c>
    </row>
    <row r="648" spans="1:15" x14ac:dyDescent="0.15">
      <c r="A648" s="4">
        <v>645</v>
      </c>
      <c r="B648" s="4">
        <v>52</v>
      </c>
      <c r="C648" s="4">
        <v>27</v>
      </c>
      <c r="D648" s="4">
        <v>33</v>
      </c>
      <c r="E648" s="4">
        <v>2</v>
      </c>
      <c r="F648" s="8">
        <v>2</v>
      </c>
      <c r="G648" s="4">
        <v>2</v>
      </c>
      <c r="H648" s="4">
        <f t="shared" si="20"/>
        <v>0</v>
      </c>
      <c r="I648" s="4">
        <f t="shared" si="21"/>
        <v>1</v>
      </c>
      <c r="J648" s="4">
        <v>0</v>
      </c>
      <c r="K648" s="4">
        <v>0</v>
      </c>
      <c r="L648" s="4">
        <v>0</v>
      </c>
      <c r="M648" s="4">
        <v>1</v>
      </c>
      <c r="N648" s="4">
        <v>0</v>
      </c>
      <c r="O648" s="4">
        <v>0</v>
      </c>
    </row>
    <row r="649" spans="1:15" x14ac:dyDescent="0.15">
      <c r="A649" s="4">
        <v>646</v>
      </c>
      <c r="B649" s="4">
        <v>35</v>
      </c>
      <c r="C649" s="4">
        <v>9</v>
      </c>
      <c r="D649" s="4">
        <v>84</v>
      </c>
      <c r="E649" s="4">
        <v>4</v>
      </c>
      <c r="F649" s="8">
        <v>2.2000000000000002</v>
      </c>
      <c r="G649" s="4">
        <v>2</v>
      </c>
      <c r="H649" s="4">
        <f t="shared" si="20"/>
        <v>0</v>
      </c>
      <c r="I649" s="4">
        <f t="shared" si="21"/>
        <v>1</v>
      </c>
      <c r="J649" s="4">
        <v>322</v>
      </c>
      <c r="K649" s="4">
        <v>0</v>
      </c>
      <c r="L649" s="4">
        <v>0</v>
      </c>
      <c r="M649" s="4">
        <v>0</v>
      </c>
      <c r="N649" s="4">
        <v>0</v>
      </c>
      <c r="O649" s="4">
        <v>0</v>
      </c>
    </row>
    <row r="650" spans="1:15" x14ac:dyDescent="0.15">
      <c r="A650" s="4">
        <v>647</v>
      </c>
      <c r="B650" s="4">
        <v>58</v>
      </c>
      <c r="C650" s="4">
        <v>33</v>
      </c>
      <c r="D650" s="4">
        <v>61</v>
      </c>
      <c r="E650" s="4">
        <v>4</v>
      </c>
      <c r="F650" s="8">
        <v>1.7</v>
      </c>
      <c r="G650" s="4">
        <v>1</v>
      </c>
      <c r="H650" s="4">
        <f t="shared" si="20"/>
        <v>1</v>
      </c>
      <c r="I650" s="4">
        <f t="shared" si="21"/>
        <v>0</v>
      </c>
      <c r="J650" s="4">
        <v>0</v>
      </c>
      <c r="K650" s="4">
        <v>0</v>
      </c>
      <c r="L650" s="4">
        <v>0</v>
      </c>
      <c r="M650" s="4">
        <v>0</v>
      </c>
      <c r="N650" s="4">
        <v>0</v>
      </c>
      <c r="O650" s="4">
        <v>0</v>
      </c>
    </row>
    <row r="651" spans="1:15" x14ac:dyDescent="0.15">
      <c r="A651" s="4">
        <v>648</v>
      </c>
      <c r="B651" s="4">
        <v>62</v>
      </c>
      <c r="C651" s="4">
        <v>38</v>
      </c>
      <c r="D651" s="4">
        <v>64</v>
      </c>
      <c r="E651" s="4">
        <v>4</v>
      </c>
      <c r="F651" s="8">
        <v>2.2000000000000002</v>
      </c>
      <c r="G651" s="4">
        <v>1</v>
      </c>
      <c r="H651" s="4">
        <f t="shared" si="20"/>
        <v>1</v>
      </c>
      <c r="I651" s="4">
        <f t="shared" si="21"/>
        <v>0</v>
      </c>
      <c r="J651" s="4">
        <v>123</v>
      </c>
      <c r="K651" s="4">
        <v>1</v>
      </c>
      <c r="L651" s="4">
        <v>1</v>
      </c>
      <c r="M651" s="4">
        <v>1</v>
      </c>
      <c r="N651" s="4">
        <v>1</v>
      </c>
      <c r="O651" s="4">
        <v>0</v>
      </c>
    </row>
    <row r="652" spans="1:15" x14ac:dyDescent="0.15">
      <c r="A652" s="4">
        <v>649</v>
      </c>
      <c r="B652" s="4">
        <v>50</v>
      </c>
      <c r="C652" s="4">
        <v>25</v>
      </c>
      <c r="D652" s="4">
        <v>34</v>
      </c>
      <c r="E652" s="4">
        <v>1</v>
      </c>
      <c r="F652" s="8">
        <v>1.3</v>
      </c>
      <c r="G652" s="4">
        <v>2</v>
      </c>
      <c r="H652" s="4">
        <f t="shared" si="20"/>
        <v>0</v>
      </c>
      <c r="I652" s="4">
        <f t="shared" si="21"/>
        <v>1</v>
      </c>
      <c r="J652" s="4">
        <v>0</v>
      </c>
      <c r="K652" s="4">
        <v>0</v>
      </c>
      <c r="L652" s="4">
        <v>0</v>
      </c>
      <c r="M652" s="4">
        <v>1</v>
      </c>
      <c r="N652" s="4">
        <v>0</v>
      </c>
      <c r="O652" s="4">
        <v>0</v>
      </c>
    </row>
    <row r="653" spans="1:15" x14ac:dyDescent="0.15">
      <c r="A653" s="4">
        <v>650</v>
      </c>
      <c r="B653" s="4">
        <v>25</v>
      </c>
      <c r="C653" s="4">
        <v>0</v>
      </c>
      <c r="D653" s="4">
        <v>82</v>
      </c>
      <c r="E653" s="4">
        <v>4</v>
      </c>
      <c r="F653" s="8">
        <v>2.1</v>
      </c>
      <c r="G653" s="4">
        <v>3</v>
      </c>
      <c r="H653" s="4">
        <f t="shared" si="20"/>
        <v>0</v>
      </c>
      <c r="I653" s="4">
        <f t="shared" si="21"/>
        <v>0</v>
      </c>
      <c r="J653" s="4">
        <v>0</v>
      </c>
      <c r="K653" s="4">
        <v>0</v>
      </c>
      <c r="L653" s="4">
        <v>0</v>
      </c>
      <c r="M653" s="4">
        <v>1</v>
      </c>
      <c r="N653" s="4">
        <v>0</v>
      </c>
      <c r="O653" s="4">
        <v>0</v>
      </c>
    </row>
    <row r="654" spans="1:15" x14ac:dyDescent="0.15">
      <c r="A654" s="4">
        <v>651</v>
      </c>
      <c r="B654" s="4">
        <v>47</v>
      </c>
      <c r="C654" s="4">
        <v>22</v>
      </c>
      <c r="D654" s="4">
        <v>122</v>
      </c>
      <c r="E654" s="4">
        <v>1</v>
      </c>
      <c r="F654" s="8">
        <v>5.0999999999999996</v>
      </c>
      <c r="G654" s="4">
        <v>3</v>
      </c>
      <c r="H654" s="4">
        <f t="shared" si="20"/>
        <v>0</v>
      </c>
      <c r="I654" s="4">
        <f t="shared" si="21"/>
        <v>0</v>
      </c>
      <c r="J654" s="4">
        <v>163</v>
      </c>
      <c r="K654" s="4">
        <v>1</v>
      </c>
      <c r="L654" s="4">
        <v>0</v>
      </c>
      <c r="M654" s="4">
        <v>0</v>
      </c>
      <c r="N654" s="4">
        <v>0</v>
      </c>
      <c r="O654" s="4">
        <v>1</v>
      </c>
    </row>
    <row r="655" spans="1:15" x14ac:dyDescent="0.15">
      <c r="A655" s="4">
        <v>652</v>
      </c>
      <c r="B655" s="4">
        <v>28</v>
      </c>
      <c r="C655" s="4">
        <v>4</v>
      </c>
      <c r="D655" s="4">
        <v>58</v>
      </c>
      <c r="E655" s="4">
        <v>3</v>
      </c>
      <c r="F655" s="8">
        <v>1.5</v>
      </c>
      <c r="G655" s="4">
        <v>1</v>
      </c>
      <c r="H655" s="4">
        <f t="shared" si="20"/>
        <v>1</v>
      </c>
      <c r="I655" s="4">
        <f t="shared" si="21"/>
        <v>0</v>
      </c>
      <c r="J655" s="4">
        <v>131</v>
      </c>
      <c r="K655" s="4">
        <v>0</v>
      </c>
      <c r="L655" s="4">
        <v>0</v>
      </c>
      <c r="M655" s="4">
        <v>0</v>
      </c>
      <c r="N655" s="4">
        <v>0</v>
      </c>
      <c r="O655" s="4">
        <v>0</v>
      </c>
    </row>
    <row r="656" spans="1:15" x14ac:dyDescent="0.15">
      <c r="A656" s="4">
        <v>653</v>
      </c>
      <c r="B656" s="4">
        <v>34</v>
      </c>
      <c r="C656" s="4">
        <v>9</v>
      </c>
      <c r="D656" s="4">
        <v>92</v>
      </c>
      <c r="E656" s="4">
        <v>1</v>
      </c>
      <c r="F656" s="8">
        <v>2.8</v>
      </c>
      <c r="G656" s="4">
        <v>1</v>
      </c>
      <c r="H656" s="4">
        <f t="shared" si="20"/>
        <v>1</v>
      </c>
      <c r="I656" s="4">
        <f t="shared" si="21"/>
        <v>0</v>
      </c>
      <c r="J656" s="4">
        <v>0</v>
      </c>
      <c r="K656" s="4">
        <v>0</v>
      </c>
      <c r="L656" s="4">
        <v>0</v>
      </c>
      <c r="M656" s="4">
        <v>1</v>
      </c>
      <c r="N656" s="4">
        <v>0</v>
      </c>
      <c r="O656" s="4">
        <v>0</v>
      </c>
    </row>
    <row r="657" spans="1:15" x14ac:dyDescent="0.15">
      <c r="A657" s="4">
        <v>654</v>
      </c>
      <c r="B657" s="4">
        <v>49</v>
      </c>
      <c r="C657" s="4">
        <v>23</v>
      </c>
      <c r="D657" s="4">
        <v>78</v>
      </c>
      <c r="E657" s="4">
        <v>2</v>
      </c>
      <c r="F657" s="8">
        <v>2.4</v>
      </c>
      <c r="G657" s="4">
        <v>2</v>
      </c>
      <c r="H657" s="4">
        <f t="shared" si="20"/>
        <v>0</v>
      </c>
      <c r="I657" s="4">
        <f t="shared" si="21"/>
        <v>1</v>
      </c>
      <c r="J657" s="4">
        <v>205</v>
      </c>
      <c r="K657" s="4">
        <v>0</v>
      </c>
      <c r="L657" s="4">
        <v>0</v>
      </c>
      <c r="M657" s="4">
        <v>0</v>
      </c>
      <c r="N657" s="4">
        <v>1</v>
      </c>
      <c r="O657" s="4">
        <v>0</v>
      </c>
    </row>
    <row r="658" spans="1:15" x14ac:dyDescent="0.15">
      <c r="A658" s="4">
        <v>655</v>
      </c>
      <c r="B658" s="4">
        <v>54</v>
      </c>
      <c r="C658" s="4">
        <v>29</v>
      </c>
      <c r="D658" s="4">
        <v>129</v>
      </c>
      <c r="E658" s="4">
        <v>4</v>
      </c>
      <c r="F658" s="8">
        <v>4.2</v>
      </c>
      <c r="G658" s="4">
        <v>3</v>
      </c>
      <c r="H658" s="4">
        <f t="shared" si="20"/>
        <v>0</v>
      </c>
      <c r="I658" s="4">
        <f t="shared" si="21"/>
        <v>0</v>
      </c>
      <c r="J658" s="4">
        <v>0</v>
      </c>
      <c r="K658" s="4">
        <v>0</v>
      </c>
      <c r="L658" s="4">
        <v>0</v>
      </c>
      <c r="M658" s="4">
        <v>0</v>
      </c>
      <c r="N658" s="4">
        <v>0</v>
      </c>
      <c r="O658" s="4">
        <v>1</v>
      </c>
    </row>
    <row r="659" spans="1:15" x14ac:dyDescent="0.15">
      <c r="A659" s="4">
        <v>656</v>
      </c>
      <c r="B659" s="4">
        <v>50</v>
      </c>
      <c r="C659" s="4">
        <v>25</v>
      </c>
      <c r="D659" s="4">
        <v>13</v>
      </c>
      <c r="E659" s="4">
        <v>2</v>
      </c>
      <c r="F659" s="8">
        <v>0.7</v>
      </c>
      <c r="G659" s="4">
        <v>3</v>
      </c>
      <c r="H659" s="4">
        <f t="shared" si="20"/>
        <v>0</v>
      </c>
      <c r="I659" s="4">
        <f t="shared" si="21"/>
        <v>0</v>
      </c>
      <c r="J659" s="4">
        <v>0</v>
      </c>
      <c r="K659" s="4">
        <v>0</v>
      </c>
      <c r="L659" s="4">
        <v>0</v>
      </c>
      <c r="M659" s="4">
        <v>0</v>
      </c>
      <c r="N659" s="4">
        <v>0</v>
      </c>
      <c r="O659" s="4">
        <v>0</v>
      </c>
    </row>
    <row r="660" spans="1:15" x14ac:dyDescent="0.15">
      <c r="A660" s="4">
        <v>657</v>
      </c>
      <c r="B660" s="4">
        <v>37</v>
      </c>
      <c r="C660" s="4">
        <v>11</v>
      </c>
      <c r="D660" s="4">
        <v>81</v>
      </c>
      <c r="E660" s="4">
        <v>1</v>
      </c>
      <c r="F660" s="8">
        <v>2.8</v>
      </c>
      <c r="G660" s="4">
        <v>3</v>
      </c>
      <c r="H660" s="4">
        <f t="shared" si="20"/>
        <v>0</v>
      </c>
      <c r="I660" s="4">
        <f t="shared" si="21"/>
        <v>0</v>
      </c>
      <c r="J660" s="4">
        <v>145</v>
      </c>
      <c r="K660" s="4">
        <v>0</v>
      </c>
      <c r="L660" s="4">
        <v>0</v>
      </c>
      <c r="M660" s="4">
        <v>0</v>
      </c>
      <c r="N660" s="4">
        <v>0</v>
      </c>
      <c r="O660" s="4">
        <v>0</v>
      </c>
    </row>
    <row r="661" spans="1:15" x14ac:dyDescent="0.15">
      <c r="A661" s="4">
        <v>658</v>
      </c>
      <c r="B661" s="4">
        <v>38</v>
      </c>
      <c r="C661" s="4">
        <v>8</v>
      </c>
      <c r="D661" s="4">
        <v>23</v>
      </c>
      <c r="E661" s="4">
        <v>1</v>
      </c>
      <c r="F661" s="8">
        <v>0.66666666666666663</v>
      </c>
      <c r="G661" s="4">
        <v>3</v>
      </c>
      <c r="H661" s="4">
        <f t="shared" si="20"/>
        <v>0</v>
      </c>
      <c r="I661" s="4">
        <f t="shared" si="21"/>
        <v>0</v>
      </c>
      <c r="J661" s="4">
        <v>0</v>
      </c>
      <c r="K661" s="4">
        <v>0</v>
      </c>
      <c r="L661" s="4">
        <v>0</v>
      </c>
      <c r="M661" s="4">
        <v>0</v>
      </c>
      <c r="N661" s="4">
        <v>0</v>
      </c>
      <c r="O661" s="4">
        <v>0</v>
      </c>
    </row>
    <row r="662" spans="1:15" x14ac:dyDescent="0.15">
      <c r="A662" s="4">
        <v>659</v>
      </c>
      <c r="B662" s="4">
        <v>52</v>
      </c>
      <c r="C662" s="4">
        <v>26</v>
      </c>
      <c r="D662" s="4">
        <v>35</v>
      </c>
      <c r="E662" s="4">
        <v>3</v>
      </c>
      <c r="F662" s="8">
        <v>0.9</v>
      </c>
      <c r="G662" s="4">
        <v>3</v>
      </c>
      <c r="H662" s="4">
        <f t="shared" si="20"/>
        <v>0</v>
      </c>
      <c r="I662" s="4">
        <f t="shared" si="21"/>
        <v>0</v>
      </c>
      <c r="J662" s="4">
        <v>0</v>
      </c>
      <c r="K662" s="4">
        <v>0</v>
      </c>
      <c r="L662" s="4">
        <v>0</v>
      </c>
      <c r="M662" s="4">
        <v>0</v>
      </c>
      <c r="N662" s="4">
        <v>0</v>
      </c>
      <c r="O662" s="4">
        <v>0</v>
      </c>
    </row>
    <row r="663" spans="1:15" x14ac:dyDescent="0.15">
      <c r="A663" s="4">
        <v>660</v>
      </c>
      <c r="B663" s="4">
        <v>63</v>
      </c>
      <c r="C663" s="4">
        <v>39</v>
      </c>
      <c r="D663" s="4">
        <v>79</v>
      </c>
      <c r="E663" s="4">
        <v>4</v>
      </c>
      <c r="F663" s="8">
        <v>1.7</v>
      </c>
      <c r="G663" s="4">
        <v>2</v>
      </c>
      <c r="H663" s="4">
        <f t="shared" si="20"/>
        <v>0</v>
      </c>
      <c r="I663" s="4">
        <f t="shared" si="21"/>
        <v>1</v>
      </c>
      <c r="J663" s="4">
        <v>0</v>
      </c>
      <c r="K663" s="4">
        <v>0</v>
      </c>
      <c r="L663" s="4">
        <v>0</v>
      </c>
      <c r="M663" s="4">
        <v>1</v>
      </c>
      <c r="N663" s="4">
        <v>1</v>
      </c>
      <c r="O663" s="4">
        <v>0</v>
      </c>
    </row>
    <row r="664" spans="1:15" x14ac:dyDescent="0.15">
      <c r="A664" s="4">
        <v>661</v>
      </c>
      <c r="B664" s="4">
        <v>39</v>
      </c>
      <c r="C664" s="4">
        <v>14</v>
      </c>
      <c r="D664" s="4">
        <v>165</v>
      </c>
      <c r="E664" s="4">
        <v>2</v>
      </c>
      <c r="F664" s="8">
        <v>3.3</v>
      </c>
      <c r="G664" s="4">
        <v>1</v>
      </c>
      <c r="H664" s="4">
        <f t="shared" si="20"/>
        <v>1</v>
      </c>
      <c r="I664" s="4">
        <f t="shared" si="21"/>
        <v>0</v>
      </c>
      <c r="J664" s="4">
        <v>0</v>
      </c>
      <c r="K664" s="4">
        <v>0</v>
      </c>
      <c r="L664" s="4">
        <v>0</v>
      </c>
      <c r="M664" s="4">
        <v>1</v>
      </c>
      <c r="N664" s="4">
        <v>0</v>
      </c>
      <c r="O664" s="4">
        <v>0</v>
      </c>
    </row>
    <row r="665" spans="1:15" x14ac:dyDescent="0.15">
      <c r="A665" s="4">
        <v>662</v>
      </c>
      <c r="B665" s="4">
        <v>63</v>
      </c>
      <c r="C665" s="4">
        <v>38</v>
      </c>
      <c r="D665" s="4">
        <v>52</v>
      </c>
      <c r="E665" s="4">
        <v>2</v>
      </c>
      <c r="F665" s="8">
        <v>2.8</v>
      </c>
      <c r="G665" s="4">
        <v>1</v>
      </c>
      <c r="H665" s="4">
        <f t="shared" si="20"/>
        <v>1</v>
      </c>
      <c r="I665" s="4">
        <f t="shared" si="21"/>
        <v>0</v>
      </c>
      <c r="J665" s="4">
        <v>0</v>
      </c>
      <c r="K665" s="4">
        <v>0</v>
      </c>
      <c r="L665" s="4">
        <v>0</v>
      </c>
      <c r="M665" s="4">
        <v>1</v>
      </c>
      <c r="N665" s="4">
        <v>0</v>
      </c>
      <c r="O665" s="4">
        <v>0</v>
      </c>
    </row>
    <row r="666" spans="1:15" x14ac:dyDescent="0.15">
      <c r="A666" s="4">
        <v>663</v>
      </c>
      <c r="B666" s="4">
        <v>65</v>
      </c>
      <c r="C666" s="4">
        <v>41</v>
      </c>
      <c r="D666" s="4">
        <v>185</v>
      </c>
      <c r="E666" s="4">
        <v>3</v>
      </c>
      <c r="F666" s="8">
        <v>2</v>
      </c>
      <c r="G666" s="4">
        <v>2</v>
      </c>
      <c r="H666" s="4">
        <f t="shared" si="20"/>
        <v>0</v>
      </c>
      <c r="I666" s="4">
        <f t="shared" si="21"/>
        <v>1</v>
      </c>
      <c r="J666" s="4">
        <v>0</v>
      </c>
      <c r="K666" s="4">
        <v>0</v>
      </c>
      <c r="L666" s="4">
        <v>0</v>
      </c>
      <c r="M666" s="4">
        <v>0</v>
      </c>
      <c r="N666" s="4">
        <v>0</v>
      </c>
      <c r="O666" s="4">
        <v>1</v>
      </c>
    </row>
    <row r="667" spans="1:15" x14ac:dyDescent="0.15">
      <c r="A667" s="4">
        <v>664</v>
      </c>
      <c r="B667" s="4">
        <v>46</v>
      </c>
      <c r="C667" s="4">
        <v>20</v>
      </c>
      <c r="D667" s="4">
        <v>49</v>
      </c>
      <c r="E667" s="4">
        <v>3</v>
      </c>
      <c r="F667" s="8">
        <v>2.2000000000000002</v>
      </c>
      <c r="G667" s="4">
        <v>2</v>
      </c>
      <c r="H667" s="4">
        <f t="shared" si="20"/>
        <v>0</v>
      </c>
      <c r="I667" s="4">
        <f t="shared" si="21"/>
        <v>1</v>
      </c>
      <c r="J667" s="4">
        <v>0</v>
      </c>
      <c r="K667" s="4">
        <v>0</v>
      </c>
      <c r="L667" s="4">
        <v>0</v>
      </c>
      <c r="M667" s="4">
        <v>0</v>
      </c>
      <c r="N667" s="4">
        <v>0</v>
      </c>
      <c r="O667" s="4">
        <v>0</v>
      </c>
    </row>
    <row r="668" spans="1:15" x14ac:dyDescent="0.15">
      <c r="A668" s="4">
        <v>665</v>
      </c>
      <c r="B668" s="4">
        <v>54</v>
      </c>
      <c r="C668" s="4">
        <v>30</v>
      </c>
      <c r="D668" s="4">
        <v>64</v>
      </c>
      <c r="E668" s="4">
        <v>1</v>
      </c>
      <c r="F668" s="8">
        <v>1.8</v>
      </c>
      <c r="G668" s="4">
        <v>3</v>
      </c>
      <c r="H668" s="4">
        <f t="shared" si="20"/>
        <v>0</v>
      </c>
      <c r="I668" s="4">
        <f t="shared" si="21"/>
        <v>0</v>
      </c>
      <c r="J668" s="4">
        <v>227</v>
      </c>
      <c r="K668" s="4">
        <v>0</v>
      </c>
      <c r="L668" s="4">
        <v>0</v>
      </c>
      <c r="M668" s="4">
        <v>0</v>
      </c>
      <c r="N668" s="4">
        <v>1</v>
      </c>
      <c r="O668" s="4">
        <v>0</v>
      </c>
    </row>
    <row r="669" spans="1:15" x14ac:dyDescent="0.15">
      <c r="A669" s="4">
        <v>666</v>
      </c>
      <c r="B669" s="4">
        <v>54</v>
      </c>
      <c r="C669" s="4">
        <v>24</v>
      </c>
      <c r="D669" s="4">
        <v>61</v>
      </c>
      <c r="E669" s="4">
        <v>4</v>
      </c>
      <c r="F669" s="8">
        <v>2</v>
      </c>
      <c r="G669" s="4">
        <v>3</v>
      </c>
      <c r="H669" s="4">
        <f t="shared" si="20"/>
        <v>0</v>
      </c>
      <c r="I669" s="4">
        <f t="shared" si="21"/>
        <v>0</v>
      </c>
      <c r="J669" s="4">
        <v>0</v>
      </c>
      <c r="K669" s="4">
        <v>1</v>
      </c>
      <c r="L669" s="4">
        <v>0</v>
      </c>
      <c r="M669" s="4">
        <v>1</v>
      </c>
      <c r="N669" s="4">
        <v>0</v>
      </c>
      <c r="O669" s="4">
        <v>0</v>
      </c>
    </row>
    <row r="670" spans="1:15" x14ac:dyDescent="0.15">
      <c r="A670" s="4">
        <v>667</v>
      </c>
      <c r="B670" s="4">
        <v>52</v>
      </c>
      <c r="C670" s="4">
        <v>26</v>
      </c>
      <c r="D670" s="4">
        <v>112</v>
      </c>
      <c r="E670" s="4">
        <v>1</v>
      </c>
      <c r="F670" s="8">
        <v>2.4</v>
      </c>
      <c r="G670" s="4">
        <v>1</v>
      </c>
      <c r="H670" s="4">
        <f t="shared" si="20"/>
        <v>1</v>
      </c>
      <c r="I670" s="4">
        <f t="shared" si="21"/>
        <v>0</v>
      </c>
      <c r="J670" s="4">
        <v>0</v>
      </c>
      <c r="K670" s="4">
        <v>1</v>
      </c>
      <c r="L670" s="4">
        <v>1</v>
      </c>
      <c r="M670" s="4">
        <v>1</v>
      </c>
      <c r="N670" s="4">
        <v>1</v>
      </c>
      <c r="O670" s="4">
        <v>0</v>
      </c>
    </row>
    <row r="671" spans="1:15" x14ac:dyDescent="0.15">
      <c r="A671" s="4">
        <v>668</v>
      </c>
      <c r="B671" s="4">
        <v>63</v>
      </c>
      <c r="C671" s="4">
        <v>39</v>
      </c>
      <c r="D671" s="4">
        <v>72</v>
      </c>
      <c r="E671" s="4">
        <v>3</v>
      </c>
      <c r="F671" s="8">
        <v>2</v>
      </c>
      <c r="G671" s="4">
        <v>3</v>
      </c>
      <c r="H671" s="4">
        <f t="shared" si="20"/>
        <v>0</v>
      </c>
      <c r="I671" s="4">
        <f t="shared" si="21"/>
        <v>0</v>
      </c>
      <c r="J671" s="4">
        <v>190</v>
      </c>
      <c r="K671" s="4">
        <v>1</v>
      </c>
      <c r="L671" s="4">
        <v>0</v>
      </c>
      <c r="M671" s="4">
        <v>1</v>
      </c>
      <c r="N671" s="4">
        <v>0</v>
      </c>
      <c r="O671" s="4">
        <v>0</v>
      </c>
    </row>
    <row r="672" spans="1:15" x14ac:dyDescent="0.15">
      <c r="A672" s="4">
        <v>669</v>
      </c>
      <c r="B672" s="4">
        <v>66</v>
      </c>
      <c r="C672" s="4">
        <v>41</v>
      </c>
      <c r="D672" s="4">
        <v>18</v>
      </c>
      <c r="E672" s="4">
        <v>3</v>
      </c>
      <c r="F672" s="8">
        <v>0.5</v>
      </c>
      <c r="G672" s="4">
        <v>1</v>
      </c>
      <c r="H672" s="4">
        <f t="shared" si="20"/>
        <v>1</v>
      </c>
      <c r="I672" s="4">
        <f t="shared" si="21"/>
        <v>0</v>
      </c>
      <c r="J672" s="4">
        <v>0</v>
      </c>
      <c r="K672" s="4">
        <v>0</v>
      </c>
      <c r="L672" s="4">
        <v>0</v>
      </c>
      <c r="M672" s="4">
        <v>0</v>
      </c>
      <c r="N672" s="4">
        <v>0</v>
      </c>
      <c r="O672" s="4">
        <v>0</v>
      </c>
    </row>
    <row r="673" spans="1:15" x14ac:dyDescent="0.15">
      <c r="A673" s="4">
        <v>670</v>
      </c>
      <c r="B673" s="4">
        <v>56</v>
      </c>
      <c r="C673" s="4">
        <v>29</v>
      </c>
      <c r="D673" s="4">
        <v>41</v>
      </c>
      <c r="E673" s="4">
        <v>4</v>
      </c>
      <c r="F673" s="8">
        <v>2.5</v>
      </c>
      <c r="G673" s="4">
        <v>2</v>
      </c>
      <c r="H673" s="4">
        <f t="shared" si="20"/>
        <v>0</v>
      </c>
      <c r="I673" s="4">
        <f t="shared" si="21"/>
        <v>1</v>
      </c>
      <c r="J673" s="4">
        <v>0</v>
      </c>
      <c r="K673" s="4">
        <v>0</v>
      </c>
      <c r="L673" s="4">
        <v>0</v>
      </c>
      <c r="M673" s="4">
        <v>0</v>
      </c>
      <c r="N673" s="4">
        <v>0</v>
      </c>
      <c r="O673" s="4">
        <v>0</v>
      </c>
    </row>
    <row r="674" spans="1:15" x14ac:dyDescent="0.15">
      <c r="A674" s="4">
        <v>671</v>
      </c>
      <c r="B674" s="4">
        <v>23</v>
      </c>
      <c r="C674" s="4">
        <v>0</v>
      </c>
      <c r="D674" s="4">
        <v>61</v>
      </c>
      <c r="E674" s="4">
        <v>4</v>
      </c>
      <c r="F674" s="8">
        <v>2.6</v>
      </c>
      <c r="G674" s="4">
        <v>1</v>
      </c>
      <c r="H674" s="4">
        <f t="shared" si="20"/>
        <v>1</v>
      </c>
      <c r="I674" s="4">
        <f t="shared" si="21"/>
        <v>0</v>
      </c>
      <c r="J674" s="4">
        <v>239</v>
      </c>
      <c r="K674" s="4">
        <v>0</v>
      </c>
      <c r="L674" s="4">
        <v>0</v>
      </c>
      <c r="M674" s="4">
        <v>1</v>
      </c>
      <c r="N674" s="4">
        <v>0</v>
      </c>
      <c r="O674" s="4">
        <v>0</v>
      </c>
    </row>
    <row r="675" spans="1:15" x14ac:dyDescent="0.15">
      <c r="A675" s="4">
        <v>672</v>
      </c>
      <c r="B675" s="4">
        <v>65</v>
      </c>
      <c r="C675" s="4">
        <v>41</v>
      </c>
      <c r="D675" s="4">
        <v>105</v>
      </c>
      <c r="E675" s="4">
        <v>1</v>
      </c>
      <c r="F675" s="8">
        <v>3</v>
      </c>
      <c r="G675" s="4">
        <v>2</v>
      </c>
      <c r="H675" s="4">
        <f t="shared" si="20"/>
        <v>0</v>
      </c>
      <c r="I675" s="4">
        <f t="shared" si="21"/>
        <v>1</v>
      </c>
      <c r="J675" s="4">
        <v>282</v>
      </c>
      <c r="K675" s="4">
        <v>1</v>
      </c>
      <c r="L675" s="4">
        <v>1</v>
      </c>
      <c r="M675" s="4">
        <v>1</v>
      </c>
      <c r="N675" s="4">
        <v>0</v>
      </c>
      <c r="O675" s="4">
        <v>1</v>
      </c>
    </row>
    <row r="676" spans="1:15" x14ac:dyDescent="0.15">
      <c r="A676" s="4">
        <v>673</v>
      </c>
      <c r="B676" s="4">
        <v>51</v>
      </c>
      <c r="C676" s="4">
        <v>27</v>
      </c>
      <c r="D676" s="4">
        <v>23</v>
      </c>
      <c r="E676" s="4">
        <v>1</v>
      </c>
      <c r="F676" s="8">
        <v>0.2</v>
      </c>
      <c r="G676" s="4">
        <v>1</v>
      </c>
      <c r="H676" s="4">
        <f t="shared" si="20"/>
        <v>1</v>
      </c>
      <c r="I676" s="4">
        <f t="shared" si="21"/>
        <v>0</v>
      </c>
      <c r="J676" s="4">
        <v>0</v>
      </c>
      <c r="K676" s="4">
        <v>0</v>
      </c>
      <c r="L676" s="4">
        <v>0</v>
      </c>
      <c r="M676" s="4">
        <v>1</v>
      </c>
      <c r="N676" s="4">
        <v>0</v>
      </c>
      <c r="O676" s="4">
        <v>0</v>
      </c>
    </row>
    <row r="677" spans="1:15" x14ac:dyDescent="0.15">
      <c r="A677" s="4">
        <v>674</v>
      </c>
      <c r="B677" s="4">
        <v>34</v>
      </c>
      <c r="C677" s="4">
        <v>10</v>
      </c>
      <c r="D677" s="4">
        <v>22</v>
      </c>
      <c r="E677" s="4">
        <v>1</v>
      </c>
      <c r="F677" s="8">
        <v>0.5</v>
      </c>
      <c r="G677" s="4">
        <v>3</v>
      </c>
      <c r="H677" s="4">
        <f t="shared" si="20"/>
        <v>0</v>
      </c>
      <c r="I677" s="4">
        <f t="shared" si="21"/>
        <v>0</v>
      </c>
      <c r="J677" s="4">
        <v>85</v>
      </c>
      <c r="K677" s="4">
        <v>0</v>
      </c>
      <c r="L677" s="4">
        <v>0</v>
      </c>
      <c r="M677" s="4">
        <v>0</v>
      </c>
      <c r="N677" s="4">
        <v>0</v>
      </c>
      <c r="O677" s="4">
        <v>0</v>
      </c>
    </row>
    <row r="678" spans="1:15" x14ac:dyDescent="0.15">
      <c r="A678" s="4">
        <v>675</v>
      </c>
      <c r="B678" s="4">
        <v>49</v>
      </c>
      <c r="C678" s="4">
        <v>23</v>
      </c>
      <c r="D678" s="4">
        <v>59</v>
      </c>
      <c r="E678" s="4">
        <v>3</v>
      </c>
      <c r="F678" s="8">
        <v>2.1</v>
      </c>
      <c r="G678" s="4">
        <v>1</v>
      </c>
      <c r="H678" s="4">
        <f t="shared" si="20"/>
        <v>1</v>
      </c>
      <c r="I678" s="4">
        <f t="shared" si="21"/>
        <v>0</v>
      </c>
      <c r="J678" s="4">
        <v>0</v>
      </c>
      <c r="K678" s="4">
        <v>0</v>
      </c>
      <c r="L678" s="4">
        <v>0</v>
      </c>
      <c r="M678" s="4">
        <v>0</v>
      </c>
      <c r="N678" s="4">
        <v>0</v>
      </c>
      <c r="O678" s="4">
        <v>0</v>
      </c>
    </row>
    <row r="679" spans="1:15" x14ac:dyDescent="0.15">
      <c r="A679" s="4">
        <v>676</v>
      </c>
      <c r="B679" s="4">
        <v>29</v>
      </c>
      <c r="C679" s="4">
        <v>2</v>
      </c>
      <c r="D679" s="4">
        <v>33</v>
      </c>
      <c r="E679" s="4">
        <v>1</v>
      </c>
      <c r="F679" s="8">
        <v>2</v>
      </c>
      <c r="G679" s="4">
        <v>2</v>
      </c>
      <c r="H679" s="4">
        <f t="shared" si="20"/>
        <v>0</v>
      </c>
      <c r="I679" s="4">
        <f t="shared" si="21"/>
        <v>1</v>
      </c>
      <c r="J679" s="4">
        <v>160</v>
      </c>
      <c r="K679" s="4">
        <v>0</v>
      </c>
      <c r="L679" s="4">
        <v>0</v>
      </c>
      <c r="M679" s="4">
        <v>0</v>
      </c>
      <c r="N679" s="4">
        <v>0</v>
      </c>
      <c r="O679" s="4">
        <v>0</v>
      </c>
    </row>
    <row r="680" spans="1:15" x14ac:dyDescent="0.15">
      <c r="A680" s="4">
        <v>677</v>
      </c>
      <c r="B680" s="4">
        <v>47</v>
      </c>
      <c r="C680" s="4">
        <v>23</v>
      </c>
      <c r="D680" s="4">
        <v>11</v>
      </c>
      <c r="E680" s="4">
        <v>1</v>
      </c>
      <c r="F680" s="8">
        <v>0.9</v>
      </c>
      <c r="G680" s="4">
        <v>3</v>
      </c>
      <c r="H680" s="4">
        <f t="shared" si="20"/>
        <v>0</v>
      </c>
      <c r="I680" s="4">
        <f t="shared" si="21"/>
        <v>0</v>
      </c>
      <c r="J680" s="4">
        <v>103</v>
      </c>
      <c r="K680" s="4">
        <v>0</v>
      </c>
      <c r="L680" s="4">
        <v>0</v>
      </c>
      <c r="M680" s="4">
        <v>0</v>
      </c>
      <c r="N680" s="4">
        <v>1</v>
      </c>
      <c r="O680" s="4">
        <v>0</v>
      </c>
    </row>
    <row r="681" spans="1:15" x14ac:dyDescent="0.15">
      <c r="A681" s="4">
        <v>678</v>
      </c>
      <c r="B681" s="4">
        <v>46</v>
      </c>
      <c r="C681" s="4">
        <v>21</v>
      </c>
      <c r="D681" s="4">
        <v>204</v>
      </c>
      <c r="E681" s="4">
        <v>2</v>
      </c>
      <c r="F681" s="8">
        <v>2.8</v>
      </c>
      <c r="G681" s="4">
        <v>1</v>
      </c>
      <c r="H681" s="4">
        <f t="shared" si="20"/>
        <v>1</v>
      </c>
      <c r="I681" s="4">
        <f t="shared" si="21"/>
        <v>0</v>
      </c>
      <c r="J681" s="4">
        <v>0</v>
      </c>
      <c r="K681" s="4">
        <v>0</v>
      </c>
      <c r="L681" s="4">
        <v>0</v>
      </c>
      <c r="M681" s="4">
        <v>1</v>
      </c>
      <c r="N681" s="4">
        <v>0</v>
      </c>
      <c r="O681" s="4">
        <v>0</v>
      </c>
    </row>
    <row r="682" spans="1:15" x14ac:dyDescent="0.15">
      <c r="A682" s="4">
        <v>679</v>
      </c>
      <c r="B682" s="4">
        <v>52</v>
      </c>
      <c r="C682" s="4">
        <v>27</v>
      </c>
      <c r="D682" s="4">
        <v>61</v>
      </c>
      <c r="E682" s="4">
        <v>4</v>
      </c>
      <c r="F682" s="8">
        <v>1.8</v>
      </c>
      <c r="G682" s="4">
        <v>3</v>
      </c>
      <c r="H682" s="4">
        <f t="shared" si="20"/>
        <v>0</v>
      </c>
      <c r="I682" s="4">
        <f t="shared" si="21"/>
        <v>0</v>
      </c>
      <c r="J682" s="4">
        <v>207</v>
      </c>
      <c r="K682" s="4">
        <v>0</v>
      </c>
      <c r="L682" s="4">
        <v>0</v>
      </c>
      <c r="M682" s="4">
        <v>0</v>
      </c>
      <c r="N682" s="4">
        <v>0</v>
      </c>
      <c r="O682" s="4">
        <v>0</v>
      </c>
    </row>
    <row r="683" spans="1:15" x14ac:dyDescent="0.15">
      <c r="A683" s="4">
        <v>680</v>
      </c>
      <c r="B683" s="4">
        <v>55</v>
      </c>
      <c r="C683" s="4">
        <v>31</v>
      </c>
      <c r="D683" s="4">
        <v>103</v>
      </c>
      <c r="E683" s="4">
        <v>3</v>
      </c>
      <c r="F683" s="8">
        <v>1.8</v>
      </c>
      <c r="G683" s="4">
        <v>2</v>
      </c>
      <c r="H683" s="4">
        <f t="shared" si="20"/>
        <v>0</v>
      </c>
      <c r="I683" s="4">
        <f t="shared" si="21"/>
        <v>1</v>
      </c>
      <c r="J683" s="4">
        <v>364</v>
      </c>
      <c r="K683" s="4">
        <v>0</v>
      </c>
      <c r="L683" s="4">
        <v>0</v>
      </c>
      <c r="M683" s="4">
        <v>0</v>
      </c>
      <c r="N683" s="4">
        <v>0</v>
      </c>
      <c r="O683" s="4">
        <v>0</v>
      </c>
    </row>
    <row r="684" spans="1:15" x14ac:dyDescent="0.15">
      <c r="A684" s="4">
        <v>681</v>
      </c>
      <c r="B684" s="4">
        <v>61</v>
      </c>
      <c r="C684" s="4">
        <v>36</v>
      </c>
      <c r="D684" s="4">
        <v>51</v>
      </c>
      <c r="E684" s="4">
        <v>3</v>
      </c>
      <c r="F684" s="8">
        <v>1.5</v>
      </c>
      <c r="G684" s="4">
        <v>1</v>
      </c>
      <c r="H684" s="4">
        <f t="shared" si="20"/>
        <v>1</v>
      </c>
      <c r="I684" s="4">
        <f t="shared" si="21"/>
        <v>0</v>
      </c>
      <c r="J684" s="4">
        <v>0</v>
      </c>
      <c r="K684" s="4">
        <v>0</v>
      </c>
      <c r="L684" s="4">
        <v>0</v>
      </c>
      <c r="M684" s="4">
        <v>0</v>
      </c>
      <c r="N684" s="4">
        <v>1</v>
      </c>
      <c r="O684" s="4">
        <v>0</v>
      </c>
    </row>
    <row r="685" spans="1:15" x14ac:dyDescent="0.15">
      <c r="A685" s="4">
        <v>682</v>
      </c>
      <c r="B685" s="4">
        <v>34</v>
      </c>
      <c r="C685" s="4">
        <v>9</v>
      </c>
      <c r="D685" s="4">
        <v>164</v>
      </c>
      <c r="E685" s="4">
        <v>1</v>
      </c>
      <c r="F685" s="8">
        <v>6</v>
      </c>
      <c r="G685" s="4">
        <v>3</v>
      </c>
      <c r="H685" s="4">
        <f t="shared" si="20"/>
        <v>0</v>
      </c>
      <c r="I685" s="4">
        <f t="shared" si="21"/>
        <v>0</v>
      </c>
      <c r="J685" s="4">
        <v>0</v>
      </c>
      <c r="K685" s="4">
        <v>0</v>
      </c>
      <c r="L685" s="4">
        <v>0</v>
      </c>
      <c r="M685" s="4">
        <v>1</v>
      </c>
      <c r="N685" s="4">
        <v>0</v>
      </c>
      <c r="O685" s="4">
        <v>1</v>
      </c>
    </row>
    <row r="686" spans="1:15" x14ac:dyDescent="0.15">
      <c r="A686" s="4">
        <v>683</v>
      </c>
      <c r="B686" s="4">
        <v>58</v>
      </c>
      <c r="C686" s="4">
        <v>34</v>
      </c>
      <c r="D686" s="4">
        <v>12</v>
      </c>
      <c r="E686" s="4">
        <v>1</v>
      </c>
      <c r="F686" s="8">
        <v>0.1</v>
      </c>
      <c r="G686" s="4">
        <v>2</v>
      </c>
      <c r="H686" s="4">
        <f t="shared" si="20"/>
        <v>0</v>
      </c>
      <c r="I686" s="4">
        <f t="shared" si="21"/>
        <v>1</v>
      </c>
      <c r="J686" s="4">
        <v>0</v>
      </c>
      <c r="K686" s="4">
        <v>0</v>
      </c>
      <c r="L686" s="4">
        <v>0</v>
      </c>
      <c r="M686" s="4">
        <v>0</v>
      </c>
      <c r="N686" s="4">
        <v>1</v>
      </c>
      <c r="O686" s="4">
        <v>0</v>
      </c>
    </row>
    <row r="687" spans="1:15" x14ac:dyDescent="0.15">
      <c r="A687" s="4">
        <v>684</v>
      </c>
      <c r="B687" s="4">
        <v>40</v>
      </c>
      <c r="C687" s="4">
        <v>16</v>
      </c>
      <c r="D687" s="4">
        <v>82</v>
      </c>
      <c r="E687" s="4">
        <v>1</v>
      </c>
      <c r="F687" s="8">
        <v>3.6</v>
      </c>
      <c r="G687" s="4">
        <v>2</v>
      </c>
      <c r="H687" s="4">
        <f t="shared" si="20"/>
        <v>0</v>
      </c>
      <c r="I687" s="4">
        <f t="shared" si="21"/>
        <v>1</v>
      </c>
      <c r="J687" s="4">
        <v>0</v>
      </c>
      <c r="K687" s="4">
        <v>0</v>
      </c>
      <c r="L687" s="4">
        <v>0</v>
      </c>
      <c r="M687" s="4">
        <v>0</v>
      </c>
      <c r="N687" s="4">
        <v>0</v>
      </c>
      <c r="O687" s="4">
        <v>0</v>
      </c>
    </row>
    <row r="688" spans="1:15" x14ac:dyDescent="0.15">
      <c r="A688" s="4">
        <v>685</v>
      </c>
      <c r="B688" s="4">
        <v>43</v>
      </c>
      <c r="C688" s="4">
        <v>17</v>
      </c>
      <c r="D688" s="4">
        <v>164</v>
      </c>
      <c r="E688" s="4">
        <v>1</v>
      </c>
      <c r="F688" s="8">
        <v>2.4</v>
      </c>
      <c r="G688" s="4">
        <v>1</v>
      </c>
      <c r="H688" s="4">
        <f t="shared" si="20"/>
        <v>1</v>
      </c>
      <c r="I688" s="4">
        <f t="shared" si="21"/>
        <v>0</v>
      </c>
      <c r="J688" s="4">
        <v>449</v>
      </c>
      <c r="K688" s="4">
        <v>0</v>
      </c>
      <c r="L688" s="4">
        <v>0</v>
      </c>
      <c r="M688" s="4">
        <v>1</v>
      </c>
      <c r="N688" s="4">
        <v>0</v>
      </c>
      <c r="O688" s="4">
        <v>0</v>
      </c>
    </row>
    <row r="689" spans="1:15" x14ac:dyDescent="0.15">
      <c r="A689" s="4">
        <v>686</v>
      </c>
      <c r="B689" s="4">
        <v>35</v>
      </c>
      <c r="C689" s="4">
        <v>8</v>
      </c>
      <c r="D689" s="4">
        <v>48</v>
      </c>
      <c r="E689" s="4">
        <v>2</v>
      </c>
      <c r="F689" s="8">
        <v>1.6666666666666667</v>
      </c>
      <c r="G689" s="4">
        <v>2</v>
      </c>
      <c r="H689" s="4">
        <f t="shared" si="20"/>
        <v>0</v>
      </c>
      <c r="I689" s="4">
        <f t="shared" si="21"/>
        <v>1</v>
      </c>
      <c r="J689" s="4">
        <v>0</v>
      </c>
      <c r="K689" s="4">
        <v>0</v>
      </c>
      <c r="L689" s="4">
        <v>0</v>
      </c>
      <c r="M689" s="4">
        <v>1</v>
      </c>
      <c r="N689" s="4">
        <v>0</v>
      </c>
      <c r="O689" s="4">
        <v>0</v>
      </c>
    </row>
    <row r="690" spans="1:15" x14ac:dyDescent="0.15">
      <c r="A690" s="4">
        <v>687</v>
      </c>
      <c r="B690" s="4">
        <v>24</v>
      </c>
      <c r="C690" s="4">
        <v>0</v>
      </c>
      <c r="D690" s="4">
        <v>38</v>
      </c>
      <c r="E690" s="4">
        <v>4</v>
      </c>
      <c r="F690" s="8">
        <v>0.6</v>
      </c>
      <c r="G690" s="4">
        <v>2</v>
      </c>
      <c r="H690" s="4">
        <f t="shared" si="20"/>
        <v>0</v>
      </c>
      <c r="I690" s="4">
        <f t="shared" si="21"/>
        <v>1</v>
      </c>
      <c r="J690" s="4">
        <v>0</v>
      </c>
      <c r="K690" s="4">
        <v>0</v>
      </c>
      <c r="L690" s="4">
        <v>0</v>
      </c>
      <c r="M690" s="4">
        <v>1</v>
      </c>
      <c r="N690" s="4">
        <v>0</v>
      </c>
      <c r="O690" s="4">
        <v>0</v>
      </c>
    </row>
    <row r="691" spans="1:15" x14ac:dyDescent="0.15">
      <c r="A691" s="4">
        <v>688</v>
      </c>
      <c r="B691" s="4">
        <v>48</v>
      </c>
      <c r="C691" s="4">
        <v>22</v>
      </c>
      <c r="D691" s="4">
        <v>65</v>
      </c>
      <c r="E691" s="4">
        <v>2</v>
      </c>
      <c r="F691" s="8">
        <v>1.5</v>
      </c>
      <c r="G691" s="4">
        <v>2</v>
      </c>
      <c r="H691" s="4">
        <f t="shared" si="20"/>
        <v>0</v>
      </c>
      <c r="I691" s="4">
        <f t="shared" si="21"/>
        <v>1</v>
      </c>
      <c r="J691" s="4">
        <v>0</v>
      </c>
      <c r="K691" s="4">
        <v>0</v>
      </c>
      <c r="L691" s="4">
        <v>0</v>
      </c>
      <c r="M691" s="4">
        <v>1</v>
      </c>
      <c r="N691" s="4">
        <v>0</v>
      </c>
      <c r="O691" s="4">
        <v>0</v>
      </c>
    </row>
    <row r="692" spans="1:15" x14ac:dyDescent="0.15">
      <c r="A692" s="4">
        <v>689</v>
      </c>
      <c r="B692" s="4">
        <v>44</v>
      </c>
      <c r="C692" s="4">
        <v>20</v>
      </c>
      <c r="D692" s="4">
        <v>71</v>
      </c>
      <c r="E692" s="4">
        <v>4</v>
      </c>
      <c r="F692" s="8">
        <v>1.9</v>
      </c>
      <c r="G692" s="4">
        <v>1</v>
      </c>
      <c r="H692" s="4">
        <f t="shared" si="20"/>
        <v>1</v>
      </c>
      <c r="I692" s="4">
        <f t="shared" si="21"/>
        <v>0</v>
      </c>
      <c r="J692" s="4">
        <v>207</v>
      </c>
      <c r="K692" s="4">
        <v>0</v>
      </c>
      <c r="L692" s="4">
        <v>0</v>
      </c>
      <c r="M692" s="4">
        <v>1</v>
      </c>
      <c r="N692" s="4">
        <v>0</v>
      </c>
      <c r="O692" s="4">
        <v>0</v>
      </c>
    </row>
    <row r="693" spans="1:15" x14ac:dyDescent="0.15">
      <c r="A693" s="4">
        <v>690</v>
      </c>
      <c r="B693" s="4">
        <v>54</v>
      </c>
      <c r="C693" s="4">
        <v>30</v>
      </c>
      <c r="D693" s="4">
        <v>18</v>
      </c>
      <c r="E693" s="4">
        <v>1</v>
      </c>
      <c r="F693" s="8">
        <v>0.3</v>
      </c>
      <c r="G693" s="4">
        <v>1</v>
      </c>
      <c r="H693" s="4">
        <f t="shared" si="20"/>
        <v>1</v>
      </c>
      <c r="I693" s="4">
        <f t="shared" si="21"/>
        <v>0</v>
      </c>
      <c r="J693" s="4">
        <v>0</v>
      </c>
      <c r="K693" s="4">
        <v>1</v>
      </c>
      <c r="L693" s="4">
        <v>1</v>
      </c>
      <c r="M693" s="4">
        <v>1</v>
      </c>
      <c r="N693" s="4">
        <v>0</v>
      </c>
      <c r="O693" s="4">
        <v>0</v>
      </c>
    </row>
    <row r="694" spans="1:15" x14ac:dyDescent="0.15">
      <c r="A694" s="4">
        <v>691</v>
      </c>
      <c r="B694" s="4">
        <v>59</v>
      </c>
      <c r="C694" s="4">
        <v>34</v>
      </c>
      <c r="D694" s="4">
        <v>52</v>
      </c>
      <c r="E694" s="4">
        <v>2</v>
      </c>
      <c r="F694" s="8">
        <v>1.6</v>
      </c>
      <c r="G694" s="4">
        <v>3</v>
      </c>
      <c r="H694" s="4">
        <f t="shared" si="20"/>
        <v>0</v>
      </c>
      <c r="I694" s="4">
        <f t="shared" si="21"/>
        <v>0</v>
      </c>
      <c r="J694" s="4">
        <v>75</v>
      </c>
      <c r="K694" s="4">
        <v>0</v>
      </c>
      <c r="L694" s="4">
        <v>0</v>
      </c>
      <c r="M694" s="4">
        <v>1</v>
      </c>
      <c r="N694" s="4">
        <v>0</v>
      </c>
      <c r="O694" s="4">
        <v>0</v>
      </c>
    </row>
    <row r="695" spans="1:15" x14ac:dyDescent="0.15">
      <c r="A695" s="4">
        <v>692</v>
      </c>
      <c r="B695" s="4">
        <v>45</v>
      </c>
      <c r="C695" s="4">
        <v>18</v>
      </c>
      <c r="D695" s="4">
        <v>48</v>
      </c>
      <c r="E695" s="4">
        <v>3</v>
      </c>
      <c r="F695" s="8">
        <v>2.5</v>
      </c>
      <c r="G695" s="4">
        <v>2</v>
      </c>
      <c r="H695" s="4">
        <f t="shared" si="20"/>
        <v>0</v>
      </c>
      <c r="I695" s="4">
        <f t="shared" si="21"/>
        <v>1</v>
      </c>
      <c r="J695" s="4">
        <v>113</v>
      </c>
      <c r="K695" s="4">
        <v>0</v>
      </c>
      <c r="L695" s="4">
        <v>0</v>
      </c>
      <c r="M695" s="4">
        <v>1</v>
      </c>
      <c r="N695" s="4">
        <v>1</v>
      </c>
      <c r="O695" s="4">
        <v>0</v>
      </c>
    </row>
    <row r="696" spans="1:15" x14ac:dyDescent="0.15">
      <c r="A696" s="4">
        <v>693</v>
      </c>
      <c r="B696" s="4">
        <v>26</v>
      </c>
      <c r="C696" s="4">
        <v>2</v>
      </c>
      <c r="D696" s="4">
        <v>30</v>
      </c>
      <c r="E696" s="4">
        <v>1</v>
      </c>
      <c r="F696" s="8">
        <v>1</v>
      </c>
      <c r="G696" s="4">
        <v>3</v>
      </c>
      <c r="H696" s="4">
        <f t="shared" si="20"/>
        <v>0</v>
      </c>
      <c r="I696" s="4">
        <f t="shared" si="21"/>
        <v>0</v>
      </c>
      <c r="J696" s="4">
        <v>111</v>
      </c>
      <c r="K696" s="4">
        <v>0</v>
      </c>
      <c r="L696" s="4">
        <v>0</v>
      </c>
      <c r="M696" s="4">
        <v>0</v>
      </c>
      <c r="N696" s="4">
        <v>0</v>
      </c>
      <c r="O696" s="4">
        <v>0</v>
      </c>
    </row>
    <row r="697" spans="1:15" x14ac:dyDescent="0.15">
      <c r="A697" s="4">
        <v>694</v>
      </c>
      <c r="B697" s="4">
        <v>40</v>
      </c>
      <c r="C697" s="4">
        <v>15</v>
      </c>
      <c r="D697" s="4">
        <v>40</v>
      </c>
      <c r="E697" s="4">
        <v>2</v>
      </c>
      <c r="F697" s="8">
        <v>2.2000000000000002</v>
      </c>
      <c r="G697" s="4">
        <v>3</v>
      </c>
      <c r="H697" s="4">
        <f t="shared" si="20"/>
        <v>0</v>
      </c>
      <c r="I697" s="4">
        <f t="shared" si="21"/>
        <v>0</v>
      </c>
      <c r="J697" s="4">
        <v>107</v>
      </c>
      <c r="K697" s="4">
        <v>0</v>
      </c>
      <c r="L697" s="4">
        <v>0</v>
      </c>
      <c r="M697" s="4">
        <v>1</v>
      </c>
      <c r="N697" s="4">
        <v>0</v>
      </c>
      <c r="O697" s="4">
        <v>0</v>
      </c>
    </row>
    <row r="698" spans="1:15" x14ac:dyDescent="0.15">
      <c r="A698" s="4">
        <v>695</v>
      </c>
      <c r="B698" s="4">
        <v>32</v>
      </c>
      <c r="C698" s="4">
        <v>7</v>
      </c>
      <c r="D698" s="4">
        <v>112</v>
      </c>
      <c r="E698" s="4">
        <v>1</v>
      </c>
      <c r="F698" s="8">
        <v>3.8</v>
      </c>
      <c r="G698" s="4">
        <v>1</v>
      </c>
      <c r="H698" s="4">
        <f t="shared" si="20"/>
        <v>1</v>
      </c>
      <c r="I698" s="4">
        <f t="shared" si="21"/>
        <v>0</v>
      </c>
      <c r="J698" s="4">
        <v>81</v>
      </c>
      <c r="K698" s="4">
        <v>0</v>
      </c>
      <c r="L698" s="4">
        <v>0</v>
      </c>
      <c r="M698" s="4">
        <v>1</v>
      </c>
      <c r="N698" s="4">
        <v>0</v>
      </c>
      <c r="O698" s="4">
        <v>0</v>
      </c>
    </row>
    <row r="699" spans="1:15" x14ac:dyDescent="0.15">
      <c r="A699" s="4">
        <v>696</v>
      </c>
      <c r="B699" s="4">
        <v>29</v>
      </c>
      <c r="C699" s="4">
        <v>4</v>
      </c>
      <c r="D699" s="4">
        <v>115</v>
      </c>
      <c r="E699" s="4">
        <v>1</v>
      </c>
      <c r="F699" s="8">
        <v>1.9</v>
      </c>
      <c r="G699" s="4">
        <v>1</v>
      </c>
      <c r="H699" s="4">
        <f t="shared" si="20"/>
        <v>1</v>
      </c>
      <c r="I699" s="4">
        <f t="shared" si="21"/>
        <v>0</v>
      </c>
      <c r="J699" s="4">
        <v>0</v>
      </c>
      <c r="K699" s="4">
        <v>0</v>
      </c>
      <c r="L699" s="4">
        <v>0</v>
      </c>
      <c r="M699" s="4">
        <v>0</v>
      </c>
      <c r="N699" s="4">
        <v>0</v>
      </c>
      <c r="O699" s="4">
        <v>0</v>
      </c>
    </row>
    <row r="700" spans="1:15" x14ac:dyDescent="0.15">
      <c r="A700" s="4">
        <v>697</v>
      </c>
      <c r="B700" s="4">
        <v>51</v>
      </c>
      <c r="C700" s="4">
        <v>27</v>
      </c>
      <c r="D700" s="4">
        <v>63</v>
      </c>
      <c r="E700" s="4">
        <v>2</v>
      </c>
      <c r="F700" s="8">
        <v>1</v>
      </c>
      <c r="G700" s="4">
        <v>3</v>
      </c>
      <c r="H700" s="4">
        <f t="shared" si="20"/>
        <v>0</v>
      </c>
      <c r="I700" s="4">
        <f t="shared" si="21"/>
        <v>0</v>
      </c>
      <c r="J700" s="4">
        <v>82</v>
      </c>
      <c r="K700" s="4">
        <v>0</v>
      </c>
      <c r="L700" s="4">
        <v>0</v>
      </c>
      <c r="M700" s="4">
        <v>1</v>
      </c>
      <c r="N700" s="4">
        <v>0</v>
      </c>
      <c r="O700" s="4">
        <v>0</v>
      </c>
    </row>
    <row r="701" spans="1:15" x14ac:dyDescent="0.15">
      <c r="A701" s="4">
        <v>698</v>
      </c>
      <c r="B701" s="4">
        <v>42</v>
      </c>
      <c r="C701" s="4">
        <v>17</v>
      </c>
      <c r="D701" s="4">
        <v>85</v>
      </c>
      <c r="E701" s="4">
        <v>1</v>
      </c>
      <c r="F701" s="8">
        <v>3.7</v>
      </c>
      <c r="G701" s="4">
        <v>3</v>
      </c>
      <c r="H701" s="4">
        <f t="shared" si="20"/>
        <v>0</v>
      </c>
      <c r="I701" s="4">
        <f t="shared" si="21"/>
        <v>0</v>
      </c>
      <c r="J701" s="4">
        <v>0</v>
      </c>
      <c r="K701" s="4">
        <v>0</v>
      </c>
      <c r="L701" s="4">
        <v>0</v>
      </c>
      <c r="M701" s="4">
        <v>1</v>
      </c>
      <c r="N701" s="4">
        <v>0</v>
      </c>
      <c r="O701" s="4">
        <v>0</v>
      </c>
    </row>
    <row r="702" spans="1:15" x14ac:dyDescent="0.15">
      <c r="A702" s="4">
        <v>699</v>
      </c>
      <c r="B702" s="4">
        <v>64</v>
      </c>
      <c r="C702" s="4">
        <v>38</v>
      </c>
      <c r="D702" s="4">
        <v>59</v>
      </c>
      <c r="E702" s="4">
        <v>1</v>
      </c>
      <c r="F702" s="8">
        <v>2.5</v>
      </c>
      <c r="G702" s="4">
        <v>3</v>
      </c>
      <c r="H702" s="4">
        <f t="shared" si="20"/>
        <v>0</v>
      </c>
      <c r="I702" s="4">
        <f t="shared" si="21"/>
        <v>0</v>
      </c>
      <c r="J702" s="4">
        <v>220</v>
      </c>
      <c r="K702" s="4">
        <v>0</v>
      </c>
      <c r="L702" s="4">
        <v>0</v>
      </c>
      <c r="M702" s="4">
        <v>0</v>
      </c>
      <c r="N702" s="4">
        <v>0</v>
      </c>
      <c r="O702" s="4">
        <v>0</v>
      </c>
    </row>
    <row r="703" spans="1:15" x14ac:dyDescent="0.15">
      <c r="A703" s="4">
        <v>700</v>
      </c>
      <c r="B703" s="4">
        <v>44</v>
      </c>
      <c r="C703" s="4">
        <v>20</v>
      </c>
      <c r="D703" s="4">
        <v>68</v>
      </c>
      <c r="E703" s="4">
        <v>1</v>
      </c>
      <c r="F703" s="8">
        <v>0.8</v>
      </c>
      <c r="G703" s="4">
        <v>3</v>
      </c>
      <c r="H703" s="4">
        <f t="shared" si="20"/>
        <v>0</v>
      </c>
      <c r="I703" s="4">
        <f t="shared" si="21"/>
        <v>0</v>
      </c>
      <c r="J703" s="4">
        <v>91</v>
      </c>
      <c r="K703" s="4">
        <v>0</v>
      </c>
      <c r="L703" s="4">
        <v>0</v>
      </c>
      <c r="M703" s="4">
        <v>0</v>
      </c>
      <c r="N703" s="4">
        <v>0</v>
      </c>
      <c r="O703" s="4">
        <v>0</v>
      </c>
    </row>
    <row r="704" spans="1:15" x14ac:dyDescent="0.15">
      <c r="A704" s="4">
        <v>701</v>
      </c>
      <c r="B704" s="4">
        <v>37</v>
      </c>
      <c r="C704" s="4">
        <v>11</v>
      </c>
      <c r="D704" s="4">
        <v>84</v>
      </c>
      <c r="E704" s="4">
        <v>2</v>
      </c>
      <c r="F704" s="8">
        <v>1.8</v>
      </c>
      <c r="G704" s="4">
        <v>1</v>
      </c>
      <c r="H704" s="4">
        <f t="shared" si="20"/>
        <v>1</v>
      </c>
      <c r="I704" s="4">
        <f t="shared" si="21"/>
        <v>0</v>
      </c>
      <c r="J704" s="4">
        <v>0</v>
      </c>
      <c r="K704" s="4">
        <v>0</v>
      </c>
      <c r="L704" s="4">
        <v>0</v>
      </c>
      <c r="M704" s="4">
        <v>1</v>
      </c>
      <c r="N704" s="4">
        <v>1</v>
      </c>
      <c r="O704" s="4">
        <v>0</v>
      </c>
    </row>
    <row r="705" spans="1:15" x14ac:dyDescent="0.15">
      <c r="A705" s="4">
        <v>702</v>
      </c>
      <c r="B705" s="4">
        <v>44</v>
      </c>
      <c r="C705" s="4">
        <v>19</v>
      </c>
      <c r="D705" s="4">
        <v>62</v>
      </c>
      <c r="E705" s="4">
        <v>3</v>
      </c>
      <c r="F705" s="8">
        <v>0.8</v>
      </c>
      <c r="G705" s="4">
        <v>3</v>
      </c>
      <c r="H705" s="4">
        <f t="shared" si="20"/>
        <v>0</v>
      </c>
      <c r="I705" s="4">
        <f t="shared" si="21"/>
        <v>0</v>
      </c>
      <c r="J705" s="4">
        <v>0</v>
      </c>
      <c r="K705" s="4">
        <v>0</v>
      </c>
      <c r="L705" s="4">
        <v>0</v>
      </c>
      <c r="M705" s="4">
        <v>0</v>
      </c>
      <c r="N705" s="4">
        <v>1</v>
      </c>
      <c r="O705" s="4">
        <v>0</v>
      </c>
    </row>
    <row r="706" spans="1:15" x14ac:dyDescent="0.15">
      <c r="A706" s="4">
        <v>703</v>
      </c>
      <c r="B706" s="4">
        <v>35</v>
      </c>
      <c r="C706" s="4">
        <v>9</v>
      </c>
      <c r="D706" s="4">
        <v>109</v>
      </c>
      <c r="E706" s="4">
        <v>3</v>
      </c>
      <c r="F706" s="8">
        <v>4</v>
      </c>
      <c r="G706" s="4">
        <v>1</v>
      </c>
      <c r="H706" s="4">
        <f t="shared" si="20"/>
        <v>1</v>
      </c>
      <c r="I706" s="4">
        <f t="shared" si="21"/>
        <v>0</v>
      </c>
      <c r="J706" s="4">
        <v>0</v>
      </c>
      <c r="K706" s="4">
        <v>0</v>
      </c>
      <c r="L706" s="4">
        <v>0</v>
      </c>
      <c r="M706" s="4">
        <v>0</v>
      </c>
      <c r="N706" s="4">
        <v>0</v>
      </c>
      <c r="O706" s="4">
        <v>1</v>
      </c>
    </row>
    <row r="707" spans="1:15" x14ac:dyDescent="0.15">
      <c r="A707" s="4">
        <v>704</v>
      </c>
      <c r="B707" s="4">
        <v>41</v>
      </c>
      <c r="C707" s="4">
        <v>17</v>
      </c>
      <c r="D707" s="4">
        <v>141</v>
      </c>
      <c r="E707" s="4">
        <v>2</v>
      </c>
      <c r="F707" s="8">
        <v>7.6</v>
      </c>
      <c r="G707" s="4">
        <v>1</v>
      </c>
      <c r="H707" s="4">
        <f t="shared" si="20"/>
        <v>1</v>
      </c>
      <c r="I707" s="4">
        <f t="shared" si="21"/>
        <v>0</v>
      </c>
      <c r="J707" s="4">
        <v>92</v>
      </c>
      <c r="K707" s="4">
        <v>0</v>
      </c>
      <c r="L707" s="4">
        <v>0</v>
      </c>
      <c r="M707" s="4">
        <v>0</v>
      </c>
      <c r="N707" s="4">
        <v>0</v>
      </c>
      <c r="O707" s="4">
        <v>0</v>
      </c>
    </row>
    <row r="708" spans="1:15" x14ac:dyDescent="0.15">
      <c r="A708" s="4">
        <v>705</v>
      </c>
      <c r="B708" s="4">
        <v>56</v>
      </c>
      <c r="C708" s="4">
        <v>32</v>
      </c>
      <c r="D708" s="4">
        <v>129</v>
      </c>
      <c r="E708" s="4">
        <v>1</v>
      </c>
      <c r="F708" s="8">
        <v>7.4</v>
      </c>
      <c r="G708" s="4">
        <v>1</v>
      </c>
      <c r="H708" s="4">
        <f t="shared" si="20"/>
        <v>1</v>
      </c>
      <c r="I708" s="4">
        <f t="shared" si="21"/>
        <v>0</v>
      </c>
      <c r="J708" s="4">
        <v>0</v>
      </c>
      <c r="K708" s="4">
        <v>0</v>
      </c>
      <c r="L708" s="4">
        <v>0</v>
      </c>
      <c r="M708" s="4">
        <v>0</v>
      </c>
      <c r="N708" s="4">
        <v>0</v>
      </c>
      <c r="O708" s="4">
        <v>0</v>
      </c>
    </row>
    <row r="709" spans="1:15" x14ac:dyDescent="0.15">
      <c r="A709" s="4">
        <v>706</v>
      </c>
      <c r="B709" s="4">
        <v>62</v>
      </c>
      <c r="C709" s="4">
        <v>36</v>
      </c>
      <c r="D709" s="4">
        <v>30</v>
      </c>
      <c r="E709" s="4">
        <v>3</v>
      </c>
      <c r="F709" s="8">
        <v>0.7</v>
      </c>
      <c r="G709" s="4">
        <v>2</v>
      </c>
      <c r="H709" s="4">
        <f t="shared" ref="H709:H772" si="22">IF(G709=1,1,0)</f>
        <v>0</v>
      </c>
      <c r="I709" s="4">
        <f t="shared" ref="I709:I772" si="23">IF(G709=2,1,0)</f>
        <v>1</v>
      </c>
      <c r="J709" s="4">
        <v>0</v>
      </c>
      <c r="K709" s="4">
        <v>0</v>
      </c>
      <c r="L709" s="4">
        <v>0</v>
      </c>
      <c r="M709" s="4">
        <v>1</v>
      </c>
      <c r="N709" s="4">
        <v>0</v>
      </c>
      <c r="O709" s="4">
        <v>0</v>
      </c>
    </row>
    <row r="710" spans="1:15" x14ac:dyDescent="0.15">
      <c r="A710" s="4">
        <v>707</v>
      </c>
      <c r="B710" s="4">
        <v>58</v>
      </c>
      <c r="C710" s="4">
        <v>34</v>
      </c>
      <c r="D710" s="4">
        <v>148</v>
      </c>
      <c r="E710" s="4">
        <v>1</v>
      </c>
      <c r="F710" s="8">
        <v>4.7</v>
      </c>
      <c r="G710" s="4">
        <v>1</v>
      </c>
      <c r="H710" s="4">
        <f t="shared" si="22"/>
        <v>1</v>
      </c>
      <c r="I710" s="4">
        <f t="shared" si="23"/>
        <v>0</v>
      </c>
      <c r="J710" s="4">
        <v>0</v>
      </c>
      <c r="K710" s="4">
        <v>0</v>
      </c>
      <c r="L710" s="4">
        <v>0</v>
      </c>
      <c r="M710" s="4">
        <v>1</v>
      </c>
      <c r="N710" s="4">
        <v>0</v>
      </c>
      <c r="O710" s="4">
        <v>0</v>
      </c>
    </row>
    <row r="711" spans="1:15" x14ac:dyDescent="0.15">
      <c r="A711" s="4">
        <v>708</v>
      </c>
      <c r="B711" s="4">
        <v>47</v>
      </c>
      <c r="C711" s="4">
        <v>20</v>
      </c>
      <c r="D711" s="4">
        <v>25</v>
      </c>
      <c r="E711" s="4">
        <v>3</v>
      </c>
      <c r="F711" s="8">
        <v>0.66666666666666663</v>
      </c>
      <c r="G711" s="4">
        <v>2</v>
      </c>
      <c r="H711" s="4">
        <f t="shared" si="22"/>
        <v>0</v>
      </c>
      <c r="I711" s="4">
        <f t="shared" si="23"/>
        <v>1</v>
      </c>
      <c r="J711" s="4">
        <v>0</v>
      </c>
      <c r="K711" s="4">
        <v>0</v>
      </c>
      <c r="L711" s="4">
        <v>0</v>
      </c>
      <c r="M711" s="4">
        <v>1</v>
      </c>
      <c r="N711" s="4">
        <v>1</v>
      </c>
      <c r="O711" s="4">
        <v>0</v>
      </c>
    </row>
    <row r="712" spans="1:15" x14ac:dyDescent="0.15">
      <c r="A712" s="4">
        <v>709</v>
      </c>
      <c r="B712" s="4">
        <v>35</v>
      </c>
      <c r="C712" s="4">
        <v>10</v>
      </c>
      <c r="D712" s="4">
        <v>21</v>
      </c>
      <c r="E712" s="4">
        <v>3</v>
      </c>
      <c r="F712" s="8">
        <v>1.3</v>
      </c>
      <c r="G712" s="4">
        <v>1</v>
      </c>
      <c r="H712" s="4">
        <f t="shared" si="22"/>
        <v>1</v>
      </c>
      <c r="I712" s="4">
        <f t="shared" si="23"/>
        <v>0</v>
      </c>
      <c r="J712" s="4">
        <v>115</v>
      </c>
      <c r="K712" s="4">
        <v>0</v>
      </c>
      <c r="L712" s="4">
        <v>0</v>
      </c>
      <c r="M712" s="4">
        <v>0</v>
      </c>
      <c r="N712" s="4">
        <v>0</v>
      </c>
      <c r="O712" s="4">
        <v>0</v>
      </c>
    </row>
    <row r="713" spans="1:15" x14ac:dyDescent="0.15">
      <c r="A713" s="4">
        <v>710</v>
      </c>
      <c r="B713" s="4">
        <v>29</v>
      </c>
      <c r="C713" s="4">
        <v>4</v>
      </c>
      <c r="D713" s="4">
        <v>72</v>
      </c>
      <c r="E713" s="4">
        <v>4</v>
      </c>
      <c r="F713" s="8">
        <v>2.2000000000000002</v>
      </c>
      <c r="G713" s="4">
        <v>1</v>
      </c>
      <c r="H713" s="4">
        <f t="shared" si="22"/>
        <v>1</v>
      </c>
      <c r="I713" s="4">
        <f t="shared" si="23"/>
        <v>0</v>
      </c>
      <c r="J713" s="4">
        <v>0</v>
      </c>
      <c r="K713" s="4">
        <v>0</v>
      </c>
      <c r="L713" s="4">
        <v>0</v>
      </c>
      <c r="M713" s="4">
        <v>1</v>
      </c>
      <c r="N713" s="4">
        <v>0</v>
      </c>
      <c r="O713" s="4">
        <v>0</v>
      </c>
    </row>
    <row r="714" spans="1:15" x14ac:dyDescent="0.15">
      <c r="A714" s="4">
        <v>711</v>
      </c>
      <c r="B714" s="4">
        <v>43</v>
      </c>
      <c r="C714" s="4">
        <v>17</v>
      </c>
      <c r="D714" s="4">
        <v>59</v>
      </c>
      <c r="E714" s="4">
        <v>3</v>
      </c>
      <c r="F714" s="8">
        <v>0.9</v>
      </c>
      <c r="G714" s="4">
        <v>3</v>
      </c>
      <c r="H714" s="4">
        <f t="shared" si="22"/>
        <v>0</v>
      </c>
      <c r="I714" s="4">
        <f t="shared" si="23"/>
        <v>0</v>
      </c>
      <c r="J714" s="4">
        <v>87</v>
      </c>
      <c r="K714" s="4">
        <v>0</v>
      </c>
      <c r="L714" s="4">
        <v>0</v>
      </c>
      <c r="M714" s="4">
        <v>1</v>
      </c>
      <c r="N714" s="4">
        <v>1</v>
      </c>
      <c r="O714" s="4">
        <v>0</v>
      </c>
    </row>
    <row r="715" spans="1:15" x14ac:dyDescent="0.15">
      <c r="A715" s="4">
        <v>712</v>
      </c>
      <c r="B715" s="4">
        <v>62</v>
      </c>
      <c r="C715" s="4">
        <v>37</v>
      </c>
      <c r="D715" s="4">
        <v>83</v>
      </c>
      <c r="E715" s="4">
        <v>3</v>
      </c>
      <c r="F715" s="8">
        <v>1.8</v>
      </c>
      <c r="G715" s="4">
        <v>2</v>
      </c>
      <c r="H715" s="4">
        <f t="shared" si="22"/>
        <v>0</v>
      </c>
      <c r="I715" s="4">
        <f t="shared" si="23"/>
        <v>1</v>
      </c>
      <c r="J715" s="4">
        <v>187</v>
      </c>
      <c r="K715" s="4">
        <v>1</v>
      </c>
      <c r="L715" s="4">
        <v>0</v>
      </c>
      <c r="M715" s="4">
        <v>0</v>
      </c>
      <c r="N715" s="4">
        <v>0</v>
      </c>
      <c r="O715" s="4">
        <v>0</v>
      </c>
    </row>
    <row r="716" spans="1:15" x14ac:dyDescent="0.15">
      <c r="A716" s="4">
        <v>713</v>
      </c>
      <c r="B716" s="4">
        <v>41</v>
      </c>
      <c r="C716" s="4">
        <v>16</v>
      </c>
      <c r="D716" s="4">
        <v>10</v>
      </c>
      <c r="E716" s="4">
        <v>2</v>
      </c>
      <c r="F716" s="8">
        <v>0.3</v>
      </c>
      <c r="G716" s="4">
        <v>2</v>
      </c>
      <c r="H716" s="4">
        <f t="shared" si="22"/>
        <v>0</v>
      </c>
      <c r="I716" s="4">
        <f t="shared" si="23"/>
        <v>1</v>
      </c>
      <c r="J716" s="4">
        <v>0</v>
      </c>
      <c r="K716" s="4">
        <v>0</v>
      </c>
      <c r="L716" s="4">
        <v>0</v>
      </c>
      <c r="M716" s="4">
        <v>1</v>
      </c>
      <c r="N716" s="4">
        <v>0</v>
      </c>
      <c r="O716" s="4">
        <v>0</v>
      </c>
    </row>
    <row r="717" spans="1:15" x14ac:dyDescent="0.15">
      <c r="A717" s="4">
        <v>714</v>
      </c>
      <c r="B717" s="4">
        <v>34</v>
      </c>
      <c r="C717" s="4">
        <v>9</v>
      </c>
      <c r="D717" s="4">
        <v>84</v>
      </c>
      <c r="E717" s="4">
        <v>3</v>
      </c>
      <c r="F717" s="8">
        <v>0.6</v>
      </c>
      <c r="G717" s="4">
        <v>2</v>
      </c>
      <c r="H717" s="4">
        <f t="shared" si="22"/>
        <v>0</v>
      </c>
      <c r="I717" s="4">
        <f t="shared" si="23"/>
        <v>1</v>
      </c>
      <c r="J717" s="4">
        <v>0</v>
      </c>
      <c r="K717" s="4">
        <v>0</v>
      </c>
      <c r="L717" s="4">
        <v>0</v>
      </c>
      <c r="M717" s="4">
        <v>1</v>
      </c>
      <c r="N717" s="4">
        <v>0</v>
      </c>
      <c r="O717" s="4">
        <v>0</v>
      </c>
    </row>
    <row r="718" spans="1:15" x14ac:dyDescent="0.15">
      <c r="A718" s="4">
        <v>715</v>
      </c>
      <c r="B718" s="4">
        <v>50</v>
      </c>
      <c r="C718" s="4">
        <v>23</v>
      </c>
      <c r="D718" s="4">
        <v>98</v>
      </c>
      <c r="E718" s="4">
        <v>3</v>
      </c>
      <c r="F718" s="8">
        <v>2</v>
      </c>
      <c r="G718" s="4">
        <v>2</v>
      </c>
      <c r="H718" s="4">
        <f t="shared" si="22"/>
        <v>0</v>
      </c>
      <c r="I718" s="4">
        <f t="shared" si="23"/>
        <v>1</v>
      </c>
      <c r="J718" s="4">
        <v>0</v>
      </c>
      <c r="K718" s="4">
        <v>0</v>
      </c>
      <c r="L718" s="4">
        <v>0</v>
      </c>
      <c r="M718" s="4">
        <v>0</v>
      </c>
      <c r="N718" s="4">
        <v>0</v>
      </c>
      <c r="O718" s="4">
        <v>0</v>
      </c>
    </row>
    <row r="719" spans="1:15" x14ac:dyDescent="0.15">
      <c r="A719" s="4">
        <v>716</v>
      </c>
      <c r="B719" s="4">
        <v>47</v>
      </c>
      <c r="C719" s="4">
        <v>23</v>
      </c>
      <c r="D719" s="4">
        <v>32</v>
      </c>
      <c r="E719" s="4">
        <v>1</v>
      </c>
      <c r="F719" s="8">
        <v>1</v>
      </c>
      <c r="G719" s="4">
        <v>1</v>
      </c>
      <c r="H719" s="4">
        <f t="shared" si="22"/>
        <v>1</v>
      </c>
      <c r="I719" s="4">
        <f t="shared" si="23"/>
        <v>0</v>
      </c>
      <c r="J719" s="4">
        <v>0</v>
      </c>
      <c r="K719" s="4">
        <v>1</v>
      </c>
      <c r="L719" s="4">
        <v>1</v>
      </c>
      <c r="M719" s="4">
        <v>1</v>
      </c>
      <c r="N719" s="4">
        <v>1</v>
      </c>
      <c r="O719" s="4">
        <v>0</v>
      </c>
    </row>
    <row r="720" spans="1:15" x14ac:dyDescent="0.15">
      <c r="A720" s="4">
        <v>717</v>
      </c>
      <c r="B720" s="4">
        <v>29</v>
      </c>
      <c r="C720" s="4">
        <v>5</v>
      </c>
      <c r="D720" s="4">
        <v>31</v>
      </c>
      <c r="E720" s="4">
        <v>4</v>
      </c>
      <c r="F720" s="8">
        <v>0.4</v>
      </c>
      <c r="G720" s="4">
        <v>2</v>
      </c>
      <c r="H720" s="4">
        <f t="shared" si="22"/>
        <v>0</v>
      </c>
      <c r="I720" s="4">
        <f t="shared" si="23"/>
        <v>1</v>
      </c>
      <c r="J720" s="4">
        <v>161</v>
      </c>
      <c r="K720" s="4">
        <v>0</v>
      </c>
      <c r="L720" s="4">
        <v>0</v>
      </c>
      <c r="M720" s="4">
        <v>1</v>
      </c>
      <c r="N720" s="4">
        <v>1</v>
      </c>
      <c r="O720" s="4">
        <v>0</v>
      </c>
    </row>
    <row r="721" spans="1:15" x14ac:dyDescent="0.15">
      <c r="A721" s="4">
        <v>718</v>
      </c>
      <c r="B721" s="4">
        <v>59</v>
      </c>
      <c r="C721" s="4">
        <v>34</v>
      </c>
      <c r="D721" s="4">
        <v>94</v>
      </c>
      <c r="E721" s="4">
        <v>3</v>
      </c>
      <c r="F721" s="8">
        <v>0.5</v>
      </c>
      <c r="G721" s="4">
        <v>1</v>
      </c>
      <c r="H721" s="4">
        <f t="shared" si="22"/>
        <v>1</v>
      </c>
      <c r="I721" s="4">
        <f t="shared" si="23"/>
        <v>0</v>
      </c>
      <c r="J721" s="4">
        <v>0</v>
      </c>
      <c r="K721" s="4">
        <v>0</v>
      </c>
      <c r="L721" s="4">
        <v>0</v>
      </c>
      <c r="M721" s="4">
        <v>0</v>
      </c>
      <c r="N721" s="4">
        <v>1</v>
      </c>
      <c r="O721" s="4">
        <v>0</v>
      </c>
    </row>
    <row r="722" spans="1:15" x14ac:dyDescent="0.15">
      <c r="A722" s="4">
        <v>719</v>
      </c>
      <c r="B722" s="4">
        <v>56</v>
      </c>
      <c r="C722" s="4">
        <v>31</v>
      </c>
      <c r="D722" s="4">
        <v>21</v>
      </c>
      <c r="E722" s="4">
        <v>2</v>
      </c>
      <c r="F722" s="8">
        <v>0.2</v>
      </c>
      <c r="G722" s="4">
        <v>3</v>
      </c>
      <c r="H722" s="4">
        <f t="shared" si="22"/>
        <v>0</v>
      </c>
      <c r="I722" s="4">
        <f t="shared" si="23"/>
        <v>0</v>
      </c>
      <c r="J722" s="4">
        <v>137</v>
      </c>
      <c r="K722" s="4">
        <v>0</v>
      </c>
      <c r="L722" s="4">
        <v>1</v>
      </c>
      <c r="M722" s="4">
        <v>1</v>
      </c>
      <c r="N722" s="4">
        <v>1</v>
      </c>
      <c r="O722" s="4">
        <v>0</v>
      </c>
    </row>
    <row r="723" spans="1:15" x14ac:dyDescent="0.15">
      <c r="A723" s="4">
        <v>720</v>
      </c>
      <c r="B723" s="4">
        <v>61</v>
      </c>
      <c r="C723" s="4">
        <v>35</v>
      </c>
      <c r="D723" s="4">
        <v>110</v>
      </c>
      <c r="E723" s="4">
        <v>3</v>
      </c>
      <c r="F723" s="8">
        <v>4.4000000000000004</v>
      </c>
      <c r="G723" s="4">
        <v>1</v>
      </c>
      <c r="H723" s="4">
        <f t="shared" si="22"/>
        <v>1</v>
      </c>
      <c r="I723" s="4">
        <f t="shared" si="23"/>
        <v>0</v>
      </c>
      <c r="J723" s="4">
        <v>0</v>
      </c>
      <c r="K723" s="4">
        <v>1</v>
      </c>
      <c r="L723" s="4">
        <v>0</v>
      </c>
      <c r="M723" s="4">
        <v>1</v>
      </c>
      <c r="N723" s="4">
        <v>0</v>
      </c>
      <c r="O723" s="4">
        <v>0</v>
      </c>
    </row>
    <row r="724" spans="1:15" x14ac:dyDescent="0.15">
      <c r="A724" s="4">
        <v>721</v>
      </c>
      <c r="B724" s="4">
        <v>58</v>
      </c>
      <c r="C724" s="4">
        <v>32</v>
      </c>
      <c r="D724" s="4">
        <v>38</v>
      </c>
      <c r="E724" s="4">
        <v>1</v>
      </c>
      <c r="F724" s="8">
        <v>2.2000000000000002</v>
      </c>
      <c r="G724" s="4">
        <v>3</v>
      </c>
      <c r="H724" s="4">
        <f t="shared" si="22"/>
        <v>0</v>
      </c>
      <c r="I724" s="4">
        <f t="shared" si="23"/>
        <v>0</v>
      </c>
      <c r="J724" s="4">
        <v>0</v>
      </c>
      <c r="K724" s="4">
        <v>0</v>
      </c>
      <c r="L724" s="4">
        <v>0</v>
      </c>
      <c r="M724" s="4">
        <v>0</v>
      </c>
      <c r="N724" s="4">
        <v>0</v>
      </c>
      <c r="O724" s="4">
        <v>0</v>
      </c>
    </row>
    <row r="725" spans="1:15" x14ac:dyDescent="0.15">
      <c r="A725" s="4">
        <v>722</v>
      </c>
      <c r="B725" s="4">
        <v>49</v>
      </c>
      <c r="C725" s="4">
        <v>24</v>
      </c>
      <c r="D725" s="4">
        <v>39</v>
      </c>
      <c r="E725" s="4">
        <v>1</v>
      </c>
      <c r="F725" s="8">
        <v>1.4</v>
      </c>
      <c r="G725" s="4">
        <v>3</v>
      </c>
      <c r="H725" s="4">
        <f t="shared" si="22"/>
        <v>0</v>
      </c>
      <c r="I725" s="4">
        <f t="shared" si="23"/>
        <v>0</v>
      </c>
      <c r="J725" s="4">
        <v>0</v>
      </c>
      <c r="K725" s="4">
        <v>0</v>
      </c>
      <c r="L725" s="4">
        <v>0</v>
      </c>
      <c r="M725" s="4">
        <v>1</v>
      </c>
      <c r="N725" s="4">
        <v>0</v>
      </c>
      <c r="O725" s="4">
        <v>0</v>
      </c>
    </row>
    <row r="726" spans="1:15" x14ac:dyDescent="0.15">
      <c r="A726" s="4">
        <v>723</v>
      </c>
      <c r="B726" s="4">
        <v>45</v>
      </c>
      <c r="C726" s="4">
        <v>21</v>
      </c>
      <c r="D726" s="4">
        <v>132</v>
      </c>
      <c r="E726" s="4">
        <v>3</v>
      </c>
      <c r="F726" s="8">
        <v>1.2</v>
      </c>
      <c r="G726" s="4">
        <v>2</v>
      </c>
      <c r="H726" s="4">
        <f t="shared" si="22"/>
        <v>0</v>
      </c>
      <c r="I726" s="4">
        <f t="shared" si="23"/>
        <v>1</v>
      </c>
      <c r="J726" s="4">
        <v>0</v>
      </c>
      <c r="K726" s="4">
        <v>0</v>
      </c>
      <c r="L726" s="4">
        <v>1</v>
      </c>
      <c r="M726" s="4">
        <v>1</v>
      </c>
      <c r="N726" s="4">
        <v>1</v>
      </c>
      <c r="O726" s="4">
        <v>1</v>
      </c>
    </row>
    <row r="727" spans="1:15" x14ac:dyDescent="0.15">
      <c r="A727" s="4">
        <v>724</v>
      </c>
      <c r="B727" s="4">
        <v>50</v>
      </c>
      <c r="C727" s="4">
        <v>24</v>
      </c>
      <c r="D727" s="4">
        <v>61</v>
      </c>
      <c r="E727" s="4">
        <v>4</v>
      </c>
      <c r="F727" s="8">
        <v>2.6</v>
      </c>
      <c r="G727" s="4">
        <v>1</v>
      </c>
      <c r="H727" s="4">
        <f t="shared" si="22"/>
        <v>1</v>
      </c>
      <c r="I727" s="4">
        <f t="shared" si="23"/>
        <v>0</v>
      </c>
      <c r="J727" s="4">
        <v>0</v>
      </c>
      <c r="K727" s="4">
        <v>0</v>
      </c>
      <c r="L727" s="4">
        <v>0</v>
      </c>
      <c r="M727" s="4">
        <v>1</v>
      </c>
      <c r="N727" s="4">
        <v>0</v>
      </c>
      <c r="O727" s="4">
        <v>0</v>
      </c>
    </row>
    <row r="728" spans="1:15" x14ac:dyDescent="0.15">
      <c r="A728" s="4">
        <v>725</v>
      </c>
      <c r="B728" s="4">
        <v>64</v>
      </c>
      <c r="C728" s="4">
        <v>38</v>
      </c>
      <c r="D728" s="4">
        <v>92</v>
      </c>
      <c r="E728" s="4">
        <v>1</v>
      </c>
      <c r="F728" s="8">
        <v>2</v>
      </c>
      <c r="G728" s="4">
        <v>1</v>
      </c>
      <c r="H728" s="4">
        <f t="shared" si="22"/>
        <v>1</v>
      </c>
      <c r="I728" s="4">
        <f t="shared" si="23"/>
        <v>0</v>
      </c>
      <c r="J728" s="4">
        <v>0</v>
      </c>
      <c r="K728" s="4">
        <v>0</v>
      </c>
      <c r="L728" s="4">
        <v>0</v>
      </c>
      <c r="M728" s="4">
        <v>1</v>
      </c>
      <c r="N728" s="4">
        <v>0</v>
      </c>
      <c r="O728" s="4">
        <v>0</v>
      </c>
    </row>
    <row r="729" spans="1:15" x14ac:dyDescent="0.15">
      <c r="A729" s="4">
        <v>726</v>
      </c>
      <c r="B729" s="4">
        <v>39</v>
      </c>
      <c r="C729" s="4">
        <v>15</v>
      </c>
      <c r="D729" s="4">
        <v>119</v>
      </c>
      <c r="E729" s="4">
        <v>2</v>
      </c>
      <c r="F729" s="8">
        <v>6.1</v>
      </c>
      <c r="G729" s="4">
        <v>1</v>
      </c>
      <c r="H729" s="4">
        <f t="shared" si="22"/>
        <v>1</v>
      </c>
      <c r="I729" s="4">
        <f t="shared" si="23"/>
        <v>0</v>
      </c>
      <c r="J729" s="4">
        <v>0</v>
      </c>
      <c r="K729" s="4">
        <v>0</v>
      </c>
      <c r="L729" s="4">
        <v>0</v>
      </c>
      <c r="M729" s="4">
        <v>0</v>
      </c>
      <c r="N729" s="4">
        <v>0</v>
      </c>
      <c r="O729" s="4">
        <v>0</v>
      </c>
    </row>
    <row r="730" spans="1:15" x14ac:dyDescent="0.15">
      <c r="A730" s="4">
        <v>727</v>
      </c>
      <c r="B730" s="4">
        <v>58</v>
      </c>
      <c r="C730" s="4">
        <v>33</v>
      </c>
      <c r="D730" s="4">
        <v>53</v>
      </c>
      <c r="E730" s="4">
        <v>4</v>
      </c>
      <c r="F730" s="8">
        <v>2.1</v>
      </c>
      <c r="G730" s="4">
        <v>1</v>
      </c>
      <c r="H730" s="4">
        <f t="shared" si="22"/>
        <v>1</v>
      </c>
      <c r="I730" s="4">
        <f t="shared" si="23"/>
        <v>0</v>
      </c>
      <c r="J730" s="4">
        <v>0</v>
      </c>
      <c r="K730" s="4">
        <v>0</v>
      </c>
      <c r="L730" s="4">
        <v>0</v>
      </c>
      <c r="M730" s="4">
        <v>1</v>
      </c>
      <c r="N730" s="4">
        <v>0</v>
      </c>
      <c r="O730" s="4">
        <v>0</v>
      </c>
    </row>
    <row r="731" spans="1:15" x14ac:dyDescent="0.15">
      <c r="A731" s="4">
        <v>728</v>
      </c>
      <c r="B731" s="4">
        <v>62</v>
      </c>
      <c r="C731" s="4">
        <v>37</v>
      </c>
      <c r="D731" s="4">
        <v>18</v>
      </c>
      <c r="E731" s="4">
        <v>3</v>
      </c>
      <c r="F731" s="8">
        <v>1.3</v>
      </c>
      <c r="G731" s="4">
        <v>2</v>
      </c>
      <c r="H731" s="4">
        <f t="shared" si="22"/>
        <v>0</v>
      </c>
      <c r="I731" s="4">
        <f t="shared" si="23"/>
        <v>1</v>
      </c>
      <c r="J731" s="4">
        <v>0</v>
      </c>
      <c r="K731" s="4">
        <v>0</v>
      </c>
      <c r="L731" s="4">
        <v>0</v>
      </c>
      <c r="M731" s="4">
        <v>1</v>
      </c>
      <c r="N731" s="4">
        <v>0</v>
      </c>
      <c r="O731" s="4">
        <v>0</v>
      </c>
    </row>
    <row r="732" spans="1:15" x14ac:dyDescent="0.15">
      <c r="A732" s="4">
        <v>729</v>
      </c>
      <c r="B732" s="4">
        <v>45</v>
      </c>
      <c r="C732" s="4">
        <v>20</v>
      </c>
      <c r="D732" s="4">
        <v>114</v>
      </c>
      <c r="E732" s="4">
        <v>2</v>
      </c>
      <c r="F732" s="8">
        <v>4.4000000000000004</v>
      </c>
      <c r="G732" s="4">
        <v>2</v>
      </c>
      <c r="H732" s="4">
        <f t="shared" si="22"/>
        <v>0</v>
      </c>
      <c r="I732" s="4">
        <f t="shared" si="23"/>
        <v>1</v>
      </c>
      <c r="J732" s="4">
        <v>0</v>
      </c>
      <c r="K732" s="4">
        <v>0</v>
      </c>
      <c r="L732" s="4">
        <v>0</v>
      </c>
      <c r="M732" s="4">
        <v>0</v>
      </c>
      <c r="N732" s="4">
        <v>0</v>
      </c>
      <c r="O732" s="4">
        <v>1</v>
      </c>
    </row>
    <row r="733" spans="1:15" x14ac:dyDescent="0.15">
      <c r="A733" s="4">
        <v>730</v>
      </c>
      <c r="B733" s="4">
        <v>58</v>
      </c>
      <c r="C733" s="4">
        <v>28</v>
      </c>
      <c r="D733" s="4">
        <v>90</v>
      </c>
      <c r="E733" s="4">
        <v>1</v>
      </c>
      <c r="F733" s="8">
        <v>3</v>
      </c>
      <c r="G733" s="4">
        <v>3</v>
      </c>
      <c r="H733" s="4">
        <f t="shared" si="22"/>
        <v>0</v>
      </c>
      <c r="I733" s="4">
        <f t="shared" si="23"/>
        <v>0</v>
      </c>
      <c r="J733" s="4">
        <v>0</v>
      </c>
      <c r="K733" s="4">
        <v>0</v>
      </c>
      <c r="L733" s="4">
        <v>0</v>
      </c>
      <c r="M733" s="4">
        <v>0</v>
      </c>
      <c r="N733" s="4">
        <v>1</v>
      </c>
      <c r="O733" s="4">
        <v>0</v>
      </c>
    </row>
    <row r="734" spans="1:15" x14ac:dyDescent="0.15">
      <c r="A734" s="4">
        <v>731</v>
      </c>
      <c r="B734" s="4">
        <v>43</v>
      </c>
      <c r="C734" s="4">
        <v>18</v>
      </c>
      <c r="D734" s="4">
        <v>140</v>
      </c>
      <c r="E734" s="4">
        <v>1</v>
      </c>
      <c r="F734" s="8">
        <v>7</v>
      </c>
      <c r="G734" s="4">
        <v>1</v>
      </c>
      <c r="H734" s="4">
        <f t="shared" si="22"/>
        <v>1</v>
      </c>
      <c r="I734" s="4">
        <f t="shared" si="23"/>
        <v>0</v>
      </c>
      <c r="J734" s="4">
        <v>205</v>
      </c>
      <c r="K734" s="4">
        <v>0</v>
      </c>
      <c r="L734" s="4">
        <v>0</v>
      </c>
      <c r="M734" s="4">
        <v>1</v>
      </c>
      <c r="N734" s="4">
        <v>0</v>
      </c>
      <c r="O734" s="4">
        <v>0</v>
      </c>
    </row>
    <row r="735" spans="1:15" x14ac:dyDescent="0.15">
      <c r="A735" s="4">
        <v>732</v>
      </c>
      <c r="B735" s="4">
        <v>28</v>
      </c>
      <c r="C735" s="4">
        <v>3</v>
      </c>
      <c r="D735" s="4">
        <v>90</v>
      </c>
      <c r="E735" s="4">
        <v>2</v>
      </c>
      <c r="F735" s="8">
        <v>3.3</v>
      </c>
      <c r="G735" s="4">
        <v>1</v>
      </c>
      <c r="H735" s="4">
        <f t="shared" si="22"/>
        <v>1</v>
      </c>
      <c r="I735" s="4">
        <f t="shared" si="23"/>
        <v>0</v>
      </c>
      <c r="J735" s="4">
        <v>0</v>
      </c>
      <c r="K735" s="4">
        <v>0</v>
      </c>
      <c r="L735" s="4">
        <v>0</v>
      </c>
      <c r="M735" s="4">
        <v>1</v>
      </c>
      <c r="N735" s="4">
        <v>1</v>
      </c>
      <c r="O735" s="4">
        <v>0</v>
      </c>
    </row>
    <row r="736" spans="1:15" x14ac:dyDescent="0.15">
      <c r="A736" s="4">
        <v>733</v>
      </c>
      <c r="B736" s="4">
        <v>26</v>
      </c>
      <c r="C736" s="4">
        <v>1</v>
      </c>
      <c r="D736" s="4">
        <v>85</v>
      </c>
      <c r="E736" s="4">
        <v>1</v>
      </c>
      <c r="F736" s="8">
        <v>1.9</v>
      </c>
      <c r="G736" s="4">
        <v>1</v>
      </c>
      <c r="H736" s="4">
        <f t="shared" si="22"/>
        <v>1</v>
      </c>
      <c r="I736" s="4">
        <f t="shared" si="23"/>
        <v>0</v>
      </c>
      <c r="J736" s="4">
        <v>0</v>
      </c>
      <c r="K736" s="4">
        <v>0</v>
      </c>
      <c r="L736" s="4">
        <v>0</v>
      </c>
      <c r="M736" s="4">
        <v>1</v>
      </c>
      <c r="N736" s="4">
        <v>0</v>
      </c>
      <c r="O736" s="4">
        <v>0</v>
      </c>
    </row>
    <row r="737" spans="1:15" x14ac:dyDescent="0.15">
      <c r="A737" s="4">
        <v>734</v>
      </c>
      <c r="B737" s="4">
        <v>49</v>
      </c>
      <c r="C737" s="4">
        <v>24</v>
      </c>
      <c r="D737" s="4">
        <v>80</v>
      </c>
      <c r="E737" s="4">
        <v>1</v>
      </c>
      <c r="F737" s="8">
        <v>1.2</v>
      </c>
      <c r="G737" s="4">
        <v>1</v>
      </c>
      <c r="H737" s="4">
        <f t="shared" si="22"/>
        <v>1</v>
      </c>
      <c r="I737" s="4">
        <f t="shared" si="23"/>
        <v>0</v>
      </c>
      <c r="J737" s="4">
        <v>0</v>
      </c>
      <c r="K737" s="4">
        <v>0</v>
      </c>
      <c r="L737" s="4">
        <v>0</v>
      </c>
      <c r="M737" s="4">
        <v>1</v>
      </c>
      <c r="N737" s="4">
        <v>0</v>
      </c>
      <c r="O737" s="4">
        <v>0</v>
      </c>
    </row>
    <row r="738" spans="1:15" x14ac:dyDescent="0.15">
      <c r="A738" s="4">
        <v>735</v>
      </c>
      <c r="B738" s="4">
        <v>66</v>
      </c>
      <c r="C738" s="4">
        <v>42</v>
      </c>
      <c r="D738" s="4">
        <v>53</v>
      </c>
      <c r="E738" s="4">
        <v>2</v>
      </c>
      <c r="F738" s="8">
        <v>1.1000000000000001</v>
      </c>
      <c r="G738" s="4">
        <v>1</v>
      </c>
      <c r="H738" s="4">
        <f t="shared" si="22"/>
        <v>1</v>
      </c>
      <c r="I738" s="4">
        <f t="shared" si="23"/>
        <v>0</v>
      </c>
      <c r="J738" s="4">
        <v>0</v>
      </c>
      <c r="K738" s="4">
        <v>0</v>
      </c>
      <c r="L738" s="4">
        <v>0</v>
      </c>
      <c r="M738" s="4">
        <v>1</v>
      </c>
      <c r="N738" s="4">
        <v>1</v>
      </c>
      <c r="O738" s="4">
        <v>0</v>
      </c>
    </row>
    <row r="739" spans="1:15" x14ac:dyDescent="0.15">
      <c r="A739" s="4">
        <v>736</v>
      </c>
      <c r="B739" s="4">
        <v>33</v>
      </c>
      <c r="C739" s="4">
        <v>7</v>
      </c>
      <c r="D739" s="4">
        <v>49</v>
      </c>
      <c r="E739" s="4">
        <v>4</v>
      </c>
      <c r="F739" s="8">
        <v>2.2000000000000002</v>
      </c>
      <c r="G739" s="4">
        <v>2</v>
      </c>
      <c r="H739" s="4">
        <f t="shared" si="22"/>
        <v>0</v>
      </c>
      <c r="I739" s="4">
        <f t="shared" si="23"/>
        <v>1</v>
      </c>
      <c r="J739" s="4">
        <v>0</v>
      </c>
      <c r="K739" s="4">
        <v>0</v>
      </c>
      <c r="L739" s="4">
        <v>0</v>
      </c>
      <c r="M739" s="4">
        <v>1</v>
      </c>
      <c r="N739" s="4">
        <v>0</v>
      </c>
      <c r="O739" s="4">
        <v>0</v>
      </c>
    </row>
    <row r="740" spans="1:15" x14ac:dyDescent="0.15">
      <c r="A740" s="4">
        <v>737</v>
      </c>
      <c r="B740" s="4">
        <v>61</v>
      </c>
      <c r="C740" s="4">
        <v>35</v>
      </c>
      <c r="D740" s="4">
        <v>152</v>
      </c>
      <c r="E740" s="4">
        <v>3</v>
      </c>
      <c r="F740" s="8">
        <v>3.3</v>
      </c>
      <c r="G740" s="4">
        <v>3</v>
      </c>
      <c r="H740" s="4">
        <f t="shared" si="22"/>
        <v>0</v>
      </c>
      <c r="I740" s="4">
        <f t="shared" si="23"/>
        <v>0</v>
      </c>
      <c r="J740" s="4">
        <v>0</v>
      </c>
      <c r="K740" s="4">
        <v>0</v>
      </c>
      <c r="L740" s="4">
        <v>0</v>
      </c>
      <c r="M740" s="4">
        <v>1</v>
      </c>
      <c r="N740" s="4">
        <v>0</v>
      </c>
      <c r="O740" s="4">
        <v>1</v>
      </c>
    </row>
    <row r="741" spans="1:15" x14ac:dyDescent="0.15">
      <c r="A741" s="4">
        <v>738</v>
      </c>
      <c r="B741" s="4">
        <v>64</v>
      </c>
      <c r="C741" s="4">
        <v>37</v>
      </c>
      <c r="D741" s="4">
        <v>138</v>
      </c>
      <c r="E741" s="4">
        <v>2</v>
      </c>
      <c r="F741" s="8">
        <v>2.8</v>
      </c>
      <c r="G741" s="4">
        <v>2</v>
      </c>
      <c r="H741" s="4">
        <f t="shared" si="22"/>
        <v>0</v>
      </c>
      <c r="I741" s="4">
        <f t="shared" si="23"/>
        <v>1</v>
      </c>
      <c r="J741" s="4">
        <v>0</v>
      </c>
      <c r="K741" s="4">
        <v>0</v>
      </c>
      <c r="L741" s="4">
        <v>0</v>
      </c>
      <c r="M741" s="4">
        <v>1</v>
      </c>
      <c r="N741" s="4">
        <v>0</v>
      </c>
      <c r="O741" s="4">
        <v>1</v>
      </c>
    </row>
    <row r="742" spans="1:15" x14ac:dyDescent="0.15">
      <c r="A742" s="4">
        <v>739</v>
      </c>
      <c r="B742" s="4">
        <v>36</v>
      </c>
      <c r="C742" s="4">
        <v>10</v>
      </c>
      <c r="D742" s="4">
        <v>80</v>
      </c>
      <c r="E742" s="4">
        <v>4</v>
      </c>
      <c r="F742" s="8">
        <v>2.2000000000000002</v>
      </c>
      <c r="G742" s="4">
        <v>2</v>
      </c>
      <c r="H742" s="4">
        <f t="shared" si="22"/>
        <v>0</v>
      </c>
      <c r="I742" s="4">
        <f t="shared" si="23"/>
        <v>1</v>
      </c>
      <c r="J742" s="4">
        <v>0</v>
      </c>
      <c r="K742" s="4">
        <v>0</v>
      </c>
      <c r="L742" s="4">
        <v>0</v>
      </c>
      <c r="M742" s="4">
        <v>1</v>
      </c>
      <c r="N742" s="4">
        <v>0</v>
      </c>
      <c r="O742" s="4">
        <v>0</v>
      </c>
    </row>
    <row r="743" spans="1:15" x14ac:dyDescent="0.15">
      <c r="A743" s="4">
        <v>740</v>
      </c>
      <c r="B743" s="4">
        <v>49</v>
      </c>
      <c r="C743" s="4">
        <v>23</v>
      </c>
      <c r="D743" s="4">
        <v>82</v>
      </c>
      <c r="E743" s="4">
        <v>2</v>
      </c>
      <c r="F743" s="8">
        <v>2.4</v>
      </c>
      <c r="G743" s="4">
        <v>2</v>
      </c>
      <c r="H743" s="4">
        <f t="shared" si="22"/>
        <v>0</v>
      </c>
      <c r="I743" s="4">
        <f t="shared" si="23"/>
        <v>1</v>
      </c>
      <c r="J743" s="4">
        <v>0</v>
      </c>
      <c r="K743" s="4">
        <v>0</v>
      </c>
      <c r="L743" s="4">
        <v>0</v>
      </c>
      <c r="M743" s="4">
        <v>0</v>
      </c>
      <c r="N743" s="4">
        <v>0</v>
      </c>
      <c r="O743" s="4">
        <v>0</v>
      </c>
    </row>
    <row r="744" spans="1:15" x14ac:dyDescent="0.15">
      <c r="A744" s="4">
        <v>741</v>
      </c>
      <c r="B744" s="4">
        <v>52</v>
      </c>
      <c r="C744" s="4">
        <v>27</v>
      </c>
      <c r="D744" s="4">
        <v>195</v>
      </c>
      <c r="E744" s="4">
        <v>1</v>
      </c>
      <c r="F744" s="8">
        <v>8.1</v>
      </c>
      <c r="G744" s="4">
        <v>1</v>
      </c>
      <c r="H744" s="4">
        <f t="shared" si="22"/>
        <v>1</v>
      </c>
      <c r="I744" s="4">
        <f t="shared" si="23"/>
        <v>0</v>
      </c>
      <c r="J744" s="4">
        <v>0</v>
      </c>
      <c r="K744" s="4">
        <v>0</v>
      </c>
      <c r="L744" s="4">
        <v>0</v>
      </c>
      <c r="M744" s="4">
        <v>0</v>
      </c>
      <c r="N744" s="4">
        <v>0</v>
      </c>
      <c r="O744" s="4">
        <v>0</v>
      </c>
    </row>
    <row r="745" spans="1:15" x14ac:dyDescent="0.15">
      <c r="A745" s="4">
        <v>742</v>
      </c>
      <c r="B745" s="4">
        <v>61</v>
      </c>
      <c r="C745" s="4">
        <v>37</v>
      </c>
      <c r="D745" s="4">
        <v>22</v>
      </c>
      <c r="E745" s="4">
        <v>1</v>
      </c>
      <c r="F745" s="8">
        <v>1.2</v>
      </c>
      <c r="G745" s="4">
        <v>3</v>
      </c>
      <c r="H745" s="4">
        <f t="shared" si="22"/>
        <v>0</v>
      </c>
      <c r="I745" s="4">
        <f t="shared" si="23"/>
        <v>0</v>
      </c>
      <c r="J745" s="4">
        <v>0</v>
      </c>
      <c r="K745" s="4">
        <v>0</v>
      </c>
      <c r="L745" s="4">
        <v>0</v>
      </c>
      <c r="M745" s="4">
        <v>1</v>
      </c>
      <c r="N745" s="4">
        <v>0</v>
      </c>
      <c r="O745" s="4">
        <v>0</v>
      </c>
    </row>
    <row r="746" spans="1:15" x14ac:dyDescent="0.15">
      <c r="A746" s="4">
        <v>743</v>
      </c>
      <c r="B746" s="4">
        <v>32</v>
      </c>
      <c r="C746" s="4">
        <v>6</v>
      </c>
      <c r="D746" s="4">
        <v>81</v>
      </c>
      <c r="E746" s="4">
        <v>1</v>
      </c>
      <c r="F746" s="8">
        <v>2.5</v>
      </c>
      <c r="G746" s="4">
        <v>1</v>
      </c>
      <c r="H746" s="4">
        <f t="shared" si="22"/>
        <v>1</v>
      </c>
      <c r="I746" s="4">
        <f t="shared" si="23"/>
        <v>0</v>
      </c>
      <c r="J746" s="4">
        <v>0</v>
      </c>
      <c r="K746" s="4">
        <v>0</v>
      </c>
      <c r="L746" s="4">
        <v>0</v>
      </c>
      <c r="M746" s="4">
        <v>1</v>
      </c>
      <c r="N746" s="4">
        <v>0</v>
      </c>
      <c r="O746" s="4">
        <v>0</v>
      </c>
    </row>
    <row r="747" spans="1:15" x14ac:dyDescent="0.15">
      <c r="A747" s="4">
        <v>744</v>
      </c>
      <c r="B747" s="4">
        <v>61</v>
      </c>
      <c r="C747" s="4">
        <v>37</v>
      </c>
      <c r="D747" s="4">
        <v>40</v>
      </c>
      <c r="E747" s="4">
        <v>4</v>
      </c>
      <c r="F747" s="8">
        <v>2.2000000000000002</v>
      </c>
      <c r="G747" s="4">
        <v>1</v>
      </c>
      <c r="H747" s="4">
        <f t="shared" si="22"/>
        <v>1</v>
      </c>
      <c r="I747" s="4">
        <f t="shared" si="23"/>
        <v>0</v>
      </c>
      <c r="J747" s="4">
        <v>0</v>
      </c>
      <c r="K747" s="4">
        <v>1</v>
      </c>
      <c r="L747" s="4">
        <v>1</v>
      </c>
      <c r="M747" s="4">
        <v>1</v>
      </c>
      <c r="N747" s="4">
        <v>1</v>
      </c>
      <c r="O747" s="4">
        <v>0</v>
      </c>
    </row>
    <row r="748" spans="1:15" x14ac:dyDescent="0.15">
      <c r="A748" s="4">
        <v>745</v>
      </c>
      <c r="B748" s="4">
        <v>45</v>
      </c>
      <c r="C748" s="4">
        <v>20</v>
      </c>
      <c r="D748" s="4">
        <v>154</v>
      </c>
      <c r="E748" s="4">
        <v>2</v>
      </c>
      <c r="F748" s="8">
        <v>2.8</v>
      </c>
      <c r="G748" s="4">
        <v>1</v>
      </c>
      <c r="H748" s="4">
        <f t="shared" si="22"/>
        <v>1</v>
      </c>
      <c r="I748" s="4">
        <f t="shared" si="23"/>
        <v>0</v>
      </c>
      <c r="J748" s="4">
        <v>0</v>
      </c>
      <c r="K748" s="4">
        <v>1</v>
      </c>
      <c r="L748" s="4">
        <v>0</v>
      </c>
      <c r="M748" s="4">
        <v>1</v>
      </c>
      <c r="N748" s="4">
        <v>0</v>
      </c>
      <c r="O748" s="4">
        <v>0</v>
      </c>
    </row>
    <row r="749" spans="1:15" x14ac:dyDescent="0.15">
      <c r="A749" s="4">
        <v>746</v>
      </c>
      <c r="B749" s="4">
        <v>30</v>
      </c>
      <c r="C749" s="4">
        <v>4</v>
      </c>
      <c r="D749" s="4">
        <v>49</v>
      </c>
      <c r="E749" s="4">
        <v>3</v>
      </c>
      <c r="F749" s="8">
        <v>1.1000000000000001</v>
      </c>
      <c r="G749" s="4">
        <v>2</v>
      </c>
      <c r="H749" s="4">
        <f t="shared" si="22"/>
        <v>0</v>
      </c>
      <c r="I749" s="4">
        <f t="shared" si="23"/>
        <v>1</v>
      </c>
      <c r="J749" s="4">
        <v>0</v>
      </c>
      <c r="K749" s="4">
        <v>0</v>
      </c>
      <c r="L749" s="4">
        <v>0</v>
      </c>
      <c r="M749" s="4">
        <v>0</v>
      </c>
      <c r="N749" s="4">
        <v>1</v>
      </c>
      <c r="O749" s="4">
        <v>0</v>
      </c>
    </row>
    <row r="750" spans="1:15" x14ac:dyDescent="0.15">
      <c r="A750" s="4">
        <v>747</v>
      </c>
      <c r="B750" s="4">
        <v>62</v>
      </c>
      <c r="C750" s="4">
        <v>37</v>
      </c>
      <c r="D750" s="4">
        <v>85</v>
      </c>
      <c r="E750" s="4">
        <v>4</v>
      </c>
      <c r="F750" s="8">
        <v>3.4</v>
      </c>
      <c r="G750" s="4">
        <v>2</v>
      </c>
      <c r="H750" s="4">
        <f t="shared" si="22"/>
        <v>0</v>
      </c>
      <c r="I750" s="4">
        <f t="shared" si="23"/>
        <v>1</v>
      </c>
      <c r="J750" s="4">
        <v>0</v>
      </c>
      <c r="K750" s="4">
        <v>0</v>
      </c>
      <c r="L750" s="4">
        <v>0</v>
      </c>
      <c r="M750" s="4">
        <v>1</v>
      </c>
      <c r="N750" s="4">
        <v>0</v>
      </c>
      <c r="O750" s="4">
        <v>0</v>
      </c>
    </row>
    <row r="751" spans="1:15" x14ac:dyDescent="0.15">
      <c r="A751" s="4">
        <v>748</v>
      </c>
      <c r="B751" s="4">
        <v>57</v>
      </c>
      <c r="C751" s="4">
        <v>32</v>
      </c>
      <c r="D751" s="4">
        <v>21</v>
      </c>
      <c r="E751" s="4">
        <v>3</v>
      </c>
      <c r="F751" s="8">
        <v>0.1</v>
      </c>
      <c r="G751" s="4">
        <v>2</v>
      </c>
      <c r="H751" s="4">
        <f t="shared" si="22"/>
        <v>0</v>
      </c>
      <c r="I751" s="4">
        <f t="shared" si="23"/>
        <v>1</v>
      </c>
      <c r="J751" s="4">
        <v>0</v>
      </c>
      <c r="K751" s="4">
        <v>1</v>
      </c>
      <c r="L751" s="4">
        <v>1</v>
      </c>
      <c r="M751" s="4">
        <v>1</v>
      </c>
      <c r="N751" s="4">
        <v>0</v>
      </c>
      <c r="O751" s="4">
        <v>0</v>
      </c>
    </row>
    <row r="752" spans="1:15" x14ac:dyDescent="0.15">
      <c r="A752" s="4">
        <v>749</v>
      </c>
      <c r="B752" s="4">
        <v>41</v>
      </c>
      <c r="C752" s="4">
        <v>17</v>
      </c>
      <c r="D752" s="4">
        <v>14</v>
      </c>
      <c r="E752" s="4">
        <v>1</v>
      </c>
      <c r="F752" s="8">
        <v>1</v>
      </c>
      <c r="G752" s="4">
        <v>1</v>
      </c>
      <c r="H752" s="4">
        <f t="shared" si="22"/>
        <v>1</v>
      </c>
      <c r="I752" s="4">
        <f t="shared" si="23"/>
        <v>0</v>
      </c>
      <c r="J752" s="4">
        <v>0</v>
      </c>
      <c r="K752" s="4">
        <v>0</v>
      </c>
      <c r="L752" s="4">
        <v>0</v>
      </c>
      <c r="M752" s="4">
        <v>0</v>
      </c>
      <c r="N752" s="4">
        <v>0</v>
      </c>
      <c r="O752" s="4">
        <v>0</v>
      </c>
    </row>
    <row r="753" spans="1:15" x14ac:dyDescent="0.15">
      <c r="A753" s="4">
        <v>750</v>
      </c>
      <c r="B753" s="4">
        <v>58</v>
      </c>
      <c r="C753" s="4">
        <v>34</v>
      </c>
      <c r="D753" s="4">
        <v>60</v>
      </c>
      <c r="E753" s="4">
        <v>4</v>
      </c>
      <c r="F753" s="8">
        <v>1.6</v>
      </c>
      <c r="G753" s="4">
        <v>2</v>
      </c>
      <c r="H753" s="4">
        <f t="shared" si="22"/>
        <v>0</v>
      </c>
      <c r="I753" s="4">
        <f t="shared" si="23"/>
        <v>1</v>
      </c>
      <c r="J753" s="4">
        <v>0</v>
      </c>
      <c r="K753" s="4">
        <v>0</v>
      </c>
      <c r="L753" s="4">
        <v>0</v>
      </c>
      <c r="M753" s="4">
        <v>0</v>
      </c>
      <c r="N753" s="4">
        <v>1</v>
      </c>
      <c r="O753" s="4">
        <v>0</v>
      </c>
    </row>
    <row r="754" spans="1:15" x14ac:dyDescent="0.15">
      <c r="A754" s="4">
        <v>751</v>
      </c>
      <c r="B754" s="4">
        <v>29</v>
      </c>
      <c r="C754" s="4">
        <v>5</v>
      </c>
      <c r="D754" s="4">
        <v>138</v>
      </c>
      <c r="E754" s="4">
        <v>2</v>
      </c>
      <c r="F754" s="8">
        <v>4.333333333333333</v>
      </c>
      <c r="G754" s="4">
        <v>1</v>
      </c>
      <c r="H754" s="4">
        <f t="shared" si="22"/>
        <v>1</v>
      </c>
      <c r="I754" s="4">
        <f t="shared" si="23"/>
        <v>0</v>
      </c>
      <c r="J754" s="4">
        <v>0</v>
      </c>
      <c r="K754" s="4">
        <v>0</v>
      </c>
      <c r="L754" s="4">
        <v>0</v>
      </c>
      <c r="M754" s="4">
        <v>1</v>
      </c>
      <c r="N754" s="4">
        <v>0</v>
      </c>
      <c r="O754" s="4">
        <v>0</v>
      </c>
    </row>
    <row r="755" spans="1:15" x14ac:dyDescent="0.15">
      <c r="A755" s="4">
        <v>752</v>
      </c>
      <c r="B755" s="4">
        <v>53</v>
      </c>
      <c r="C755" s="4">
        <v>28</v>
      </c>
      <c r="D755" s="4">
        <v>98</v>
      </c>
      <c r="E755" s="4">
        <v>1</v>
      </c>
      <c r="F755" s="8">
        <v>1.3</v>
      </c>
      <c r="G755" s="4">
        <v>3</v>
      </c>
      <c r="H755" s="4">
        <f t="shared" si="22"/>
        <v>0</v>
      </c>
      <c r="I755" s="4">
        <f t="shared" si="23"/>
        <v>0</v>
      </c>
      <c r="J755" s="4">
        <v>355</v>
      </c>
      <c r="K755" s="4">
        <v>0</v>
      </c>
      <c r="L755" s="4">
        <v>0</v>
      </c>
      <c r="M755" s="4">
        <v>1</v>
      </c>
      <c r="N755" s="4">
        <v>0</v>
      </c>
      <c r="O755" s="4">
        <v>0</v>
      </c>
    </row>
    <row r="756" spans="1:15" x14ac:dyDescent="0.15">
      <c r="A756" s="4">
        <v>753</v>
      </c>
      <c r="B756" s="4">
        <v>64</v>
      </c>
      <c r="C756" s="4">
        <v>39</v>
      </c>
      <c r="D756" s="4">
        <v>22</v>
      </c>
      <c r="E756" s="4">
        <v>4</v>
      </c>
      <c r="F756" s="8">
        <v>0.6</v>
      </c>
      <c r="G756" s="4">
        <v>2</v>
      </c>
      <c r="H756" s="4">
        <f t="shared" si="22"/>
        <v>0</v>
      </c>
      <c r="I756" s="4">
        <f t="shared" si="23"/>
        <v>1</v>
      </c>
      <c r="J756" s="4">
        <v>0</v>
      </c>
      <c r="K756" s="4">
        <v>0</v>
      </c>
      <c r="L756" s="4">
        <v>0</v>
      </c>
      <c r="M756" s="4">
        <v>0</v>
      </c>
      <c r="N756" s="4">
        <v>0</v>
      </c>
      <c r="O756" s="4">
        <v>0</v>
      </c>
    </row>
    <row r="757" spans="1:15" x14ac:dyDescent="0.15">
      <c r="A757" s="4">
        <v>754</v>
      </c>
      <c r="B757" s="4">
        <v>49</v>
      </c>
      <c r="C757" s="4">
        <v>23</v>
      </c>
      <c r="D757" s="4">
        <v>49</v>
      </c>
      <c r="E757" s="4">
        <v>1</v>
      </c>
      <c r="F757" s="8">
        <v>1.2</v>
      </c>
      <c r="G757" s="4">
        <v>2</v>
      </c>
      <c r="H757" s="4">
        <f t="shared" si="22"/>
        <v>0</v>
      </c>
      <c r="I757" s="4">
        <f t="shared" si="23"/>
        <v>1</v>
      </c>
      <c r="J757" s="4">
        <v>0</v>
      </c>
      <c r="K757" s="4">
        <v>0</v>
      </c>
      <c r="L757" s="4">
        <v>0</v>
      </c>
      <c r="M757" s="4">
        <v>1</v>
      </c>
      <c r="N757" s="4">
        <v>1</v>
      </c>
      <c r="O757" s="4">
        <v>0</v>
      </c>
    </row>
    <row r="758" spans="1:15" x14ac:dyDescent="0.15">
      <c r="A758" s="4">
        <v>755</v>
      </c>
      <c r="B758" s="4">
        <v>38</v>
      </c>
      <c r="C758" s="4">
        <v>14</v>
      </c>
      <c r="D758" s="4">
        <v>102</v>
      </c>
      <c r="E758" s="4">
        <v>2</v>
      </c>
      <c r="F758" s="8">
        <v>1.9</v>
      </c>
      <c r="G758" s="4">
        <v>1</v>
      </c>
      <c r="H758" s="4">
        <f t="shared" si="22"/>
        <v>1</v>
      </c>
      <c r="I758" s="4">
        <f t="shared" si="23"/>
        <v>0</v>
      </c>
      <c r="J758" s="4">
        <v>0</v>
      </c>
      <c r="K758" s="4">
        <v>0</v>
      </c>
      <c r="L758" s="4">
        <v>1</v>
      </c>
      <c r="M758" s="4">
        <v>1</v>
      </c>
      <c r="N758" s="4">
        <v>1</v>
      </c>
      <c r="O758" s="4">
        <v>0</v>
      </c>
    </row>
    <row r="759" spans="1:15" x14ac:dyDescent="0.15">
      <c r="A759" s="4">
        <v>756</v>
      </c>
      <c r="B759" s="4">
        <v>56</v>
      </c>
      <c r="C759" s="4">
        <v>30</v>
      </c>
      <c r="D759" s="4">
        <v>45</v>
      </c>
      <c r="E759" s="4">
        <v>4</v>
      </c>
      <c r="F759" s="8">
        <v>0.7</v>
      </c>
      <c r="G759" s="4">
        <v>2</v>
      </c>
      <c r="H759" s="4">
        <f t="shared" si="22"/>
        <v>0</v>
      </c>
      <c r="I759" s="4">
        <f t="shared" si="23"/>
        <v>1</v>
      </c>
      <c r="J759" s="4">
        <v>0</v>
      </c>
      <c r="K759" s="4">
        <v>0</v>
      </c>
      <c r="L759" s="4">
        <v>0</v>
      </c>
      <c r="M759" s="4">
        <v>0</v>
      </c>
      <c r="N759" s="4">
        <v>1</v>
      </c>
      <c r="O759" s="4">
        <v>0</v>
      </c>
    </row>
    <row r="760" spans="1:15" x14ac:dyDescent="0.15">
      <c r="A760" s="4">
        <v>757</v>
      </c>
      <c r="B760" s="4">
        <v>56</v>
      </c>
      <c r="C760" s="4">
        <v>31</v>
      </c>
      <c r="D760" s="4">
        <v>82</v>
      </c>
      <c r="E760" s="4">
        <v>4</v>
      </c>
      <c r="F760" s="8">
        <v>1.3</v>
      </c>
      <c r="G760" s="4">
        <v>3</v>
      </c>
      <c r="H760" s="4">
        <f t="shared" si="22"/>
        <v>0</v>
      </c>
      <c r="I760" s="4">
        <f t="shared" si="23"/>
        <v>0</v>
      </c>
      <c r="J760" s="4">
        <v>0</v>
      </c>
      <c r="K760" s="4">
        <v>0</v>
      </c>
      <c r="L760" s="4">
        <v>0</v>
      </c>
      <c r="M760" s="4">
        <v>1</v>
      </c>
      <c r="N760" s="4">
        <v>0</v>
      </c>
      <c r="O760" s="4">
        <v>0</v>
      </c>
    </row>
    <row r="761" spans="1:15" x14ac:dyDescent="0.15">
      <c r="A761" s="4">
        <v>758</v>
      </c>
      <c r="B761" s="4">
        <v>52</v>
      </c>
      <c r="C761" s="4">
        <v>28</v>
      </c>
      <c r="D761" s="4">
        <v>81</v>
      </c>
      <c r="E761" s="4">
        <v>3</v>
      </c>
      <c r="F761" s="8">
        <v>1.8</v>
      </c>
      <c r="G761" s="4">
        <v>2</v>
      </c>
      <c r="H761" s="4">
        <f t="shared" si="22"/>
        <v>0</v>
      </c>
      <c r="I761" s="4">
        <f t="shared" si="23"/>
        <v>1</v>
      </c>
      <c r="J761" s="4">
        <v>0</v>
      </c>
      <c r="K761" s="4">
        <v>1</v>
      </c>
      <c r="L761" s="4">
        <v>0</v>
      </c>
      <c r="M761" s="4">
        <v>0</v>
      </c>
      <c r="N761" s="4">
        <v>0</v>
      </c>
      <c r="O761" s="4">
        <v>0</v>
      </c>
    </row>
    <row r="762" spans="1:15" x14ac:dyDescent="0.15">
      <c r="A762" s="4">
        <v>759</v>
      </c>
      <c r="B762" s="4">
        <v>64</v>
      </c>
      <c r="C762" s="4">
        <v>39</v>
      </c>
      <c r="D762" s="4">
        <v>35</v>
      </c>
      <c r="E762" s="4">
        <v>1</v>
      </c>
      <c r="F762" s="8">
        <v>1.5</v>
      </c>
      <c r="G762" s="4">
        <v>2</v>
      </c>
      <c r="H762" s="4">
        <f t="shared" si="22"/>
        <v>0</v>
      </c>
      <c r="I762" s="4">
        <f t="shared" si="23"/>
        <v>1</v>
      </c>
      <c r="J762" s="4">
        <v>0</v>
      </c>
      <c r="K762" s="4">
        <v>1</v>
      </c>
      <c r="L762" s="4">
        <v>0</v>
      </c>
      <c r="M762" s="4">
        <v>0</v>
      </c>
      <c r="N762" s="4">
        <v>0</v>
      </c>
      <c r="O762" s="4">
        <v>0</v>
      </c>
    </row>
    <row r="763" spans="1:15" x14ac:dyDescent="0.15">
      <c r="A763" s="4">
        <v>760</v>
      </c>
      <c r="B763" s="4">
        <v>53</v>
      </c>
      <c r="C763" s="4">
        <v>28</v>
      </c>
      <c r="D763" s="4">
        <v>59</v>
      </c>
      <c r="E763" s="4">
        <v>2</v>
      </c>
      <c r="F763" s="8">
        <v>1.9</v>
      </c>
      <c r="G763" s="4">
        <v>2</v>
      </c>
      <c r="H763" s="4">
        <f t="shared" si="22"/>
        <v>0</v>
      </c>
      <c r="I763" s="4">
        <f t="shared" si="23"/>
        <v>1</v>
      </c>
      <c r="J763" s="4">
        <v>0</v>
      </c>
      <c r="K763" s="4">
        <v>0</v>
      </c>
      <c r="L763" s="4">
        <v>0</v>
      </c>
      <c r="M763" s="4">
        <v>1</v>
      </c>
      <c r="N763" s="4">
        <v>0</v>
      </c>
      <c r="O763" s="4">
        <v>0</v>
      </c>
    </row>
    <row r="764" spans="1:15" x14ac:dyDescent="0.15">
      <c r="A764" s="4">
        <v>761</v>
      </c>
      <c r="B764" s="4">
        <v>29</v>
      </c>
      <c r="C764" s="4">
        <v>3</v>
      </c>
      <c r="D764" s="4">
        <v>52</v>
      </c>
      <c r="E764" s="4">
        <v>3</v>
      </c>
      <c r="F764" s="8">
        <v>1.1000000000000001</v>
      </c>
      <c r="G764" s="4">
        <v>2</v>
      </c>
      <c r="H764" s="4">
        <f t="shared" si="22"/>
        <v>0</v>
      </c>
      <c r="I764" s="4">
        <f t="shared" si="23"/>
        <v>1</v>
      </c>
      <c r="J764" s="4">
        <v>0</v>
      </c>
      <c r="K764" s="4">
        <v>0</v>
      </c>
      <c r="L764" s="4">
        <v>0</v>
      </c>
      <c r="M764" s="4">
        <v>1</v>
      </c>
      <c r="N764" s="4">
        <v>0</v>
      </c>
      <c r="O764" s="4">
        <v>0</v>
      </c>
    </row>
    <row r="765" spans="1:15" x14ac:dyDescent="0.15">
      <c r="A765" s="4">
        <v>762</v>
      </c>
      <c r="B765" s="4">
        <v>48</v>
      </c>
      <c r="C765" s="4">
        <v>24</v>
      </c>
      <c r="D765" s="4">
        <v>84</v>
      </c>
      <c r="E765" s="4">
        <v>3</v>
      </c>
      <c r="F765" s="8">
        <v>0.7</v>
      </c>
      <c r="G765" s="4">
        <v>1</v>
      </c>
      <c r="H765" s="4">
        <f t="shared" si="22"/>
        <v>1</v>
      </c>
      <c r="I765" s="4">
        <f t="shared" si="23"/>
        <v>0</v>
      </c>
      <c r="J765" s="4">
        <v>166</v>
      </c>
      <c r="K765" s="4">
        <v>0</v>
      </c>
      <c r="L765" s="4">
        <v>0</v>
      </c>
      <c r="M765" s="4">
        <v>1</v>
      </c>
      <c r="N765" s="4">
        <v>0</v>
      </c>
      <c r="O765" s="4">
        <v>0</v>
      </c>
    </row>
    <row r="766" spans="1:15" x14ac:dyDescent="0.15">
      <c r="A766" s="4">
        <v>763</v>
      </c>
      <c r="B766" s="4">
        <v>32</v>
      </c>
      <c r="C766" s="4">
        <v>6</v>
      </c>
      <c r="D766" s="4">
        <v>85</v>
      </c>
      <c r="E766" s="4">
        <v>1</v>
      </c>
      <c r="F766" s="8">
        <v>2.7</v>
      </c>
      <c r="G766" s="4">
        <v>2</v>
      </c>
      <c r="H766" s="4">
        <f t="shared" si="22"/>
        <v>0</v>
      </c>
      <c r="I766" s="4">
        <f t="shared" si="23"/>
        <v>1</v>
      </c>
      <c r="J766" s="4">
        <v>100</v>
      </c>
      <c r="K766" s="4">
        <v>0</v>
      </c>
      <c r="L766" s="4">
        <v>0</v>
      </c>
      <c r="M766" s="4">
        <v>1</v>
      </c>
      <c r="N766" s="4">
        <v>0</v>
      </c>
      <c r="O766" s="4">
        <v>0</v>
      </c>
    </row>
    <row r="767" spans="1:15" x14ac:dyDescent="0.15">
      <c r="A767" s="4">
        <v>764</v>
      </c>
      <c r="B767" s="4">
        <v>54</v>
      </c>
      <c r="C767" s="4">
        <v>28</v>
      </c>
      <c r="D767" s="4">
        <v>65</v>
      </c>
      <c r="E767" s="4">
        <v>1</v>
      </c>
      <c r="F767" s="8">
        <v>0.2</v>
      </c>
      <c r="G767" s="4">
        <v>1</v>
      </c>
      <c r="H767" s="4">
        <f t="shared" si="22"/>
        <v>1</v>
      </c>
      <c r="I767" s="4">
        <f t="shared" si="23"/>
        <v>0</v>
      </c>
      <c r="J767" s="4">
        <v>0</v>
      </c>
      <c r="K767" s="4">
        <v>0</v>
      </c>
      <c r="L767" s="4">
        <v>0</v>
      </c>
      <c r="M767" s="4">
        <v>0</v>
      </c>
      <c r="N767" s="4">
        <v>1</v>
      </c>
      <c r="O767" s="4">
        <v>0</v>
      </c>
    </row>
    <row r="768" spans="1:15" x14ac:dyDescent="0.15">
      <c r="A768" s="4">
        <v>765</v>
      </c>
      <c r="B768" s="4">
        <v>37</v>
      </c>
      <c r="C768" s="4">
        <v>13</v>
      </c>
      <c r="D768" s="4">
        <v>89</v>
      </c>
      <c r="E768" s="4">
        <v>2</v>
      </c>
      <c r="F768" s="8">
        <v>1.7</v>
      </c>
      <c r="G768" s="4">
        <v>2</v>
      </c>
      <c r="H768" s="4">
        <f t="shared" si="22"/>
        <v>0</v>
      </c>
      <c r="I768" s="4">
        <f t="shared" si="23"/>
        <v>1</v>
      </c>
      <c r="J768" s="4">
        <v>314</v>
      </c>
      <c r="K768" s="4">
        <v>0</v>
      </c>
      <c r="L768" s="4">
        <v>0</v>
      </c>
      <c r="M768" s="4">
        <v>0</v>
      </c>
      <c r="N768" s="4">
        <v>1</v>
      </c>
      <c r="O768" s="4">
        <v>0</v>
      </c>
    </row>
    <row r="769" spans="1:15" x14ac:dyDescent="0.15">
      <c r="A769" s="4">
        <v>766</v>
      </c>
      <c r="B769" s="4">
        <v>47</v>
      </c>
      <c r="C769" s="4">
        <v>21</v>
      </c>
      <c r="D769" s="4">
        <v>109</v>
      </c>
      <c r="E769" s="4">
        <v>4</v>
      </c>
      <c r="F769" s="8">
        <v>1.8</v>
      </c>
      <c r="G769" s="4">
        <v>1</v>
      </c>
      <c r="H769" s="4">
        <f t="shared" si="22"/>
        <v>1</v>
      </c>
      <c r="I769" s="4">
        <f t="shared" si="23"/>
        <v>0</v>
      </c>
      <c r="J769" s="4">
        <v>0</v>
      </c>
      <c r="K769" s="4">
        <v>0</v>
      </c>
      <c r="L769" s="4">
        <v>0</v>
      </c>
      <c r="M769" s="4">
        <v>0</v>
      </c>
      <c r="N769" s="4">
        <v>0</v>
      </c>
      <c r="O769" s="4">
        <v>1</v>
      </c>
    </row>
    <row r="770" spans="1:15" x14ac:dyDescent="0.15">
      <c r="A770" s="4">
        <v>767</v>
      </c>
      <c r="B770" s="4">
        <v>37</v>
      </c>
      <c r="C770" s="4">
        <v>12</v>
      </c>
      <c r="D770" s="4">
        <v>81</v>
      </c>
      <c r="E770" s="4">
        <v>1</v>
      </c>
      <c r="F770" s="8">
        <v>2.8</v>
      </c>
      <c r="G770" s="4">
        <v>1</v>
      </c>
      <c r="H770" s="4">
        <f t="shared" si="22"/>
        <v>1</v>
      </c>
      <c r="I770" s="4">
        <f t="shared" si="23"/>
        <v>0</v>
      </c>
      <c r="J770" s="4">
        <v>0</v>
      </c>
      <c r="K770" s="4">
        <v>0</v>
      </c>
      <c r="L770" s="4">
        <v>0</v>
      </c>
      <c r="M770" s="4">
        <v>0</v>
      </c>
      <c r="N770" s="4">
        <v>0</v>
      </c>
      <c r="O770" s="4">
        <v>0</v>
      </c>
    </row>
    <row r="771" spans="1:15" x14ac:dyDescent="0.15">
      <c r="A771" s="4">
        <v>768</v>
      </c>
      <c r="B771" s="4">
        <v>64</v>
      </c>
      <c r="C771" s="4">
        <v>39</v>
      </c>
      <c r="D771" s="4">
        <v>38</v>
      </c>
      <c r="E771" s="4">
        <v>1</v>
      </c>
      <c r="F771" s="8">
        <v>1.1000000000000001</v>
      </c>
      <c r="G771" s="4">
        <v>3</v>
      </c>
      <c r="H771" s="4">
        <f t="shared" si="22"/>
        <v>0</v>
      </c>
      <c r="I771" s="4">
        <f t="shared" si="23"/>
        <v>0</v>
      </c>
      <c r="J771" s="4">
        <v>108</v>
      </c>
      <c r="K771" s="4">
        <v>0</v>
      </c>
      <c r="L771" s="4">
        <v>0</v>
      </c>
      <c r="M771" s="4">
        <v>0</v>
      </c>
      <c r="N771" s="4">
        <v>0</v>
      </c>
      <c r="O771" s="4">
        <v>0</v>
      </c>
    </row>
    <row r="772" spans="1:15" x14ac:dyDescent="0.15">
      <c r="A772" s="4">
        <v>769</v>
      </c>
      <c r="B772" s="4">
        <v>43</v>
      </c>
      <c r="C772" s="4">
        <v>19</v>
      </c>
      <c r="D772" s="4">
        <v>72</v>
      </c>
      <c r="E772" s="4">
        <v>2</v>
      </c>
      <c r="F772" s="8">
        <v>1.7</v>
      </c>
      <c r="G772" s="4">
        <v>1</v>
      </c>
      <c r="H772" s="4">
        <f t="shared" si="22"/>
        <v>1</v>
      </c>
      <c r="I772" s="4">
        <f t="shared" si="23"/>
        <v>0</v>
      </c>
      <c r="J772" s="4">
        <v>0</v>
      </c>
      <c r="K772" s="4">
        <v>0</v>
      </c>
      <c r="L772" s="4">
        <v>0</v>
      </c>
      <c r="M772" s="4">
        <v>1</v>
      </c>
      <c r="N772" s="4">
        <v>0</v>
      </c>
      <c r="O772" s="4">
        <v>0</v>
      </c>
    </row>
    <row r="773" spans="1:15" x14ac:dyDescent="0.15">
      <c r="A773" s="4">
        <v>770</v>
      </c>
      <c r="B773" s="4">
        <v>33</v>
      </c>
      <c r="C773" s="4">
        <v>6</v>
      </c>
      <c r="D773" s="4">
        <v>78</v>
      </c>
      <c r="E773" s="4">
        <v>4</v>
      </c>
      <c r="F773" s="8">
        <v>2</v>
      </c>
      <c r="G773" s="4">
        <v>2</v>
      </c>
      <c r="H773" s="4">
        <f t="shared" ref="H773:H836" si="24">IF(G773=1,1,0)</f>
        <v>0</v>
      </c>
      <c r="I773" s="4">
        <f t="shared" ref="I773:I836" si="25">IF(G773=2,1,0)</f>
        <v>1</v>
      </c>
      <c r="J773" s="4">
        <v>119</v>
      </c>
      <c r="K773" s="4">
        <v>1</v>
      </c>
      <c r="L773" s="4">
        <v>0</v>
      </c>
      <c r="M773" s="4">
        <v>1</v>
      </c>
      <c r="N773" s="4">
        <v>0</v>
      </c>
      <c r="O773" s="4">
        <v>0</v>
      </c>
    </row>
    <row r="774" spans="1:15" x14ac:dyDescent="0.15">
      <c r="A774" s="4">
        <v>771</v>
      </c>
      <c r="B774" s="4">
        <v>26</v>
      </c>
      <c r="C774" s="4">
        <v>2</v>
      </c>
      <c r="D774" s="4">
        <v>172</v>
      </c>
      <c r="E774" s="4">
        <v>2</v>
      </c>
      <c r="F774" s="8">
        <v>6.9</v>
      </c>
      <c r="G774" s="4">
        <v>2</v>
      </c>
      <c r="H774" s="4">
        <f t="shared" si="24"/>
        <v>0</v>
      </c>
      <c r="I774" s="4">
        <f t="shared" si="25"/>
        <v>1</v>
      </c>
      <c r="J774" s="4">
        <v>0</v>
      </c>
      <c r="K774" s="4">
        <v>0</v>
      </c>
      <c r="L774" s="4">
        <v>0</v>
      </c>
      <c r="M774" s="4">
        <v>1</v>
      </c>
      <c r="N774" s="4">
        <v>0</v>
      </c>
      <c r="O774" s="4">
        <v>1</v>
      </c>
    </row>
    <row r="775" spans="1:15" x14ac:dyDescent="0.15">
      <c r="A775" s="4">
        <v>772</v>
      </c>
      <c r="B775" s="4">
        <v>42</v>
      </c>
      <c r="C775" s="4">
        <v>18</v>
      </c>
      <c r="D775" s="4">
        <v>71</v>
      </c>
      <c r="E775" s="4">
        <v>3</v>
      </c>
      <c r="F775" s="8">
        <v>2.3333333333333335</v>
      </c>
      <c r="G775" s="4">
        <v>1</v>
      </c>
      <c r="H775" s="4">
        <f t="shared" si="24"/>
        <v>1</v>
      </c>
      <c r="I775" s="4">
        <f t="shared" si="25"/>
        <v>0</v>
      </c>
      <c r="J775" s="4">
        <v>106</v>
      </c>
      <c r="K775" s="4">
        <v>1</v>
      </c>
      <c r="L775" s="4">
        <v>0</v>
      </c>
      <c r="M775" s="4">
        <v>1</v>
      </c>
      <c r="N775" s="4">
        <v>0</v>
      </c>
      <c r="O775" s="4">
        <v>0</v>
      </c>
    </row>
    <row r="776" spans="1:15" x14ac:dyDescent="0.15">
      <c r="A776" s="4">
        <v>773</v>
      </c>
      <c r="B776" s="4">
        <v>54</v>
      </c>
      <c r="C776" s="4">
        <v>28</v>
      </c>
      <c r="D776" s="4">
        <v>165</v>
      </c>
      <c r="E776" s="4">
        <v>1</v>
      </c>
      <c r="F776" s="8">
        <v>4.0999999999999996</v>
      </c>
      <c r="G776" s="4">
        <v>3</v>
      </c>
      <c r="H776" s="4">
        <f t="shared" si="24"/>
        <v>0</v>
      </c>
      <c r="I776" s="4">
        <f t="shared" si="25"/>
        <v>0</v>
      </c>
      <c r="J776" s="4">
        <v>0</v>
      </c>
      <c r="K776" s="4">
        <v>0</v>
      </c>
      <c r="L776" s="4">
        <v>1</v>
      </c>
      <c r="M776" s="4">
        <v>1</v>
      </c>
      <c r="N776" s="4">
        <v>1</v>
      </c>
      <c r="O776" s="4">
        <v>1</v>
      </c>
    </row>
    <row r="777" spans="1:15" x14ac:dyDescent="0.15">
      <c r="A777" s="4">
        <v>774</v>
      </c>
      <c r="B777" s="4">
        <v>41</v>
      </c>
      <c r="C777" s="4">
        <v>16</v>
      </c>
      <c r="D777" s="4">
        <v>120</v>
      </c>
      <c r="E777" s="4">
        <v>2</v>
      </c>
      <c r="F777" s="8">
        <v>3.9</v>
      </c>
      <c r="G777" s="4">
        <v>1</v>
      </c>
      <c r="H777" s="4">
        <f t="shared" si="24"/>
        <v>1</v>
      </c>
      <c r="I777" s="4">
        <f t="shared" si="25"/>
        <v>0</v>
      </c>
      <c r="J777" s="4">
        <v>0</v>
      </c>
      <c r="K777" s="4">
        <v>0</v>
      </c>
      <c r="L777" s="4">
        <v>0</v>
      </c>
      <c r="M777" s="4">
        <v>1</v>
      </c>
      <c r="N777" s="4">
        <v>1</v>
      </c>
      <c r="O777" s="4">
        <v>0</v>
      </c>
    </row>
    <row r="778" spans="1:15" x14ac:dyDescent="0.15">
      <c r="A778" s="4">
        <v>775</v>
      </c>
      <c r="B778" s="4">
        <v>55</v>
      </c>
      <c r="C778" s="4">
        <v>29</v>
      </c>
      <c r="D778" s="4">
        <v>39</v>
      </c>
      <c r="E778" s="4">
        <v>1</v>
      </c>
      <c r="F778" s="8">
        <v>0.2</v>
      </c>
      <c r="G778" s="4">
        <v>1</v>
      </c>
      <c r="H778" s="4">
        <f t="shared" si="24"/>
        <v>1</v>
      </c>
      <c r="I778" s="4">
        <f t="shared" si="25"/>
        <v>0</v>
      </c>
      <c r="J778" s="4">
        <v>0</v>
      </c>
      <c r="K778" s="4">
        <v>0</v>
      </c>
      <c r="L778" s="4">
        <v>0</v>
      </c>
      <c r="M778" s="4">
        <v>0</v>
      </c>
      <c r="N778" s="4">
        <v>1</v>
      </c>
      <c r="O778" s="4">
        <v>0</v>
      </c>
    </row>
    <row r="779" spans="1:15" x14ac:dyDescent="0.15">
      <c r="A779" s="4">
        <v>776</v>
      </c>
      <c r="B779" s="4">
        <v>65</v>
      </c>
      <c r="C779" s="4">
        <v>39</v>
      </c>
      <c r="D779" s="4">
        <v>23</v>
      </c>
      <c r="E779" s="4">
        <v>3</v>
      </c>
      <c r="F779" s="8">
        <v>0.7</v>
      </c>
      <c r="G779" s="4">
        <v>2</v>
      </c>
      <c r="H779" s="4">
        <f t="shared" si="24"/>
        <v>0</v>
      </c>
      <c r="I779" s="4">
        <f t="shared" si="25"/>
        <v>1</v>
      </c>
      <c r="J779" s="4">
        <v>0</v>
      </c>
      <c r="K779" s="4">
        <v>0</v>
      </c>
      <c r="L779" s="4">
        <v>0</v>
      </c>
      <c r="M779" s="4">
        <v>0</v>
      </c>
      <c r="N779" s="4">
        <v>1</v>
      </c>
      <c r="O779" s="4">
        <v>0</v>
      </c>
    </row>
    <row r="780" spans="1:15" x14ac:dyDescent="0.15">
      <c r="A780" s="4">
        <v>777</v>
      </c>
      <c r="B780" s="4">
        <v>50</v>
      </c>
      <c r="C780" s="4">
        <v>26</v>
      </c>
      <c r="D780" s="4">
        <v>135</v>
      </c>
      <c r="E780" s="4">
        <v>2</v>
      </c>
      <c r="F780" s="8">
        <v>4.5999999999999996</v>
      </c>
      <c r="G780" s="4">
        <v>3</v>
      </c>
      <c r="H780" s="4">
        <f t="shared" si="24"/>
        <v>0</v>
      </c>
      <c r="I780" s="4">
        <f t="shared" si="25"/>
        <v>0</v>
      </c>
      <c r="J780" s="4">
        <v>91</v>
      </c>
      <c r="K780" s="4">
        <v>0</v>
      </c>
      <c r="L780" s="4">
        <v>0</v>
      </c>
      <c r="M780" s="4">
        <v>1</v>
      </c>
      <c r="N780" s="4">
        <v>0</v>
      </c>
      <c r="O780" s="4">
        <v>1</v>
      </c>
    </row>
    <row r="781" spans="1:15" x14ac:dyDescent="0.15">
      <c r="A781" s="4">
        <v>778</v>
      </c>
      <c r="B781" s="4">
        <v>55</v>
      </c>
      <c r="C781" s="4">
        <v>31</v>
      </c>
      <c r="D781" s="4">
        <v>12</v>
      </c>
      <c r="E781" s="4">
        <v>2</v>
      </c>
      <c r="F781" s="8">
        <v>0.2</v>
      </c>
      <c r="G781" s="4">
        <v>1</v>
      </c>
      <c r="H781" s="4">
        <f t="shared" si="24"/>
        <v>1</v>
      </c>
      <c r="I781" s="4">
        <f t="shared" si="25"/>
        <v>0</v>
      </c>
      <c r="J781" s="4">
        <v>76</v>
      </c>
      <c r="K781" s="4">
        <v>0</v>
      </c>
      <c r="L781" s="4">
        <v>0</v>
      </c>
      <c r="M781" s="4">
        <v>1</v>
      </c>
      <c r="N781" s="4">
        <v>1</v>
      </c>
      <c r="O781" s="4">
        <v>0</v>
      </c>
    </row>
    <row r="782" spans="1:15" x14ac:dyDescent="0.15">
      <c r="A782" s="4">
        <v>779</v>
      </c>
      <c r="B782" s="4">
        <v>62</v>
      </c>
      <c r="C782" s="4">
        <v>36</v>
      </c>
      <c r="D782" s="4">
        <v>92</v>
      </c>
      <c r="E782" s="4">
        <v>2</v>
      </c>
      <c r="F782" s="8">
        <v>0.7</v>
      </c>
      <c r="G782" s="4">
        <v>2</v>
      </c>
      <c r="H782" s="4">
        <f t="shared" si="24"/>
        <v>0</v>
      </c>
      <c r="I782" s="4">
        <f t="shared" si="25"/>
        <v>1</v>
      </c>
      <c r="J782" s="4">
        <v>0</v>
      </c>
      <c r="K782" s="4">
        <v>0</v>
      </c>
      <c r="L782" s="4">
        <v>0</v>
      </c>
      <c r="M782" s="4">
        <v>1</v>
      </c>
      <c r="N782" s="4">
        <v>0</v>
      </c>
      <c r="O782" s="4">
        <v>0</v>
      </c>
    </row>
    <row r="783" spans="1:15" x14ac:dyDescent="0.15">
      <c r="A783" s="4">
        <v>780</v>
      </c>
      <c r="B783" s="4">
        <v>53</v>
      </c>
      <c r="C783" s="4">
        <v>28</v>
      </c>
      <c r="D783" s="4">
        <v>192</v>
      </c>
      <c r="E783" s="4">
        <v>2</v>
      </c>
      <c r="F783" s="8">
        <v>6.4</v>
      </c>
      <c r="G783" s="4">
        <v>3</v>
      </c>
      <c r="H783" s="4">
        <f t="shared" si="24"/>
        <v>0</v>
      </c>
      <c r="I783" s="4">
        <f t="shared" si="25"/>
        <v>0</v>
      </c>
      <c r="J783" s="4">
        <v>0</v>
      </c>
      <c r="K783" s="4">
        <v>0</v>
      </c>
      <c r="L783" s="4">
        <v>0</v>
      </c>
      <c r="M783" s="4">
        <v>0</v>
      </c>
      <c r="N783" s="4">
        <v>0</v>
      </c>
      <c r="O783" s="4">
        <v>1</v>
      </c>
    </row>
    <row r="784" spans="1:15" x14ac:dyDescent="0.15">
      <c r="A784" s="4">
        <v>781</v>
      </c>
      <c r="B784" s="4">
        <v>32</v>
      </c>
      <c r="C784" s="4">
        <v>7</v>
      </c>
      <c r="D784" s="4">
        <v>42</v>
      </c>
      <c r="E784" s="4">
        <v>4</v>
      </c>
      <c r="F784" s="8">
        <v>0.8</v>
      </c>
      <c r="G784" s="4">
        <v>1</v>
      </c>
      <c r="H784" s="4">
        <f t="shared" si="24"/>
        <v>1</v>
      </c>
      <c r="I784" s="4">
        <f t="shared" si="25"/>
        <v>0</v>
      </c>
      <c r="J784" s="4">
        <v>0</v>
      </c>
      <c r="K784" s="4">
        <v>0</v>
      </c>
      <c r="L784" s="4">
        <v>0</v>
      </c>
      <c r="M784" s="4">
        <v>1</v>
      </c>
      <c r="N784" s="4">
        <v>1</v>
      </c>
      <c r="O784" s="4">
        <v>0</v>
      </c>
    </row>
    <row r="785" spans="1:15" x14ac:dyDescent="0.15">
      <c r="A785" s="4">
        <v>782</v>
      </c>
      <c r="B785" s="4">
        <v>56</v>
      </c>
      <c r="C785" s="4">
        <v>32</v>
      </c>
      <c r="D785" s="4">
        <v>158</v>
      </c>
      <c r="E785" s="4">
        <v>3</v>
      </c>
      <c r="F785" s="8">
        <v>3.7</v>
      </c>
      <c r="G785" s="4">
        <v>3</v>
      </c>
      <c r="H785" s="4">
        <f t="shared" si="24"/>
        <v>0</v>
      </c>
      <c r="I785" s="4">
        <f t="shared" si="25"/>
        <v>0</v>
      </c>
      <c r="J785" s="4">
        <v>0</v>
      </c>
      <c r="K785" s="4">
        <v>0</v>
      </c>
      <c r="L785" s="4">
        <v>0</v>
      </c>
      <c r="M785" s="4">
        <v>1</v>
      </c>
      <c r="N785" s="4">
        <v>0</v>
      </c>
      <c r="O785" s="4">
        <v>1</v>
      </c>
    </row>
    <row r="786" spans="1:15" x14ac:dyDescent="0.15">
      <c r="A786" s="4">
        <v>783</v>
      </c>
      <c r="B786" s="4">
        <v>54</v>
      </c>
      <c r="C786" s="4">
        <v>30</v>
      </c>
      <c r="D786" s="4">
        <v>194</v>
      </c>
      <c r="E786" s="4">
        <v>3</v>
      </c>
      <c r="F786" s="8">
        <v>6</v>
      </c>
      <c r="G786" s="4">
        <v>3</v>
      </c>
      <c r="H786" s="4">
        <f t="shared" si="24"/>
        <v>0</v>
      </c>
      <c r="I786" s="4">
        <f t="shared" si="25"/>
        <v>0</v>
      </c>
      <c r="J786" s="4">
        <v>587</v>
      </c>
      <c r="K786" s="4">
        <v>1</v>
      </c>
      <c r="L786" s="4">
        <v>1</v>
      </c>
      <c r="M786" s="4">
        <v>1</v>
      </c>
      <c r="N786" s="4">
        <v>1</v>
      </c>
      <c r="O786" s="4">
        <v>1</v>
      </c>
    </row>
    <row r="787" spans="1:15" x14ac:dyDescent="0.15">
      <c r="A787" s="4">
        <v>784</v>
      </c>
      <c r="B787" s="4">
        <v>44</v>
      </c>
      <c r="C787" s="4">
        <v>20</v>
      </c>
      <c r="D787" s="4">
        <v>160</v>
      </c>
      <c r="E787" s="4">
        <v>2</v>
      </c>
      <c r="F787" s="8">
        <v>7.6</v>
      </c>
      <c r="G787" s="4">
        <v>1</v>
      </c>
      <c r="H787" s="4">
        <f t="shared" si="24"/>
        <v>1</v>
      </c>
      <c r="I787" s="4">
        <f t="shared" si="25"/>
        <v>0</v>
      </c>
      <c r="J787" s="4">
        <v>0</v>
      </c>
      <c r="K787" s="4">
        <v>1</v>
      </c>
      <c r="L787" s="4">
        <v>0</v>
      </c>
      <c r="M787" s="4">
        <v>0</v>
      </c>
      <c r="N787" s="4">
        <v>0</v>
      </c>
      <c r="O787" s="4">
        <v>0</v>
      </c>
    </row>
    <row r="788" spans="1:15" x14ac:dyDescent="0.15">
      <c r="A788" s="4">
        <v>785</v>
      </c>
      <c r="B788" s="4">
        <v>48</v>
      </c>
      <c r="C788" s="4">
        <v>22</v>
      </c>
      <c r="D788" s="4">
        <v>98</v>
      </c>
      <c r="E788" s="4">
        <v>2</v>
      </c>
      <c r="F788" s="8">
        <v>6.3</v>
      </c>
      <c r="G788" s="4">
        <v>1</v>
      </c>
      <c r="H788" s="4">
        <f t="shared" si="24"/>
        <v>1</v>
      </c>
      <c r="I788" s="4">
        <f t="shared" si="25"/>
        <v>0</v>
      </c>
      <c r="J788" s="4">
        <v>0</v>
      </c>
      <c r="K788" s="4">
        <v>0</v>
      </c>
      <c r="L788" s="4">
        <v>0</v>
      </c>
      <c r="M788" s="4">
        <v>0</v>
      </c>
      <c r="N788" s="4">
        <v>0</v>
      </c>
      <c r="O788" s="4">
        <v>0</v>
      </c>
    </row>
    <row r="789" spans="1:15" x14ac:dyDescent="0.15">
      <c r="A789" s="4">
        <v>786</v>
      </c>
      <c r="B789" s="4">
        <v>46</v>
      </c>
      <c r="C789" s="4">
        <v>22</v>
      </c>
      <c r="D789" s="4">
        <v>164</v>
      </c>
      <c r="E789" s="4">
        <v>2</v>
      </c>
      <c r="F789" s="8">
        <v>7.6</v>
      </c>
      <c r="G789" s="4">
        <v>1</v>
      </c>
      <c r="H789" s="4">
        <f t="shared" si="24"/>
        <v>1</v>
      </c>
      <c r="I789" s="4">
        <f t="shared" si="25"/>
        <v>0</v>
      </c>
      <c r="J789" s="4">
        <v>0</v>
      </c>
      <c r="K789" s="4">
        <v>0</v>
      </c>
      <c r="L789" s="4">
        <v>1</v>
      </c>
      <c r="M789" s="4">
        <v>1</v>
      </c>
      <c r="N789" s="4">
        <v>1</v>
      </c>
      <c r="O789" s="4">
        <v>0</v>
      </c>
    </row>
    <row r="790" spans="1:15" x14ac:dyDescent="0.15">
      <c r="A790" s="4">
        <v>787</v>
      </c>
      <c r="B790" s="4">
        <v>45</v>
      </c>
      <c r="C790" s="4">
        <v>21</v>
      </c>
      <c r="D790" s="4">
        <v>42</v>
      </c>
      <c r="E790" s="4">
        <v>2</v>
      </c>
      <c r="F790" s="8">
        <v>2.5</v>
      </c>
      <c r="G790" s="4">
        <v>1</v>
      </c>
      <c r="H790" s="4">
        <f t="shared" si="24"/>
        <v>1</v>
      </c>
      <c r="I790" s="4">
        <f t="shared" si="25"/>
        <v>0</v>
      </c>
      <c r="J790" s="4">
        <v>0</v>
      </c>
      <c r="K790" s="4">
        <v>1</v>
      </c>
      <c r="L790" s="4">
        <v>0</v>
      </c>
      <c r="M790" s="4">
        <v>1</v>
      </c>
      <c r="N790" s="4">
        <v>0</v>
      </c>
      <c r="O790" s="4">
        <v>0</v>
      </c>
    </row>
    <row r="791" spans="1:15" x14ac:dyDescent="0.15">
      <c r="A791" s="4">
        <v>788</v>
      </c>
      <c r="B791" s="4">
        <v>45</v>
      </c>
      <c r="C791" s="4">
        <v>15</v>
      </c>
      <c r="D791" s="4">
        <v>202</v>
      </c>
      <c r="E791" s="4">
        <v>3</v>
      </c>
      <c r="F791" s="8">
        <v>10</v>
      </c>
      <c r="G791" s="4">
        <v>3</v>
      </c>
      <c r="H791" s="4">
        <f t="shared" si="24"/>
        <v>0</v>
      </c>
      <c r="I791" s="4">
        <f t="shared" si="25"/>
        <v>0</v>
      </c>
      <c r="J791" s="4">
        <v>0</v>
      </c>
      <c r="K791" s="4">
        <v>0</v>
      </c>
      <c r="L791" s="4">
        <v>0</v>
      </c>
      <c r="M791" s="4">
        <v>0</v>
      </c>
      <c r="N791" s="4">
        <v>0</v>
      </c>
      <c r="O791" s="4">
        <v>1</v>
      </c>
    </row>
    <row r="792" spans="1:15" x14ac:dyDescent="0.15">
      <c r="A792" s="4">
        <v>789</v>
      </c>
      <c r="B792" s="4">
        <v>58</v>
      </c>
      <c r="C792" s="4">
        <v>34</v>
      </c>
      <c r="D792" s="4">
        <v>10</v>
      </c>
      <c r="E792" s="4">
        <v>4</v>
      </c>
      <c r="F792" s="8">
        <v>0.7</v>
      </c>
      <c r="G792" s="4">
        <v>1</v>
      </c>
      <c r="H792" s="4">
        <f t="shared" si="24"/>
        <v>1</v>
      </c>
      <c r="I792" s="4">
        <f t="shared" si="25"/>
        <v>0</v>
      </c>
      <c r="J792" s="4">
        <v>0</v>
      </c>
      <c r="K792" s="4">
        <v>0</v>
      </c>
      <c r="L792" s="4">
        <v>0</v>
      </c>
      <c r="M792" s="4">
        <v>0</v>
      </c>
      <c r="N792" s="4">
        <v>0</v>
      </c>
      <c r="O792" s="4">
        <v>0</v>
      </c>
    </row>
    <row r="793" spans="1:15" x14ac:dyDescent="0.15">
      <c r="A793" s="4">
        <v>790</v>
      </c>
      <c r="B793" s="4">
        <v>29</v>
      </c>
      <c r="C793" s="4">
        <v>3</v>
      </c>
      <c r="D793" s="4">
        <v>31</v>
      </c>
      <c r="E793" s="4">
        <v>4</v>
      </c>
      <c r="F793" s="8">
        <v>0.3</v>
      </c>
      <c r="G793" s="4">
        <v>2</v>
      </c>
      <c r="H793" s="4">
        <f t="shared" si="24"/>
        <v>0</v>
      </c>
      <c r="I793" s="4">
        <f t="shared" si="25"/>
        <v>1</v>
      </c>
      <c r="J793" s="4">
        <v>0</v>
      </c>
      <c r="K793" s="4">
        <v>0</v>
      </c>
      <c r="L793" s="4">
        <v>0</v>
      </c>
      <c r="M793" s="4">
        <v>1</v>
      </c>
      <c r="N793" s="4">
        <v>0</v>
      </c>
      <c r="O793" s="4">
        <v>0</v>
      </c>
    </row>
    <row r="794" spans="1:15" x14ac:dyDescent="0.15">
      <c r="A794" s="4">
        <v>791</v>
      </c>
      <c r="B794" s="4">
        <v>55</v>
      </c>
      <c r="C794" s="4">
        <v>30</v>
      </c>
      <c r="D794" s="4">
        <v>58</v>
      </c>
      <c r="E794" s="4">
        <v>4</v>
      </c>
      <c r="F794" s="8">
        <v>0.9</v>
      </c>
      <c r="G794" s="4">
        <v>1</v>
      </c>
      <c r="H794" s="4">
        <f t="shared" si="24"/>
        <v>1</v>
      </c>
      <c r="I794" s="4">
        <f t="shared" si="25"/>
        <v>0</v>
      </c>
      <c r="J794" s="4">
        <v>0</v>
      </c>
      <c r="K794" s="4">
        <v>0</v>
      </c>
      <c r="L794" s="4">
        <v>0</v>
      </c>
      <c r="M794" s="4">
        <v>1</v>
      </c>
      <c r="N794" s="4">
        <v>1</v>
      </c>
      <c r="O794" s="4">
        <v>0</v>
      </c>
    </row>
    <row r="795" spans="1:15" x14ac:dyDescent="0.15">
      <c r="A795" s="4">
        <v>792</v>
      </c>
      <c r="B795" s="4">
        <v>55</v>
      </c>
      <c r="C795" s="4">
        <v>29</v>
      </c>
      <c r="D795" s="4">
        <v>65</v>
      </c>
      <c r="E795" s="4">
        <v>4</v>
      </c>
      <c r="F795" s="8">
        <v>2.8</v>
      </c>
      <c r="G795" s="4">
        <v>2</v>
      </c>
      <c r="H795" s="4">
        <f t="shared" si="24"/>
        <v>0</v>
      </c>
      <c r="I795" s="4">
        <f t="shared" si="25"/>
        <v>1</v>
      </c>
      <c r="J795" s="4">
        <v>0</v>
      </c>
      <c r="K795" s="4">
        <v>0</v>
      </c>
      <c r="L795" s="4">
        <v>0</v>
      </c>
      <c r="M795" s="4">
        <v>1</v>
      </c>
      <c r="N795" s="4">
        <v>0</v>
      </c>
      <c r="O795" s="4">
        <v>0</v>
      </c>
    </row>
    <row r="796" spans="1:15" x14ac:dyDescent="0.15">
      <c r="A796" s="4">
        <v>793</v>
      </c>
      <c r="B796" s="4">
        <v>41</v>
      </c>
      <c r="C796" s="4">
        <v>16</v>
      </c>
      <c r="D796" s="4">
        <v>98</v>
      </c>
      <c r="E796" s="4">
        <v>1</v>
      </c>
      <c r="F796" s="8">
        <v>4</v>
      </c>
      <c r="G796" s="4">
        <v>3</v>
      </c>
      <c r="H796" s="4">
        <f t="shared" si="24"/>
        <v>0</v>
      </c>
      <c r="I796" s="4">
        <f t="shared" si="25"/>
        <v>0</v>
      </c>
      <c r="J796" s="4">
        <v>0</v>
      </c>
      <c r="K796" s="4">
        <v>0</v>
      </c>
      <c r="L796" s="4">
        <v>0</v>
      </c>
      <c r="M796" s="4">
        <v>0</v>
      </c>
      <c r="N796" s="4">
        <v>1</v>
      </c>
      <c r="O796" s="4">
        <v>0</v>
      </c>
    </row>
    <row r="797" spans="1:15" x14ac:dyDescent="0.15">
      <c r="A797" s="4">
        <v>794</v>
      </c>
      <c r="B797" s="4">
        <v>24</v>
      </c>
      <c r="C797" s="4">
        <v>0</v>
      </c>
      <c r="D797" s="4">
        <v>150</v>
      </c>
      <c r="E797" s="4">
        <v>2</v>
      </c>
      <c r="F797" s="8">
        <v>2</v>
      </c>
      <c r="G797" s="4">
        <v>1</v>
      </c>
      <c r="H797" s="4">
        <f t="shared" si="24"/>
        <v>1</v>
      </c>
      <c r="I797" s="4">
        <f t="shared" si="25"/>
        <v>0</v>
      </c>
      <c r="J797" s="4">
        <v>0</v>
      </c>
      <c r="K797" s="4">
        <v>0</v>
      </c>
      <c r="L797" s="4">
        <v>0</v>
      </c>
      <c r="M797" s="4">
        <v>1</v>
      </c>
      <c r="N797" s="4">
        <v>0</v>
      </c>
      <c r="O797" s="4">
        <v>0</v>
      </c>
    </row>
    <row r="798" spans="1:15" x14ac:dyDescent="0.15">
      <c r="A798" s="4">
        <v>795</v>
      </c>
      <c r="B798" s="4">
        <v>54</v>
      </c>
      <c r="C798" s="4">
        <v>29</v>
      </c>
      <c r="D798" s="4">
        <v>44</v>
      </c>
      <c r="E798" s="4">
        <v>2</v>
      </c>
      <c r="F798" s="8">
        <v>2.2999999999999998</v>
      </c>
      <c r="G798" s="4">
        <v>3</v>
      </c>
      <c r="H798" s="4">
        <f t="shared" si="24"/>
        <v>0</v>
      </c>
      <c r="I798" s="4">
        <f t="shared" si="25"/>
        <v>0</v>
      </c>
      <c r="J798" s="4">
        <v>0</v>
      </c>
      <c r="K798" s="4">
        <v>0</v>
      </c>
      <c r="L798" s="4">
        <v>0</v>
      </c>
      <c r="M798" s="4">
        <v>1</v>
      </c>
      <c r="N798" s="4">
        <v>0</v>
      </c>
      <c r="O798" s="4">
        <v>0</v>
      </c>
    </row>
    <row r="799" spans="1:15" x14ac:dyDescent="0.15">
      <c r="A799" s="4">
        <v>796</v>
      </c>
      <c r="B799" s="4">
        <v>57</v>
      </c>
      <c r="C799" s="4">
        <v>32</v>
      </c>
      <c r="D799" s="4">
        <v>15</v>
      </c>
      <c r="E799" s="4">
        <v>2</v>
      </c>
      <c r="F799" s="8">
        <v>0.2</v>
      </c>
      <c r="G799" s="4">
        <v>3</v>
      </c>
      <c r="H799" s="4">
        <f t="shared" si="24"/>
        <v>0</v>
      </c>
      <c r="I799" s="4">
        <f t="shared" si="25"/>
        <v>0</v>
      </c>
      <c r="J799" s="4">
        <v>0</v>
      </c>
      <c r="K799" s="4">
        <v>0</v>
      </c>
      <c r="L799" s="4">
        <v>0</v>
      </c>
      <c r="M799" s="4">
        <v>0</v>
      </c>
      <c r="N799" s="4">
        <v>1</v>
      </c>
      <c r="O799" s="4">
        <v>0</v>
      </c>
    </row>
    <row r="800" spans="1:15" x14ac:dyDescent="0.15">
      <c r="A800" s="4">
        <v>797</v>
      </c>
      <c r="B800" s="4">
        <v>30</v>
      </c>
      <c r="C800" s="4">
        <v>6</v>
      </c>
      <c r="D800" s="4">
        <v>82</v>
      </c>
      <c r="E800" s="4">
        <v>2</v>
      </c>
      <c r="F800" s="8">
        <v>2.5</v>
      </c>
      <c r="G800" s="4">
        <v>1</v>
      </c>
      <c r="H800" s="4">
        <f t="shared" si="24"/>
        <v>1</v>
      </c>
      <c r="I800" s="4">
        <f t="shared" si="25"/>
        <v>0</v>
      </c>
      <c r="J800" s="4">
        <v>0</v>
      </c>
      <c r="K800" s="4">
        <v>0</v>
      </c>
      <c r="L800" s="4">
        <v>0</v>
      </c>
      <c r="M800" s="4">
        <v>0</v>
      </c>
      <c r="N800" s="4">
        <v>0</v>
      </c>
      <c r="O800" s="4">
        <v>0</v>
      </c>
    </row>
    <row r="801" spans="1:15" x14ac:dyDescent="0.15">
      <c r="A801" s="4">
        <v>798</v>
      </c>
      <c r="B801" s="4">
        <v>42</v>
      </c>
      <c r="C801" s="4">
        <v>17</v>
      </c>
      <c r="D801" s="4">
        <v>61</v>
      </c>
      <c r="E801" s="4">
        <v>3</v>
      </c>
      <c r="F801" s="8">
        <v>0.5</v>
      </c>
      <c r="G801" s="4">
        <v>3</v>
      </c>
      <c r="H801" s="4">
        <f t="shared" si="24"/>
        <v>0</v>
      </c>
      <c r="I801" s="4">
        <f t="shared" si="25"/>
        <v>0</v>
      </c>
      <c r="J801" s="4">
        <v>0</v>
      </c>
      <c r="K801" s="4">
        <v>0</v>
      </c>
      <c r="L801" s="4">
        <v>0</v>
      </c>
      <c r="M801" s="4">
        <v>1</v>
      </c>
      <c r="N801" s="4">
        <v>0</v>
      </c>
      <c r="O801" s="4">
        <v>0</v>
      </c>
    </row>
    <row r="802" spans="1:15" x14ac:dyDescent="0.15">
      <c r="A802" s="4">
        <v>799</v>
      </c>
      <c r="B802" s="4">
        <v>29</v>
      </c>
      <c r="C802" s="4">
        <v>2</v>
      </c>
      <c r="D802" s="4">
        <v>38</v>
      </c>
      <c r="E802" s="4">
        <v>1</v>
      </c>
      <c r="F802" s="8">
        <v>2</v>
      </c>
      <c r="G802" s="4">
        <v>2</v>
      </c>
      <c r="H802" s="4">
        <f t="shared" si="24"/>
        <v>0</v>
      </c>
      <c r="I802" s="4">
        <f t="shared" si="25"/>
        <v>1</v>
      </c>
      <c r="J802" s="4">
        <v>0</v>
      </c>
      <c r="K802" s="4">
        <v>0</v>
      </c>
      <c r="L802" s="4">
        <v>0</v>
      </c>
      <c r="M802" s="4">
        <v>0</v>
      </c>
      <c r="N802" s="4">
        <v>0</v>
      </c>
      <c r="O802" s="4">
        <v>0</v>
      </c>
    </row>
    <row r="803" spans="1:15" x14ac:dyDescent="0.15">
      <c r="A803" s="4">
        <v>800</v>
      </c>
      <c r="B803" s="4">
        <v>29</v>
      </c>
      <c r="C803" s="4">
        <v>3</v>
      </c>
      <c r="D803" s="4">
        <v>39</v>
      </c>
      <c r="E803" s="4">
        <v>4</v>
      </c>
      <c r="F803" s="8">
        <v>2.1</v>
      </c>
      <c r="G803" s="4">
        <v>3</v>
      </c>
      <c r="H803" s="4">
        <f t="shared" si="24"/>
        <v>0</v>
      </c>
      <c r="I803" s="4">
        <f t="shared" si="25"/>
        <v>0</v>
      </c>
      <c r="J803" s="4">
        <v>0</v>
      </c>
      <c r="K803" s="4">
        <v>0</v>
      </c>
      <c r="L803" s="4">
        <v>0</v>
      </c>
      <c r="M803" s="4">
        <v>1</v>
      </c>
      <c r="N803" s="4">
        <v>0</v>
      </c>
      <c r="O803" s="4">
        <v>0</v>
      </c>
    </row>
    <row r="804" spans="1:15" x14ac:dyDescent="0.15">
      <c r="A804" s="4">
        <v>801</v>
      </c>
      <c r="B804" s="4">
        <v>31</v>
      </c>
      <c r="C804" s="4">
        <v>7</v>
      </c>
      <c r="D804" s="4">
        <v>173</v>
      </c>
      <c r="E804" s="4">
        <v>1</v>
      </c>
      <c r="F804" s="8">
        <v>6</v>
      </c>
      <c r="G804" s="4">
        <v>1</v>
      </c>
      <c r="H804" s="4">
        <f t="shared" si="24"/>
        <v>1</v>
      </c>
      <c r="I804" s="4">
        <f t="shared" si="25"/>
        <v>0</v>
      </c>
      <c r="J804" s="4">
        <v>0</v>
      </c>
      <c r="K804" s="4">
        <v>0</v>
      </c>
      <c r="L804" s="4">
        <v>0</v>
      </c>
      <c r="M804" s="4">
        <v>1</v>
      </c>
      <c r="N804" s="4">
        <v>0</v>
      </c>
      <c r="O804" s="4">
        <v>0</v>
      </c>
    </row>
    <row r="805" spans="1:15" x14ac:dyDescent="0.15">
      <c r="A805" s="4">
        <v>802</v>
      </c>
      <c r="B805" s="4">
        <v>47</v>
      </c>
      <c r="C805" s="4">
        <v>23</v>
      </c>
      <c r="D805" s="4">
        <v>8</v>
      </c>
      <c r="E805" s="4">
        <v>4</v>
      </c>
      <c r="F805" s="8">
        <v>0.2</v>
      </c>
      <c r="G805" s="4">
        <v>1</v>
      </c>
      <c r="H805" s="4">
        <f t="shared" si="24"/>
        <v>1</v>
      </c>
      <c r="I805" s="4">
        <f t="shared" si="25"/>
        <v>0</v>
      </c>
      <c r="J805" s="4">
        <v>0</v>
      </c>
      <c r="K805" s="4">
        <v>0</v>
      </c>
      <c r="L805" s="4">
        <v>0</v>
      </c>
      <c r="M805" s="4">
        <v>1</v>
      </c>
      <c r="N805" s="4">
        <v>0</v>
      </c>
      <c r="O805" s="4">
        <v>0</v>
      </c>
    </row>
    <row r="806" spans="1:15" x14ac:dyDescent="0.15">
      <c r="A806" s="4">
        <v>803</v>
      </c>
      <c r="B806" s="4">
        <v>36</v>
      </c>
      <c r="C806" s="4">
        <v>12</v>
      </c>
      <c r="D806" s="4">
        <v>51</v>
      </c>
      <c r="E806" s="4">
        <v>3</v>
      </c>
      <c r="F806" s="8">
        <v>2</v>
      </c>
      <c r="G806" s="4">
        <v>1</v>
      </c>
      <c r="H806" s="4">
        <f t="shared" si="24"/>
        <v>1</v>
      </c>
      <c r="I806" s="4">
        <f t="shared" si="25"/>
        <v>0</v>
      </c>
      <c r="J806" s="4">
        <v>214</v>
      </c>
      <c r="K806" s="4">
        <v>0</v>
      </c>
      <c r="L806" s="4">
        <v>0</v>
      </c>
      <c r="M806" s="4">
        <v>1</v>
      </c>
      <c r="N806" s="4">
        <v>0</v>
      </c>
      <c r="O806" s="4">
        <v>0</v>
      </c>
    </row>
    <row r="807" spans="1:15" x14ac:dyDescent="0.15">
      <c r="A807" s="4">
        <v>804</v>
      </c>
      <c r="B807" s="4">
        <v>52</v>
      </c>
      <c r="C807" s="4">
        <v>27</v>
      </c>
      <c r="D807" s="4">
        <v>62</v>
      </c>
      <c r="E807" s="4">
        <v>4</v>
      </c>
      <c r="F807" s="8">
        <v>1.8</v>
      </c>
      <c r="G807" s="4">
        <v>3</v>
      </c>
      <c r="H807" s="4">
        <f t="shared" si="24"/>
        <v>0</v>
      </c>
      <c r="I807" s="4">
        <f t="shared" si="25"/>
        <v>0</v>
      </c>
      <c r="J807" s="4">
        <v>82</v>
      </c>
      <c r="K807" s="4">
        <v>0</v>
      </c>
      <c r="L807" s="4">
        <v>0</v>
      </c>
      <c r="M807" s="4">
        <v>0</v>
      </c>
      <c r="N807" s="4">
        <v>0</v>
      </c>
      <c r="O807" s="4">
        <v>0</v>
      </c>
    </row>
    <row r="808" spans="1:15" x14ac:dyDescent="0.15">
      <c r="A808" s="4">
        <v>805</v>
      </c>
      <c r="B808" s="4">
        <v>54</v>
      </c>
      <c r="C808" s="4">
        <v>28</v>
      </c>
      <c r="D808" s="4">
        <v>34</v>
      </c>
      <c r="E808" s="4">
        <v>4</v>
      </c>
      <c r="F808" s="8">
        <v>0.7</v>
      </c>
      <c r="G808" s="4">
        <v>2</v>
      </c>
      <c r="H808" s="4">
        <f t="shared" si="24"/>
        <v>0</v>
      </c>
      <c r="I808" s="4">
        <f t="shared" si="25"/>
        <v>1</v>
      </c>
      <c r="J808" s="4">
        <v>0</v>
      </c>
      <c r="K808" s="4">
        <v>0</v>
      </c>
      <c r="L808" s="4">
        <v>0</v>
      </c>
      <c r="M808" s="4">
        <v>1</v>
      </c>
      <c r="N808" s="4">
        <v>0</v>
      </c>
      <c r="O808" s="4">
        <v>0</v>
      </c>
    </row>
    <row r="809" spans="1:15" x14ac:dyDescent="0.15">
      <c r="A809" s="4">
        <v>806</v>
      </c>
      <c r="B809" s="4">
        <v>55</v>
      </c>
      <c r="C809" s="4">
        <v>29</v>
      </c>
      <c r="D809" s="4">
        <v>132</v>
      </c>
      <c r="E809" s="4">
        <v>3</v>
      </c>
      <c r="F809" s="8">
        <v>5.9</v>
      </c>
      <c r="G809" s="4">
        <v>2</v>
      </c>
      <c r="H809" s="4">
        <f t="shared" si="24"/>
        <v>0</v>
      </c>
      <c r="I809" s="4">
        <f t="shared" si="25"/>
        <v>1</v>
      </c>
      <c r="J809" s="4">
        <v>307</v>
      </c>
      <c r="K809" s="4">
        <v>0</v>
      </c>
      <c r="L809" s="4">
        <v>0</v>
      </c>
      <c r="M809" s="4">
        <v>0</v>
      </c>
      <c r="N809" s="4">
        <v>0</v>
      </c>
      <c r="O809" s="4">
        <v>1</v>
      </c>
    </row>
    <row r="810" spans="1:15" x14ac:dyDescent="0.15">
      <c r="A810" s="4">
        <v>807</v>
      </c>
      <c r="B810" s="4">
        <v>53</v>
      </c>
      <c r="C810" s="4">
        <v>27</v>
      </c>
      <c r="D810" s="4">
        <v>44</v>
      </c>
      <c r="E810" s="4">
        <v>4</v>
      </c>
      <c r="F810" s="8">
        <v>1.5</v>
      </c>
      <c r="G810" s="4">
        <v>3</v>
      </c>
      <c r="H810" s="4">
        <f t="shared" si="24"/>
        <v>0</v>
      </c>
      <c r="I810" s="4">
        <f t="shared" si="25"/>
        <v>0</v>
      </c>
      <c r="J810" s="4">
        <v>0</v>
      </c>
      <c r="K810" s="4">
        <v>0</v>
      </c>
      <c r="L810" s="4">
        <v>0</v>
      </c>
      <c r="M810" s="4">
        <v>0</v>
      </c>
      <c r="N810" s="4">
        <v>0</v>
      </c>
      <c r="O810" s="4">
        <v>0</v>
      </c>
    </row>
    <row r="811" spans="1:15" x14ac:dyDescent="0.15">
      <c r="A811" s="4">
        <v>808</v>
      </c>
      <c r="B811" s="4">
        <v>52</v>
      </c>
      <c r="C811" s="4">
        <v>27</v>
      </c>
      <c r="D811" s="4">
        <v>162</v>
      </c>
      <c r="E811" s="4">
        <v>1</v>
      </c>
      <c r="F811" s="8">
        <v>8.1</v>
      </c>
      <c r="G811" s="4">
        <v>1</v>
      </c>
      <c r="H811" s="4">
        <f t="shared" si="24"/>
        <v>1</v>
      </c>
      <c r="I811" s="4">
        <f t="shared" si="25"/>
        <v>0</v>
      </c>
      <c r="J811" s="4">
        <v>0</v>
      </c>
      <c r="K811" s="4">
        <v>0</v>
      </c>
      <c r="L811" s="4">
        <v>0</v>
      </c>
      <c r="M811" s="4">
        <v>1</v>
      </c>
      <c r="N811" s="4">
        <v>0</v>
      </c>
      <c r="O811" s="4">
        <v>0</v>
      </c>
    </row>
    <row r="812" spans="1:15" x14ac:dyDescent="0.15">
      <c r="A812" s="4">
        <v>809</v>
      </c>
      <c r="B812" s="4">
        <v>64</v>
      </c>
      <c r="C812" s="4">
        <v>39</v>
      </c>
      <c r="D812" s="4">
        <v>64</v>
      </c>
      <c r="E812" s="4">
        <v>3</v>
      </c>
      <c r="F812" s="8">
        <v>2.2000000000000002</v>
      </c>
      <c r="G812" s="4">
        <v>1</v>
      </c>
      <c r="H812" s="4">
        <f t="shared" si="24"/>
        <v>1</v>
      </c>
      <c r="I812" s="4">
        <f t="shared" si="25"/>
        <v>0</v>
      </c>
      <c r="J812" s="4">
        <v>0</v>
      </c>
      <c r="K812" s="4">
        <v>0</v>
      </c>
      <c r="L812" s="4">
        <v>0</v>
      </c>
      <c r="M812" s="4">
        <v>1</v>
      </c>
      <c r="N812" s="4">
        <v>0</v>
      </c>
      <c r="O812" s="4">
        <v>0</v>
      </c>
    </row>
    <row r="813" spans="1:15" x14ac:dyDescent="0.15">
      <c r="A813" s="4">
        <v>810</v>
      </c>
      <c r="B813" s="4">
        <v>54</v>
      </c>
      <c r="C813" s="4">
        <v>29</v>
      </c>
      <c r="D813" s="4">
        <v>111</v>
      </c>
      <c r="E813" s="4">
        <v>1</v>
      </c>
      <c r="F813" s="8">
        <v>0.1</v>
      </c>
      <c r="G813" s="4">
        <v>3</v>
      </c>
      <c r="H813" s="4">
        <f t="shared" si="24"/>
        <v>0</v>
      </c>
      <c r="I813" s="4">
        <f t="shared" si="25"/>
        <v>0</v>
      </c>
      <c r="J813" s="4">
        <v>0</v>
      </c>
      <c r="K813" s="4">
        <v>0</v>
      </c>
      <c r="L813" s="4">
        <v>0</v>
      </c>
      <c r="M813" s="4">
        <v>0</v>
      </c>
      <c r="N813" s="4">
        <v>1</v>
      </c>
      <c r="O813" s="4">
        <v>0</v>
      </c>
    </row>
    <row r="814" spans="1:15" x14ac:dyDescent="0.15">
      <c r="A814" s="4">
        <v>811</v>
      </c>
      <c r="B814" s="4">
        <v>32</v>
      </c>
      <c r="C814" s="4">
        <v>6</v>
      </c>
      <c r="D814" s="4">
        <v>41</v>
      </c>
      <c r="E814" s="4">
        <v>2</v>
      </c>
      <c r="F814" s="8">
        <v>2</v>
      </c>
      <c r="G814" s="4">
        <v>3</v>
      </c>
      <c r="H814" s="4">
        <f t="shared" si="24"/>
        <v>0</v>
      </c>
      <c r="I814" s="4">
        <f t="shared" si="25"/>
        <v>0</v>
      </c>
      <c r="J814" s="4">
        <v>0</v>
      </c>
      <c r="K814" s="4">
        <v>0</v>
      </c>
      <c r="L814" s="4">
        <v>0</v>
      </c>
      <c r="M814" s="4">
        <v>0</v>
      </c>
      <c r="N814" s="4">
        <v>0</v>
      </c>
      <c r="O814" s="4">
        <v>0</v>
      </c>
    </row>
    <row r="815" spans="1:15" x14ac:dyDescent="0.15">
      <c r="A815" s="4">
        <v>812</v>
      </c>
      <c r="B815" s="4">
        <v>63</v>
      </c>
      <c r="C815" s="4">
        <v>33</v>
      </c>
      <c r="D815" s="4">
        <v>52</v>
      </c>
      <c r="E815" s="4">
        <v>4</v>
      </c>
      <c r="F815" s="8">
        <v>1.6666666666666667</v>
      </c>
      <c r="G815" s="4">
        <v>3</v>
      </c>
      <c r="H815" s="4">
        <f t="shared" si="24"/>
        <v>0</v>
      </c>
      <c r="I815" s="4">
        <f t="shared" si="25"/>
        <v>0</v>
      </c>
      <c r="J815" s="4">
        <v>0</v>
      </c>
      <c r="K815" s="4">
        <v>0</v>
      </c>
      <c r="L815" s="4">
        <v>0</v>
      </c>
      <c r="M815" s="4">
        <v>0</v>
      </c>
      <c r="N815" s="4">
        <v>0</v>
      </c>
      <c r="O815" s="4">
        <v>0</v>
      </c>
    </row>
    <row r="816" spans="1:15" x14ac:dyDescent="0.15">
      <c r="A816" s="4">
        <v>813</v>
      </c>
      <c r="B816" s="4">
        <v>36</v>
      </c>
      <c r="C816" s="4">
        <v>10</v>
      </c>
      <c r="D816" s="4">
        <v>65</v>
      </c>
      <c r="E816" s="4">
        <v>4</v>
      </c>
      <c r="F816" s="8">
        <v>2.2000000000000002</v>
      </c>
      <c r="G816" s="4">
        <v>2</v>
      </c>
      <c r="H816" s="4">
        <f t="shared" si="24"/>
        <v>0</v>
      </c>
      <c r="I816" s="4">
        <f t="shared" si="25"/>
        <v>1</v>
      </c>
      <c r="J816" s="4">
        <v>0</v>
      </c>
      <c r="K816" s="4">
        <v>0</v>
      </c>
      <c r="L816" s="4">
        <v>0</v>
      </c>
      <c r="M816" s="4">
        <v>0</v>
      </c>
      <c r="N816" s="4">
        <v>0</v>
      </c>
      <c r="O816" s="4">
        <v>0</v>
      </c>
    </row>
    <row r="817" spans="1:15" x14ac:dyDescent="0.15">
      <c r="A817" s="4">
        <v>814</v>
      </c>
      <c r="B817" s="4">
        <v>50</v>
      </c>
      <c r="C817" s="4">
        <v>25</v>
      </c>
      <c r="D817" s="4">
        <v>130</v>
      </c>
      <c r="E817" s="4">
        <v>1</v>
      </c>
      <c r="F817" s="8">
        <v>1.1000000000000001</v>
      </c>
      <c r="G817" s="4">
        <v>2</v>
      </c>
      <c r="H817" s="4">
        <f t="shared" si="24"/>
        <v>0</v>
      </c>
      <c r="I817" s="4">
        <f t="shared" si="25"/>
        <v>1</v>
      </c>
      <c r="J817" s="4">
        <v>0</v>
      </c>
      <c r="K817" s="4">
        <v>0</v>
      </c>
      <c r="L817" s="4">
        <v>0</v>
      </c>
      <c r="M817" s="4">
        <v>1</v>
      </c>
      <c r="N817" s="4">
        <v>0</v>
      </c>
      <c r="O817" s="4">
        <v>1</v>
      </c>
    </row>
    <row r="818" spans="1:15" x14ac:dyDescent="0.15">
      <c r="A818" s="4">
        <v>815</v>
      </c>
      <c r="B818" s="4">
        <v>33</v>
      </c>
      <c r="C818" s="4">
        <v>8</v>
      </c>
      <c r="D818" s="4">
        <v>45</v>
      </c>
      <c r="E818" s="4">
        <v>2</v>
      </c>
      <c r="F818" s="8">
        <v>0.1</v>
      </c>
      <c r="G818" s="4">
        <v>1</v>
      </c>
      <c r="H818" s="4">
        <f t="shared" si="24"/>
        <v>1</v>
      </c>
      <c r="I818" s="4">
        <f t="shared" si="25"/>
        <v>0</v>
      </c>
      <c r="J818" s="4">
        <v>0</v>
      </c>
      <c r="K818" s="4">
        <v>0</v>
      </c>
      <c r="L818" s="4">
        <v>0</v>
      </c>
      <c r="M818" s="4">
        <v>0</v>
      </c>
      <c r="N818" s="4">
        <v>1</v>
      </c>
      <c r="O818" s="4">
        <v>0</v>
      </c>
    </row>
    <row r="819" spans="1:15" x14ac:dyDescent="0.15">
      <c r="A819" s="4">
        <v>816</v>
      </c>
      <c r="B819" s="4">
        <v>62</v>
      </c>
      <c r="C819" s="4">
        <v>38</v>
      </c>
      <c r="D819" s="4">
        <v>35</v>
      </c>
      <c r="E819" s="4">
        <v>1</v>
      </c>
      <c r="F819" s="8">
        <v>1.9</v>
      </c>
      <c r="G819" s="4">
        <v>2</v>
      </c>
      <c r="H819" s="4">
        <f t="shared" si="24"/>
        <v>0</v>
      </c>
      <c r="I819" s="4">
        <f t="shared" si="25"/>
        <v>1</v>
      </c>
      <c r="J819" s="4">
        <v>118</v>
      </c>
      <c r="K819" s="4">
        <v>0</v>
      </c>
      <c r="L819" s="4">
        <v>0</v>
      </c>
      <c r="M819" s="4">
        <v>0</v>
      </c>
      <c r="N819" s="4">
        <v>0</v>
      </c>
      <c r="O819" s="4">
        <v>0</v>
      </c>
    </row>
    <row r="820" spans="1:15" x14ac:dyDescent="0.15">
      <c r="A820" s="4">
        <v>817</v>
      </c>
      <c r="B820" s="4">
        <v>49</v>
      </c>
      <c r="C820" s="4">
        <v>23</v>
      </c>
      <c r="D820" s="4">
        <v>65</v>
      </c>
      <c r="E820" s="4">
        <v>3</v>
      </c>
      <c r="F820" s="8">
        <v>0.7</v>
      </c>
      <c r="G820" s="4">
        <v>2</v>
      </c>
      <c r="H820" s="4">
        <f t="shared" si="24"/>
        <v>0</v>
      </c>
      <c r="I820" s="4">
        <f t="shared" si="25"/>
        <v>1</v>
      </c>
      <c r="J820" s="4">
        <v>263</v>
      </c>
      <c r="K820" s="4">
        <v>0</v>
      </c>
      <c r="L820" s="4">
        <v>0</v>
      </c>
      <c r="M820" s="4">
        <v>1</v>
      </c>
      <c r="N820" s="4">
        <v>1</v>
      </c>
      <c r="O820" s="4">
        <v>0</v>
      </c>
    </row>
    <row r="821" spans="1:15" x14ac:dyDescent="0.15">
      <c r="A821" s="4">
        <v>818</v>
      </c>
      <c r="B821" s="4">
        <v>41</v>
      </c>
      <c r="C821" s="4">
        <v>15</v>
      </c>
      <c r="D821" s="4">
        <v>38</v>
      </c>
      <c r="E821" s="4">
        <v>2</v>
      </c>
      <c r="F821" s="8">
        <v>0.7</v>
      </c>
      <c r="G821" s="4">
        <v>1</v>
      </c>
      <c r="H821" s="4">
        <f t="shared" si="24"/>
        <v>1</v>
      </c>
      <c r="I821" s="4">
        <f t="shared" si="25"/>
        <v>0</v>
      </c>
      <c r="J821" s="4">
        <v>91</v>
      </c>
      <c r="K821" s="4">
        <v>0</v>
      </c>
      <c r="L821" s="4">
        <v>0</v>
      </c>
      <c r="M821" s="4">
        <v>1</v>
      </c>
      <c r="N821" s="4">
        <v>0</v>
      </c>
      <c r="O821" s="4">
        <v>0</v>
      </c>
    </row>
    <row r="822" spans="1:15" x14ac:dyDescent="0.15">
      <c r="A822" s="4">
        <v>819</v>
      </c>
      <c r="B822" s="4">
        <v>51</v>
      </c>
      <c r="C822" s="4">
        <v>27</v>
      </c>
      <c r="D822" s="4">
        <v>42</v>
      </c>
      <c r="E822" s="4">
        <v>4</v>
      </c>
      <c r="F822" s="8">
        <v>1.1000000000000001</v>
      </c>
      <c r="G822" s="4">
        <v>2</v>
      </c>
      <c r="H822" s="4">
        <f t="shared" si="24"/>
        <v>0</v>
      </c>
      <c r="I822" s="4">
        <f t="shared" si="25"/>
        <v>1</v>
      </c>
      <c r="J822" s="4">
        <v>0</v>
      </c>
      <c r="K822" s="4">
        <v>0</v>
      </c>
      <c r="L822" s="4">
        <v>0</v>
      </c>
      <c r="M822" s="4">
        <v>1</v>
      </c>
      <c r="N822" s="4">
        <v>1</v>
      </c>
      <c r="O822" s="4">
        <v>0</v>
      </c>
    </row>
    <row r="823" spans="1:15" x14ac:dyDescent="0.15">
      <c r="A823" s="4">
        <v>820</v>
      </c>
      <c r="B823" s="4">
        <v>56</v>
      </c>
      <c r="C823" s="4">
        <v>30</v>
      </c>
      <c r="D823" s="4">
        <v>45</v>
      </c>
      <c r="E823" s="4">
        <v>4</v>
      </c>
      <c r="F823" s="8">
        <v>1.5</v>
      </c>
      <c r="G823" s="4">
        <v>3</v>
      </c>
      <c r="H823" s="4">
        <f t="shared" si="24"/>
        <v>0</v>
      </c>
      <c r="I823" s="4">
        <f t="shared" si="25"/>
        <v>0</v>
      </c>
      <c r="J823" s="4">
        <v>0</v>
      </c>
      <c r="K823" s="4">
        <v>0</v>
      </c>
      <c r="L823" s="4">
        <v>0</v>
      </c>
      <c r="M823" s="4">
        <v>0</v>
      </c>
      <c r="N823" s="4">
        <v>0</v>
      </c>
      <c r="O823" s="4">
        <v>0</v>
      </c>
    </row>
    <row r="824" spans="1:15" x14ac:dyDescent="0.15">
      <c r="A824" s="4">
        <v>821</v>
      </c>
      <c r="B824" s="4">
        <v>51</v>
      </c>
      <c r="C824" s="4">
        <v>25</v>
      </c>
      <c r="D824" s="4">
        <v>145</v>
      </c>
      <c r="E824" s="4">
        <v>1</v>
      </c>
      <c r="F824" s="8">
        <v>0.3</v>
      </c>
      <c r="G824" s="4">
        <v>1</v>
      </c>
      <c r="H824" s="4">
        <f t="shared" si="24"/>
        <v>1</v>
      </c>
      <c r="I824" s="4">
        <f t="shared" si="25"/>
        <v>0</v>
      </c>
      <c r="J824" s="4">
        <v>0</v>
      </c>
      <c r="K824" s="4">
        <v>0</v>
      </c>
      <c r="L824" s="4">
        <v>0</v>
      </c>
      <c r="M824" s="4">
        <v>1</v>
      </c>
      <c r="N824" s="4">
        <v>0</v>
      </c>
      <c r="O824" s="4">
        <v>0</v>
      </c>
    </row>
    <row r="825" spans="1:15" x14ac:dyDescent="0.15">
      <c r="A825" s="4">
        <v>822</v>
      </c>
      <c r="B825" s="4">
        <v>39</v>
      </c>
      <c r="C825" s="4">
        <v>13</v>
      </c>
      <c r="D825" s="4">
        <v>33</v>
      </c>
      <c r="E825" s="4">
        <v>4</v>
      </c>
      <c r="F825" s="8">
        <v>1.5</v>
      </c>
      <c r="G825" s="4">
        <v>3</v>
      </c>
      <c r="H825" s="4">
        <f t="shared" si="24"/>
        <v>0</v>
      </c>
      <c r="I825" s="4">
        <f t="shared" si="25"/>
        <v>0</v>
      </c>
      <c r="J825" s="4">
        <v>0</v>
      </c>
      <c r="K825" s="4">
        <v>0</v>
      </c>
      <c r="L825" s="4">
        <v>0</v>
      </c>
      <c r="M825" s="4">
        <v>0</v>
      </c>
      <c r="N825" s="4">
        <v>0</v>
      </c>
      <c r="O825" s="4">
        <v>0</v>
      </c>
    </row>
    <row r="826" spans="1:15" x14ac:dyDescent="0.15">
      <c r="A826" s="4">
        <v>823</v>
      </c>
      <c r="B826" s="4">
        <v>61</v>
      </c>
      <c r="C826" s="4">
        <v>35</v>
      </c>
      <c r="D826" s="4">
        <v>60</v>
      </c>
      <c r="E826" s="4">
        <v>3</v>
      </c>
      <c r="F826" s="8">
        <v>1.4</v>
      </c>
      <c r="G826" s="4">
        <v>3</v>
      </c>
      <c r="H826" s="4">
        <f t="shared" si="24"/>
        <v>0</v>
      </c>
      <c r="I826" s="4">
        <f t="shared" si="25"/>
        <v>0</v>
      </c>
      <c r="J826" s="4">
        <v>0</v>
      </c>
      <c r="K826" s="4">
        <v>0</v>
      </c>
      <c r="L826" s="4">
        <v>0</v>
      </c>
      <c r="M826" s="4">
        <v>0</v>
      </c>
      <c r="N826" s="4">
        <v>0</v>
      </c>
      <c r="O826" s="4">
        <v>0</v>
      </c>
    </row>
    <row r="827" spans="1:15" x14ac:dyDescent="0.15">
      <c r="A827" s="4">
        <v>824</v>
      </c>
      <c r="B827" s="4">
        <v>35</v>
      </c>
      <c r="C827" s="4">
        <v>9</v>
      </c>
      <c r="D827" s="4">
        <v>45</v>
      </c>
      <c r="E827" s="4">
        <v>1</v>
      </c>
      <c r="F827" s="8">
        <v>2</v>
      </c>
      <c r="G827" s="4">
        <v>1</v>
      </c>
      <c r="H827" s="4">
        <f t="shared" si="24"/>
        <v>1</v>
      </c>
      <c r="I827" s="4">
        <f t="shared" si="25"/>
        <v>0</v>
      </c>
      <c r="J827" s="4">
        <v>0</v>
      </c>
      <c r="K827" s="4">
        <v>0</v>
      </c>
      <c r="L827" s="4">
        <v>0</v>
      </c>
      <c r="M827" s="4">
        <v>1</v>
      </c>
      <c r="N827" s="4">
        <v>1</v>
      </c>
      <c r="O827" s="4">
        <v>0</v>
      </c>
    </row>
    <row r="828" spans="1:15" x14ac:dyDescent="0.15">
      <c r="A828" s="4">
        <v>825</v>
      </c>
      <c r="B828" s="4">
        <v>39</v>
      </c>
      <c r="C828" s="4">
        <v>15</v>
      </c>
      <c r="D828" s="4">
        <v>72</v>
      </c>
      <c r="E828" s="4">
        <v>4</v>
      </c>
      <c r="F828" s="8">
        <v>2.4</v>
      </c>
      <c r="G828" s="4">
        <v>1</v>
      </c>
      <c r="H828" s="4">
        <f t="shared" si="24"/>
        <v>1</v>
      </c>
      <c r="I828" s="4">
        <f t="shared" si="25"/>
        <v>0</v>
      </c>
      <c r="J828" s="4">
        <v>0</v>
      </c>
      <c r="K828" s="4">
        <v>1</v>
      </c>
      <c r="L828" s="4">
        <v>0</v>
      </c>
      <c r="M828" s="4">
        <v>1</v>
      </c>
      <c r="N828" s="4">
        <v>0</v>
      </c>
      <c r="O828" s="4">
        <v>0</v>
      </c>
    </row>
    <row r="829" spans="1:15" x14ac:dyDescent="0.15">
      <c r="A829" s="4">
        <v>826</v>
      </c>
      <c r="B829" s="4">
        <v>37</v>
      </c>
      <c r="C829" s="4">
        <v>11</v>
      </c>
      <c r="D829" s="4">
        <v>34</v>
      </c>
      <c r="E829" s="4">
        <v>3</v>
      </c>
      <c r="F829" s="8">
        <v>0.2</v>
      </c>
      <c r="G829" s="4">
        <v>2</v>
      </c>
      <c r="H829" s="4">
        <f t="shared" si="24"/>
        <v>0</v>
      </c>
      <c r="I829" s="4">
        <f t="shared" si="25"/>
        <v>1</v>
      </c>
      <c r="J829" s="4">
        <v>0</v>
      </c>
      <c r="K829" s="4">
        <v>0</v>
      </c>
      <c r="L829" s="4">
        <v>0</v>
      </c>
      <c r="M829" s="4">
        <v>0</v>
      </c>
      <c r="N829" s="4">
        <v>0</v>
      </c>
      <c r="O829" s="4">
        <v>0</v>
      </c>
    </row>
    <row r="830" spans="1:15" x14ac:dyDescent="0.15">
      <c r="A830" s="4">
        <v>827</v>
      </c>
      <c r="B830" s="4">
        <v>48</v>
      </c>
      <c r="C830" s="4">
        <v>21</v>
      </c>
      <c r="D830" s="4">
        <v>23</v>
      </c>
      <c r="E830" s="4">
        <v>3</v>
      </c>
      <c r="F830" s="8">
        <v>0.66666666666666663</v>
      </c>
      <c r="G830" s="4">
        <v>2</v>
      </c>
      <c r="H830" s="4">
        <f t="shared" si="24"/>
        <v>0</v>
      </c>
      <c r="I830" s="4">
        <f t="shared" si="25"/>
        <v>1</v>
      </c>
      <c r="J830" s="4">
        <v>0</v>
      </c>
      <c r="K830" s="4">
        <v>0</v>
      </c>
      <c r="L830" s="4">
        <v>0</v>
      </c>
      <c r="M830" s="4">
        <v>1</v>
      </c>
      <c r="N830" s="4">
        <v>0</v>
      </c>
      <c r="O830" s="4">
        <v>0</v>
      </c>
    </row>
    <row r="831" spans="1:15" x14ac:dyDescent="0.15">
      <c r="A831" s="4">
        <v>828</v>
      </c>
      <c r="B831" s="4">
        <v>63</v>
      </c>
      <c r="C831" s="4">
        <v>37</v>
      </c>
      <c r="D831" s="4">
        <v>45</v>
      </c>
      <c r="E831" s="4">
        <v>2</v>
      </c>
      <c r="F831" s="8">
        <v>1</v>
      </c>
      <c r="G831" s="4">
        <v>3</v>
      </c>
      <c r="H831" s="4">
        <f t="shared" si="24"/>
        <v>0</v>
      </c>
      <c r="I831" s="4">
        <f t="shared" si="25"/>
        <v>0</v>
      </c>
      <c r="J831" s="4">
        <v>88</v>
      </c>
      <c r="K831" s="4">
        <v>0</v>
      </c>
      <c r="L831" s="4">
        <v>0</v>
      </c>
      <c r="M831" s="4">
        <v>1</v>
      </c>
      <c r="N831" s="4">
        <v>1</v>
      </c>
      <c r="O831" s="4">
        <v>0</v>
      </c>
    </row>
    <row r="832" spans="1:15" x14ac:dyDescent="0.15">
      <c r="A832" s="4">
        <v>829</v>
      </c>
      <c r="B832" s="4">
        <v>35</v>
      </c>
      <c r="C832" s="4">
        <v>9</v>
      </c>
      <c r="D832" s="4">
        <v>28</v>
      </c>
      <c r="E832" s="4">
        <v>4</v>
      </c>
      <c r="F832" s="8">
        <v>1</v>
      </c>
      <c r="G832" s="4">
        <v>1</v>
      </c>
      <c r="H832" s="4">
        <f t="shared" si="24"/>
        <v>1</v>
      </c>
      <c r="I832" s="4">
        <f t="shared" si="25"/>
        <v>0</v>
      </c>
      <c r="J832" s="4">
        <v>75</v>
      </c>
      <c r="K832" s="4">
        <v>0</v>
      </c>
      <c r="L832" s="4">
        <v>0</v>
      </c>
      <c r="M832" s="4">
        <v>1</v>
      </c>
      <c r="N832" s="4">
        <v>0</v>
      </c>
      <c r="O832" s="4">
        <v>0</v>
      </c>
    </row>
    <row r="833" spans="1:15" x14ac:dyDescent="0.15">
      <c r="A833" s="4">
        <v>830</v>
      </c>
      <c r="B833" s="4">
        <v>55</v>
      </c>
      <c r="C833" s="4">
        <v>30</v>
      </c>
      <c r="D833" s="4">
        <v>81</v>
      </c>
      <c r="E833" s="4">
        <v>4</v>
      </c>
      <c r="F833" s="8">
        <v>3.8</v>
      </c>
      <c r="G833" s="4">
        <v>2</v>
      </c>
      <c r="H833" s="4">
        <f t="shared" si="24"/>
        <v>0</v>
      </c>
      <c r="I833" s="4">
        <f t="shared" si="25"/>
        <v>1</v>
      </c>
      <c r="J833" s="4">
        <v>0</v>
      </c>
      <c r="K833" s="4">
        <v>0</v>
      </c>
      <c r="L833" s="4">
        <v>0</v>
      </c>
      <c r="M833" s="4">
        <v>1</v>
      </c>
      <c r="N833" s="4">
        <v>0</v>
      </c>
      <c r="O833" s="4">
        <v>0</v>
      </c>
    </row>
    <row r="834" spans="1:15" x14ac:dyDescent="0.15">
      <c r="A834" s="4">
        <v>831</v>
      </c>
      <c r="B834" s="4">
        <v>29</v>
      </c>
      <c r="C834" s="4">
        <v>5</v>
      </c>
      <c r="D834" s="4">
        <v>72</v>
      </c>
      <c r="E834" s="4">
        <v>3</v>
      </c>
      <c r="F834" s="8">
        <v>0.7</v>
      </c>
      <c r="G834" s="4">
        <v>2</v>
      </c>
      <c r="H834" s="4">
        <f t="shared" si="24"/>
        <v>0</v>
      </c>
      <c r="I834" s="4">
        <f t="shared" si="25"/>
        <v>1</v>
      </c>
      <c r="J834" s="4">
        <v>81</v>
      </c>
      <c r="K834" s="4">
        <v>0</v>
      </c>
      <c r="L834" s="4">
        <v>0</v>
      </c>
      <c r="M834" s="4">
        <v>0</v>
      </c>
      <c r="N834" s="4">
        <v>0</v>
      </c>
      <c r="O834" s="4">
        <v>0</v>
      </c>
    </row>
    <row r="835" spans="1:15" x14ac:dyDescent="0.15">
      <c r="A835" s="4">
        <v>832</v>
      </c>
      <c r="B835" s="4">
        <v>61</v>
      </c>
      <c r="C835" s="4">
        <v>31</v>
      </c>
      <c r="D835" s="4">
        <v>49</v>
      </c>
      <c r="E835" s="4">
        <v>4</v>
      </c>
      <c r="F835" s="8">
        <v>1.6666666666666667</v>
      </c>
      <c r="G835" s="4">
        <v>3</v>
      </c>
      <c r="H835" s="4">
        <f t="shared" si="24"/>
        <v>0</v>
      </c>
      <c r="I835" s="4">
        <f t="shared" si="25"/>
        <v>0</v>
      </c>
      <c r="J835" s="4">
        <v>0</v>
      </c>
      <c r="K835" s="4">
        <v>0</v>
      </c>
      <c r="L835" s="4">
        <v>0</v>
      </c>
      <c r="M835" s="4">
        <v>1</v>
      </c>
      <c r="N835" s="4">
        <v>0</v>
      </c>
      <c r="O835" s="4">
        <v>0</v>
      </c>
    </row>
    <row r="836" spans="1:15" x14ac:dyDescent="0.15">
      <c r="A836" s="4">
        <v>833</v>
      </c>
      <c r="B836" s="4">
        <v>36</v>
      </c>
      <c r="C836" s="4">
        <v>10</v>
      </c>
      <c r="D836" s="4">
        <v>31</v>
      </c>
      <c r="E836" s="4">
        <v>4</v>
      </c>
      <c r="F836" s="8">
        <v>1.2</v>
      </c>
      <c r="G836" s="4">
        <v>2</v>
      </c>
      <c r="H836" s="4">
        <f t="shared" si="24"/>
        <v>0</v>
      </c>
      <c r="I836" s="4">
        <f t="shared" si="25"/>
        <v>1</v>
      </c>
      <c r="J836" s="4">
        <v>0</v>
      </c>
      <c r="K836" s="4">
        <v>0</v>
      </c>
      <c r="L836" s="4">
        <v>0</v>
      </c>
      <c r="M836" s="4">
        <v>0</v>
      </c>
      <c r="N836" s="4">
        <v>0</v>
      </c>
      <c r="O836" s="4">
        <v>0</v>
      </c>
    </row>
    <row r="837" spans="1:15" x14ac:dyDescent="0.15">
      <c r="A837" s="4">
        <v>834</v>
      </c>
      <c r="B837" s="4">
        <v>61</v>
      </c>
      <c r="C837" s="4">
        <v>35</v>
      </c>
      <c r="D837" s="4">
        <v>63</v>
      </c>
      <c r="E837" s="4">
        <v>3</v>
      </c>
      <c r="F837" s="8">
        <v>2.2000000000000002</v>
      </c>
      <c r="G837" s="4">
        <v>3</v>
      </c>
      <c r="H837" s="4">
        <f t="shared" ref="H837:H900" si="26">IF(G837=1,1,0)</f>
        <v>0</v>
      </c>
      <c r="I837" s="4">
        <f t="shared" ref="I837:I900" si="27">IF(G837=2,1,0)</f>
        <v>0</v>
      </c>
      <c r="J837" s="4">
        <v>0</v>
      </c>
      <c r="K837" s="4">
        <v>0</v>
      </c>
      <c r="L837" s="4">
        <v>0</v>
      </c>
      <c r="M837" s="4">
        <v>0</v>
      </c>
      <c r="N837" s="4">
        <v>0</v>
      </c>
      <c r="O837" s="4">
        <v>0</v>
      </c>
    </row>
    <row r="838" spans="1:15" x14ac:dyDescent="0.15">
      <c r="A838" s="4">
        <v>835</v>
      </c>
      <c r="B838" s="4">
        <v>36</v>
      </c>
      <c r="C838" s="4">
        <v>12</v>
      </c>
      <c r="D838" s="4">
        <v>150</v>
      </c>
      <c r="E838" s="4">
        <v>4</v>
      </c>
      <c r="F838" s="8">
        <v>5.4</v>
      </c>
      <c r="G838" s="4">
        <v>1</v>
      </c>
      <c r="H838" s="4">
        <f t="shared" si="26"/>
        <v>1</v>
      </c>
      <c r="I838" s="4">
        <f t="shared" si="27"/>
        <v>0</v>
      </c>
      <c r="J838" s="4">
        <v>0</v>
      </c>
      <c r="K838" s="4">
        <v>1</v>
      </c>
      <c r="L838" s="4">
        <v>1</v>
      </c>
      <c r="M838" s="4">
        <v>1</v>
      </c>
      <c r="N838" s="4">
        <v>0</v>
      </c>
      <c r="O838" s="4">
        <v>1</v>
      </c>
    </row>
    <row r="839" spans="1:15" x14ac:dyDescent="0.15">
      <c r="A839" s="4">
        <v>836</v>
      </c>
      <c r="B839" s="4">
        <v>58</v>
      </c>
      <c r="C839" s="4">
        <v>33</v>
      </c>
      <c r="D839" s="4">
        <v>142</v>
      </c>
      <c r="E839" s="4">
        <v>2</v>
      </c>
      <c r="F839" s="8">
        <v>3.9</v>
      </c>
      <c r="G839" s="4">
        <v>1</v>
      </c>
      <c r="H839" s="4">
        <f t="shared" si="26"/>
        <v>1</v>
      </c>
      <c r="I839" s="4">
        <f t="shared" si="27"/>
        <v>0</v>
      </c>
      <c r="J839" s="4">
        <v>193</v>
      </c>
      <c r="K839" s="4">
        <v>0</v>
      </c>
      <c r="L839" s="4">
        <v>0</v>
      </c>
      <c r="M839" s="4">
        <v>1</v>
      </c>
      <c r="N839" s="4">
        <v>1</v>
      </c>
      <c r="O839" s="4">
        <v>0</v>
      </c>
    </row>
    <row r="840" spans="1:15" x14ac:dyDescent="0.15">
      <c r="A840" s="4">
        <v>837</v>
      </c>
      <c r="B840" s="4">
        <v>42</v>
      </c>
      <c r="C840" s="4">
        <v>17</v>
      </c>
      <c r="D840" s="4">
        <v>74</v>
      </c>
      <c r="E840" s="4">
        <v>3</v>
      </c>
      <c r="F840" s="8">
        <v>3</v>
      </c>
      <c r="G840" s="4">
        <v>1</v>
      </c>
      <c r="H840" s="4">
        <f t="shared" si="26"/>
        <v>1</v>
      </c>
      <c r="I840" s="4">
        <f t="shared" si="27"/>
        <v>0</v>
      </c>
      <c r="J840" s="4">
        <v>0</v>
      </c>
      <c r="K840" s="4">
        <v>0</v>
      </c>
      <c r="L840" s="4">
        <v>0</v>
      </c>
      <c r="M840" s="4">
        <v>0</v>
      </c>
      <c r="N840" s="4">
        <v>1</v>
      </c>
      <c r="O840" s="4">
        <v>0</v>
      </c>
    </row>
    <row r="841" spans="1:15" x14ac:dyDescent="0.15">
      <c r="A841" s="4">
        <v>838</v>
      </c>
      <c r="B841" s="4">
        <v>30</v>
      </c>
      <c r="C841" s="4">
        <v>4</v>
      </c>
      <c r="D841" s="4">
        <v>24</v>
      </c>
      <c r="E841" s="4">
        <v>1</v>
      </c>
      <c r="F841" s="8">
        <v>0.4</v>
      </c>
      <c r="G841" s="4">
        <v>2</v>
      </c>
      <c r="H841" s="4">
        <f t="shared" si="26"/>
        <v>0</v>
      </c>
      <c r="I841" s="4">
        <f t="shared" si="27"/>
        <v>1</v>
      </c>
      <c r="J841" s="4">
        <v>81</v>
      </c>
      <c r="K841" s="4">
        <v>0</v>
      </c>
      <c r="L841" s="4">
        <v>0</v>
      </c>
      <c r="M841" s="4">
        <v>1</v>
      </c>
      <c r="N841" s="4">
        <v>0</v>
      </c>
      <c r="O841" s="4">
        <v>0</v>
      </c>
    </row>
    <row r="842" spans="1:15" x14ac:dyDescent="0.15">
      <c r="A842" s="4">
        <v>839</v>
      </c>
      <c r="B842" s="4">
        <v>45</v>
      </c>
      <c r="C842" s="4">
        <v>20</v>
      </c>
      <c r="D842" s="4">
        <v>29</v>
      </c>
      <c r="E842" s="4">
        <v>4</v>
      </c>
      <c r="F842" s="8">
        <v>1.9</v>
      </c>
      <c r="G842" s="4">
        <v>3</v>
      </c>
      <c r="H842" s="4">
        <f t="shared" si="26"/>
        <v>0</v>
      </c>
      <c r="I842" s="4">
        <f t="shared" si="27"/>
        <v>0</v>
      </c>
      <c r="J842" s="4">
        <v>0</v>
      </c>
      <c r="K842" s="4">
        <v>0</v>
      </c>
      <c r="L842" s="4">
        <v>0</v>
      </c>
      <c r="M842" s="4">
        <v>0</v>
      </c>
      <c r="N842" s="4">
        <v>0</v>
      </c>
      <c r="O842" s="4">
        <v>0</v>
      </c>
    </row>
    <row r="843" spans="1:15" x14ac:dyDescent="0.15">
      <c r="A843" s="4">
        <v>840</v>
      </c>
      <c r="B843" s="4">
        <v>39</v>
      </c>
      <c r="C843" s="4">
        <v>15</v>
      </c>
      <c r="D843" s="4">
        <v>79</v>
      </c>
      <c r="E843" s="4">
        <v>4</v>
      </c>
      <c r="F843" s="8">
        <v>2.4</v>
      </c>
      <c r="G843" s="4">
        <v>1</v>
      </c>
      <c r="H843" s="4">
        <f t="shared" si="26"/>
        <v>1</v>
      </c>
      <c r="I843" s="4">
        <f t="shared" si="27"/>
        <v>0</v>
      </c>
      <c r="J843" s="4">
        <v>0</v>
      </c>
      <c r="K843" s="4">
        <v>0</v>
      </c>
      <c r="L843" s="4">
        <v>0</v>
      </c>
      <c r="M843" s="4">
        <v>0</v>
      </c>
      <c r="N843" s="4">
        <v>0</v>
      </c>
      <c r="O843" s="4">
        <v>0</v>
      </c>
    </row>
    <row r="844" spans="1:15" x14ac:dyDescent="0.15">
      <c r="A844" s="4">
        <v>841</v>
      </c>
      <c r="B844" s="4">
        <v>27</v>
      </c>
      <c r="C844" s="4">
        <v>3</v>
      </c>
      <c r="D844" s="4">
        <v>94</v>
      </c>
      <c r="E844" s="4">
        <v>2</v>
      </c>
      <c r="F844" s="8">
        <v>0.2</v>
      </c>
      <c r="G844" s="4">
        <v>1</v>
      </c>
      <c r="H844" s="4">
        <f t="shared" si="26"/>
        <v>1</v>
      </c>
      <c r="I844" s="4">
        <f t="shared" si="27"/>
        <v>0</v>
      </c>
      <c r="J844" s="4">
        <v>310</v>
      </c>
      <c r="K844" s="4">
        <v>0</v>
      </c>
      <c r="L844" s="4">
        <v>0</v>
      </c>
      <c r="M844" s="4">
        <v>0</v>
      </c>
      <c r="N844" s="4">
        <v>1</v>
      </c>
      <c r="O844" s="4">
        <v>0</v>
      </c>
    </row>
    <row r="845" spans="1:15" x14ac:dyDescent="0.15">
      <c r="A845" s="4">
        <v>842</v>
      </c>
      <c r="B845" s="4">
        <v>57</v>
      </c>
      <c r="C845" s="4">
        <v>33</v>
      </c>
      <c r="D845" s="4">
        <v>121</v>
      </c>
      <c r="E845" s="4">
        <v>1</v>
      </c>
      <c r="F845" s="8">
        <v>4.3</v>
      </c>
      <c r="G845" s="4">
        <v>1</v>
      </c>
      <c r="H845" s="4">
        <f t="shared" si="26"/>
        <v>1</v>
      </c>
      <c r="I845" s="4">
        <f t="shared" si="27"/>
        <v>0</v>
      </c>
      <c r="J845" s="4">
        <v>0</v>
      </c>
      <c r="K845" s="4">
        <v>1</v>
      </c>
      <c r="L845" s="4">
        <v>0</v>
      </c>
      <c r="M845" s="4">
        <v>0</v>
      </c>
      <c r="N845" s="4">
        <v>0</v>
      </c>
      <c r="O845" s="4">
        <v>0</v>
      </c>
    </row>
    <row r="846" spans="1:15" x14ac:dyDescent="0.15">
      <c r="A846" s="4">
        <v>843</v>
      </c>
      <c r="B846" s="4">
        <v>34</v>
      </c>
      <c r="C846" s="4">
        <v>10</v>
      </c>
      <c r="D846" s="4">
        <v>54</v>
      </c>
      <c r="E846" s="4">
        <v>3</v>
      </c>
      <c r="F846" s="8">
        <v>2</v>
      </c>
      <c r="G846" s="4">
        <v>1</v>
      </c>
      <c r="H846" s="4">
        <f t="shared" si="26"/>
        <v>1</v>
      </c>
      <c r="I846" s="4">
        <f t="shared" si="27"/>
        <v>0</v>
      </c>
      <c r="J846" s="4">
        <v>0</v>
      </c>
      <c r="K846" s="4">
        <v>0</v>
      </c>
      <c r="L846" s="4">
        <v>0</v>
      </c>
      <c r="M846" s="4">
        <v>0</v>
      </c>
      <c r="N846" s="4">
        <v>0</v>
      </c>
      <c r="O846" s="4">
        <v>0</v>
      </c>
    </row>
    <row r="847" spans="1:15" x14ac:dyDescent="0.15">
      <c r="A847" s="4">
        <v>844</v>
      </c>
      <c r="B847" s="4">
        <v>64</v>
      </c>
      <c r="C847" s="4">
        <v>39</v>
      </c>
      <c r="D847" s="4">
        <v>73</v>
      </c>
      <c r="E847" s="4">
        <v>3</v>
      </c>
      <c r="F847" s="8">
        <v>2.4</v>
      </c>
      <c r="G847" s="4">
        <v>1</v>
      </c>
      <c r="H847" s="4">
        <f t="shared" si="26"/>
        <v>1</v>
      </c>
      <c r="I847" s="4">
        <f t="shared" si="27"/>
        <v>0</v>
      </c>
      <c r="J847" s="4">
        <v>0</v>
      </c>
      <c r="K847" s="4">
        <v>0</v>
      </c>
      <c r="L847" s="4">
        <v>0</v>
      </c>
      <c r="M847" s="4">
        <v>1</v>
      </c>
      <c r="N847" s="4">
        <v>0</v>
      </c>
      <c r="O847" s="4">
        <v>0</v>
      </c>
    </row>
    <row r="848" spans="1:15" x14ac:dyDescent="0.15">
      <c r="A848" s="4">
        <v>845</v>
      </c>
      <c r="B848" s="4">
        <v>47</v>
      </c>
      <c r="C848" s="4">
        <v>23</v>
      </c>
      <c r="D848" s="4">
        <v>71</v>
      </c>
      <c r="E848" s="4">
        <v>1</v>
      </c>
      <c r="F848" s="8">
        <v>0.8</v>
      </c>
      <c r="G848" s="4">
        <v>3</v>
      </c>
      <c r="H848" s="4">
        <f t="shared" si="26"/>
        <v>0</v>
      </c>
      <c r="I848" s="4">
        <f t="shared" si="27"/>
        <v>0</v>
      </c>
      <c r="J848" s="4">
        <v>127</v>
      </c>
      <c r="K848" s="4">
        <v>0</v>
      </c>
      <c r="L848" s="4">
        <v>0</v>
      </c>
      <c r="M848" s="4">
        <v>1</v>
      </c>
      <c r="N848" s="4">
        <v>0</v>
      </c>
      <c r="O848" s="4">
        <v>0</v>
      </c>
    </row>
    <row r="849" spans="1:15" x14ac:dyDescent="0.15">
      <c r="A849" s="4">
        <v>846</v>
      </c>
      <c r="B849" s="4">
        <v>44</v>
      </c>
      <c r="C849" s="4">
        <v>17</v>
      </c>
      <c r="D849" s="4">
        <v>29</v>
      </c>
      <c r="E849" s="4">
        <v>3</v>
      </c>
      <c r="F849" s="8">
        <v>1</v>
      </c>
      <c r="G849" s="4">
        <v>2</v>
      </c>
      <c r="H849" s="4">
        <f t="shared" si="26"/>
        <v>0</v>
      </c>
      <c r="I849" s="4">
        <f t="shared" si="27"/>
        <v>1</v>
      </c>
      <c r="J849" s="4">
        <v>0</v>
      </c>
      <c r="K849" s="4">
        <v>0</v>
      </c>
      <c r="L849" s="4">
        <v>0</v>
      </c>
      <c r="M849" s="4">
        <v>1</v>
      </c>
      <c r="N849" s="4">
        <v>1</v>
      </c>
      <c r="O849" s="4">
        <v>0</v>
      </c>
    </row>
    <row r="850" spans="1:15" x14ac:dyDescent="0.15">
      <c r="A850" s="4">
        <v>847</v>
      </c>
      <c r="B850" s="4">
        <v>51</v>
      </c>
      <c r="C850" s="4">
        <v>27</v>
      </c>
      <c r="D850" s="4">
        <v>93</v>
      </c>
      <c r="E850" s="4">
        <v>1</v>
      </c>
      <c r="F850" s="8">
        <v>2.7</v>
      </c>
      <c r="G850" s="4">
        <v>1</v>
      </c>
      <c r="H850" s="4">
        <f t="shared" si="26"/>
        <v>1</v>
      </c>
      <c r="I850" s="4">
        <f t="shared" si="27"/>
        <v>0</v>
      </c>
      <c r="J850" s="4">
        <v>0</v>
      </c>
      <c r="K850" s="4">
        <v>0</v>
      </c>
      <c r="L850" s="4">
        <v>0</v>
      </c>
      <c r="M850" s="4">
        <v>1</v>
      </c>
      <c r="N850" s="4">
        <v>0</v>
      </c>
      <c r="O850" s="4">
        <v>0</v>
      </c>
    </row>
    <row r="851" spans="1:15" x14ac:dyDescent="0.15">
      <c r="A851" s="4">
        <v>848</v>
      </c>
      <c r="B851" s="4">
        <v>40</v>
      </c>
      <c r="C851" s="4">
        <v>14</v>
      </c>
      <c r="D851" s="4">
        <v>73</v>
      </c>
      <c r="E851" s="4">
        <v>1</v>
      </c>
      <c r="F851" s="8">
        <v>1.5</v>
      </c>
      <c r="G851" s="4">
        <v>3</v>
      </c>
      <c r="H851" s="4">
        <f t="shared" si="26"/>
        <v>0</v>
      </c>
      <c r="I851" s="4">
        <f t="shared" si="27"/>
        <v>0</v>
      </c>
      <c r="J851" s="4">
        <v>252</v>
      </c>
      <c r="K851" s="4">
        <v>0</v>
      </c>
      <c r="L851" s="4">
        <v>0</v>
      </c>
      <c r="M851" s="4">
        <v>1</v>
      </c>
      <c r="N851" s="4">
        <v>0</v>
      </c>
      <c r="O851" s="4">
        <v>0</v>
      </c>
    </row>
    <row r="852" spans="1:15" x14ac:dyDescent="0.15">
      <c r="A852" s="4">
        <v>849</v>
      </c>
      <c r="B852" s="4">
        <v>57</v>
      </c>
      <c r="C852" s="4">
        <v>32</v>
      </c>
      <c r="D852" s="4">
        <v>19</v>
      </c>
      <c r="E852" s="4">
        <v>4</v>
      </c>
      <c r="F852" s="8">
        <v>0.9</v>
      </c>
      <c r="G852" s="4">
        <v>2</v>
      </c>
      <c r="H852" s="4">
        <f t="shared" si="26"/>
        <v>0</v>
      </c>
      <c r="I852" s="4">
        <f t="shared" si="27"/>
        <v>1</v>
      </c>
      <c r="J852" s="4">
        <v>0</v>
      </c>
      <c r="K852" s="4">
        <v>0</v>
      </c>
      <c r="L852" s="4">
        <v>0</v>
      </c>
      <c r="M852" s="4">
        <v>1</v>
      </c>
      <c r="N852" s="4">
        <v>0</v>
      </c>
      <c r="O852" s="4">
        <v>0</v>
      </c>
    </row>
    <row r="853" spans="1:15" x14ac:dyDescent="0.15">
      <c r="A853" s="4">
        <v>850</v>
      </c>
      <c r="B853" s="4">
        <v>33</v>
      </c>
      <c r="C853" s="4">
        <v>8</v>
      </c>
      <c r="D853" s="4">
        <v>58</v>
      </c>
      <c r="E853" s="4">
        <v>2</v>
      </c>
      <c r="F853" s="8">
        <v>0.1</v>
      </c>
      <c r="G853" s="4">
        <v>1</v>
      </c>
      <c r="H853" s="4">
        <f t="shared" si="26"/>
        <v>1</v>
      </c>
      <c r="I853" s="4">
        <f t="shared" si="27"/>
        <v>0</v>
      </c>
      <c r="J853" s="4">
        <v>0</v>
      </c>
      <c r="K853" s="4">
        <v>1</v>
      </c>
      <c r="L853" s="4">
        <v>1</v>
      </c>
      <c r="M853" s="4">
        <v>1</v>
      </c>
      <c r="N853" s="4">
        <v>1</v>
      </c>
      <c r="O853" s="4">
        <v>0</v>
      </c>
    </row>
    <row r="854" spans="1:15" x14ac:dyDescent="0.15">
      <c r="A854" s="4">
        <v>851</v>
      </c>
      <c r="B854" s="4">
        <v>46</v>
      </c>
      <c r="C854" s="4">
        <v>20</v>
      </c>
      <c r="D854" s="4">
        <v>39</v>
      </c>
      <c r="E854" s="4">
        <v>1</v>
      </c>
      <c r="F854" s="8">
        <v>0.2</v>
      </c>
      <c r="G854" s="4">
        <v>1</v>
      </c>
      <c r="H854" s="4">
        <f t="shared" si="26"/>
        <v>1</v>
      </c>
      <c r="I854" s="4">
        <f t="shared" si="27"/>
        <v>0</v>
      </c>
      <c r="J854" s="4">
        <v>0</v>
      </c>
      <c r="K854" s="4">
        <v>0</v>
      </c>
      <c r="L854" s="4">
        <v>0</v>
      </c>
      <c r="M854" s="4">
        <v>0</v>
      </c>
      <c r="N854" s="4">
        <v>0</v>
      </c>
      <c r="O854" s="4">
        <v>0</v>
      </c>
    </row>
    <row r="855" spans="1:15" x14ac:dyDescent="0.15">
      <c r="A855" s="4">
        <v>852</v>
      </c>
      <c r="B855" s="4">
        <v>41</v>
      </c>
      <c r="C855" s="4">
        <v>16</v>
      </c>
      <c r="D855" s="4">
        <v>23</v>
      </c>
      <c r="E855" s="4">
        <v>2</v>
      </c>
      <c r="F855" s="8">
        <v>1.4</v>
      </c>
      <c r="G855" s="4">
        <v>2</v>
      </c>
      <c r="H855" s="4">
        <f t="shared" si="26"/>
        <v>0</v>
      </c>
      <c r="I855" s="4">
        <f t="shared" si="27"/>
        <v>1</v>
      </c>
      <c r="J855" s="4">
        <v>0</v>
      </c>
      <c r="K855" s="4">
        <v>1</v>
      </c>
      <c r="L855" s="4">
        <v>0</v>
      </c>
      <c r="M855" s="4">
        <v>1</v>
      </c>
      <c r="N855" s="4">
        <v>0</v>
      </c>
      <c r="O855" s="4">
        <v>0</v>
      </c>
    </row>
    <row r="856" spans="1:15" x14ac:dyDescent="0.15">
      <c r="A856" s="4">
        <v>853</v>
      </c>
      <c r="B856" s="4">
        <v>33</v>
      </c>
      <c r="C856" s="4">
        <v>7</v>
      </c>
      <c r="D856" s="4">
        <v>29</v>
      </c>
      <c r="E856" s="4">
        <v>1</v>
      </c>
      <c r="F856" s="8">
        <v>0.6</v>
      </c>
      <c r="G856" s="4">
        <v>3</v>
      </c>
      <c r="H856" s="4">
        <f t="shared" si="26"/>
        <v>0</v>
      </c>
      <c r="I856" s="4">
        <f t="shared" si="27"/>
        <v>0</v>
      </c>
      <c r="J856" s="4">
        <v>127</v>
      </c>
      <c r="K856" s="4">
        <v>0</v>
      </c>
      <c r="L856" s="4">
        <v>0</v>
      </c>
      <c r="M856" s="4">
        <v>0</v>
      </c>
      <c r="N856" s="4">
        <v>1</v>
      </c>
      <c r="O856" s="4">
        <v>0</v>
      </c>
    </row>
    <row r="857" spans="1:15" x14ac:dyDescent="0.15">
      <c r="A857" s="4">
        <v>854</v>
      </c>
      <c r="B857" s="4">
        <v>27</v>
      </c>
      <c r="C857" s="4">
        <v>2</v>
      </c>
      <c r="D857" s="4">
        <v>155</v>
      </c>
      <c r="E857" s="4">
        <v>1</v>
      </c>
      <c r="F857" s="8">
        <v>0.8</v>
      </c>
      <c r="G857" s="4">
        <v>1</v>
      </c>
      <c r="H857" s="4">
        <f t="shared" si="26"/>
        <v>1</v>
      </c>
      <c r="I857" s="4">
        <f t="shared" si="27"/>
        <v>0</v>
      </c>
      <c r="J857" s="4">
        <v>0</v>
      </c>
      <c r="K857" s="4">
        <v>0</v>
      </c>
      <c r="L857" s="4">
        <v>0</v>
      </c>
      <c r="M857" s="4">
        <v>0</v>
      </c>
      <c r="N857" s="4">
        <v>0</v>
      </c>
      <c r="O857" s="4">
        <v>0</v>
      </c>
    </row>
    <row r="858" spans="1:15" x14ac:dyDescent="0.15">
      <c r="A858" s="4">
        <v>855</v>
      </c>
      <c r="B858" s="4">
        <v>52</v>
      </c>
      <c r="C858" s="4">
        <v>28</v>
      </c>
      <c r="D858" s="4">
        <v>90</v>
      </c>
      <c r="E858" s="4">
        <v>1</v>
      </c>
      <c r="F858" s="8">
        <v>2.6</v>
      </c>
      <c r="G858" s="4">
        <v>2</v>
      </c>
      <c r="H858" s="4">
        <f t="shared" si="26"/>
        <v>0</v>
      </c>
      <c r="I858" s="4">
        <f t="shared" si="27"/>
        <v>1</v>
      </c>
      <c r="J858" s="4">
        <v>0</v>
      </c>
      <c r="K858" s="4">
        <v>1</v>
      </c>
      <c r="L858" s="4">
        <v>0</v>
      </c>
      <c r="M858" s="4">
        <v>1</v>
      </c>
      <c r="N858" s="4">
        <v>0</v>
      </c>
      <c r="O858" s="4">
        <v>0</v>
      </c>
    </row>
    <row r="859" spans="1:15" x14ac:dyDescent="0.15">
      <c r="A859" s="4">
        <v>856</v>
      </c>
      <c r="B859" s="4">
        <v>59</v>
      </c>
      <c r="C859" s="4">
        <v>33</v>
      </c>
      <c r="D859" s="4">
        <v>113</v>
      </c>
      <c r="E859" s="4">
        <v>2</v>
      </c>
      <c r="F859" s="8">
        <v>2</v>
      </c>
      <c r="G859" s="4">
        <v>1</v>
      </c>
      <c r="H859" s="4">
        <f t="shared" si="26"/>
        <v>1</v>
      </c>
      <c r="I859" s="4">
        <f t="shared" si="27"/>
        <v>0</v>
      </c>
      <c r="J859" s="4">
        <v>77</v>
      </c>
      <c r="K859" s="4">
        <v>0</v>
      </c>
      <c r="L859" s="4">
        <v>0</v>
      </c>
      <c r="M859" s="4">
        <v>1</v>
      </c>
      <c r="N859" s="4">
        <v>0</v>
      </c>
      <c r="O859" s="4">
        <v>0</v>
      </c>
    </row>
    <row r="860" spans="1:15" x14ac:dyDescent="0.15">
      <c r="A860" s="4">
        <v>857</v>
      </c>
      <c r="B860" s="4">
        <v>62</v>
      </c>
      <c r="C860" s="4">
        <v>38</v>
      </c>
      <c r="D860" s="4">
        <v>42</v>
      </c>
      <c r="E860" s="4">
        <v>1</v>
      </c>
      <c r="F860" s="8">
        <v>1.8</v>
      </c>
      <c r="G860" s="4">
        <v>3</v>
      </c>
      <c r="H860" s="4">
        <f t="shared" si="26"/>
        <v>0</v>
      </c>
      <c r="I860" s="4">
        <f t="shared" si="27"/>
        <v>0</v>
      </c>
      <c r="J860" s="4">
        <v>0</v>
      </c>
      <c r="K860" s="4">
        <v>0</v>
      </c>
      <c r="L860" s="4">
        <v>0</v>
      </c>
      <c r="M860" s="4">
        <v>0</v>
      </c>
      <c r="N860" s="4">
        <v>0</v>
      </c>
      <c r="O860" s="4">
        <v>0</v>
      </c>
    </row>
    <row r="861" spans="1:15" x14ac:dyDescent="0.15">
      <c r="A861" s="4">
        <v>858</v>
      </c>
      <c r="B861" s="4">
        <v>49</v>
      </c>
      <c r="C861" s="4">
        <v>25</v>
      </c>
      <c r="D861" s="4">
        <v>30</v>
      </c>
      <c r="E861" s="4">
        <v>4</v>
      </c>
      <c r="F861" s="8">
        <v>0.2</v>
      </c>
      <c r="G861" s="4">
        <v>1</v>
      </c>
      <c r="H861" s="4">
        <f t="shared" si="26"/>
        <v>1</v>
      </c>
      <c r="I861" s="4">
        <f t="shared" si="27"/>
        <v>0</v>
      </c>
      <c r="J861" s="4">
        <v>0</v>
      </c>
      <c r="K861" s="4">
        <v>0</v>
      </c>
      <c r="L861" s="4">
        <v>1</v>
      </c>
      <c r="M861" s="4">
        <v>1</v>
      </c>
      <c r="N861" s="4">
        <v>1</v>
      </c>
      <c r="O861" s="4">
        <v>0</v>
      </c>
    </row>
    <row r="862" spans="1:15" x14ac:dyDescent="0.15">
      <c r="A862" s="4">
        <v>859</v>
      </c>
      <c r="B862" s="4">
        <v>45</v>
      </c>
      <c r="C862" s="4">
        <v>19</v>
      </c>
      <c r="D862" s="4">
        <v>19</v>
      </c>
      <c r="E862" s="4">
        <v>3</v>
      </c>
      <c r="F862" s="8">
        <v>0.5</v>
      </c>
      <c r="G862" s="4">
        <v>2</v>
      </c>
      <c r="H862" s="4">
        <f t="shared" si="26"/>
        <v>0</v>
      </c>
      <c r="I862" s="4">
        <f t="shared" si="27"/>
        <v>1</v>
      </c>
      <c r="J862" s="4">
        <v>0</v>
      </c>
      <c r="K862" s="4">
        <v>0</v>
      </c>
      <c r="L862" s="4">
        <v>0</v>
      </c>
      <c r="M862" s="4">
        <v>1</v>
      </c>
      <c r="N862" s="4">
        <v>0</v>
      </c>
      <c r="O862" s="4">
        <v>0</v>
      </c>
    </row>
    <row r="863" spans="1:15" x14ac:dyDescent="0.15">
      <c r="A863" s="4">
        <v>860</v>
      </c>
      <c r="B863" s="4">
        <v>63</v>
      </c>
      <c r="C863" s="4">
        <v>37</v>
      </c>
      <c r="D863" s="4">
        <v>124</v>
      </c>
      <c r="E863" s="4">
        <v>3</v>
      </c>
      <c r="F863" s="8">
        <v>5</v>
      </c>
      <c r="G863" s="4">
        <v>2</v>
      </c>
      <c r="H863" s="4">
        <f t="shared" si="26"/>
        <v>0</v>
      </c>
      <c r="I863" s="4">
        <f t="shared" si="27"/>
        <v>1</v>
      </c>
      <c r="J863" s="4">
        <v>170</v>
      </c>
      <c r="K863" s="4">
        <v>0</v>
      </c>
      <c r="L863" s="4">
        <v>0</v>
      </c>
      <c r="M863" s="4">
        <v>0</v>
      </c>
      <c r="N863" s="4">
        <v>0</v>
      </c>
      <c r="O863" s="4">
        <v>1</v>
      </c>
    </row>
    <row r="864" spans="1:15" x14ac:dyDescent="0.15">
      <c r="A864" s="4">
        <v>861</v>
      </c>
      <c r="B864" s="4">
        <v>57</v>
      </c>
      <c r="C864" s="4">
        <v>31</v>
      </c>
      <c r="D864" s="4">
        <v>30</v>
      </c>
      <c r="E864" s="4">
        <v>2</v>
      </c>
      <c r="F864" s="8">
        <v>0.7</v>
      </c>
      <c r="G864" s="4">
        <v>2</v>
      </c>
      <c r="H864" s="4">
        <f t="shared" si="26"/>
        <v>0</v>
      </c>
      <c r="I864" s="4">
        <f t="shared" si="27"/>
        <v>1</v>
      </c>
      <c r="J864" s="4">
        <v>145</v>
      </c>
      <c r="K864" s="4">
        <v>0</v>
      </c>
      <c r="L864" s="4">
        <v>0</v>
      </c>
      <c r="M864" s="4">
        <v>0</v>
      </c>
      <c r="N864" s="4">
        <v>0</v>
      </c>
      <c r="O864" s="4">
        <v>0</v>
      </c>
    </row>
    <row r="865" spans="1:15" x14ac:dyDescent="0.15">
      <c r="A865" s="4">
        <v>862</v>
      </c>
      <c r="B865" s="4">
        <v>60</v>
      </c>
      <c r="C865" s="4">
        <v>30</v>
      </c>
      <c r="D865" s="4">
        <v>28</v>
      </c>
      <c r="E865" s="4">
        <v>1</v>
      </c>
      <c r="F865" s="8">
        <v>1.5</v>
      </c>
      <c r="G865" s="4">
        <v>3</v>
      </c>
      <c r="H865" s="4">
        <f t="shared" si="26"/>
        <v>0</v>
      </c>
      <c r="I865" s="4">
        <f t="shared" si="27"/>
        <v>0</v>
      </c>
      <c r="J865" s="4">
        <v>124</v>
      </c>
      <c r="K865" s="4">
        <v>1</v>
      </c>
      <c r="L865" s="4">
        <v>0</v>
      </c>
      <c r="M865" s="4">
        <v>1</v>
      </c>
      <c r="N865" s="4">
        <v>0</v>
      </c>
      <c r="O865" s="4">
        <v>0</v>
      </c>
    </row>
    <row r="866" spans="1:15" x14ac:dyDescent="0.15">
      <c r="A866" s="4">
        <v>863</v>
      </c>
      <c r="B866" s="4">
        <v>50</v>
      </c>
      <c r="C866" s="4">
        <v>23</v>
      </c>
      <c r="D866" s="4">
        <v>15</v>
      </c>
      <c r="E866" s="4">
        <v>2</v>
      </c>
      <c r="F866" s="8">
        <v>1</v>
      </c>
      <c r="G866" s="4">
        <v>2</v>
      </c>
      <c r="H866" s="4">
        <f t="shared" si="26"/>
        <v>0</v>
      </c>
      <c r="I866" s="4">
        <f t="shared" si="27"/>
        <v>1</v>
      </c>
      <c r="J866" s="4">
        <v>101</v>
      </c>
      <c r="K866" s="4">
        <v>0</v>
      </c>
      <c r="L866" s="4">
        <v>0</v>
      </c>
      <c r="M866" s="4">
        <v>0</v>
      </c>
      <c r="N866" s="4">
        <v>0</v>
      </c>
      <c r="O866" s="4">
        <v>0</v>
      </c>
    </row>
    <row r="867" spans="1:15" x14ac:dyDescent="0.15">
      <c r="A867" s="4">
        <v>864</v>
      </c>
      <c r="B867" s="4">
        <v>54</v>
      </c>
      <c r="C867" s="4">
        <v>30</v>
      </c>
      <c r="D867" s="4">
        <v>70</v>
      </c>
      <c r="E867" s="4">
        <v>1</v>
      </c>
      <c r="F867" s="8">
        <v>1.6</v>
      </c>
      <c r="G867" s="4">
        <v>3</v>
      </c>
      <c r="H867" s="4">
        <f t="shared" si="26"/>
        <v>0</v>
      </c>
      <c r="I867" s="4">
        <f t="shared" si="27"/>
        <v>0</v>
      </c>
      <c r="J867" s="4">
        <v>265</v>
      </c>
      <c r="K867" s="4">
        <v>0</v>
      </c>
      <c r="L867" s="4">
        <v>0</v>
      </c>
      <c r="M867" s="4">
        <v>0</v>
      </c>
      <c r="N867" s="4">
        <v>0</v>
      </c>
      <c r="O867" s="4">
        <v>0</v>
      </c>
    </row>
    <row r="868" spans="1:15" x14ac:dyDescent="0.15">
      <c r="A868" s="4">
        <v>865</v>
      </c>
      <c r="B868" s="4">
        <v>28</v>
      </c>
      <c r="C868" s="4">
        <v>2</v>
      </c>
      <c r="D868" s="4">
        <v>10</v>
      </c>
      <c r="E868" s="4">
        <v>1</v>
      </c>
      <c r="F868" s="8">
        <v>0.1</v>
      </c>
      <c r="G868" s="4">
        <v>2</v>
      </c>
      <c r="H868" s="4">
        <f t="shared" si="26"/>
        <v>0</v>
      </c>
      <c r="I868" s="4">
        <f t="shared" si="27"/>
        <v>1</v>
      </c>
      <c r="J868" s="4">
        <v>0</v>
      </c>
      <c r="K868" s="4">
        <v>0</v>
      </c>
      <c r="L868" s="4">
        <v>0</v>
      </c>
      <c r="M868" s="4">
        <v>1</v>
      </c>
      <c r="N868" s="4">
        <v>0</v>
      </c>
      <c r="O868" s="4">
        <v>0</v>
      </c>
    </row>
    <row r="869" spans="1:15" x14ac:dyDescent="0.15">
      <c r="A869" s="4">
        <v>866</v>
      </c>
      <c r="B869" s="4">
        <v>60</v>
      </c>
      <c r="C869" s="4">
        <v>34</v>
      </c>
      <c r="D869" s="4">
        <v>22</v>
      </c>
      <c r="E869" s="4">
        <v>3</v>
      </c>
      <c r="F869" s="8">
        <v>0.3</v>
      </c>
      <c r="G869" s="4">
        <v>3</v>
      </c>
      <c r="H869" s="4">
        <f t="shared" si="26"/>
        <v>0</v>
      </c>
      <c r="I869" s="4">
        <f t="shared" si="27"/>
        <v>0</v>
      </c>
      <c r="J869" s="4">
        <v>139</v>
      </c>
      <c r="K869" s="4">
        <v>0</v>
      </c>
      <c r="L869" s="4">
        <v>0</v>
      </c>
      <c r="M869" s="4">
        <v>1</v>
      </c>
      <c r="N869" s="4">
        <v>1</v>
      </c>
      <c r="O869" s="4">
        <v>0</v>
      </c>
    </row>
    <row r="870" spans="1:15" x14ac:dyDescent="0.15">
      <c r="A870" s="4">
        <v>867</v>
      </c>
      <c r="B870" s="4">
        <v>44</v>
      </c>
      <c r="C870" s="4">
        <v>20</v>
      </c>
      <c r="D870" s="4">
        <v>70</v>
      </c>
      <c r="E870" s="4">
        <v>4</v>
      </c>
      <c r="F870" s="8">
        <v>1.9</v>
      </c>
      <c r="G870" s="4">
        <v>1</v>
      </c>
      <c r="H870" s="4">
        <f t="shared" si="26"/>
        <v>1</v>
      </c>
      <c r="I870" s="4">
        <f t="shared" si="27"/>
        <v>0</v>
      </c>
      <c r="J870" s="4">
        <v>0</v>
      </c>
      <c r="K870" s="4">
        <v>0</v>
      </c>
      <c r="L870" s="4">
        <v>0</v>
      </c>
      <c r="M870" s="4">
        <v>1</v>
      </c>
      <c r="N870" s="4">
        <v>0</v>
      </c>
      <c r="O870" s="4">
        <v>0</v>
      </c>
    </row>
    <row r="871" spans="1:15" x14ac:dyDescent="0.15">
      <c r="A871" s="4">
        <v>868</v>
      </c>
      <c r="B871" s="4">
        <v>61</v>
      </c>
      <c r="C871" s="4">
        <v>35</v>
      </c>
      <c r="D871" s="4">
        <v>61</v>
      </c>
      <c r="E871" s="4">
        <v>1</v>
      </c>
      <c r="F871" s="8">
        <v>1.6</v>
      </c>
      <c r="G871" s="4">
        <v>1</v>
      </c>
      <c r="H871" s="4">
        <f t="shared" si="26"/>
        <v>1</v>
      </c>
      <c r="I871" s="4">
        <f t="shared" si="27"/>
        <v>0</v>
      </c>
      <c r="J871" s="4">
        <v>0</v>
      </c>
      <c r="K871" s="4">
        <v>0</v>
      </c>
      <c r="L871" s="4">
        <v>0</v>
      </c>
      <c r="M871" s="4">
        <v>0</v>
      </c>
      <c r="N871" s="4">
        <v>0</v>
      </c>
      <c r="O871" s="4">
        <v>0</v>
      </c>
    </row>
    <row r="872" spans="1:15" x14ac:dyDescent="0.15">
      <c r="A872" s="4">
        <v>869</v>
      </c>
      <c r="B872" s="4">
        <v>40</v>
      </c>
      <c r="C872" s="4">
        <v>15</v>
      </c>
      <c r="D872" s="4">
        <v>161</v>
      </c>
      <c r="E872" s="4">
        <v>2</v>
      </c>
      <c r="F872" s="8">
        <v>3.3</v>
      </c>
      <c r="G872" s="4">
        <v>1</v>
      </c>
      <c r="H872" s="4">
        <f t="shared" si="26"/>
        <v>1</v>
      </c>
      <c r="I872" s="4">
        <f t="shared" si="27"/>
        <v>0</v>
      </c>
      <c r="J872" s="4">
        <v>0</v>
      </c>
      <c r="K872" s="4">
        <v>1</v>
      </c>
      <c r="L872" s="4">
        <v>0</v>
      </c>
      <c r="M872" s="4">
        <v>0</v>
      </c>
      <c r="N872" s="4">
        <v>1</v>
      </c>
      <c r="O872" s="4">
        <v>0</v>
      </c>
    </row>
    <row r="873" spans="1:15" x14ac:dyDescent="0.15">
      <c r="A873" s="4">
        <v>870</v>
      </c>
      <c r="B873" s="4">
        <v>54</v>
      </c>
      <c r="C873" s="4">
        <v>30</v>
      </c>
      <c r="D873" s="4">
        <v>29</v>
      </c>
      <c r="E873" s="4">
        <v>2</v>
      </c>
      <c r="F873" s="8">
        <v>0.8</v>
      </c>
      <c r="G873" s="4">
        <v>1</v>
      </c>
      <c r="H873" s="4">
        <f t="shared" si="26"/>
        <v>1</v>
      </c>
      <c r="I873" s="4">
        <f t="shared" si="27"/>
        <v>0</v>
      </c>
      <c r="J873" s="4">
        <v>0</v>
      </c>
      <c r="K873" s="4">
        <v>0</v>
      </c>
      <c r="L873" s="4">
        <v>0</v>
      </c>
      <c r="M873" s="4">
        <v>0</v>
      </c>
      <c r="N873" s="4">
        <v>1</v>
      </c>
      <c r="O873" s="4">
        <v>0</v>
      </c>
    </row>
    <row r="874" spans="1:15" x14ac:dyDescent="0.15">
      <c r="A874" s="4">
        <v>871</v>
      </c>
      <c r="B874" s="4">
        <v>43</v>
      </c>
      <c r="C874" s="4">
        <v>19</v>
      </c>
      <c r="D874" s="4">
        <v>35</v>
      </c>
      <c r="E874" s="4">
        <v>3</v>
      </c>
      <c r="F874" s="8">
        <v>0.5</v>
      </c>
      <c r="G874" s="4">
        <v>1</v>
      </c>
      <c r="H874" s="4">
        <f t="shared" si="26"/>
        <v>1</v>
      </c>
      <c r="I874" s="4">
        <f t="shared" si="27"/>
        <v>0</v>
      </c>
      <c r="J874" s="4">
        <v>0</v>
      </c>
      <c r="K874" s="4">
        <v>0</v>
      </c>
      <c r="L874" s="4">
        <v>0</v>
      </c>
      <c r="M874" s="4">
        <v>1</v>
      </c>
      <c r="N874" s="4">
        <v>0</v>
      </c>
      <c r="O874" s="4">
        <v>0</v>
      </c>
    </row>
    <row r="875" spans="1:15" x14ac:dyDescent="0.15">
      <c r="A875" s="4">
        <v>872</v>
      </c>
      <c r="B875" s="4">
        <v>54</v>
      </c>
      <c r="C875" s="4">
        <v>28</v>
      </c>
      <c r="D875" s="4">
        <v>48</v>
      </c>
      <c r="E875" s="4">
        <v>4</v>
      </c>
      <c r="F875" s="8">
        <v>2.8</v>
      </c>
      <c r="G875" s="4">
        <v>2</v>
      </c>
      <c r="H875" s="4">
        <f t="shared" si="26"/>
        <v>0</v>
      </c>
      <c r="I875" s="4">
        <f t="shared" si="27"/>
        <v>1</v>
      </c>
      <c r="J875" s="4">
        <v>0</v>
      </c>
      <c r="K875" s="4">
        <v>0</v>
      </c>
      <c r="L875" s="4">
        <v>0</v>
      </c>
      <c r="M875" s="4">
        <v>1</v>
      </c>
      <c r="N875" s="4">
        <v>0</v>
      </c>
      <c r="O875" s="4">
        <v>0</v>
      </c>
    </row>
    <row r="876" spans="1:15" x14ac:dyDescent="0.15">
      <c r="A876" s="4">
        <v>873</v>
      </c>
      <c r="B876" s="4">
        <v>32</v>
      </c>
      <c r="C876" s="4">
        <v>7</v>
      </c>
      <c r="D876" s="4">
        <v>44</v>
      </c>
      <c r="E876" s="4">
        <v>4</v>
      </c>
      <c r="F876" s="8">
        <v>0.8</v>
      </c>
      <c r="G876" s="4">
        <v>1</v>
      </c>
      <c r="H876" s="4">
        <f t="shared" si="26"/>
        <v>1</v>
      </c>
      <c r="I876" s="4">
        <f t="shared" si="27"/>
        <v>0</v>
      </c>
      <c r="J876" s="4">
        <v>0</v>
      </c>
      <c r="K876" s="4">
        <v>0</v>
      </c>
      <c r="L876" s="4">
        <v>0</v>
      </c>
      <c r="M876" s="4">
        <v>1</v>
      </c>
      <c r="N876" s="4">
        <v>0</v>
      </c>
      <c r="O876" s="4">
        <v>0</v>
      </c>
    </row>
    <row r="877" spans="1:15" x14ac:dyDescent="0.15">
      <c r="A877" s="4">
        <v>874</v>
      </c>
      <c r="B877" s="4">
        <v>24</v>
      </c>
      <c r="C877" s="4">
        <v>0</v>
      </c>
      <c r="D877" s="4">
        <v>88</v>
      </c>
      <c r="E877" s="4">
        <v>3</v>
      </c>
      <c r="F877" s="8">
        <v>0.8</v>
      </c>
      <c r="G877" s="4">
        <v>1</v>
      </c>
      <c r="H877" s="4">
        <f t="shared" si="26"/>
        <v>1</v>
      </c>
      <c r="I877" s="4">
        <f t="shared" si="27"/>
        <v>0</v>
      </c>
      <c r="J877" s="4">
        <v>134</v>
      </c>
      <c r="K877" s="4">
        <v>0</v>
      </c>
      <c r="L877" s="4">
        <v>0</v>
      </c>
      <c r="M877" s="4">
        <v>0</v>
      </c>
      <c r="N877" s="4">
        <v>0</v>
      </c>
      <c r="O877" s="4">
        <v>0</v>
      </c>
    </row>
    <row r="878" spans="1:15" x14ac:dyDescent="0.15">
      <c r="A878" s="4">
        <v>875</v>
      </c>
      <c r="B878" s="4">
        <v>30</v>
      </c>
      <c r="C878" s="4">
        <v>4</v>
      </c>
      <c r="D878" s="4">
        <v>40</v>
      </c>
      <c r="E878" s="4">
        <v>4</v>
      </c>
      <c r="F878" s="8">
        <v>2.1</v>
      </c>
      <c r="G878" s="4">
        <v>3</v>
      </c>
      <c r="H878" s="4">
        <f t="shared" si="26"/>
        <v>0</v>
      </c>
      <c r="I878" s="4">
        <f t="shared" si="27"/>
        <v>0</v>
      </c>
      <c r="J878" s="4">
        <v>0</v>
      </c>
      <c r="K878" s="4">
        <v>0</v>
      </c>
      <c r="L878" s="4">
        <v>0</v>
      </c>
      <c r="M878" s="4">
        <v>1</v>
      </c>
      <c r="N878" s="4">
        <v>1</v>
      </c>
      <c r="O878" s="4">
        <v>0</v>
      </c>
    </row>
    <row r="879" spans="1:15" x14ac:dyDescent="0.15">
      <c r="A879" s="4">
        <v>876</v>
      </c>
      <c r="B879" s="4">
        <v>61</v>
      </c>
      <c r="C879" s="4">
        <v>36</v>
      </c>
      <c r="D879" s="4">
        <v>21</v>
      </c>
      <c r="E879" s="4">
        <v>4</v>
      </c>
      <c r="F879" s="8">
        <v>0.4</v>
      </c>
      <c r="G879" s="4">
        <v>2</v>
      </c>
      <c r="H879" s="4">
        <f t="shared" si="26"/>
        <v>0</v>
      </c>
      <c r="I879" s="4">
        <f t="shared" si="27"/>
        <v>1</v>
      </c>
      <c r="J879" s="4">
        <v>123</v>
      </c>
      <c r="K879" s="4">
        <v>0</v>
      </c>
      <c r="L879" s="4">
        <v>0</v>
      </c>
      <c r="M879" s="4">
        <v>0</v>
      </c>
      <c r="N879" s="4">
        <v>0</v>
      </c>
      <c r="O879" s="4">
        <v>0</v>
      </c>
    </row>
    <row r="880" spans="1:15" x14ac:dyDescent="0.15">
      <c r="A880" s="4">
        <v>877</v>
      </c>
      <c r="B880" s="4">
        <v>40</v>
      </c>
      <c r="C880" s="4">
        <v>14</v>
      </c>
      <c r="D880" s="4">
        <v>58</v>
      </c>
      <c r="E880" s="4">
        <v>2</v>
      </c>
      <c r="F880" s="8">
        <v>2.8</v>
      </c>
      <c r="G880" s="4">
        <v>1</v>
      </c>
      <c r="H880" s="4">
        <f t="shared" si="26"/>
        <v>1</v>
      </c>
      <c r="I880" s="4">
        <f t="shared" si="27"/>
        <v>0</v>
      </c>
      <c r="J880" s="4">
        <v>0</v>
      </c>
      <c r="K880" s="4">
        <v>0</v>
      </c>
      <c r="L880" s="4">
        <v>0</v>
      </c>
      <c r="M880" s="4">
        <v>1</v>
      </c>
      <c r="N880" s="4">
        <v>0</v>
      </c>
      <c r="O880" s="4">
        <v>0</v>
      </c>
    </row>
    <row r="881" spans="1:15" x14ac:dyDescent="0.15">
      <c r="A881" s="4">
        <v>878</v>
      </c>
      <c r="B881" s="4">
        <v>35</v>
      </c>
      <c r="C881" s="4">
        <v>11</v>
      </c>
      <c r="D881" s="4">
        <v>59</v>
      </c>
      <c r="E881" s="4">
        <v>4</v>
      </c>
      <c r="F881" s="8">
        <v>0.1</v>
      </c>
      <c r="G881" s="4">
        <v>2</v>
      </c>
      <c r="H881" s="4">
        <f t="shared" si="26"/>
        <v>0</v>
      </c>
      <c r="I881" s="4">
        <f t="shared" si="27"/>
        <v>1</v>
      </c>
      <c r="J881" s="4">
        <v>0</v>
      </c>
      <c r="K881" s="4">
        <v>0</v>
      </c>
      <c r="L881" s="4">
        <v>0</v>
      </c>
      <c r="M881" s="4">
        <v>0</v>
      </c>
      <c r="N881" s="4">
        <v>0</v>
      </c>
      <c r="O881" s="4">
        <v>0</v>
      </c>
    </row>
    <row r="882" spans="1:15" x14ac:dyDescent="0.15">
      <c r="A882" s="4">
        <v>879</v>
      </c>
      <c r="B882" s="4">
        <v>33</v>
      </c>
      <c r="C882" s="4">
        <v>3</v>
      </c>
      <c r="D882" s="4">
        <v>74</v>
      </c>
      <c r="E882" s="4">
        <v>4</v>
      </c>
      <c r="F882" s="8">
        <v>4</v>
      </c>
      <c r="G882" s="4">
        <v>3</v>
      </c>
      <c r="H882" s="4">
        <f t="shared" si="26"/>
        <v>0</v>
      </c>
      <c r="I882" s="4">
        <f t="shared" si="27"/>
        <v>0</v>
      </c>
      <c r="J882" s="4">
        <v>0</v>
      </c>
      <c r="K882" s="4">
        <v>0</v>
      </c>
      <c r="L882" s="4">
        <v>0</v>
      </c>
      <c r="M882" s="4">
        <v>0</v>
      </c>
      <c r="N882" s="4">
        <v>0</v>
      </c>
      <c r="O882" s="4">
        <v>0</v>
      </c>
    </row>
    <row r="883" spans="1:15" x14ac:dyDescent="0.15">
      <c r="A883" s="4">
        <v>880</v>
      </c>
      <c r="B883" s="4">
        <v>63</v>
      </c>
      <c r="C883" s="4">
        <v>37</v>
      </c>
      <c r="D883" s="4">
        <v>84</v>
      </c>
      <c r="E883" s="4">
        <v>4</v>
      </c>
      <c r="F883" s="8">
        <v>1.9</v>
      </c>
      <c r="G883" s="4">
        <v>2</v>
      </c>
      <c r="H883" s="4">
        <f t="shared" si="26"/>
        <v>0</v>
      </c>
      <c r="I883" s="4">
        <f t="shared" si="27"/>
        <v>1</v>
      </c>
      <c r="J883" s="4">
        <v>0</v>
      </c>
      <c r="K883" s="4">
        <v>0</v>
      </c>
      <c r="L883" s="4">
        <v>0</v>
      </c>
      <c r="M883" s="4">
        <v>1</v>
      </c>
      <c r="N883" s="4">
        <v>0</v>
      </c>
      <c r="O883" s="4">
        <v>0</v>
      </c>
    </row>
    <row r="884" spans="1:15" x14ac:dyDescent="0.15">
      <c r="A884" s="4">
        <v>881</v>
      </c>
      <c r="B884" s="4">
        <v>57</v>
      </c>
      <c r="C884" s="4">
        <v>31</v>
      </c>
      <c r="D884" s="4">
        <v>58</v>
      </c>
      <c r="E884" s="4">
        <v>1</v>
      </c>
      <c r="F884" s="8">
        <v>0.2</v>
      </c>
      <c r="G884" s="4">
        <v>1</v>
      </c>
      <c r="H884" s="4">
        <f t="shared" si="26"/>
        <v>1</v>
      </c>
      <c r="I884" s="4">
        <f t="shared" si="27"/>
        <v>0</v>
      </c>
      <c r="J884" s="4">
        <v>177</v>
      </c>
      <c r="K884" s="4">
        <v>0</v>
      </c>
      <c r="L884" s="4">
        <v>0</v>
      </c>
      <c r="M884" s="4">
        <v>1</v>
      </c>
      <c r="N884" s="4">
        <v>0</v>
      </c>
      <c r="O884" s="4">
        <v>0</v>
      </c>
    </row>
    <row r="885" spans="1:15" x14ac:dyDescent="0.15">
      <c r="A885" s="4">
        <v>882</v>
      </c>
      <c r="B885" s="4">
        <v>44</v>
      </c>
      <c r="C885" s="4">
        <v>19</v>
      </c>
      <c r="D885" s="4">
        <v>154</v>
      </c>
      <c r="E885" s="4">
        <v>2</v>
      </c>
      <c r="F885" s="8">
        <v>8.8000000000000007</v>
      </c>
      <c r="G885" s="4">
        <v>1</v>
      </c>
      <c r="H885" s="4">
        <f t="shared" si="26"/>
        <v>1</v>
      </c>
      <c r="I885" s="4">
        <f t="shared" si="27"/>
        <v>0</v>
      </c>
      <c r="J885" s="4">
        <v>0</v>
      </c>
      <c r="K885" s="4">
        <v>0</v>
      </c>
      <c r="L885" s="4">
        <v>0</v>
      </c>
      <c r="M885" s="4">
        <v>1</v>
      </c>
      <c r="N885" s="4">
        <v>0</v>
      </c>
      <c r="O885" s="4">
        <v>0</v>
      </c>
    </row>
    <row r="886" spans="1:15" x14ac:dyDescent="0.15">
      <c r="A886" s="4">
        <v>883</v>
      </c>
      <c r="B886" s="4">
        <v>51</v>
      </c>
      <c r="C886" s="4">
        <v>25</v>
      </c>
      <c r="D886" s="4">
        <v>185</v>
      </c>
      <c r="E886" s="4">
        <v>1</v>
      </c>
      <c r="F886" s="8">
        <v>1.7</v>
      </c>
      <c r="G886" s="4">
        <v>1</v>
      </c>
      <c r="H886" s="4">
        <f t="shared" si="26"/>
        <v>1</v>
      </c>
      <c r="I886" s="4">
        <f t="shared" si="27"/>
        <v>0</v>
      </c>
      <c r="J886" s="4">
        <v>0</v>
      </c>
      <c r="K886" s="4">
        <v>0</v>
      </c>
      <c r="L886" s="4">
        <v>0</v>
      </c>
      <c r="M886" s="4">
        <v>0</v>
      </c>
      <c r="N886" s="4">
        <v>0</v>
      </c>
      <c r="O886" s="4">
        <v>0</v>
      </c>
    </row>
    <row r="887" spans="1:15" x14ac:dyDescent="0.15">
      <c r="A887" s="4">
        <v>884</v>
      </c>
      <c r="B887" s="4">
        <v>51</v>
      </c>
      <c r="C887" s="4">
        <v>26</v>
      </c>
      <c r="D887" s="4">
        <v>78</v>
      </c>
      <c r="E887" s="4">
        <v>1</v>
      </c>
      <c r="F887" s="8">
        <v>1.2</v>
      </c>
      <c r="G887" s="4">
        <v>1</v>
      </c>
      <c r="H887" s="4">
        <f t="shared" si="26"/>
        <v>1</v>
      </c>
      <c r="I887" s="4">
        <f t="shared" si="27"/>
        <v>0</v>
      </c>
      <c r="J887" s="4">
        <v>305</v>
      </c>
      <c r="K887" s="4">
        <v>0</v>
      </c>
      <c r="L887" s="4">
        <v>0</v>
      </c>
      <c r="M887" s="4">
        <v>1</v>
      </c>
      <c r="N887" s="4">
        <v>0</v>
      </c>
      <c r="O887" s="4">
        <v>0</v>
      </c>
    </row>
    <row r="888" spans="1:15" x14ac:dyDescent="0.15">
      <c r="A888" s="4">
        <v>885</v>
      </c>
      <c r="B888" s="4">
        <v>38</v>
      </c>
      <c r="C888" s="4">
        <v>13</v>
      </c>
      <c r="D888" s="4">
        <v>55</v>
      </c>
      <c r="E888" s="4">
        <v>2</v>
      </c>
      <c r="F888" s="8">
        <v>1.1000000000000001</v>
      </c>
      <c r="G888" s="4">
        <v>2</v>
      </c>
      <c r="H888" s="4">
        <f t="shared" si="26"/>
        <v>0</v>
      </c>
      <c r="I888" s="4">
        <f t="shared" si="27"/>
        <v>1</v>
      </c>
      <c r="J888" s="4">
        <v>0</v>
      </c>
      <c r="K888" s="4">
        <v>0</v>
      </c>
      <c r="L888" s="4">
        <v>0</v>
      </c>
      <c r="M888" s="4">
        <v>1</v>
      </c>
      <c r="N888" s="4">
        <v>0</v>
      </c>
      <c r="O888" s="4">
        <v>0</v>
      </c>
    </row>
    <row r="889" spans="1:15" x14ac:dyDescent="0.15">
      <c r="A889" s="4">
        <v>886</v>
      </c>
      <c r="B889" s="4">
        <v>31</v>
      </c>
      <c r="C889" s="4">
        <v>5</v>
      </c>
      <c r="D889" s="4">
        <v>30</v>
      </c>
      <c r="E889" s="4">
        <v>4</v>
      </c>
      <c r="F889" s="8">
        <v>0.3</v>
      </c>
      <c r="G889" s="4">
        <v>2</v>
      </c>
      <c r="H889" s="4">
        <f t="shared" si="26"/>
        <v>0</v>
      </c>
      <c r="I889" s="4">
        <f t="shared" si="27"/>
        <v>1</v>
      </c>
      <c r="J889" s="4">
        <v>0</v>
      </c>
      <c r="K889" s="4">
        <v>0</v>
      </c>
      <c r="L889" s="4">
        <v>0</v>
      </c>
      <c r="M889" s="4">
        <v>1</v>
      </c>
      <c r="N889" s="4">
        <v>0</v>
      </c>
      <c r="O889" s="4">
        <v>0</v>
      </c>
    </row>
    <row r="890" spans="1:15" x14ac:dyDescent="0.15">
      <c r="A890" s="4">
        <v>887</v>
      </c>
      <c r="B890" s="4">
        <v>54</v>
      </c>
      <c r="C890" s="4">
        <v>29</v>
      </c>
      <c r="D890" s="4">
        <v>74</v>
      </c>
      <c r="E890" s="4">
        <v>3</v>
      </c>
      <c r="F890" s="8">
        <v>2</v>
      </c>
      <c r="G890" s="4">
        <v>2</v>
      </c>
      <c r="H890" s="4">
        <f t="shared" si="26"/>
        <v>0</v>
      </c>
      <c r="I890" s="4">
        <f t="shared" si="27"/>
        <v>1</v>
      </c>
      <c r="J890" s="4">
        <v>0</v>
      </c>
      <c r="K890" s="4">
        <v>0</v>
      </c>
      <c r="L890" s="4">
        <v>0</v>
      </c>
      <c r="M890" s="4">
        <v>0</v>
      </c>
      <c r="N890" s="4">
        <v>0</v>
      </c>
      <c r="O890" s="4">
        <v>0</v>
      </c>
    </row>
    <row r="891" spans="1:15" x14ac:dyDescent="0.15">
      <c r="A891" s="4">
        <v>888</v>
      </c>
      <c r="B891" s="4">
        <v>41</v>
      </c>
      <c r="C891" s="4">
        <v>16</v>
      </c>
      <c r="D891" s="4">
        <v>118</v>
      </c>
      <c r="E891" s="4">
        <v>2</v>
      </c>
      <c r="F891" s="8">
        <v>3.3</v>
      </c>
      <c r="G891" s="4">
        <v>1</v>
      </c>
      <c r="H891" s="4">
        <f t="shared" si="26"/>
        <v>1</v>
      </c>
      <c r="I891" s="4">
        <f t="shared" si="27"/>
        <v>0</v>
      </c>
      <c r="J891" s="4">
        <v>0</v>
      </c>
      <c r="K891" s="4">
        <v>0</v>
      </c>
      <c r="L891" s="4">
        <v>0</v>
      </c>
      <c r="M891" s="4">
        <v>1</v>
      </c>
      <c r="N891" s="4">
        <v>0</v>
      </c>
      <c r="O891" s="4">
        <v>0</v>
      </c>
    </row>
    <row r="892" spans="1:15" x14ac:dyDescent="0.15">
      <c r="A892" s="4">
        <v>889</v>
      </c>
      <c r="B892" s="4">
        <v>57</v>
      </c>
      <c r="C892" s="4">
        <v>33</v>
      </c>
      <c r="D892" s="4">
        <v>182</v>
      </c>
      <c r="E892" s="4">
        <v>2</v>
      </c>
      <c r="F892" s="8">
        <v>3.3</v>
      </c>
      <c r="G892" s="4">
        <v>3</v>
      </c>
      <c r="H892" s="4">
        <f t="shared" si="26"/>
        <v>0</v>
      </c>
      <c r="I892" s="4">
        <f t="shared" si="27"/>
        <v>0</v>
      </c>
      <c r="J892" s="4">
        <v>372</v>
      </c>
      <c r="K892" s="4">
        <v>0</v>
      </c>
      <c r="L892" s="4">
        <v>0</v>
      </c>
      <c r="M892" s="4">
        <v>0</v>
      </c>
      <c r="N892" s="4">
        <v>0</v>
      </c>
      <c r="O892" s="4">
        <v>1</v>
      </c>
    </row>
    <row r="893" spans="1:15" x14ac:dyDescent="0.15">
      <c r="A893" s="4">
        <v>890</v>
      </c>
      <c r="B893" s="4">
        <v>24</v>
      </c>
      <c r="C893" s="4">
        <v>0</v>
      </c>
      <c r="D893" s="4">
        <v>82</v>
      </c>
      <c r="E893" s="4">
        <v>2</v>
      </c>
      <c r="F893" s="8">
        <v>1.6</v>
      </c>
      <c r="G893" s="4">
        <v>3</v>
      </c>
      <c r="H893" s="4">
        <f t="shared" si="26"/>
        <v>0</v>
      </c>
      <c r="I893" s="4">
        <f t="shared" si="27"/>
        <v>0</v>
      </c>
      <c r="J893" s="4">
        <v>0</v>
      </c>
      <c r="K893" s="4">
        <v>0</v>
      </c>
      <c r="L893" s="4">
        <v>0</v>
      </c>
      <c r="M893" s="4">
        <v>1</v>
      </c>
      <c r="N893" s="4">
        <v>1</v>
      </c>
      <c r="O893" s="4">
        <v>0</v>
      </c>
    </row>
    <row r="894" spans="1:15" x14ac:dyDescent="0.15">
      <c r="A894" s="4">
        <v>891</v>
      </c>
      <c r="B894" s="4">
        <v>55</v>
      </c>
      <c r="C894" s="4">
        <v>29</v>
      </c>
      <c r="D894" s="4">
        <v>29</v>
      </c>
      <c r="E894" s="4">
        <v>4</v>
      </c>
      <c r="F894" s="8">
        <v>1.5</v>
      </c>
      <c r="G894" s="4">
        <v>3</v>
      </c>
      <c r="H894" s="4">
        <f t="shared" si="26"/>
        <v>0</v>
      </c>
      <c r="I894" s="4">
        <f t="shared" si="27"/>
        <v>0</v>
      </c>
      <c r="J894" s="4">
        <v>79</v>
      </c>
      <c r="K894" s="4">
        <v>0</v>
      </c>
      <c r="L894" s="4">
        <v>0</v>
      </c>
      <c r="M894" s="4">
        <v>1</v>
      </c>
      <c r="N894" s="4">
        <v>0</v>
      </c>
      <c r="O894" s="4">
        <v>0</v>
      </c>
    </row>
    <row r="895" spans="1:15" x14ac:dyDescent="0.15">
      <c r="A895" s="4">
        <v>892</v>
      </c>
      <c r="B895" s="4">
        <v>32</v>
      </c>
      <c r="C895" s="4">
        <v>6</v>
      </c>
      <c r="D895" s="4">
        <v>120</v>
      </c>
      <c r="E895" s="4">
        <v>4</v>
      </c>
      <c r="F895" s="8">
        <v>5.4</v>
      </c>
      <c r="G895" s="4">
        <v>1</v>
      </c>
      <c r="H895" s="4">
        <f t="shared" si="26"/>
        <v>1</v>
      </c>
      <c r="I895" s="4">
        <f t="shared" si="27"/>
        <v>0</v>
      </c>
      <c r="J895" s="4">
        <v>301</v>
      </c>
      <c r="K895" s="4">
        <v>0</v>
      </c>
      <c r="L895" s="4">
        <v>1</v>
      </c>
      <c r="M895" s="4">
        <v>1</v>
      </c>
      <c r="N895" s="4">
        <v>1</v>
      </c>
      <c r="O895" s="4">
        <v>1</v>
      </c>
    </row>
    <row r="896" spans="1:15" x14ac:dyDescent="0.15">
      <c r="A896" s="4">
        <v>893</v>
      </c>
      <c r="B896" s="4">
        <v>38</v>
      </c>
      <c r="C896" s="4">
        <v>12</v>
      </c>
      <c r="D896" s="4">
        <v>53</v>
      </c>
      <c r="E896" s="4">
        <v>2</v>
      </c>
      <c r="F896" s="8">
        <v>2.4</v>
      </c>
      <c r="G896" s="4">
        <v>2</v>
      </c>
      <c r="H896" s="4">
        <f t="shared" si="26"/>
        <v>0</v>
      </c>
      <c r="I896" s="4">
        <f t="shared" si="27"/>
        <v>1</v>
      </c>
      <c r="J896" s="4">
        <v>0</v>
      </c>
      <c r="K896" s="4">
        <v>0</v>
      </c>
      <c r="L896" s="4">
        <v>0</v>
      </c>
      <c r="M896" s="4">
        <v>1</v>
      </c>
      <c r="N896" s="4">
        <v>0</v>
      </c>
      <c r="O896" s="4">
        <v>0</v>
      </c>
    </row>
    <row r="897" spans="1:15" x14ac:dyDescent="0.15">
      <c r="A897" s="4">
        <v>894</v>
      </c>
      <c r="B897" s="4">
        <v>58</v>
      </c>
      <c r="C897" s="4">
        <v>32</v>
      </c>
      <c r="D897" s="4">
        <v>43</v>
      </c>
      <c r="E897" s="4">
        <v>3</v>
      </c>
      <c r="F897" s="8">
        <v>1.4</v>
      </c>
      <c r="G897" s="4">
        <v>1</v>
      </c>
      <c r="H897" s="4">
        <f t="shared" si="26"/>
        <v>1</v>
      </c>
      <c r="I897" s="4">
        <f t="shared" si="27"/>
        <v>0</v>
      </c>
      <c r="J897" s="4">
        <v>0</v>
      </c>
      <c r="K897" s="4">
        <v>0</v>
      </c>
      <c r="L897" s="4">
        <v>0</v>
      </c>
      <c r="M897" s="4">
        <v>0</v>
      </c>
      <c r="N897" s="4">
        <v>1</v>
      </c>
      <c r="O897" s="4">
        <v>0</v>
      </c>
    </row>
    <row r="898" spans="1:15" x14ac:dyDescent="0.15">
      <c r="A898" s="4">
        <v>895</v>
      </c>
      <c r="B898" s="4">
        <v>29</v>
      </c>
      <c r="C898" s="4">
        <v>4</v>
      </c>
      <c r="D898" s="4">
        <v>59</v>
      </c>
      <c r="E898" s="4">
        <v>4</v>
      </c>
      <c r="F898" s="8">
        <v>2.2000000000000002</v>
      </c>
      <c r="G898" s="4">
        <v>1</v>
      </c>
      <c r="H898" s="4">
        <f t="shared" si="26"/>
        <v>1</v>
      </c>
      <c r="I898" s="4">
        <f t="shared" si="27"/>
        <v>0</v>
      </c>
      <c r="J898" s="4">
        <v>232</v>
      </c>
      <c r="K898" s="4">
        <v>0</v>
      </c>
      <c r="L898" s="4">
        <v>0</v>
      </c>
      <c r="M898" s="4">
        <v>1</v>
      </c>
      <c r="N898" s="4">
        <v>1</v>
      </c>
      <c r="O898" s="4">
        <v>0</v>
      </c>
    </row>
    <row r="899" spans="1:15" x14ac:dyDescent="0.15">
      <c r="A899" s="4">
        <v>896</v>
      </c>
      <c r="B899" s="4">
        <v>43</v>
      </c>
      <c r="C899" s="4">
        <v>17</v>
      </c>
      <c r="D899" s="4">
        <v>84</v>
      </c>
      <c r="E899" s="4">
        <v>4</v>
      </c>
      <c r="F899" s="8">
        <v>2.6</v>
      </c>
      <c r="G899" s="4">
        <v>3</v>
      </c>
      <c r="H899" s="4">
        <f t="shared" si="26"/>
        <v>0</v>
      </c>
      <c r="I899" s="4">
        <f t="shared" si="27"/>
        <v>0</v>
      </c>
      <c r="J899" s="4">
        <v>289</v>
      </c>
      <c r="K899" s="4">
        <v>1</v>
      </c>
      <c r="L899" s="4">
        <v>1</v>
      </c>
      <c r="M899" s="4">
        <v>1</v>
      </c>
      <c r="N899" s="4">
        <v>1</v>
      </c>
      <c r="O899" s="4">
        <v>0</v>
      </c>
    </row>
    <row r="900" spans="1:15" x14ac:dyDescent="0.15">
      <c r="A900" s="4">
        <v>897</v>
      </c>
      <c r="B900" s="4">
        <v>50</v>
      </c>
      <c r="C900" s="4">
        <v>24</v>
      </c>
      <c r="D900" s="4">
        <v>161</v>
      </c>
      <c r="E900" s="4">
        <v>3</v>
      </c>
      <c r="F900" s="8">
        <v>3.4</v>
      </c>
      <c r="G900" s="4">
        <v>1</v>
      </c>
      <c r="H900" s="4">
        <f t="shared" si="26"/>
        <v>1</v>
      </c>
      <c r="I900" s="4">
        <f t="shared" si="27"/>
        <v>0</v>
      </c>
      <c r="J900" s="4">
        <v>212</v>
      </c>
      <c r="K900" s="4">
        <v>0</v>
      </c>
      <c r="L900" s="4">
        <v>0</v>
      </c>
      <c r="M900" s="4">
        <v>1</v>
      </c>
      <c r="N900" s="4">
        <v>0</v>
      </c>
      <c r="O900" s="4">
        <v>1</v>
      </c>
    </row>
    <row r="901" spans="1:15" x14ac:dyDescent="0.15">
      <c r="A901" s="4">
        <v>898</v>
      </c>
      <c r="B901" s="4">
        <v>62</v>
      </c>
      <c r="C901" s="4">
        <v>37</v>
      </c>
      <c r="D901" s="4">
        <v>21</v>
      </c>
      <c r="E901" s="4">
        <v>4</v>
      </c>
      <c r="F901" s="8">
        <v>0.4</v>
      </c>
      <c r="G901" s="4">
        <v>2</v>
      </c>
      <c r="H901" s="4">
        <f t="shared" ref="H901:H964" si="28">IF(G901=1,1,0)</f>
        <v>0</v>
      </c>
      <c r="I901" s="4">
        <f t="shared" ref="I901:I964" si="29">IF(G901=2,1,0)</f>
        <v>1</v>
      </c>
      <c r="J901" s="4">
        <v>137</v>
      </c>
      <c r="K901" s="4">
        <v>0</v>
      </c>
      <c r="L901" s="4">
        <v>0</v>
      </c>
      <c r="M901" s="4">
        <v>1</v>
      </c>
      <c r="N901" s="4">
        <v>1</v>
      </c>
      <c r="O901" s="4">
        <v>0</v>
      </c>
    </row>
    <row r="902" spans="1:15" x14ac:dyDescent="0.15">
      <c r="A902" s="4">
        <v>899</v>
      </c>
      <c r="B902" s="4">
        <v>57</v>
      </c>
      <c r="C902" s="4">
        <v>32</v>
      </c>
      <c r="D902" s="4">
        <v>63</v>
      </c>
      <c r="E902" s="4">
        <v>4</v>
      </c>
      <c r="F902" s="8">
        <v>0.7</v>
      </c>
      <c r="G902" s="4">
        <v>1</v>
      </c>
      <c r="H902" s="4">
        <f t="shared" si="28"/>
        <v>1</v>
      </c>
      <c r="I902" s="4">
        <f t="shared" si="29"/>
        <v>0</v>
      </c>
      <c r="J902" s="4">
        <v>0</v>
      </c>
      <c r="K902" s="4">
        <v>0</v>
      </c>
      <c r="L902" s="4">
        <v>0</v>
      </c>
      <c r="M902" s="4">
        <v>1</v>
      </c>
      <c r="N902" s="4">
        <v>0</v>
      </c>
      <c r="O902" s="4">
        <v>0</v>
      </c>
    </row>
    <row r="903" spans="1:15" x14ac:dyDescent="0.15">
      <c r="A903" s="4">
        <v>900</v>
      </c>
      <c r="B903" s="4">
        <v>30</v>
      </c>
      <c r="C903" s="4">
        <v>3</v>
      </c>
      <c r="D903" s="4">
        <v>172</v>
      </c>
      <c r="E903" s="4">
        <v>3</v>
      </c>
      <c r="F903" s="8">
        <v>3.4</v>
      </c>
      <c r="G903" s="4">
        <v>2</v>
      </c>
      <c r="H903" s="4">
        <f t="shared" si="28"/>
        <v>0</v>
      </c>
      <c r="I903" s="4">
        <f t="shared" si="29"/>
        <v>1</v>
      </c>
      <c r="J903" s="4">
        <v>0</v>
      </c>
      <c r="K903" s="4">
        <v>0</v>
      </c>
      <c r="L903" s="4">
        <v>0</v>
      </c>
      <c r="M903" s="4">
        <v>0</v>
      </c>
      <c r="N903" s="4">
        <v>1</v>
      </c>
      <c r="O903" s="4">
        <v>1</v>
      </c>
    </row>
    <row r="904" spans="1:15" x14ac:dyDescent="0.15">
      <c r="A904" s="4">
        <v>901</v>
      </c>
      <c r="B904" s="4">
        <v>30</v>
      </c>
      <c r="C904" s="4">
        <v>4</v>
      </c>
      <c r="D904" s="4">
        <v>51</v>
      </c>
      <c r="E904" s="4">
        <v>4</v>
      </c>
      <c r="F904" s="8">
        <v>0.2</v>
      </c>
      <c r="G904" s="4">
        <v>1</v>
      </c>
      <c r="H904" s="4">
        <f t="shared" si="28"/>
        <v>1</v>
      </c>
      <c r="I904" s="4">
        <f t="shared" si="29"/>
        <v>0</v>
      </c>
      <c r="J904" s="4">
        <v>172</v>
      </c>
      <c r="K904" s="4">
        <v>0</v>
      </c>
      <c r="L904" s="4">
        <v>0</v>
      </c>
      <c r="M904" s="4">
        <v>0</v>
      </c>
      <c r="N904" s="4">
        <v>1</v>
      </c>
      <c r="O904" s="4">
        <v>0</v>
      </c>
    </row>
    <row r="905" spans="1:15" x14ac:dyDescent="0.15">
      <c r="A905" s="4">
        <v>902</v>
      </c>
      <c r="B905" s="4">
        <v>57</v>
      </c>
      <c r="C905" s="4">
        <v>33</v>
      </c>
      <c r="D905" s="4">
        <v>24</v>
      </c>
      <c r="E905" s="4">
        <v>4</v>
      </c>
      <c r="F905" s="8">
        <v>0.7</v>
      </c>
      <c r="G905" s="4">
        <v>1</v>
      </c>
      <c r="H905" s="4">
        <f t="shared" si="28"/>
        <v>1</v>
      </c>
      <c r="I905" s="4">
        <f t="shared" si="29"/>
        <v>0</v>
      </c>
      <c r="J905" s="4">
        <v>0</v>
      </c>
      <c r="K905" s="4">
        <v>0</v>
      </c>
      <c r="L905" s="4">
        <v>0</v>
      </c>
      <c r="M905" s="4">
        <v>1</v>
      </c>
      <c r="N905" s="4">
        <v>0</v>
      </c>
      <c r="O905" s="4">
        <v>0</v>
      </c>
    </row>
    <row r="906" spans="1:15" x14ac:dyDescent="0.15">
      <c r="A906" s="4">
        <v>903</v>
      </c>
      <c r="B906" s="4">
        <v>57</v>
      </c>
      <c r="C906" s="4">
        <v>33</v>
      </c>
      <c r="D906" s="4">
        <v>95</v>
      </c>
      <c r="E906" s="4">
        <v>2</v>
      </c>
      <c r="F906" s="8">
        <v>1.6</v>
      </c>
      <c r="G906" s="4">
        <v>1</v>
      </c>
      <c r="H906" s="4">
        <f t="shared" si="28"/>
        <v>1</v>
      </c>
      <c r="I906" s="4">
        <f t="shared" si="29"/>
        <v>0</v>
      </c>
      <c r="J906" s="4">
        <v>0</v>
      </c>
      <c r="K906" s="4">
        <v>0</v>
      </c>
      <c r="L906" s="4">
        <v>0</v>
      </c>
      <c r="M906" s="4">
        <v>0</v>
      </c>
      <c r="N906" s="4">
        <v>0</v>
      </c>
      <c r="O906" s="4">
        <v>0</v>
      </c>
    </row>
    <row r="907" spans="1:15" x14ac:dyDescent="0.15">
      <c r="A907" s="4">
        <v>904</v>
      </c>
      <c r="B907" s="4">
        <v>43</v>
      </c>
      <c r="C907" s="4">
        <v>18</v>
      </c>
      <c r="D907" s="4">
        <v>59</v>
      </c>
      <c r="E907" s="4">
        <v>1</v>
      </c>
      <c r="F907" s="8">
        <v>2.4</v>
      </c>
      <c r="G907" s="4">
        <v>1</v>
      </c>
      <c r="H907" s="4">
        <f t="shared" si="28"/>
        <v>1</v>
      </c>
      <c r="I907" s="4">
        <f t="shared" si="29"/>
        <v>0</v>
      </c>
      <c r="J907" s="4">
        <v>250</v>
      </c>
      <c r="K907" s="4">
        <v>0</v>
      </c>
      <c r="L907" s="4">
        <v>0</v>
      </c>
      <c r="M907" s="4">
        <v>1</v>
      </c>
      <c r="N907" s="4">
        <v>0</v>
      </c>
      <c r="O907" s="4">
        <v>0</v>
      </c>
    </row>
    <row r="908" spans="1:15" x14ac:dyDescent="0.15">
      <c r="A908" s="4">
        <v>905</v>
      </c>
      <c r="B908" s="4">
        <v>28</v>
      </c>
      <c r="C908" s="4">
        <v>2</v>
      </c>
      <c r="D908" s="4">
        <v>51</v>
      </c>
      <c r="E908" s="4">
        <v>4</v>
      </c>
      <c r="F908" s="8">
        <v>1.8</v>
      </c>
      <c r="G908" s="4">
        <v>2</v>
      </c>
      <c r="H908" s="4">
        <f t="shared" si="28"/>
        <v>0</v>
      </c>
      <c r="I908" s="4">
        <f t="shared" si="29"/>
        <v>1</v>
      </c>
      <c r="J908" s="4">
        <v>0</v>
      </c>
      <c r="K908" s="4">
        <v>1</v>
      </c>
      <c r="L908" s="4">
        <v>0</v>
      </c>
      <c r="M908" s="4">
        <v>0</v>
      </c>
      <c r="N908" s="4">
        <v>0</v>
      </c>
      <c r="O908" s="4">
        <v>0</v>
      </c>
    </row>
    <row r="909" spans="1:15" x14ac:dyDescent="0.15">
      <c r="A909" s="4">
        <v>906</v>
      </c>
      <c r="B909" s="4">
        <v>46</v>
      </c>
      <c r="C909" s="4">
        <v>22</v>
      </c>
      <c r="D909" s="4">
        <v>28</v>
      </c>
      <c r="E909" s="4">
        <v>1</v>
      </c>
      <c r="F909" s="8">
        <v>1</v>
      </c>
      <c r="G909" s="4">
        <v>1</v>
      </c>
      <c r="H909" s="4">
        <f t="shared" si="28"/>
        <v>1</v>
      </c>
      <c r="I909" s="4">
        <f t="shared" si="29"/>
        <v>0</v>
      </c>
      <c r="J909" s="4">
        <v>84</v>
      </c>
      <c r="K909" s="4">
        <v>0</v>
      </c>
      <c r="L909" s="4">
        <v>0</v>
      </c>
      <c r="M909" s="4">
        <v>1</v>
      </c>
      <c r="N909" s="4">
        <v>1</v>
      </c>
      <c r="O909" s="4">
        <v>0</v>
      </c>
    </row>
    <row r="910" spans="1:15" x14ac:dyDescent="0.15">
      <c r="A910" s="4">
        <v>907</v>
      </c>
      <c r="B910" s="4">
        <v>29</v>
      </c>
      <c r="C910" s="4">
        <v>3</v>
      </c>
      <c r="D910" s="4">
        <v>154</v>
      </c>
      <c r="E910" s="4">
        <v>2</v>
      </c>
      <c r="F910" s="8">
        <v>2</v>
      </c>
      <c r="G910" s="4">
        <v>1</v>
      </c>
      <c r="H910" s="4">
        <f t="shared" si="28"/>
        <v>1</v>
      </c>
      <c r="I910" s="4">
        <f t="shared" si="29"/>
        <v>0</v>
      </c>
      <c r="J910" s="4">
        <v>130</v>
      </c>
      <c r="K910" s="4">
        <v>0</v>
      </c>
      <c r="L910" s="4">
        <v>0</v>
      </c>
      <c r="M910" s="4">
        <v>0</v>
      </c>
      <c r="N910" s="4">
        <v>0</v>
      </c>
      <c r="O910" s="4">
        <v>0</v>
      </c>
    </row>
    <row r="911" spans="1:15" x14ac:dyDescent="0.15">
      <c r="A911" s="4">
        <v>908</v>
      </c>
      <c r="B911" s="4">
        <v>64</v>
      </c>
      <c r="C911" s="4">
        <v>40</v>
      </c>
      <c r="D911" s="4">
        <v>15</v>
      </c>
      <c r="E911" s="4">
        <v>2</v>
      </c>
      <c r="F911" s="8">
        <v>0.3</v>
      </c>
      <c r="G911" s="4">
        <v>3</v>
      </c>
      <c r="H911" s="4">
        <f t="shared" si="28"/>
        <v>0</v>
      </c>
      <c r="I911" s="4">
        <f t="shared" si="29"/>
        <v>0</v>
      </c>
      <c r="J911" s="4">
        <v>115</v>
      </c>
      <c r="K911" s="4">
        <v>0</v>
      </c>
      <c r="L911" s="4">
        <v>0</v>
      </c>
      <c r="M911" s="4">
        <v>1</v>
      </c>
      <c r="N911" s="4">
        <v>1</v>
      </c>
      <c r="O911" s="4">
        <v>0</v>
      </c>
    </row>
    <row r="912" spans="1:15" x14ac:dyDescent="0.15">
      <c r="A912" s="4">
        <v>909</v>
      </c>
      <c r="B912" s="4">
        <v>66</v>
      </c>
      <c r="C912" s="4">
        <v>36</v>
      </c>
      <c r="D912" s="4">
        <v>55</v>
      </c>
      <c r="E912" s="4">
        <v>4</v>
      </c>
      <c r="F912" s="8">
        <v>1.6666666666666667</v>
      </c>
      <c r="G912" s="4">
        <v>3</v>
      </c>
      <c r="H912" s="4">
        <f t="shared" si="28"/>
        <v>0</v>
      </c>
      <c r="I912" s="4">
        <f t="shared" si="29"/>
        <v>0</v>
      </c>
      <c r="J912" s="4">
        <v>0</v>
      </c>
      <c r="K912" s="4">
        <v>0</v>
      </c>
      <c r="L912" s="4">
        <v>0</v>
      </c>
      <c r="M912" s="4">
        <v>0</v>
      </c>
      <c r="N912" s="4">
        <v>1</v>
      </c>
      <c r="O912" s="4">
        <v>0</v>
      </c>
    </row>
    <row r="913" spans="1:15" x14ac:dyDescent="0.15">
      <c r="A913" s="4">
        <v>910</v>
      </c>
      <c r="B913" s="4">
        <v>23</v>
      </c>
      <c r="C913" s="4">
        <v>0</v>
      </c>
      <c r="D913" s="4">
        <v>149</v>
      </c>
      <c r="E913" s="4">
        <v>1</v>
      </c>
      <c r="F913" s="8">
        <v>6.333333333333333</v>
      </c>
      <c r="G913" s="4">
        <v>1</v>
      </c>
      <c r="H913" s="4">
        <f t="shared" si="28"/>
        <v>1</v>
      </c>
      <c r="I913" s="4">
        <f t="shared" si="29"/>
        <v>0</v>
      </c>
      <c r="J913" s="4">
        <v>305</v>
      </c>
      <c r="K913" s="4">
        <v>0</v>
      </c>
      <c r="L913" s="4">
        <v>0</v>
      </c>
      <c r="M913" s="4">
        <v>0</v>
      </c>
      <c r="N913" s="4">
        <v>1</v>
      </c>
      <c r="O913" s="4">
        <v>0</v>
      </c>
    </row>
    <row r="914" spans="1:15" x14ac:dyDescent="0.15">
      <c r="A914" s="4">
        <v>911</v>
      </c>
      <c r="B914" s="4">
        <v>60</v>
      </c>
      <c r="C914" s="4">
        <v>36</v>
      </c>
      <c r="D914" s="4">
        <v>79</v>
      </c>
      <c r="E914" s="4">
        <v>1</v>
      </c>
      <c r="F914" s="8">
        <v>1.8</v>
      </c>
      <c r="G914" s="4">
        <v>3</v>
      </c>
      <c r="H914" s="4">
        <f t="shared" si="28"/>
        <v>0</v>
      </c>
      <c r="I914" s="4">
        <f t="shared" si="29"/>
        <v>0</v>
      </c>
      <c r="J914" s="4">
        <v>0</v>
      </c>
      <c r="K914" s="4">
        <v>0</v>
      </c>
      <c r="L914" s="4">
        <v>0</v>
      </c>
      <c r="M914" s="4">
        <v>0</v>
      </c>
      <c r="N914" s="4">
        <v>1</v>
      </c>
      <c r="O914" s="4">
        <v>0</v>
      </c>
    </row>
    <row r="915" spans="1:15" x14ac:dyDescent="0.15">
      <c r="A915" s="4">
        <v>912</v>
      </c>
      <c r="B915" s="4">
        <v>47</v>
      </c>
      <c r="C915" s="4">
        <v>21</v>
      </c>
      <c r="D915" s="4">
        <v>68</v>
      </c>
      <c r="E915" s="4">
        <v>4</v>
      </c>
      <c r="F915" s="8">
        <v>2.6</v>
      </c>
      <c r="G915" s="4">
        <v>3</v>
      </c>
      <c r="H915" s="4">
        <f t="shared" si="28"/>
        <v>0</v>
      </c>
      <c r="I915" s="4">
        <f t="shared" si="29"/>
        <v>0</v>
      </c>
      <c r="J915" s="4">
        <v>0</v>
      </c>
      <c r="K915" s="4">
        <v>0</v>
      </c>
      <c r="L915" s="4">
        <v>0</v>
      </c>
      <c r="M915" s="4">
        <v>0</v>
      </c>
      <c r="N915" s="4">
        <v>0</v>
      </c>
      <c r="O915" s="4">
        <v>0</v>
      </c>
    </row>
    <row r="916" spans="1:15" x14ac:dyDescent="0.15">
      <c r="A916" s="4">
        <v>913</v>
      </c>
      <c r="B916" s="4">
        <v>35</v>
      </c>
      <c r="C916" s="4">
        <v>10</v>
      </c>
      <c r="D916" s="4">
        <v>78</v>
      </c>
      <c r="E916" s="4">
        <v>1</v>
      </c>
      <c r="F916" s="8">
        <v>2.6</v>
      </c>
      <c r="G916" s="4">
        <v>2</v>
      </c>
      <c r="H916" s="4">
        <f t="shared" si="28"/>
        <v>0</v>
      </c>
      <c r="I916" s="4">
        <f t="shared" si="29"/>
        <v>1</v>
      </c>
      <c r="J916" s="4">
        <v>0</v>
      </c>
      <c r="K916" s="4">
        <v>0</v>
      </c>
      <c r="L916" s="4">
        <v>0</v>
      </c>
      <c r="M916" s="4">
        <v>1</v>
      </c>
      <c r="N916" s="4">
        <v>0</v>
      </c>
      <c r="O916" s="4">
        <v>0</v>
      </c>
    </row>
    <row r="917" spans="1:15" x14ac:dyDescent="0.15">
      <c r="A917" s="4">
        <v>914</v>
      </c>
      <c r="B917" s="4">
        <v>57</v>
      </c>
      <c r="C917" s="4">
        <v>32</v>
      </c>
      <c r="D917" s="4">
        <v>34</v>
      </c>
      <c r="E917" s="4">
        <v>2</v>
      </c>
      <c r="F917" s="8">
        <v>2</v>
      </c>
      <c r="G917" s="4">
        <v>2</v>
      </c>
      <c r="H917" s="4">
        <f t="shared" si="28"/>
        <v>0</v>
      </c>
      <c r="I917" s="4">
        <f t="shared" si="29"/>
        <v>1</v>
      </c>
      <c r="J917" s="4">
        <v>0</v>
      </c>
      <c r="K917" s="4">
        <v>1</v>
      </c>
      <c r="L917" s="4">
        <v>0</v>
      </c>
      <c r="M917" s="4">
        <v>0</v>
      </c>
      <c r="N917" s="4">
        <v>0</v>
      </c>
      <c r="O917" s="4">
        <v>0</v>
      </c>
    </row>
    <row r="918" spans="1:15" x14ac:dyDescent="0.15">
      <c r="A918" s="4">
        <v>915</v>
      </c>
      <c r="B918" s="4">
        <v>65</v>
      </c>
      <c r="C918" s="4">
        <v>41</v>
      </c>
      <c r="D918" s="4">
        <v>195</v>
      </c>
      <c r="E918" s="4">
        <v>3</v>
      </c>
      <c r="F918" s="8">
        <v>0.4</v>
      </c>
      <c r="G918" s="4">
        <v>1</v>
      </c>
      <c r="H918" s="4">
        <f t="shared" si="28"/>
        <v>1</v>
      </c>
      <c r="I918" s="4">
        <f t="shared" si="29"/>
        <v>0</v>
      </c>
      <c r="J918" s="4">
        <v>0</v>
      </c>
      <c r="K918" s="4">
        <v>1</v>
      </c>
      <c r="L918" s="4">
        <v>1</v>
      </c>
      <c r="M918" s="4">
        <v>0</v>
      </c>
      <c r="N918" s="4">
        <v>1</v>
      </c>
      <c r="O918" s="4">
        <v>1</v>
      </c>
    </row>
    <row r="919" spans="1:15" x14ac:dyDescent="0.15">
      <c r="A919" s="4">
        <v>916</v>
      </c>
      <c r="B919" s="4">
        <v>53</v>
      </c>
      <c r="C919" s="4">
        <v>28</v>
      </c>
      <c r="D919" s="4">
        <v>184</v>
      </c>
      <c r="E919" s="4">
        <v>1</v>
      </c>
      <c r="F919" s="8">
        <v>8.1</v>
      </c>
      <c r="G919" s="4">
        <v>1</v>
      </c>
      <c r="H919" s="4">
        <f t="shared" si="28"/>
        <v>1</v>
      </c>
      <c r="I919" s="4">
        <f t="shared" si="29"/>
        <v>0</v>
      </c>
      <c r="J919" s="4">
        <v>303</v>
      </c>
      <c r="K919" s="4">
        <v>0</v>
      </c>
      <c r="L919" s="4">
        <v>0</v>
      </c>
      <c r="M919" s="4">
        <v>1</v>
      </c>
      <c r="N919" s="4">
        <v>0</v>
      </c>
      <c r="O919" s="4">
        <v>0</v>
      </c>
    </row>
    <row r="920" spans="1:15" x14ac:dyDescent="0.15">
      <c r="A920" s="4">
        <v>917</v>
      </c>
      <c r="B920" s="4">
        <v>44</v>
      </c>
      <c r="C920" s="4">
        <v>20</v>
      </c>
      <c r="D920" s="4">
        <v>85</v>
      </c>
      <c r="E920" s="4">
        <v>2</v>
      </c>
      <c r="F920" s="8">
        <v>3.2</v>
      </c>
      <c r="G920" s="4">
        <v>1</v>
      </c>
      <c r="H920" s="4">
        <f t="shared" si="28"/>
        <v>1</v>
      </c>
      <c r="I920" s="4">
        <f t="shared" si="29"/>
        <v>0</v>
      </c>
      <c r="J920" s="4">
        <v>0</v>
      </c>
      <c r="K920" s="4">
        <v>0</v>
      </c>
      <c r="L920" s="4">
        <v>0</v>
      </c>
      <c r="M920" s="4">
        <v>1</v>
      </c>
      <c r="N920" s="4">
        <v>0</v>
      </c>
      <c r="O920" s="4">
        <v>0</v>
      </c>
    </row>
    <row r="921" spans="1:15" x14ac:dyDescent="0.15">
      <c r="A921" s="4">
        <v>918</v>
      </c>
      <c r="B921" s="4">
        <v>45</v>
      </c>
      <c r="C921" s="4">
        <v>20</v>
      </c>
      <c r="D921" s="4">
        <v>200</v>
      </c>
      <c r="E921" s="4">
        <v>2</v>
      </c>
      <c r="F921" s="8">
        <v>8.8000000000000007</v>
      </c>
      <c r="G921" s="4">
        <v>1</v>
      </c>
      <c r="H921" s="4">
        <f t="shared" si="28"/>
        <v>1</v>
      </c>
      <c r="I921" s="4">
        <f t="shared" si="29"/>
        <v>0</v>
      </c>
      <c r="J921" s="4">
        <v>0</v>
      </c>
      <c r="K921" s="4">
        <v>0</v>
      </c>
      <c r="L921" s="4">
        <v>0</v>
      </c>
      <c r="M921" s="4">
        <v>1</v>
      </c>
      <c r="N921" s="4">
        <v>1</v>
      </c>
      <c r="O921" s="4">
        <v>0</v>
      </c>
    </row>
    <row r="922" spans="1:15" x14ac:dyDescent="0.15">
      <c r="A922" s="4">
        <v>919</v>
      </c>
      <c r="B922" s="4">
        <v>41</v>
      </c>
      <c r="C922" s="4">
        <v>16</v>
      </c>
      <c r="D922" s="4">
        <v>64</v>
      </c>
      <c r="E922" s="4">
        <v>3</v>
      </c>
      <c r="F922" s="8">
        <v>0.5</v>
      </c>
      <c r="G922" s="4">
        <v>3</v>
      </c>
      <c r="H922" s="4">
        <f t="shared" si="28"/>
        <v>0</v>
      </c>
      <c r="I922" s="4">
        <f t="shared" si="29"/>
        <v>0</v>
      </c>
      <c r="J922" s="4">
        <v>0</v>
      </c>
      <c r="K922" s="4">
        <v>0</v>
      </c>
      <c r="L922" s="4">
        <v>0</v>
      </c>
      <c r="M922" s="4">
        <v>0</v>
      </c>
      <c r="N922" s="4">
        <v>0</v>
      </c>
      <c r="O922" s="4">
        <v>0</v>
      </c>
    </row>
    <row r="923" spans="1:15" x14ac:dyDescent="0.15">
      <c r="A923" s="4">
        <v>920</v>
      </c>
      <c r="B923" s="4">
        <v>51</v>
      </c>
      <c r="C923" s="4">
        <v>27</v>
      </c>
      <c r="D923" s="4">
        <v>88</v>
      </c>
      <c r="E923" s="4">
        <v>1</v>
      </c>
      <c r="F923" s="8">
        <v>2.6</v>
      </c>
      <c r="G923" s="4">
        <v>2</v>
      </c>
      <c r="H923" s="4">
        <f t="shared" si="28"/>
        <v>0</v>
      </c>
      <c r="I923" s="4">
        <f t="shared" si="29"/>
        <v>1</v>
      </c>
      <c r="J923" s="4">
        <v>0</v>
      </c>
      <c r="K923" s="4">
        <v>1</v>
      </c>
      <c r="L923" s="4">
        <v>0</v>
      </c>
      <c r="M923" s="4">
        <v>0</v>
      </c>
      <c r="N923" s="4">
        <v>1</v>
      </c>
      <c r="O923" s="4">
        <v>0</v>
      </c>
    </row>
    <row r="924" spans="1:15" x14ac:dyDescent="0.15">
      <c r="A924" s="4">
        <v>921</v>
      </c>
      <c r="B924" s="4">
        <v>27</v>
      </c>
      <c r="C924" s="4">
        <v>1</v>
      </c>
      <c r="D924" s="4">
        <v>42</v>
      </c>
      <c r="E924" s="4">
        <v>3</v>
      </c>
      <c r="F924" s="8">
        <v>2.4</v>
      </c>
      <c r="G924" s="4">
        <v>2</v>
      </c>
      <c r="H924" s="4">
        <f t="shared" si="28"/>
        <v>0</v>
      </c>
      <c r="I924" s="4">
        <f t="shared" si="29"/>
        <v>1</v>
      </c>
      <c r="J924" s="4">
        <v>0</v>
      </c>
      <c r="K924" s="4">
        <v>0</v>
      </c>
      <c r="L924" s="4">
        <v>0</v>
      </c>
      <c r="M924" s="4">
        <v>0</v>
      </c>
      <c r="N924" s="4">
        <v>0</v>
      </c>
      <c r="O924" s="4">
        <v>0</v>
      </c>
    </row>
    <row r="925" spans="1:15" x14ac:dyDescent="0.15">
      <c r="A925" s="4">
        <v>922</v>
      </c>
      <c r="B925" s="4">
        <v>31</v>
      </c>
      <c r="C925" s="4">
        <v>5</v>
      </c>
      <c r="D925" s="4">
        <v>91</v>
      </c>
      <c r="E925" s="4">
        <v>3</v>
      </c>
      <c r="F925" s="8">
        <v>1.6</v>
      </c>
      <c r="G925" s="4">
        <v>1</v>
      </c>
      <c r="H925" s="4">
        <f t="shared" si="28"/>
        <v>1</v>
      </c>
      <c r="I925" s="4">
        <f t="shared" si="29"/>
        <v>0</v>
      </c>
      <c r="J925" s="4">
        <v>126</v>
      </c>
      <c r="K925" s="4">
        <v>0</v>
      </c>
      <c r="L925" s="4">
        <v>0</v>
      </c>
      <c r="M925" s="4">
        <v>1</v>
      </c>
      <c r="N925" s="4">
        <v>1</v>
      </c>
      <c r="O925" s="4">
        <v>0</v>
      </c>
    </row>
    <row r="926" spans="1:15" x14ac:dyDescent="0.15">
      <c r="A926" s="4">
        <v>923</v>
      </c>
      <c r="B926" s="4">
        <v>32</v>
      </c>
      <c r="C926" s="4">
        <v>6</v>
      </c>
      <c r="D926" s="4">
        <v>38</v>
      </c>
      <c r="E926" s="4">
        <v>1</v>
      </c>
      <c r="F926" s="8">
        <v>0.3</v>
      </c>
      <c r="G926" s="4">
        <v>1</v>
      </c>
      <c r="H926" s="4">
        <f t="shared" si="28"/>
        <v>1</v>
      </c>
      <c r="I926" s="4">
        <f t="shared" si="29"/>
        <v>0</v>
      </c>
      <c r="J926" s="4">
        <v>0</v>
      </c>
      <c r="K926" s="4">
        <v>1</v>
      </c>
      <c r="L926" s="4">
        <v>1</v>
      </c>
      <c r="M926" s="4">
        <v>1</v>
      </c>
      <c r="N926" s="4">
        <v>0</v>
      </c>
      <c r="O926" s="4">
        <v>0</v>
      </c>
    </row>
    <row r="927" spans="1:15" x14ac:dyDescent="0.15">
      <c r="A927" s="4">
        <v>924</v>
      </c>
      <c r="B927" s="4">
        <v>55</v>
      </c>
      <c r="C927" s="4">
        <v>30</v>
      </c>
      <c r="D927" s="4">
        <v>28</v>
      </c>
      <c r="E927" s="4">
        <v>1</v>
      </c>
      <c r="F927" s="8">
        <v>1.5</v>
      </c>
      <c r="G927" s="4">
        <v>2</v>
      </c>
      <c r="H927" s="4">
        <f t="shared" si="28"/>
        <v>0</v>
      </c>
      <c r="I927" s="4">
        <f t="shared" si="29"/>
        <v>1</v>
      </c>
      <c r="J927" s="4">
        <v>0</v>
      </c>
      <c r="K927" s="4">
        <v>0</v>
      </c>
      <c r="L927" s="4">
        <v>0</v>
      </c>
      <c r="M927" s="4">
        <v>0</v>
      </c>
      <c r="N927" s="4">
        <v>0</v>
      </c>
      <c r="O927" s="4">
        <v>0</v>
      </c>
    </row>
    <row r="928" spans="1:15" x14ac:dyDescent="0.15">
      <c r="A928" s="4">
        <v>925</v>
      </c>
      <c r="B928" s="4">
        <v>55</v>
      </c>
      <c r="C928" s="4">
        <v>30</v>
      </c>
      <c r="D928" s="4">
        <v>32</v>
      </c>
      <c r="E928" s="4">
        <v>4</v>
      </c>
      <c r="F928" s="8">
        <v>0.1</v>
      </c>
      <c r="G928" s="4">
        <v>3</v>
      </c>
      <c r="H928" s="4">
        <f t="shared" si="28"/>
        <v>0</v>
      </c>
      <c r="I928" s="4">
        <f t="shared" si="29"/>
        <v>0</v>
      </c>
      <c r="J928" s="4">
        <v>0</v>
      </c>
      <c r="K928" s="4">
        <v>1</v>
      </c>
      <c r="L928" s="4">
        <v>0</v>
      </c>
      <c r="M928" s="4">
        <v>0</v>
      </c>
      <c r="N928" s="4">
        <v>0</v>
      </c>
      <c r="O928" s="4">
        <v>0</v>
      </c>
    </row>
    <row r="929" spans="1:15" x14ac:dyDescent="0.15">
      <c r="A929" s="4">
        <v>926</v>
      </c>
      <c r="B929" s="4">
        <v>42</v>
      </c>
      <c r="C929" s="4">
        <v>18</v>
      </c>
      <c r="D929" s="4">
        <v>31</v>
      </c>
      <c r="E929" s="4">
        <v>1</v>
      </c>
      <c r="F929" s="8">
        <v>0.3</v>
      </c>
      <c r="G929" s="4">
        <v>3</v>
      </c>
      <c r="H929" s="4">
        <f t="shared" si="28"/>
        <v>0</v>
      </c>
      <c r="I929" s="4">
        <f t="shared" si="29"/>
        <v>0</v>
      </c>
      <c r="J929" s="4">
        <v>0</v>
      </c>
      <c r="K929" s="4">
        <v>0</v>
      </c>
      <c r="L929" s="4">
        <v>0</v>
      </c>
      <c r="M929" s="4">
        <v>0</v>
      </c>
      <c r="N929" s="4">
        <v>1</v>
      </c>
      <c r="O929" s="4">
        <v>0</v>
      </c>
    </row>
    <row r="930" spans="1:15" x14ac:dyDescent="0.15">
      <c r="A930" s="4">
        <v>927</v>
      </c>
      <c r="B930" s="4">
        <v>33</v>
      </c>
      <c r="C930" s="4">
        <v>9</v>
      </c>
      <c r="D930" s="4">
        <v>22</v>
      </c>
      <c r="E930" s="4">
        <v>4</v>
      </c>
      <c r="F930" s="8">
        <v>0.4</v>
      </c>
      <c r="G930" s="4">
        <v>2</v>
      </c>
      <c r="H930" s="4">
        <f t="shared" si="28"/>
        <v>0</v>
      </c>
      <c r="I930" s="4">
        <f t="shared" si="29"/>
        <v>1</v>
      </c>
      <c r="J930" s="4">
        <v>103</v>
      </c>
      <c r="K930" s="4">
        <v>0</v>
      </c>
      <c r="L930" s="4">
        <v>0</v>
      </c>
      <c r="M930" s="4">
        <v>1</v>
      </c>
      <c r="N930" s="4">
        <v>0</v>
      </c>
      <c r="O930" s="4">
        <v>0</v>
      </c>
    </row>
    <row r="931" spans="1:15" x14ac:dyDescent="0.15">
      <c r="A931" s="4">
        <v>928</v>
      </c>
      <c r="B931" s="4">
        <v>65</v>
      </c>
      <c r="C931" s="4">
        <v>40</v>
      </c>
      <c r="D931" s="4">
        <v>95</v>
      </c>
      <c r="E931" s="4">
        <v>3</v>
      </c>
      <c r="F931" s="8">
        <v>3.7</v>
      </c>
      <c r="G931" s="4">
        <v>2</v>
      </c>
      <c r="H931" s="4">
        <f t="shared" si="28"/>
        <v>0</v>
      </c>
      <c r="I931" s="4">
        <f t="shared" si="29"/>
        <v>1</v>
      </c>
      <c r="J931" s="4">
        <v>138</v>
      </c>
      <c r="K931" s="4">
        <v>0</v>
      </c>
      <c r="L931" s="4">
        <v>0</v>
      </c>
      <c r="M931" s="4">
        <v>0</v>
      </c>
      <c r="N931" s="4">
        <v>1</v>
      </c>
      <c r="O931" s="4">
        <v>1</v>
      </c>
    </row>
    <row r="932" spans="1:15" x14ac:dyDescent="0.15">
      <c r="A932" s="4">
        <v>929</v>
      </c>
      <c r="B932" s="4">
        <v>35</v>
      </c>
      <c r="C932" s="4">
        <v>10</v>
      </c>
      <c r="D932" s="4">
        <v>74</v>
      </c>
      <c r="E932" s="4">
        <v>4</v>
      </c>
      <c r="F932" s="8">
        <v>1.3</v>
      </c>
      <c r="G932" s="4">
        <v>1</v>
      </c>
      <c r="H932" s="4">
        <f t="shared" si="28"/>
        <v>1</v>
      </c>
      <c r="I932" s="4">
        <f t="shared" si="29"/>
        <v>0</v>
      </c>
      <c r="J932" s="4">
        <v>0</v>
      </c>
      <c r="K932" s="4">
        <v>0</v>
      </c>
      <c r="L932" s="4">
        <v>0</v>
      </c>
      <c r="M932" s="4">
        <v>1</v>
      </c>
      <c r="N932" s="4">
        <v>0</v>
      </c>
      <c r="O932" s="4">
        <v>0</v>
      </c>
    </row>
    <row r="933" spans="1:15" x14ac:dyDescent="0.15">
      <c r="A933" s="4">
        <v>930</v>
      </c>
      <c r="B933" s="4">
        <v>55</v>
      </c>
      <c r="C933" s="4">
        <v>30</v>
      </c>
      <c r="D933" s="4">
        <v>22</v>
      </c>
      <c r="E933" s="4">
        <v>1</v>
      </c>
      <c r="F933" s="8">
        <v>1.5</v>
      </c>
      <c r="G933" s="4">
        <v>2</v>
      </c>
      <c r="H933" s="4">
        <f t="shared" si="28"/>
        <v>0</v>
      </c>
      <c r="I933" s="4">
        <f t="shared" si="29"/>
        <v>1</v>
      </c>
      <c r="J933" s="4">
        <v>91</v>
      </c>
      <c r="K933" s="4">
        <v>0</v>
      </c>
      <c r="L933" s="4">
        <v>0</v>
      </c>
      <c r="M933" s="4">
        <v>0</v>
      </c>
      <c r="N933" s="4">
        <v>1</v>
      </c>
      <c r="O933" s="4">
        <v>0</v>
      </c>
    </row>
    <row r="934" spans="1:15" x14ac:dyDescent="0.15">
      <c r="A934" s="4">
        <v>931</v>
      </c>
      <c r="B934" s="4">
        <v>28</v>
      </c>
      <c r="C934" s="4">
        <v>4</v>
      </c>
      <c r="D934" s="4">
        <v>43</v>
      </c>
      <c r="E934" s="4">
        <v>3</v>
      </c>
      <c r="F934" s="8">
        <v>0.1</v>
      </c>
      <c r="G934" s="4">
        <v>2</v>
      </c>
      <c r="H934" s="4">
        <f t="shared" si="28"/>
        <v>0</v>
      </c>
      <c r="I934" s="4">
        <f t="shared" si="29"/>
        <v>1</v>
      </c>
      <c r="J934" s="4">
        <v>0</v>
      </c>
      <c r="K934" s="4">
        <v>0</v>
      </c>
      <c r="L934" s="4">
        <v>0</v>
      </c>
      <c r="M934" s="4">
        <v>1</v>
      </c>
      <c r="N934" s="4">
        <v>0</v>
      </c>
      <c r="O934" s="4">
        <v>0</v>
      </c>
    </row>
    <row r="935" spans="1:15" x14ac:dyDescent="0.15">
      <c r="A935" s="4">
        <v>932</v>
      </c>
      <c r="B935" s="4">
        <v>27</v>
      </c>
      <c r="C935" s="4">
        <v>3</v>
      </c>
      <c r="D935" s="4">
        <v>43</v>
      </c>
      <c r="E935" s="4">
        <v>1</v>
      </c>
      <c r="F935" s="8">
        <v>1</v>
      </c>
      <c r="G935" s="4">
        <v>3</v>
      </c>
      <c r="H935" s="4">
        <f t="shared" si="28"/>
        <v>0</v>
      </c>
      <c r="I935" s="4">
        <f t="shared" si="29"/>
        <v>0</v>
      </c>
      <c r="J935" s="4">
        <v>0</v>
      </c>
      <c r="K935" s="4">
        <v>0</v>
      </c>
      <c r="L935" s="4">
        <v>0</v>
      </c>
      <c r="M935" s="4">
        <v>1</v>
      </c>
      <c r="N935" s="4">
        <v>0</v>
      </c>
      <c r="O935" s="4">
        <v>0</v>
      </c>
    </row>
    <row r="936" spans="1:15" x14ac:dyDescent="0.15">
      <c r="A936" s="4">
        <v>933</v>
      </c>
      <c r="B936" s="4">
        <v>51</v>
      </c>
      <c r="C936" s="4">
        <v>27</v>
      </c>
      <c r="D936" s="4">
        <v>112</v>
      </c>
      <c r="E936" s="4">
        <v>3</v>
      </c>
      <c r="F936" s="8">
        <v>1.8</v>
      </c>
      <c r="G936" s="4">
        <v>2</v>
      </c>
      <c r="H936" s="4">
        <f t="shared" si="28"/>
        <v>0</v>
      </c>
      <c r="I936" s="4">
        <f t="shared" si="29"/>
        <v>1</v>
      </c>
      <c r="J936" s="4">
        <v>0</v>
      </c>
      <c r="K936" s="4">
        <v>1</v>
      </c>
      <c r="L936" s="4">
        <v>1</v>
      </c>
      <c r="M936" s="4">
        <v>1</v>
      </c>
      <c r="N936" s="4">
        <v>1</v>
      </c>
      <c r="O936" s="4">
        <v>0</v>
      </c>
    </row>
    <row r="937" spans="1:15" x14ac:dyDescent="0.15">
      <c r="A937" s="4">
        <v>934</v>
      </c>
      <c r="B937" s="4">
        <v>50</v>
      </c>
      <c r="C937" s="4">
        <v>23</v>
      </c>
      <c r="D937" s="4">
        <v>9</v>
      </c>
      <c r="E937" s="4">
        <v>2</v>
      </c>
      <c r="F937" s="8">
        <v>1</v>
      </c>
      <c r="G937" s="4">
        <v>2</v>
      </c>
      <c r="H937" s="4">
        <f t="shared" si="28"/>
        <v>0</v>
      </c>
      <c r="I937" s="4">
        <f t="shared" si="29"/>
        <v>1</v>
      </c>
      <c r="J937" s="4">
        <v>0</v>
      </c>
      <c r="K937" s="4">
        <v>0</v>
      </c>
      <c r="L937" s="4">
        <v>0</v>
      </c>
      <c r="M937" s="4">
        <v>1</v>
      </c>
      <c r="N937" s="4">
        <v>0</v>
      </c>
      <c r="O937" s="4">
        <v>0</v>
      </c>
    </row>
    <row r="938" spans="1:15" x14ac:dyDescent="0.15">
      <c r="A938" s="4">
        <v>935</v>
      </c>
      <c r="B938" s="4">
        <v>58</v>
      </c>
      <c r="C938" s="4">
        <v>33</v>
      </c>
      <c r="D938" s="4">
        <v>81</v>
      </c>
      <c r="E938" s="4">
        <v>2</v>
      </c>
      <c r="F938" s="8">
        <v>0</v>
      </c>
      <c r="G938" s="4">
        <v>3</v>
      </c>
      <c r="H938" s="4">
        <f t="shared" si="28"/>
        <v>0</v>
      </c>
      <c r="I938" s="4">
        <f t="shared" si="29"/>
        <v>0</v>
      </c>
      <c r="J938" s="4">
        <v>0</v>
      </c>
      <c r="K938" s="4">
        <v>0</v>
      </c>
      <c r="L938" s="4">
        <v>0</v>
      </c>
      <c r="M938" s="4">
        <v>1</v>
      </c>
      <c r="N938" s="4">
        <v>0</v>
      </c>
      <c r="O938" s="4">
        <v>0</v>
      </c>
    </row>
    <row r="939" spans="1:15" x14ac:dyDescent="0.15">
      <c r="A939" s="4">
        <v>936</v>
      </c>
      <c r="B939" s="4">
        <v>46</v>
      </c>
      <c r="C939" s="4">
        <v>20</v>
      </c>
      <c r="D939" s="4">
        <v>131</v>
      </c>
      <c r="E939" s="4">
        <v>1</v>
      </c>
      <c r="F939" s="8">
        <v>5.7</v>
      </c>
      <c r="G939" s="4">
        <v>1</v>
      </c>
      <c r="H939" s="4">
        <f t="shared" si="28"/>
        <v>1</v>
      </c>
      <c r="I939" s="4">
        <f t="shared" si="29"/>
        <v>0</v>
      </c>
      <c r="J939" s="4">
        <v>256</v>
      </c>
      <c r="K939" s="4">
        <v>0</v>
      </c>
      <c r="L939" s="4">
        <v>0</v>
      </c>
      <c r="M939" s="4">
        <v>0</v>
      </c>
      <c r="N939" s="4">
        <v>1</v>
      </c>
      <c r="O939" s="4">
        <v>0</v>
      </c>
    </row>
    <row r="940" spans="1:15" x14ac:dyDescent="0.15">
      <c r="A940" s="4">
        <v>937</v>
      </c>
      <c r="B940" s="4">
        <v>62</v>
      </c>
      <c r="C940" s="4">
        <v>32</v>
      </c>
      <c r="D940" s="4">
        <v>19</v>
      </c>
      <c r="E940" s="4">
        <v>1</v>
      </c>
      <c r="F940" s="8">
        <v>1.5</v>
      </c>
      <c r="G940" s="4">
        <v>3</v>
      </c>
      <c r="H940" s="4">
        <f t="shared" si="28"/>
        <v>0</v>
      </c>
      <c r="I940" s="4">
        <f t="shared" si="29"/>
        <v>0</v>
      </c>
      <c r="J940" s="4">
        <v>0</v>
      </c>
      <c r="K940" s="4">
        <v>1</v>
      </c>
      <c r="L940" s="4">
        <v>0</v>
      </c>
      <c r="M940" s="4">
        <v>0</v>
      </c>
      <c r="N940" s="4">
        <v>0</v>
      </c>
      <c r="O940" s="4">
        <v>0</v>
      </c>
    </row>
    <row r="941" spans="1:15" x14ac:dyDescent="0.15">
      <c r="A941" s="4">
        <v>938</v>
      </c>
      <c r="B941" s="4">
        <v>38</v>
      </c>
      <c r="C941" s="4">
        <v>13</v>
      </c>
      <c r="D941" s="4">
        <v>62</v>
      </c>
      <c r="E941" s="4">
        <v>3</v>
      </c>
      <c r="F941" s="8">
        <v>0.7</v>
      </c>
      <c r="G941" s="4">
        <v>2</v>
      </c>
      <c r="H941" s="4">
        <f t="shared" si="28"/>
        <v>0</v>
      </c>
      <c r="I941" s="4">
        <f t="shared" si="29"/>
        <v>1</v>
      </c>
      <c r="J941" s="4">
        <v>0</v>
      </c>
      <c r="K941" s="4">
        <v>1</v>
      </c>
      <c r="L941" s="4">
        <v>0</v>
      </c>
      <c r="M941" s="4">
        <v>1</v>
      </c>
      <c r="N941" s="4">
        <v>0</v>
      </c>
      <c r="O941" s="4">
        <v>0</v>
      </c>
    </row>
    <row r="942" spans="1:15" x14ac:dyDescent="0.15">
      <c r="A942" s="4">
        <v>939</v>
      </c>
      <c r="B942" s="4">
        <v>62</v>
      </c>
      <c r="C942" s="4">
        <v>37</v>
      </c>
      <c r="D942" s="4">
        <v>19</v>
      </c>
      <c r="E942" s="4">
        <v>4</v>
      </c>
      <c r="F942" s="8">
        <v>0.4</v>
      </c>
      <c r="G942" s="4">
        <v>2</v>
      </c>
      <c r="H942" s="4">
        <f t="shared" si="28"/>
        <v>0</v>
      </c>
      <c r="I942" s="4">
        <f t="shared" si="29"/>
        <v>1</v>
      </c>
      <c r="J942" s="4">
        <v>124</v>
      </c>
      <c r="K942" s="4">
        <v>1</v>
      </c>
      <c r="L942" s="4">
        <v>0</v>
      </c>
      <c r="M942" s="4">
        <v>0</v>
      </c>
      <c r="N942" s="4">
        <v>0</v>
      </c>
      <c r="O942" s="4">
        <v>0</v>
      </c>
    </row>
    <row r="943" spans="1:15" x14ac:dyDescent="0.15">
      <c r="A943" s="4">
        <v>940</v>
      </c>
      <c r="B943" s="4">
        <v>56</v>
      </c>
      <c r="C943" s="4">
        <v>32</v>
      </c>
      <c r="D943" s="4">
        <v>8</v>
      </c>
      <c r="E943" s="4">
        <v>2</v>
      </c>
      <c r="F943" s="8">
        <v>0.3</v>
      </c>
      <c r="G943" s="4">
        <v>1</v>
      </c>
      <c r="H943" s="4">
        <f t="shared" si="28"/>
        <v>1</v>
      </c>
      <c r="I943" s="4">
        <f t="shared" si="29"/>
        <v>0</v>
      </c>
      <c r="J943" s="4">
        <v>0</v>
      </c>
      <c r="K943" s="4">
        <v>0</v>
      </c>
      <c r="L943" s="4">
        <v>0</v>
      </c>
      <c r="M943" s="4">
        <v>1</v>
      </c>
      <c r="N943" s="4">
        <v>1</v>
      </c>
      <c r="O943" s="4">
        <v>0</v>
      </c>
    </row>
    <row r="944" spans="1:15" x14ac:dyDescent="0.15">
      <c r="A944" s="4">
        <v>941</v>
      </c>
      <c r="B944" s="4">
        <v>61</v>
      </c>
      <c r="C944" s="4">
        <v>36</v>
      </c>
      <c r="D944" s="4">
        <v>193</v>
      </c>
      <c r="E944" s="4">
        <v>1</v>
      </c>
      <c r="F944" s="8">
        <v>4.7</v>
      </c>
      <c r="G944" s="4">
        <v>3</v>
      </c>
      <c r="H944" s="4">
        <f t="shared" si="28"/>
        <v>0</v>
      </c>
      <c r="I944" s="4">
        <f t="shared" si="29"/>
        <v>0</v>
      </c>
      <c r="J944" s="4">
        <v>203</v>
      </c>
      <c r="K944" s="4">
        <v>0</v>
      </c>
      <c r="L944" s="4">
        <v>0</v>
      </c>
      <c r="M944" s="4">
        <v>1</v>
      </c>
      <c r="N944" s="4">
        <v>0</v>
      </c>
      <c r="O944" s="4">
        <v>1</v>
      </c>
    </row>
    <row r="945" spans="1:15" x14ac:dyDescent="0.15">
      <c r="A945" s="4">
        <v>942</v>
      </c>
      <c r="B945" s="4">
        <v>38</v>
      </c>
      <c r="C945" s="4">
        <v>13</v>
      </c>
      <c r="D945" s="4">
        <v>129</v>
      </c>
      <c r="E945" s="4">
        <v>4</v>
      </c>
      <c r="F945" s="8">
        <v>4.4000000000000004</v>
      </c>
      <c r="G945" s="4">
        <v>1</v>
      </c>
      <c r="H945" s="4">
        <f t="shared" si="28"/>
        <v>1</v>
      </c>
      <c r="I945" s="4">
        <f t="shared" si="29"/>
        <v>0</v>
      </c>
      <c r="J945" s="4">
        <v>140</v>
      </c>
      <c r="K945" s="4">
        <v>0</v>
      </c>
      <c r="L945" s="4">
        <v>0</v>
      </c>
      <c r="M945" s="4">
        <v>0</v>
      </c>
      <c r="N945" s="4">
        <v>0</v>
      </c>
      <c r="O945" s="4">
        <v>1</v>
      </c>
    </row>
    <row r="946" spans="1:15" x14ac:dyDescent="0.15">
      <c r="A946" s="4">
        <v>943</v>
      </c>
      <c r="B946" s="4">
        <v>55</v>
      </c>
      <c r="C946" s="4">
        <v>29</v>
      </c>
      <c r="D946" s="4">
        <v>30</v>
      </c>
      <c r="E946" s="4">
        <v>4</v>
      </c>
      <c r="F946" s="8">
        <v>0.7</v>
      </c>
      <c r="G946" s="4">
        <v>2</v>
      </c>
      <c r="H946" s="4">
        <f t="shared" si="28"/>
        <v>0</v>
      </c>
      <c r="I946" s="4">
        <f t="shared" si="29"/>
        <v>1</v>
      </c>
      <c r="J946" s="4">
        <v>0</v>
      </c>
      <c r="K946" s="4">
        <v>0</v>
      </c>
      <c r="L946" s="4">
        <v>0</v>
      </c>
      <c r="M946" s="4">
        <v>0</v>
      </c>
      <c r="N946" s="4">
        <v>1</v>
      </c>
      <c r="O946" s="4">
        <v>0</v>
      </c>
    </row>
    <row r="947" spans="1:15" x14ac:dyDescent="0.15">
      <c r="A947" s="4">
        <v>944</v>
      </c>
      <c r="B947" s="4">
        <v>30</v>
      </c>
      <c r="C947" s="4">
        <v>4</v>
      </c>
      <c r="D947" s="4">
        <v>80</v>
      </c>
      <c r="E947" s="4">
        <v>4</v>
      </c>
      <c r="F947" s="8">
        <v>1.8</v>
      </c>
      <c r="G947" s="4">
        <v>2</v>
      </c>
      <c r="H947" s="4">
        <f t="shared" si="28"/>
        <v>0</v>
      </c>
      <c r="I947" s="4">
        <f t="shared" si="29"/>
        <v>1</v>
      </c>
      <c r="J947" s="4">
        <v>0</v>
      </c>
      <c r="K947" s="4">
        <v>0</v>
      </c>
      <c r="L947" s="4">
        <v>0</v>
      </c>
      <c r="M947" s="4">
        <v>0</v>
      </c>
      <c r="N947" s="4">
        <v>0</v>
      </c>
      <c r="O947" s="4">
        <v>0</v>
      </c>
    </row>
    <row r="948" spans="1:15" x14ac:dyDescent="0.15">
      <c r="A948" s="4">
        <v>945</v>
      </c>
      <c r="B948" s="4">
        <v>41</v>
      </c>
      <c r="C948" s="4">
        <v>15</v>
      </c>
      <c r="D948" s="4">
        <v>22</v>
      </c>
      <c r="E948" s="4">
        <v>4</v>
      </c>
      <c r="F948" s="8">
        <v>1.5</v>
      </c>
      <c r="G948" s="4">
        <v>3</v>
      </c>
      <c r="H948" s="4">
        <f t="shared" si="28"/>
        <v>0</v>
      </c>
      <c r="I948" s="4">
        <f t="shared" si="29"/>
        <v>0</v>
      </c>
      <c r="J948" s="4">
        <v>0</v>
      </c>
      <c r="K948" s="4">
        <v>0</v>
      </c>
      <c r="L948" s="4">
        <v>0</v>
      </c>
      <c r="M948" s="4">
        <v>0</v>
      </c>
      <c r="N948" s="4">
        <v>1</v>
      </c>
      <c r="O948" s="4">
        <v>0</v>
      </c>
    </row>
    <row r="949" spans="1:15" x14ac:dyDescent="0.15">
      <c r="A949" s="4">
        <v>946</v>
      </c>
      <c r="B949" s="4">
        <v>57</v>
      </c>
      <c r="C949" s="4">
        <v>32</v>
      </c>
      <c r="D949" s="4">
        <v>33</v>
      </c>
      <c r="E949" s="4">
        <v>1</v>
      </c>
      <c r="F949" s="8">
        <v>1.5</v>
      </c>
      <c r="G949" s="4">
        <v>2</v>
      </c>
      <c r="H949" s="4">
        <f t="shared" si="28"/>
        <v>0</v>
      </c>
      <c r="I949" s="4">
        <f t="shared" si="29"/>
        <v>1</v>
      </c>
      <c r="J949" s="4">
        <v>0</v>
      </c>
      <c r="K949" s="4">
        <v>0</v>
      </c>
      <c r="L949" s="4">
        <v>0</v>
      </c>
      <c r="M949" s="4">
        <v>1</v>
      </c>
      <c r="N949" s="4">
        <v>0</v>
      </c>
      <c r="O949" s="4">
        <v>0</v>
      </c>
    </row>
    <row r="950" spans="1:15" x14ac:dyDescent="0.15">
      <c r="A950" s="4">
        <v>947</v>
      </c>
      <c r="B950" s="4">
        <v>36</v>
      </c>
      <c r="C950" s="4">
        <v>11</v>
      </c>
      <c r="D950" s="4">
        <v>64</v>
      </c>
      <c r="E950" s="4">
        <v>4</v>
      </c>
      <c r="F950" s="8">
        <v>2.1</v>
      </c>
      <c r="G950" s="4">
        <v>3</v>
      </c>
      <c r="H950" s="4">
        <f t="shared" si="28"/>
        <v>0</v>
      </c>
      <c r="I950" s="4">
        <f t="shared" si="29"/>
        <v>0</v>
      </c>
      <c r="J950" s="4">
        <v>0</v>
      </c>
      <c r="K950" s="4">
        <v>0</v>
      </c>
      <c r="L950" s="4">
        <v>0</v>
      </c>
      <c r="M950" s="4">
        <v>0</v>
      </c>
      <c r="N950" s="4">
        <v>0</v>
      </c>
      <c r="O950" s="4">
        <v>0</v>
      </c>
    </row>
    <row r="951" spans="1:15" x14ac:dyDescent="0.15">
      <c r="A951" s="4">
        <v>948</v>
      </c>
      <c r="B951" s="4">
        <v>55</v>
      </c>
      <c r="C951" s="4">
        <v>29</v>
      </c>
      <c r="D951" s="4">
        <v>60</v>
      </c>
      <c r="E951" s="4">
        <v>3</v>
      </c>
      <c r="F951" s="8">
        <v>2.2000000000000002</v>
      </c>
      <c r="G951" s="4">
        <v>3</v>
      </c>
      <c r="H951" s="4">
        <f t="shared" si="28"/>
        <v>0</v>
      </c>
      <c r="I951" s="4">
        <f t="shared" si="29"/>
        <v>0</v>
      </c>
      <c r="J951" s="4">
        <v>84</v>
      </c>
      <c r="K951" s="4">
        <v>0</v>
      </c>
      <c r="L951" s="4">
        <v>0</v>
      </c>
      <c r="M951" s="4">
        <v>1</v>
      </c>
      <c r="N951" s="4">
        <v>0</v>
      </c>
      <c r="O951" s="4">
        <v>0</v>
      </c>
    </row>
    <row r="952" spans="1:15" x14ac:dyDescent="0.15">
      <c r="A952" s="4">
        <v>949</v>
      </c>
      <c r="B952" s="4">
        <v>30</v>
      </c>
      <c r="C952" s="4">
        <v>4</v>
      </c>
      <c r="D952" s="4">
        <v>81</v>
      </c>
      <c r="E952" s="4">
        <v>1</v>
      </c>
      <c r="F952" s="8">
        <v>2.9</v>
      </c>
      <c r="G952" s="4">
        <v>3</v>
      </c>
      <c r="H952" s="4">
        <f t="shared" si="28"/>
        <v>0</v>
      </c>
      <c r="I952" s="4">
        <f t="shared" si="29"/>
        <v>0</v>
      </c>
      <c r="J952" s="4">
        <v>259</v>
      </c>
      <c r="K952" s="4">
        <v>0</v>
      </c>
      <c r="L952" s="4">
        <v>0</v>
      </c>
      <c r="M952" s="4">
        <v>1</v>
      </c>
      <c r="N952" s="4">
        <v>1</v>
      </c>
      <c r="O952" s="4">
        <v>0</v>
      </c>
    </row>
    <row r="953" spans="1:15" x14ac:dyDescent="0.15">
      <c r="A953" s="4">
        <v>950</v>
      </c>
      <c r="B953" s="4">
        <v>40</v>
      </c>
      <c r="C953" s="4">
        <v>16</v>
      </c>
      <c r="D953" s="4">
        <v>45</v>
      </c>
      <c r="E953" s="4">
        <v>3</v>
      </c>
      <c r="F953" s="8">
        <v>0.6</v>
      </c>
      <c r="G953" s="4">
        <v>2</v>
      </c>
      <c r="H953" s="4">
        <f t="shared" si="28"/>
        <v>0</v>
      </c>
      <c r="I953" s="4">
        <f t="shared" si="29"/>
        <v>1</v>
      </c>
      <c r="J953" s="4">
        <v>204</v>
      </c>
      <c r="K953" s="4">
        <v>0</v>
      </c>
      <c r="L953" s="4">
        <v>0</v>
      </c>
      <c r="M953" s="4">
        <v>1</v>
      </c>
      <c r="N953" s="4">
        <v>0</v>
      </c>
      <c r="O953" s="4">
        <v>0</v>
      </c>
    </row>
    <row r="954" spans="1:15" x14ac:dyDescent="0.15">
      <c r="A954" s="4">
        <v>951</v>
      </c>
      <c r="B954" s="4">
        <v>32</v>
      </c>
      <c r="C954" s="4">
        <v>6</v>
      </c>
      <c r="D954" s="4">
        <v>112</v>
      </c>
      <c r="E954" s="4">
        <v>4</v>
      </c>
      <c r="F954" s="8">
        <v>1.8</v>
      </c>
      <c r="G954" s="4">
        <v>2</v>
      </c>
      <c r="H954" s="4">
        <f t="shared" si="28"/>
        <v>0</v>
      </c>
      <c r="I954" s="4">
        <f t="shared" si="29"/>
        <v>1</v>
      </c>
      <c r="J954" s="4">
        <v>0</v>
      </c>
      <c r="K954" s="4">
        <v>0</v>
      </c>
      <c r="L954" s="4">
        <v>0</v>
      </c>
      <c r="M954" s="4">
        <v>1</v>
      </c>
      <c r="N954" s="4">
        <v>0</v>
      </c>
      <c r="O954" s="4">
        <v>0</v>
      </c>
    </row>
    <row r="955" spans="1:15" x14ac:dyDescent="0.15">
      <c r="A955" s="4">
        <v>952</v>
      </c>
      <c r="B955" s="4">
        <v>59</v>
      </c>
      <c r="C955" s="4">
        <v>34</v>
      </c>
      <c r="D955" s="4">
        <v>83</v>
      </c>
      <c r="E955" s="4">
        <v>2</v>
      </c>
      <c r="F955" s="8">
        <v>3.4</v>
      </c>
      <c r="G955" s="4">
        <v>3</v>
      </c>
      <c r="H955" s="4">
        <f t="shared" si="28"/>
        <v>0</v>
      </c>
      <c r="I955" s="4">
        <f t="shared" si="29"/>
        <v>0</v>
      </c>
      <c r="J955" s="4">
        <v>0</v>
      </c>
      <c r="K955" s="4">
        <v>0</v>
      </c>
      <c r="L955" s="4">
        <v>0</v>
      </c>
      <c r="M955" s="4">
        <v>1</v>
      </c>
      <c r="N955" s="4">
        <v>0</v>
      </c>
      <c r="O955" s="4">
        <v>1</v>
      </c>
    </row>
    <row r="956" spans="1:15" x14ac:dyDescent="0.15">
      <c r="A956" s="4">
        <v>953</v>
      </c>
      <c r="B956" s="4">
        <v>44</v>
      </c>
      <c r="C956" s="4">
        <v>20</v>
      </c>
      <c r="D956" s="4">
        <v>180</v>
      </c>
      <c r="E956" s="4">
        <v>2</v>
      </c>
      <c r="F956" s="8">
        <v>7.6</v>
      </c>
      <c r="G956" s="4">
        <v>1</v>
      </c>
      <c r="H956" s="4">
        <f t="shared" si="28"/>
        <v>1</v>
      </c>
      <c r="I956" s="4">
        <f t="shared" si="29"/>
        <v>0</v>
      </c>
      <c r="J956" s="4">
        <v>524</v>
      </c>
      <c r="K956" s="4">
        <v>0</v>
      </c>
      <c r="L956" s="4">
        <v>0</v>
      </c>
      <c r="M956" s="4">
        <v>0</v>
      </c>
      <c r="N956" s="4">
        <v>1</v>
      </c>
      <c r="O956" s="4">
        <v>0</v>
      </c>
    </row>
    <row r="957" spans="1:15" x14ac:dyDescent="0.15">
      <c r="A957" s="4">
        <v>954</v>
      </c>
      <c r="B957" s="4">
        <v>51</v>
      </c>
      <c r="C957" s="4">
        <v>26</v>
      </c>
      <c r="D957" s="4">
        <v>28</v>
      </c>
      <c r="E957" s="4">
        <v>4</v>
      </c>
      <c r="F957" s="8">
        <v>0.2</v>
      </c>
      <c r="G957" s="4">
        <v>2</v>
      </c>
      <c r="H957" s="4">
        <f t="shared" si="28"/>
        <v>0</v>
      </c>
      <c r="I957" s="4">
        <f t="shared" si="29"/>
        <v>1</v>
      </c>
      <c r="J957" s="4">
        <v>0</v>
      </c>
      <c r="K957" s="4">
        <v>1</v>
      </c>
      <c r="L957" s="4">
        <v>0</v>
      </c>
      <c r="M957" s="4">
        <v>1</v>
      </c>
      <c r="N957" s="4">
        <v>0</v>
      </c>
      <c r="O957" s="4">
        <v>0</v>
      </c>
    </row>
    <row r="958" spans="1:15" x14ac:dyDescent="0.15">
      <c r="A958" s="4">
        <v>955</v>
      </c>
      <c r="B958" s="4">
        <v>37</v>
      </c>
      <c r="C958" s="4">
        <v>12</v>
      </c>
      <c r="D958" s="4">
        <v>169</v>
      </c>
      <c r="E958" s="4">
        <v>2</v>
      </c>
      <c r="F958" s="8">
        <v>5.2</v>
      </c>
      <c r="G958" s="4">
        <v>3</v>
      </c>
      <c r="H958" s="4">
        <f t="shared" si="28"/>
        <v>0</v>
      </c>
      <c r="I958" s="4">
        <f t="shared" si="29"/>
        <v>0</v>
      </c>
      <c r="J958" s="4">
        <v>249</v>
      </c>
      <c r="K958" s="4">
        <v>0</v>
      </c>
      <c r="L958" s="4">
        <v>0</v>
      </c>
      <c r="M958" s="4">
        <v>1</v>
      </c>
      <c r="N958" s="4">
        <v>0</v>
      </c>
      <c r="O958" s="4">
        <v>1</v>
      </c>
    </row>
    <row r="959" spans="1:15" x14ac:dyDescent="0.15">
      <c r="A959" s="4">
        <v>956</v>
      </c>
      <c r="B959" s="4">
        <v>59</v>
      </c>
      <c r="C959" s="4">
        <v>35</v>
      </c>
      <c r="D959" s="4">
        <v>14</v>
      </c>
      <c r="E959" s="4">
        <v>4</v>
      </c>
      <c r="F959" s="8">
        <v>0.7</v>
      </c>
      <c r="G959" s="4">
        <v>1</v>
      </c>
      <c r="H959" s="4">
        <f t="shared" si="28"/>
        <v>1</v>
      </c>
      <c r="I959" s="4">
        <f t="shared" si="29"/>
        <v>0</v>
      </c>
      <c r="J959" s="4">
        <v>0</v>
      </c>
      <c r="K959" s="4">
        <v>0</v>
      </c>
      <c r="L959" s="4">
        <v>0</v>
      </c>
      <c r="M959" s="4">
        <v>1</v>
      </c>
      <c r="N959" s="4">
        <v>0</v>
      </c>
      <c r="O959" s="4">
        <v>0</v>
      </c>
    </row>
    <row r="960" spans="1:15" x14ac:dyDescent="0.15">
      <c r="A960" s="4">
        <v>957</v>
      </c>
      <c r="B960" s="4">
        <v>37</v>
      </c>
      <c r="C960" s="4">
        <v>11</v>
      </c>
      <c r="D960" s="4">
        <v>43</v>
      </c>
      <c r="E960" s="4">
        <v>1</v>
      </c>
      <c r="F960" s="8">
        <v>2</v>
      </c>
      <c r="G960" s="4">
        <v>1</v>
      </c>
      <c r="H960" s="4">
        <f t="shared" si="28"/>
        <v>1</v>
      </c>
      <c r="I960" s="4">
        <f t="shared" si="29"/>
        <v>0</v>
      </c>
      <c r="J960" s="4">
        <v>0</v>
      </c>
      <c r="K960" s="4">
        <v>0</v>
      </c>
      <c r="L960" s="4">
        <v>0</v>
      </c>
      <c r="M960" s="4">
        <v>1</v>
      </c>
      <c r="N960" s="4">
        <v>0</v>
      </c>
      <c r="O960" s="4">
        <v>0</v>
      </c>
    </row>
    <row r="961" spans="1:15" x14ac:dyDescent="0.15">
      <c r="A961" s="4">
        <v>958</v>
      </c>
      <c r="B961" s="4">
        <v>56</v>
      </c>
      <c r="C961" s="4">
        <v>32</v>
      </c>
      <c r="D961" s="4">
        <v>88</v>
      </c>
      <c r="E961" s="4">
        <v>2</v>
      </c>
      <c r="F961" s="8">
        <v>0.3</v>
      </c>
      <c r="G961" s="4">
        <v>1</v>
      </c>
      <c r="H961" s="4">
        <f t="shared" si="28"/>
        <v>1</v>
      </c>
      <c r="I961" s="4">
        <f t="shared" si="29"/>
        <v>0</v>
      </c>
      <c r="J961" s="4">
        <v>0</v>
      </c>
      <c r="K961" s="4">
        <v>0</v>
      </c>
      <c r="L961" s="4">
        <v>0</v>
      </c>
      <c r="M961" s="4">
        <v>1</v>
      </c>
      <c r="N961" s="4">
        <v>0</v>
      </c>
      <c r="O961" s="4">
        <v>0</v>
      </c>
    </row>
    <row r="962" spans="1:15" x14ac:dyDescent="0.15">
      <c r="A962" s="4">
        <v>959</v>
      </c>
      <c r="B962" s="4">
        <v>55</v>
      </c>
      <c r="C962" s="4">
        <v>29</v>
      </c>
      <c r="D962" s="4">
        <v>78</v>
      </c>
      <c r="E962" s="4">
        <v>4</v>
      </c>
      <c r="F962" s="8">
        <v>2.6</v>
      </c>
      <c r="G962" s="4">
        <v>3</v>
      </c>
      <c r="H962" s="4">
        <f t="shared" si="28"/>
        <v>0</v>
      </c>
      <c r="I962" s="4">
        <f t="shared" si="29"/>
        <v>0</v>
      </c>
      <c r="J962" s="4">
        <v>0</v>
      </c>
      <c r="K962" s="4">
        <v>0</v>
      </c>
      <c r="L962" s="4">
        <v>0</v>
      </c>
      <c r="M962" s="4">
        <v>0</v>
      </c>
      <c r="N962" s="4">
        <v>1</v>
      </c>
      <c r="O962" s="4">
        <v>0</v>
      </c>
    </row>
    <row r="963" spans="1:15" x14ac:dyDescent="0.15">
      <c r="A963" s="4">
        <v>960</v>
      </c>
      <c r="B963" s="4">
        <v>49</v>
      </c>
      <c r="C963" s="4">
        <v>24</v>
      </c>
      <c r="D963" s="4">
        <v>68</v>
      </c>
      <c r="E963" s="4">
        <v>1</v>
      </c>
      <c r="F963" s="8">
        <v>0.2</v>
      </c>
      <c r="G963" s="4">
        <v>2</v>
      </c>
      <c r="H963" s="4">
        <f t="shared" si="28"/>
        <v>0</v>
      </c>
      <c r="I963" s="4">
        <f t="shared" si="29"/>
        <v>1</v>
      </c>
      <c r="J963" s="4">
        <v>163</v>
      </c>
      <c r="K963" s="4">
        <v>0</v>
      </c>
      <c r="L963" s="4">
        <v>0</v>
      </c>
      <c r="M963" s="4">
        <v>0</v>
      </c>
      <c r="N963" s="4">
        <v>0</v>
      </c>
      <c r="O963" s="4">
        <v>0</v>
      </c>
    </row>
    <row r="964" spans="1:15" x14ac:dyDescent="0.15">
      <c r="A964" s="4">
        <v>961</v>
      </c>
      <c r="B964" s="4">
        <v>46</v>
      </c>
      <c r="C964" s="4">
        <v>22</v>
      </c>
      <c r="D964" s="4">
        <v>144</v>
      </c>
      <c r="E964" s="4">
        <v>2</v>
      </c>
      <c r="F964" s="8">
        <v>3.3</v>
      </c>
      <c r="G964" s="4">
        <v>1</v>
      </c>
      <c r="H964" s="4">
        <f t="shared" si="28"/>
        <v>1</v>
      </c>
      <c r="I964" s="4">
        <f t="shared" si="29"/>
        <v>0</v>
      </c>
      <c r="J964" s="4">
        <v>0</v>
      </c>
      <c r="K964" s="4">
        <v>0</v>
      </c>
      <c r="L964" s="4">
        <v>0</v>
      </c>
      <c r="M964" s="4">
        <v>1</v>
      </c>
      <c r="N964" s="4">
        <v>1</v>
      </c>
      <c r="O964" s="4">
        <v>0</v>
      </c>
    </row>
    <row r="965" spans="1:15" x14ac:dyDescent="0.15">
      <c r="A965" s="4">
        <v>962</v>
      </c>
      <c r="B965" s="4">
        <v>35</v>
      </c>
      <c r="C965" s="4">
        <v>9</v>
      </c>
      <c r="D965" s="4">
        <v>30</v>
      </c>
      <c r="E965" s="4">
        <v>4</v>
      </c>
      <c r="F965" s="8">
        <v>1</v>
      </c>
      <c r="G965" s="4">
        <v>1</v>
      </c>
      <c r="H965" s="4">
        <f t="shared" ref="H965:H1028" si="30">IF(G965=1,1,0)</f>
        <v>1</v>
      </c>
      <c r="I965" s="4">
        <f t="shared" ref="I965:I1028" si="31">IF(G965=2,1,0)</f>
        <v>0</v>
      </c>
      <c r="J965" s="4">
        <v>163</v>
      </c>
      <c r="K965" s="4">
        <v>0</v>
      </c>
      <c r="L965" s="4">
        <v>0</v>
      </c>
      <c r="M965" s="4">
        <v>1</v>
      </c>
      <c r="N965" s="4">
        <v>0</v>
      </c>
      <c r="O965" s="4">
        <v>0</v>
      </c>
    </row>
    <row r="966" spans="1:15" x14ac:dyDescent="0.15">
      <c r="A966" s="4">
        <v>963</v>
      </c>
      <c r="B966" s="4">
        <v>47</v>
      </c>
      <c r="C966" s="4">
        <v>21</v>
      </c>
      <c r="D966" s="4">
        <v>120</v>
      </c>
      <c r="E966" s="4">
        <v>1</v>
      </c>
      <c r="F966" s="8">
        <v>0</v>
      </c>
      <c r="G966" s="4">
        <v>1</v>
      </c>
      <c r="H966" s="4">
        <f t="shared" si="30"/>
        <v>1</v>
      </c>
      <c r="I966" s="4">
        <f t="shared" si="31"/>
        <v>0</v>
      </c>
      <c r="J966" s="4">
        <v>135</v>
      </c>
      <c r="K966" s="4">
        <v>0</v>
      </c>
      <c r="L966" s="4">
        <v>0</v>
      </c>
      <c r="M966" s="4">
        <v>0</v>
      </c>
      <c r="N966" s="4">
        <v>0</v>
      </c>
      <c r="O966" s="4">
        <v>0</v>
      </c>
    </row>
    <row r="967" spans="1:15" x14ac:dyDescent="0.15">
      <c r="A967" s="4">
        <v>964</v>
      </c>
      <c r="B967" s="4">
        <v>39</v>
      </c>
      <c r="C967" s="4">
        <v>14</v>
      </c>
      <c r="D967" s="4">
        <v>24</v>
      </c>
      <c r="E967" s="4">
        <v>2</v>
      </c>
      <c r="F967" s="8">
        <v>0.3</v>
      </c>
      <c r="G967" s="4">
        <v>2</v>
      </c>
      <c r="H967" s="4">
        <f t="shared" si="30"/>
        <v>0</v>
      </c>
      <c r="I967" s="4">
        <f t="shared" si="31"/>
        <v>1</v>
      </c>
      <c r="J967" s="4">
        <v>0</v>
      </c>
      <c r="K967" s="4">
        <v>0</v>
      </c>
      <c r="L967" s="4">
        <v>0</v>
      </c>
      <c r="M967" s="4">
        <v>0</v>
      </c>
      <c r="N967" s="4">
        <v>0</v>
      </c>
      <c r="O967" s="4">
        <v>0</v>
      </c>
    </row>
    <row r="968" spans="1:15" x14ac:dyDescent="0.15">
      <c r="A968" s="4">
        <v>965</v>
      </c>
      <c r="B968" s="4">
        <v>27</v>
      </c>
      <c r="C968" s="4">
        <v>1</v>
      </c>
      <c r="D968" s="4">
        <v>78</v>
      </c>
      <c r="E968" s="4">
        <v>4</v>
      </c>
      <c r="F968" s="8">
        <v>2.2999999999999998</v>
      </c>
      <c r="G968" s="4">
        <v>3</v>
      </c>
      <c r="H968" s="4">
        <f t="shared" si="30"/>
        <v>0</v>
      </c>
      <c r="I968" s="4">
        <f t="shared" si="31"/>
        <v>0</v>
      </c>
      <c r="J968" s="4">
        <v>157</v>
      </c>
      <c r="K968" s="4">
        <v>1</v>
      </c>
      <c r="L968" s="4">
        <v>0</v>
      </c>
      <c r="M968" s="4">
        <v>1</v>
      </c>
      <c r="N968" s="4">
        <v>0</v>
      </c>
      <c r="O968" s="4">
        <v>0</v>
      </c>
    </row>
    <row r="969" spans="1:15" x14ac:dyDescent="0.15">
      <c r="A969" s="4">
        <v>966</v>
      </c>
      <c r="B969" s="4">
        <v>62</v>
      </c>
      <c r="C969" s="4">
        <v>36</v>
      </c>
      <c r="D969" s="4">
        <v>135</v>
      </c>
      <c r="E969" s="4">
        <v>2</v>
      </c>
      <c r="F969" s="8">
        <v>5.2</v>
      </c>
      <c r="G969" s="4">
        <v>2</v>
      </c>
      <c r="H969" s="4">
        <f t="shared" si="30"/>
        <v>0</v>
      </c>
      <c r="I969" s="4">
        <f t="shared" si="31"/>
        <v>1</v>
      </c>
      <c r="J969" s="4">
        <v>0</v>
      </c>
      <c r="K969" s="4">
        <v>0</v>
      </c>
      <c r="L969" s="4">
        <v>0</v>
      </c>
      <c r="M969" s="4">
        <v>1</v>
      </c>
      <c r="N969" s="4">
        <v>0</v>
      </c>
      <c r="O969" s="4">
        <v>1</v>
      </c>
    </row>
    <row r="970" spans="1:15" x14ac:dyDescent="0.15">
      <c r="A970" s="4">
        <v>967</v>
      </c>
      <c r="B970" s="4">
        <v>57</v>
      </c>
      <c r="C970" s="4">
        <v>32</v>
      </c>
      <c r="D970" s="4">
        <v>44</v>
      </c>
      <c r="E970" s="4">
        <v>2</v>
      </c>
      <c r="F970" s="8">
        <v>1.6</v>
      </c>
      <c r="G970" s="4">
        <v>3</v>
      </c>
      <c r="H970" s="4">
        <f t="shared" si="30"/>
        <v>0</v>
      </c>
      <c r="I970" s="4">
        <f t="shared" si="31"/>
        <v>0</v>
      </c>
      <c r="J970" s="4">
        <v>0</v>
      </c>
      <c r="K970" s="4">
        <v>0</v>
      </c>
      <c r="L970" s="4">
        <v>0</v>
      </c>
      <c r="M970" s="4">
        <v>0</v>
      </c>
      <c r="N970" s="4">
        <v>0</v>
      </c>
      <c r="O970" s="4">
        <v>0</v>
      </c>
    </row>
    <row r="971" spans="1:15" x14ac:dyDescent="0.15">
      <c r="A971" s="4">
        <v>968</v>
      </c>
      <c r="B971" s="4">
        <v>55</v>
      </c>
      <c r="C971" s="4">
        <v>30</v>
      </c>
      <c r="D971" s="4">
        <v>73</v>
      </c>
      <c r="E971" s="4">
        <v>4</v>
      </c>
      <c r="F971" s="8">
        <v>3.8</v>
      </c>
      <c r="G971" s="4">
        <v>2</v>
      </c>
      <c r="H971" s="4">
        <f t="shared" si="30"/>
        <v>0</v>
      </c>
      <c r="I971" s="4">
        <f t="shared" si="31"/>
        <v>1</v>
      </c>
      <c r="J971" s="4">
        <v>0</v>
      </c>
      <c r="K971" s="4">
        <v>0</v>
      </c>
      <c r="L971" s="4">
        <v>0</v>
      </c>
      <c r="M971" s="4">
        <v>1</v>
      </c>
      <c r="N971" s="4">
        <v>0</v>
      </c>
      <c r="O971" s="4">
        <v>0</v>
      </c>
    </row>
    <row r="972" spans="1:15" x14ac:dyDescent="0.15">
      <c r="A972" s="4">
        <v>969</v>
      </c>
      <c r="B972" s="4">
        <v>55</v>
      </c>
      <c r="C972" s="4">
        <v>31</v>
      </c>
      <c r="D972" s="4">
        <v>90</v>
      </c>
      <c r="E972" s="4">
        <v>1</v>
      </c>
      <c r="F972" s="8">
        <v>2.7</v>
      </c>
      <c r="G972" s="4">
        <v>2</v>
      </c>
      <c r="H972" s="4">
        <f t="shared" si="30"/>
        <v>0</v>
      </c>
      <c r="I972" s="4">
        <f t="shared" si="31"/>
        <v>1</v>
      </c>
      <c r="J972" s="4">
        <v>0</v>
      </c>
      <c r="K972" s="4">
        <v>0</v>
      </c>
      <c r="L972" s="4">
        <v>0</v>
      </c>
      <c r="M972" s="4">
        <v>1</v>
      </c>
      <c r="N972" s="4">
        <v>1</v>
      </c>
      <c r="O972" s="4">
        <v>0</v>
      </c>
    </row>
    <row r="973" spans="1:15" x14ac:dyDescent="0.15">
      <c r="A973" s="4">
        <v>970</v>
      </c>
      <c r="B973" s="4">
        <v>41</v>
      </c>
      <c r="C973" s="4">
        <v>15</v>
      </c>
      <c r="D973" s="4">
        <v>58</v>
      </c>
      <c r="E973" s="4">
        <v>3</v>
      </c>
      <c r="F973" s="8">
        <v>0.5</v>
      </c>
      <c r="G973" s="4">
        <v>3</v>
      </c>
      <c r="H973" s="4">
        <f t="shared" si="30"/>
        <v>0</v>
      </c>
      <c r="I973" s="4">
        <f t="shared" si="31"/>
        <v>0</v>
      </c>
      <c r="J973" s="4">
        <v>0</v>
      </c>
      <c r="K973" s="4">
        <v>0</v>
      </c>
      <c r="L973" s="4">
        <v>0</v>
      </c>
      <c r="M973" s="4">
        <v>1</v>
      </c>
      <c r="N973" s="4">
        <v>0</v>
      </c>
      <c r="O973" s="4">
        <v>0</v>
      </c>
    </row>
    <row r="974" spans="1:15" x14ac:dyDescent="0.15">
      <c r="A974" s="4">
        <v>971</v>
      </c>
      <c r="B974" s="4">
        <v>57</v>
      </c>
      <c r="C974" s="4">
        <v>32</v>
      </c>
      <c r="D974" s="4">
        <v>75</v>
      </c>
      <c r="E974" s="4">
        <v>2</v>
      </c>
      <c r="F974" s="8">
        <v>3.7</v>
      </c>
      <c r="G974" s="4">
        <v>1</v>
      </c>
      <c r="H974" s="4">
        <f t="shared" si="30"/>
        <v>1</v>
      </c>
      <c r="I974" s="4">
        <f t="shared" si="31"/>
        <v>0</v>
      </c>
      <c r="J974" s="4">
        <v>236</v>
      </c>
      <c r="K974" s="4">
        <v>0</v>
      </c>
      <c r="L974" s="4">
        <v>0</v>
      </c>
      <c r="M974" s="4">
        <v>1</v>
      </c>
      <c r="N974" s="4">
        <v>0</v>
      </c>
      <c r="O974" s="4">
        <v>0</v>
      </c>
    </row>
    <row r="975" spans="1:15" x14ac:dyDescent="0.15">
      <c r="A975" s="4">
        <v>972</v>
      </c>
      <c r="B975" s="4">
        <v>43</v>
      </c>
      <c r="C975" s="4">
        <v>19</v>
      </c>
      <c r="D975" s="4">
        <v>174</v>
      </c>
      <c r="E975" s="4">
        <v>3</v>
      </c>
      <c r="F975" s="8">
        <v>1.7</v>
      </c>
      <c r="G975" s="4">
        <v>3</v>
      </c>
      <c r="H975" s="4">
        <f t="shared" si="30"/>
        <v>0</v>
      </c>
      <c r="I975" s="4">
        <f t="shared" si="31"/>
        <v>0</v>
      </c>
      <c r="J975" s="4">
        <v>231</v>
      </c>
      <c r="K975" s="4">
        <v>0</v>
      </c>
      <c r="L975" s="4">
        <v>1</v>
      </c>
      <c r="M975" s="4">
        <v>1</v>
      </c>
      <c r="N975" s="4">
        <v>1</v>
      </c>
      <c r="O975" s="4">
        <v>1</v>
      </c>
    </row>
    <row r="976" spans="1:15" x14ac:dyDescent="0.15">
      <c r="A976" s="4">
        <v>973</v>
      </c>
      <c r="B976" s="4">
        <v>40</v>
      </c>
      <c r="C976" s="4">
        <v>16</v>
      </c>
      <c r="D976" s="4">
        <v>50</v>
      </c>
      <c r="E976" s="4">
        <v>2</v>
      </c>
      <c r="F976" s="8">
        <v>1.7</v>
      </c>
      <c r="G976" s="4">
        <v>1</v>
      </c>
      <c r="H976" s="4">
        <f t="shared" si="30"/>
        <v>1</v>
      </c>
      <c r="I976" s="4">
        <f t="shared" si="31"/>
        <v>0</v>
      </c>
      <c r="J976" s="4">
        <v>174</v>
      </c>
      <c r="K976" s="4">
        <v>0</v>
      </c>
      <c r="L976" s="4">
        <v>0</v>
      </c>
      <c r="M976" s="4">
        <v>0</v>
      </c>
      <c r="N976" s="4">
        <v>0</v>
      </c>
      <c r="O976" s="4">
        <v>0</v>
      </c>
    </row>
    <row r="977" spans="1:15" x14ac:dyDescent="0.15">
      <c r="A977" s="4">
        <v>974</v>
      </c>
      <c r="B977" s="4">
        <v>43</v>
      </c>
      <c r="C977" s="4">
        <v>18</v>
      </c>
      <c r="D977" s="4">
        <v>85</v>
      </c>
      <c r="E977" s="4">
        <v>1</v>
      </c>
      <c r="F977" s="8">
        <v>4</v>
      </c>
      <c r="G977" s="4">
        <v>3</v>
      </c>
      <c r="H977" s="4">
        <f t="shared" si="30"/>
        <v>0</v>
      </c>
      <c r="I977" s="4">
        <f t="shared" si="31"/>
        <v>0</v>
      </c>
      <c r="J977" s="4">
        <v>287</v>
      </c>
      <c r="K977" s="4">
        <v>0</v>
      </c>
      <c r="L977" s="4">
        <v>0</v>
      </c>
      <c r="M977" s="4">
        <v>1</v>
      </c>
      <c r="N977" s="4">
        <v>0</v>
      </c>
      <c r="O977" s="4">
        <v>0</v>
      </c>
    </row>
    <row r="978" spans="1:15" x14ac:dyDescent="0.15">
      <c r="A978" s="4">
        <v>975</v>
      </c>
      <c r="B978" s="4">
        <v>63</v>
      </c>
      <c r="C978" s="4">
        <v>38</v>
      </c>
      <c r="D978" s="4">
        <v>54</v>
      </c>
      <c r="E978" s="4">
        <v>3</v>
      </c>
      <c r="F978" s="8">
        <v>2.2000000000000002</v>
      </c>
      <c r="G978" s="4">
        <v>1</v>
      </c>
      <c r="H978" s="4">
        <f t="shared" si="30"/>
        <v>1</v>
      </c>
      <c r="I978" s="4">
        <f t="shared" si="31"/>
        <v>0</v>
      </c>
      <c r="J978" s="4">
        <v>0</v>
      </c>
      <c r="K978" s="4">
        <v>0</v>
      </c>
      <c r="L978" s="4">
        <v>0</v>
      </c>
      <c r="M978" s="4">
        <v>1</v>
      </c>
      <c r="N978" s="4">
        <v>0</v>
      </c>
      <c r="O978" s="4">
        <v>0</v>
      </c>
    </row>
    <row r="979" spans="1:15" x14ac:dyDescent="0.15">
      <c r="A979" s="4">
        <v>976</v>
      </c>
      <c r="B979" s="4">
        <v>63</v>
      </c>
      <c r="C979" s="4">
        <v>38</v>
      </c>
      <c r="D979" s="4">
        <v>83</v>
      </c>
      <c r="E979" s="4">
        <v>2</v>
      </c>
      <c r="F979" s="8">
        <v>3.4</v>
      </c>
      <c r="G979" s="4">
        <v>1</v>
      </c>
      <c r="H979" s="4">
        <f t="shared" si="30"/>
        <v>1</v>
      </c>
      <c r="I979" s="4">
        <f t="shared" si="31"/>
        <v>0</v>
      </c>
      <c r="J979" s="4">
        <v>0</v>
      </c>
      <c r="K979" s="4">
        <v>0</v>
      </c>
      <c r="L979" s="4">
        <v>0</v>
      </c>
      <c r="M979" s="4">
        <v>0</v>
      </c>
      <c r="N979" s="4">
        <v>0</v>
      </c>
      <c r="O979" s="4">
        <v>1</v>
      </c>
    </row>
    <row r="980" spans="1:15" x14ac:dyDescent="0.15">
      <c r="A980" s="4">
        <v>977</v>
      </c>
      <c r="B980" s="4">
        <v>54</v>
      </c>
      <c r="C980" s="4">
        <v>30</v>
      </c>
      <c r="D980" s="4">
        <v>24</v>
      </c>
      <c r="E980" s="4">
        <v>4</v>
      </c>
      <c r="F980" s="8">
        <v>0.2</v>
      </c>
      <c r="G980" s="4">
        <v>1</v>
      </c>
      <c r="H980" s="4">
        <f t="shared" si="30"/>
        <v>1</v>
      </c>
      <c r="I980" s="4">
        <f t="shared" si="31"/>
        <v>0</v>
      </c>
      <c r="J980" s="4">
        <v>0</v>
      </c>
      <c r="K980" s="4">
        <v>1</v>
      </c>
      <c r="L980" s="4">
        <v>0</v>
      </c>
      <c r="M980" s="4">
        <v>0</v>
      </c>
      <c r="N980" s="4">
        <v>0</v>
      </c>
      <c r="O980" s="4">
        <v>0</v>
      </c>
    </row>
    <row r="981" spans="1:15" x14ac:dyDescent="0.15">
      <c r="A981" s="4">
        <v>978</v>
      </c>
      <c r="B981" s="4">
        <v>54</v>
      </c>
      <c r="C981" s="4">
        <v>30</v>
      </c>
      <c r="D981" s="4">
        <v>45</v>
      </c>
      <c r="E981" s="4">
        <v>4</v>
      </c>
      <c r="F981" s="8">
        <v>1.1000000000000001</v>
      </c>
      <c r="G981" s="4">
        <v>2</v>
      </c>
      <c r="H981" s="4">
        <f t="shared" si="30"/>
        <v>0</v>
      </c>
      <c r="I981" s="4">
        <f t="shared" si="31"/>
        <v>1</v>
      </c>
      <c r="J981" s="4">
        <v>205</v>
      </c>
      <c r="K981" s="4">
        <v>0</v>
      </c>
      <c r="L981" s="4">
        <v>0</v>
      </c>
      <c r="M981" s="4">
        <v>1</v>
      </c>
      <c r="N981" s="4">
        <v>0</v>
      </c>
      <c r="O981" s="4">
        <v>0</v>
      </c>
    </row>
    <row r="982" spans="1:15" x14ac:dyDescent="0.15">
      <c r="A982" s="4">
        <v>979</v>
      </c>
      <c r="B982" s="4">
        <v>52</v>
      </c>
      <c r="C982" s="4">
        <v>26</v>
      </c>
      <c r="D982" s="4">
        <v>68</v>
      </c>
      <c r="E982" s="4">
        <v>1</v>
      </c>
      <c r="F982" s="8">
        <v>0.8</v>
      </c>
      <c r="G982" s="4">
        <v>3</v>
      </c>
      <c r="H982" s="4">
        <f t="shared" si="30"/>
        <v>0</v>
      </c>
      <c r="I982" s="4">
        <f t="shared" si="31"/>
        <v>0</v>
      </c>
      <c r="J982" s="4">
        <v>0</v>
      </c>
      <c r="K982" s="4">
        <v>0</v>
      </c>
      <c r="L982" s="4">
        <v>0</v>
      </c>
      <c r="M982" s="4">
        <v>1</v>
      </c>
      <c r="N982" s="4">
        <v>1</v>
      </c>
      <c r="O982" s="4">
        <v>0</v>
      </c>
    </row>
    <row r="983" spans="1:15" x14ac:dyDescent="0.15">
      <c r="A983" s="4">
        <v>980</v>
      </c>
      <c r="B983" s="4">
        <v>50</v>
      </c>
      <c r="C983" s="4">
        <v>26</v>
      </c>
      <c r="D983" s="4">
        <v>48</v>
      </c>
      <c r="E983" s="4">
        <v>4</v>
      </c>
      <c r="F983" s="8">
        <v>0.1</v>
      </c>
      <c r="G983" s="4">
        <v>3</v>
      </c>
      <c r="H983" s="4">
        <f t="shared" si="30"/>
        <v>0</v>
      </c>
      <c r="I983" s="4">
        <f t="shared" si="31"/>
        <v>0</v>
      </c>
      <c r="J983" s="4">
        <v>0</v>
      </c>
      <c r="K983" s="4">
        <v>0</v>
      </c>
      <c r="L983" s="4">
        <v>0</v>
      </c>
      <c r="M983" s="4">
        <v>0</v>
      </c>
      <c r="N983" s="4">
        <v>1</v>
      </c>
      <c r="O983" s="4">
        <v>0</v>
      </c>
    </row>
    <row r="984" spans="1:15" x14ac:dyDescent="0.15">
      <c r="A984" s="4">
        <v>981</v>
      </c>
      <c r="B984" s="4">
        <v>38</v>
      </c>
      <c r="C984" s="4">
        <v>13</v>
      </c>
      <c r="D984" s="4">
        <v>114</v>
      </c>
      <c r="E984" s="4">
        <v>1</v>
      </c>
      <c r="F984" s="8">
        <v>1</v>
      </c>
      <c r="G984" s="4">
        <v>3</v>
      </c>
      <c r="H984" s="4">
        <f t="shared" si="30"/>
        <v>0</v>
      </c>
      <c r="I984" s="4">
        <f t="shared" si="31"/>
        <v>0</v>
      </c>
      <c r="J984" s="4">
        <v>0</v>
      </c>
      <c r="K984" s="4">
        <v>0</v>
      </c>
      <c r="L984" s="4">
        <v>0</v>
      </c>
      <c r="M984" s="4">
        <v>1</v>
      </c>
      <c r="N984" s="4">
        <v>1</v>
      </c>
      <c r="O984" s="4">
        <v>0</v>
      </c>
    </row>
    <row r="985" spans="1:15" x14ac:dyDescent="0.15">
      <c r="A985" s="4">
        <v>982</v>
      </c>
      <c r="B985" s="4">
        <v>36</v>
      </c>
      <c r="C985" s="4">
        <v>12</v>
      </c>
      <c r="D985" s="4">
        <v>142</v>
      </c>
      <c r="E985" s="4">
        <v>3</v>
      </c>
      <c r="F985" s="8">
        <v>2.2999999999999998</v>
      </c>
      <c r="G985" s="4">
        <v>2</v>
      </c>
      <c r="H985" s="4">
        <f t="shared" si="30"/>
        <v>0</v>
      </c>
      <c r="I985" s="4">
        <f t="shared" si="31"/>
        <v>1</v>
      </c>
      <c r="J985" s="4">
        <v>0</v>
      </c>
      <c r="K985" s="4">
        <v>0</v>
      </c>
      <c r="L985" s="4">
        <v>1</v>
      </c>
      <c r="M985" s="4">
        <v>1</v>
      </c>
      <c r="N985" s="4">
        <v>1</v>
      </c>
      <c r="O985" s="4">
        <v>1</v>
      </c>
    </row>
    <row r="986" spans="1:15" x14ac:dyDescent="0.15">
      <c r="A986" s="4">
        <v>983</v>
      </c>
      <c r="B986" s="4">
        <v>58</v>
      </c>
      <c r="C986" s="4">
        <v>33</v>
      </c>
      <c r="D986" s="4">
        <v>52</v>
      </c>
      <c r="E986" s="4">
        <v>3</v>
      </c>
      <c r="F986" s="8">
        <v>0.5</v>
      </c>
      <c r="G986" s="4">
        <v>2</v>
      </c>
      <c r="H986" s="4">
        <f t="shared" si="30"/>
        <v>0</v>
      </c>
      <c r="I986" s="4">
        <f t="shared" si="31"/>
        <v>1</v>
      </c>
      <c r="J986" s="4">
        <v>0</v>
      </c>
      <c r="K986" s="4">
        <v>0</v>
      </c>
      <c r="L986" s="4">
        <v>0</v>
      </c>
      <c r="M986" s="4">
        <v>0</v>
      </c>
      <c r="N986" s="4">
        <v>1</v>
      </c>
      <c r="O986" s="4">
        <v>0</v>
      </c>
    </row>
    <row r="987" spans="1:15" x14ac:dyDescent="0.15">
      <c r="A987" s="4">
        <v>984</v>
      </c>
      <c r="B987" s="4">
        <v>46</v>
      </c>
      <c r="C987" s="4">
        <v>22</v>
      </c>
      <c r="D987" s="4">
        <v>142</v>
      </c>
      <c r="E987" s="4">
        <v>2</v>
      </c>
      <c r="F987" s="8">
        <v>3.3</v>
      </c>
      <c r="G987" s="4">
        <v>1</v>
      </c>
      <c r="H987" s="4">
        <f t="shared" si="30"/>
        <v>1</v>
      </c>
      <c r="I987" s="4">
        <f t="shared" si="31"/>
        <v>0</v>
      </c>
      <c r="J987" s="4">
        <v>0</v>
      </c>
      <c r="K987" s="4">
        <v>0</v>
      </c>
      <c r="L987" s="4">
        <v>0</v>
      </c>
      <c r="M987" s="4">
        <v>0</v>
      </c>
      <c r="N987" s="4">
        <v>0</v>
      </c>
      <c r="O987" s="4">
        <v>0</v>
      </c>
    </row>
    <row r="988" spans="1:15" x14ac:dyDescent="0.15">
      <c r="A988" s="4">
        <v>985</v>
      </c>
      <c r="B988" s="4">
        <v>50</v>
      </c>
      <c r="C988" s="4">
        <v>25</v>
      </c>
      <c r="D988" s="4">
        <v>15</v>
      </c>
      <c r="E988" s="4">
        <v>1</v>
      </c>
      <c r="F988" s="8">
        <v>0.4</v>
      </c>
      <c r="G988" s="4">
        <v>3</v>
      </c>
      <c r="H988" s="4">
        <f t="shared" si="30"/>
        <v>0</v>
      </c>
      <c r="I988" s="4">
        <f t="shared" si="31"/>
        <v>0</v>
      </c>
      <c r="J988" s="4">
        <v>0</v>
      </c>
      <c r="K988" s="4">
        <v>0</v>
      </c>
      <c r="L988" s="4">
        <v>0</v>
      </c>
      <c r="M988" s="4">
        <v>0</v>
      </c>
      <c r="N988" s="4">
        <v>0</v>
      </c>
      <c r="O988" s="4">
        <v>0</v>
      </c>
    </row>
    <row r="989" spans="1:15" x14ac:dyDescent="0.15">
      <c r="A989" s="4">
        <v>986</v>
      </c>
      <c r="B989" s="4">
        <v>46</v>
      </c>
      <c r="C989" s="4">
        <v>22</v>
      </c>
      <c r="D989" s="4">
        <v>118</v>
      </c>
      <c r="E989" s="4">
        <v>1</v>
      </c>
      <c r="F989" s="8">
        <v>4.7</v>
      </c>
      <c r="G989" s="4">
        <v>1</v>
      </c>
      <c r="H989" s="4">
        <f t="shared" si="30"/>
        <v>1</v>
      </c>
      <c r="I989" s="4">
        <f t="shared" si="31"/>
        <v>0</v>
      </c>
      <c r="J989" s="4">
        <v>159</v>
      </c>
      <c r="K989" s="4">
        <v>0</v>
      </c>
      <c r="L989" s="4">
        <v>0</v>
      </c>
      <c r="M989" s="4">
        <v>0</v>
      </c>
      <c r="N989" s="4">
        <v>1</v>
      </c>
      <c r="O989" s="4">
        <v>0</v>
      </c>
    </row>
    <row r="990" spans="1:15" x14ac:dyDescent="0.15">
      <c r="A990" s="4">
        <v>987</v>
      </c>
      <c r="B990" s="4">
        <v>53</v>
      </c>
      <c r="C990" s="4">
        <v>27</v>
      </c>
      <c r="D990" s="4">
        <v>101</v>
      </c>
      <c r="E990" s="4">
        <v>4</v>
      </c>
      <c r="F990" s="8">
        <v>4.9000000000000004</v>
      </c>
      <c r="G990" s="4">
        <v>1</v>
      </c>
      <c r="H990" s="4">
        <f t="shared" si="30"/>
        <v>1</v>
      </c>
      <c r="I990" s="4">
        <f t="shared" si="31"/>
        <v>0</v>
      </c>
      <c r="J990" s="4">
        <v>0</v>
      </c>
      <c r="K990" s="4">
        <v>0</v>
      </c>
      <c r="L990" s="4">
        <v>0</v>
      </c>
      <c r="M990" s="4">
        <v>1</v>
      </c>
      <c r="N990" s="4">
        <v>0</v>
      </c>
      <c r="O990" s="4">
        <v>0</v>
      </c>
    </row>
    <row r="991" spans="1:15" x14ac:dyDescent="0.15">
      <c r="A991" s="4">
        <v>988</v>
      </c>
      <c r="B991" s="4">
        <v>62</v>
      </c>
      <c r="C991" s="4">
        <v>36</v>
      </c>
      <c r="D991" s="4">
        <v>84</v>
      </c>
      <c r="E991" s="4">
        <v>2</v>
      </c>
      <c r="F991" s="8">
        <v>2.8</v>
      </c>
      <c r="G991" s="4">
        <v>1</v>
      </c>
      <c r="H991" s="4">
        <f t="shared" si="30"/>
        <v>1</v>
      </c>
      <c r="I991" s="4">
        <f t="shared" si="31"/>
        <v>0</v>
      </c>
      <c r="J991" s="4">
        <v>0</v>
      </c>
      <c r="K991" s="4">
        <v>0</v>
      </c>
      <c r="L991" s="4">
        <v>0</v>
      </c>
      <c r="M991" s="4">
        <v>1</v>
      </c>
      <c r="N991" s="4">
        <v>0</v>
      </c>
      <c r="O991" s="4">
        <v>0</v>
      </c>
    </row>
    <row r="992" spans="1:15" x14ac:dyDescent="0.15">
      <c r="A992" s="4">
        <v>989</v>
      </c>
      <c r="B992" s="4">
        <v>63</v>
      </c>
      <c r="C992" s="4">
        <v>39</v>
      </c>
      <c r="D992" s="4">
        <v>32</v>
      </c>
      <c r="E992" s="4">
        <v>1</v>
      </c>
      <c r="F992" s="8">
        <v>1.9</v>
      </c>
      <c r="G992" s="4">
        <v>2</v>
      </c>
      <c r="H992" s="4">
        <f t="shared" si="30"/>
        <v>0</v>
      </c>
      <c r="I992" s="4">
        <f t="shared" si="31"/>
        <v>1</v>
      </c>
      <c r="J992" s="4">
        <v>100</v>
      </c>
      <c r="K992" s="4">
        <v>0</v>
      </c>
      <c r="L992" s="4">
        <v>0</v>
      </c>
      <c r="M992" s="4">
        <v>0</v>
      </c>
      <c r="N992" s="4">
        <v>0</v>
      </c>
      <c r="O992" s="4">
        <v>0</v>
      </c>
    </row>
    <row r="993" spans="1:15" x14ac:dyDescent="0.15">
      <c r="A993" s="4">
        <v>990</v>
      </c>
      <c r="B993" s="4">
        <v>42</v>
      </c>
      <c r="C993" s="4">
        <v>16</v>
      </c>
      <c r="D993" s="4">
        <v>64</v>
      </c>
      <c r="E993" s="4">
        <v>3</v>
      </c>
      <c r="F993" s="8">
        <v>0.5</v>
      </c>
      <c r="G993" s="4">
        <v>3</v>
      </c>
      <c r="H993" s="4">
        <f t="shared" si="30"/>
        <v>0</v>
      </c>
      <c r="I993" s="4">
        <f t="shared" si="31"/>
        <v>0</v>
      </c>
      <c r="J993" s="4">
        <v>247</v>
      </c>
      <c r="K993" s="4">
        <v>0</v>
      </c>
      <c r="L993" s="4">
        <v>0</v>
      </c>
      <c r="M993" s="4">
        <v>0</v>
      </c>
      <c r="N993" s="4">
        <v>0</v>
      </c>
      <c r="O993" s="4">
        <v>0</v>
      </c>
    </row>
    <row r="994" spans="1:15" x14ac:dyDescent="0.15">
      <c r="A994" s="4">
        <v>991</v>
      </c>
      <c r="B994" s="4">
        <v>34</v>
      </c>
      <c r="C994" s="4">
        <v>10</v>
      </c>
      <c r="D994" s="4">
        <v>81</v>
      </c>
      <c r="E994" s="4">
        <v>4</v>
      </c>
      <c r="F994" s="8">
        <v>3.4</v>
      </c>
      <c r="G994" s="4">
        <v>1</v>
      </c>
      <c r="H994" s="4">
        <f t="shared" si="30"/>
        <v>1</v>
      </c>
      <c r="I994" s="4">
        <f t="shared" si="31"/>
        <v>0</v>
      </c>
      <c r="J994" s="4">
        <v>0</v>
      </c>
      <c r="K994" s="4">
        <v>0</v>
      </c>
      <c r="L994" s="4">
        <v>0</v>
      </c>
      <c r="M994" s="4">
        <v>1</v>
      </c>
      <c r="N994" s="4">
        <v>0</v>
      </c>
      <c r="O994" s="4">
        <v>0</v>
      </c>
    </row>
    <row r="995" spans="1:15" x14ac:dyDescent="0.15">
      <c r="A995" s="4">
        <v>992</v>
      </c>
      <c r="B995" s="4">
        <v>40</v>
      </c>
      <c r="C995" s="4">
        <v>14</v>
      </c>
      <c r="D995" s="4">
        <v>28</v>
      </c>
      <c r="E995" s="4">
        <v>4</v>
      </c>
      <c r="F995" s="8">
        <v>1.5</v>
      </c>
      <c r="G995" s="4">
        <v>3</v>
      </c>
      <c r="H995" s="4">
        <f t="shared" si="30"/>
        <v>0</v>
      </c>
      <c r="I995" s="4">
        <f t="shared" si="31"/>
        <v>0</v>
      </c>
      <c r="J995" s="4">
        <v>0</v>
      </c>
      <c r="K995" s="4">
        <v>0</v>
      </c>
      <c r="L995" s="4">
        <v>0</v>
      </c>
      <c r="M995" s="4">
        <v>0</v>
      </c>
      <c r="N995" s="4">
        <v>1</v>
      </c>
      <c r="O995" s="4">
        <v>0</v>
      </c>
    </row>
    <row r="996" spans="1:15" x14ac:dyDescent="0.15">
      <c r="A996" s="4">
        <v>993</v>
      </c>
      <c r="B996" s="4">
        <v>34</v>
      </c>
      <c r="C996" s="4">
        <v>9</v>
      </c>
      <c r="D996" s="4">
        <v>93</v>
      </c>
      <c r="E996" s="4">
        <v>1</v>
      </c>
      <c r="F996" s="8">
        <v>0</v>
      </c>
      <c r="G996" s="4">
        <v>1</v>
      </c>
      <c r="H996" s="4">
        <f t="shared" si="30"/>
        <v>1</v>
      </c>
      <c r="I996" s="4">
        <f t="shared" si="31"/>
        <v>0</v>
      </c>
      <c r="J996" s="4">
        <v>0</v>
      </c>
      <c r="K996" s="4">
        <v>0</v>
      </c>
      <c r="L996" s="4">
        <v>0</v>
      </c>
      <c r="M996" s="4">
        <v>1</v>
      </c>
      <c r="N996" s="4">
        <v>0</v>
      </c>
      <c r="O996" s="4">
        <v>0</v>
      </c>
    </row>
    <row r="997" spans="1:15" x14ac:dyDescent="0.15">
      <c r="A997" s="4">
        <v>994</v>
      </c>
      <c r="B997" s="4">
        <v>41</v>
      </c>
      <c r="C997" s="4">
        <v>15</v>
      </c>
      <c r="D997" s="4">
        <v>185</v>
      </c>
      <c r="E997" s="4">
        <v>1</v>
      </c>
      <c r="F997" s="8">
        <v>3.6</v>
      </c>
      <c r="G997" s="4">
        <v>2</v>
      </c>
      <c r="H997" s="4">
        <f t="shared" si="30"/>
        <v>0</v>
      </c>
      <c r="I997" s="4">
        <f t="shared" si="31"/>
        <v>1</v>
      </c>
      <c r="J997" s="4">
        <v>0</v>
      </c>
      <c r="K997" s="4">
        <v>0</v>
      </c>
      <c r="L997" s="4">
        <v>0</v>
      </c>
      <c r="M997" s="4">
        <v>0</v>
      </c>
      <c r="N997" s="4">
        <v>0</v>
      </c>
      <c r="O997" s="4">
        <v>1</v>
      </c>
    </row>
    <row r="998" spans="1:15" x14ac:dyDescent="0.15">
      <c r="A998" s="4">
        <v>995</v>
      </c>
      <c r="B998" s="4">
        <v>32</v>
      </c>
      <c r="C998" s="4">
        <v>8</v>
      </c>
      <c r="D998" s="4">
        <v>42</v>
      </c>
      <c r="E998" s="4">
        <v>1</v>
      </c>
      <c r="F998" s="8">
        <v>1.8</v>
      </c>
      <c r="G998" s="4">
        <v>2</v>
      </c>
      <c r="H998" s="4">
        <f t="shared" si="30"/>
        <v>0</v>
      </c>
      <c r="I998" s="4">
        <f t="shared" si="31"/>
        <v>1</v>
      </c>
      <c r="J998" s="4">
        <v>0</v>
      </c>
      <c r="K998" s="4">
        <v>0</v>
      </c>
      <c r="L998" s="4">
        <v>0</v>
      </c>
      <c r="M998" s="4">
        <v>0</v>
      </c>
      <c r="N998" s="4">
        <v>0</v>
      </c>
      <c r="O998" s="4">
        <v>0</v>
      </c>
    </row>
    <row r="999" spans="1:15" x14ac:dyDescent="0.15">
      <c r="A999" s="4">
        <v>996</v>
      </c>
      <c r="B999" s="4">
        <v>28</v>
      </c>
      <c r="C999" s="4">
        <v>3</v>
      </c>
      <c r="D999" s="4">
        <v>45</v>
      </c>
      <c r="E999" s="4">
        <v>2</v>
      </c>
      <c r="F999" s="8">
        <v>1.6</v>
      </c>
      <c r="G999" s="4">
        <v>3</v>
      </c>
      <c r="H999" s="4">
        <f t="shared" si="30"/>
        <v>0</v>
      </c>
      <c r="I999" s="4">
        <f t="shared" si="31"/>
        <v>0</v>
      </c>
      <c r="J999" s="4">
        <v>0</v>
      </c>
      <c r="K999" s="4">
        <v>0</v>
      </c>
      <c r="L999" s="4">
        <v>0</v>
      </c>
      <c r="M999" s="4">
        <v>1</v>
      </c>
      <c r="N999" s="4">
        <v>1</v>
      </c>
      <c r="O999" s="4">
        <v>0</v>
      </c>
    </row>
    <row r="1000" spans="1:15" x14ac:dyDescent="0.15">
      <c r="A1000" s="4">
        <v>997</v>
      </c>
      <c r="B1000" s="4">
        <v>33</v>
      </c>
      <c r="C1000" s="4">
        <v>6</v>
      </c>
      <c r="D1000" s="4">
        <v>49</v>
      </c>
      <c r="E1000" s="4">
        <v>2</v>
      </c>
      <c r="F1000" s="8">
        <v>1.6666666666666667</v>
      </c>
      <c r="G1000" s="4">
        <v>2</v>
      </c>
      <c r="H1000" s="4">
        <f t="shared" si="30"/>
        <v>0</v>
      </c>
      <c r="I1000" s="4">
        <f t="shared" si="31"/>
        <v>1</v>
      </c>
      <c r="J1000" s="4">
        <v>214</v>
      </c>
      <c r="K1000" s="4">
        <v>0</v>
      </c>
      <c r="L1000" s="4">
        <v>0</v>
      </c>
      <c r="M1000" s="4">
        <v>0</v>
      </c>
      <c r="N1000" s="4">
        <v>0</v>
      </c>
      <c r="O1000" s="4">
        <v>0</v>
      </c>
    </row>
    <row r="1001" spans="1:15" x14ac:dyDescent="0.15">
      <c r="A1001" s="4">
        <v>998</v>
      </c>
      <c r="B1001" s="4">
        <v>46</v>
      </c>
      <c r="C1001" s="4">
        <v>20</v>
      </c>
      <c r="D1001" s="4">
        <v>69</v>
      </c>
      <c r="E1001" s="4">
        <v>3</v>
      </c>
      <c r="F1001" s="8">
        <v>2.1</v>
      </c>
      <c r="G1001" s="4">
        <v>1</v>
      </c>
      <c r="H1001" s="4">
        <f t="shared" si="30"/>
        <v>1</v>
      </c>
      <c r="I1001" s="4">
        <f t="shared" si="31"/>
        <v>0</v>
      </c>
      <c r="J1001" s="4">
        <v>0</v>
      </c>
      <c r="K1001" s="4">
        <v>0</v>
      </c>
      <c r="L1001" s="4">
        <v>0</v>
      </c>
      <c r="M1001" s="4">
        <v>0</v>
      </c>
      <c r="N1001" s="4">
        <v>0</v>
      </c>
      <c r="O1001" s="4">
        <v>0</v>
      </c>
    </row>
    <row r="1002" spans="1:15" x14ac:dyDescent="0.15">
      <c r="A1002" s="4">
        <v>999</v>
      </c>
      <c r="B1002" s="4">
        <v>52</v>
      </c>
      <c r="C1002" s="4">
        <v>27</v>
      </c>
      <c r="D1002" s="4">
        <v>94</v>
      </c>
      <c r="E1002" s="4">
        <v>1</v>
      </c>
      <c r="F1002" s="8">
        <v>2.8</v>
      </c>
      <c r="G1002" s="4">
        <v>2</v>
      </c>
      <c r="H1002" s="4">
        <f t="shared" si="30"/>
        <v>0</v>
      </c>
      <c r="I1002" s="4">
        <f t="shared" si="31"/>
        <v>1</v>
      </c>
      <c r="J1002" s="4">
        <v>333</v>
      </c>
      <c r="K1002" s="4">
        <v>0</v>
      </c>
      <c r="L1002" s="4">
        <v>0</v>
      </c>
      <c r="M1002" s="4">
        <v>1</v>
      </c>
      <c r="N1002" s="4">
        <v>0</v>
      </c>
      <c r="O1002" s="4">
        <v>0</v>
      </c>
    </row>
    <row r="1003" spans="1:15" x14ac:dyDescent="0.15">
      <c r="A1003" s="4">
        <v>1000</v>
      </c>
      <c r="B1003" s="4">
        <v>60</v>
      </c>
      <c r="C1003" s="4">
        <v>35</v>
      </c>
      <c r="D1003" s="4">
        <v>18</v>
      </c>
      <c r="E1003" s="4">
        <v>1</v>
      </c>
      <c r="F1003" s="8">
        <v>1.5</v>
      </c>
      <c r="G1003" s="4">
        <v>2</v>
      </c>
      <c r="H1003" s="4">
        <f t="shared" si="30"/>
        <v>0</v>
      </c>
      <c r="I1003" s="4">
        <f t="shared" si="31"/>
        <v>1</v>
      </c>
      <c r="J1003" s="4">
        <v>0</v>
      </c>
      <c r="K1003" s="4">
        <v>0</v>
      </c>
      <c r="L1003" s="4">
        <v>0</v>
      </c>
      <c r="M1003" s="4">
        <v>1</v>
      </c>
      <c r="N1003" s="4">
        <v>1</v>
      </c>
      <c r="O1003" s="4">
        <v>0</v>
      </c>
    </row>
    <row r="1004" spans="1:15" x14ac:dyDescent="0.15">
      <c r="A1004" s="4">
        <v>1001</v>
      </c>
      <c r="B1004" s="4">
        <v>59</v>
      </c>
      <c r="C1004" s="4">
        <v>35</v>
      </c>
      <c r="D1004" s="4">
        <v>8</v>
      </c>
      <c r="E1004" s="4">
        <v>4</v>
      </c>
      <c r="F1004" s="8">
        <v>0.7</v>
      </c>
      <c r="G1004" s="4">
        <v>1</v>
      </c>
      <c r="H1004" s="4">
        <f t="shared" si="30"/>
        <v>1</v>
      </c>
      <c r="I1004" s="4">
        <f t="shared" si="31"/>
        <v>0</v>
      </c>
      <c r="J1004" s="4">
        <v>91</v>
      </c>
      <c r="K1004" s="4">
        <v>1</v>
      </c>
      <c r="L1004" s="4">
        <v>0</v>
      </c>
      <c r="M1004" s="4">
        <v>0</v>
      </c>
      <c r="N1004" s="4">
        <v>0</v>
      </c>
      <c r="O1004" s="4">
        <v>0</v>
      </c>
    </row>
    <row r="1005" spans="1:15" x14ac:dyDescent="0.15">
      <c r="A1005" s="4">
        <v>1002</v>
      </c>
      <c r="B1005" s="4">
        <v>57</v>
      </c>
      <c r="C1005" s="4">
        <v>32</v>
      </c>
      <c r="D1005" s="4">
        <v>55</v>
      </c>
      <c r="E1005" s="4">
        <v>4</v>
      </c>
      <c r="F1005" s="8">
        <v>2.1</v>
      </c>
      <c r="G1005" s="4">
        <v>1</v>
      </c>
      <c r="H1005" s="4">
        <f t="shared" si="30"/>
        <v>1</v>
      </c>
      <c r="I1005" s="4">
        <f t="shared" si="31"/>
        <v>0</v>
      </c>
      <c r="J1005" s="4">
        <v>108</v>
      </c>
      <c r="K1005" s="4">
        <v>0</v>
      </c>
      <c r="L1005" s="4">
        <v>0</v>
      </c>
      <c r="M1005" s="4">
        <v>1</v>
      </c>
      <c r="N1005" s="4">
        <v>0</v>
      </c>
      <c r="O1005" s="4">
        <v>0</v>
      </c>
    </row>
    <row r="1006" spans="1:15" x14ac:dyDescent="0.15">
      <c r="A1006" s="4">
        <v>1003</v>
      </c>
      <c r="B1006" s="4">
        <v>46</v>
      </c>
      <c r="C1006" s="4">
        <v>20</v>
      </c>
      <c r="D1006" s="4">
        <v>85</v>
      </c>
      <c r="E1006" s="4">
        <v>2</v>
      </c>
      <c r="F1006" s="8">
        <v>0.4</v>
      </c>
      <c r="G1006" s="4">
        <v>3</v>
      </c>
      <c r="H1006" s="4">
        <f t="shared" si="30"/>
        <v>0</v>
      </c>
      <c r="I1006" s="4">
        <f t="shared" si="31"/>
        <v>0</v>
      </c>
      <c r="J1006" s="4">
        <v>0</v>
      </c>
      <c r="K1006" s="4">
        <v>0</v>
      </c>
      <c r="L1006" s="4">
        <v>0</v>
      </c>
      <c r="M1006" s="4">
        <v>0</v>
      </c>
      <c r="N1006" s="4">
        <v>0</v>
      </c>
      <c r="O1006" s="4">
        <v>0</v>
      </c>
    </row>
    <row r="1007" spans="1:15" x14ac:dyDescent="0.15">
      <c r="A1007" s="4">
        <v>1004</v>
      </c>
      <c r="B1007" s="4">
        <v>25</v>
      </c>
      <c r="C1007" s="4">
        <v>1</v>
      </c>
      <c r="D1007" s="4">
        <v>62</v>
      </c>
      <c r="E1007" s="4">
        <v>4</v>
      </c>
      <c r="F1007" s="8">
        <v>0</v>
      </c>
      <c r="G1007" s="4">
        <v>1</v>
      </c>
      <c r="H1007" s="4">
        <f t="shared" si="30"/>
        <v>1</v>
      </c>
      <c r="I1007" s="4">
        <f t="shared" si="31"/>
        <v>0</v>
      </c>
      <c r="J1007" s="4">
        <v>229</v>
      </c>
      <c r="K1007" s="4">
        <v>0</v>
      </c>
      <c r="L1007" s="4">
        <v>0</v>
      </c>
      <c r="M1007" s="4">
        <v>1</v>
      </c>
      <c r="N1007" s="4">
        <v>0</v>
      </c>
      <c r="O1007" s="4">
        <v>0</v>
      </c>
    </row>
    <row r="1008" spans="1:15" x14ac:dyDescent="0.15">
      <c r="A1008" s="4">
        <v>1005</v>
      </c>
      <c r="B1008" s="4">
        <v>53</v>
      </c>
      <c r="C1008" s="4">
        <v>23</v>
      </c>
      <c r="D1008" s="4">
        <v>65</v>
      </c>
      <c r="E1008" s="4">
        <v>4</v>
      </c>
      <c r="F1008" s="8">
        <v>2</v>
      </c>
      <c r="G1008" s="4">
        <v>3</v>
      </c>
      <c r="H1008" s="4">
        <f t="shared" si="30"/>
        <v>0</v>
      </c>
      <c r="I1008" s="4">
        <f t="shared" si="31"/>
        <v>0</v>
      </c>
      <c r="J1008" s="4">
        <v>0</v>
      </c>
      <c r="K1008" s="4">
        <v>0</v>
      </c>
      <c r="L1008" s="4">
        <v>0</v>
      </c>
      <c r="M1008" s="4">
        <v>1</v>
      </c>
      <c r="N1008" s="4">
        <v>0</v>
      </c>
      <c r="O1008" s="4">
        <v>0</v>
      </c>
    </row>
    <row r="1009" spans="1:15" x14ac:dyDescent="0.15">
      <c r="A1009" s="4">
        <v>1006</v>
      </c>
      <c r="B1009" s="4">
        <v>38</v>
      </c>
      <c r="C1009" s="4">
        <v>12</v>
      </c>
      <c r="D1009" s="4">
        <v>138</v>
      </c>
      <c r="E1009" s="4">
        <v>2</v>
      </c>
      <c r="F1009" s="8">
        <v>0</v>
      </c>
      <c r="G1009" s="4">
        <v>1</v>
      </c>
      <c r="H1009" s="4">
        <f t="shared" si="30"/>
        <v>1</v>
      </c>
      <c r="I1009" s="4">
        <f t="shared" si="31"/>
        <v>0</v>
      </c>
      <c r="J1009" s="4">
        <v>0</v>
      </c>
      <c r="K1009" s="4">
        <v>1</v>
      </c>
      <c r="L1009" s="4">
        <v>0</v>
      </c>
      <c r="M1009" s="4">
        <v>1</v>
      </c>
      <c r="N1009" s="4">
        <v>0</v>
      </c>
      <c r="O1009" s="4">
        <v>0</v>
      </c>
    </row>
    <row r="1010" spans="1:15" x14ac:dyDescent="0.15">
      <c r="A1010" s="4">
        <v>1007</v>
      </c>
      <c r="B1010" s="4">
        <v>63</v>
      </c>
      <c r="C1010" s="4">
        <v>38</v>
      </c>
      <c r="D1010" s="4">
        <v>103</v>
      </c>
      <c r="E1010" s="4">
        <v>1</v>
      </c>
      <c r="F1010" s="8">
        <v>2.5</v>
      </c>
      <c r="G1010" s="4">
        <v>1</v>
      </c>
      <c r="H1010" s="4">
        <f t="shared" si="30"/>
        <v>1</v>
      </c>
      <c r="I1010" s="4">
        <f t="shared" si="31"/>
        <v>0</v>
      </c>
      <c r="J1010" s="4">
        <v>0</v>
      </c>
      <c r="K1010" s="4">
        <v>0</v>
      </c>
      <c r="L1010" s="4">
        <v>0</v>
      </c>
      <c r="M1010" s="4">
        <v>1</v>
      </c>
      <c r="N1010" s="4">
        <v>0</v>
      </c>
      <c r="O1010" s="4">
        <v>0</v>
      </c>
    </row>
    <row r="1011" spans="1:15" x14ac:dyDescent="0.15">
      <c r="A1011" s="4">
        <v>1008</v>
      </c>
      <c r="B1011" s="4">
        <v>44</v>
      </c>
      <c r="C1011" s="4">
        <v>19</v>
      </c>
      <c r="D1011" s="4">
        <v>99</v>
      </c>
      <c r="E1011" s="4">
        <v>3</v>
      </c>
      <c r="F1011" s="8">
        <v>3.5</v>
      </c>
      <c r="G1011" s="4">
        <v>3</v>
      </c>
      <c r="H1011" s="4">
        <f t="shared" si="30"/>
        <v>0</v>
      </c>
      <c r="I1011" s="4">
        <f t="shared" si="31"/>
        <v>0</v>
      </c>
      <c r="J1011" s="4">
        <v>357</v>
      </c>
      <c r="K1011" s="4">
        <v>0</v>
      </c>
      <c r="L1011" s="4">
        <v>0</v>
      </c>
      <c r="M1011" s="4">
        <v>0</v>
      </c>
      <c r="N1011" s="4">
        <v>0</v>
      </c>
      <c r="O1011" s="4">
        <v>1</v>
      </c>
    </row>
    <row r="1012" spans="1:15" x14ac:dyDescent="0.15">
      <c r="A1012" s="4">
        <v>1009</v>
      </c>
      <c r="B1012" s="4">
        <v>50</v>
      </c>
      <c r="C1012" s="4">
        <v>24</v>
      </c>
      <c r="D1012" s="4">
        <v>152</v>
      </c>
      <c r="E1012" s="4">
        <v>1</v>
      </c>
      <c r="F1012" s="8">
        <v>7.3</v>
      </c>
      <c r="G1012" s="4">
        <v>1</v>
      </c>
      <c r="H1012" s="4">
        <f t="shared" si="30"/>
        <v>1</v>
      </c>
      <c r="I1012" s="4">
        <f t="shared" si="31"/>
        <v>0</v>
      </c>
      <c r="J1012" s="4">
        <v>0</v>
      </c>
      <c r="K1012" s="4">
        <v>0</v>
      </c>
      <c r="L1012" s="4">
        <v>0</v>
      </c>
      <c r="M1012" s="4">
        <v>1</v>
      </c>
      <c r="N1012" s="4">
        <v>0</v>
      </c>
      <c r="O1012" s="4">
        <v>0</v>
      </c>
    </row>
    <row r="1013" spans="1:15" x14ac:dyDescent="0.15">
      <c r="A1013" s="4">
        <v>1010</v>
      </c>
      <c r="B1013" s="4">
        <v>28</v>
      </c>
      <c r="C1013" s="4">
        <v>3</v>
      </c>
      <c r="D1013" s="4">
        <v>25</v>
      </c>
      <c r="E1013" s="4">
        <v>2</v>
      </c>
      <c r="F1013" s="8">
        <v>0.9</v>
      </c>
      <c r="G1013" s="4">
        <v>3</v>
      </c>
      <c r="H1013" s="4">
        <f t="shared" si="30"/>
        <v>0</v>
      </c>
      <c r="I1013" s="4">
        <f t="shared" si="31"/>
        <v>0</v>
      </c>
      <c r="J1013" s="4">
        <v>140</v>
      </c>
      <c r="K1013" s="4">
        <v>0</v>
      </c>
      <c r="L1013" s="4">
        <v>0</v>
      </c>
      <c r="M1013" s="4">
        <v>1</v>
      </c>
      <c r="N1013" s="4">
        <v>0</v>
      </c>
      <c r="O1013" s="4">
        <v>0</v>
      </c>
    </row>
    <row r="1014" spans="1:15" x14ac:dyDescent="0.15">
      <c r="A1014" s="4">
        <v>1011</v>
      </c>
      <c r="B1014" s="4">
        <v>27</v>
      </c>
      <c r="C1014" s="4">
        <v>3</v>
      </c>
      <c r="D1014" s="4">
        <v>98</v>
      </c>
      <c r="E1014" s="4">
        <v>2</v>
      </c>
      <c r="F1014" s="8">
        <v>2.5</v>
      </c>
      <c r="G1014" s="4">
        <v>1</v>
      </c>
      <c r="H1014" s="4">
        <f t="shared" si="30"/>
        <v>1</v>
      </c>
      <c r="I1014" s="4">
        <f t="shared" si="31"/>
        <v>0</v>
      </c>
      <c r="J1014" s="4">
        <v>361</v>
      </c>
      <c r="K1014" s="4">
        <v>1</v>
      </c>
      <c r="L1014" s="4">
        <v>1</v>
      </c>
      <c r="M1014" s="4">
        <v>1</v>
      </c>
      <c r="N1014" s="4">
        <v>1</v>
      </c>
      <c r="O1014" s="4">
        <v>0</v>
      </c>
    </row>
    <row r="1015" spans="1:15" x14ac:dyDescent="0.15">
      <c r="A1015" s="4">
        <v>1012</v>
      </c>
      <c r="B1015" s="4">
        <v>52</v>
      </c>
      <c r="C1015" s="4">
        <v>27</v>
      </c>
      <c r="D1015" s="4">
        <v>39</v>
      </c>
      <c r="E1015" s="4">
        <v>2</v>
      </c>
      <c r="F1015" s="8">
        <v>0.7</v>
      </c>
      <c r="G1015" s="4">
        <v>2</v>
      </c>
      <c r="H1015" s="4">
        <f t="shared" si="30"/>
        <v>0</v>
      </c>
      <c r="I1015" s="4">
        <f t="shared" si="31"/>
        <v>1</v>
      </c>
      <c r="J1015" s="4">
        <v>166</v>
      </c>
      <c r="K1015" s="4">
        <v>0</v>
      </c>
      <c r="L1015" s="4">
        <v>0</v>
      </c>
      <c r="M1015" s="4">
        <v>1</v>
      </c>
      <c r="N1015" s="4">
        <v>0</v>
      </c>
      <c r="O1015" s="4">
        <v>0</v>
      </c>
    </row>
    <row r="1016" spans="1:15" x14ac:dyDescent="0.15">
      <c r="A1016" s="4">
        <v>1013</v>
      </c>
      <c r="B1016" s="4">
        <v>50</v>
      </c>
      <c r="C1016" s="4">
        <v>25</v>
      </c>
      <c r="D1016" s="4">
        <v>40</v>
      </c>
      <c r="E1016" s="4">
        <v>1</v>
      </c>
      <c r="F1016" s="8">
        <v>1.3</v>
      </c>
      <c r="G1016" s="4">
        <v>2</v>
      </c>
      <c r="H1016" s="4">
        <f t="shared" si="30"/>
        <v>0</v>
      </c>
      <c r="I1016" s="4">
        <f t="shared" si="31"/>
        <v>1</v>
      </c>
      <c r="J1016" s="4">
        <v>0</v>
      </c>
      <c r="K1016" s="4">
        <v>0</v>
      </c>
      <c r="L1016" s="4">
        <v>0</v>
      </c>
      <c r="M1016" s="4">
        <v>1</v>
      </c>
      <c r="N1016" s="4">
        <v>1</v>
      </c>
      <c r="O1016" s="4">
        <v>0</v>
      </c>
    </row>
    <row r="1017" spans="1:15" x14ac:dyDescent="0.15">
      <c r="A1017" s="4">
        <v>1014</v>
      </c>
      <c r="B1017" s="4">
        <v>39</v>
      </c>
      <c r="C1017" s="4">
        <v>13</v>
      </c>
      <c r="D1017" s="4">
        <v>58</v>
      </c>
      <c r="E1017" s="4">
        <v>3</v>
      </c>
      <c r="F1017" s="8">
        <v>2.1</v>
      </c>
      <c r="G1017" s="4">
        <v>1</v>
      </c>
      <c r="H1017" s="4">
        <f t="shared" si="30"/>
        <v>1</v>
      </c>
      <c r="I1017" s="4">
        <f t="shared" si="31"/>
        <v>0</v>
      </c>
      <c r="J1017" s="4">
        <v>169</v>
      </c>
      <c r="K1017" s="4">
        <v>0</v>
      </c>
      <c r="L1017" s="4">
        <v>0</v>
      </c>
      <c r="M1017" s="4">
        <v>1</v>
      </c>
      <c r="N1017" s="4">
        <v>0</v>
      </c>
      <c r="O1017" s="4">
        <v>0</v>
      </c>
    </row>
    <row r="1018" spans="1:15" x14ac:dyDescent="0.15">
      <c r="A1018" s="4">
        <v>1015</v>
      </c>
      <c r="B1018" s="4">
        <v>50</v>
      </c>
      <c r="C1018" s="4">
        <v>26</v>
      </c>
      <c r="D1018" s="4">
        <v>192</v>
      </c>
      <c r="E1018" s="4">
        <v>2</v>
      </c>
      <c r="F1018" s="8">
        <v>1.8</v>
      </c>
      <c r="G1018" s="4">
        <v>3</v>
      </c>
      <c r="H1018" s="4">
        <f t="shared" si="30"/>
        <v>0</v>
      </c>
      <c r="I1018" s="4">
        <f t="shared" si="31"/>
        <v>0</v>
      </c>
      <c r="J1018" s="4">
        <v>301</v>
      </c>
      <c r="K1018" s="4">
        <v>0</v>
      </c>
      <c r="L1018" s="4">
        <v>1</v>
      </c>
      <c r="M1018" s="4">
        <v>1</v>
      </c>
      <c r="N1018" s="4">
        <v>1</v>
      </c>
      <c r="O1018" s="4">
        <v>1</v>
      </c>
    </row>
    <row r="1019" spans="1:15" x14ac:dyDescent="0.15">
      <c r="A1019" s="4">
        <v>1016</v>
      </c>
      <c r="B1019" s="4">
        <v>60</v>
      </c>
      <c r="C1019" s="4">
        <v>34</v>
      </c>
      <c r="D1019" s="4">
        <v>62</v>
      </c>
      <c r="E1019" s="4">
        <v>1</v>
      </c>
      <c r="F1019" s="8">
        <v>0.8</v>
      </c>
      <c r="G1019" s="4">
        <v>2</v>
      </c>
      <c r="H1019" s="4">
        <f t="shared" si="30"/>
        <v>0</v>
      </c>
      <c r="I1019" s="4">
        <f t="shared" si="31"/>
        <v>1</v>
      </c>
      <c r="J1019" s="4">
        <v>0</v>
      </c>
      <c r="K1019" s="4">
        <v>0</v>
      </c>
      <c r="L1019" s="4">
        <v>0</v>
      </c>
      <c r="M1019" s="4">
        <v>0</v>
      </c>
      <c r="N1019" s="4">
        <v>0</v>
      </c>
      <c r="O1019" s="4">
        <v>0</v>
      </c>
    </row>
    <row r="1020" spans="1:15" x14ac:dyDescent="0.15">
      <c r="A1020" s="4">
        <v>1017</v>
      </c>
      <c r="B1020" s="4">
        <v>30</v>
      </c>
      <c r="C1020" s="4">
        <v>5</v>
      </c>
      <c r="D1020" s="4">
        <v>69</v>
      </c>
      <c r="E1020" s="4">
        <v>1</v>
      </c>
      <c r="F1020" s="8">
        <v>0.8</v>
      </c>
      <c r="G1020" s="4">
        <v>2</v>
      </c>
      <c r="H1020" s="4">
        <f t="shared" si="30"/>
        <v>0</v>
      </c>
      <c r="I1020" s="4">
        <f t="shared" si="31"/>
        <v>1</v>
      </c>
      <c r="J1020" s="4">
        <v>0</v>
      </c>
      <c r="K1020" s="4">
        <v>1</v>
      </c>
      <c r="L1020" s="4">
        <v>0</v>
      </c>
      <c r="M1020" s="4">
        <v>1</v>
      </c>
      <c r="N1020" s="4">
        <v>0</v>
      </c>
      <c r="O1020" s="4">
        <v>0</v>
      </c>
    </row>
    <row r="1021" spans="1:15" x14ac:dyDescent="0.15">
      <c r="A1021" s="4">
        <v>1018</v>
      </c>
      <c r="B1021" s="4">
        <v>31</v>
      </c>
      <c r="C1021" s="4">
        <v>5</v>
      </c>
      <c r="D1021" s="4">
        <v>40</v>
      </c>
      <c r="E1021" s="4">
        <v>4</v>
      </c>
      <c r="F1021" s="8">
        <v>1.3</v>
      </c>
      <c r="G1021" s="4">
        <v>3</v>
      </c>
      <c r="H1021" s="4">
        <f t="shared" si="30"/>
        <v>0</v>
      </c>
      <c r="I1021" s="4">
        <f t="shared" si="31"/>
        <v>0</v>
      </c>
      <c r="J1021" s="4">
        <v>170</v>
      </c>
      <c r="K1021" s="4">
        <v>0</v>
      </c>
      <c r="L1021" s="4">
        <v>0</v>
      </c>
      <c r="M1021" s="4">
        <v>0</v>
      </c>
      <c r="N1021" s="4">
        <v>0</v>
      </c>
      <c r="O1021" s="4">
        <v>0</v>
      </c>
    </row>
    <row r="1022" spans="1:15" x14ac:dyDescent="0.15">
      <c r="A1022" s="4">
        <v>1019</v>
      </c>
      <c r="B1022" s="4">
        <v>39</v>
      </c>
      <c r="C1022" s="4">
        <v>15</v>
      </c>
      <c r="D1022" s="4">
        <v>61</v>
      </c>
      <c r="E1022" s="4">
        <v>2</v>
      </c>
      <c r="F1022" s="8">
        <v>0.6</v>
      </c>
      <c r="G1022" s="4">
        <v>3</v>
      </c>
      <c r="H1022" s="4">
        <f t="shared" si="30"/>
        <v>0</v>
      </c>
      <c r="I1022" s="4">
        <f t="shared" si="31"/>
        <v>0</v>
      </c>
      <c r="J1022" s="4">
        <v>127</v>
      </c>
      <c r="K1022" s="4">
        <v>0</v>
      </c>
      <c r="L1022" s="4">
        <v>0</v>
      </c>
      <c r="M1022" s="4">
        <v>0</v>
      </c>
      <c r="N1022" s="4">
        <v>0</v>
      </c>
      <c r="O1022" s="4">
        <v>0</v>
      </c>
    </row>
    <row r="1023" spans="1:15" x14ac:dyDescent="0.15">
      <c r="A1023" s="4">
        <v>1020</v>
      </c>
      <c r="B1023" s="4">
        <v>29</v>
      </c>
      <c r="C1023" s="4">
        <v>3</v>
      </c>
      <c r="D1023" s="4">
        <v>30</v>
      </c>
      <c r="E1023" s="4">
        <v>4</v>
      </c>
      <c r="F1023" s="8">
        <v>0.3</v>
      </c>
      <c r="G1023" s="4">
        <v>2</v>
      </c>
      <c r="H1023" s="4">
        <f t="shared" si="30"/>
        <v>0</v>
      </c>
      <c r="I1023" s="4">
        <f t="shared" si="31"/>
        <v>1</v>
      </c>
      <c r="J1023" s="4">
        <v>157</v>
      </c>
      <c r="K1023" s="4">
        <v>0</v>
      </c>
      <c r="L1023" s="4">
        <v>0</v>
      </c>
      <c r="M1023" s="4">
        <v>0</v>
      </c>
      <c r="N1023" s="4">
        <v>0</v>
      </c>
      <c r="O1023" s="4">
        <v>0</v>
      </c>
    </row>
    <row r="1024" spans="1:15" x14ac:dyDescent="0.15">
      <c r="A1024" s="4">
        <v>1021</v>
      </c>
      <c r="B1024" s="4">
        <v>54</v>
      </c>
      <c r="C1024" s="4">
        <v>29</v>
      </c>
      <c r="D1024" s="4">
        <v>29</v>
      </c>
      <c r="E1024" s="4">
        <v>1</v>
      </c>
      <c r="F1024" s="8">
        <v>1.5</v>
      </c>
      <c r="G1024" s="4">
        <v>2</v>
      </c>
      <c r="H1024" s="4">
        <f t="shared" si="30"/>
        <v>0</v>
      </c>
      <c r="I1024" s="4">
        <f t="shared" si="31"/>
        <v>1</v>
      </c>
      <c r="J1024" s="4">
        <v>97</v>
      </c>
      <c r="K1024" s="4">
        <v>0</v>
      </c>
      <c r="L1024" s="4">
        <v>0</v>
      </c>
      <c r="M1024" s="4">
        <v>1</v>
      </c>
      <c r="N1024" s="4">
        <v>0</v>
      </c>
      <c r="O1024" s="4">
        <v>0</v>
      </c>
    </row>
    <row r="1025" spans="1:15" x14ac:dyDescent="0.15">
      <c r="A1025" s="4">
        <v>1022</v>
      </c>
      <c r="B1025" s="4">
        <v>35</v>
      </c>
      <c r="C1025" s="4">
        <v>8</v>
      </c>
      <c r="D1025" s="4">
        <v>41</v>
      </c>
      <c r="E1025" s="4">
        <v>2</v>
      </c>
      <c r="F1025" s="8">
        <v>1</v>
      </c>
      <c r="G1025" s="4">
        <v>2</v>
      </c>
      <c r="H1025" s="4">
        <f t="shared" si="30"/>
        <v>0</v>
      </c>
      <c r="I1025" s="4">
        <f t="shared" si="31"/>
        <v>1</v>
      </c>
      <c r="J1025" s="4">
        <v>0</v>
      </c>
      <c r="K1025" s="4">
        <v>0</v>
      </c>
      <c r="L1025" s="4">
        <v>0</v>
      </c>
      <c r="M1025" s="4">
        <v>1</v>
      </c>
      <c r="N1025" s="4">
        <v>1</v>
      </c>
      <c r="O1025" s="4">
        <v>0</v>
      </c>
    </row>
    <row r="1026" spans="1:15" x14ac:dyDescent="0.15">
      <c r="A1026" s="4">
        <v>1023</v>
      </c>
      <c r="B1026" s="4">
        <v>27</v>
      </c>
      <c r="C1026" s="4">
        <v>3</v>
      </c>
      <c r="D1026" s="4">
        <v>118</v>
      </c>
      <c r="E1026" s="4">
        <v>1</v>
      </c>
      <c r="F1026" s="8">
        <v>3.3</v>
      </c>
      <c r="G1026" s="4">
        <v>2</v>
      </c>
      <c r="H1026" s="4">
        <f t="shared" si="30"/>
        <v>0</v>
      </c>
      <c r="I1026" s="4">
        <f t="shared" si="31"/>
        <v>1</v>
      </c>
      <c r="J1026" s="4">
        <v>0</v>
      </c>
      <c r="K1026" s="4">
        <v>0</v>
      </c>
      <c r="L1026" s="4">
        <v>0</v>
      </c>
      <c r="M1026" s="4">
        <v>1</v>
      </c>
      <c r="N1026" s="4">
        <v>0</v>
      </c>
      <c r="O1026" s="4">
        <v>1</v>
      </c>
    </row>
    <row r="1027" spans="1:15" x14ac:dyDescent="0.15">
      <c r="A1027" s="4">
        <v>1024</v>
      </c>
      <c r="B1027" s="4">
        <v>45</v>
      </c>
      <c r="C1027" s="4">
        <v>20</v>
      </c>
      <c r="D1027" s="4">
        <v>109</v>
      </c>
      <c r="E1027" s="4">
        <v>1</v>
      </c>
      <c r="F1027" s="8">
        <v>7</v>
      </c>
      <c r="G1027" s="4">
        <v>1</v>
      </c>
      <c r="H1027" s="4">
        <f t="shared" si="30"/>
        <v>1</v>
      </c>
      <c r="I1027" s="4">
        <f t="shared" si="31"/>
        <v>0</v>
      </c>
      <c r="J1027" s="4">
        <v>366</v>
      </c>
      <c r="K1027" s="4">
        <v>0</v>
      </c>
      <c r="L1027" s="4">
        <v>0</v>
      </c>
      <c r="M1027" s="4">
        <v>1</v>
      </c>
      <c r="N1027" s="4">
        <v>0</v>
      </c>
      <c r="O1027" s="4">
        <v>0</v>
      </c>
    </row>
    <row r="1028" spans="1:15" x14ac:dyDescent="0.15">
      <c r="A1028" s="4">
        <v>1025</v>
      </c>
      <c r="B1028" s="4">
        <v>58</v>
      </c>
      <c r="C1028" s="4">
        <v>33</v>
      </c>
      <c r="D1028" s="4">
        <v>122</v>
      </c>
      <c r="E1028" s="4">
        <v>4</v>
      </c>
      <c r="F1028" s="8">
        <v>0.2</v>
      </c>
      <c r="G1028" s="4">
        <v>2</v>
      </c>
      <c r="H1028" s="4">
        <f t="shared" si="30"/>
        <v>0</v>
      </c>
      <c r="I1028" s="4">
        <f t="shared" si="31"/>
        <v>1</v>
      </c>
      <c r="J1028" s="4">
        <v>0</v>
      </c>
      <c r="K1028" s="4">
        <v>0</v>
      </c>
      <c r="L1028" s="4">
        <v>1</v>
      </c>
      <c r="M1028" s="4">
        <v>1</v>
      </c>
      <c r="N1028" s="4">
        <v>0</v>
      </c>
      <c r="O1028" s="4">
        <v>1</v>
      </c>
    </row>
    <row r="1029" spans="1:15" x14ac:dyDescent="0.15">
      <c r="A1029" s="4">
        <v>1026</v>
      </c>
      <c r="B1029" s="4">
        <v>62</v>
      </c>
      <c r="C1029" s="4">
        <v>37</v>
      </c>
      <c r="D1029" s="4">
        <v>50</v>
      </c>
      <c r="E1029" s="4">
        <v>3</v>
      </c>
      <c r="F1029" s="8">
        <v>1.5</v>
      </c>
      <c r="G1029" s="4">
        <v>1</v>
      </c>
      <c r="H1029" s="4">
        <f t="shared" ref="H1029:H1092" si="32">IF(G1029=1,1,0)</f>
        <v>1</v>
      </c>
      <c r="I1029" s="4">
        <f t="shared" ref="I1029:I1092" si="33">IF(G1029=2,1,0)</f>
        <v>0</v>
      </c>
      <c r="J1029" s="4">
        <v>169</v>
      </c>
      <c r="K1029" s="4">
        <v>0</v>
      </c>
      <c r="L1029" s="4">
        <v>0</v>
      </c>
      <c r="M1029" s="4">
        <v>1</v>
      </c>
      <c r="N1029" s="4">
        <v>0</v>
      </c>
      <c r="O1029" s="4">
        <v>0</v>
      </c>
    </row>
    <row r="1030" spans="1:15" x14ac:dyDescent="0.15">
      <c r="A1030" s="4">
        <v>1027</v>
      </c>
      <c r="B1030" s="4">
        <v>28</v>
      </c>
      <c r="C1030" s="4">
        <v>4</v>
      </c>
      <c r="D1030" s="4">
        <v>43</v>
      </c>
      <c r="E1030" s="4">
        <v>3</v>
      </c>
      <c r="F1030" s="8">
        <v>0.1</v>
      </c>
      <c r="G1030" s="4">
        <v>2</v>
      </c>
      <c r="H1030" s="4">
        <f t="shared" si="32"/>
        <v>0</v>
      </c>
      <c r="I1030" s="4">
        <f t="shared" si="33"/>
        <v>1</v>
      </c>
      <c r="J1030" s="4">
        <v>0</v>
      </c>
      <c r="K1030" s="4">
        <v>0</v>
      </c>
      <c r="L1030" s="4">
        <v>0</v>
      </c>
      <c r="M1030" s="4">
        <v>1</v>
      </c>
      <c r="N1030" s="4">
        <v>0</v>
      </c>
      <c r="O1030" s="4">
        <v>0</v>
      </c>
    </row>
    <row r="1031" spans="1:15" x14ac:dyDescent="0.15">
      <c r="A1031" s="4">
        <v>1028</v>
      </c>
      <c r="B1031" s="4">
        <v>32</v>
      </c>
      <c r="C1031" s="4">
        <v>7</v>
      </c>
      <c r="D1031" s="4">
        <v>108</v>
      </c>
      <c r="E1031" s="4">
        <v>1</v>
      </c>
      <c r="F1031" s="8">
        <v>4.5999999999999996</v>
      </c>
      <c r="G1031" s="4">
        <v>1</v>
      </c>
      <c r="H1031" s="4">
        <f t="shared" si="32"/>
        <v>1</v>
      </c>
      <c r="I1031" s="4">
        <f t="shared" si="33"/>
        <v>0</v>
      </c>
      <c r="J1031" s="4">
        <v>0</v>
      </c>
      <c r="K1031" s="4">
        <v>1</v>
      </c>
      <c r="L1031" s="4">
        <v>0</v>
      </c>
      <c r="M1031" s="4">
        <v>0</v>
      </c>
      <c r="N1031" s="4">
        <v>0</v>
      </c>
      <c r="O1031" s="4">
        <v>0</v>
      </c>
    </row>
    <row r="1032" spans="1:15" x14ac:dyDescent="0.15">
      <c r="A1032" s="4">
        <v>1029</v>
      </c>
      <c r="B1032" s="4">
        <v>29</v>
      </c>
      <c r="C1032" s="4">
        <v>4</v>
      </c>
      <c r="D1032" s="4">
        <v>110</v>
      </c>
      <c r="E1032" s="4">
        <v>4</v>
      </c>
      <c r="F1032" s="8">
        <v>2.5</v>
      </c>
      <c r="G1032" s="4">
        <v>3</v>
      </c>
      <c r="H1032" s="4">
        <f t="shared" si="32"/>
        <v>0</v>
      </c>
      <c r="I1032" s="4">
        <f t="shared" si="33"/>
        <v>0</v>
      </c>
      <c r="J1032" s="4">
        <v>0</v>
      </c>
      <c r="K1032" s="4">
        <v>0</v>
      </c>
      <c r="L1032" s="4">
        <v>0</v>
      </c>
      <c r="M1032" s="4">
        <v>0</v>
      </c>
      <c r="N1032" s="4">
        <v>0</v>
      </c>
      <c r="O1032" s="4">
        <v>1</v>
      </c>
    </row>
    <row r="1033" spans="1:15" x14ac:dyDescent="0.15">
      <c r="A1033" s="4">
        <v>1030</v>
      </c>
      <c r="B1033" s="4">
        <v>41</v>
      </c>
      <c r="C1033" s="4">
        <v>17</v>
      </c>
      <c r="D1033" s="4">
        <v>20</v>
      </c>
      <c r="E1033" s="4">
        <v>1</v>
      </c>
      <c r="F1033" s="8">
        <v>1.4</v>
      </c>
      <c r="G1033" s="4">
        <v>3</v>
      </c>
      <c r="H1033" s="4">
        <f t="shared" si="32"/>
        <v>0</v>
      </c>
      <c r="I1033" s="4">
        <f t="shared" si="33"/>
        <v>0</v>
      </c>
      <c r="J1033" s="4">
        <v>0</v>
      </c>
      <c r="K1033" s="4">
        <v>0</v>
      </c>
      <c r="L1033" s="4">
        <v>0</v>
      </c>
      <c r="M1033" s="4">
        <v>1</v>
      </c>
      <c r="N1033" s="4">
        <v>0</v>
      </c>
      <c r="O1033" s="4">
        <v>0</v>
      </c>
    </row>
    <row r="1034" spans="1:15" x14ac:dyDescent="0.15">
      <c r="A1034" s="4">
        <v>1031</v>
      </c>
      <c r="B1034" s="4">
        <v>61</v>
      </c>
      <c r="C1034" s="4">
        <v>35</v>
      </c>
      <c r="D1034" s="4">
        <v>112</v>
      </c>
      <c r="E1034" s="4">
        <v>4</v>
      </c>
      <c r="F1034" s="8">
        <v>1.7</v>
      </c>
      <c r="G1034" s="4">
        <v>3</v>
      </c>
      <c r="H1034" s="4">
        <f t="shared" si="32"/>
        <v>0</v>
      </c>
      <c r="I1034" s="4">
        <f t="shared" si="33"/>
        <v>0</v>
      </c>
      <c r="J1034" s="4">
        <v>0</v>
      </c>
      <c r="K1034" s="4">
        <v>0</v>
      </c>
      <c r="L1034" s="4">
        <v>0</v>
      </c>
      <c r="M1034" s="4">
        <v>0</v>
      </c>
      <c r="N1034" s="4">
        <v>1</v>
      </c>
      <c r="O1034" s="4">
        <v>0</v>
      </c>
    </row>
    <row r="1035" spans="1:15" x14ac:dyDescent="0.15">
      <c r="A1035" s="4">
        <v>1032</v>
      </c>
      <c r="B1035" s="4">
        <v>56</v>
      </c>
      <c r="C1035" s="4">
        <v>32</v>
      </c>
      <c r="D1035" s="4">
        <v>25</v>
      </c>
      <c r="E1035" s="4">
        <v>1</v>
      </c>
      <c r="F1035" s="8">
        <v>0.1</v>
      </c>
      <c r="G1035" s="4">
        <v>2</v>
      </c>
      <c r="H1035" s="4">
        <f t="shared" si="32"/>
        <v>0</v>
      </c>
      <c r="I1035" s="4">
        <f t="shared" si="33"/>
        <v>1</v>
      </c>
      <c r="J1035" s="4">
        <v>136</v>
      </c>
      <c r="K1035" s="4">
        <v>0</v>
      </c>
      <c r="L1035" s="4">
        <v>0</v>
      </c>
      <c r="M1035" s="4">
        <v>1</v>
      </c>
      <c r="N1035" s="4">
        <v>0</v>
      </c>
      <c r="O1035" s="4">
        <v>0</v>
      </c>
    </row>
    <row r="1036" spans="1:15" x14ac:dyDescent="0.15">
      <c r="A1036" s="4">
        <v>1033</v>
      </c>
      <c r="B1036" s="4">
        <v>37</v>
      </c>
      <c r="C1036" s="4">
        <v>12</v>
      </c>
      <c r="D1036" s="4">
        <v>42</v>
      </c>
      <c r="E1036" s="4">
        <v>3</v>
      </c>
      <c r="F1036" s="8">
        <v>0.7</v>
      </c>
      <c r="G1036" s="4">
        <v>2</v>
      </c>
      <c r="H1036" s="4">
        <f t="shared" si="32"/>
        <v>0</v>
      </c>
      <c r="I1036" s="4">
        <f t="shared" si="33"/>
        <v>1</v>
      </c>
      <c r="J1036" s="4">
        <v>0</v>
      </c>
      <c r="K1036" s="4">
        <v>0</v>
      </c>
      <c r="L1036" s="4">
        <v>0</v>
      </c>
      <c r="M1036" s="4">
        <v>1</v>
      </c>
      <c r="N1036" s="4">
        <v>1</v>
      </c>
      <c r="O1036" s="4">
        <v>0</v>
      </c>
    </row>
    <row r="1037" spans="1:15" x14ac:dyDescent="0.15">
      <c r="A1037" s="4">
        <v>1034</v>
      </c>
      <c r="B1037" s="4">
        <v>60</v>
      </c>
      <c r="C1037" s="4">
        <v>34</v>
      </c>
      <c r="D1037" s="4">
        <v>29</v>
      </c>
      <c r="E1037" s="4">
        <v>2</v>
      </c>
      <c r="F1037" s="8">
        <v>0.3</v>
      </c>
      <c r="G1037" s="4">
        <v>1</v>
      </c>
      <c r="H1037" s="4">
        <f t="shared" si="32"/>
        <v>1</v>
      </c>
      <c r="I1037" s="4">
        <f t="shared" si="33"/>
        <v>0</v>
      </c>
      <c r="J1037" s="4">
        <v>0</v>
      </c>
      <c r="K1037" s="4">
        <v>0</v>
      </c>
      <c r="L1037" s="4">
        <v>0</v>
      </c>
      <c r="M1037" s="4">
        <v>1</v>
      </c>
      <c r="N1037" s="4">
        <v>0</v>
      </c>
      <c r="O1037" s="4">
        <v>0</v>
      </c>
    </row>
    <row r="1038" spans="1:15" x14ac:dyDescent="0.15">
      <c r="A1038" s="4">
        <v>1035</v>
      </c>
      <c r="B1038" s="4">
        <v>49</v>
      </c>
      <c r="C1038" s="4">
        <v>23</v>
      </c>
      <c r="D1038" s="4">
        <v>84</v>
      </c>
      <c r="E1038" s="4">
        <v>3</v>
      </c>
      <c r="F1038" s="8">
        <v>2.1</v>
      </c>
      <c r="G1038" s="4">
        <v>1</v>
      </c>
      <c r="H1038" s="4">
        <f t="shared" si="32"/>
        <v>1</v>
      </c>
      <c r="I1038" s="4">
        <f t="shared" si="33"/>
        <v>0</v>
      </c>
      <c r="J1038" s="4">
        <v>134</v>
      </c>
      <c r="K1038" s="4">
        <v>1</v>
      </c>
      <c r="L1038" s="4">
        <v>0</v>
      </c>
      <c r="M1038" s="4">
        <v>1</v>
      </c>
      <c r="N1038" s="4">
        <v>0</v>
      </c>
      <c r="O1038" s="4">
        <v>0</v>
      </c>
    </row>
    <row r="1039" spans="1:15" x14ac:dyDescent="0.15">
      <c r="A1039" s="4">
        <v>1036</v>
      </c>
      <c r="B1039" s="4">
        <v>43</v>
      </c>
      <c r="C1039" s="4">
        <v>17</v>
      </c>
      <c r="D1039" s="4">
        <v>81</v>
      </c>
      <c r="E1039" s="4">
        <v>4</v>
      </c>
      <c r="F1039" s="8">
        <v>2.6</v>
      </c>
      <c r="G1039" s="4">
        <v>3</v>
      </c>
      <c r="H1039" s="4">
        <f t="shared" si="32"/>
        <v>0</v>
      </c>
      <c r="I1039" s="4">
        <f t="shared" si="33"/>
        <v>0</v>
      </c>
      <c r="J1039" s="4">
        <v>0</v>
      </c>
      <c r="K1039" s="4">
        <v>1</v>
      </c>
      <c r="L1039" s="4">
        <v>0</v>
      </c>
      <c r="M1039" s="4">
        <v>1</v>
      </c>
      <c r="N1039" s="4">
        <v>0</v>
      </c>
      <c r="O1039" s="4">
        <v>0</v>
      </c>
    </row>
    <row r="1040" spans="1:15" x14ac:dyDescent="0.15">
      <c r="A1040" s="4">
        <v>1037</v>
      </c>
      <c r="B1040" s="4">
        <v>53</v>
      </c>
      <c r="C1040" s="4">
        <v>28</v>
      </c>
      <c r="D1040" s="4">
        <v>55</v>
      </c>
      <c r="E1040" s="4">
        <v>4</v>
      </c>
      <c r="F1040" s="8">
        <v>0.9</v>
      </c>
      <c r="G1040" s="4">
        <v>1</v>
      </c>
      <c r="H1040" s="4">
        <f t="shared" si="32"/>
        <v>1</v>
      </c>
      <c r="I1040" s="4">
        <f t="shared" si="33"/>
        <v>0</v>
      </c>
      <c r="J1040" s="4">
        <v>119</v>
      </c>
      <c r="K1040" s="4">
        <v>0</v>
      </c>
      <c r="L1040" s="4">
        <v>0</v>
      </c>
      <c r="M1040" s="4">
        <v>1</v>
      </c>
      <c r="N1040" s="4">
        <v>1</v>
      </c>
      <c r="O1040" s="4">
        <v>0</v>
      </c>
    </row>
    <row r="1041" spans="1:15" x14ac:dyDescent="0.15">
      <c r="A1041" s="4">
        <v>1038</v>
      </c>
      <c r="B1041" s="4">
        <v>35</v>
      </c>
      <c r="C1041" s="4">
        <v>11</v>
      </c>
      <c r="D1041" s="4">
        <v>40</v>
      </c>
      <c r="E1041" s="4">
        <v>1</v>
      </c>
      <c r="F1041" s="8">
        <v>2.4</v>
      </c>
      <c r="G1041" s="4">
        <v>2</v>
      </c>
      <c r="H1041" s="4">
        <f t="shared" si="32"/>
        <v>0</v>
      </c>
      <c r="I1041" s="4">
        <f t="shared" si="33"/>
        <v>1</v>
      </c>
      <c r="J1041" s="4">
        <v>0</v>
      </c>
      <c r="K1041" s="4">
        <v>1</v>
      </c>
      <c r="L1041" s="4">
        <v>0</v>
      </c>
      <c r="M1041" s="4">
        <v>1</v>
      </c>
      <c r="N1041" s="4">
        <v>0</v>
      </c>
      <c r="O1041" s="4">
        <v>0</v>
      </c>
    </row>
    <row r="1042" spans="1:15" x14ac:dyDescent="0.15">
      <c r="A1042" s="4">
        <v>1039</v>
      </c>
      <c r="B1042" s="4">
        <v>56</v>
      </c>
      <c r="C1042" s="4">
        <v>30</v>
      </c>
      <c r="D1042" s="4">
        <v>145</v>
      </c>
      <c r="E1042" s="4">
        <v>4</v>
      </c>
      <c r="F1042" s="8">
        <v>5.7</v>
      </c>
      <c r="G1042" s="4">
        <v>2</v>
      </c>
      <c r="H1042" s="4">
        <f t="shared" si="32"/>
        <v>0</v>
      </c>
      <c r="I1042" s="4">
        <f t="shared" si="33"/>
        <v>1</v>
      </c>
      <c r="J1042" s="4">
        <v>0</v>
      </c>
      <c r="K1042" s="4">
        <v>0</v>
      </c>
      <c r="L1042" s="4">
        <v>1</v>
      </c>
      <c r="M1042" s="4">
        <v>1</v>
      </c>
      <c r="N1042" s="4">
        <v>1</v>
      </c>
      <c r="O1042" s="4">
        <v>1</v>
      </c>
    </row>
    <row r="1043" spans="1:15" x14ac:dyDescent="0.15">
      <c r="A1043" s="4">
        <v>1040</v>
      </c>
      <c r="B1043" s="4">
        <v>41</v>
      </c>
      <c r="C1043" s="4">
        <v>16</v>
      </c>
      <c r="D1043" s="4">
        <v>175</v>
      </c>
      <c r="E1043" s="4">
        <v>2</v>
      </c>
      <c r="F1043" s="8">
        <v>1.1000000000000001</v>
      </c>
      <c r="G1043" s="4">
        <v>3</v>
      </c>
      <c r="H1043" s="4">
        <f t="shared" si="32"/>
        <v>0</v>
      </c>
      <c r="I1043" s="4">
        <f t="shared" si="33"/>
        <v>0</v>
      </c>
      <c r="J1043" s="4">
        <v>0</v>
      </c>
      <c r="K1043" s="4">
        <v>0</v>
      </c>
      <c r="L1043" s="4">
        <v>0</v>
      </c>
      <c r="M1043" s="4">
        <v>1</v>
      </c>
      <c r="N1043" s="4">
        <v>0</v>
      </c>
      <c r="O1043" s="4">
        <v>1</v>
      </c>
    </row>
    <row r="1044" spans="1:15" x14ac:dyDescent="0.15">
      <c r="A1044" s="4">
        <v>1041</v>
      </c>
      <c r="B1044" s="4">
        <v>36</v>
      </c>
      <c r="C1044" s="4">
        <v>6</v>
      </c>
      <c r="D1044" s="4">
        <v>78</v>
      </c>
      <c r="E1044" s="4">
        <v>4</v>
      </c>
      <c r="F1044" s="8">
        <v>1.8</v>
      </c>
      <c r="G1044" s="4">
        <v>3</v>
      </c>
      <c r="H1044" s="4">
        <f t="shared" si="32"/>
        <v>0</v>
      </c>
      <c r="I1044" s="4">
        <f t="shared" si="33"/>
        <v>0</v>
      </c>
      <c r="J1044" s="4">
        <v>163</v>
      </c>
      <c r="K1044" s="4">
        <v>0</v>
      </c>
      <c r="L1044" s="4">
        <v>0</v>
      </c>
      <c r="M1044" s="4">
        <v>0</v>
      </c>
      <c r="N1044" s="4">
        <v>0</v>
      </c>
      <c r="O1044" s="4">
        <v>0</v>
      </c>
    </row>
    <row r="1045" spans="1:15" x14ac:dyDescent="0.15">
      <c r="A1045" s="4">
        <v>1042</v>
      </c>
      <c r="B1045" s="4">
        <v>56</v>
      </c>
      <c r="C1045" s="4">
        <v>32</v>
      </c>
      <c r="D1045" s="4">
        <v>51</v>
      </c>
      <c r="E1045" s="4">
        <v>4</v>
      </c>
      <c r="F1045" s="8">
        <v>1.5</v>
      </c>
      <c r="G1045" s="4">
        <v>1</v>
      </c>
      <c r="H1045" s="4">
        <f t="shared" si="32"/>
        <v>1</v>
      </c>
      <c r="I1045" s="4">
        <f t="shared" si="33"/>
        <v>0</v>
      </c>
      <c r="J1045" s="4">
        <v>0</v>
      </c>
      <c r="K1045" s="4">
        <v>0</v>
      </c>
      <c r="L1045" s="4">
        <v>0</v>
      </c>
      <c r="M1045" s="4">
        <v>0</v>
      </c>
      <c r="N1045" s="4">
        <v>0</v>
      </c>
      <c r="O1045" s="4">
        <v>0</v>
      </c>
    </row>
    <row r="1046" spans="1:15" x14ac:dyDescent="0.15">
      <c r="A1046" s="4">
        <v>1043</v>
      </c>
      <c r="B1046" s="4">
        <v>64</v>
      </c>
      <c r="C1046" s="4">
        <v>34</v>
      </c>
      <c r="D1046" s="4">
        <v>50</v>
      </c>
      <c r="E1046" s="4">
        <v>4</v>
      </c>
      <c r="F1046" s="8">
        <v>1.6666666666666667</v>
      </c>
      <c r="G1046" s="4">
        <v>3</v>
      </c>
      <c r="H1046" s="4">
        <f t="shared" si="32"/>
        <v>0</v>
      </c>
      <c r="I1046" s="4">
        <f t="shared" si="33"/>
        <v>0</v>
      </c>
      <c r="J1046" s="4">
        <v>0</v>
      </c>
      <c r="K1046" s="4">
        <v>0</v>
      </c>
      <c r="L1046" s="4">
        <v>0</v>
      </c>
      <c r="M1046" s="4">
        <v>1</v>
      </c>
      <c r="N1046" s="4">
        <v>0</v>
      </c>
      <c r="O1046" s="4">
        <v>0</v>
      </c>
    </row>
    <row r="1047" spans="1:15" x14ac:dyDescent="0.15">
      <c r="A1047" s="4">
        <v>1044</v>
      </c>
      <c r="B1047" s="4">
        <v>51</v>
      </c>
      <c r="C1047" s="4">
        <v>27</v>
      </c>
      <c r="D1047" s="4">
        <v>21</v>
      </c>
      <c r="E1047" s="4">
        <v>3</v>
      </c>
      <c r="F1047" s="8">
        <v>0.4</v>
      </c>
      <c r="G1047" s="4">
        <v>1</v>
      </c>
      <c r="H1047" s="4">
        <f t="shared" si="32"/>
        <v>1</v>
      </c>
      <c r="I1047" s="4">
        <f t="shared" si="33"/>
        <v>0</v>
      </c>
      <c r="J1047" s="4">
        <v>0</v>
      </c>
      <c r="K1047" s="4">
        <v>0</v>
      </c>
      <c r="L1047" s="4">
        <v>0</v>
      </c>
      <c r="M1047" s="4">
        <v>1</v>
      </c>
      <c r="N1047" s="4">
        <v>0</v>
      </c>
      <c r="O1047" s="4">
        <v>0</v>
      </c>
    </row>
    <row r="1048" spans="1:15" x14ac:dyDescent="0.15">
      <c r="A1048" s="4">
        <v>1045</v>
      </c>
      <c r="B1048" s="4">
        <v>49</v>
      </c>
      <c r="C1048" s="4">
        <v>24</v>
      </c>
      <c r="D1048" s="4">
        <v>79</v>
      </c>
      <c r="E1048" s="4">
        <v>1</v>
      </c>
      <c r="F1048" s="8">
        <v>0.2</v>
      </c>
      <c r="G1048" s="4">
        <v>2</v>
      </c>
      <c r="H1048" s="4">
        <f t="shared" si="32"/>
        <v>0</v>
      </c>
      <c r="I1048" s="4">
        <f t="shared" si="33"/>
        <v>1</v>
      </c>
      <c r="J1048" s="4">
        <v>83</v>
      </c>
      <c r="K1048" s="4">
        <v>0</v>
      </c>
      <c r="L1048" s="4">
        <v>0</v>
      </c>
      <c r="M1048" s="4">
        <v>1</v>
      </c>
      <c r="N1048" s="4">
        <v>1</v>
      </c>
      <c r="O1048" s="4">
        <v>0</v>
      </c>
    </row>
    <row r="1049" spans="1:15" x14ac:dyDescent="0.15">
      <c r="A1049" s="4">
        <v>1046</v>
      </c>
      <c r="B1049" s="4">
        <v>43</v>
      </c>
      <c r="C1049" s="4">
        <v>18</v>
      </c>
      <c r="D1049" s="4">
        <v>84</v>
      </c>
      <c r="E1049" s="4">
        <v>1</v>
      </c>
      <c r="F1049" s="8">
        <v>4</v>
      </c>
      <c r="G1049" s="4">
        <v>3</v>
      </c>
      <c r="H1049" s="4">
        <f t="shared" si="32"/>
        <v>0</v>
      </c>
      <c r="I1049" s="4">
        <f t="shared" si="33"/>
        <v>0</v>
      </c>
      <c r="J1049" s="4">
        <v>0</v>
      </c>
      <c r="K1049" s="4">
        <v>0</v>
      </c>
      <c r="L1049" s="4">
        <v>0</v>
      </c>
      <c r="M1049" s="4">
        <v>0</v>
      </c>
      <c r="N1049" s="4">
        <v>0</v>
      </c>
      <c r="O1049" s="4">
        <v>0</v>
      </c>
    </row>
    <row r="1050" spans="1:15" x14ac:dyDescent="0.15">
      <c r="A1050" s="4">
        <v>1047</v>
      </c>
      <c r="B1050" s="4">
        <v>51</v>
      </c>
      <c r="C1050" s="4">
        <v>26</v>
      </c>
      <c r="D1050" s="4">
        <v>34</v>
      </c>
      <c r="E1050" s="4">
        <v>4</v>
      </c>
      <c r="F1050" s="8">
        <v>0.4</v>
      </c>
      <c r="G1050" s="4">
        <v>2</v>
      </c>
      <c r="H1050" s="4">
        <f t="shared" si="32"/>
        <v>0</v>
      </c>
      <c r="I1050" s="4">
        <f t="shared" si="33"/>
        <v>1</v>
      </c>
      <c r="J1050" s="4">
        <v>0</v>
      </c>
      <c r="K1050" s="4">
        <v>0</v>
      </c>
      <c r="L1050" s="4">
        <v>0</v>
      </c>
      <c r="M1050" s="4">
        <v>0</v>
      </c>
      <c r="N1050" s="4">
        <v>0</v>
      </c>
      <c r="O1050" s="4">
        <v>0</v>
      </c>
    </row>
    <row r="1051" spans="1:15" x14ac:dyDescent="0.15">
      <c r="A1051" s="4">
        <v>1048</v>
      </c>
      <c r="B1051" s="4">
        <v>55</v>
      </c>
      <c r="C1051" s="4">
        <v>31</v>
      </c>
      <c r="D1051" s="4">
        <v>73</v>
      </c>
      <c r="E1051" s="4">
        <v>4</v>
      </c>
      <c r="F1051" s="8">
        <v>1.6</v>
      </c>
      <c r="G1051" s="4">
        <v>2</v>
      </c>
      <c r="H1051" s="4">
        <f t="shared" si="32"/>
        <v>0</v>
      </c>
      <c r="I1051" s="4">
        <f t="shared" si="33"/>
        <v>1</v>
      </c>
      <c r="J1051" s="4">
        <v>0</v>
      </c>
      <c r="K1051" s="4">
        <v>0</v>
      </c>
      <c r="L1051" s="4">
        <v>0</v>
      </c>
      <c r="M1051" s="4">
        <v>0</v>
      </c>
      <c r="N1051" s="4">
        <v>0</v>
      </c>
      <c r="O1051" s="4">
        <v>0</v>
      </c>
    </row>
    <row r="1052" spans="1:15" x14ac:dyDescent="0.15">
      <c r="A1052" s="4">
        <v>1049</v>
      </c>
      <c r="B1052" s="4">
        <v>62</v>
      </c>
      <c r="C1052" s="4">
        <v>37</v>
      </c>
      <c r="D1052" s="4">
        <v>90</v>
      </c>
      <c r="E1052" s="4">
        <v>3</v>
      </c>
      <c r="F1052" s="8">
        <v>0.5</v>
      </c>
      <c r="G1052" s="4">
        <v>1</v>
      </c>
      <c r="H1052" s="4">
        <f t="shared" si="32"/>
        <v>1</v>
      </c>
      <c r="I1052" s="4">
        <f t="shared" si="33"/>
        <v>0</v>
      </c>
      <c r="J1052" s="4">
        <v>0</v>
      </c>
      <c r="K1052" s="4">
        <v>0</v>
      </c>
      <c r="L1052" s="4">
        <v>0</v>
      </c>
      <c r="M1052" s="4">
        <v>1</v>
      </c>
      <c r="N1052" s="4">
        <v>0</v>
      </c>
      <c r="O1052" s="4">
        <v>0</v>
      </c>
    </row>
    <row r="1053" spans="1:15" x14ac:dyDescent="0.15">
      <c r="A1053" s="4">
        <v>1050</v>
      </c>
      <c r="B1053" s="4">
        <v>35</v>
      </c>
      <c r="C1053" s="4">
        <v>10</v>
      </c>
      <c r="D1053" s="4">
        <v>23</v>
      </c>
      <c r="E1053" s="4">
        <v>4</v>
      </c>
      <c r="F1053" s="8">
        <v>0.2</v>
      </c>
      <c r="G1053" s="4">
        <v>3</v>
      </c>
      <c r="H1053" s="4">
        <f t="shared" si="32"/>
        <v>0</v>
      </c>
      <c r="I1053" s="4">
        <f t="shared" si="33"/>
        <v>0</v>
      </c>
      <c r="J1053" s="4">
        <v>0</v>
      </c>
      <c r="K1053" s="4">
        <v>0</v>
      </c>
      <c r="L1053" s="4">
        <v>0</v>
      </c>
      <c r="M1053" s="4">
        <v>1</v>
      </c>
      <c r="N1053" s="4">
        <v>0</v>
      </c>
      <c r="O1053" s="4">
        <v>0</v>
      </c>
    </row>
    <row r="1054" spans="1:15" x14ac:dyDescent="0.15">
      <c r="A1054" s="4">
        <v>1051</v>
      </c>
      <c r="B1054" s="4">
        <v>53</v>
      </c>
      <c r="C1054" s="4">
        <v>27</v>
      </c>
      <c r="D1054" s="4">
        <v>145</v>
      </c>
      <c r="E1054" s="4">
        <v>2</v>
      </c>
      <c r="F1054" s="8">
        <v>6.1</v>
      </c>
      <c r="G1054" s="4">
        <v>3</v>
      </c>
      <c r="H1054" s="4">
        <f t="shared" si="32"/>
        <v>0</v>
      </c>
      <c r="I1054" s="4">
        <f t="shared" si="33"/>
        <v>0</v>
      </c>
      <c r="J1054" s="4">
        <v>294</v>
      </c>
      <c r="K1054" s="4">
        <v>0</v>
      </c>
      <c r="L1054" s="4">
        <v>1</v>
      </c>
      <c r="M1054" s="4">
        <v>1</v>
      </c>
      <c r="N1054" s="4">
        <v>1</v>
      </c>
      <c r="O1054" s="4">
        <v>1</v>
      </c>
    </row>
    <row r="1055" spans="1:15" x14ac:dyDescent="0.15">
      <c r="A1055" s="4">
        <v>1052</v>
      </c>
      <c r="B1055" s="4">
        <v>33</v>
      </c>
      <c r="C1055" s="4">
        <v>7</v>
      </c>
      <c r="D1055" s="4">
        <v>54</v>
      </c>
      <c r="E1055" s="4">
        <v>4</v>
      </c>
      <c r="F1055" s="8">
        <v>0.2</v>
      </c>
      <c r="G1055" s="4">
        <v>1</v>
      </c>
      <c r="H1055" s="4">
        <f t="shared" si="32"/>
        <v>1</v>
      </c>
      <c r="I1055" s="4">
        <f t="shared" si="33"/>
        <v>0</v>
      </c>
      <c r="J1055" s="4">
        <v>141</v>
      </c>
      <c r="K1055" s="4">
        <v>1</v>
      </c>
      <c r="L1055" s="4">
        <v>0</v>
      </c>
      <c r="M1055" s="4">
        <v>0</v>
      </c>
      <c r="N1055" s="4">
        <v>0</v>
      </c>
      <c r="O1055" s="4">
        <v>0</v>
      </c>
    </row>
    <row r="1056" spans="1:15" x14ac:dyDescent="0.15">
      <c r="A1056" s="4">
        <v>1053</v>
      </c>
      <c r="B1056" s="4">
        <v>43</v>
      </c>
      <c r="C1056" s="4">
        <v>17</v>
      </c>
      <c r="D1056" s="4">
        <v>49</v>
      </c>
      <c r="E1056" s="4">
        <v>3</v>
      </c>
      <c r="F1056" s="8">
        <v>2.2000000000000002</v>
      </c>
      <c r="G1056" s="4">
        <v>2</v>
      </c>
      <c r="H1056" s="4">
        <f t="shared" si="32"/>
        <v>0</v>
      </c>
      <c r="I1056" s="4">
        <f t="shared" si="33"/>
        <v>1</v>
      </c>
      <c r="J1056" s="4">
        <v>103</v>
      </c>
      <c r="K1056" s="4">
        <v>0</v>
      </c>
      <c r="L1056" s="4">
        <v>0</v>
      </c>
      <c r="M1056" s="4">
        <v>1</v>
      </c>
      <c r="N1056" s="4">
        <v>1</v>
      </c>
      <c r="O1056" s="4">
        <v>0</v>
      </c>
    </row>
    <row r="1057" spans="1:15" x14ac:dyDescent="0.15">
      <c r="A1057" s="4">
        <v>1054</v>
      </c>
      <c r="B1057" s="4">
        <v>58</v>
      </c>
      <c r="C1057" s="4">
        <v>32</v>
      </c>
      <c r="D1057" s="4">
        <v>51</v>
      </c>
      <c r="E1057" s="4">
        <v>1</v>
      </c>
      <c r="F1057" s="8">
        <v>2.8</v>
      </c>
      <c r="G1057" s="4">
        <v>2</v>
      </c>
      <c r="H1057" s="4">
        <f t="shared" si="32"/>
        <v>0</v>
      </c>
      <c r="I1057" s="4">
        <f t="shared" si="33"/>
        <v>1</v>
      </c>
      <c r="J1057" s="4">
        <v>0</v>
      </c>
      <c r="K1057" s="4">
        <v>0</v>
      </c>
      <c r="L1057" s="4">
        <v>0</v>
      </c>
      <c r="M1057" s="4">
        <v>1</v>
      </c>
      <c r="N1057" s="4">
        <v>0</v>
      </c>
      <c r="O1057" s="4">
        <v>0</v>
      </c>
    </row>
    <row r="1058" spans="1:15" x14ac:dyDescent="0.15">
      <c r="A1058" s="4">
        <v>1055</v>
      </c>
      <c r="B1058" s="4">
        <v>63</v>
      </c>
      <c r="C1058" s="4">
        <v>38</v>
      </c>
      <c r="D1058" s="4">
        <v>8</v>
      </c>
      <c r="E1058" s="4">
        <v>4</v>
      </c>
      <c r="F1058" s="8">
        <v>0.6</v>
      </c>
      <c r="G1058" s="4">
        <v>2</v>
      </c>
      <c r="H1058" s="4">
        <f t="shared" si="32"/>
        <v>0</v>
      </c>
      <c r="I1058" s="4">
        <f t="shared" si="33"/>
        <v>1</v>
      </c>
      <c r="J1058" s="4">
        <v>0</v>
      </c>
      <c r="K1058" s="4">
        <v>0</v>
      </c>
      <c r="L1058" s="4">
        <v>0</v>
      </c>
      <c r="M1058" s="4">
        <v>1</v>
      </c>
      <c r="N1058" s="4">
        <v>0</v>
      </c>
      <c r="O1058" s="4">
        <v>0</v>
      </c>
    </row>
    <row r="1059" spans="1:15" x14ac:dyDescent="0.15">
      <c r="A1059" s="4">
        <v>1056</v>
      </c>
      <c r="B1059" s="4">
        <v>31</v>
      </c>
      <c r="C1059" s="4">
        <v>6</v>
      </c>
      <c r="D1059" s="4">
        <v>62</v>
      </c>
      <c r="E1059" s="4">
        <v>1</v>
      </c>
      <c r="F1059" s="8">
        <v>1</v>
      </c>
      <c r="G1059" s="4">
        <v>1</v>
      </c>
      <c r="H1059" s="4">
        <f t="shared" si="32"/>
        <v>1</v>
      </c>
      <c r="I1059" s="4">
        <f t="shared" si="33"/>
        <v>0</v>
      </c>
      <c r="J1059" s="4">
        <v>0</v>
      </c>
      <c r="K1059" s="4">
        <v>1</v>
      </c>
      <c r="L1059" s="4">
        <v>0</v>
      </c>
      <c r="M1059" s="4">
        <v>1</v>
      </c>
      <c r="N1059" s="4">
        <v>0</v>
      </c>
      <c r="O1059" s="4">
        <v>0</v>
      </c>
    </row>
    <row r="1060" spans="1:15" x14ac:dyDescent="0.15">
      <c r="A1060" s="4">
        <v>1057</v>
      </c>
      <c r="B1060" s="4">
        <v>36</v>
      </c>
      <c r="C1060" s="4">
        <v>6</v>
      </c>
      <c r="D1060" s="4">
        <v>25</v>
      </c>
      <c r="E1060" s="4">
        <v>1</v>
      </c>
      <c r="F1060" s="8">
        <v>0.66666666666666663</v>
      </c>
      <c r="G1060" s="4">
        <v>3</v>
      </c>
      <c r="H1060" s="4">
        <f t="shared" si="32"/>
        <v>0</v>
      </c>
      <c r="I1060" s="4">
        <f t="shared" si="33"/>
        <v>0</v>
      </c>
      <c r="J1060" s="4">
        <v>0</v>
      </c>
      <c r="K1060" s="4">
        <v>0</v>
      </c>
      <c r="L1060" s="4">
        <v>0</v>
      </c>
      <c r="M1060" s="4">
        <v>1</v>
      </c>
      <c r="N1060" s="4">
        <v>0</v>
      </c>
      <c r="O1060" s="4">
        <v>0</v>
      </c>
    </row>
    <row r="1061" spans="1:15" x14ac:dyDescent="0.15">
      <c r="A1061" s="4">
        <v>1058</v>
      </c>
      <c r="B1061" s="4">
        <v>30</v>
      </c>
      <c r="C1061" s="4">
        <v>0</v>
      </c>
      <c r="D1061" s="4">
        <v>63</v>
      </c>
      <c r="E1061" s="4">
        <v>2</v>
      </c>
      <c r="F1061" s="8">
        <v>1.75</v>
      </c>
      <c r="G1061" s="4">
        <v>3</v>
      </c>
      <c r="H1061" s="4">
        <f t="shared" si="32"/>
        <v>0</v>
      </c>
      <c r="I1061" s="4">
        <f t="shared" si="33"/>
        <v>0</v>
      </c>
      <c r="J1061" s="4">
        <v>0</v>
      </c>
      <c r="K1061" s="4">
        <v>0</v>
      </c>
      <c r="L1061" s="4">
        <v>0</v>
      </c>
      <c r="M1061" s="4">
        <v>1</v>
      </c>
      <c r="N1061" s="4">
        <v>0</v>
      </c>
      <c r="O1061" s="4">
        <v>0</v>
      </c>
    </row>
    <row r="1062" spans="1:15" x14ac:dyDescent="0.15">
      <c r="A1062" s="4">
        <v>1059</v>
      </c>
      <c r="B1062" s="4">
        <v>59</v>
      </c>
      <c r="C1062" s="4">
        <v>34</v>
      </c>
      <c r="D1062" s="4">
        <v>24</v>
      </c>
      <c r="E1062" s="4">
        <v>2</v>
      </c>
      <c r="F1062" s="8">
        <v>0.2</v>
      </c>
      <c r="G1062" s="4">
        <v>3</v>
      </c>
      <c r="H1062" s="4">
        <f t="shared" si="32"/>
        <v>0</v>
      </c>
      <c r="I1062" s="4">
        <f t="shared" si="33"/>
        <v>0</v>
      </c>
      <c r="J1062" s="4">
        <v>86</v>
      </c>
      <c r="K1062" s="4">
        <v>0</v>
      </c>
      <c r="L1062" s="4">
        <v>0</v>
      </c>
      <c r="M1062" s="4">
        <v>1</v>
      </c>
      <c r="N1062" s="4">
        <v>0</v>
      </c>
      <c r="O1062" s="4">
        <v>0</v>
      </c>
    </row>
    <row r="1063" spans="1:15" x14ac:dyDescent="0.15">
      <c r="A1063" s="4">
        <v>1060</v>
      </c>
      <c r="B1063" s="4">
        <v>28</v>
      </c>
      <c r="C1063" s="4">
        <v>2</v>
      </c>
      <c r="D1063" s="4">
        <v>11</v>
      </c>
      <c r="E1063" s="4">
        <v>1</v>
      </c>
      <c r="F1063" s="8">
        <v>0.1</v>
      </c>
      <c r="G1063" s="4">
        <v>2</v>
      </c>
      <c r="H1063" s="4">
        <f t="shared" si="32"/>
        <v>0</v>
      </c>
      <c r="I1063" s="4">
        <f t="shared" si="33"/>
        <v>1</v>
      </c>
      <c r="J1063" s="4">
        <v>0</v>
      </c>
      <c r="K1063" s="4">
        <v>0</v>
      </c>
      <c r="L1063" s="4">
        <v>0</v>
      </c>
      <c r="M1063" s="4">
        <v>1</v>
      </c>
      <c r="N1063" s="4">
        <v>1</v>
      </c>
      <c r="O1063" s="4">
        <v>0</v>
      </c>
    </row>
    <row r="1064" spans="1:15" x14ac:dyDescent="0.15">
      <c r="A1064" s="4">
        <v>1061</v>
      </c>
      <c r="B1064" s="4">
        <v>59</v>
      </c>
      <c r="C1064" s="4">
        <v>34</v>
      </c>
      <c r="D1064" s="4">
        <v>23</v>
      </c>
      <c r="E1064" s="4">
        <v>1</v>
      </c>
      <c r="F1064" s="8">
        <v>0.1</v>
      </c>
      <c r="G1064" s="4">
        <v>1</v>
      </c>
      <c r="H1064" s="4">
        <f t="shared" si="32"/>
        <v>1</v>
      </c>
      <c r="I1064" s="4">
        <f t="shared" si="33"/>
        <v>0</v>
      </c>
      <c r="J1064" s="4">
        <v>0</v>
      </c>
      <c r="K1064" s="4">
        <v>0</v>
      </c>
      <c r="L1064" s="4">
        <v>0</v>
      </c>
      <c r="M1064" s="4">
        <v>0</v>
      </c>
      <c r="N1064" s="4">
        <v>1</v>
      </c>
      <c r="O1064" s="4">
        <v>0</v>
      </c>
    </row>
    <row r="1065" spans="1:15" x14ac:dyDescent="0.15">
      <c r="A1065" s="4">
        <v>1062</v>
      </c>
      <c r="B1065" s="4">
        <v>47</v>
      </c>
      <c r="C1065" s="4">
        <v>22</v>
      </c>
      <c r="D1065" s="4">
        <v>33</v>
      </c>
      <c r="E1065" s="4">
        <v>1</v>
      </c>
      <c r="F1065" s="8">
        <v>1.4</v>
      </c>
      <c r="G1065" s="4">
        <v>3</v>
      </c>
      <c r="H1065" s="4">
        <f t="shared" si="32"/>
        <v>0</v>
      </c>
      <c r="I1065" s="4">
        <f t="shared" si="33"/>
        <v>0</v>
      </c>
      <c r="J1065" s="4">
        <v>0</v>
      </c>
      <c r="K1065" s="4">
        <v>0</v>
      </c>
      <c r="L1065" s="4">
        <v>0</v>
      </c>
      <c r="M1065" s="4">
        <v>1</v>
      </c>
      <c r="N1065" s="4">
        <v>0</v>
      </c>
      <c r="O1065" s="4">
        <v>0</v>
      </c>
    </row>
    <row r="1066" spans="1:15" x14ac:dyDescent="0.15">
      <c r="A1066" s="4">
        <v>1063</v>
      </c>
      <c r="B1066" s="4">
        <v>47</v>
      </c>
      <c r="C1066" s="4">
        <v>21</v>
      </c>
      <c r="D1066" s="4">
        <v>83</v>
      </c>
      <c r="E1066" s="4">
        <v>1</v>
      </c>
      <c r="F1066" s="8">
        <v>3.8</v>
      </c>
      <c r="G1066" s="4">
        <v>1</v>
      </c>
      <c r="H1066" s="4">
        <f t="shared" si="32"/>
        <v>1</v>
      </c>
      <c r="I1066" s="4">
        <f t="shared" si="33"/>
        <v>0</v>
      </c>
      <c r="J1066" s="4">
        <v>97</v>
      </c>
      <c r="K1066" s="4">
        <v>0</v>
      </c>
      <c r="L1066" s="4">
        <v>0</v>
      </c>
      <c r="M1066" s="4">
        <v>0</v>
      </c>
      <c r="N1066" s="4">
        <v>0</v>
      </c>
      <c r="O1066" s="4">
        <v>1</v>
      </c>
    </row>
    <row r="1067" spans="1:15" x14ac:dyDescent="0.15">
      <c r="A1067" s="4">
        <v>1064</v>
      </c>
      <c r="B1067" s="4">
        <v>56</v>
      </c>
      <c r="C1067" s="4">
        <v>30</v>
      </c>
      <c r="D1067" s="4">
        <v>39</v>
      </c>
      <c r="E1067" s="4">
        <v>3</v>
      </c>
      <c r="F1067" s="8">
        <v>1.4</v>
      </c>
      <c r="G1067" s="4">
        <v>1</v>
      </c>
      <c r="H1067" s="4">
        <f t="shared" si="32"/>
        <v>1</v>
      </c>
      <c r="I1067" s="4">
        <f t="shared" si="33"/>
        <v>0</v>
      </c>
      <c r="J1067" s="4">
        <v>131</v>
      </c>
      <c r="K1067" s="4">
        <v>0</v>
      </c>
      <c r="L1067" s="4">
        <v>0</v>
      </c>
      <c r="M1067" s="4">
        <v>0</v>
      </c>
      <c r="N1067" s="4">
        <v>1</v>
      </c>
      <c r="O1067" s="4">
        <v>0</v>
      </c>
    </row>
    <row r="1068" spans="1:15" x14ac:dyDescent="0.15">
      <c r="A1068" s="4">
        <v>1065</v>
      </c>
      <c r="B1068" s="4">
        <v>41</v>
      </c>
      <c r="C1068" s="4">
        <v>17</v>
      </c>
      <c r="D1068" s="4">
        <v>138</v>
      </c>
      <c r="E1068" s="4">
        <v>3</v>
      </c>
      <c r="F1068" s="8">
        <v>6.9</v>
      </c>
      <c r="G1068" s="4">
        <v>2</v>
      </c>
      <c r="H1068" s="4">
        <f t="shared" si="32"/>
        <v>0</v>
      </c>
      <c r="I1068" s="4">
        <f t="shared" si="33"/>
        <v>1</v>
      </c>
      <c r="J1068" s="4">
        <v>0</v>
      </c>
      <c r="K1068" s="4">
        <v>0</v>
      </c>
      <c r="L1068" s="4">
        <v>0</v>
      </c>
      <c r="M1068" s="4">
        <v>1</v>
      </c>
      <c r="N1068" s="4">
        <v>0</v>
      </c>
      <c r="O1068" s="4">
        <v>1</v>
      </c>
    </row>
    <row r="1069" spans="1:15" x14ac:dyDescent="0.15">
      <c r="A1069" s="4">
        <v>1066</v>
      </c>
      <c r="B1069" s="4">
        <v>25</v>
      </c>
      <c r="C1069" s="4">
        <v>1</v>
      </c>
      <c r="D1069" s="4">
        <v>113</v>
      </c>
      <c r="E1069" s="4">
        <v>3</v>
      </c>
      <c r="F1069" s="8">
        <v>2.5</v>
      </c>
      <c r="G1069" s="4">
        <v>1</v>
      </c>
      <c r="H1069" s="4">
        <f t="shared" si="32"/>
        <v>1</v>
      </c>
      <c r="I1069" s="4">
        <f t="shared" si="33"/>
        <v>0</v>
      </c>
      <c r="J1069" s="4">
        <v>0</v>
      </c>
      <c r="K1069" s="4">
        <v>0</v>
      </c>
      <c r="L1069" s="4">
        <v>0</v>
      </c>
      <c r="M1069" s="4">
        <v>0</v>
      </c>
      <c r="N1069" s="4">
        <v>1</v>
      </c>
      <c r="O1069" s="4">
        <v>0</v>
      </c>
    </row>
    <row r="1070" spans="1:15" x14ac:dyDescent="0.15">
      <c r="A1070" s="4">
        <v>1067</v>
      </c>
      <c r="B1070" s="4">
        <v>30</v>
      </c>
      <c r="C1070" s="4">
        <v>5</v>
      </c>
      <c r="D1070" s="4">
        <v>125</v>
      </c>
      <c r="E1070" s="4">
        <v>4</v>
      </c>
      <c r="F1070" s="8">
        <v>0.5</v>
      </c>
      <c r="G1070" s="4">
        <v>3</v>
      </c>
      <c r="H1070" s="4">
        <f t="shared" si="32"/>
        <v>0</v>
      </c>
      <c r="I1070" s="4">
        <f t="shared" si="33"/>
        <v>0</v>
      </c>
      <c r="J1070" s="4">
        <v>0</v>
      </c>
      <c r="K1070" s="4">
        <v>0</v>
      </c>
      <c r="L1070" s="4">
        <v>1</v>
      </c>
      <c r="M1070" s="4">
        <v>1</v>
      </c>
      <c r="N1070" s="4">
        <v>0</v>
      </c>
      <c r="O1070" s="4">
        <v>1</v>
      </c>
    </row>
    <row r="1071" spans="1:15" x14ac:dyDescent="0.15">
      <c r="A1071" s="4">
        <v>1068</v>
      </c>
      <c r="B1071" s="4">
        <v>50</v>
      </c>
      <c r="C1071" s="4">
        <v>24</v>
      </c>
      <c r="D1071" s="4">
        <v>195</v>
      </c>
      <c r="E1071" s="4">
        <v>1</v>
      </c>
      <c r="F1071" s="8">
        <v>1.7</v>
      </c>
      <c r="G1071" s="4">
        <v>1</v>
      </c>
      <c r="H1071" s="4">
        <f t="shared" si="32"/>
        <v>1</v>
      </c>
      <c r="I1071" s="4">
        <f t="shared" si="33"/>
        <v>0</v>
      </c>
      <c r="J1071" s="4">
        <v>0</v>
      </c>
      <c r="K1071" s="4">
        <v>0</v>
      </c>
      <c r="L1071" s="4">
        <v>0</v>
      </c>
      <c r="M1071" s="4">
        <v>0</v>
      </c>
      <c r="N1071" s="4">
        <v>0</v>
      </c>
      <c r="O1071" s="4">
        <v>0</v>
      </c>
    </row>
    <row r="1072" spans="1:15" x14ac:dyDescent="0.15">
      <c r="A1072" s="4">
        <v>1069</v>
      </c>
      <c r="B1072" s="4">
        <v>34</v>
      </c>
      <c r="C1072" s="4">
        <v>9</v>
      </c>
      <c r="D1072" s="4">
        <v>105</v>
      </c>
      <c r="E1072" s="4">
        <v>3</v>
      </c>
      <c r="F1072" s="8">
        <v>1.2</v>
      </c>
      <c r="G1072" s="4">
        <v>3</v>
      </c>
      <c r="H1072" s="4">
        <f t="shared" si="32"/>
        <v>0</v>
      </c>
      <c r="I1072" s="4">
        <f t="shared" si="33"/>
        <v>0</v>
      </c>
      <c r="J1072" s="4">
        <v>0</v>
      </c>
      <c r="K1072" s="4">
        <v>1</v>
      </c>
      <c r="L1072" s="4">
        <v>0</v>
      </c>
      <c r="M1072" s="4">
        <v>0</v>
      </c>
      <c r="N1072" s="4">
        <v>0</v>
      </c>
      <c r="O1072" s="4">
        <v>0</v>
      </c>
    </row>
    <row r="1073" spans="1:15" x14ac:dyDescent="0.15">
      <c r="A1073" s="4">
        <v>1070</v>
      </c>
      <c r="B1073" s="4">
        <v>44</v>
      </c>
      <c r="C1073" s="4">
        <v>18</v>
      </c>
      <c r="D1073" s="4">
        <v>75</v>
      </c>
      <c r="E1073" s="4">
        <v>2</v>
      </c>
      <c r="F1073" s="8">
        <v>3.5</v>
      </c>
      <c r="G1073" s="4">
        <v>1</v>
      </c>
      <c r="H1073" s="4">
        <f t="shared" si="32"/>
        <v>1</v>
      </c>
      <c r="I1073" s="4">
        <f t="shared" si="33"/>
        <v>0</v>
      </c>
      <c r="J1073" s="4">
        <v>0</v>
      </c>
      <c r="K1073" s="4">
        <v>0</v>
      </c>
      <c r="L1073" s="4">
        <v>0</v>
      </c>
      <c r="M1073" s="4">
        <v>1</v>
      </c>
      <c r="N1073" s="4">
        <v>0</v>
      </c>
      <c r="O1073" s="4">
        <v>1</v>
      </c>
    </row>
    <row r="1074" spans="1:15" x14ac:dyDescent="0.15">
      <c r="A1074" s="4">
        <v>1071</v>
      </c>
      <c r="B1074" s="4">
        <v>36</v>
      </c>
      <c r="C1074" s="4">
        <v>9</v>
      </c>
      <c r="D1074" s="4">
        <v>40</v>
      </c>
      <c r="E1074" s="4">
        <v>2</v>
      </c>
      <c r="F1074" s="8">
        <v>1</v>
      </c>
      <c r="G1074" s="4">
        <v>2</v>
      </c>
      <c r="H1074" s="4">
        <f t="shared" si="32"/>
        <v>0</v>
      </c>
      <c r="I1074" s="4">
        <f t="shared" si="33"/>
        <v>1</v>
      </c>
      <c r="J1074" s="4">
        <v>0</v>
      </c>
      <c r="K1074" s="4">
        <v>0</v>
      </c>
      <c r="L1074" s="4">
        <v>0</v>
      </c>
      <c r="M1074" s="4">
        <v>1</v>
      </c>
      <c r="N1074" s="4">
        <v>0</v>
      </c>
      <c r="O1074" s="4">
        <v>0</v>
      </c>
    </row>
    <row r="1075" spans="1:15" x14ac:dyDescent="0.15">
      <c r="A1075" s="4">
        <v>1072</v>
      </c>
      <c r="B1075" s="4">
        <v>39</v>
      </c>
      <c r="C1075" s="4">
        <v>14</v>
      </c>
      <c r="D1075" s="4">
        <v>61</v>
      </c>
      <c r="E1075" s="4">
        <v>3</v>
      </c>
      <c r="F1075" s="8">
        <v>0.5</v>
      </c>
      <c r="G1075" s="4">
        <v>3</v>
      </c>
      <c r="H1075" s="4">
        <f t="shared" si="32"/>
        <v>0</v>
      </c>
      <c r="I1075" s="4">
        <f t="shared" si="33"/>
        <v>0</v>
      </c>
      <c r="J1075" s="4">
        <v>137</v>
      </c>
      <c r="K1075" s="4">
        <v>0</v>
      </c>
      <c r="L1075" s="4">
        <v>0</v>
      </c>
      <c r="M1075" s="4">
        <v>1</v>
      </c>
      <c r="N1075" s="4">
        <v>0</v>
      </c>
      <c r="O1075" s="4">
        <v>0</v>
      </c>
    </row>
    <row r="1076" spans="1:15" x14ac:dyDescent="0.15">
      <c r="A1076" s="4">
        <v>1073</v>
      </c>
      <c r="B1076" s="4">
        <v>54</v>
      </c>
      <c r="C1076" s="4">
        <v>24</v>
      </c>
      <c r="D1076" s="4">
        <v>75</v>
      </c>
      <c r="E1076" s="4">
        <v>2</v>
      </c>
      <c r="F1076" s="8">
        <v>4.5</v>
      </c>
      <c r="G1076" s="4">
        <v>3</v>
      </c>
      <c r="H1076" s="4">
        <f t="shared" si="32"/>
        <v>0</v>
      </c>
      <c r="I1076" s="4">
        <f t="shared" si="33"/>
        <v>0</v>
      </c>
      <c r="J1076" s="4">
        <v>0</v>
      </c>
      <c r="K1076" s="4">
        <v>0</v>
      </c>
      <c r="L1076" s="4">
        <v>0</v>
      </c>
      <c r="M1076" s="4">
        <v>0</v>
      </c>
      <c r="N1076" s="4">
        <v>0</v>
      </c>
      <c r="O1076" s="4">
        <v>0</v>
      </c>
    </row>
    <row r="1077" spans="1:15" x14ac:dyDescent="0.15">
      <c r="A1077" s="4">
        <v>1074</v>
      </c>
      <c r="B1077" s="4">
        <v>33</v>
      </c>
      <c r="C1077" s="4">
        <v>8</v>
      </c>
      <c r="D1077" s="4">
        <v>122</v>
      </c>
      <c r="E1077" s="4">
        <v>1</v>
      </c>
      <c r="F1077" s="8">
        <v>0</v>
      </c>
      <c r="G1077" s="4">
        <v>1</v>
      </c>
      <c r="H1077" s="4">
        <f t="shared" si="32"/>
        <v>1</v>
      </c>
      <c r="I1077" s="4">
        <f t="shared" si="33"/>
        <v>0</v>
      </c>
      <c r="J1077" s="4">
        <v>0</v>
      </c>
      <c r="K1077" s="4">
        <v>0</v>
      </c>
      <c r="L1077" s="4">
        <v>0</v>
      </c>
      <c r="M1077" s="4">
        <v>1</v>
      </c>
      <c r="N1077" s="4">
        <v>1</v>
      </c>
      <c r="O1077" s="4">
        <v>0</v>
      </c>
    </row>
    <row r="1078" spans="1:15" x14ac:dyDescent="0.15">
      <c r="A1078" s="4">
        <v>1075</v>
      </c>
      <c r="B1078" s="4">
        <v>39</v>
      </c>
      <c r="C1078" s="4">
        <v>14</v>
      </c>
      <c r="D1078" s="4">
        <v>75</v>
      </c>
      <c r="E1078" s="4">
        <v>3</v>
      </c>
      <c r="F1078" s="8">
        <v>3</v>
      </c>
      <c r="G1078" s="4">
        <v>1</v>
      </c>
      <c r="H1078" s="4">
        <f t="shared" si="32"/>
        <v>1</v>
      </c>
      <c r="I1078" s="4">
        <f t="shared" si="33"/>
        <v>0</v>
      </c>
      <c r="J1078" s="4">
        <v>0</v>
      </c>
      <c r="K1078" s="4">
        <v>0</v>
      </c>
      <c r="L1078" s="4">
        <v>0</v>
      </c>
      <c r="M1078" s="4">
        <v>0</v>
      </c>
      <c r="N1078" s="4">
        <v>1</v>
      </c>
      <c r="O1078" s="4">
        <v>0</v>
      </c>
    </row>
    <row r="1079" spans="1:15" x14ac:dyDescent="0.15">
      <c r="A1079" s="4">
        <v>1076</v>
      </c>
      <c r="B1079" s="4">
        <v>41</v>
      </c>
      <c r="C1079" s="4">
        <v>15</v>
      </c>
      <c r="D1079" s="4">
        <v>59</v>
      </c>
      <c r="E1079" s="4">
        <v>4</v>
      </c>
      <c r="F1079" s="8">
        <v>0.2</v>
      </c>
      <c r="G1079" s="4">
        <v>3</v>
      </c>
      <c r="H1079" s="4">
        <f t="shared" si="32"/>
        <v>0</v>
      </c>
      <c r="I1079" s="4">
        <f t="shared" si="33"/>
        <v>0</v>
      </c>
      <c r="J1079" s="4">
        <v>0</v>
      </c>
      <c r="K1079" s="4">
        <v>0</v>
      </c>
      <c r="L1079" s="4">
        <v>0</v>
      </c>
      <c r="M1079" s="4">
        <v>0</v>
      </c>
      <c r="N1079" s="4">
        <v>0</v>
      </c>
      <c r="O1079" s="4">
        <v>0</v>
      </c>
    </row>
    <row r="1080" spans="1:15" x14ac:dyDescent="0.15">
      <c r="A1080" s="4">
        <v>1077</v>
      </c>
      <c r="B1080" s="4">
        <v>40</v>
      </c>
      <c r="C1080" s="4">
        <v>13</v>
      </c>
      <c r="D1080" s="4">
        <v>24</v>
      </c>
      <c r="E1080" s="4">
        <v>3</v>
      </c>
      <c r="F1080" s="8">
        <v>1</v>
      </c>
      <c r="G1080" s="4">
        <v>2</v>
      </c>
      <c r="H1080" s="4">
        <f t="shared" si="32"/>
        <v>0</v>
      </c>
      <c r="I1080" s="4">
        <f t="shared" si="33"/>
        <v>1</v>
      </c>
      <c r="J1080" s="4">
        <v>0</v>
      </c>
      <c r="K1080" s="4">
        <v>0</v>
      </c>
      <c r="L1080" s="4">
        <v>0</v>
      </c>
      <c r="M1080" s="4">
        <v>1</v>
      </c>
      <c r="N1080" s="4">
        <v>0</v>
      </c>
      <c r="O1080" s="4">
        <v>0</v>
      </c>
    </row>
    <row r="1081" spans="1:15" x14ac:dyDescent="0.15">
      <c r="A1081" s="4">
        <v>1078</v>
      </c>
      <c r="B1081" s="4">
        <v>29</v>
      </c>
      <c r="C1081" s="4">
        <v>3</v>
      </c>
      <c r="D1081" s="4">
        <v>175</v>
      </c>
      <c r="E1081" s="4">
        <v>3</v>
      </c>
      <c r="F1081" s="8">
        <v>3.3</v>
      </c>
      <c r="G1081" s="4">
        <v>3</v>
      </c>
      <c r="H1081" s="4">
        <f t="shared" si="32"/>
        <v>0</v>
      </c>
      <c r="I1081" s="4">
        <f t="shared" si="33"/>
        <v>0</v>
      </c>
      <c r="J1081" s="4">
        <v>329</v>
      </c>
      <c r="K1081" s="4">
        <v>0</v>
      </c>
      <c r="L1081" s="4">
        <v>0</v>
      </c>
      <c r="M1081" s="4">
        <v>1</v>
      </c>
      <c r="N1081" s="4">
        <v>0</v>
      </c>
      <c r="O1081" s="4">
        <v>1</v>
      </c>
    </row>
    <row r="1082" spans="1:15" x14ac:dyDescent="0.15">
      <c r="A1082" s="4">
        <v>1079</v>
      </c>
      <c r="B1082" s="4">
        <v>51</v>
      </c>
      <c r="C1082" s="4">
        <v>27</v>
      </c>
      <c r="D1082" s="4">
        <v>39</v>
      </c>
      <c r="E1082" s="4">
        <v>2</v>
      </c>
      <c r="F1082" s="8">
        <v>0.8</v>
      </c>
      <c r="G1082" s="4">
        <v>1</v>
      </c>
      <c r="H1082" s="4">
        <f t="shared" si="32"/>
        <v>1</v>
      </c>
      <c r="I1082" s="4">
        <f t="shared" si="33"/>
        <v>0</v>
      </c>
      <c r="J1082" s="4">
        <v>182</v>
      </c>
      <c r="K1082" s="4">
        <v>0</v>
      </c>
      <c r="L1082" s="4">
        <v>0</v>
      </c>
      <c r="M1082" s="4">
        <v>0</v>
      </c>
      <c r="N1082" s="4">
        <v>1</v>
      </c>
      <c r="O1082" s="4">
        <v>0</v>
      </c>
    </row>
    <row r="1083" spans="1:15" x14ac:dyDescent="0.15">
      <c r="A1083" s="4">
        <v>1080</v>
      </c>
      <c r="B1083" s="4">
        <v>54</v>
      </c>
      <c r="C1083" s="4">
        <v>30</v>
      </c>
      <c r="D1083" s="4">
        <v>145</v>
      </c>
      <c r="E1083" s="4">
        <v>2</v>
      </c>
      <c r="F1083" s="8">
        <v>6.8</v>
      </c>
      <c r="G1083" s="4">
        <v>1</v>
      </c>
      <c r="H1083" s="4">
        <f t="shared" si="32"/>
        <v>1</v>
      </c>
      <c r="I1083" s="4">
        <f t="shared" si="33"/>
        <v>0</v>
      </c>
      <c r="J1083" s="4">
        <v>0</v>
      </c>
      <c r="K1083" s="4">
        <v>1</v>
      </c>
      <c r="L1083" s="4">
        <v>0</v>
      </c>
      <c r="M1083" s="4">
        <v>0</v>
      </c>
      <c r="N1083" s="4">
        <v>0</v>
      </c>
      <c r="O1083" s="4">
        <v>0</v>
      </c>
    </row>
    <row r="1084" spans="1:15" x14ac:dyDescent="0.15">
      <c r="A1084" s="4">
        <v>1081</v>
      </c>
      <c r="B1084" s="4">
        <v>47</v>
      </c>
      <c r="C1084" s="4">
        <v>22</v>
      </c>
      <c r="D1084" s="4">
        <v>24</v>
      </c>
      <c r="E1084" s="4">
        <v>4</v>
      </c>
      <c r="F1084" s="8">
        <v>0.4</v>
      </c>
      <c r="G1084" s="4">
        <v>2</v>
      </c>
      <c r="H1084" s="4">
        <f t="shared" si="32"/>
        <v>0</v>
      </c>
      <c r="I1084" s="4">
        <f t="shared" si="33"/>
        <v>1</v>
      </c>
      <c r="J1084" s="4">
        <v>142</v>
      </c>
      <c r="K1084" s="4">
        <v>0</v>
      </c>
      <c r="L1084" s="4">
        <v>0</v>
      </c>
      <c r="M1084" s="4">
        <v>1</v>
      </c>
      <c r="N1084" s="4">
        <v>0</v>
      </c>
      <c r="O1084" s="4">
        <v>0</v>
      </c>
    </row>
    <row r="1085" spans="1:15" x14ac:dyDescent="0.15">
      <c r="A1085" s="4">
        <v>1082</v>
      </c>
      <c r="B1085" s="4">
        <v>53</v>
      </c>
      <c r="C1085" s="4">
        <v>28</v>
      </c>
      <c r="D1085" s="4">
        <v>20</v>
      </c>
      <c r="E1085" s="4">
        <v>3</v>
      </c>
      <c r="F1085" s="8">
        <v>0.1</v>
      </c>
      <c r="G1085" s="4">
        <v>2</v>
      </c>
      <c r="H1085" s="4">
        <f t="shared" si="32"/>
        <v>0</v>
      </c>
      <c r="I1085" s="4">
        <f t="shared" si="33"/>
        <v>1</v>
      </c>
      <c r="J1085" s="4">
        <v>0</v>
      </c>
      <c r="K1085" s="4">
        <v>0</v>
      </c>
      <c r="L1085" s="4">
        <v>0</v>
      </c>
      <c r="M1085" s="4">
        <v>0</v>
      </c>
      <c r="N1085" s="4">
        <v>0</v>
      </c>
      <c r="O1085" s="4">
        <v>0</v>
      </c>
    </row>
    <row r="1086" spans="1:15" x14ac:dyDescent="0.15">
      <c r="A1086" s="4">
        <v>1083</v>
      </c>
      <c r="B1086" s="4">
        <v>30</v>
      </c>
      <c r="C1086" s="4">
        <v>5</v>
      </c>
      <c r="D1086" s="4">
        <v>85</v>
      </c>
      <c r="E1086" s="4">
        <v>1</v>
      </c>
      <c r="F1086" s="8">
        <v>2.6</v>
      </c>
      <c r="G1086" s="4">
        <v>2</v>
      </c>
      <c r="H1086" s="4">
        <f t="shared" si="32"/>
        <v>0</v>
      </c>
      <c r="I1086" s="4">
        <f t="shared" si="33"/>
        <v>1</v>
      </c>
      <c r="J1086" s="4">
        <v>0</v>
      </c>
      <c r="K1086" s="4">
        <v>0</v>
      </c>
      <c r="L1086" s="4">
        <v>0</v>
      </c>
      <c r="M1086" s="4">
        <v>1</v>
      </c>
      <c r="N1086" s="4">
        <v>0</v>
      </c>
      <c r="O1086" s="4">
        <v>0</v>
      </c>
    </row>
    <row r="1087" spans="1:15" x14ac:dyDescent="0.15">
      <c r="A1087" s="4">
        <v>1084</v>
      </c>
      <c r="B1087" s="4">
        <v>28</v>
      </c>
      <c r="C1087" s="4">
        <v>3</v>
      </c>
      <c r="D1087" s="4">
        <v>65</v>
      </c>
      <c r="E1087" s="4">
        <v>3</v>
      </c>
      <c r="F1087" s="8">
        <v>2.6</v>
      </c>
      <c r="G1087" s="4">
        <v>3</v>
      </c>
      <c r="H1087" s="4">
        <f t="shared" si="32"/>
        <v>0</v>
      </c>
      <c r="I1087" s="4">
        <f t="shared" si="33"/>
        <v>0</v>
      </c>
      <c r="J1087" s="4">
        <v>0</v>
      </c>
      <c r="K1087" s="4">
        <v>1</v>
      </c>
      <c r="L1087" s="4">
        <v>0</v>
      </c>
      <c r="M1087" s="4">
        <v>0</v>
      </c>
      <c r="N1087" s="4">
        <v>0</v>
      </c>
      <c r="O1087" s="4">
        <v>0</v>
      </c>
    </row>
    <row r="1088" spans="1:15" x14ac:dyDescent="0.15">
      <c r="A1088" s="4">
        <v>1085</v>
      </c>
      <c r="B1088" s="4">
        <v>60</v>
      </c>
      <c r="C1088" s="4">
        <v>35</v>
      </c>
      <c r="D1088" s="4">
        <v>191</v>
      </c>
      <c r="E1088" s="4">
        <v>4</v>
      </c>
      <c r="F1088" s="8">
        <v>5.6</v>
      </c>
      <c r="G1088" s="4">
        <v>3</v>
      </c>
      <c r="H1088" s="4">
        <f t="shared" si="32"/>
        <v>0</v>
      </c>
      <c r="I1088" s="4">
        <f t="shared" si="33"/>
        <v>0</v>
      </c>
      <c r="J1088" s="4">
        <v>0</v>
      </c>
      <c r="K1088" s="4">
        <v>0</v>
      </c>
      <c r="L1088" s="4">
        <v>0</v>
      </c>
      <c r="M1088" s="4">
        <v>0</v>
      </c>
      <c r="N1088" s="4">
        <v>0</v>
      </c>
      <c r="O1088" s="4">
        <v>1</v>
      </c>
    </row>
    <row r="1089" spans="1:15" x14ac:dyDescent="0.15">
      <c r="A1089" s="4">
        <v>1086</v>
      </c>
      <c r="B1089" s="4">
        <v>51</v>
      </c>
      <c r="C1089" s="4">
        <v>26</v>
      </c>
      <c r="D1089" s="4">
        <v>11</v>
      </c>
      <c r="E1089" s="4">
        <v>2</v>
      </c>
      <c r="F1089" s="8">
        <v>0</v>
      </c>
      <c r="G1089" s="4">
        <v>1</v>
      </c>
      <c r="H1089" s="4">
        <f t="shared" si="32"/>
        <v>1</v>
      </c>
      <c r="I1089" s="4">
        <f t="shared" si="33"/>
        <v>0</v>
      </c>
      <c r="J1089" s="4">
        <v>0</v>
      </c>
      <c r="K1089" s="4">
        <v>1</v>
      </c>
      <c r="L1089" s="4">
        <v>0</v>
      </c>
      <c r="M1089" s="4">
        <v>0</v>
      </c>
      <c r="N1089" s="4">
        <v>0</v>
      </c>
      <c r="O1089" s="4">
        <v>0</v>
      </c>
    </row>
    <row r="1090" spans="1:15" x14ac:dyDescent="0.15">
      <c r="A1090" s="4">
        <v>1087</v>
      </c>
      <c r="B1090" s="4">
        <v>63</v>
      </c>
      <c r="C1090" s="4">
        <v>37</v>
      </c>
      <c r="D1090" s="4">
        <v>40</v>
      </c>
      <c r="E1090" s="4">
        <v>2</v>
      </c>
      <c r="F1090" s="8">
        <v>1</v>
      </c>
      <c r="G1090" s="4">
        <v>3</v>
      </c>
      <c r="H1090" s="4">
        <f t="shared" si="32"/>
        <v>0</v>
      </c>
      <c r="I1090" s="4">
        <f t="shared" si="33"/>
        <v>0</v>
      </c>
      <c r="J1090" s="4">
        <v>167</v>
      </c>
      <c r="K1090" s="4">
        <v>0</v>
      </c>
      <c r="L1090" s="4">
        <v>0</v>
      </c>
      <c r="M1090" s="4">
        <v>0</v>
      </c>
      <c r="N1090" s="4">
        <v>0</v>
      </c>
      <c r="O1090" s="4">
        <v>0</v>
      </c>
    </row>
    <row r="1091" spans="1:15" x14ac:dyDescent="0.15">
      <c r="A1091" s="4">
        <v>1088</v>
      </c>
      <c r="B1091" s="4">
        <v>38</v>
      </c>
      <c r="C1091" s="4">
        <v>13</v>
      </c>
      <c r="D1091" s="4">
        <v>54</v>
      </c>
      <c r="E1091" s="4">
        <v>3</v>
      </c>
      <c r="F1091" s="8">
        <v>0.7</v>
      </c>
      <c r="G1091" s="4">
        <v>2</v>
      </c>
      <c r="H1091" s="4">
        <f t="shared" si="32"/>
        <v>0</v>
      </c>
      <c r="I1091" s="4">
        <f t="shared" si="33"/>
        <v>1</v>
      </c>
      <c r="J1091" s="4">
        <v>196</v>
      </c>
      <c r="K1091" s="4">
        <v>0</v>
      </c>
      <c r="L1091" s="4">
        <v>0</v>
      </c>
      <c r="M1091" s="4">
        <v>0</v>
      </c>
      <c r="N1091" s="4">
        <v>0</v>
      </c>
      <c r="O1091" s="4">
        <v>0</v>
      </c>
    </row>
    <row r="1092" spans="1:15" x14ac:dyDescent="0.15">
      <c r="A1092" s="4">
        <v>1089</v>
      </c>
      <c r="B1092" s="4">
        <v>59</v>
      </c>
      <c r="C1092" s="4">
        <v>35</v>
      </c>
      <c r="D1092" s="4">
        <v>95</v>
      </c>
      <c r="E1092" s="4">
        <v>1</v>
      </c>
      <c r="F1092" s="8">
        <v>3.8</v>
      </c>
      <c r="G1092" s="4">
        <v>1</v>
      </c>
      <c r="H1092" s="4">
        <f t="shared" si="32"/>
        <v>1</v>
      </c>
      <c r="I1092" s="4">
        <f t="shared" si="33"/>
        <v>0</v>
      </c>
      <c r="J1092" s="4">
        <v>0</v>
      </c>
      <c r="K1092" s="4">
        <v>0</v>
      </c>
      <c r="L1092" s="4">
        <v>0</v>
      </c>
      <c r="M1092" s="4">
        <v>1</v>
      </c>
      <c r="N1092" s="4">
        <v>1</v>
      </c>
      <c r="O1092" s="4">
        <v>0</v>
      </c>
    </row>
    <row r="1093" spans="1:15" x14ac:dyDescent="0.15">
      <c r="A1093" s="4">
        <v>1090</v>
      </c>
      <c r="B1093" s="4">
        <v>53</v>
      </c>
      <c r="C1093" s="4">
        <v>29</v>
      </c>
      <c r="D1093" s="4">
        <v>94</v>
      </c>
      <c r="E1093" s="4">
        <v>4</v>
      </c>
      <c r="F1093" s="8">
        <v>1</v>
      </c>
      <c r="G1093" s="4">
        <v>2</v>
      </c>
      <c r="H1093" s="4">
        <f t="shared" ref="H1093:H1156" si="34">IF(G1093=1,1,0)</f>
        <v>0</v>
      </c>
      <c r="I1093" s="4">
        <f t="shared" ref="I1093:I1156" si="35">IF(G1093=2,1,0)</f>
        <v>1</v>
      </c>
      <c r="J1093" s="4">
        <v>0</v>
      </c>
      <c r="K1093" s="4">
        <v>0</v>
      </c>
      <c r="L1093" s="4">
        <v>0</v>
      </c>
      <c r="M1093" s="4">
        <v>1</v>
      </c>
      <c r="N1093" s="4">
        <v>0</v>
      </c>
      <c r="O1093" s="4">
        <v>0</v>
      </c>
    </row>
    <row r="1094" spans="1:15" x14ac:dyDescent="0.15">
      <c r="A1094" s="4">
        <v>1091</v>
      </c>
      <c r="B1094" s="4">
        <v>31</v>
      </c>
      <c r="C1094" s="4">
        <v>5</v>
      </c>
      <c r="D1094" s="4">
        <v>79</v>
      </c>
      <c r="E1094" s="4">
        <v>4</v>
      </c>
      <c r="F1094" s="8">
        <v>2.2000000000000002</v>
      </c>
      <c r="G1094" s="4">
        <v>2</v>
      </c>
      <c r="H1094" s="4">
        <f t="shared" si="34"/>
        <v>0</v>
      </c>
      <c r="I1094" s="4">
        <f t="shared" si="35"/>
        <v>1</v>
      </c>
      <c r="J1094" s="4">
        <v>0</v>
      </c>
      <c r="K1094" s="4">
        <v>0</v>
      </c>
      <c r="L1094" s="4">
        <v>0</v>
      </c>
      <c r="M1094" s="4">
        <v>0</v>
      </c>
      <c r="N1094" s="4">
        <v>0</v>
      </c>
      <c r="O1094" s="4">
        <v>0</v>
      </c>
    </row>
    <row r="1095" spans="1:15" x14ac:dyDescent="0.15">
      <c r="A1095" s="4">
        <v>1092</v>
      </c>
      <c r="B1095" s="4">
        <v>41</v>
      </c>
      <c r="C1095" s="4">
        <v>17</v>
      </c>
      <c r="D1095" s="4">
        <v>48</v>
      </c>
      <c r="E1095" s="4">
        <v>3</v>
      </c>
      <c r="F1095" s="8">
        <v>0.3</v>
      </c>
      <c r="G1095" s="4">
        <v>3</v>
      </c>
      <c r="H1095" s="4">
        <f t="shared" si="34"/>
        <v>0</v>
      </c>
      <c r="I1095" s="4">
        <f t="shared" si="35"/>
        <v>0</v>
      </c>
      <c r="J1095" s="4">
        <v>0</v>
      </c>
      <c r="K1095" s="4">
        <v>0</v>
      </c>
      <c r="L1095" s="4">
        <v>0</v>
      </c>
      <c r="M1095" s="4">
        <v>1</v>
      </c>
      <c r="N1095" s="4">
        <v>1</v>
      </c>
      <c r="O1095" s="4">
        <v>0</v>
      </c>
    </row>
    <row r="1096" spans="1:15" x14ac:dyDescent="0.15">
      <c r="A1096" s="4">
        <v>1093</v>
      </c>
      <c r="B1096" s="4">
        <v>25</v>
      </c>
      <c r="C1096" s="4">
        <v>1</v>
      </c>
      <c r="D1096" s="4">
        <v>70</v>
      </c>
      <c r="E1096" s="4">
        <v>4</v>
      </c>
      <c r="F1096" s="8">
        <v>2.6</v>
      </c>
      <c r="G1096" s="4">
        <v>1</v>
      </c>
      <c r="H1096" s="4">
        <f t="shared" si="34"/>
        <v>1</v>
      </c>
      <c r="I1096" s="4">
        <f t="shared" si="35"/>
        <v>0</v>
      </c>
      <c r="J1096" s="4">
        <v>0</v>
      </c>
      <c r="K1096" s="4">
        <v>1</v>
      </c>
      <c r="L1096" s="4">
        <v>0</v>
      </c>
      <c r="M1096" s="4">
        <v>1</v>
      </c>
      <c r="N1096" s="4">
        <v>0</v>
      </c>
      <c r="O1096" s="4">
        <v>0</v>
      </c>
    </row>
    <row r="1097" spans="1:15" x14ac:dyDescent="0.15">
      <c r="A1097" s="4">
        <v>1094</v>
      </c>
      <c r="B1097" s="4">
        <v>27</v>
      </c>
      <c r="C1097" s="4">
        <v>3</v>
      </c>
      <c r="D1097" s="4">
        <v>40</v>
      </c>
      <c r="E1097" s="4">
        <v>3</v>
      </c>
      <c r="F1097" s="8">
        <v>0.1</v>
      </c>
      <c r="G1097" s="4">
        <v>2</v>
      </c>
      <c r="H1097" s="4">
        <f t="shared" si="34"/>
        <v>0</v>
      </c>
      <c r="I1097" s="4">
        <f t="shared" si="35"/>
        <v>1</v>
      </c>
      <c r="J1097" s="4">
        <v>111</v>
      </c>
      <c r="K1097" s="4">
        <v>0</v>
      </c>
      <c r="L1097" s="4">
        <v>0</v>
      </c>
      <c r="M1097" s="4">
        <v>1</v>
      </c>
      <c r="N1097" s="4">
        <v>0</v>
      </c>
      <c r="O1097" s="4">
        <v>0</v>
      </c>
    </row>
    <row r="1098" spans="1:15" x14ac:dyDescent="0.15">
      <c r="A1098" s="4">
        <v>1095</v>
      </c>
      <c r="B1098" s="4">
        <v>50</v>
      </c>
      <c r="C1098" s="4">
        <v>24</v>
      </c>
      <c r="D1098" s="4">
        <v>44</v>
      </c>
      <c r="E1098" s="4">
        <v>4</v>
      </c>
      <c r="F1098" s="8">
        <v>1.8</v>
      </c>
      <c r="G1098" s="4">
        <v>1</v>
      </c>
      <c r="H1098" s="4">
        <f t="shared" si="34"/>
        <v>1</v>
      </c>
      <c r="I1098" s="4">
        <f t="shared" si="35"/>
        <v>0</v>
      </c>
      <c r="J1098" s="4">
        <v>0</v>
      </c>
      <c r="K1098" s="4">
        <v>0</v>
      </c>
      <c r="L1098" s="4">
        <v>0</v>
      </c>
      <c r="M1098" s="4">
        <v>1</v>
      </c>
      <c r="N1098" s="4">
        <v>1</v>
      </c>
      <c r="O1098" s="4">
        <v>0</v>
      </c>
    </row>
    <row r="1099" spans="1:15" x14ac:dyDescent="0.15">
      <c r="A1099" s="4">
        <v>1096</v>
      </c>
      <c r="B1099" s="4">
        <v>50</v>
      </c>
      <c r="C1099" s="4">
        <v>25</v>
      </c>
      <c r="D1099" s="4">
        <v>43</v>
      </c>
      <c r="E1099" s="4">
        <v>1</v>
      </c>
      <c r="F1099" s="8">
        <v>1.4</v>
      </c>
      <c r="G1099" s="4">
        <v>3</v>
      </c>
      <c r="H1099" s="4">
        <f t="shared" si="34"/>
        <v>0</v>
      </c>
      <c r="I1099" s="4">
        <f t="shared" si="35"/>
        <v>0</v>
      </c>
      <c r="J1099" s="4">
        <v>137</v>
      </c>
      <c r="K1099" s="4">
        <v>0</v>
      </c>
      <c r="L1099" s="4">
        <v>0</v>
      </c>
      <c r="M1099" s="4">
        <v>1</v>
      </c>
      <c r="N1099" s="4">
        <v>0</v>
      </c>
      <c r="O1099" s="4">
        <v>0</v>
      </c>
    </row>
    <row r="1100" spans="1:15" x14ac:dyDescent="0.15">
      <c r="A1100" s="4">
        <v>1097</v>
      </c>
      <c r="B1100" s="4">
        <v>43</v>
      </c>
      <c r="C1100" s="4">
        <v>18</v>
      </c>
      <c r="D1100" s="4">
        <v>29</v>
      </c>
      <c r="E1100" s="4">
        <v>1</v>
      </c>
      <c r="F1100" s="8">
        <v>0.3</v>
      </c>
      <c r="G1100" s="4">
        <v>3</v>
      </c>
      <c r="H1100" s="4">
        <f t="shared" si="34"/>
        <v>0</v>
      </c>
      <c r="I1100" s="4">
        <f t="shared" si="35"/>
        <v>0</v>
      </c>
      <c r="J1100" s="4">
        <v>0</v>
      </c>
      <c r="K1100" s="4">
        <v>0</v>
      </c>
      <c r="L1100" s="4">
        <v>0</v>
      </c>
      <c r="M1100" s="4">
        <v>1</v>
      </c>
      <c r="N1100" s="4">
        <v>0</v>
      </c>
      <c r="O1100" s="4">
        <v>0</v>
      </c>
    </row>
    <row r="1101" spans="1:15" x14ac:dyDescent="0.15">
      <c r="A1101" s="4">
        <v>1098</v>
      </c>
      <c r="B1101" s="4">
        <v>50</v>
      </c>
      <c r="C1101" s="4">
        <v>24</v>
      </c>
      <c r="D1101" s="4">
        <v>188</v>
      </c>
      <c r="E1101" s="4">
        <v>3</v>
      </c>
      <c r="F1101" s="8">
        <v>1.3</v>
      </c>
      <c r="G1101" s="4">
        <v>1</v>
      </c>
      <c r="H1101" s="4">
        <f t="shared" si="34"/>
        <v>1</v>
      </c>
      <c r="I1101" s="4">
        <f t="shared" si="35"/>
        <v>0</v>
      </c>
      <c r="J1101" s="4">
        <v>184</v>
      </c>
      <c r="K1101" s="4">
        <v>0</v>
      </c>
      <c r="L1101" s="4">
        <v>0</v>
      </c>
      <c r="M1101" s="4">
        <v>0</v>
      </c>
      <c r="N1101" s="4">
        <v>1</v>
      </c>
      <c r="O1101" s="4">
        <v>1</v>
      </c>
    </row>
    <row r="1102" spans="1:15" x14ac:dyDescent="0.15">
      <c r="A1102" s="4">
        <v>1099</v>
      </c>
      <c r="B1102" s="4">
        <v>46</v>
      </c>
      <c r="C1102" s="4">
        <v>20</v>
      </c>
      <c r="D1102" s="4">
        <v>114</v>
      </c>
      <c r="E1102" s="4">
        <v>1</v>
      </c>
      <c r="F1102" s="8">
        <v>0</v>
      </c>
      <c r="G1102" s="4">
        <v>1</v>
      </c>
      <c r="H1102" s="4">
        <f t="shared" si="34"/>
        <v>1</v>
      </c>
      <c r="I1102" s="4">
        <f t="shared" si="35"/>
        <v>0</v>
      </c>
      <c r="J1102" s="4">
        <v>0</v>
      </c>
      <c r="K1102" s="4">
        <v>0</v>
      </c>
      <c r="L1102" s="4">
        <v>0</v>
      </c>
      <c r="M1102" s="4">
        <v>1</v>
      </c>
      <c r="N1102" s="4">
        <v>1</v>
      </c>
      <c r="O1102" s="4">
        <v>0</v>
      </c>
    </row>
    <row r="1103" spans="1:15" x14ac:dyDescent="0.15">
      <c r="A1103" s="4">
        <v>1100</v>
      </c>
      <c r="B1103" s="4">
        <v>30</v>
      </c>
      <c r="C1103" s="4">
        <v>6</v>
      </c>
      <c r="D1103" s="4">
        <v>52</v>
      </c>
      <c r="E1103" s="4">
        <v>3</v>
      </c>
      <c r="F1103" s="8">
        <v>0.7</v>
      </c>
      <c r="G1103" s="4">
        <v>2</v>
      </c>
      <c r="H1103" s="4">
        <f t="shared" si="34"/>
        <v>0</v>
      </c>
      <c r="I1103" s="4">
        <f t="shared" si="35"/>
        <v>1</v>
      </c>
      <c r="J1103" s="4">
        <v>0</v>
      </c>
      <c r="K1103" s="4">
        <v>0</v>
      </c>
      <c r="L1103" s="4">
        <v>0</v>
      </c>
      <c r="M1103" s="4">
        <v>1</v>
      </c>
      <c r="N1103" s="4">
        <v>0</v>
      </c>
      <c r="O1103" s="4">
        <v>0</v>
      </c>
    </row>
    <row r="1104" spans="1:15" x14ac:dyDescent="0.15">
      <c r="A1104" s="4">
        <v>1101</v>
      </c>
      <c r="B1104" s="4">
        <v>42</v>
      </c>
      <c r="C1104" s="4">
        <v>16</v>
      </c>
      <c r="D1104" s="4">
        <v>13</v>
      </c>
      <c r="E1104" s="4">
        <v>1</v>
      </c>
      <c r="F1104" s="8">
        <v>0.2</v>
      </c>
      <c r="G1104" s="4">
        <v>1</v>
      </c>
      <c r="H1104" s="4">
        <f t="shared" si="34"/>
        <v>1</v>
      </c>
      <c r="I1104" s="4">
        <f t="shared" si="35"/>
        <v>0</v>
      </c>
      <c r="J1104" s="4">
        <v>0</v>
      </c>
      <c r="K1104" s="4">
        <v>0</v>
      </c>
      <c r="L1104" s="4">
        <v>0</v>
      </c>
      <c r="M1104" s="4">
        <v>1</v>
      </c>
      <c r="N1104" s="4">
        <v>0</v>
      </c>
      <c r="O1104" s="4">
        <v>0</v>
      </c>
    </row>
    <row r="1105" spans="1:15" x14ac:dyDescent="0.15">
      <c r="A1105" s="4">
        <v>1102</v>
      </c>
      <c r="B1105" s="4">
        <v>42</v>
      </c>
      <c r="C1105" s="4">
        <v>17</v>
      </c>
      <c r="D1105" s="4">
        <v>95</v>
      </c>
      <c r="E1105" s="4">
        <v>3</v>
      </c>
      <c r="F1105" s="8">
        <v>0.5</v>
      </c>
      <c r="G1105" s="4">
        <v>3</v>
      </c>
      <c r="H1105" s="4">
        <f t="shared" si="34"/>
        <v>0</v>
      </c>
      <c r="I1105" s="4">
        <f t="shared" si="35"/>
        <v>0</v>
      </c>
      <c r="J1105" s="4">
        <v>0</v>
      </c>
      <c r="K1105" s="4">
        <v>0</v>
      </c>
      <c r="L1105" s="4">
        <v>0</v>
      </c>
      <c r="M1105" s="4">
        <v>0</v>
      </c>
      <c r="N1105" s="4">
        <v>0</v>
      </c>
      <c r="O1105" s="4">
        <v>0</v>
      </c>
    </row>
    <row r="1106" spans="1:15" x14ac:dyDescent="0.15">
      <c r="A1106" s="4">
        <v>1103</v>
      </c>
      <c r="B1106" s="4">
        <v>29</v>
      </c>
      <c r="C1106" s="4">
        <v>3</v>
      </c>
      <c r="D1106" s="4">
        <v>84</v>
      </c>
      <c r="E1106" s="4">
        <v>1</v>
      </c>
      <c r="F1106" s="8">
        <v>2.9</v>
      </c>
      <c r="G1106" s="4">
        <v>3</v>
      </c>
      <c r="H1106" s="4">
        <f t="shared" si="34"/>
        <v>0</v>
      </c>
      <c r="I1106" s="4">
        <f t="shared" si="35"/>
        <v>0</v>
      </c>
      <c r="J1106" s="4">
        <v>0</v>
      </c>
      <c r="K1106" s="4">
        <v>0</v>
      </c>
      <c r="L1106" s="4">
        <v>0</v>
      </c>
      <c r="M1106" s="4">
        <v>1</v>
      </c>
      <c r="N1106" s="4">
        <v>0</v>
      </c>
      <c r="O1106" s="4">
        <v>0</v>
      </c>
    </row>
    <row r="1107" spans="1:15" x14ac:dyDescent="0.15">
      <c r="A1107" s="4">
        <v>1104</v>
      </c>
      <c r="B1107" s="4">
        <v>38</v>
      </c>
      <c r="C1107" s="4">
        <v>14</v>
      </c>
      <c r="D1107" s="4">
        <v>49</v>
      </c>
      <c r="E1107" s="4">
        <v>1</v>
      </c>
      <c r="F1107" s="8">
        <v>1.8</v>
      </c>
      <c r="G1107" s="4">
        <v>1</v>
      </c>
      <c r="H1107" s="4">
        <f t="shared" si="34"/>
        <v>1</v>
      </c>
      <c r="I1107" s="4">
        <f t="shared" si="35"/>
        <v>0</v>
      </c>
      <c r="J1107" s="4">
        <v>0</v>
      </c>
      <c r="K1107" s="4">
        <v>0</v>
      </c>
      <c r="L1107" s="4">
        <v>0</v>
      </c>
      <c r="M1107" s="4">
        <v>0</v>
      </c>
      <c r="N1107" s="4">
        <v>0</v>
      </c>
      <c r="O1107" s="4">
        <v>0</v>
      </c>
    </row>
    <row r="1108" spans="1:15" x14ac:dyDescent="0.15">
      <c r="A1108" s="4">
        <v>1105</v>
      </c>
      <c r="B1108" s="4">
        <v>51</v>
      </c>
      <c r="C1108" s="4">
        <v>25</v>
      </c>
      <c r="D1108" s="4">
        <v>181</v>
      </c>
      <c r="E1108" s="4">
        <v>1</v>
      </c>
      <c r="F1108" s="8">
        <v>1.7</v>
      </c>
      <c r="G1108" s="4">
        <v>1</v>
      </c>
      <c r="H1108" s="4">
        <f t="shared" si="34"/>
        <v>1</v>
      </c>
      <c r="I1108" s="4">
        <f t="shared" si="35"/>
        <v>0</v>
      </c>
      <c r="J1108" s="4">
        <v>0</v>
      </c>
      <c r="K1108" s="4">
        <v>0</v>
      </c>
      <c r="L1108" s="4">
        <v>0</v>
      </c>
      <c r="M1108" s="4">
        <v>1</v>
      </c>
      <c r="N1108" s="4">
        <v>1</v>
      </c>
      <c r="O1108" s="4">
        <v>0</v>
      </c>
    </row>
    <row r="1109" spans="1:15" x14ac:dyDescent="0.15">
      <c r="A1109" s="4">
        <v>1106</v>
      </c>
      <c r="B1109" s="4">
        <v>35</v>
      </c>
      <c r="C1109" s="4">
        <v>10</v>
      </c>
      <c r="D1109" s="4">
        <v>182</v>
      </c>
      <c r="E1109" s="4">
        <v>1</v>
      </c>
      <c r="F1109" s="8">
        <v>0.3</v>
      </c>
      <c r="G1109" s="4">
        <v>2</v>
      </c>
      <c r="H1109" s="4">
        <f t="shared" si="34"/>
        <v>0</v>
      </c>
      <c r="I1109" s="4">
        <f t="shared" si="35"/>
        <v>1</v>
      </c>
      <c r="J1109" s="4">
        <v>229</v>
      </c>
      <c r="K1109" s="4">
        <v>0</v>
      </c>
      <c r="L1109" s="4">
        <v>1</v>
      </c>
      <c r="M1109" s="4">
        <v>1</v>
      </c>
      <c r="N1109" s="4">
        <v>1</v>
      </c>
      <c r="O1109" s="4">
        <v>1</v>
      </c>
    </row>
    <row r="1110" spans="1:15" x14ac:dyDescent="0.15">
      <c r="A1110" s="4">
        <v>1107</v>
      </c>
      <c r="B1110" s="4">
        <v>37</v>
      </c>
      <c r="C1110" s="4">
        <v>13</v>
      </c>
      <c r="D1110" s="4">
        <v>70</v>
      </c>
      <c r="E1110" s="4">
        <v>2</v>
      </c>
      <c r="F1110" s="8">
        <v>2.7</v>
      </c>
      <c r="G1110" s="4">
        <v>1</v>
      </c>
      <c r="H1110" s="4">
        <f t="shared" si="34"/>
        <v>1</v>
      </c>
      <c r="I1110" s="4">
        <f t="shared" si="35"/>
        <v>0</v>
      </c>
      <c r="J1110" s="4">
        <v>0</v>
      </c>
      <c r="K1110" s="4">
        <v>0</v>
      </c>
      <c r="L1110" s="4">
        <v>0</v>
      </c>
      <c r="M1110" s="4">
        <v>0</v>
      </c>
      <c r="N1110" s="4">
        <v>0</v>
      </c>
      <c r="O1110" s="4">
        <v>0</v>
      </c>
    </row>
    <row r="1111" spans="1:15" x14ac:dyDescent="0.15">
      <c r="A1111" s="4">
        <v>1108</v>
      </c>
      <c r="B1111" s="4">
        <v>47</v>
      </c>
      <c r="C1111" s="4">
        <v>21</v>
      </c>
      <c r="D1111" s="4">
        <v>79</v>
      </c>
      <c r="E1111" s="4">
        <v>3</v>
      </c>
      <c r="F1111" s="8">
        <v>1.1000000000000001</v>
      </c>
      <c r="G1111" s="4">
        <v>1</v>
      </c>
      <c r="H1111" s="4">
        <f t="shared" si="34"/>
        <v>1</v>
      </c>
      <c r="I1111" s="4">
        <f t="shared" si="35"/>
        <v>0</v>
      </c>
      <c r="J1111" s="4">
        <v>185</v>
      </c>
      <c r="K1111" s="4">
        <v>0</v>
      </c>
      <c r="L1111" s="4">
        <v>0</v>
      </c>
      <c r="M1111" s="4">
        <v>1</v>
      </c>
      <c r="N1111" s="4">
        <v>1</v>
      </c>
      <c r="O1111" s="4">
        <v>0</v>
      </c>
    </row>
    <row r="1112" spans="1:15" x14ac:dyDescent="0.15">
      <c r="A1112" s="4">
        <v>1109</v>
      </c>
      <c r="B1112" s="4">
        <v>55</v>
      </c>
      <c r="C1112" s="4">
        <v>29</v>
      </c>
      <c r="D1112" s="4">
        <v>61</v>
      </c>
      <c r="E1112" s="4">
        <v>4</v>
      </c>
      <c r="F1112" s="8">
        <v>2.8</v>
      </c>
      <c r="G1112" s="4">
        <v>2</v>
      </c>
      <c r="H1112" s="4">
        <f t="shared" si="34"/>
        <v>0</v>
      </c>
      <c r="I1112" s="4">
        <f t="shared" si="35"/>
        <v>1</v>
      </c>
      <c r="J1112" s="4">
        <v>0</v>
      </c>
      <c r="K1112" s="4">
        <v>0</v>
      </c>
      <c r="L1112" s="4">
        <v>0</v>
      </c>
      <c r="M1112" s="4">
        <v>1</v>
      </c>
      <c r="N1112" s="4">
        <v>1</v>
      </c>
      <c r="O1112" s="4">
        <v>0</v>
      </c>
    </row>
    <row r="1113" spans="1:15" x14ac:dyDescent="0.15">
      <c r="A1113" s="4">
        <v>1110</v>
      </c>
      <c r="B1113" s="4">
        <v>65</v>
      </c>
      <c r="C1113" s="4">
        <v>41</v>
      </c>
      <c r="D1113" s="4">
        <v>121</v>
      </c>
      <c r="E1113" s="4">
        <v>2</v>
      </c>
      <c r="F1113" s="8">
        <v>2.1</v>
      </c>
      <c r="G1113" s="4">
        <v>1</v>
      </c>
      <c r="H1113" s="4">
        <f t="shared" si="34"/>
        <v>1</v>
      </c>
      <c r="I1113" s="4">
        <f t="shared" si="35"/>
        <v>0</v>
      </c>
      <c r="J1113" s="4">
        <v>0</v>
      </c>
      <c r="K1113" s="4">
        <v>0</v>
      </c>
      <c r="L1113" s="4">
        <v>0</v>
      </c>
      <c r="M1113" s="4">
        <v>1</v>
      </c>
      <c r="N1113" s="4">
        <v>0</v>
      </c>
      <c r="O1113" s="4">
        <v>0</v>
      </c>
    </row>
    <row r="1114" spans="1:15" x14ac:dyDescent="0.15">
      <c r="A1114" s="4">
        <v>1111</v>
      </c>
      <c r="B1114" s="4">
        <v>58</v>
      </c>
      <c r="C1114" s="4">
        <v>33</v>
      </c>
      <c r="D1114" s="4">
        <v>34</v>
      </c>
      <c r="E1114" s="4">
        <v>3</v>
      </c>
      <c r="F1114" s="8">
        <v>0.2</v>
      </c>
      <c r="G1114" s="4">
        <v>1</v>
      </c>
      <c r="H1114" s="4">
        <f t="shared" si="34"/>
        <v>1</v>
      </c>
      <c r="I1114" s="4">
        <f t="shared" si="35"/>
        <v>0</v>
      </c>
      <c r="J1114" s="4">
        <v>83</v>
      </c>
      <c r="K1114" s="4">
        <v>0</v>
      </c>
      <c r="L1114" s="4">
        <v>0</v>
      </c>
      <c r="M1114" s="4">
        <v>1</v>
      </c>
      <c r="N1114" s="4">
        <v>0</v>
      </c>
      <c r="O1114" s="4">
        <v>0</v>
      </c>
    </row>
    <row r="1115" spans="1:15" x14ac:dyDescent="0.15">
      <c r="A1115" s="4">
        <v>1112</v>
      </c>
      <c r="B1115" s="4">
        <v>54</v>
      </c>
      <c r="C1115" s="4">
        <v>28</v>
      </c>
      <c r="D1115" s="4">
        <v>183</v>
      </c>
      <c r="E1115" s="4">
        <v>1</v>
      </c>
      <c r="F1115" s="8">
        <v>1</v>
      </c>
      <c r="G1115" s="4">
        <v>1</v>
      </c>
      <c r="H1115" s="4">
        <f t="shared" si="34"/>
        <v>1</v>
      </c>
      <c r="I1115" s="4">
        <f t="shared" si="35"/>
        <v>0</v>
      </c>
      <c r="J1115" s="4">
        <v>442</v>
      </c>
      <c r="K1115" s="4">
        <v>0</v>
      </c>
      <c r="L1115" s="4">
        <v>0</v>
      </c>
      <c r="M1115" s="4">
        <v>0</v>
      </c>
      <c r="N1115" s="4">
        <v>0</v>
      </c>
      <c r="O1115" s="4">
        <v>0</v>
      </c>
    </row>
    <row r="1116" spans="1:15" x14ac:dyDescent="0.15">
      <c r="A1116" s="4">
        <v>1113</v>
      </c>
      <c r="B1116" s="4">
        <v>52</v>
      </c>
      <c r="C1116" s="4">
        <v>28</v>
      </c>
      <c r="D1116" s="4">
        <v>51</v>
      </c>
      <c r="E1116" s="4">
        <v>1</v>
      </c>
      <c r="F1116" s="8">
        <v>1.6</v>
      </c>
      <c r="G1116" s="4">
        <v>3</v>
      </c>
      <c r="H1116" s="4">
        <f t="shared" si="34"/>
        <v>0</v>
      </c>
      <c r="I1116" s="4">
        <f t="shared" si="35"/>
        <v>0</v>
      </c>
      <c r="J1116" s="4">
        <v>0</v>
      </c>
      <c r="K1116" s="4">
        <v>1</v>
      </c>
      <c r="L1116" s="4">
        <v>0</v>
      </c>
      <c r="M1116" s="4">
        <v>0</v>
      </c>
      <c r="N1116" s="4">
        <v>1</v>
      </c>
      <c r="O1116" s="4">
        <v>0</v>
      </c>
    </row>
    <row r="1117" spans="1:15" x14ac:dyDescent="0.15">
      <c r="A1117" s="4">
        <v>1114</v>
      </c>
      <c r="B1117" s="4">
        <v>28</v>
      </c>
      <c r="C1117" s="4">
        <v>2</v>
      </c>
      <c r="D1117" s="4">
        <v>70</v>
      </c>
      <c r="E1117" s="4">
        <v>3</v>
      </c>
      <c r="F1117" s="8">
        <v>0.3</v>
      </c>
      <c r="G1117" s="4">
        <v>3</v>
      </c>
      <c r="H1117" s="4">
        <f t="shared" si="34"/>
        <v>0</v>
      </c>
      <c r="I1117" s="4">
        <f t="shared" si="35"/>
        <v>0</v>
      </c>
      <c r="J1117" s="4">
        <v>0</v>
      </c>
      <c r="K1117" s="4">
        <v>0</v>
      </c>
      <c r="L1117" s="4">
        <v>0</v>
      </c>
      <c r="M1117" s="4">
        <v>0</v>
      </c>
      <c r="N1117" s="4">
        <v>1</v>
      </c>
      <c r="O1117" s="4">
        <v>0</v>
      </c>
    </row>
    <row r="1118" spans="1:15" x14ac:dyDescent="0.15">
      <c r="A1118" s="4">
        <v>1115</v>
      </c>
      <c r="B1118" s="4">
        <v>32</v>
      </c>
      <c r="C1118" s="4">
        <v>8</v>
      </c>
      <c r="D1118" s="4">
        <v>39</v>
      </c>
      <c r="E1118" s="4">
        <v>1</v>
      </c>
      <c r="F1118" s="8">
        <v>1.7</v>
      </c>
      <c r="G1118" s="4">
        <v>1</v>
      </c>
      <c r="H1118" s="4">
        <f t="shared" si="34"/>
        <v>1</v>
      </c>
      <c r="I1118" s="4">
        <f t="shared" si="35"/>
        <v>0</v>
      </c>
      <c r="J1118" s="4">
        <v>0</v>
      </c>
      <c r="K1118" s="4">
        <v>0</v>
      </c>
      <c r="L1118" s="4">
        <v>0</v>
      </c>
      <c r="M1118" s="4">
        <v>1</v>
      </c>
      <c r="N1118" s="4">
        <v>1</v>
      </c>
      <c r="O1118" s="4">
        <v>0</v>
      </c>
    </row>
    <row r="1119" spans="1:15" x14ac:dyDescent="0.15">
      <c r="A1119" s="4">
        <v>1116</v>
      </c>
      <c r="B1119" s="4">
        <v>51</v>
      </c>
      <c r="C1119" s="4">
        <v>24</v>
      </c>
      <c r="D1119" s="4">
        <v>84</v>
      </c>
      <c r="E1119" s="4">
        <v>3</v>
      </c>
      <c r="F1119" s="8">
        <v>2</v>
      </c>
      <c r="G1119" s="4">
        <v>2</v>
      </c>
      <c r="H1119" s="4">
        <f t="shared" si="34"/>
        <v>0</v>
      </c>
      <c r="I1119" s="4">
        <f t="shared" si="35"/>
        <v>1</v>
      </c>
      <c r="J1119" s="4">
        <v>0</v>
      </c>
      <c r="K1119" s="4">
        <v>0</v>
      </c>
      <c r="L1119" s="4">
        <v>0</v>
      </c>
      <c r="M1119" s="4">
        <v>0</v>
      </c>
      <c r="N1119" s="4">
        <v>0</v>
      </c>
      <c r="O1119" s="4">
        <v>0</v>
      </c>
    </row>
    <row r="1120" spans="1:15" x14ac:dyDescent="0.15">
      <c r="A1120" s="4">
        <v>1117</v>
      </c>
      <c r="B1120" s="4">
        <v>43</v>
      </c>
      <c r="C1120" s="4">
        <v>18</v>
      </c>
      <c r="D1120" s="4">
        <v>122</v>
      </c>
      <c r="E1120" s="4">
        <v>1</v>
      </c>
      <c r="F1120" s="8">
        <v>7</v>
      </c>
      <c r="G1120" s="4">
        <v>1</v>
      </c>
      <c r="H1120" s="4">
        <f t="shared" si="34"/>
        <v>1</v>
      </c>
      <c r="I1120" s="4">
        <f t="shared" si="35"/>
        <v>0</v>
      </c>
      <c r="J1120" s="4">
        <v>0</v>
      </c>
      <c r="K1120" s="4">
        <v>0</v>
      </c>
      <c r="L1120" s="4">
        <v>0</v>
      </c>
      <c r="M1120" s="4">
        <v>1</v>
      </c>
      <c r="N1120" s="4">
        <v>1</v>
      </c>
      <c r="O1120" s="4">
        <v>0</v>
      </c>
    </row>
    <row r="1121" spans="1:15" x14ac:dyDescent="0.15">
      <c r="A1121" s="4">
        <v>1118</v>
      </c>
      <c r="B1121" s="4">
        <v>42</v>
      </c>
      <c r="C1121" s="4">
        <v>18</v>
      </c>
      <c r="D1121" s="4">
        <v>145</v>
      </c>
      <c r="E1121" s="4">
        <v>1</v>
      </c>
      <c r="F1121" s="8">
        <v>1.7</v>
      </c>
      <c r="G1121" s="4">
        <v>1</v>
      </c>
      <c r="H1121" s="4">
        <f t="shared" si="34"/>
        <v>1</v>
      </c>
      <c r="I1121" s="4">
        <f t="shared" si="35"/>
        <v>0</v>
      </c>
      <c r="J1121" s="4">
        <v>132</v>
      </c>
      <c r="K1121" s="4">
        <v>0</v>
      </c>
      <c r="L1121" s="4">
        <v>0</v>
      </c>
      <c r="M1121" s="4">
        <v>1</v>
      </c>
      <c r="N1121" s="4">
        <v>1</v>
      </c>
      <c r="O1121" s="4">
        <v>0</v>
      </c>
    </row>
    <row r="1122" spans="1:15" x14ac:dyDescent="0.15">
      <c r="A1122" s="4">
        <v>1119</v>
      </c>
      <c r="B1122" s="4">
        <v>42</v>
      </c>
      <c r="C1122" s="4">
        <v>17</v>
      </c>
      <c r="D1122" s="4">
        <v>98</v>
      </c>
      <c r="E1122" s="4">
        <v>2</v>
      </c>
      <c r="F1122" s="8">
        <v>0.4</v>
      </c>
      <c r="G1122" s="4">
        <v>1</v>
      </c>
      <c r="H1122" s="4">
        <f t="shared" si="34"/>
        <v>1</v>
      </c>
      <c r="I1122" s="4">
        <f t="shared" si="35"/>
        <v>0</v>
      </c>
      <c r="J1122" s="4">
        <v>0</v>
      </c>
      <c r="K1122" s="4">
        <v>0</v>
      </c>
      <c r="L1122" s="4">
        <v>0</v>
      </c>
      <c r="M1122" s="4">
        <v>1</v>
      </c>
      <c r="N1122" s="4">
        <v>1</v>
      </c>
      <c r="O1122" s="4">
        <v>0</v>
      </c>
    </row>
    <row r="1123" spans="1:15" x14ac:dyDescent="0.15">
      <c r="A1123" s="4">
        <v>1120</v>
      </c>
      <c r="B1123" s="4">
        <v>41</v>
      </c>
      <c r="C1123" s="4">
        <v>16</v>
      </c>
      <c r="D1123" s="4">
        <v>79</v>
      </c>
      <c r="E1123" s="4">
        <v>1</v>
      </c>
      <c r="F1123" s="8">
        <v>1</v>
      </c>
      <c r="G1123" s="4">
        <v>3</v>
      </c>
      <c r="H1123" s="4">
        <f t="shared" si="34"/>
        <v>0</v>
      </c>
      <c r="I1123" s="4">
        <f t="shared" si="35"/>
        <v>0</v>
      </c>
      <c r="J1123" s="4">
        <v>233</v>
      </c>
      <c r="K1123" s="4">
        <v>0</v>
      </c>
      <c r="L1123" s="4">
        <v>0</v>
      </c>
      <c r="M1123" s="4">
        <v>1</v>
      </c>
      <c r="N1123" s="4">
        <v>0</v>
      </c>
      <c r="O1123" s="4">
        <v>0</v>
      </c>
    </row>
    <row r="1124" spans="1:15" x14ac:dyDescent="0.15">
      <c r="A1124" s="4">
        <v>1121</v>
      </c>
      <c r="B1124" s="4">
        <v>34</v>
      </c>
      <c r="C1124" s="4">
        <v>8</v>
      </c>
      <c r="D1124" s="4">
        <v>38</v>
      </c>
      <c r="E1124" s="4">
        <v>2</v>
      </c>
      <c r="F1124" s="8">
        <v>2</v>
      </c>
      <c r="G1124" s="4">
        <v>3</v>
      </c>
      <c r="H1124" s="4">
        <f t="shared" si="34"/>
        <v>0</v>
      </c>
      <c r="I1124" s="4">
        <f t="shared" si="35"/>
        <v>0</v>
      </c>
      <c r="J1124" s="4">
        <v>0</v>
      </c>
      <c r="K1124" s="4">
        <v>0</v>
      </c>
      <c r="L1124" s="4">
        <v>0</v>
      </c>
      <c r="M1124" s="4">
        <v>1</v>
      </c>
      <c r="N1124" s="4">
        <v>1</v>
      </c>
      <c r="O1124" s="4">
        <v>0</v>
      </c>
    </row>
    <row r="1125" spans="1:15" x14ac:dyDescent="0.15">
      <c r="A1125" s="4">
        <v>1122</v>
      </c>
      <c r="B1125" s="4">
        <v>30</v>
      </c>
      <c r="C1125" s="4">
        <v>6</v>
      </c>
      <c r="D1125" s="4">
        <v>49</v>
      </c>
      <c r="E1125" s="4">
        <v>3</v>
      </c>
      <c r="F1125" s="8">
        <v>0.7</v>
      </c>
      <c r="G1125" s="4">
        <v>2</v>
      </c>
      <c r="H1125" s="4">
        <f t="shared" si="34"/>
        <v>0</v>
      </c>
      <c r="I1125" s="4">
        <f t="shared" si="35"/>
        <v>1</v>
      </c>
      <c r="J1125" s="4">
        <v>196</v>
      </c>
      <c r="K1125" s="4">
        <v>0</v>
      </c>
      <c r="L1125" s="4">
        <v>0</v>
      </c>
      <c r="M1125" s="4">
        <v>0</v>
      </c>
      <c r="N1125" s="4">
        <v>1</v>
      </c>
      <c r="O1125" s="4">
        <v>0</v>
      </c>
    </row>
    <row r="1126" spans="1:15" x14ac:dyDescent="0.15">
      <c r="A1126" s="4">
        <v>1123</v>
      </c>
      <c r="B1126" s="4">
        <v>32</v>
      </c>
      <c r="C1126" s="4">
        <v>7</v>
      </c>
      <c r="D1126" s="4">
        <v>38</v>
      </c>
      <c r="E1126" s="4">
        <v>1</v>
      </c>
      <c r="F1126" s="8">
        <v>1</v>
      </c>
      <c r="G1126" s="4">
        <v>1</v>
      </c>
      <c r="H1126" s="4">
        <f t="shared" si="34"/>
        <v>1</v>
      </c>
      <c r="I1126" s="4">
        <f t="shared" si="35"/>
        <v>0</v>
      </c>
      <c r="J1126" s="4">
        <v>0</v>
      </c>
      <c r="K1126" s="4">
        <v>0</v>
      </c>
      <c r="L1126" s="4">
        <v>0</v>
      </c>
      <c r="M1126" s="4">
        <v>1</v>
      </c>
      <c r="N1126" s="4">
        <v>0</v>
      </c>
      <c r="O1126" s="4">
        <v>0</v>
      </c>
    </row>
    <row r="1127" spans="1:15" x14ac:dyDescent="0.15">
      <c r="A1127" s="4">
        <v>1124</v>
      </c>
      <c r="B1127" s="4">
        <v>46</v>
      </c>
      <c r="C1127" s="4">
        <v>20</v>
      </c>
      <c r="D1127" s="4">
        <v>91</v>
      </c>
      <c r="E1127" s="4">
        <v>4</v>
      </c>
      <c r="F1127" s="8">
        <v>2.6</v>
      </c>
      <c r="G1127" s="4">
        <v>3</v>
      </c>
      <c r="H1127" s="4">
        <f t="shared" si="34"/>
        <v>0</v>
      </c>
      <c r="I1127" s="4">
        <f t="shared" si="35"/>
        <v>0</v>
      </c>
      <c r="J1127" s="4">
        <v>0</v>
      </c>
      <c r="K1127" s="4">
        <v>0</v>
      </c>
      <c r="L1127" s="4">
        <v>0</v>
      </c>
      <c r="M1127" s="4">
        <v>0</v>
      </c>
      <c r="N1127" s="4">
        <v>0</v>
      </c>
      <c r="O1127" s="4">
        <v>0</v>
      </c>
    </row>
    <row r="1128" spans="1:15" x14ac:dyDescent="0.15">
      <c r="A1128" s="4">
        <v>1125</v>
      </c>
      <c r="B1128" s="4">
        <v>38</v>
      </c>
      <c r="C1128" s="4">
        <v>12</v>
      </c>
      <c r="D1128" s="4">
        <v>29</v>
      </c>
      <c r="E1128" s="4">
        <v>4</v>
      </c>
      <c r="F1128" s="8">
        <v>0.2</v>
      </c>
      <c r="G1128" s="4">
        <v>1</v>
      </c>
      <c r="H1128" s="4">
        <f t="shared" si="34"/>
        <v>1</v>
      </c>
      <c r="I1128" s="4">
        <f t="shared" si="35"/>
        <v>0</v>
      </c>
      <c r="J1128" s="4">
        <v>0</v>
      </c>
      <c r="K1128" s="4">
        <v>0</v>
      </c>
      <c r="L1128" s="4">
        <v>0</v>
      </c>
      <c r="M1128" s="4">
        <v>0</v>
      </c>
      <c r="N1128" s="4">
        <v>1</v>
      </c>
      <c r="O1128" s="4">
        <v>0</v>
      </c>
    </row>
    <row r="1129" spans="1:15" x14ac:dyDescent="0.15">
      <c r="A1129" s="4">
        <v>1126</v>
      </c>
      <c r="B1129" s="4">
        <v>37</v>
      </c>
      <c r="C1129" s="4">
        <v>13</v>
      </c>
      <c r="D1129" s="4">
        <v>172</v>
      </c>
      <c r="E1129" s="4">
        <v>2</v>
      </c>
      <c r="F1129" s="8">
        <v>6.5</v>
      </c>
      <c r="G1129" s="4">
        <v>1</v>
      </c>
      <c r="H1129" s="4">
        <f t="shared" si="34"/>
        <v>1</v>
      </c>
      <c r="I1129" s="4">
        <f t="shared" si="35"/>
        <v>0</v>
      </c>
      <c r="J1129" s="4">
        <v>0</v>
      </c>
      <c r="K1129" s="4">
        <v>0</v>
      </c>
      <c r="L1129" s="4">
        <v>0</v>
      </c>
      <c r="M1129" s="4">
        <v>0</v>
      </c>
      <c r="N1129" s="4">
        <v>0</v>
      </c>
      <c r="O1129" s="4">
        <v>0</v>
      </c>
    </row>
    <row r="1130" spans="1:15" x14ac:dyDescent="0.15">
      <c r="A1130" s="4">
        <v>1127</v>
      </c>
      <c r="B1130" s="4">
        <v>32</v>
      </c>
      <c r="C1130" s="4">
        <v>8</v>
      </c>
      <c r="D1130" s="4">
        <v>104</v>
      </c>
      <c r="E1130" s="4">
        <v>2</v>
      </c>
      <c r="F1130" s="8">
        <v>3.7</v>
      </c>
      <c r="G1130" s="4">
        <v>1</v>
      </c>
      <c r="H1130" s="4">
        <f t="shared" si="34"/>
        <v>1</v>
      </c>
      <c r="I1130" s="4">
        <f t="shared" si="35"/>
        <v>0</v>
      </c>
      <c r="J1130" s="4">
        <v>0</v>
      </c>
      <c r="K1130" s="4">
        <v>0</v>
      </c>
      <c r="L1130" s="4">
        <v>0</v>
      </c>
      <c r="M1130" s="4">
        <v>0</v>
      </c>
      <c r="N1130" s="4">
        <v>1</v>
      </c>
      <c r="O1130" s="4">
        <v>1</v>
      </c>
    </row>
    <row r="1131" spans="1:15" x14ac:dyDescent="0.15">
      <c r="A1131" s="4">
        <v>1128</v>
      </c>
      <c r="B1131" s="4">
        <v>35</v>
      </c>
      <c r="C1131" s="4">
        <v>9</v>
      </c>
      <c r="D1131" s="4">
        <v>58</v>
      </c>
      <c r="E1131" s="4">
        <v>1</v>
      </c>
      <c r="F1131" s="8">
        <v>2.5</v>
      </c>
      <c r="G1131" s="4">
        <v>1</v>
      </c>
      <c r="H1131" s="4">
        <f t="shared" si="34"/>
        <v>1</v>
      </c>
      <c r="I1131" s="4">
        <f t="shared" si="35"/>
        <v>0</v>
      </c>
      <c r="J1131" s="4">
        <v>0</v>
      </c>
      <c r="K1131" s="4">
        <v>0</v>
      </c>
      <c r="L1131" s="4">
        <v>0</v>
      </c>
      <c r="M1131" s="4">
        <v>1</v>
      </c>
      <c r="N1131" s="4">
        <v>1</v>
      </c>
      <c r="O1131" s="4">
        <v>0</v>
      </c>
    </row>
    <row r="1132" spans="1:15" x14ac:dyDescent="0.15">
      <c r="A1132" s="4">
        <v>1129</v>
      </c>
      <c r="B1132" s="4">
        <v>30</v>
      </c>
      <c r="C1132" s="4">
        <v>5</v>
      </c>
      <c r="D1132" s="4">
        <v>171</v>
      </c>
      <c r="E1132" s="4">
        <v>2</v>
      </c>
      <c r="F1132" s="8">
        <v>1.9</v>
      </c>
      <c r="G1132" s="4">
        <v>2</v>
      </c>
      <c r="H1132" s="4">
        <f t="shared" si="34"/>
        <v>0</v>
      </c>
      <c r="I1132" s="4">
        <f t="shared" si="35"/>
        <v>1</v>
      </c>
      <c r="J1132" s="4">
        <v>0</v>
      </c>
      <c r="K1132" s="4">
        <v>0</v>
      </c>
      <c r="L1132" s="4">
        <v>0</v>
      </c>
      <c r="M1132" s="4">
        <v>0</v>
      </c>
      <c r="N1132" s="4">
        <v>0</v>
      </c>
      <c r="O1132" s="4">
        <v>1</v>
      </c>
    </row>
    <row r="1133" spans="1:15" x14ac:dyDescent="0.15">
      <c r="A1133" s="4">
        <v>1130</v>
      </c>
      <c r="B1133" s="4">
        <v>30</v>
      </c>
      <c r="C1133" s="4">
        <v>4</v>
      </c>
      <c r="D1133" s="4">
        <v>73</v>
      </c>
      <c r="E1133" s="4">
        <v>3</v>
      </c>
      <c r="F1133" s="8">
        <v>3.3</v>
      </c>
      <c r="G1133" s="4">
        <v>1</v>
      </c>
      <c r="H1133" s="4">
        <f t="shared" si="34"/>
        <v>1</v>
      </c>
      <c r="I1133" s="4">
        <f t="shared" si="35"/>
        <v>0</v>
      </c>
      <c r="J1133" s="4">
        <v>0</v>
      </c>
      <c r="K1133" s="4">
        <v>0</v>
      </c>
      <c r="L1133" s="4">
        <v>1</v>
      </c>
      <c r="M1133" s="4">
        <v>1</v>
      </c>
      <c r="N1133" s="4">
        <v>1</v>
      </c>
      <c r="O1133" s="4">
        <v>1</v>
      </c>
    </row>
    <row r="1134" spans="1:15" x14ac:dyDescent="0.15">
      <c r="A1134" s="4">
        <v>1131</v>
      </c>
      <c r="B1134" s="4">
        <v>58</v>
      </c>
      <c r="C1134" s="4">
        <v>32</v>
      </c>
      <c r="D1134" s="4">
        <v>191</v>
      </c>
      <c r="E1134" s="4">
        <v>1</v>
      </c>
      <c r="F1134" s="8">
        <v>2.9</v>
      </c>
      <c r="G1134" s="4">
        <v>1</v>
      </c>
      <c r="H1134" s="4">
        <f t="shared" si="34"/>
        <v>1</v>
      </c>
      <c r="I1134" s="4">
        <f t="shared" si="35"/>
        <v>0</v>
      </c>
      <c r="J1134" s="4">
        <v>0</v>
      </c>
      <c r="K1134" s="4">
        <v>0</v>
      </c>
      <c r="L1134" s="4">
        <v>0</v>
      </c>
      <c r="M1134" s="4">
        <v>0</v>
      </c>
      <c r="N1134" s="4">
        <v>0</v>
      </c>
      <c r="O1134" s="4">
        <v>0</v>
      </c>
    </row>
    <row r="1135" spans="1:15" x14ac:dyDescent="0.15">
      <c r="A1135" s="4">
        <v>1132</v>
      </c>
      <c r="B1135" s="4">
        <v>57</v>
      </c>
      <c r="C1135" s="4">
        <v>27</v>
      </c>
      <c r="D1135" s="4">
        <v>90</v>
      </c>
      <c r="E1135" s="4">
        <v>2</v>
      </c>
      <c r="F1135" s="8">
        <v>4.5</v>
      </c>
      <c r="G1135" s="4">
        <v>3</v>
      </c>
      <c r="H1135" s="4">
        <f t="shared" si="34"/>
        <v>0</v>
      </c>
      <c r="I1135" s="4">
        <f t="shared" si="35"/>
        <v>0</v>
      </c>
      <c r="J1135" s="4">
        <v>0</v>
      </c>
      <c r="K1135" s="4">
        <v>0</v>
      </c>
      <c r="L1135" s="4">
        <v>0</v>
      </c>
      <c r="M1135" s="4">
        <v>1</v>
      </c>
      <c r="N1135" s="4">
        <v>0</v>
      </c>
      <c r="O1135" s="4">
        <v>0</v>
      </c>
    </row>
    <row r="1136" spans="1:15" x14ac:dyDescent="0.15">
      <c r="A1136" s="4">
        <v>1133</v>
      </c>
      <c r="B1136" s="4">
        <v>34</v>
      </c>
      <c r="C1136" s="4">
        <v>9</v>
      </c>
      <c r="D1136" s="4">
        <v>55</v>
      </c>
      <c r="E1136" s="4">
        <v>3</v>
      </c>
      <c r="F1136" s="8">
        <v>2.2999999999999998</v>
      </c>
      <c r="G1136" s="4">
        <v>1</v>
      </c>
      <c r="H1136" s="4">
        <f t="shared" si="34"/>
        <v>1</v>
      </c>
      <c r="I1136" s="4">
        <f t="shared" si="35"/>
        <v>0</v>
      </c>
      <c r="J1136" s="4">
        <v>0</v>
      </c>
      <c r="K1136" s="4">
        <v>1</v>
      </c>
      <c r="L1136" s="4">
        <v>1</v>
      </c>
      <c r="M1136" s="4">
        <v>1</v>
      </c>
      <c r="N1136" s="4">
        <v>1</v>
      </c>
      <c r="O1136" s="4">
        <v>0</v>
      </c>
    </row>
    <row r="1137" spans="1:15" x14ac:dyDescent="0.15">
      <c r="A1137" s="4">
        <v>1134</v>
      </c>
      <c r="B1137" s="4">
        <v>31</v>
      </c>
      <c r="C1137" s="4">
        <v>4</v>
      </c>
      <c r="D1137" s="4">
        <v>28</v>
      </c>
      <c r="E1137" s="4">
        <v>1</v>
      </c>
      <c r="F1137" s="8">
        <v>2</v>
      </c>
      <c r="G1137" s="4">
        <v>2</v>
      </c>
      <c r="H1137" s="4">
        <f t="shared" si="34"/>
        <v>0</v>
      </c>
      <c r="I1137" s="4">
        <f t="shared" si="35"/>
        <v>1</v>
      </c>
      <c r="J1137" s="4">
        <v>0</v>
      </c>
      <c r="K1137" s="4">
        <v>0</v>
      </c>
      <c r="L1137" s="4">
        <v>0</v>
      </c>
      <c r="M1137" s="4">
        <v>0</v>
      </c>
      <c r="N1137" s="4">
        <v>0</v>
      </c>
      <c r="O1137" s="4">
        <v>0</v>
      </c>
    </row>
    <row r="1138" spans="1:15" x14ac:dyDescent="0.15">
      <c r="A1138" s="4">
        <v>1135</v>
      </c>
      <c r="B1138" s="4">
        <v>39</v>
      </c>
      <c r="C1138" s="4">
        <v>14</v>
      </c>
      <c r="D1138" s="4">
        <v>42</v>
      </c>
      <c r="E1138" s="4">
        <v>1</v>
      </c>
      <c r="F1138" s="8">
        <v>2.5</v>
      </c>
      <c r="G1138" s="4">
        <v>3</v>
      </c>
      <c r="H1138" s="4">
        <f t="shared" si="34"/>
        <v>0</v>
      </c>
      <c r="I1138" s="4">
        <f t="shared" si="35"/>
        <v>0</v>
      </c>
      <c r="J1138" s="4">
        <v>0</v>
      </c>
      <c r="K1138" s="4">
        <v>0</v>
      </c>
      <c r="L1138" s="4">
        <v>0</v>
      </c>
      <c r="M1138" s="4">
        <v>1</v>
      </c>
      <c r="N1138" s="4">
        <v>0</v>
      </c>
      <c r="O1138" s="4">
        <v>0</v>
      </c>
    </row>
    <row r="1139" spans="1:15" x14ac:dyDescent="0.15">
      <c r="A1139" s="4">
        <v>1136</v>
      </c>
      <c r="B1139" s="4">
        <v>57</v>
      </c>
      <c r="C1139" s="4">
        <v>33</v>
      </c>
      <c r="D1139" s="4">
        <v>9</v>
      </c>
      <c r="E1139" s="4">
        <v>1</v>
      </c>
      <c r="F1139" s="8">
        <v>0.1</v>
      </c>
      <c r="G1139" s="4">
        <v>2</v>
      </c>
      <c r="H1139" s="4">
        <f t="shared" si="34"/>
        <v>0</v>
      </c>
      <c r="I1139" s="4">
        <f t="shared" si="35"/>
        <v>1</v>
      </c>
      <c r="J1139" s="4">
        <v>91</v>
      </c>
      <c r="K1139" s="4">
        <v>1</v>
      </c>
      <c r="L1139" s="4">
        <v>0</v>
      </c>
      <c r="M1139" s="4">
        <v>1</v>
      </c>
      <c r="N1139" s="4">
        <v>0</v>
      </c>
      <c r="O1139" s="4">
        <v>0</v>
      </c>
    </row>
    <row r="1140" spans="1:15" x14ac:dyDescent="0.15">
      <c r="A1140" s="4">
        <v>1137</v>
      </c>
      <c r="B1140" s="4">
        <v>47</v>
      </c>
      <c r="C1140" s="4">
        <v>21</v>
      </c>
      <c r="D1140" s="4">
        <v>65</v>
      </c>
      <c r="E1140" s="4">
        <v>1</v>
      </c>
      <c r="F1140" s="8">
        <v>1.5</v>
      </c>
      <c r="G1140" s="4">
        <v>2</v>
      </c>
      <c r="H1140" s="4">
        <f t="shared" si="34"/>
        <v>0</v>
      </c>
      <c r="I1140" s="4">
        <f t="shared" si="35"/>
        <v>1</v>
      </c>
      <c r="J1140" s="4">
        <v>0</v>
      </c>
      <c r="K1140" s="4">
        <v>1</v>
      </c>
      <c r="L1140" s="4">
        <v>0</v>
      </c>
      <c r="M1140" s="4">
        <v>1</v>
      </c>
      <c r="N1140" s="4">
        <v>0</v>
      </c>
      <c r="O1140" s="4">
        <v>0</v>
      </c>
    </row>
    <row r="1141" spans="1:15" x14ac:dyDescent="0.15">
      <c r="A1141" s="4">
        <v>1138</v>
      </c>
      <c r="B1141" s="4">
        <v>51</v>
      </c>
      <c r="C1141" s="4">
        <v>26</v>
      </c>
      <c r="D1141" s="4">
        <v>134</v>
      </c>
      <c r="E1141" s="4">
        <v>4</v>
      </c>
      <c r="F1141" s="8">
        <v>4.5</v>
      </c>
      <c r="G1141" s="4">
        <v>3</v>
      </c>
      <c r="H1141" s="4">
        <f t="shared" si="34"/>
        <v>0</v>
      </c>
      <c r="I1141" s="4">
        <f t="shared" si="35"/>
        <v>0</v>
      </c>
      <c r="J1141" s="4">
        <v>0</v>
      </c>
      <c r="K1141" s="4">
        <v>1</v>
      </c>
      <c r="L1141" s="4">
        <v>1</v>
      </c>
      <c r="M1141" s="4">
        <v>1</v>
      </c>
      <c r="N1141" s="4">
        <v>0</v>
      </c>
      <c r="O1141" s="4">
        <v>1</v>
      </c>
    </row>
    <row r="1142" spans="1:15" x14ac:dyDescent="0.15">
      <c r="A1142" s="4">
        <v>1139</v>
      </c>
      <c r="B1142" s="4">
        <v>30</v>
      </c>
      <c r="C1142" s="4">
        <v>6</v>
      </c>
      <c r="D1142" s="4">
        <v>83</v>
      </c>
      <c r="E1142" s="4">
        <v>4</v>
      </c>
      <c r="F1142" s="8">
        <v>3.4</v>
      </c>
      <c r="G1142" s="4">
        <v>1</v>
      </c>
      <c r="H1142" s="4">
        <f t="shared" si="34"/>
        <v>1</v>
      </c>
      <c r="I1142" s="4">
        <f t="shared" si="35"/>
        <v>0</v>
      </c>
      <c r="J1142" s="4">
        <v>0</v>
      </c>
      <c r="K1142" s="4">
        <v>1</v>
      </c>
      <c r="L1142" s="4">
        <v>0</v>
      </c>
      <c r="M1142" s="4">
        <v>1</v>
      </c>
      <c r="N1142" s="4">
        <v>0</v>
      </c>
      <c r="O1142" s="4">
        <v>0</v>
      </c>
    </row>
    <row r="1143" spans="1:15" x14ac:dyDescent="0.15">
      <c r="A1143" s="4">
        <v>1140</v>
      </c>
      <c r="B1143" s="4">
        <v>55</v>
      </c>
      <c r="C1143" s="4">
        <v>28</v>
      </c>
      <c r="D1143" s="4">
        <v>38</v>
      </c>
      <c r="E1143" s="4">
        <v>3</v>
      </c>
      <c r="F1143" s="8">
        <v>1</v>
      </c>
      <c r="G1143" s="4">
        <v>2</v>
      </c>
      <c r="H1143" s="4">
        <f t="shared" si="34"/>
        <v>0</v>
      </c>
      <c r="I1143" s="4">
        <f t="shared" si="35"/>
        <v>1</v>
      </c>
      <c r="J1143" s="4">
        <v>0</v>
      </c>
      <c r="K1143" s="4">
        <v>0</v>
      </c>
      <c r="L1143" s="4">
        <v>0</v>
      </c>
      <c r="M1143" s="4">
        <v>1</v>
      </c>
      <c r="N1143" s="4">
        <v>0</v>
      </c>
      <c r="O1143" s="4">
        <v>0</v>
      </c>
    </row>
    <row r="1144" spans="1:15" x14ac:dyDescent="0.15">
      <c r="A1144" s="4">
        <v>1141</v>
      </c>
      <c r="B1144" s="4">
        <v>32</v>
      </c>
      <c r="C1144" s="4">
        <v>6</v>
      </c>
      <c r="D1144" s="4">
        <v>13</v>
      </c>
      <c r="E1144" s="4">
        <v>4</v>
      </c>
      <c r="F1144" s="8">
        <v>0.3</v>
      </c>
      <c r="G1144" s="4">
        <v>1</v>
      </c>
      <c r="H1144" s="4">
        <f t="shared" si="34"/>
        <v>1</v>
      </c>
      <c r="I1144" s="4">
        <f t="shared" si="35"/>
        <v>0</v>
      </c>
      <c r="J1144" s="4">
        <v>0</v>
      </c>
      <c r="K1144" s="4">
        <v>0</v>
      </c>
      <c r="L1144" s="4">
        <v>0</v>
      </c>
      <c r="M1144" s="4">
        <v>1</v>
      </c>
      <c r="N1144" s="4">
        <v>1</v>
      </c>
      <c r="O1144" s="4">
        <v>0</v>
      </c>
    </row>
    <row r="1145" spans="1:15" x14ac:dyDescent="0.15">
      <c r="A1145" s="4">
        <v>1142</v>
      </c>
      <c r="B1145" s="4">
        <v>32</v>
      </c>
      <c r="C1145" s="4">
        <v>7</v>
      </c>
      <c r="D1145" s="4">
        <v>143</v>
      </c>
      <c r="E1145" s="4">
        <v>3</v>
      </c>
      <c r="F1145" s="8">
        <v>2.9</v>
      </c>
      <c r="G1145" s="4">
        <v>3</v>
      </c>
      <c r="H1145" s="4">
        <f t="shared" si="34"/>
        <v>0</v>
      </c>
      <c r="I1145" s="4">
        <f t="shared" si="35"/>
        <v>0</v>
      </c>
      <c r="J1145" s="4">
        <v>0</v>
      </c>
      <c r="K1145" s="4">
        <v>0</v>
      </c>
      <c r="L1145" s="4">
        <v>0</v>
      </c>
      <c r="M1145" s="4">
        <v>1</v>
      </c>
      <c r="N1145" s="4">
        <v>0</v>
      </c>
      <c r="O1145" s="4">
        <v>1</v>
      </c>
    </row>
    <row r="1146" spans="1:15" x14ac:dyDescent="0.15">
      <c r="A1146" s="4">
        <v>1143</v>
      </c>
      <c r="B1146" s="4">
        <v>44</v>
      </c>
      <c r="C1146" s="4">
        <v>20</v>
      </c>
      <c r="D1146" s="4">
        <v>75</v>
      </c>
      <c r="E1146" s="4">
        <v>4</v>
      </c>
      <c r="F1146" s="8">
        <v>1.9</v>
      </c>
      <c r="G1146" s="4">
        <v>1</v>
      </c>
      <c r="H1146" s="4">
        <f t="shared" si="34"/>
        <v>1</v>
      </c>
      <c r="I1146" s="4">
        <f t="shared" si="35"/>
        <v>0</v>
      </c>
      <c r="J1146" s="4">
        <v>0</v>
      </c>
      <c r="K1146" s="4">
        <v>0</v>
      </c>
      <c r="L1146" s="4">
        <v>0</v>
      </c>
      <c r="M1146" s="4">
        <v>0</v>
      </c>
      <c r="N1146" s="4">
        <v>0</v>
      </c>
      <c r="O1146" s="4">
        <v>0</v>
      </c>
    </row>
    <row r="1147" spans="1:15" x14ac:dyDescent="0.15">
      <c r="A1147" s="4">
        <v>1144</v>
      </c>
      <c r="B1147" s="4">
        <v>33</v>
      </c>
      <c r="C1147" s="4">
        <v>7</v>
      </c>
      <c r="D1147" s="4">
        <v>120</v>
      </c>
      <c r="E1147" s="4">
        <v>1</v>
      </c>
      <c r="F1147" s="8">
        <v>3.2</v>
      </c>
      <c r="G1147" s="4">
        <v>3</v>
      </c>
      <c r="H1147" s="4">
        <f t="shared" si="34"/>
        <v>0</v>
      </c>
      <c r="I1147" s="4">
        <f t="shared" si="35"/>
        <v>0</v>
      </c>
      <c r="J1147" s="4">
        <v>0</v>
      </c>
      <c r="K1147" s="4">
        <v>0</v>
      </c>
      <c r="L1147" s="4">
        <v>0</v>
      </c>
      <c r="M1147" s="4">
        <v>1</v>
      </c>
      <c r="N1147" s="4">
        <v>0</v>
      </c>
      <c r="O1147" s="4">
        <v>1</v>
      </c>
    </row>
    <row r="1148" spans="1:15" x14ac:dyDescent="0.15">
      <c r="A1148" s="4">
        <v>1145</v>
      </c>
      <c r="B1148" s="4">
        <v>49</v>
      </c>
      <c r="C1148" s="4">
        <v>24</v>
      </c>
      <c r="D1148" s="4">
        <v>91</v>
      </c>
      <c r="E1148" s="4">
        <v>1</v>
      </c>
      <c r="F1148" s="8">
        <v>2.8</v>
      </c>
      <c r="G1148" s="4">
        <v>2</v>
      </c>
      <c r="H1148" s="4">
        <f t="shared" si="34"/>
        <v>0</v>
      </c>
      <c r="I1148" s="4">
        <f t="shared" si="35"/>
        <v>1</v>
      </c>
      <c r="J1148" s="4">
        <v>0</v>
      </c>
      <c r="K1148" s="4">
        <v>0</v>
      </c>
      <c r="L1148" s="4">
        <v>0</v>
      </c>
      <c r="M1148" s="4">
        <v>0</v>
      </c>
      <c r="N1148" s="4">
        <v>0</v>
      </c>
      <c r="O1148" s="4">
        <v>0</v>
      </c>
    </row>
    <row r="1149" spans="1:15" x14ac:dyDescent="0.15">
      <c r="A1149" s="4">
        <v>1146</v>
      </c>
      <c r="B1149" s="4">
        <v>32</v>
      </c>
      <c r="C1149" s="4">
        <v>6</v>
      </c>
      <c r="D1149" s="4">
        <v>99</v>
      </c>
      <c r="E1149" s="4">
        <v>2</v>
      </c>
      <c r="F1149" s="8">
        <v>1.5</v>
      </c>
      <c r="G1149" s="4">
        <v>3</v>
      </c>
      <c r="H1149" s="4">
        <f t="shared" si="34"/>
        <v>0</v>
      </c>
      <c r="I1149" s="4">
        <f t="shared" si="35"/>
        <v>0</v>
      </c>
      <c r="J1149" s="4">
        <v>0</v>
      </c>
      <c r="K1149" s="4">
        <v>0</v>
      </c>
      <c r="L1149" s="4">
        <v>0</v>
      </c>
      <c r="M1149" s="4">
        <v>0</v>
      </c>
      <c r="N1149" s="4">
        <v>1</v>
      </c>
      <c r="O1149" s="4">
        <v>0</v>
      </c>
    </row>
    <row r="1150" spans="1:15" x14ac:dyDescent="0.15">
      <c r="A1150" s="4">
        <v>1147</v>
      </c>
      <c r="B1150" s="4">
        <v>31</v>
      </c>
      <c r="C1150" s="4">
        <v>7</v>
      </c>
      <c r="D1150" s="4">
        <v>71</v>
      </c>
      <c r="E1150" s="4">
        <v>1</v>
      </c>
      <c r="F1150" s="8">
        <v>0.1</v>
      </c>
      <c r="G1150" s="4">
        <v>1</v>
      </c>
      <c r="H1150" s="4">
        <f t="shared" si="34"/>
        <v>1</v>
      </c>
      <c r="I1150" s="4">
        <f t="shared" si="35"/>
        <v>0</v>
      </c>
      <c r="J1150" s="4">
        <v>78</v>
      </c>
      <c r="K1150" s="4">
        <v>1</v>
      </c>
      <c r="L1150" s="4">
        <v>0</v>
      </c>
      <c r="M1150" s="4">
        <v>0</v>
      </c>
      <c r="N1150" s="4">
        <v>0</v>
      </c>
      <c r="O1150" s="4">
        <v>0</v>
      </c>
    </row>
    <row r="1151" spans="1:15" x14ac:dyDescent="0.15">
      <c r="A1151" s="4">
        <v>1148</v>
      </c>
      <c r="B1151" s="4">
        <v>37</v>
      </c>
      <c r="C1151" s="4">
        <v>13</v>
      </c>
      <c r="D1151" s="4">
        <v>111</v>
      </c>
      <c r="E1151" s="4">
        <v>1</v>
      </c>
      <c r="F1151" s="8">
        <v>0.8</v>
      </c>
      <c r="G1151" s="4">
        <v>2</v>
      </c>
      <c r="H1151" s="4">
        <f t="shared" si="34"/>
        <v>0</v>
      </c>
      <c r="I1151" s="4">
        <f t="shared" si="35"/>
        <v>1</v>
      </c>
      <c r="J1151" s="4">
        <v>0</v>
      </c>
      <c r="K1151" s="4">
        <v>0</v>
      </c>
      <c r="L1151" s="4">
        <v>0</v>
      </c>
      <c r="M1151" s="4">
        <v>0</v>
      </c>
      <c r="N1151" s="4">
        <v>0</v>
      </c>
      <c r="O1151" s="4">
        <v>0</v>
      </c>
    </row>
    <row r="1152" spans="1:15" x14ac:dyDescent="0.15">
      <c r="A1152" s="4">
        <v>1149</v>
      </c>
      <c r="B1152" s="4">
        <v>41</v>
      </c>
      <c r="C1152" s="4">
        <v>15</v>
      </c>
      <c r="D1152" s="4">
        <v>108</v>
      </c>
      <c r="E1152" s="4">
        <v>1</v>
      </c>
      <c r="F1152" s="8">
        <v>5.2</v>
      </c>
      <c r="G1152" s="4">
        <v>1</v>
      </c>
      <c r="H1152" s="4">
        <f t="shared" si="34"/>
        <v>1</v>
      </c>
      <c r="I1152" s="4">
        <f t="shared" si="35"/>
        <v>0</v>
      </c>
      <c r="J1152" s="4">
        <v>0</v>
      </c>
      <c r="K1152" s="4">
        <v>0</v>
      </c>
      <c r="L1152" s="4">
        <v>0</v>
      </c>
      <c r="M1152" s="4">
        <v>0</v>
      </c>
      <c r="N1152" s="4">
        <v>0</v>
      </c>
      <c r="O1152" s="4">
        <v>0</v>
      </c>
    </row>
    <row r="1153" spans="1:15" x14ac:dyDescent="0.15">
      <c r="A1153" s="4">
        <v>1150</v>
      </c>
      <c r="B1153" s="4">
        <v>56</v>
      </c>
      <c r="C1153" s="4">
        <v>32</v>
      </c>
      <c r="D1153" s="4">
        <v>158</v>
      </c>
      <c r="E1153" s="4">
        <v>1</v>
      </c>
      <c r="F1153" s="8">
        <v>7.4</v>
      </c>
      <c r="G1153" s="4">
        <v>1</v>
      </c>
      <c r="H1153" s="4">
        <f t="shared" si="34"/>
        <v>1</v>
      </c>
      <c r="I1153" s="4">
        <f t="shared" si="35"/>
        <v>0</v>
      </c>
      <c r="J1153" s="4">
        <v>0</v>
      </c>
      <c r="K1153" s="4">
        <v>0</v>
      </c>
      <c r="L1153" s="4">
        <v>0</v>
      </c>
      <c r="M1153" s="4">
        <v>0</v>
      </c>
      <c r="N1153" s="4">
        <v>0</v>
      </c>
      <c r="O1153" s="4">
        <v>0</v>
      </c>
    </row>
    <row r="1154" spans="1:15" x14ac:dyDescent="0.15">
      <c r="A1154" s="4">
        <v>1151</v>
      </c>
      <c r="B1154" s="4">
        <v>55</v>
      </c>
      <c r="C1154" s="4">
        <v>31</v>
      </c>
      <c r="D1154" s="4">
        <v>81</v>
      </c>
      <c r="E1154" s="4">
        <v>3</v>
      </c>
      <c r="F1154" s="8">
        <v>2.6666666666666665</v>
      </c>
      <c r="G1154" s="4">
        <v>1</v>
      </c>
      <c r="H1154" s="4">
        <f t="shared" si="34"/>
        <v>1</v>
      </c>
      <c r="I1154" s="4">
        <f t="shared" si="35"/>
        <v>0</v>
      </c>
      <c r="J1154" s="4">
        <v>0</v>
      </c>
      <c r="K1154" s="4">
        <v>0</v>
      </c>
      <c r="L1154" s="4">
        <v>0</v>
      </c>
      <c r="M1154" s="4">
        <v>1</v>
      </c>
      <c r="N1154" s="4">
        <v>0</v>
      </c>
      <c r="O1154" s="4">
        <v>0</v>
      </c>
    </row>
    <row r="1155" spans="1:15" x14ac:dyDescent="0.15">
      <c r="A1155" s="4">
        <v>1152</v>
      </c>
      <c r="B1155" s="4">
        <v>49</v>
      </c>
      <c r="C1155" s="4">
        <v>23</v>
      </c>
      <c r="D1155" s="4">
        <v>12</v>
      </c>
      <c r="E1155" s="4">
        <v>2</v>
      </c>
      <c r="F1155" s="8">
        <v>0.1</v>
      </c>
      <c r="G1155" s="4">
        <v>3</v>
      </c>
      <c r="H1155" s="4">
        <f t="shared" si="34"/>
        <v>0</v>
      </c>
      <c r="I1155" s="4">
        <f t="shared" si="35"/>
        <v>0</v>
      </c>
      <c r="J1155" s="4">
        <v>0</v>
      </c>
      <c r="K1155" s="4">
        <v>1</v>
      </c>
      <c r="L1155" s="4">
        <v>1</v>
      </c>
      <c r="M1155" s="4">
        <v>1</v>
      </c>
      <c r="N1155" s="4">
        <v>0</v>
      </c>
      <c r="O1155" s="4">
        <v>0</v>
      </c>
    </row>
    <row r="1156" spans="1:15" x14ac:dyDescent="0.15">
      <c r="A1156" s="4">
        <v>1153</v>
      </c>
      <c r="B1156" s="4">
        <v>63</v>
      </c>
      <c r="C1156" s="4">
        <v>37</v>
      </c>
      <c r="D1156" s="4">
        <v>21</v>
      </c>
      <c r="E1156" s="4">
        <v>2</v>
      </c>
      <c r="F1156" s="8">
        <v>0.4</v>
      </c>
      <c r="G1156" s="4">
        <v>1</v>
      </c>
      <c r="H1156" s="4">
        <f t="shared" si="34"/>
        <v>1</v>
      </c>
      <c r="I1156" s="4">
        <f t="shared" si="35"/>
        <v>0</v>
      </c>
      <c r="J1156" s="4">
        <v>0</v>
      </c>
      <c r="K1156" s="4">
        <v>0</v>
      </c>
      <c r="L1156" s="4">
        <v>0</v>
      </c>
      <c r="M1156" s="4">
        <v>1</v>
      </c>
      <c r="N1156" s="4">
        <v>0</v>
      </c>
      <c r="O1156" s="4">
        <v>0</v>
      </c>
    </row>
    <row r="1157" spans="1:15" x14ac:dyDescent="0.15">
      <c r="A1157" s="4">
        <v>1154</v>
      </c>
      <c r="B1157" s="4">
        <v>55</v>
      </c>
      <c r="C1157" s="4">
        <v>30</v>
      </c>
      <c r="D1157" s="4">
        <v>55</v>
      </c>
      <c r="E1157" s="4">
        <v>4</v>
      </c>
      <c r="F1157" s="8">
        <v>0.9</v>
      </c>
      <c r="G1157" s="4">
        <v>1</v>
      </c>
      <c r="H1157" s="4">
        <f t="shared" ref="H1157:H1220" si="36">IF(G1157=1,1,0)</f>
        <v>1</v>
      </c>
      <c r="I1157" s="4">
        <f t="shared" ref="I1157:I1220" si="37">IF(G1157=2,1,0)</f>
        <v>0</v>
      </c>
      <c r="J1157" s="4">
        <v>215</v>
      </c>
      <c r="K1157" s="4">
        <v>0</v>
      </c>
      <c r="L1157" s="4">
        <v>0</v>
      </c>
      <c r="M1157" s="4">
        <v>1</v>
      </c>
      <c r="N1157" s="4">
        <v>1</v>
      </c>
      <c r="O1157" s="4">
        <v>0</v>
      </c>
    </row>
    <row r="1158" spans="1:15" x14ac:dyDescent="0.15">
      <c r="A1158" s="4">
        <v>1155</v>
      </c>
      <c r="B1158" s="4">
        <v>59</v>
      </c>
      <c r="C1158" s="4">
        <v>35</v>
      </c>
      <c r="D1158" s="4">
        <v>42</v>
      </c>
      <c r="E1158" s="4">
        <v>1</v>
      </c>
      <c r="F1158" s="8">
        <v>1.8</v>
      </c>
      <c r="G1158" s="4">
        <v>3</v>
      </c>
      <c r="H1158" s="4">
        <f t="shared" si="36"/>
        <v>0</v>
      </c>
      <c r="I1158" s="4">
        <f t="shared" si="37"/>
        <v>0</v>
      </c>
      <c r="J1158" s="4">
        <v>0</v>
      </c>
      <c r="K1158" s="4">
        <v>0</v>
      </c>
      <c r="L1158" s="4">
        <v>0</v>
      </c>
      <c r="M1158" s="4">
        <v>1</v>
      </c>
      <c r="N1158" s="4">
        <v>0</v>
      </c>
      <c r="O1158" s="4">
        <v>0</v>
      </c>
    </row>
    <row r="1159" spans="1:15" x14ac:dyDescent="0.15">
      <c r="A1159" s="4">
        <v>1156</v>
      </c>
      <c r="B1159" s="4">
        <v>41</v>
      </c>
      <c r="C1159" s="4">
        <v>16</v>
      </c>
      <c r="D1159" s="4">
        <v>81</v>
      </c>
      <c r="E1159" s="4">
        <v>2</v>
      </c>
      <c r="F1159" s="8">
        <v>0.4</v>
      </c>
      <c r="G1159" s="4">
        <v>1</v>
      </c>
      <c r="H1159" s="4">
        <f t="shared" si="36"/>
        <v>1</v>
      </c>
      <c r="I1159" s="4">
        <f t="shared" si="37"/>
        <v>0</v>
      </c>
      <c r="J1159" s="4">
        <v>0</v>
      </c>
      <c r="K1159" s="4">
        <v>0</v>
      </c>
      <c r="L1159" s="4">
        <v>0</v>
      </c>
      <c r="M1159" s="4">
        <v>0</v>
      </c>
      <c r="N1159" s="4">
        <v>1</v>
      </c>
      <c r="O1159" s="4">
        <v>0</v>
      </c>
    </row>
    <row r="1160" spans="1:15" x14ac:dyDescent="0.15">
      <c r="A1160" s="4">
        <v>1157</v>
      </c>
      <c r="B1160" s="4">
        <v>49</v>
      </c>
      <c r="C1160" s="4">
        <v>25</v>
      </c>
      <c r="D1160" s="4">
        <v>13</v>
      </c>
      <c r="E1160" s="4">
        <v>4</v>
      </c>
      <c r="F1160" s="8">
        <v>0.2</v>
      </c>
      <c r="G1160" s="4">
        <v>1</v>
      </c>
      <c r="H1160" s="4">
        <f t="shared" si="36"/>
        <v>1</v>
      </c>
      <c r="I1160" s="4">
        <f t="shared" si="37"/>
        <v>0</v>
      </c>
      <c r="J1160" s="4">
        <v>87</v>
      </c>
      <c r="K1160" s="4">
        <v>0</v>
      </c>
      <c r="L1160" s="4">
        <v>0</v>
      </c>
      <c r="M1160" s="4">
        <v>0</v>
      </c>
      <c r="N1160" s="4">
        <v>0</v>
      </c>
      <c r="O1160" s="4">
        <v>0</v>
      </c>
    </row>
    <row r="1161" spans="1:15" x14ac:dyDescent="0.15">
      <c r="A1161" s="4">
        <v>1158</v>
      </c>
      <c r="B1161" s="4">
        <v>48</v>
      </c>
      <c r="C1161" s="4">
        <v>23</v>
      </c>
      <c r="D1161" s="4">
        <v>132</v>
      </c>
      <c r="E1161" s="4">
        <v>1</v>
      </c>
      <c r="F1161" s="8">
        <v>0.6</v>
      </c>
      <c r="G1161" s="4">
        <v>1</v>
      </c>
      <c r="H1161" s="4">
        <f t="shared" si="36"/>
        <v>1</v>
      </c>
      <c r="I1161" s="4">
        <f t="shared" si="37"/>
        <v>0</v>
      </c>
      <c r="J1161" s="4">
        <v>157</v>
      </c>
      <c r="K1161" s="4">
        <v>0</v>
      </c>
      <c r="L1161" s="4">
        <v>0</v>
      </c>
      <c r="M1161" s="4">
        <v>0</v>
      </c>
      <c r="N1161" s="4">
        <v>0</v>
      </c>
      <c r="O1161" s="4">
        <v>0</v>
      </c>
    </row>
    <row r="1162" spans="1:15" x14ac:dyDescent="0.15">
      <c r="A1162" s="4">
        <v>1159</v>
      </c>
      <c r="B1162" s="4">
        <v>41</v>
      </c>
      <c r="C1162" s="4">
        <v>16</v>
      </c>
      <c r="D1162" s="4">
        <v>99</v>
      </c>
      <c r="E1162" s="4">
        <v>1</v>
      </c>
      <c r="F1162" s="8">
        <v>1</v>
      </c>
      <c r="G1162" s="4">
        <v>3</v>
      </c>
      <c r="H1162" s="4">
        <f t="shared" si="36"/>
        <v>0</v>
      </c>
      <c r="I1162" s="4">
        <f t="shared" si="37"/>
        <v>0</v>
      </c>
      <c r="J1162" s="4">
        <v>0</v>
      </c>
      <c r="K1162" s="4">
        <v>0</v>
      </c>
      <c r="L1162" s="4">
        <v>0</v>
      </c>
      <c r="M1162" s="4">
        <v>1</v>
      </c>
      <c r="N1162" s="4">
        <v>0</v>
      </c>
      <c r="O1162" s="4">
        <v>0</v>
      </c>
    </row>
    <row r="1163" spans="1:15" x14ac:dyDescent="0.15">
      <c r="A1163" s="4">
        <v>1160</v>
      </c>
      <c r="B1163" s="4">
        <v>50</v>
      </c>
      <c r="C1163" s="4">
        <v>26</v>
      </c>
      <c r="D1163" s="4">
        <v>23</v>
      </c>
      <c r="E1163" s="4">
        <v>4</v>
      </c>
      <c r="F1163" s="8">
        <v>0.2</v>
      </c>
      <c r="G1163" s="4">
        <v>1</v>
      </c>
      <c r="H1163" s="4">
        <f t="shared" si="36"/>
        <v>1</v>
      </c>
      <c r="I1163" s="4">
        <f t="shared" si="37"/>
        <v>0</v>
      </c>
      <c r="J1163" s="4">
        <v>0</v>
      </c>
      <c r="K1163" s="4">
        <v>0</v>
      </c>
      <c r="L1163" s="4">
        <v>0</v>
      </c>
      <c r="M1163" s="4">
        <v>0</v>
      </c>
      <c r="N1163" s="4">
        <v>1</v>
      </c>
      <c r="O1163" s="4">
        <v>0</v>
      </c>
    </row>
    <row r="1164" spans="1:15" x14ac:dyDescent="0.15">
      <c r="A1164" s="4">
        <v>1161</v>
      </c>
      <c r="B1164" s="4">
        <v>28</v>
      </c>
      <c r="C1164" s="4">
        <v>1</v>
      </c>
      <c r="D1164" s="4">
        <v>40</v>
      </c>
      <c r="E1164" s="4">
        <v>1</v>
      </c>
      <c r="F1164" s="8">
        <v>2</v>
      </c>
      <c r="G1164" s="4">
        <v>2</v>
      </c>
      <c r="H1164" s="4">
        <f t="shared" si="36"/>
        <v>0</v>
      </c>
      <c r="I1164" s="4">
        <f t="shared" si="37"/>
        <v>1</v>
      </c>
      <c r="J1164" s="4">
        <v>0</v>
      </c>
      <c r="K1164" s="4">
        <v>1</v>
      </c>
      <c r="L1164" s="4">
        <v>0</v>
      </c>
      <c r="M1164" s="4">
        <v>1</v>
      </c>
      <c r="N1164" s="4">
        <v>0</v>
      </c>
      <c r="O1164" s="4">
        <v>0</v>
      </c>
    </row>
    <row r="1165" spans="1:15" x14ac:dyDescent="0.15">
      <c r="A1165" s="4">
        <v>1162</v>
      </c>
      <c r="B1165" s="4">
        <v>36</v>
      </c>
      <c r="C1165" s="4">
        <v>11</v>
      </c>
      <c r="D1165" s="4">
        <v>181</v>
      </c>
      <c r="E1165" s="4">
        <v>3</v>
      </c>
      <c r="F1165" s="8">
        <v>1.4</v>
      </c>
      <c r="G1165" s="4">
        <v>1</v>
      </c>
      <c r="H1165" s="4">
        <f t="shared" si="36"/>
        <v>1</v>
      </c>
      <c r="I1165" s="4">
        <f t="shared" si="37"/>
        <v>0</v>
      </c>
      <c r="J1165" s="4">
        <v>0</v>
      </c>
      <c r="K1165" s="4">
        <v>0</v>
      </c>
      <c r="L1165" s="4">
        <v>0</v>
      </c>
      <c r="M1165" s="4">
        <v>0</v>
      </c>
      <c r="N1165" s="4">
        <v>0</v>
      </c>
      <c r="O1165" s="4">
        <v>1</v>
      </c>
    </row>
    <row r="1166" spans="1:15" x14ac:dyDescent="0.15">
      <c r="A1166" s="4">
        <v>1163</v>
      </c>
      <c r="B1166" s="4">
        <v>38</v>
      </c>
      <c r="C1166" s="4">
        <v>14</v>
      </c>
      <c r="D1166" s="4">
        <v>112</v>
      </c>
      <c r="E1166" s="4">
        <v>2</v>
      </c>
      <c r="F1166" s="8">
        <v>2.2000000000000002</v>
      </c>
      <c r="G1166" s="4">
        <v>1</v>
      </c>
      <c r="H1166" s="4">
        <f t="shared" si="36"/>
        <v>1</v>
      </c>
      <c r="I1166" s="4">
        <f t="shared" si="37"/>
        <v>0</v>
      </c>
      <c r="J1166" s="4">
        <v>394</v>
      </c>
      <c r="K1166" s="4">
        <v>0</v>
      </c>
      <c r="L1166" s="4">
        <v>0</v>
      </c>
      <c r="M1166" s="4">
        <v>0</v>
      </c>
      <c r="N1166" s="4">
        <v>0</v>
      </c>
      <c r="O1166" s="4">
        <v>0</v>
      </c>
    </row>
    <row r="1167" spans="1:15" x14ac:dyDescent="0.15">
      <c r="A1167" s="4">
        <v>1164</v>
      </c>
      <c r="B1167" s="4">
        <v>34</v>
      </c>
      <c r="C1167" s="4">
        <v>9</v>
      </c>
      <c r="D1167" s="4">
        <v>138</v>
      </c>
      <c r="E1167" s="4">
        <v>2</v>
      </c>
      <c r="F1167" s="8">
        <v>7.8</v>
      </c>
      <c r="G1167" s="4">
        <v>1</v>
      </c>
      <c r="H1167" s="4">
        <f t="shared" si="36"/>
        <v>1</v>
      </c>
      <c r="I1167" s="4">
        <f t="shared" si="37"/>
        <v>0</v>
      </c>
      <c r="J1167" s="4">
        <v>227</v>
      </c>
      <c r="K1167" s="4">
        <v>0</v>
      </c>
      <c r="L1167" s="4">
        <v>0</v>
      </c>
      <c r="M1167" s="4">
        <v>1</v>
      </c>
      <c r="N1167" s="4">
        <v>0</v>
      </c>
      <c r="O1167" s="4">
        <v>0</v>
      </c>
    </row>
    <row r="1168" spans="1:15" x14ac:dyDescent="0.15">
      <c r="A1168" s="4">
        <v>1165</v>
      </c>
      <c r="B1168" s="4">
        <v>41</v>
      </c>
      <c r="C1168" s="4">
        <v>17</v>
      </c>
      <c r="D1168" s="4">
        <v>94</v>
      </c>
      <c r="E1168" s="4">
        <v>3</v>
      </c>
      <c r="F1168" s="8">
        <v>3.8</v>
      </c>
      <c r="G1168" s="4">
        <v>2</v>
      </c>
      <c r="H1168" s="4">
        <f t="shared" si="36"/>
        <v>0</v>
      </c>
      <c r="I1168" s="4">
        <f t="shared" si="37"/>
        <v>1</v>
      </c>
      <c r="J1168" s="4">
        <v>327</v>
      </c>
      <c r="K1168" s="4">
        <v>1</v>
      </c>
      <c r="L1168" s="4">
        <v>1</v>
      </c>
      <c r="M1168" s="4">
        <v>1</v>
      </c>
      <c r="N1168" s="4">
        <v>0</v>
      </c>
      <c r="O1168" s="4">
        <v>1</v>
      </c>
    </row>
    <row r="1169" spans="1:15" x14ac:dyDescent="0.15">
      <c r="A1169" s="4">
        <v>1166</v>
      </c>
      <c r="B1169" s="4">
        <v>43</v>
      </c>
      <c r="C1169" s="4">
        <v>19</v>
      </c>
      <c r="D1169" s="4">
        <v>113</v>
      </c>
      <c r="E1169" s="4">
        <v>1</v>
      </c>
      <c r="F1169" s="8">
        <v>1.7</v>
      </c>
      <c r="G1169" s="4">
        <v>1</v>
      </c>
      <c r="H1169" s="4">
        <f t="shared" si="36"/>
        <v>1</v>
      </c>
      <c r="I1169" s="4">
        <f t="shared" si="37"/>
        <v>0</v>
      </c>
      <c r="J1169" s="4">
        <v>0</v>
      </c>
      <c r="K1169" s="4">
        <v>0</v>
      </c>
      <c r="L1169" s="4">
        <v>0</v>
      </c>
      <c r="M1169" s="4">
        <v>0</v>
      </c>
      <c r="N1169" s="4">
        <v>0</v>
      </c>
      <c r="O1169" s="4">
        <v>0</v>
      </c>
    </row>
    <row r="1170" spans="1:15" x14ac:dyDescent="0.15">
      <c r="A1170" s="4">
        <v>1167</v>
      </c>
      <c r="B1170" s="4">
        <v>30</v>
      </c>
      <c r="C1170" s="4">
        <v>5</v>
      </c>
      <c r="D1170" s="4">
        <v>112</v>
      </c>
      <c r="E1170" s="4">
        <v>4</v>
      </c>
      <c r="F1170" s="8">
        <v>5</v>
      </c>
      <c r="G1170" s="4">
        <v>2</v>
      </c>
      <c r="H1170" s="4">
        <f t="shared" si="36"/>
        <v>0</v>
      </c>
      <c r="I1170" s="4">
        <f t="shared" si="37"/>
        <v>1</v>
      </c>
      <c r="J1170" s="4">
        <v>0</v>
      </c>
      <c r="K1170" s="4">
        <v>0</v>
      </c>
      <c r="L1170" s="4">
        <v>0</v>
      </c>
      <c r="M1170" s="4">
        <v>0</v>
      </c>
      <c r="N1170" s="4">
        <v>1</v>
      </c>
      <c r="O1170" s="4">
        <v>1</v>
      </c>
    </row>
    <row r="1171" spans="1:15" x14ac:dyDescent="0.15">
      <c r="A1171" s="4">
        <v>1168</v>
      </c>
      <c r="B1171" s="4">
        <v>37</v>
      </c>
      <c r="C1171" s="4">
        <v>12</v>
      </c>
      <c r="D1171" s="4">
        <v>190</v>
      </c>
      <c r="E1171" s="4">
        <v>2</v>
      </c>
      <c r="F1171" s="8">
        <v>3</v>
      </c>
      <c r="G1171" s="4">
        <v>1</v>
      </c>
      <c r="H1171" s="4">
        <f t="shared" si="36"/>
        <v>1</v>
      </c>
      <c r="I1171" s="4">
        <f t="shared" si="37"/>
        <v>0</v>
      </c>
      <c r="J1171" s="4">
        <v>475</v>
      </c>
      <c r="K1171" s="4">
        <v>0</v>
      </c>
      <c r="L1171" s="4">
        <v>0</v>
      </c>
      <c r="M1171" s="4">
        <v>1</v>
      </c>
      <c r="N1171" s="4">
        <v>0</v>
      </c>
      <c r="O1171" s="4">
        <v>0</v>
      </c>
    </row>
    <row r="1172" spans="1:15" x14ac:dyDescent="0.15">
      <c r="A1172" s="4">
        <v>1169</v>
      </c>
      <c r="B1172" s="4">
        <v>62</v>
      </c>
      <c r="C1172" s="4">
        <v>37</v>
      </c>
      <c r="D1172" s="4">
        <v>38</v>
      </c>
      <c r="E1172" s="4">
        <v>1</v>
      </c>
      <c r="F1172" s="8">
        <v>1.1000000000000001</v>
      </c>
      <c r="G1172" s="4">
        <v>3</v>
      </c>
      <c r="H1172" s="4">
        <f t="shared" si="36"/>
        <v>0</v>
      </c>
      <c r="I1172" s="4">
        <f t="shared" si="37"/>
        <v>0</v>
      </c>
      <c r="J1172" s="4">
        <v>0</v>
      </c>
      <c r="K1172" s="4">
        <v>0</v>
      </c>
      <c r="L1172" s="4">
        <v>0</v>
      </c>
      <c r="M1172" s="4">
        <v>1</v>
      </c>
      <c r="N1172" s="4">
        <v>0</v>
      </c>
      <c r="O1172" s="4">
        <v>0</v>
      </c>
    </row>
    <row r="1173" spans="1:15" x14ac:dyDescent="0.15">
      <c r="A1173" s="4">
        <v>1170</v>
      </c>
      <c r="B1173" s="4">
        <v>40</v>
      </c>
      <c r="C1173" s="4">
        <v>16</v>
      </c>
      <c r="D1173" s="4">
        <v>32</v>
      </c>
      <c r="E1173" s="4">
        <v>1</v>
      </c>
      <c r="F1173" s="8">
        <v>1.4</v>
      </c>
      <c r="G1173" s="4">
        <v>3</v>
      </c>
      <c r="H1173" s="4">
        <f t="shared" si="36"/>
        <v>0</v>
      </c>
      <c r="I1173" s="4">
        <f t="shared" si="37"/>
        <v>0</v>
      </c>
      <c r="J1173" s="4">
        <v>158</v>
      </c>
      <c r="K1173" s="4">
        <v>0</v>
      </c>
      <c r="L1173" s="4">
        <v>0</v>
      </c>
      <c r="M1173" s="4">
        <v>1</v>
      </c>
      <c r="N1173" s="4">
        <v>0</v>
      </c>
      <c r="O1173" s="4">
        <v>0</v>
      </c>
    </row>
    <row r="1174" spans="1:15" x14ac:dyDescent="0.15">
      <c r="A1174" s="4">
        <v>1171</v>
      </c>
      <c r="B1174" s="4">
        <v>35</v>
      </c>
      <c r="C1174" s="4">
        <v>10</v>
      </c>
      <c r="D1174" s="4">
        <v>104</v>
      </c>
      <c r="E1174" s="4">
        <v>3</v>
      </c>
      <c r="F1174" s="8">
        <v>0.6</v>
      </c>
      <c r="G1174" s="4">
        <v>2</v>
      </c>
      <c r="H1174" s="4">
        <f t="shared" si="36"/>
        <v>0</v>
      </c>
      <c r="I1174" s="4">
        <f t="shared" si="37"/>
        <v>1</v>
      </c>
      <c r="J1174" s="4">
        <v>0</v>
      </c>
      <c r="K1174" s="4">
        <v>0</v>
      </c>
      <c r="L1174" s="4">
        <v>0</v>
      </c>
      <c r="M1174" s="4">
        <v>0</v>
      </c>
      <c r="N1174" s="4">
        <v>1</v>
      </c>
      <c r="O1174" s="4">
        <v>0</v>
      </c>
    </row>
    <row r="1175" spans="1:15" x14ac:dyDescent="0.15">
      <c r="A1175" s="4">
        <v>1172</v>
      </c>
      <c r="B1175" s="4">
        <v>64</v>
      </c>
      <c r="C1175" s="4">
        <v>40</v>
      </c>
      <c r="D1175" s="4">
        <v>43</v>
      </c>
      <c r="E1175" s="4">
        <v>1</v>
      </c>
      <c r="F1175" s="8">
        <v>1.9</v>
      </c>
      <c r="G1175" s="4">
        <v>2</v>
      </c>
      <c r="H1175" s="4">
        <f t="shared" si="36"/>
        <v>0</v>
      </c>
      <c r="I1175" s="4">
        <f t="shared" si="37"/>
        <v>1</v>
      </c>
      <c r="J1175" s="4">
        <v>0</v>
      </c>
      <c r="K1175" s="4">
        <v>0</v>
      </c>
      <c r="L1175" s="4">
        <v>0</v>
      </c>
      <c r="M1175" s="4">
        <v>1</v>
      </c>
      <c r="N1175" s="4">
        <v>0</v>
      </c>
      <c r="O1175" s="4">
        <v>0</v>
      </c>
    </row>
    <row r="1176" spans="1:15" x14ac:dyDescent="0.15">
      <c r="A1176" s="4">
        <v>1173</v>
      </c>
      <c r="B1176" s="4">
        <v>49</v>
      </c>
      <c r="C1176" s="4">
        <v>24</v>
      </c>
      <c r="D1176" s="4">
        <v>45</v>
      </c>
      <c r="E1176" s="4">
        <v>3</v>
      </c>
      <c r="F1176" s="8">
        <v>1.7</v>
      </c>
      <c r="G1176" s="4">
        <v>2</v>
      </c>
      <c r="H1176" s="4">
        <f t="shared" si="36"/>
        <v>0</v>
      </c>
      <c r="I1176" s="4">
        <f t="shared" si="37"/>
        <v>1</v>
      </c>
      <c r="J1176" s="4">
        <v>0</v>
      </c>
      <c r="K1176" s="4">
        <v>1</v>
      </c>
      <c r="L1176" s="4">
        <v>0</v>
      </c>
      <c r="M1176" s="4">
        <v>1</v>
      </c>
      <c r="N1176" s="4">
        <v>0</v>
      </c>
      <c r="O1176" s="4">
        <v>0</v>
      </c>
    </row>
    <row r="1177" spans="1:15" x14ac:dyDescent="0.15">
      <c r="A1177" s="4">
        <v>1174</v>
      </c>
      <c r="B1177" s="4">
        <v>24</v>
      </c>
      <c r="C1177" s="4">
        <v>0</v>
      </c>
      <c r="D1177" s="4">
        <v>35</v>
      </c>
      <c r="E1177" s="4">
        <v>2</v>
      </c>
      <c r="F1177" s="8">
        <v>1.7</v>
      </c>
      <c r="G1177" s="4">
        <v>2</v>
      </c>
      <c r="H1177" s="4">
        <f t="shared" si="36"/>
        <v>0</v>
      </c>
      <c r="I1177" s="4">
        <f t="shared" si="37"/>
        <v>1</v>
      </c>
      <c r="J1177" s="4">
        <v>0</v>
      </c>
      <c r="K1177" s="4">
        <v>0</v>
      </c>
      <c r="L1177" s="4">
        <v>0</v>
      </c>
      <c r="M1177" s="4">
        <v>0</v>
      </c>
      <c r="N1177" s="4">
        <v>0</v>
      </c>
      <c r="O1177" s="4">
        <v>0</v>
      </c>
    </row>
    <row r="1178" spans="1:15" x14ac:dyDescent="0.15">
      <c r="A1178" s="4">
        <v>1175</v>
      </c>
      <c r="B1178" s="4">
        <v>36</v>
      </c>
      <c r="C1178" s="4">
        <v>10</v>
      </c>
      <c r="D1178" s="4">
        <v>42</v>
      </c>
      <c r="E1178" s="4">
        <v>4</v>
      </c>
      <c r="F1178" s="8">
        <v>1.2</v>
      </c>
      <c r="G1178" s="4">
        <v>2</v>
      </c>
      <c r="H1178" s="4">
        <f t="shared" si="36"/>
        <v>0</v>
      </c>
      <c r="I1178" s="4">
        <f t="shared" si="37"/>
        <v>1</v>
      </c>
      <c r="J1178" s="4">
        <v>0</v>
      </c>
      <c r="K1178" s="4">
        <v>0</v>
      </c>
      <c r="L1178" s="4">
        <v>0</v>
      </c>
      <c r="M1178" s="4">
        <v>1</v>
      </c>
      <c r="N1178" s="4">
        <v>1</v>
      </c>
      <c r="O1178" s="4">
        <v>0</v>
      </c>
    </row>
    <row r="1179" spans="1:15" x14ac:dyDescent="0.15">
      <c r="A1179" s="4">
        <v>1176</v>
      </c>
      <c r="B1179" s="4">
        <v>29</v>
      </c>
      <c r="C1179" s="4">
        <v>4</v>
      </c>
      <c r="D1179" s="4">
        <v>58</v>
      </c>
      <c r="E1179" s="4">
        <v>1</v>
      </c>
      <c r="F1179" s="8">
        <v>0.8</v>
      </c>
      <c r="G1179" s="4">
        <v>2</v>
      </c>
      <c r="H1179" s="4">
        <f t="shared" si="36"/>
        <v>0</v>
      </c>
      <c r="I1179" s="4">
        <f t="shared" si="37"/>
        <v>1</v>
      </c>
      <c r="J1179" s="4">
        <v>0</v>
      </c>
      <c r="K1179" s="4">
        <v>0</v>
      </c>
      <c r="L1179" s="4">
        <v>0</v>
      </c>
      <c r="M1179" s="4">
        <v>1</v>
      </c>
      <c r="N1179" s="4">
        <v>1</v>
      </c>
      <c r="O1179" s="4">
        <v>0</v>
      </c>
    </row>
    <row r="1180" spans="1:15" x14ac:dyDescent="0.15">
      <c r="A1180" s="4">
        <v>1177</v>
      </c>
      <c r="B1180" s="4">
        <v>29</v>
      </c>
      <c r="C1180" s="4">
        <v>3</v>
      </c>
      <c r="D1180" s="4">
        <v>103</v>
      </c>
      <c r="E1180" s="4">
        <v>4</v>
      </c>
      <c r="F1180" s="8">
        <v>3.4</v>
      </c>
      <c r="G1180" s="4">
        <v>1</v>
      </c>
      <c r="H1180" s="4">
        <f t="shared" si="36"/>
        <v>1</v>
      </c>
      <c r="I1180" s="4">
        <f t="shared" si="37"/>
        <v>0</v>
      </c>
      <c r="J1180" s="4">
        <v>0</v>
      </c>
      <c r="K1180" s="4">
        <v>0</v>
      </c>
      <c r="L1180" s="4">
        <v>0</v>
      </c>
      <c r="M1180" s="4">
        <v>1</v>
      </c>
      <c r="N1180" s="4">
        <v>0</v>
      </c>
      <c r="O1180" s="4">
        <v>1</v>
      </c>
    </row>
    <row r="1181" spans="1:15" x14ac:dyDescent="0.15">
      <c r="A1181" s="4">
        <v>1178</v>
      </c>
      <c r="B1181" s="4">
        <v>28</v>
      </c>
      <c r="C1181" s="4">
        <v>3</v>
      </c>
      <c r="D1181" s="4">
        <v>71</v>
      </c>
      <c r="E1181" s="4">
        <v>1</v>
      </c>
      <c r="F1181" s="8">
        <v>3.3</v>
      </c>
      <c r="G1181" s="4">
        <v>2</v>
      </c>
      <c r="H1181" s="4">
        <f t="shared" si="36"/>
        <v>0</v>
      </c>
      <c r="I1181" s="4">
        <f t="shared" si="37"/>
        <v>1</v>
      </c>
      <c r="J1181" s="4">
        <v>149</v>
      </c>
      <c r="K1181" s="4">
        <v>1</v>
      </c>
      <c r="L1181" s="4">
        <v>1</v>
      </c>
      <c r="M1181" s="4">
        <v>1</v>
      </c>
      <c r="N1181" s="4">
        <v>0</v>
      </c>
      <c r="O1181" s="4">
        <v>1</v>
      </c>
    </row>
    <row r="1182" spans="1:15" x14ac:dyDescent="0.15">
      <c r="A1182" s="4">
        <v>1179</v>
      </c>
      <c r="B1182" s="4">
        <v>33</v>
      </c>
      <c r="C1182" s="4">
        <v>7</v>
      </c>
      <c r="D1182" s="4">
        <v>14</v>
      </c>
      <c r="E1182" s="4">
        <v>1</v>
      </c>
      <c r="F1182" s="8">
        <v>0.4</v>
      </c>
      <c r="G1182" s="4">
        <v>2</v>
      </c>
      <c r="H1182" s="4">
        <f t="shared" si="36"/>
        <v>0</v>
      </c>
      <c r="I1182" s="4">
        <f t="shared" si="37"/>
        <v>1</v>
      </c>
      <c r="J1182" s="4">
        <v>98</v>
      </c>
      <c r="K1182" s="4">
        <v>0</v>
      </c>
      <c r="L1182" s="4">
        <v>0</v>
      </c>
      <c r="M1182" s="4">
        <v>1</v>
      </c>
      <c r="N1182" s="4">
        <v>0</v>
      </c>
      <c r="O1182" s="4">
        <v>0</v>
      </c>
    </row>
    <row r="1183" spans="1:15" x14ac:dyDescent="0.15">
      <c r="A1183" s="4">
        <v>1180</v>
      </c>
      <c r="B1183" s="4">
        <v>36</v>
      </c>
      <c r="C1183" s="4">
        <v>11</v>
      </c>
      <c r="D1183" s="4">
        <v>98</v>
      </c>
      <c r="E1183" s="4">
        <v>3</v>
      </c>
      <c r="F1183" s="8">
        <v>1.2</v>
      </c>
      <c r="G1183" s="4">
        <v>3</v>
      </c>
      <c r="H1183" s="4">
        <f t="shared" si="36"/>
        <v>0</v>
      </c>
      <c r="I1183" s="4">
        <f t="shared" si="37"/>
        <v>0</v>
      </c>
      <c r="J1183" s="4">
        <v>0</v>
      </c>
      <c r="K1183" s="4">
        <v>1</v>
      </c>
      <c r="L1183" s="4">
        <v>0</v>
      </c>
      <c r="M1183" s="4">
        <v>0</v>
      </c>
      <c r="N1183" s="4">
        <v>1</v>
      </c>
      <c r="O1183" s="4">
        <v>0</v>
      </c>
    </row>
    <row r="1184" spans="1:15" x14ac:dyDescent="0.15">
      <c r="A1184" s="4">
        <v>1181</v>
      </c>
      <c r="B1184" s="4">
        <v>42</v>
      </c>
      <c r="C1184" s="4">
        <v>17</v>
      </c>
      <c r="D1184" s="4">
        <v>90</v>
      </c>
      <c r="E1184" s="4">
        <v>1</v>
      </c>
      <c r="F1184" s="8">
        <v>0.1</v>
      </c>
      <c r="G1184" s="4">
        <v>2</v>
      </c>
      <c r="H1184" s="4">
        <f t="shared" si="36"/>
        <v>0</v>
      </c>
      <c r="I1184" s="4">
        <f t="shared" si="37"/>
        <v>1</v>
      </c>
      <c r="J1184" s="4">
        <v>0</v>
      </c>
      <c r="K1184" s="4">
        <v>0</v>
      </c>
      <c r="L1184" s="4">
        <v>0</v>
      </c>
      <c r="M1184" s="4">
        <v>0</v>
      </c>
      <c r="N1184" s="4">
        <v>1</v>
      </c>
      <c r="O1184" s="4">
        <v>0</v>
      </c>
    </row>
    <row r="1185" spans="1:15" x14ac:dyDescent="0.15">
      <c r="A1185" s="4">
        <v>1182</v>
      </c>
      <c r="B1185" s="4">
        <v>25</v>
      </c>
      <c r="C1185" s="4">
        <v>0</v>
      </c>
      <c r="D1185" s="4">
        <v>65</v>
      </c>
      <c r="E1185" s="4">
        <v>4</v>
      </c>
      <c r="F1185" s="8">
        <v>0.2</v>
      </c>
      <c r="G1185" s="4">
        <v>1</v>
      </c>
      <c r="H1185" s="4">
        <f t="shared" si="36"/>
        <v>1</v>
      </c>
      <c r="I1185" s="4">
        <f t="shared" si="37"/>
        <v>0</v>
      </c>
      <c r="J1185" s="4">
        <v>0</v>
      </c>
      <c r="K1185" s="4">
        <v>1</v>
      </c>
      <c r="L1185" s="4">
        <v>0</v>
      </c>
      <c r="M1185" s="4">
        <v>0</v>
      </c>
      <c r="N1185" s="4">
        <v>0</v>
      </c>
      <c r="O1185" s="4">
        <v>0</v>
      </c>
    </row>
    <row r="1186" spans="1:15" x14ac:dyDescent="0.15">
      <c r="A1186" s="4">
        <v>1183</v>
      </c>
      <c r="B1186" s="4">
        <v>28</v>
      </c>
      <c r="C1186" s="4">
        <v>2</v>
      </c>
      <c r="D1186" s="4">
        <v>19</v>
      </c>
      <c r="E1186" s="4">
        <v>4</v>
      </c>
      <c r="F1186" s="8">
        <v>0.4</v>
      </c>
      <c r="G1186" s="4">
        <v>1</v>
      </c>
      <c r="H1186" s="4">
        <f t="shared" si="36"/>
        <v>1</v>
      </c>
      <c r="I1186" s="4">
        <f t="shared" si="37"/>
        <v>0</v>
      </c>
      <c r="J1186" s="4">
        <v>0</v>
      </c>
      <c r="K1186" s="4">
        <v>0</v>
      </c>
      <c r="L1186" s="4">
        <v>0</v>
      </c>
      <c r="M1186" s="4">
        <v>1</v>
      </c>
      <c r="N1186" s="4">
        <v>1</v>
      </c>
      <c r="O1186" s="4">
        <v>0</v>
      </c>
    </row>
    <row r="1187" spans="1:15" x14ac:dyDescent="0.15">
      <c r="A1187" s="4">
        <v>1184</v>
      </c>
      <c r="B1187" s="4">
        <v>50</v>
      </c>
      <c r="C1187" s="4">
        <v>25</v>
      </c>
      <c r="D1187" s="4">
        <v>35</v>
      </c>
      <c r="E1187" s="4">
        <v>3</v>
      </c>
      <c r="F1187" s="8">
        <v>1.7</v>
      </c>
      <c r="G1187" s="4">
        <v>2</v>
      </c>
      <c r="H1187" s="4">
        <f t="shared" si="36"/>
        <v>0</v>
      </c>
      <c r="I1187" s="4">
        <f t="shared" si="37"/>
        <v>1</v>
      </c>
      <c r="J1187" s="4">
        <v>0</v>
      </c>
      <c r="K1187" s="4">
        <v>0</v>
      </c>
      <c r="L1187" s="4">
        <v>0</v>
      </c>
      <c r="M1187" s="4">
        <v>1</v>
      </c>
      <c r="N1187" s="4">
        <v>1</v>
      </c>
      <c r="O1187" s="4">
        <v>0</v>
      </c>
    </row>
    <row r="1188" spans="1:15" x14ac:dyDescent="0.15">
      <c r="A1188" s="4">
        <v>1185</v>
      </c>
      <c r="B1188" s="4">
        <v>34</v>
      </c>
      <c r="C1188" s="4">
        <v>9</v>
      </c>
      <c r="D1188" s="4">
        <v>71</v>
      </c>
      <c r="E1188" s="4">
        <v>4</v>
      </c>
      <c r="F1188" s="8">
        <v>1.3</v>
      </c>
      <c r="G1188" s="4">
        <v>1</v>
      </c>
      <c r="H1188" s="4">
        <f t="shared" si="36"/>
        <v>1</v>
      </c>
      <c r="I1188" s="4">
        <f t="shared" si="37"/>
        <v>0</v>
      </c>
      <c r="J1188" s="4">
        <v>0</v>
      </c>
      <c r="K1188" s="4">
        <v>0</v>
      </c>
      <c r="L1188" s="4">
        <v>0</v>
      </c>
      <c r="M1188" s="4">
        <v>1</v>
      </c>
      <c r="N1188" s="4">
        <v>0</v>
      </c>
      <c r="O1188" s="4">
        <v>0</v>
      </c>
    </row>
    <row r="1189" spans="1:15" x14ac:dyDescent="0.15">
      <c r="A1189" s="4">
        <v>1186</v>
      </c>
      <c r="B1189" s="4">
        <v>43</v>
      </c>
      <c r="C1189" s="4">
        <v>19</v>
      </c>
      <c r="D1189" s="4">
        <v>31</v>
      </c>
      <c r="E1189" s="4">
        <v>3</v>
      </c>
      <c r="F1189" s="8">
        <v>0.5</v>
      </c>
      <c r="G1189" s="4">
        <v>1</v>
      </c>
      <c r="H1189" s="4">
        <f t="shared" si="36"/>
        <v>1</v>
      </c>
      <c r="I1189" s="4">
        <f t="shared" si="37"/>
        <v>0</v>
      </c>
      <c r="J1189" s="4">
        <v>0</v>
      </c>
      <c r="K1189" s="4">
        <v>0</v>
      </c>
      <c r="L1189" s="4">
        <v>0</v>
      </c>
      <c r="M1189" s="4">
        <v>0</v>
      </c>
      <c r="N1189" s="4">
        <v>0</v>
      </c>
      <c r="O1189" s="4">
        <v>0</v>
      </c>
    </row>
    <row r="1190" spans="1:15" x14ac:dyDescent="0.15">
      <c r="A1190" s="4">
        <v>1187</v>
      </c>
      <c r="B1190" s="4">
        <v>62</v>
      </c>
      <c r="C1190" s="4">
        <v>38</v>
      </c>
      <c r="D1190" s="4">
        <v>43</v>
      </c>
      <c r="E1190" s="4">
        <v>4</v>
      </c>
      <c r="F1190" s="8">
        <v>1.2</v>
      </c>
      <c r="G1190" s="4">
        <v>2</v>
      </c>
      <c r="H1190" s="4">
        <f t="shared" si="36"/>
        <v>0</v>
      </c>
      <c r="I1190" s="4">
        <f t="shared" si="37"/>
        <v>1</v>
      </c>
      <c r="J1190" s="4">
        <v>0</v>
      </c>
      <c r="K1190" s="4">
        <v>0</v>
      </c>
      <c r="L1190" s="4">
        <v>0</v>
      </c>
      <c r="M1190" s="4">
        <v>1</v>
      </c>
      <c r="N1190" s="4">
        <v>0</v>
      </c>
      <c r="O1190" s="4">
        <v>0</v>
      </c>
    </row>
    <row r="1191" spans="1:15" x14ac:dyDescent="0.15">
      <c r="A1191" s="4">
        <v>1188</v>
      </c>
      <c r="B1191" s="4">
        <v>61</v>
      </c>
      <c r="C1191" s="4">
        <v>36</v>
      </c>
      <c r="D1191" s="4">
        <v>24</v>
      </c>
      <c r="E1191" s="4">
        <v>1</v>
      </c>
      <c r="F1191" s="8">
        <v>1.5</v>
      </c>
      <c r="G1191" s="4">
        <v>2</v>
      </c>
      <c r="H1191" s="4">
        <f t="shared" si="36"/>
        <v>0</v>
      </c>
      <c r="I1191" s="4">
        <f t="shared" si="37"/>
        <v>1</v>
      </c>
      <c r="J1191" s="4">
        <v>87</v>
      </c>
      <c r="K1191" s="4">
        <v>1</v>
      </c>
      <c r="L1191" s="4">
        <v>0</v>
      </c>
      <c r="M1191" s="4">
        <v>0</v>
      </c>
      <c r="N1191" s="4">
        <v>0</v>
      </c>
      <c r="O1191" s="4">
        <v>0</v>
      </c>
    </row>
    <row r="1192" spans="1:15" x14ac:dyDescent="0.15">
      <c r="A1192" s="4">
        <v>1189</v>
      </c>
      <c r="B1192" s="4">
        <v>45</v>
      </c>
      <c r="C1192" s="4">
        <v>19</v>
      </c>
      <c r="D1192" s="4">
        <v>58</v>
      </c>
      <c r="E1192" s="4">
        <v>2</v>
      </c>
      <c r="F1192" s="8">
        <v>0.4</v>
      </c>
      <c r="G1192" s="4">
        <v>3</v>
      </c>
      <c r="H1192" s="4">
        <f t="shared" si="36"/>
        <v>0</v>
      </c>
      <c r="I1192" s="4">
        <f t="shared" si="37"/>
        <v>0</v>
      </c>
      <c r="J1192" s="4">
        <v>0</v>
      </c>
      <c r="K1192" s="4">
        <v>1</v>
      </c>
      <c r="L1192" s="4">
        <v>0</v>
      </c>
      <c r="M1192" s="4">
        <v>0</v>
      </c>
      <c r="N1192" s="4">
        <v>1</v>
      </c>
      <c r="O1192" s="4">
        <v>0</v>
      </c>
    </row>
    <row r="1193" spans="1:15" x14ac:dyDescent="0.15">
      <c r="A1193" s="4">
        <v>1190</v>
      </c>
      <c r="B1193" s="4">
        <v>42</v>
      </c>
      <c r="C1193" s="4">
        <v>17</v>
      </c>
      <c r="D1193" s="4">
        <v>115</v>
      </c>
      <c r="E1193" s="4">
        <v>2</v>
      </c>
      <c r="F1193" s="8">
        <v>0.4</v>
      </c>
      <c r="G1193" s="4">
        <v>1</v>
      </c>
      <c r="H1193" s="4">
        <f t="shared" si="36"/>
        <v>1</v>
      </c>
      <c r="I1193" s="4">
        <f t="shared" si="37"/>
        <v>0</v>
      </c>
      <c r="J1193" s="4">
        <v>0</v>
      </c>
      <c r="K1193" s="4">
        <v>0</v>
      </c>
      <c r="L1193" s="4">
        <v>0</v>
      </c>
      <c r="M1193" s="4">
        <v>1</v>
      </c>
      <c r="N1193" s="4">
        <v>0</v>
      </c>
      <c r="O1193" s="4">
        <v>0</v>
      </c>
    </row>
    <row r="1194" spans="1:15" x14ac:dyDescent="0.15">
      <c r="A1194" s="4">
        <v>1191</v>
      </c>
      <c r="B1194" s="4">
        <v>39</v>
      </c>
      <c r="C1194" s="4">
        <v>15</v>
      </c>
      <c r="D1194" s="4">
        <v>168</v>
      </c>
      <c r="E1194" s="4">
        <v>2</v>
      </c>
      <c r="F1194" s="8">
        <v>8</v>
      </c>
      <c r="G1194" s="4">
        <v>1</v>
      </c>
      <c r="H1194" s="4">
        <f t="shared" si="36"/>
        <v>1</v>
      </c>
      <c r="I1194" s="4">
        <f t="shared" si="37"/>
        <v>0</v>
      </c>
      <c r="J1194" s="4">
        <v>152</v>
      </c>
      <c r="K1194" s="4">
        <v>1</v>
      </c>
      <c r="L1194" s="4">
        <v>0</v>
      </c>
      <c r="M1194" s="4">
        <v>0</v>
      </c>
      <c r="N1194" s="4">
        <v>0</v>
      </c>
      <c r="O1194" s="4">
        <v>0</v>
      </c>
    </row>
    <row r="1195" spans="1:15" x14ac:dyDescent="0.15">
      <c r="A1195" s="4">
        <v>1192</v>
      </c>
      <c r="B1195" s="4">
        <v>29</v>
      </c>
      <c r="C1195" s="4">
        <v>5</v>
      </c>
      <c r="D1195" s="4">
        <v>128</v>
      </c>
      <c r="E1195" s="4">
        <v>1</v>
      </c>
      <c r="F1195" s="8">
        <v>1.5</v>
      </c>
      <c r="G1195" s="4">
        <v>1</v>
      </c>
      <c r="H1195" s="4">
        <f t="shared" si="36"/>
        <v>1</v>
      </c>
      <c r="I1195" s="4">
        <f t="shared" si="37"/>
        <v>0</v>
      </c>
      <c r="J1195" s="4">
        <v>0</v>
      </c>
      <c r="K1195" s="4">
        <v>0</v>
      </c>
      <c r="L1195" s="4">
        <v>0</v>
      </c>
      <c r="M1195" s="4">
        <v>1</v>
      </c>
      <c r="N1195" s="4">
        <v>1</v>
      </c>
      <c r="O1195" s="4">
        <v>0</v>
      </c>
    </row>
    <row r="1196" spans="1:15" x14ac:dyDescent="0.15">
      <c r="A1196" s="4">
        <v>1193</v>
      </c>
      <c r="B1196" s="4">
        <v>45</v>
      </c>
      <c r="C1196" s="4">
        <v>20</v>
      </c>
      <c r="D1196" s="4">
        <v>138</v>
      </c>
      <c r="E1196" s="4">
        <v>1</v>
      </c>
      <c r="F1196" s="8">
        <v>7</v>
      </c>
      <c r="G1196" s="4">
        <v>1</v>
      </c>
      <c r="H1196" s="4">
        <f t="shared" si="36"/>
        <v>1</v>
      </c>
      <c r="I1196" s="4">
        <f t="shared" si="37"/>
        <v>0</v>
      </c>
      <c r="J1196" s="4">
        <v>0</v>
      </c>
      <c r="K1196" s="4">
        <v>0</v>
      </c>
      <c r="L1196" s="4">
        <v>0</v>
      </c>
      <c r="M1196" s="4">
        <v>0</v>
      </c>
      <c r="N1196" s="4">
        <v>1</v>
      </c>
      <c r="O1196" s="4">
        <v>0</v>
      </c>
    </row>
    <row r="1197" spans="1:15" x14ac:dyDescent="0.15">
      <c r="A1197" s="4">
        <v>1194</v>
      </c>
      <c r="B1197" s="4">
        <v>58</v>
      </c>
      <c r="C1197" s="4">
        <v>32</v>
      </c>
      <c r="D1197" s="4">
        <v>81</v>
      </c>
      <c r="E1197" s="4">
        <v>3</v>
      </c>
      <c r="F1197" s="8">
        <v>1.7</v>
      </c>
      <c r="G1197" s="4">
        <v>2</v>
      </c>
      <c r="H1197" s="4">
        <f t="shared" si="36"/>
        <v>0</v>
      </c>
      <c r="I1197" s="4">
        <f t="shared" si="37"/>
        <v>1</v>
      </c>
      <c r="J1197" s="4">
        <v>0</v>
      </c>
      <c r="K1197" s="4">
        <v>0</v>
      </c>
      <c r="L1197" s="4">
        <v>0</v>
      </c>
      <c r="M1197" s="4">
        <v>1</v>
      </c>
      <c r="N1197" s="4">
        <v>1</v>
      </c>
      <c r="O1197" s="4">
        <v>0</v>
      </c>
    </row>
    <row r="1198" spans="1:15" x14ac:dyDescent="0.15">
      <c r="A1198" s="4">
        <v>1195</v>
      </c>
      <c r="B1198" s="4">
        <v>29</v>
      </c>
      <c r="C1198" s="4">
        <v>3</v>
      </c>
      <c r="D1198" s="4">
        <v>41</v>
      </c>
      <c r="E1198" s="4">
        <v>4</v>
      </c>
      <c r="F1198" s="8">
        <v>1.3</v>
      </c>
      <c r="G1198" s="4">
        <v>3</v>
      </c>
      <c r="H1198" s="4">
        <f t="shared" si="36"/>
        <v>0</v>
      </c>
      <c r="I1198" s="4">
        <f t="shared" si="37"/>
        <v>0</v>
      </c>
      <c r="J1198" s="4">
        <v>0</v>
      </c>
      <c r="K1198" s="4">
        <v>0</v>
      </c>
      <c r="L1198" s="4">
        <v>0</v>
      </c>
      <c r="M1198" s="4">
        <v>1</v>
      </c>
      <c r="N1198" s="4">
        <v>0</v>
      </c>
      <c r="O1198" s="4">
        <v>0</v>
      </c>
    </row>
    <row r="1199" spans="1:15" x14ac:dyDescent="0.15">
      <c r="A1199" s="4">
        <v>1196</v>
      </c>
      <c r="B1199" s="4">
        <v>32</v>
      </c>
      <c r="C1199" s="4">
        <v>7</v>
      </c>
      <c r="D1199" s="4">
        <v>123</v>
      </c>
      <c r="E1199" s="4">
        <v>2</v>
      </c>
      <c r="F1199" s="8">
        <v>2.9</v>
      </c>
      <c r="G1199" s="4">
        <v>2</v>
      </c>
      <c r="H1199" s="4">
        <f t="shared" si="36"/>
        <v>0</v>
      </c>
      <c r="I1199" s="4">
        <f t="shared" si="37"/>
        <v>1</v>
      </c>
      <c r="J1199" s="4">
        <v>0</v>
      </c>
      <c r="K1199" s="4">
        <v>0</v>
      </c>
      <c r="L1199" s="4">
        <v>0</v>
      </c>
      <c r="M1199" s="4">
        <v>1</v>
      </c>
      <c r="N1199" s="4">
        <v>0</v>
      </c>
      <c r="O1199" s="4">
        <v>1</v>
      </c>
    </row>
    <row r="1200" spans="1:15" x14ac:dyDescent="0.15">
      <c r="A1200" s="4">
        <v>1197</v>
      </c>
      <c r="B1200" s="4">
        <v>37</v>
      </c>
      <c r="C1200" s="4">
        <v>13</v>
      </c>
      <c r="D1200" s="4">
        <v>71</v>
      </c>
      <c r="E1200" s="4">
        <v>2</v>
      </c>
      <c r="F1200" s="8">
        <v>2.7</v>
      </c>
      <c r="G1200" s="4">
        <v>1</v>
      </c>
      <c r="H1200" s="4">
        <f t="shared" si="36"/>
        <v>1</v>
      </c>
      <c r="I1200" s="4">
        <f t="shared" si="37"/>
        <v>0</v>
      </c>
      <c r="J1200" s="4">
        <v>94</v>
      </c>
      <c r="K1200" s="4">
        <v>0</v>
      </c>
      <c r="L1200" s="4">
        <v>0</v>
      </c>
      <c r="M1200" s="4">
        <v>1</v>
      </c>
      <c r="N1200" s="4">
        <v>0</v>
      </c>
      <c r="O1200" s="4">
        <v>0</v>
      </c>
    </row>
    <row r="1201" spans="1:15" x14ac:dyDescent="0.15">
      <c r="A1201" s="4">
        <v>1198</v>
      </c>
      <c r="B1201" s="4">
        <v>48</v>
      </c>
      <c r="C1201" s="4">
        <v>23</v>
      </c>
      <c r="D1201" s="4">
        <v>8</v>
      </c>
      <c r="E1201" s="4">
        <v>1</v>
      </c>
      <c r="F1201" s="8">
        <v>0.4</v>
      </c>
      <c r="G1201" s="4">
        <v>3</v>
      </c>
      <c r="H1201" s="4">
        <f t="shared" si="36"/>
        <v>0</v>
      </c>
      <c r="I1201" s="4">
        <f t="shared" si="37"/>
        <v>0</v>
      </c>
      <c r="J1201" s="4">
        <v>0</v>
      </c>
      <c r="K1201" s="4">
        <v>0</v>
      </c>
      <c r="L1201" s="4">
        <v>0</v>
      </c>
      <c r="M1201" s="4">
        <v>0</v>
      </c>
      <c r="N1201" s="4">
        <v>1</v>
      </c>
      <c r="O1201" s="4">
        <v>0</v>
      </c>
    </row>
    <row r="1202" spans="1:15" x14ac:dyDescent="0.15">
      <c r="A1202" s="4">
        <v>1199</v>
      </c>
      <c r="B1202" s="4">
        <v>40</v>
      </c>
      <c r="C1202" s="4">
        <v>14</v>
      </c>
      <c r="D1202" s="4">
        <v>42</v>
      </c>
      <c r="E1202" s="4">
        <v>2</v>
      </c>
      <c r="F1202" s="8">
        <v>0.7</v>
      </c>
      <c r="G1202" s="4">
        <v>1</v>
      </c>
      <c r="H1202" s="4">
        <f t="shared" si="36"/>
        <v>1</v>
      </c>
      <c r="I1202" s="4">
        <f t="shared" si="37"/>
        <v>0</v>
      </c>
      <c r="J1202" s="4">
        <v>101</v>
      </c>
      <c r="K1202" s="4">
        <v>0</v>
      </c>
      <c r="L1202" s="4">
        <v>0</v>
      </c>
      <c r="M1202" s="4">
        <v>1</v>
      </c>
      <c r="N1202" s="4">
        <v>0</v>
      </c>
      <c r="O1202" s="4">
        <v>0</v>
      </c>
    </row>
    <row r="1203" spans="1:15" x14ac:dyDescent="0.15">
      <c r="A1203" s="4">
        <v>1200</v>
      </c>
      <c r="B1203" s="4">
        <v>29</v>
      </c>
      <c r="C1203" s="4">
        <v>4</v>
      </c>
      <c r="D1203" s="4">
        <v>62</v>
      </c>
      <c r="E1203" s="4">
        <v>2</v>
      </c>
      <c r="F1203" s="8">
        <v>2.5</v>
      </c>
      <c r="G1203" s="4">
        <v>1</v>
      </c>
      <c r="H1203" s="4">
        <f t="shared" si="36"/>
        <v>1</v>
      </c>
      <c r="I1203" s="4">
        <f t="shared" si="37"/>
        <v>0</v>
      </c>
      <c r="J1203" s="4">
        <v>184</v>
      </c>
      <c r="K1203" s="4">
        <v>0</v>
      </c>
      <c r="L1203" s="4">
        <v>0</v>
      </c>
      <c r="M1203" s="4">
        <v>1</v>
      </c>
      <c r="N1203" s="4">
        <v>0</v>
      </c>
      <c r="O1203" s="4">
        <v>0</v>
      </c>
    </row>
    <row r="1204" spans="1:15" x14ac:dyDescent="0.15">
      <c r="A1204" s="4">
        <v>1201</v>
      </c>
      <c r="B1204" s="4">
        <v>36</v>
      </c>
      <c r="C1204" s="4">
        <v>12</v>
      </c>
      <c r="D1204" s="4">
        <v>22</v>
      </c>
      <c r="E1204" s="4">
        <v>4</v>
      </c>
      <c r="F1204" s="8">
        <v>1</v>
      </c>
      <c r="G1204" s="4">
        <v>1</v>
      </c>
      <c r="H1204" s="4">
        <f t="shared" si="36"/>
        <v>1</v>
      </c>
      <c r="I1204" s="4">
        <f t="shared" si="37"/>
        <v>0</v>
      </c>
      <c r="J1204" s="4">
        <v>91</v>
      </c>
      <c r="K1204" s="4">
        <v>1</v>
      </c>
      <c r="L1204" s="4">
        <v>0</v>
      </c>
      <c r="M1204" s="4">
        <v>1</v>
      </c>
      <c r="N1204" s="4">
        <v>0</v>
      </c>
      <c r="O1204" s="4">
        <v>0</v>
      </c>
    </row>
    <row r="1205" spans="1:15" x14ac:dyDescent="0.15">
      <c r="A1205" s="4">
        <v>1202</v>
      </c>
      <c r="B1205" s="4">
        <v>35</v>
      </c>
      <c r="C1205" s="4">
        <v>8</v>
      </c>
      <c r="D1205" s="4">
        <v>38</v>
      </c>
      <c r="E1205" s="4">
        <v>4</v>
      </c>
      <c r="F1205" s="8">
        <v>1</v>
      </c>
      <c r="G1205" s="4">
        <v>2</v>
      </c>
      <c r="H1205" s="4">
        <f t="shared" si="36"/>
        <v>0</v>
      </c>
      <c r="I1205" s="4">
        <f t="shared" si="37"/>
        <v>1</v>
      </c>
      <c r="J1205" s="4">
        <v>0</v>
      </c>
      <c r="K1205" s="4">
        <v>0</v>
      </c>
      <c r="L1205" s="4">
        <v>0</v>
      </c>
      <c r="M1205" s="4">
        <v>1</v>
      </c>
      <c r="N1205" s="4">
        <v>0</v>
      </c>
      <c r="O1205" s="4">
        <v>0</v>
      </c>
    </row>
    <row r="1206" spans="1:15" x14ac:dyDescent="0.15">
      <c r="A1206" s="4">
        <v>1203</v>
      </c>
      <c r="B1206" s="4">
        <v>35</v>
      </c>
      <c r="C1206" s="4">
        <v>11</v>
      </c>
      <c r="D1206" s="4">
        <v>24</v>
      </c>
      <c r="E1206" s="4">
        <v>4</v>
      </c>
      <c r="F1206" s="8">
        <v>0.4</v>
      </c>
      <c r="G1206" s="4">
        <v>2</v>
      </c>
      <c r="H1206" s="4">
        <f t="shared" si="36"/>
        <v>0</v>
      </c>
      <c r="I1206" s="4">
        <f t="shared" si="37"/>
        <v>1</v>
      </c>
      <c r="J1206" s="4">
        <v>0</v>
      </c>
      <c r="K1206" s="4">
        <v>0</v>
      </c>
      <c r="L1206" s="4">
        <v>0</v>
      </c>
      <c r="M1206" s="4">
        <v>0</v>
      </c>
      <c r="N1206" s="4">
        <v>0</v>
      </c>
      <c r="O1206" s="4">
        <v>0</v>
      </c>
    </row>
    <row r="1207" spans="1:15" x14ac:dyDescent="0.15">
      <c r="A1207" s="4">
        <v>1204</v>
      </c>
      <c r="B1207" s="4">
        <v>62</v>
      </c>
      <c r="C1207" s="4">
        <v>37</v>
      </c>
      <c r="D1207" s="4">
        <v>50</v>
      </c>
      <c r="E1207" s="4">
        <v>3</v>
      </c>
      <c r="F1207" s="8">
        <v>2.4</v>
      </c>
      <c r="G1207" s="4">
        <v>1</v>
      </c>
      <c r="H1207" s="4">
        <f t="shared" si="36"/>
        <v>1</v>
      </c>
      <c r="I1207" s="4">
        <f t="shared" si="37"/>
        <v>0</v>
      </c>
      <c r="J1207" s="4">
        <v>0</v>
      </c>
      <c r="K1207" s="4">
        <v>0</v>
      </c>
      <c r="L1207" s="4">
        <v>0</v>
      </c>
      <c r="M1207" s="4">
        <v>1</v>
      </c>
      <c r="N1207" s="4">
        <v>0</v>
      </c>
      <c r="O1207" s="4">
        <v>0</v>
      </c>
    </row>
    <row r="1208" spans="1:15" x14ac:dyDescent="0.15">
      <c r="A1208" s="4">
        <v>1205</v>
      </c>
      <c r="B1208" s="4">
        <v>26</v>
      </c>
      <c r="C1208" s="4">
        <v>1</v>
      </c>
      <c r="D1208" s="4">
        <v>190</v>
      </c>
      <c r="E1208" s="4">
        <v>4</v>
      </c>
      <c r="F1208" s="8">
        <v>1.3</v>
      </c>
      <c r="G1208" s="4">
        <v>2</v>
      </c>
      <c r="H1208" s="4">
        <f t="shared" si="36"/>
        <v>0</v>
      </c>
      <c r="I1208" s="4">
        <f t="shared" si="37"/>
        <v>1</v>
      </c>
      <c r="J1208" s="4">
        <v>197</v>
      </c>
      <c r="K1208" s="4">
        <v>0</v>
      </c>
      <c r="L1208" s="4">
        <v>0</v>
      </c>
      <c r="M1208" s="4">
        <v>1</v>
      </c>
      <c r="N1208" s="4">
        <v>0</v>
      </c>
      <c r="O1208" s="4">
        <v>1</v>
      </c>
    </row>
    <row r="1209" spans="1:15" x14ac:dyDescent="0.15">
      <c r="A1209" s="4">
        <v>1206</v>
      </c>
      <c r="B1209" s="4">
        <v>32</v>
      </c>
      <c r="C1209" s="4">
        <v>7</v>
      </c>
      <c r="D1209" s="4">
        <v>94</v>
      </c>
      <c r="E1209" s="4">
        <v>2</v>
      </c>
      <c r="F1209" s="8">
        <v>3.1</v>
      </c>
      <c r="G1209" s="4">
        <v>1</v>
      </c>
      <c r="H1209" s="4">
        <f t="shared" si="36"/>
        <v>1</v>
      </c>
      <c r="I1209" s="4">
        <f t="shared" si="37"/>
        <v>0</v>
      </c>
      <c r="J1209" s="4">
        <v>0</v>
      </c>
      <c r="K1209" s="4">
        <v>0</v>
      </c>
      <c r="L1209" s="4">
        <v>0</v>
      </c>
      <c r="M1209" s="4">
        <v>1</v>
      </c>
      <c r="N1209" s="4">
        <v>0</v>
      </c>
      <c r="O1209" s="4">
        <v>0</v>
      </c>
    </row>
    <row r="1210" spans="1:15" x14ac:dyDescent="0.15">
      <c r="A1210" s="4">
        <v>1207</v>
      </c>
      <c r="B1210" s="4">
        <v>63</v>
      </c>
      <c r="C1210" s="4">
        <v>37</v>
      </c>
      <c r="D1210" s="4">
        <v>165</v>
      </c>
      <c r="E1210" s="4">
        <v>4</v>
      </c>
      <c r="F1210" s="8">
        <v>5.0999999999999996</v>
      </c>
      <c r="G1210" s="4">
        <v>3</v>
      </c>
      <c r="H1210" s="4">
        <f t="shared" si="36"/>
        <v>0</v>
      </c>
      <c r="I1210" s="4">
        <f t="shared" si="37"/>
        <v>0</v>
      </c>
      <c r="J1210" s="4">
        <v>0</v>
      </c>
      <c r="K1210" s="4">
        <v>0</v>
      </c>
      <c r="L1210" s="4">
        <v>0</v>
      </c>
      <c r="M1210" s="4">
        <v>0</v>
      </c>
      <c r="N1210" s="4">
        <v>0</v>
      </c>
      <c r="O1210" s="4">
        <v>1</v>
      </c>
    </row>
    <row r="1211" spans="1:15" x14ac:dyDescent="0.15">
      <c r="A1211" s="4">
        <v>1208</v>
      </c>
      <c r="B1211" s="4">
        <v>38</v>
      </c>
      <c r="C1211" s="4">
        <v>12</v>
      </c>
      <c r="D1211" s="4">
        <v>43</v>
      </c>
      <c r="E1211" s="4">
        <v>4</v>
      </c>
      <c r="F1211" s="8">
        <v>1.2</v>
      </c>
      <c r="G1211" s="4">
        <v>2</v>
      </c>
      <c r="H1211" s="4">
        <f t="shared" si="36"/>
        <v>0</v>
      </c>
      <c r="I1211" s="4">
        <f t="shared" si="37"/>
        <v>1</v>
      </c>
      <c r="J1211" s="4">
        <v>0</v>
      </c>
      <c r="K1211" s="4">
        <v>0</v>
      </c>
      <c r="L1211" s="4">
        <v>0</v>
      </c>
      <c r="M1211" s="4">
        <v>0</v>
      </c>
      <c r="N1211" s="4">
        <v>1</v>
      </c>
      <c r="O1211" s="4">
        <v>0</v>
      </c>
    </row>
    <row r="1212" spans="1:15" x14ac:dyDescent="0.15">
      <c r="A1212" s="4">
        <v>1209</v>
      </c>
      <c r="B1212" s="4">
        <v>50</v>
      </c>
      <c r="C1212" s="4">
        <v>26</v>
      </c>
      <c r="D1212" s="4">
        <v>48</v>
      </c>
      <c r="E1212" s="4">
        <v>1</v>
      </c>
      <c r="F1212" s="8">
        <v>1.6</v>
      </c>
      <c r="G1212" s="4">
        <v>2</v>
      </c>
      <c r="H1212" s="4">
        <f t="shared" si="36"/>
        <v>0</v>
      </c>
      <c r="I1212" s="4">
        <f t="shared" si="37"/>
        <v>1</v>
      </c>
      <c r="J1212" s="4">
        <v>0</v>
      </c>
      <c r="K1212" s="4">
        <v>0</v>
      </c>
      <c r="L1212" s="4">
        <v>0</v>
      </c>
      <c r="M1212" s="4">
        <v>0</v>
      </c>
      <c r="N1212" s="4">
        <v>1</v>
      </c>
      <c r="O1212" s="4">
        <v>0</v>
      </c>
    </row>
    <row r="1213" spans="1:15" x14ac:dyDescent="0.15">
      <c r="A1213" s="4">
        <v>1210</v>
      </c>
      <c r="B1213" s="4">
        <v>46</v>
      </c>
      <c r="C1213" s="4">
        <v>21</v>
      </c>
      <c r="D1213" s="4">
        <v>52</v>
      </c>
      <c r="E1213" s="4">
        <v>3</v>
      </c>
      <c r="F1213" s="8">
        <v>2.7</v>
      </c>
      <c r="G1213" s="4">
        <v>2</v>
      </c>
      <c r="H1213" s="4">
        <f t="shared" si="36"/>
        <v>0</v>
      </c>
      <c r="I1213" s="4">
        <f t="shared" si="37"/>
        <v>1</v>
      </c>
      <c r="J1213" s="4">
        <v>228</v>
      </c>
      <c r="K1213" s="4">
        <v>0</v>
      </c>
      <c r="L1213" s="4">
        <v>0</v>
      </c>
      <c r="M1213" s="4">
        <v>0</v>
      </c>
      <c r="N1213" s="4">
        <v>1</v>
      </c>
      <c r="O1213" s="4">
        <v>0</v>
      </c>
    </row>
    <row r="1214" spans="1:15" x14ac:dyDescent="0.15">
      <c r="A1214" s="4">
        <v>1211</v>
      </c>
      <c r="B1214" s="4">
        <v>50</v>
      </c>
      <c r="C1214" s="4">
        <v>24</v>
      </c>
      <c r="D1214" s="4">
        <v>84</v>
      </c>
      <c r="E1214" s="4">
        <v>4</v>
      </c>
      <c r="F1214" s="8">
        <v>4.9000000000000004</v>
      </c>
      <c r="G1214" s="4">
        <v>1</v>
      </c>
      <c r="H1214" s="4">
        <f t="shared" si="36"/>
        <v>1</v>
      </c>
      <c r="I1214" s="4">
        <f t="shared" si="37"/>
        <v>0</v>
      </c>
      <c r="J1214" s="4">
        <v>0</v>
      </c>
      <c r="K1214" s="4">
        <v>0</v>
      </c>
      <c r="L1214" s="4">
        <v>0</v>
      </c>
      <c r="M1214" s="4">
        <v>1</v>
      </c>
      <c r="N1214" s="4">
        <v>0</v>
      </c>
      <c r="O1214" s="4">
        <v>0</v>
      </c>
    </row>
    <row r="1215" spans="1:15" x14ac:dyDescent="0.15">
      <c r="A1215" s="4">
        <v>1212</v>
      </c>
      <c r="B1215" s="4">
        <v>61</v>
      </c>
      <c r="C1215" s="4">
        <v>36</v>
      </c>
      <c r="D1215" s="4">
        <v>131</v>
      </c>
      <c r="E1215" s="4">
        <v>1</v>
      </c>
      <c r="F1215" s="8">
        <v>0.9</v>
      </c>
      <c r="G1215" s="4">
        <v>1</v>
      </c>
      <c r="H1215" s="4">
        <f t="shared" si="36"/>
        <v>1</v>
      </c>
      <c r="I1215" s="4">
        <f t="shared" si="37"/>
        <v>0</v>
      </c>
      <c r="J1215" s="4">
        <v>0</v>
      </c>
      <c r="K1215" s="4">
        <v>0</v>
      </c>
      <c r="L1215" s="4">
        <v>0</v>
      </c>
      <c r="M1215" s="4">
        <v>1</v>
      </c>
      <c r="N1215" s="4">
        <v>0</v>
      </c>
      <c r="O1215" s="4">
        <v>0</v>
      </c>
    </row>
    <row r="1216" spans="1:15" x14ac:dyDescent="0.15">
      <c r="A1216" s="4">
        <v>1213</v>
      </c>
      <c r="B1216" s="4">
        <v>34</v>
      </c>
      <c r="C1216" s="4">
        <v>8</v>
      </c>
      <c r="D1216" s="4">
        <v>44</v>
      </c>
      <c r="E1216" s="4">
        <v>4</v>
      </c>
      <c r="F1216" s="8">
        <v>0.2</v>
      </c>
      <c r="G1216" s="4">
        <v>1</v>
      </c>
      <c r="H1216" s="4">
        <f t="shared" si="36"/>
        <v>1</v>
      </c>
      <c r="I1216" s="4">
        <f t="shared" si="37"/>
        <v>0</v>
      </c>
      <c r="J1216" s="4">
        <v>0</v>
      </c>
      <c r="K1216" s="4">
        <v>0</v>
      </c>
      <c r="L1216" s="4">
        <v>0</v>
      </c>
      <c r="M1216" s="4">
        <v>0</v>
      </c>
      <c r="N1216" s="4">
        <v>0</v>
      </c>
      <c r="O1216" s="4">
        <v>0</v>
      </c>
    </row>
    <row r="1217" spans="1:15" x14ac:dyDescent="0.15">
      <c r="A1217" s="4">
        <v>1214</v>
      </c>
      <c r="B1217" s="4">
        <v>27</v>
      </c>
      <c r="C1217" s="4">
        <v>2</v>
      </c>
      <c r="D1217" s="4">
        <v>78</v>
      </c>
      <c r="E1217" s="4">
        <v>4</v>
      </c>
      <c r="F1217" s="8">
        <v>0.2</v>
      </c>
      <c r="G1217" s="4">
        <v>1</v>
      </c>
      <c r="H1217" s="4">
        <f t="shared" si="36"/>
        <v>1</v>
      </c>
      <c r="I1217" s="4">
        <f t="shared" si="37"/>
        <v>0</v>
      </c>
      <c r="J1217" s="4">
        <v>87</v>
      </c>
      <c r="K1217" s="4">
        <v>0</v>
      </c>
      <c r="L1217" s="4">
        <v>0</v>
      </c>
      <c r="M1217" s="4">
        <v>0</v>
      </c>
      <c r="N1217" s="4">
        <v>0</v>
      </c>
      <c r="O1217" s="4">
        <v>0</v>
      </c>
    </row>
    <row r="1218" spans="1:15" x14ac:dyDescent="0.15">
      <c r="A1218" s="4">
        <v>1215</v>
      </c>
      <c r="B1218" s="4">
        <v>61</v>
      </c>
      <c r="C1218" s="4">
        <v>36</v>
      </c>
      <c r="D1218" s="4">
        <v>15</v>
      </c>
      <c r="E1218" s="4">
        <v>4</v>
      </c>
      <c r="F1218" s="8">
        <v>0.4</v>
      </c>
      <c r="G1218" s="4">
        <v>2</v>
      </c>
      <c r="H1218" s="4">
        <f t="shared" si="36"/>
        <v>0</v>
      </c>
      <c r="I1218" s="4">
        <f t="shared" si="37"/>
        <v>1</v>
      </c>
      <c r="J1218" s="4">
        <v>0</v>
      </c>
      <c r="K1218" s="4">
        <v>0</v>
      </c>
      <c r="L1218" s="4">
        <v>0</v>
      </c>
      <c r="M1218" s="4">
        <v>0</v>
      </c>
      <c r="N1218" s="4">
        <v>0</v>
      </c>
      <c r="O1218" s="4">
        <v>0</v>
      </c>
    </row>
    <row r="1219" spans="1:15" x14ac:dyDescent="0.15">
      <c r="A1219" s="4">
        <v>1216</v>
      </c>
      <c r="B1219" s="4">
        <v>45</v>
      </c>
      <c r="C1219" s="4">
        <v>20</v>
      </c>
      <c r="D1219" s="4">
        <v>38</v>
      </c>
      <c r="E1219" s="4">
        <v>4</v>
      </c>
      <c r="F1219" s="8">
        <v>1.9</v>
      </c>
      <c r="G1219" s="4">
        <v>3</v>
      </c>
      <c r="H1219" s="4">
        <f t="shared" si="36"/>
        <v>0</v>
      </c>
      <c r="I1219" s="4">
        <f t="shared" si="37"/>
        <v>0</v>
      </c>
      <c r="J1219" s="4">
        <v>144</v>
      </c>
      <c r="K1219" s="4">
        <v>0</v>
      </c>
      <c r="L1219" s="4">
        <v>0</v>
      </c>
      <c r="M1219" s="4">
        <v>1</v>
      </c>
      <c r="N1219" s="4">
        <v>1</v>
      </c>
      <c r="O1219" s="4">
        <v>0</v>
      </c>
    </row>
    <row r="1220" spans="1:15" x14ac:dyDescent="0.15">
      <c r="A1220" s="4">
        <v>1217</v>
      </c>
      <c r="B1220" s="4">
        <v>50</v>
      </c>
      <c r="C1220" s="4">
        <v>25</v>
      </c>
      <c r="D1220" s="4">
        <v>84</v>
      </c>
      <c r="E1220" s="4">
        <v>1</v>
      </c>
      <c r="F1220" s="8">
        <v>1.3</v>
      </c>
      <c r="G1220" s="4">
        <v>3</v>
      </c>
      <c r="H1220" s="4">
        <f t="shared" si="36"/>
        <v>0</v>
      </c>
      <c r="I1220" s="4">
        <f t="shared" si="37"/>
        <v>0</v>
      </c>
      <c r="J1220" s="4">
        <v>0</v>
      </c>
      <c r="K1220" s="4">
        <v>1</v>
      </c>
      <c r="L1220" s="4">
        <v>0</v>
      </c>
      <c r="M1220" s="4">
        <v>1</v>
      </c>
      <c r="N1220" s="4">
        <v>0</v>
      </c>
      <c r="O1220" s="4">
        <v>0</v>
      </c>
    </row>
    <row r="1221" spans="1:15" x14ac:dyDescent="0.15">
      <c r="A1221" s="4">
        <v>1218</v>
      </c>
      <c r="B1221" s="4">
        <v>44</v>
      </c>
      <c r="C1221" s="4">
        <v>20</v>
      </c>
      <c r="D1221" s="4">
        <v>122</v>
      </c>
      <c r="E1221" s="4">
        <v>1</v>
      </c>
      <c r="F1221" s="8">
        <v>0.3</v>
      </c>
      <c r="G1221" s="4">
        <v>1</v>
      </c>
      <c r="H1221" s="4">
        <f t="shared" ref="H1221:H1284" si="38">IF(G1221=1,1,0)</f>
        <v>1</v>
      </c>
      <c r="I1221" s="4">
        <f t="shared" ref="I1221:I1284" si="39">IF(G1221=2,1,0)</f>
        <v>0</v>
      </c>
      <c r="J1221" s="4">
        <v>0</v>
      </c>
      <c r="K1221" s="4">
        <v>0</v>
      </c>
      <c r="L1221" s="4">
        <v>0</v>
      </c>
      <c r="M1221" s="4">
        <v>1</v>
      </c>
      <c r="N1221" s="4">
        <v>0</v>
      </c>
      <c r="O1221" s="4">
        <v>0</v>
      </c>
    </row>
    <row r="1222" spans="1:15" x14ac:dyDescent="0.15">
      <c r="A1222" s="4">
        <v>1219</v>
      </c>
      <c r="B1222" s="4">
        <v>62</v>
      </c>
      <c r="C1222" s="4">
        <v>36</v>
      </c>
      <c r="D1222" s="4">
        <v>98</v>
      </c>
      <c r="E1222" s="4">
        <v>2</v>
      </c>
      <c r="F1222" s="8">
        <v>2.8</v>
      </c>
      <c r="G1222" s="4">
        <v>1</v>
      </c>
      <c r="H1222" s="4">
        <f t="shared" si="38"/>
        <v>1</v>
      </c>
      <c r="I1222" s="4">
        <f t="shared" si="39"/>
        <v>0</v>
      </c>
      <c r="J1222" s="4">
        <v>0</v>
      </c>
      <c r="K1222" s="4">
        <v>0</v>
      </c>
      <c r="L1222" s="4">
        <v>0</v>
      </c>
      <c r="M1222" s="4">
        <v>0</v>
      </c>
      <c r="N1222" s="4">
        <v>0</v>
      </c>
      <c r="O1222" s="4">
        <v>0</v>
      </c>
    </row>
    <row r="1223" spans="1:15" x14ac:dyDescent="0.15">
      <c r="A1223" s="4">
        <v>1220</v>
      </c>
      <c r="B1223" s="4">
        <v>45</v>
      </c>
      <c r="C1223" s="4">
        <v>18</v>
      </c>
      <c r="D1223" s="4">
        <v>80</v>
      </c>
      <c r="E1223" s="4">
        <v>3</v>
      </c>
      <c r="F1223" s="8">
        <v>2.6666666666666665</v>
      </c>
      <c r="G1223" s="4">
        <v>2</v>
      </c>
      <c r="H1223" s="4">
        <f t="shared" si="38"/>
        <v>0</v>
      </c>
      <c r="I1223" s="4">
        <f t="shared" si="39"/>
        <v>1</v>
      </c>
      <c r="J1223" s="4">
        <v>0</v>
      </c>
      <c r="K1223" s="4">
        <v>0</v>
      </c>
      <c r="L1223" s="4">
        <v>0</v>
      </c>
      <c r="M1223" s="4">
        <v>0</v>
      </c>
      <c r="N1223" s="4">
        <v>0</v>
      </c>
      <c r="O1223" s="4">
        <v>0</v>
      </c>
    </row>
    <row r="1224" spans="1:15" x14ac:dyDescent="0.15">
      <c r="A1224" s="4">
        <v>1221</v>
      </c>
      <c r="B1224" s="4">
        <v>41</v>
      </c>
      <c r="C1224" s="4">
        <v>17</v>
      </c>
      <c r="D1224" s="4">
        <v>165</v>
      </c>
      <c r="E1224" s="4">
        <v>2</v>
      </c>
      <c r="F1224" s="8">
        <v>8</v>
      </c>
      <c r="G1224" s="4">
        <v>1</v>
      </c>
      <c r="H1224" s="4">
        <f t="shared" si="38"/>
        <v>1</v>
      </c>
      <c r="I1224" s="4">
        <f t="shared" si="39"/>
        <v>0</v>
      </c>
      <c r="J1224" s="4">
        <v>0</v>
      </c>
      <c r="K1224" s="4">
        <v>0</v>
      </c>
      <c r="L1224" s="4">
        <v>0</v>
      </c>
      <c r="M1224" s="4">
        <v>1</v>
      </c>
      <c r="N1224" s="4">
        <v>0</v>
      </c>
      <c r="O1224" s="4">
        <v>0</v>
      </c>
    </row>
    <row r="1225" spans="1:15" x14ac:dyDescent="0.15">
      <c r="A1225" s="4">
        <v>1222</v>
      </c>
      <c r="B1225" s="4">
        <v>30</v>
      </c>
      <c r="C1225" s="4">
        <v>5</v>
      </c>
      <c r="D1225" s="4">
        <v>121</v>
      </c>
      <c r="E1225" s="4">
        <v>2</v>
      </c>
      <c r="F1225" s="8">
        <v>3.3</v>
      </c>
      <c r="G1225" s="4">
        <v>1</v>
      </c>
      <c r="H1225" s="4">
        <f t="shared" si="38"/>
        <v>1</v>
      </c>
      <c r="I1225" s="4">
        <f t="shared" si="39"/>
        <v>0</v>
      </c>
      <c r="J1225" s="4">
        <v>0</v>
      </c>
      <c r="K1225" s="4">
        <v>0</v>
      </c>
      <c r="L1225" s="4">
        <v>0</v>
      </c>
      <c r="M1225" s="4">
        <v>0</v>
      </c>
      <c r="N1225" s="4">
        <v>1</v>
      </c>
      <c r="O1225" s="4">
        <v>0</v>
      </c>
    </row>
    <row r="1226" spans="1:15" x14ac:dyDescent="0.15">
      <c r="A1226" s="4">
        <v>1223</v>
      </c>
      <c r="B1226" s="4">
        <v>61</v>
      </c>
      <c r="C1226" s="4">
        <v>37</v>
      </c>
      <c r="D1226" s="4">
        <v>20</v>
      </c>
      <c r="E1226" s="4">
        <v>3</v>
      </c>
      <c r="F1226" s="8">
        <v>0.4</v>
      </c>
      <c r="G1226" s="4">
        <v>2</v>
      </c>
      <c r="H1226" s="4">
        <f t="shared" si="38"/>
        <v>0</v>
      </c>
      <c r="I1226" s="4">
        <f t="shared" si="39"/>
        <v>1</v>
      </c>
      <c r="J1226" s="4">
        <v>94</v>
      </c>
      <c r="K1226" s="4">
        <v>0</v>
      </c>
      <c r="L1226" s="4">
        <v>0</v>
      </c>
      <c r="M1226" s="4">
        <v>0</v>
      </c>
      <c r="N1226" s="4">
        <v>0</v>
      </c>
      <c r="O1226" s="4">
        <v>0</v>
      </c>
    </row>
    <row r="1227" spans="1:15" x14ac:dyDescent="0.15">
      <c r="A1227" s="4">
        <v>1224</v>
      </c>
      <c r="B1227" s="4">
        <v>45</v>
      </c>
      <c r="C1227" s="4">
        <v>19</v>
      </c>
      <c r="D1227" s="4">
        <v>11</v>
      </c>
      <c r="E1227" s="4">
        <v>1</v>
      </c>
      <c r="F1227" s="8">
        <v>0.2</v>
      </c>
      <c r="G1227" s="4">
        <v>1</v>
      </c>
      <c r="H1227" s="4">
        <f t="shared" si="38"/>
        <v>1</v>
      </c>
      <c r="I1227" s="4">
        <f t="shared" si="39"/>
        <v>0</v>
      </c>
      <c r="J1227" s="4">
        <v>91</v>
      </c>
      <c r="K1227" s="4">
        <v>0</v>
      </c>
      <c r="L1227" s="4">
        <v>0</v>
      </c>
      <c r="M1227" s="4">
        <v>0</v>
      </c>
      <c r="N1227" s="4">
        <v>0</v>
      </c>
      <c r="O1227" s="4">
        <v>0</v>
      </c>
    </row>
    <row r="1228" spans="1:15" x14ac:dyDescent="0.15">
      <c r="A1228" s="4">
        <v>1225</v>
      </c>
      <c r="B1228" s="4">
        <v>59</v>
      </c>
      <c r="C1228" s="4">
        <v>35</v>
      </c>
      <c r="D1228" s="4">
        <v>45</v>
      </c>
      <c r="E1228" s="4">
        <v>1</v>
      </c>
      <c r="F1228" s="8">
        <v>1.8</v>
      </c>
      <c r="G1228" s="4">
        <v>3</v>
      </c>
      <c r="H1228" s="4">
        <f t="shared" si="38"/>
        <v>0</v>
      </c>
      <c r="I1228" s="4">
        <f t="shared" si="39"/>
        <v>0</v>
      </c>
      <c r="J1228" s="4">
        <v>0</v>
      </c>
      <c r="K1228" s="4">
        <v>0</v>
      </c>
      <c r="L1228" s="4">
        <v>0</v>
      </c>
      <c r="M1228" s="4">
        <v>1</v>
      </c>
      <c r="N1228" s="4">
        <v>0</v>
      </c>
      <c r="O1228" s="4">
        <v>0</v>
      </c>
    </row>
    <row r="1229" spans="1:15" x14ac:dyDescent="0.15">
      <c r="A1229" s="4">
        <v>1226</v>
      </c>
      <c r="B1229" s="4">
        <v>30</v>
      </c>
      <c r="C1229" s="4">
        <v>6</v>
      </c>
      <c r="D1229" s="4">
        <v>118</v>
      </c>
      <c r="E1229" s="4">
        <v>2</v>
      </c>
      <c r="F1229" s="8">
        <v>2.8</v>
      </c>
      <c r="G1229" s="4">
        <v>2</v>
      </c>
      <c r="H1229" s="4">
        <f t="shared" si="38"/>
        <v>0</v>
      </c>
      <c r="I1229" s="4">
        <f t="shared" si="39"/>
        <v>1</v>
      </c>
      <c r="J1229" s="4">
        <v>0</v>
      </c>
      <c r="K1229" s="4">
        <v>0</v>
      </c>
      <c r="L1229" s="4">
        <v>0</v>
      </c>
      <c r="M1229" s="4">
        <v>0</v>
      </c>
      <c r="N1229" s="4">
        <v>0</v>
      </c>
      <c r="O1229" s="4">
        <v>1</v>
      </c>
    </row>
    <row r="1230" spans="1:15" x14ac:dyDescent="0.15">
      <c r="A1230" s="4">
        <v>1227</v>
      </c>
      <c r="B1230" s="4">
        <v>60</v>
      </c>
      <c r="C1230" s="4">
        <v>36</v>
      </c>
      <c r="D1230" s="4">
        <v>14</v>
      </c>
      <c r="E1230" s="4">
        <v>2</v>
      </c>
      <c r="F1230" s="8">
        <v>0.3</v>
      </c>
      <c r="G1230" s="4">
        <v>1</v>
      </c>
      <c r="H1230" s="4">
        <f t="shared" si="38"/>
        <v>1</v>
      </c>
      <c r="I1230" s="4">
        <f t="shared" si="39"/>
        <v>0</v>
      </c>
      <c r="J1230" s="4">
        <v>109</v>
      </c>
      <c r="K1230" s="4">
        <v>0</v>
      </c>
      <c r="L1230" s="4">
        <v>0</v>
      </c>
      <c r="M1230" s="4">
        <v>1</v>
      </c>
      <c r="N1230" s="4">
        <v>1</v>
      </c>
      <c r="O1230" s="4">
        <v>0</v>
      </c>
    </row>
    <row r="1231" spans="1:15" x14ac:dyDescent="0.15">
      <c r="A1231" s="4">
        <v>1228</v>
      </c>
      <c r="B1231" s="4">
        <v>39</v>
      </c>
      <c r="C1231" s="4">
        <v>13</v>
      </c>
      <c r="D1231" s="4">
        <v>30</v>
      </c>
      <c r="E1231" s="4">
        <v>3</v>
      </c>
      <c r="F1231" s="8">
        <v>0.2</v>
      </c>
      <c r="G1231" s="4">
        <v>2</v>
      </c>
      <c r="H1231" s="4">
        <f t="shared" si="38"/>
        <v>0</v>
      </c>
      <c r="I1231" s="4">
        <f t="shared" si="39"/>
        <v>1</v>
      </c>
      <c r="J1231" s="4">
        <v>0</v>
      </c>
      <c r="K1231" s="4">
        <v>0</v>
      </c>
      <c r="L1231" s="4">
        <v>0</v>
      </c>
      <c r="M1231" s="4">
        <v>0</v>
      </c>
      <c r="N1231" s="4">
        <v>0</v>
      </c>
      <c r="O1231" s="4">
        <v>0</v>
      </c>
    </row>
    <row r="1232" spans="1:15" x14ac:dyDescent="0.15">
      <c r="A1232" s="4">
        <v>1229</v>
      </c>
      <c r="B1232" s="4">
        <v>56</v>
      </c>
      <c r="C1232" s="4">
        <v>30</v>
      </c>
      <c r="D1232" s="4">
        <v>45</v>
      </c>
      <c r="E1232" s="4">
        <v>1</v>
      </c>
      <c r="F1232" s="8">
        <v>0.2</v>
      </c>
      <c r="G1232" s="4">
        <v>1</v>
      </c>
      <c r="H1232" s="4">
        <f t="shared" si="38"/>
        <v>1</v>
      </c>
      <c r="I1232" s="4">
        <f t="shared" si="39"/>
        <v>0</v>
      </c>
      <c r="J1232" s="4">
        <v>98</v>
      </c>
      <c r="K1232" s="4">
        <v>0</v>
      </c>
      <c r="L1232" s="4">
        <v>0</v>
      </c>
      <c r="M1232" s="4">
        <v>0</v>
      </c>
      <c r="N1232" s="4">
        <v>0</v>
      </c>
      <c r="O1232" s="4">
        <v>0</v>
      </c>
    </row>
    <row r="1233" spans="1:15" x14ac:dyDescent="0.15">
      <c r="A1233" s="4">
        <v>1230</v>
      </c>
      <c r="B1233" s="4">
        <v>56</v>
      </c>
      <c r="C1233" s="4">
        <v>32</v>
      </c>
      <c r="D1233" s="4">
        <v>80</v>
      </c>
      <c r="E1233" s="4">
        <v>3</v>
      </c>
      <c r="F1233" s="8">
        <v>2.6666666666666665</v>
      </c>
      <c r="G1233" s="4">
        <v>1</v>
      </c>
      <c r="H1233" s="4">
        <f t="shared" si="38"/>
        <v>1</v>
      </c>
      <c r="I1233" s="4">
        <f t="shared" si="39"/>
        <v>0</v>
      </c>
      <c r="J1233" s="4">
        <v>0</v>
      </c>
      <c r="K1233" s="4">
        <v>0</v>
      </c>
      <c r="L1233" s="4">
        <v>0</v>
      </c>
      <c r="M1233" s="4">
        <v>1</v>
      </c>
      <c r="N1233" s="4">
        <v>0</v>
      </c>
      <c r="O1233" s="4">
        <v>0</v>
      </c>
    </row>
    <row r="1234" spans="1:15" x14ac:dyDescent="0.15">
      <c r="A1234" s="4">
        <v>1231</v>
      </c>
      <c r="B1234" s="4">
        <v>27</v>
      </c>
      <c r="C1234" s="4">
        <v>1</v>
      </c>
      <c r="D1234" s="4">
        <v>25</v>
      </c>
      <c r="E1234" s="4">
        <v>4</v>
      </c>
      <c r="F1234" s="8">
        <v>0.3</v>
      </c>
      <c r="G1234" s="4">
        <v>2</v>
      </c>
      <c r="H1234" s="4">
        <f t="shared" si="38"/>
        <v>0</v>
      </c>
      <c r="I1234" s="4">
        <f t="shared" si="39"/>
        <v>1</v>
      </c>
      <c r="J1234" s="4">
        <v>0</v>
      </c>
      <c r="K1234" s="4">
        <v>0</v>
      </c>
      <c r="L1234" s="4">
        <v>0</v>
      </c>
      <c r="M1234" s="4">
        <v>1</v>
      </c>
      <c r="N1234" s="4">
        <v>1</v>
      </c>
      <c r="O1234" s="4">
        <v>0</v>
      </c>
    </row>
    <row r="1235" spans="1:15" x14ac:dyDescent="0.15">
      <c r="A1235" s="4">
        <v>1232</v>
      </c>
      <c r="B1235" s="4">
        <v>66</v>
      </c>
      <c r="C1235" s="4">
        <v>41</v>
      </c>
      <c r="D1235" s="4">
        <v>144</v>
      </c>
      <c r="E1235" s="4">
        <v>1</v>
      </c>
      <c r="F1235" s="8">
        <v>2.5</v>
      </c>
      <c r="G1235" s="4">
        <v>1</v>
      </c>
      <c r="H1235" s="4">
        <f t="shared" si="38"/>
        <v>1</v>
      </c>
      <c r="I1235" s="4">
        <f t="shared" si="39"/>
        <v>0</v>
      </c>
      <c r="J1235" s="4">
        <v>0</v>
      </c>
      <c r="K1235" s="4">
        <v>1</v>
      </c>
      <c r="L1235" s="4">
        <v>1</v>
      </c>
      <c r="M1235" s="4">
        <v>1</v>
      </c>
      <c r="N1235" s="4">
        <v>1</v>
      </c>
      <c r="O1235" s="4">
        <v>0</v>
      </c>
    </row>
    <row r="1236" spans="1:15" x14ac:dyDescent="0.15">
      <c r="A1236" s="4">
        <v>1233</v>
      </c>
      <c r="B1236" s="4">
        <v>43</v>
      </c>
      <c r="C1236" s="4">
        <v>19</v>
      </c>
      <c r="D1236" s="4">
        <v>84</v>
      </c>
      <c r="E1236" s="4">
        <v>4</v>
      </c>
      <c r="F1236" s="8">
        <v>0.2</v>
      </c>
      <c r="G1236" s="4">
        <v>3</v>
      </c>
      <c r="H1236" s="4">
        <f t="shared" si="38"/>
        <v>0</v>
      </c>
      <c r="I1236" s="4">
        <f t="shared" si="39"/>
        <v>0</v>
      </c>
      <c r="J1236" s="4">
        <v>297</v>
      </c>
      <c r="K1236" s="4">
        <v>0</v>
      </c>
      <c r="L1236" s="4">
        <v>0</v>
      </c>
      <c r="M1236" s="4">
        <v>1</v>
      </c>
      <c r="N1236" s="4">
        <v>0</v>
      </c>
      <c r="O1236" s="4">
        <v>0</v>
      </c>
    </row>
    <row r="1237" spans="1:15" x14ac:dyDescent="0.15">
      <c r="A1237" s="4">
        <v>1234</v>
      </c>
      <c r="B1237" s="4">
        <v>53</v>
      </c>
      <c r="C1237" s="4">
        <v>29</v>
      </c>
      <c r="D1237" s="4">
        <v>22</v>
      </c>
      <c r="E1237" s="4">
        <v>2</v>
      </c>
      <c r="F1237" s="8">
        <v>0.4</v>
      </c>
      <c r="G1237" s="4">
        <v>1</v>
      </c>
      <c r="H1237" s="4">
        <f t="shared" si="38"/>
        <v>1</v>
      </c>
      <c r="I1237" s="4">
        <f t="shared" si="39"/>
        <v>0</v>
      </c>
      <c r="J1237" s="4">
        <v>0</v>
      </c>
      <c r="K1237" s="4">
        <v>0</v>
      </c>
      <c r="L1237" s="4">
        <v>0</v>
      </c>
      <c r="M1237" s="4">
        <v>1</v>
      </c>
      <c r="N1237" s="4">
        <v>0</v>
      </c>
      <c r="O1237" s="4">
        <v>0</v>
      </c>
    </row>
    <row r="1238" spans="1:15" x14ac:dyDescent="0.15">
      <c r="A1238" s="4">
        <v>1235</v>
      </c>
      <c r="B1238" s="4">
        <v>44</v>
      </c>
      <c r="C1238" s="4">
        <v>18</v>
      </c>
      <c r="D1238" s="4">
        <v>33</v>
      </c>
      <c r="E1238" s="4">
        <v>3</v>
      </c>
      <c r="F1238" s="8">
        <v>1.5</v>
      </c>
      <c r="G1238" s="4">
        <v>1</v>
      </c>
      <c r="H1238" s="4">
        <f t="shared" si="38"/>
        <v>1</v>
      </c>
      <c r="I1238" s="4">
        <f t="shared" si="39"/>
        <v>0</v>
      </c>
      <c r="J1238" s="4">
        <v>0</v>
      </c>
      <c r="K1238" s="4">
        <v>0</v>
      </c>
      <c r="L1238" s="4">
        <v>0</v>
      </c>
      <c r="M1238" s="4">
        <v>1</v>
      </c>
      <c r="N1238" s="4">
        <v>1</v>
      </c>
      <c r="O1238" s="4">
        <v>0</v>
      </c>
    </row>
    <row r="1239" spans="1:15" x14ac:dyDescent="0.15">
      <c r="A1239" s="4">
        <v>1236</v>
      </c>
      <c r="B1239" s="4">
        <v>54</v>
      </c>
      <c r="C1239" s="4">
        <v>28</v>
      </c>
      <c r="D1239" s="4">
        <v>60</v>
      </c>
      <c r="E1239" s="4">
        <v>4</v>
      </c>
      <c r="F1239" s="8">
        <v>2.6</v>
      </c>
      <c r="G1239" s="4">
        <v>3</v>
      </c>
      <c r="H1239" s="4">
        <f t="shared" si="38"/>
        <v>0</v>
      </c>
      <c r="I1239" s="4">
        <f t="shared" si="39"/>
        <v>0</v>
      </c>
      <c r="J1239" s="4">
        <v>0</v>
      </c>
      <c r="K1239" s="4">
        <v>0</v>
      </c>
      <c r="L1239" s="4">
        <v>0</v>
      </c>
      <c r="M1239" s="4">
        <v>0</v>
      </c>
      <c r="N1239" s="4">
        <v>0</v>
      </c>
      <c r="O1239" s="4">
        <v>0</v>
      </c>
    </row>
    <row r="1240" spans="1:15" x14ac:dyDescent="0.15">
      <c r="A1240" s="4">
        <v>1237</v>
      </c>
      <c r="B1240" s="4">
        <v>31</v>
      </c>
      <c r="C1240" s="4">
        <v>6</v>
      </c>
      <c r="D1240" s="4">
        <v>81</v>
      </c>
      <c r="E1240" s="4">
        <v>4</v>
      </c>
      <c r="F1240" s="8">
        <v>2.2000000000000002</v>
      </c>
      <c r="G1240" s="4">
        <v>2</v>
      </c>
      <c r="H1240" s="4">
        <f t="shared" si="38"/>
        <v>0</v>
      </c>
      <c r="I1240" s="4">
        <f t="shared" si="39"/>
        <v>1</v>
      </c>
      <c r="J1240" s="4">
        <v>116</v>
      </c>
      <c r="K1240" s="4">
        <v>0</v>
      </c>
      <c r="L1240" s="4">
        <v>0</v>
      </c>
      <c r="M1240" s="4">
        <v>1</v>
      </c>
      <c r="N1240" s="4">
        <v>0</v>
      </c>
      <c r="O1240" s="4">
        <v>0</v>
      </c>
    </row>
    <row r="1241" spans="1:15" x14ac:dyDescent="0.15">
      <c r="A1241" s="4">
        <v>1238</v>
      </c>
      <c r="B1241" s="4">
        <v>38</v>
      </c>
      <c r="C1241" s="4">
        <v>13</v>
      </c>
      <c r="D1241" s="4">
        <v>169</v>
      </c>
      <c r="E1241" s="4">
        <v>1</v>
      </c>
      <c r="F1241" s="8">
        <v>6.8</v>
      </c>
      <c r="G1241" s="4">
        <v>3</v>
      </c>
      <c r="H1241" s="4">
        <f t="shared" si="38"/>
        <v>0</v>
      </c>
      <c r="I1241" s="4">
        <f t="shared" si="39"/>
        <v>0</v>
      </c>
      <c r="J1241" s="4">
        <v>0</v>
      </c>
      <c r="K1241" s="4">
        <v>0</v>
      </c>
      <c r="L1241" s="4">
        <v>1</v>
      </c>
      <c r="M1241" s="4">
        <v>1</v>
      </c>
      <c r="N1241" s="4">
        <v>1</v>
      </c>
      <c r="O1241" s="4">
        <v>1</v>
      </c>
    </row>
    <row r="1242" spans="1:15" x14ac:dyDescent="0.15">
      <c r="A1242" s="4">
        <v>1239</v>
      </c>
      <c r="B1242" s="4">
        <v>28</v>
      </c>
      <c r="C1242" s="4">
        <v>2</v>
      </c>
      <c r="D1242" s="4">
        <v>63</v>
      </c>
      <c r="E1242" s="4">
        <v>2</v>
      </c>
      <c r="F1242" s="8">
        <v>1.6</v>
      </c>
      <c r="G1242" s="4">
        <v>3</v>
      </c>
      <c r="H1242" s="4">
        <f t="shared" si="38"/>
        <v>0</v>
      </c>
      <c r="I1242" s="4">
        <f t="shared" si="39"/>
        <v>0</v>
      </c>
      <c r="J1242" s="4">
        <v>0</v>
      </c>
      <c r="K1242" s="4">
        <v>0</v>
      </c>
      <c r="L1242" s="4">
        <v>0</v>
      </c>
      <c r="M1242" s="4">
        <v>1</v>
      </c>
      <c r="N1242" s="4">
        <v>0</v>
      </c>
      <c r="O1242" s="4">
        <v>0</v>
      </c>
    </row>
    <row r="1243" spans="1:15" x14ac:dyDescent="0.15">
      <c r="A1243" s="4">
        <v>1240</v>
      </c>
      <c r="B1243" s="4">
        <v>51</v>
      </c>
      <c r="C1243" s="4">
        <v>26</v>
      </c>
      <c r="D1243" s="4">
        <v>12</v>
      </c>
      <c r="E1243" s="4">
        <v>2</v>
      </c>
      <c r="F1243" s="8">
        <v>0.7</v>
      </c>
      <c r="G1243" s="4">
        <v>3</v>
      </c>
      <c r="H1243" s="4">
        <f t="shared" si="38"/>
        <v>0</v>
      </c>
      <c r="I1243" s="4">
        <f t="shared" si="39"/>
        <v>0</v>
      </c>
      <c r="J1243" s="4">
        <v>109</v>
      </c>
      <c r="K1243" s="4">
        <v>0</v>
      </c>
      <c r="L1243" s="4">
        <v>0</v>
      </c>
      <c r="M1243" s="4">
        <v>1</v>
      </c>
      <c r="N1243" s="4">
        <v>1</v>
      </c>
      <c r="O1243" s="4">
        <v>0</v>
      </c>
    </row>
    <row r="1244" spans="1:15" x14ac:dyDescent="0.15">
      <c r="A1244" s="4">
        <v>1241</v>
      </c>
      <c r="B1244" s="4">
        <v>52</v>
      </c>
      <c r="C1244" s="4">
        <v>27</v>
      </c>
      <c r="D1244" s="4">
        <v>15</v>
      </c>
      <c r="E1244" s="4">
        <v>4</v>
      </c>
      <c r="F1244" s="8">
        <v>0.8</v>
      </c>
      <c r="G1244" s="4">
        <v>1</v>
      </c>
      <c r="H1244" s="4">
        <f t="shared" si="38"/>
        <v>1</v>
      </c>
      <c r="I1244" s="4">
        <f t="shared" si="39"/>
        <v>0</v>
      </c>
      <c r="J1244" s="4">
        <v>101</v>
      </c>
      <c r="K1244" s="4">
        <v>0</v>
      </c>
      <c r="L1244" s="4">
        <v>0</v>
      </c>
      <c r="M1244" s="4">
        <v>0</v>
      </c>
      <c r="N1244" s="4">
        <v>0</v>
      </c>
      <c r="O1244" s="4">
        <v>0</v>
      </c>
    </row>
    <row r="1245" spans="1:15" x14ac:dyDescent="0.15">
      <c r="A1245" s="4">
        <v>1242</v>
      </c>
      <c r="B1245" s="4">
        <v>64</v>
      </c>
      <c r="C1245" s="4">
        <v>38</v>
      </c>
      <c r="D1245" s="4">
        <v>39</v>
      </c>
      <c r="E1245" s="4">
        <v>1</v>
      </c>
      <c r="F1245" s="8">
        <v>0.5</v>
      </c>
      <c r="G1245" s="4">
        <v>3</v>
      </c>
      <c r="H1245" s="4">
        <f t="shared" si="38"/>
        <v>0</v>
      </c>
      <c r="I1245" s="4">
        <f t="shared" si="39"/>
        <v>0</v>
      </c>
      <c r="J1245" s="4">
        <v>0</v>
      </c>
      <c r="K1245" s="4">
        <v>1</v>
      </c>
      <c r="L1245" s="4">
        <v>1</v>
      </c>
      <c r="M1245" s="4">
        <v>1</v>
      </c>
      <c r="N1245" s="4">
        <v>1</v>
      </c>
      <c r="O1245" s="4">
        <v>0</v>
      </c>
    </row>
    <row r="1246" spans="1:15" x14ac:dyDescent="0.15">
      <c r="A1246" s="4">
        <v>1243</v>
      </c>
      <c r="B1246" s="4">
        <v>29</v>
      </c>
      <c r="C1246" s="4">
        <v>4</v>
      </c>
      <c r="D1246" s="4">
        <v>44</v>
      </c>
      <c r="E1246" s="4">
        <v>4</v>
      </c>
      <c r="F1246" s="8">
        <v>2</v>
      </c>
      <c r="G1246" s="4">
        <v>2</v>
      </c>
      <c r="H1246" s="4">
        <f t="shared" si="38"/>
        <v>0</v>
      </c>
      <c r="I1246" s="4">
        <f t="shared" si="39"/>
        <v>1</v>
      </c>
      <c r="J1246" s="4">
        <v>0</v>
      </c>
      <c r="K1246" s="4">
        <v>0</v>
      </c>
      <c r="L1246" s="4">
        <v>0</v>
      </c>
      <c r="M1246" s="4">
        <v>1</v>
      </c>
      <c r="N1246" s="4">
        <v>0</v>
      </c>
      <c r="O1246" s="4">
        <v>0</v>
      </c>
    </row>
    <row r="1247" spans="1:15" x14ac:dyDescent="0.15">
      <c r="A1247" s="4">
        <v>1244</v>
      </c>
      <c r="B1247" s="4">
        <v>34</v>
      </c>
      <c r="C1247" s="4">
        <v>10</v>
      </c>
      <c r="D1247" s="4">
        <v>110</v>
      </c>
      <c r="E1247" s="4">
        <v>1</v>
      </c>
      <c r="F1247" s="8">
        <v>4</v>
      </c>
      <c r="G1247" s="4">
        <v>1</v>
      </c>
      <c r="H1247" s="4">
        <f t="shared" si="38"/>
        <v>1</v>
      </c>
      <c r="I1247" s="4">
        <f t="shared" si="39"/>
        <v>0</v>
      </c>
      <c r="J1247" s="4">
        <v>0</v>
      </c>
      <c r="K1247" s="4">
        <v>0</v>
      </c>
      <c r="L1247" s="4">
        <v>0</v>
      </c>
      <c r="M1247" s="4">
        <v>1</v>
      </c>
      <c r="N1247" s="4">
        <v>0</v>
      </c>
      <c r="O1247" s="4">
        <v>0</v>
      </c>
    </row>
    <row r="1248" spans="1:15" x14ac:dyDescent="0.15">
      <c r="A1248" s="4">
        <v>1245</v>
      </c>
      <c r="B1248" s="4">
        <v>33</v>
      </c>
      <c r="C1248" s="4">
        <v>8</v>
      </c>
      <c r="D1248" s="4">
        <v>130</v>
      </c>
      <c r="E1248" s="4">
        <v>3</v>
      </c>
      <c r="F1248" s="8">
        <v>6.3</v>
      </c>
      <c r="G1248" s="4">
        <v>2</v>
      </c>
      <c r="H1248" s="4">
        <f t="shared" si="38"/>
        <v>0</v>
      </c>
      <c r="I1248" s="4">
        <f t="shared" si="39"/>
        <v>1</v>
      </c>
      <c r="J1248" s="4">
        <v>99</v>
      </c>
      <c r="K1248" s="4">
        <v>0</v>
      </c>
      <c r="L1248" s="4">
        <v>0</v>
      </c>
      <c r="M1248" s="4">
        <v>0</v>
      </c>
      <c r="N1248" s="4">
        <v>1</v>
      </c>
      <c r="O1248" s="4">
        <v>1</v>
      </c>
    </row>
    <row r="1249" spans="1:15" x14ac:dyDescent="0.15">
      <c r="A1249" s="4">
        <v>1246</v>
      </c>
      <c r="B1249" s="4">
        <v>46</v>
      </c>
      <c r="C1249" s="4">
        <v>21</v>
      </c>
      <c r="D1249" s="4">
        <v>41</v>
      </c>
      <c r="E1249" s="4">
        <v>1</v>
      </c>
      <c r="F1249" s="8">
        <v>1.4</v>
      </c>
      <c r="G1249" s="4">
        <v>3</v>
      </c>
      <c r="H1249" s="4">
        <f t="shared" si="38"/>
        <v>0</v>
      </c>
      <c r="I1249" s="4">
        <f t="shared" si="39"/>
        <v>0</v>
      </c>
      <c r="J1249" s="4">
        <v>128</v>
      </c>
      <c r="K1249" s="4">
        <v>0</v>
      </c>
      <c r="L1249" s="4">
        <v>0</v>
      </c>
      <c r="M1249" s="4">
        <v>1</v>
      </c>
      <c r="N1249" s="4">
        <v>0</v>
      </c>
      <c r="O1249" s="4">
        <v>0</v>
      </c>
    </row>
    <row r="1250" spans="1:15" x14ac:dyDescent="0.15">
      <c r="A1250" s="4">
        <v>1247</v>
      </c>
      <c r="B1250" s="4">
        <v>48</v>
      </c>
      <c r="C1250" s="4">
        <v>22</v>
      </c>
      <c r="D1250" s="4">
        <v>59</v>
      </c>
      <c r="E1250" s="4">
        <v>1</v>
      </c>
      <c r="F1250" s="8">
        <v>1.4</v>
      </c>
      <c r="G1250" s="4">
        <v>3</v>
      </c>
      <c r="H1250" s="4">
        <f t="shared" si="38"/>
        <v>0</v>
      </c>
      <c r="I1250" s="4">
        <f t="shared" si="39"/>
        <v>0</v>
      </c>
      <c r="J1250" s="4">
        <v>241</v>
      </c>
      <c r="K1250" s="4">
        <v>0</v>
      </c>
      <c r="L1250" s="4">
        <v>0</v>
      </c>
      <c r="M1250" s="4">
        <v>1</v>
      </c>
      <c r="N1250" s="4">
        <v>0</v>
      </c>
      <c r="O1250" s="4">
        <v>0</v>
      </c>
    </row>
    <row r="1251" spans="1:15" x14ac:dyDescent="0.15">
      <c r="A1251" s="4">
        <v>1248</v>
      </c>
      <c r="B1251" s="4">
        <v>52</v>
      </c>
      <c r="C1251" s="4">
        <v>28</v>
      </c>
      <c r="D1251" s="4">
        <v>39</v>
      </c>
      <c r="E1251" s="4">
        <v>2</v>
      </c>
      <c r="F1251" s="8">
        <v>0.8</v>
      </c>
      <c r="G1251" s="4">
        <v>1</v>
      </c>
      <c r="H1251" s="4">
        <f t="shared" si="38"/>
        <v>1</v>
      </c>
      <c r="I1251" s="4">
        <f t="shared" si="39"/>
        <v>0</v>
      </c>
      <c r="J1251" s="4">
        <v>0</v>
      </c>
      <c r="K1251" s="4">
        <v>0</v>
      </c>
      <c r="L1251" s="4">
        <v>0</v>
      </c>
      <c r="M1251" s="4">
        <v>1</v>
      </c>
      <c r="N1251" s="4">
        <v>0</v>
      </c>
      <c r="O1251" s="4">
        <v>0</v>
      </c>
    </row>
    <row r="1252" spans="1:15" x14ac:dyDescent="0.15">
      <c r="A1252" s="4">
        <v>1249</v>
      </c>
      <c r="B1252" s="4">
        <v>44</v>
      </c>
      <c r="C1252" s="4">
        <v>19</v>
      </c>
      <c r="D1252" s="4">
        <v>35</v>
      </c>
      <c r="E1252" s="4">
        <v>4</v>
      </c>
      <c r="F1252" s="8">
        <v>0</v>
      </c>
      <c r="G1252" s="4">
        <v>2</v>
      </c>
      <c r="H1252" s="4">
        <f t="shared" si="38"/>
        <v>0</v>
      </c>
      <c r="I1252" s="4">
        <f t="shared" si="39"/>
        <v>1</v>
      </c>
      <c r="J1252" s="4">
        <v>0</v>
      </c>
      <c r="K1252" s="4">
        <v>0</v>
      </c>
      <c r="L1252" s="4">
        <v>0</v>
      </c>
      <c r="M1252" s="4">
        <v>1</v>
      </c>
      <c r="N1252" s="4">
        <v>0</v>
      </c>
      <c r="O1252" s="4">
        <v>0</v>
      </c>
    </row>
    <row r="1253" spans="1:15" x14ac:dyDescent="0.15">
      <c r="A1253" s="4">
        <v>1250</v>
      </c>
      <c r="B1253" s="4">
        <v>51</v>
      </c>
      <c r="C1253" s="4">
        <v>27</v>
      </c>
      <c r="D1253" s="4">
        <v>80</v>
      </c>
      <c r="E1253" s="4">
        <v>1</v>
      </c>
      <c r="F1253" s="8">
        <v>2.6</v>
      </c>
      <c r="G1253" s="4">
        <v>2</v>
      </c>
      <c r="H1253" s="4">
        <f t="shared" si="38"/>
        <v>0</v>
      </c>
      <c r="I1253" s="4">
        <f t="shared" si="39"/>
        <v>1</v>
      </c>
      <c r="J1253" s="4">
        <v>0</v>
      </c>
      <c r="K1253" s="4">
        <v>0</v>
      </c>
      <c r="L1253" s="4">
        <v>0</v>
      </c>
      <c r="M1253" s="4">
        <v>1</v>
      </c>
      <c r="N1253" s="4">
        <v>1</v>
      </c>
      <c r="O1253" s="4">
        <v>0</v>
      </c>
    </row>
    <row r="1254" spans="1:15" x14ac:dyDescent="0.15">
      <c r="A1254" s="4">
        <v>1251</v>
      </c>
      <c r="B1254" s="4">
        <v>47</v>
      </c>
      <c r="C1254" s="4">
        <v>20</v>
      </c>
      <c r="D1254" s="4">
        <v>81</v>
      </c>
      <c r="E1254" s="4">
        <v>1</v>
      </c>
      <c r="F1254" s="8">
        <v>2.6666666666666665</v>
      </c>
      <c r="G1254" s="4">
        <v>2</v>
      </c>
      <c r="H1254" s="4">
        <f t="shared" si="38"/>
        <v>0</v>
      </c>
      <c r="I1254" s="4">
        <f t="shared" si="39"/>
        <v>1</v>
      </c>
      <c r="J1254" s="4">
        <v>0</v>
      </c>
      <c r="K1254" s="4">
        <v>0</v>
      </c>
      <c r="L1254" s="4">
        <v>0</v>
      </c>
      <c r="M1254" s="4">
        <v>1</v>
      </c>
      <c r="N1254" s="4">
        <v>0</v>
      </c>
      <c r="O1254" s="4">
        <v>0</v>
      </c>
    </row>
    <row r="1255" spans="1:15" x14ac:dyDescent="0.15">
      <c r="A1255" s="4">
        <v>1252</v>
      </c>
      <c r="B1255" s="4">
        <v>39</v>
      </c>
      <c r="C1255" s="4">
        <v>13</v>
      </c>
      <c r="D1255" s="4">
        <v>31</v>
      </c>
      <c r="E1255" s="4">
        <v>2</v>
      </c>
      <c r="F1255" s="8">
        <v>0.8</v>
      </c>
      <c r="G1255" s="4">
        <v>3</v>
      </c>
      <c r="H1255" s="4">
        <f t="shared" si="38"/>
        <v>0</v>
      </c>
      <c r="I1255" s="4">
        <f t="shared" si="39"/>
        <v>0</v>
      </c>
      <c r="J1255" s="4">
        <v>0</v>
      </c>
      <c r="K1255" s="4">
        <v>0</v>
      </c>
      <c r="L1255" s="4">
        <v>0</v>
      </c>
      <c r="M1255" s="4">
        <v>0</v>
      </c>
      <c r="N1255" s="4">
        <v>0</v>
      </c>
      <c r="O1255" s="4">
        <v>0</v>
      </c>
    </row>
    <row r="1256" spans="1:15" x14ac:dyDescent="0.15">
      <c r="A1256" s="4">
        <v>1253</v>
      </c>
      <c r="B1256" s="4">
        <v>42</v>
      </c>
      <c r="C1256" s="4">
        <v>17</v>
      </c>
      <c r="D1256" s="4">
        <v>93</v>
      </c>
      <c r="E1256" s="4">
        <v>4</v>
      </c>
      <c r="F1256" s="8">
        <v>1.9</v>
      </c>
      <c r="G1256" s="4">
        <v>3</v>
      </c>
      <c r="H1256" s="4">
        <f t="shared" si="38"/>
        <v>0</v>
      </c>
      <c r="I1256" s="4">
        <f t="shared" si="39"/>
        <v>0</v>
      </c>
      <c r="J1256" s="4">
        <v>0</v>
      </c>
      <c r="K1256" s="4">
        <v>0</v>
      </c>
      <c r="L1256" s="4">
        <v>0</v>
      </c>
      <c r="M1256" s="4">
        <v>0</v>
      </c>
      <c r="N1256" s="4">
        <v>0</v>
      </c>
      <c r="O1256" s="4">
        <v>0</v>
      </c>
    </row>
    <row r="1257" spans="1:15" x14ac:dyDescent="0.15">
      <c r="A1257" s="4">
        <v>1254</v>
      </c>
      <c r="B1257" s="4">
        <v>57</v>
      </c>
      <c r="C1257" s="4">
        <v>33</v>
      </c>
      <c r="D1257" s="4">
        <v>45</v>
      </c>
      <c r="E1257" s="4">
        <v>4</v>
      </c>
      <c r="F1257" s="8">
        <v>1.5</v>
      </c>
      <c r="G1257" s="4">
        <v>1</v>
      </c>
      <c r="H1257" s="4">
        <f t="shared" si="38"/>
        <v>1</v>
      </c>
      <c r="I1257" s="4">
        <f t="shared" si="39"/>
        <v>0</v>
      </c>
      <c r="J1257" s="4">
        <v>204</v>
      </c>
      <c r="K1257" s="4">
        <v>0</v>
      </c>
      <c r="L1257" s="4">
        <v>0</v>
      </c>
      <c r="M1257" s="4">
        <v>1</v>
      </c>
      <c r="N1257" s="4">
        <v>0</v>
      </c>
      <c r="O1257" s="4">
        <v>0</v>
      </c>
    </row>
    <row r="1258" spans="1:15" x14ac:dyDescent="0.15">
      <c r="A1258" s="4">
        <v>1255</v>
      </c>
      <c r="B1258" s="4">
        <v>36</v>
      </c>
      <c r="C1258" s="4">
        <v>12</v>
      </c>
      <c r="D1258" s="4">
        <v>40</v>
      </c>
      <c r="E1258" s="4">
        <v>2</v>
      </c>
      <c r="F1258" s="8">
        <v>0.6</v>
      </c>
      <c r="G1258" s="4">
        <v>3</v>
      </c>
      <c r="H1258" s="4">
        <f t="shared" si="38"/>
        <v>0</v>
      </c>
      <c r="I1258" s="4">
        <f t="shared" si="39"/>
        <v>0</v>
      </c>
      <c r="J1258" s="4">
        <v>0</v>
      </c>
      <c r="K1258" s="4">
        <v>0</v>
      </c>
      <c r="L1258" s="4">
        <v>0</v>
      </c>
      <c r="M1258" s="4">
        <v>1</v>
      </c>
      <c r="N1258" s="4">
        <v>1</v>
      </c>
      <c r="O1258" s="4">
        <v>0</v>
      </c>
    </row>
    <row r="1259" spans="1:15" x14ac:dyDescent="0.15">
      <c r="A1259" s="4">
        <v>1256</v>
      </c>
      <c r="B1259" s="4">
        <v>27</v>
      </c>
      <c r="C1259" s="4">
        <v>1</v>
      </c>
      <c r="D1259" s="4">
        <v>80</v>
      </c>
      <c r="E1259" s="4">
        <v>2</v>
      </c>
      <c r="F1259" s="8">
        <v>1.6</v>
      </c>
      <c r="G1259" s="4">
        <v>3</v>
      </c>
      <c r="H1259" s="4">
        <f t="shared" si="38"/>
        <v>0</v>
      </c>
      <c r="I1259" s="4">
        <f t="shared" si="39"/>
        <v>0</v>
      </c>
      <c r="J1259" s="4">
        <v>185</v>
      </c>
      <c r="K1259" s="4">
        <v>0</v>
      </c>
      <c r="L1259" s="4">
        <v>0</v>
      </c>
      <c r="M1259" s="4">
        <v>1</v>
      </c>
      <c r="N1259" s="4">
        <v>1</v>
      </c>
      <c r="O1259" s="4">
        <v>0</v>
      </c>
    </row>
    <row r="1260" spans="1:15" x14ac:dyDescent="0.15">
      <c r="A1260" s="4">
        <v>1257</v>
      </c>
      <c r="B1260" s="4">
        <v>31</v>
      </c>
      <c r="C1260" s="4">
        <v>7</v>
      </c>
      <c r="D1260" s="4">
        <v>20</v>
      </c>
      <c r="E1260" s="4">
        <v>1</v>
      </c>
      <c r="F1260" s="8">
        <v>0.4</v>
      </c>
      <c r="G1260" s="4">
        <v>3</v>
      </c>
      <c r="H1260" s="4">
        <f t="shared" si="38"/>
        <v>0</v>
      </c>
      <c r="I1260" s="4">
        <f t="shared" si="39"/>
        <v>0</v>
      </c>
      <c r="J1260" s="4">
        <v>0</v>
      </c>
      <c r="K1260" s="4">
        <v>0</v>
      </c>
      <c r="L1260" s="4">
        <v>0</v>
      </c>
      <c r="M1260" s="4">
        <v>1</v>
      </c>
      <c r="N1260" s="4">
        <v>0</v>
      </c>
      <c r="O1260" s="4">
        <v>0</v>
      </c>
    </row>
    <row r="1261" spans="1:15" x14ac:dyDescent="0.15">
      <c r="A1261" s="4">
        <v>1258</v>
      </c>
      <c r="B1261" s="4">
        <v>63</v>
      </c>
      <c r="C1261" s="4">
        <v>37</v>
      </c>
      <c r="D1261" s="4">
        <v>41</v>
      </c>
      <c r="E1261" s="4">
        <v>1</v>
      </c>
      <c r="F1261" s="8">
        <v>0.5</v>
      </c>
      <c r="G1261" s="4">
        <v>3</v>
      </c>
      <c r="H1261" s="4">
        <f t="shared" si="38"/>
        <v>0</v>
      </c>
      <c r="I1261" s="4">
        <f t="shared" si="39"/>
        <v>0</v>
      </c>
      <c r="J1261" s="4">
        <v>0</v>
      </c>
      <c r="K1261" s="4">
        <v>0</v>
      </c>
      <c r="L1261" s="4">
        <v>0</v>
      </c>
      <c r="M1261" s="4">
        <v>0</v>
      </c>
      <c r="N1261" s="4">
        <v>1</v>
      </c>
      <c r="O1261" s="4">
        <v>0</v>
      </c>
    </row>
    <row r="1262" spans="1:15" x14ac:dyDescent="0.15">
      <c r="A1262" s="4">
        <v>1259</v>
      </c>
      <c r="B1262" s="4">
        <v>34</v>
      </c>
      <c r="C1262" s="4">
        <v>8</v>
      </c>
      <c r="D1262" s="4">
        <v>31</v>
      </c>
      <c r="E1262" s="4">
        <v>1</v>
      </c>
      <c r="F1262" s="8">
        <v>0.3</v>
      </c>
      <c r="G1262" s="4">
        <v>1</v>
      </c>
      <c r="H1262" s="4">
        <f t="shared" si="38"/>
        <v>1</v>
      </c>
      <c r="I1262" s="4">
        <f t="shared" si="39"/>
        <v>0</v>
      </c>
      <c r="J1262" s="4">
        <v>104</v>
      </c>
      <c r="K1262" s="4">
        <v>0</v>
      </c>
      <c r="L1262" s="4">
        <v>0</v>
      </c>
      <c r="M1262" s="4">
        <v>1</v>
      </c>
      <c r="N1262" s="4">
        <v>1</v>
      </c>
      <c r="O1262" s="4">
        <v>0</v>
      </c>
    </row>
    <row r="1263" spans="1:15" x14ac:dyDescent="0.15">
      <c r="A1263" s="4">
        <v>1260</v>
      </c>
      <c r="B1263" s="4">
        <v>52</v>
      </c>
      <c r="C1263" s="4">
        <v>27</v>
      </c>
      <c r="D1263" s="4">
        <v>35</v>
      </c>
      <c r="E1263" s="4">
        <v>4</v>
      </c>
      <c r="F1263" s="8">
        <v>0.2</v>
      </c>
      <c r="G1263" s="4">
        <v>2</v>
      </c>
      <c r="H1263" s="4">
        <f t="shared" si="38"/>
        <v>0</v>
      </c>
      <c r="I1263" s="4">
        <f t="shared" si="39"/>
        <v>1</v>
      </c>
      <c r="J1263" s="4">
        <v>0</v>
      </c>
      <c r="K1263" s="4">
        <v>0</v>
      </c>
      <c r="L1263" s="4">
        <v>0</v>
      </c>
      <c r="M1263" s="4">
        <v>1</v>
      </c>
      <c r="N1263" s="4">
        <v>0</v>
      </c>
      <c r="O1263" s="4">
        <v>0</v>
      </c>
    </row>
    <row r="1264" spans="1:15" x14ac:dyDescent="0.15">
      <c r="A1264" s="4">
        <v>1261</v>
      </c>
      <c r="B1264" s="4">
        <v>57</v>
      </c>
      <c r="C1264" s="4">
        <v>31</v>
      </c>
      <c r="D1264" s="4">
        <v>40</v>
      </c>
      <c r="E1264" s="4">
        <v>3</v>
      </c>
      <c r="F1264" s="8">
        <v>1.4</v>
      </c>
      <c r="G1264" s="4">
        <v>3</v>
      </c>
      <c r="H1264" s="4">
        <f t="shared" si="38"/>
        <v>0</v>
      </c>
      <c r="I1264" s="4">
        <f t="shared" si="39"/>
        <v>0</v>
      </c>
      <c r="J1264" s="4">
        <v>137</v>
      </c>
      <c r="K1264" s="4">
        <v>0</v>
      </c>
      <c r="L1264" s="4">
        <v>0</v>
      </c>
      <c r="M1264" s="4">
        <v>1</v>
      </c>
      <c r="N1264" s="4">
        <v>1</v>
      </c>
      <c r="O1264" s="4">
        <v>0</v>
      </c>
    </row>
    <row r="1265" spans="1:15" x14ac:dyDescent="0.15">
      <c r="A1265" s="4">
        <v>1262</v>
      </c>
      <c r="B1265" s="4">
        <v>63</v>
      </c>
      <c r="C1265" s="4">
        <v>39</v>
      </c>
      <c r="D1265" s="4">
        <v>84</v>
      </c>
      <c r="E1265" s="4">
        <v>1</v>
      </c>
      <c r="F1265" s="8">
        <v>1.8</v>
      </c>
      <c r="G1265" s="4">
        <v>3</v>
      </c>
      <c r="H1265" s="4">
        <f t="shared" si="38"/>
        <v>0</v>
      </c>
      <c r="I1265" s="4">
        <f t="shared" si="39"/>
        <v>0</v>
      </c>
      <c r="J1265" s="4">
        <v>0</v>
      </c>
      <c r="K1265" s="4">
        <v>0</v>
      </c>
      <c r="L1265" s="4">
        <v>0</v>
      </c>
      <c r="M1265" s="4">
        <v>0</v>
      </c>
      <c r="N1265" s="4">
        <v>0</v>
      </c>
      <c r="O1265" s="4">
        <v>0</v>
      </c>
    </row>
    <row r="1266" spans="1:15" x14ac:dyDescent="0.15">
      <c r="A1266" s="4">
        <v>1263</v>
      </c>
      <c r="B1266" s="4">
        <v>26</v>
      </c>
      <c r="C1266" s="4">
        <v>1</v>
      </c>
      <c r="D1266" s="4">
        <v>53</v>
      </c>
      <c r="E1266" s="4">
        <v>2</v>
      </c>
      <c r="F1266" s="8">
        <v>1.6</v>
      </c>
      <c r="G1266" s="4">
        <v>3</v>
      </c>
      <c r="H1266" s="4">
        <f t="shared" si="38"/>
        <v>0</v>
      </c>
      <c r="I1266" s="4">
        <f t="shared" si="39"/>
        <v>0</v>
      </c>
      <c r="J1266" s="4">
        <v>0</v>
      </c>
      <c r="K1266" s="4">
        <v>0</v>
      </c>
      <c r="L1266" s="4">
        <v>0</v>
      </c>
      <c r="M1266" s="4">
        <v>1</v>
      </c>
      <c r="N1266" s="4">
        <v>0</v>
      </c>
      <c r="O1266" s="4">
        <v>0</v>
      </c>
    </row>
    <row r="1267" spans="1:15" x14ac:dyDescent="0.15">
      <c r="A1267" s="4">
        <v>1264</v>
      </c>
      <c r="B1267" s="4">
        <v>35</v>
      </c>
      <c r="C1267" s="4">
        <v>5</v>
      </c>
      <c r="D1267" s="4">
        <v>85</v>
      </c>
      <c r="E1267" s="4">
        <v>4</v>
      </c>
      <c r="F1267" s="8">
        <v>4</v>
      </c>
      <c r="G1267" s="4">
        <v>3</v>
      </c>
      <c r="H1267" s="4">
        <f t="shared" si="38"/>
        <v>0</v>
      </c>
      <c r="I1267" s="4">
        <f t="shared" si="39"/>
        <v>0</v>
      </c>
      <c r="J1267" s="4">
        <v>0</v>
      </c>
      <c r="K1267" s="4">
        <v>0</v>
      </c>
      <c r="L1267" s="4">
        <v>0</v>
      </c>
      <c r="M1267" s="4">
        <v>1</v>
      </c>
      <c r="N1267" s="4">
        <v>0</v>
      </c>
      <c r="O1267" s="4">
        <v>0</v>
      </c>
    </row>
    <row r="1268" spans="1:15" x14ac:dyDescent="0.15">
      <c r="A1268" s="4">
        <v>1265</v>
      </c>
      <c r="B1268" s="4">
        <v>58</v>
      </c>
      <c r="C1268" s="4">
        <v>33</v>
      </c>
      <c r="D1268" s="4">
        <v>138</v>
      </c>
      <c r="E1268" s="4">
        <v>2</v>
      </c>
      <c r="F1268" s="8">
        <v>3.9</v>
      </c>
      <c r="G1268" s="4">
        <v>1</v>
      </c>
      <c r="H1268" s="4">
        <f t="shared" si="38"/>
        <v>1</v>
      </c>
      <c r="I1268" s="4">
        <f t="shared" si="39"/>
        <v>0</v>
      </c>
      <c r="J1268" s="4">
        <v>0</v>
      </c>
      <c r="K1268" s="4">
        <v>0</v>
      </c>
      <c r="L1268" s="4">
        <v>0</v>
      </c>
      <c r="M1268" s="4">
        <v>1</v>
      </c>
      <c r="N1268" s="4">
        <v>0</v>
      </c>
      <c r="O1268" s="4">
        <v>0</v>
      </c>
    </row>
    <row r="1269" spans="1:15" x14ac:dyDescent="0.15">
      <c r="A1269" s="4">
        <v>1266</v>
      </c>
      <c r="B1269" s="4">
        <v>32</v>
      </c>
      <c r="C1269" s="4">
        <v>2</v>
      </c>
      <c r="D1269" s="4">
        <v>71</v>
      </c>
      <c r="E1269" s="4">
        <v>2</v>
      </c>
      <c r="F1269" s="8">
        <v>1.75</v>
      </c>
      <c r="G1269" s="4">
        <v>3</v>
      </c>
      <c r="H1269" s="4">
        <f t="shared" si="38"/>
        <v>0</v>
      </c>
      <c r="I1269" s="4">
        <f t="shared" si="39"/>
        <v>0</v>
      </c>
      <c r="J1269" s="4">
        <v>108</v>
      </c>
      <c r="K1269" s="4">
        <v>0</v>
      </c>
      <c r="L1269" s="4">
        <v>0</v>
      </c>
      <c r="M1269" s="4">
        <v>0</v>
      </c>
      <c r="N1269" s="4">
        <v>0</v>
      </c>
      <c r="O1269" s="4">
        <v>0</v>
      </c>
    </row>
    <row r="1270" spans="1:15" x14ac:dyDescent="0.15">
      <c r="A1270" s="4">
        <v>1267</v>
      </c>
      <c r="B1270" s="4">
        <v>64</v>
      </c>
      <c r="C1270" s="4">
        <v>39</v>
      </c>
      <c r="D1270" s="4">
        <v>113</v>
      </c>
      <c r="E1270" s="4">
        <v>1</v>
      </c>
      <c r="F1270" s="8">
        <v>0.8</v>
      </c>
      <c r="G1270" s="4">
        <v>3</v>
      </c>
      <c r="H1270" s="4">
        <f t="shared" si="38"/>
        <v>0</v>
      </c>
      <c r="I1270" s="4">
        <f t="shared" si="39"/>
        <v>0</v>
      </c>
      <c r="J1270" s="4">
        <v>0</v>
      </c>
      <c r="K1270" s="4">
        <v>0</v>
      </c>
      <c r="L1270" s="4">
        <v>0</v>
      </c>
      <c r="M1270" s="4">
        <v>0</v>
      </c>
      <c r="N1270" s="4">
        <v>1</v>
      </c>
      <c r="O1270" s="4">
        <v>0</v>
      </c>
    </row>
    <row r="1271" spans="1:15" x14ac:dyDescent="0.15">
      <c r="A1271" s="4">
        <v>1268</v>
      </c>
      <c r="B1271" s="4">
        <v>50</v>
      </c>
      <c r="C1271" s="4">
        <v>23</v>
      </c>
      <c r="D1271" s="4">
        <v>23</v>
      </c>
      <c r="E1271" s="4">
        <v>2</v>
      </c>
      <c r="F1271" s="8">
        <v>1</v>
      </c>
      <c r="G1271" s="4">
        <v>2</v>
      </c>
      <c r="H1271" s="4">
        <f t="shared" si="38"/>
        <v>0</v>
      </c>
      <c r="I1271" s="4">
        <f t="shared" si="39"/>
        <v>1</v>
      </c>
      <c r="J1271" s="4">
        <v>0</v>
      </c>
      <c r="K1271" s="4">
        <v>1</v>
      </c>
      <c r="L1271" s="4">
        <v>0</v>
      </c>
      <c r="M1271" s="4">
        <v>0</v>
      </c>
      <c r="N1271" s="4">
        <v>0</v>
      </c>
      <c r="O1271" s="4">
        <v>0</v>
      </c>
    </row>
    <row r="1272" spans="1:15" x14ac:dyDescent="0.15">
      <c r="A1272" s="4">
        <v>1269</v>
      </c>
      <c r="B1272" s="4">
        <v>34</v>
      </c>
      <c r="C1272" s="4">
        <v>9</v>
      </c>
      <c r="D1272" s="4">
        <v>62</v>
      </c>
      <c r="E1272" s="4">
        <v>3</v>
      </c>
      <c r="F1272" s="8">
        <v>2.2999999999999998</v>
      </c>
      <c r="G1272" s="4">
        <v>1</v>
      </c>
      <c r="H1272" s="4">
        <f t="shared" si="38"/>
        <v>1</v>
      </c>
      <c r="I1272" s="4">
        <f t="shared" si="39"/>
        <v>0</v>
      </c>
      <c r="J1272" s="4">
        <v>0</v>
      </c>
      <c r="K1272" s="4">
        <v>0</v>
      </c>
      <c r="L1272" s="4">
        <v>0</v>
      </c>
      <c r="M1272" s="4">
        <v>0</v>
      </c>
      <c r="N1272" s="4">
        <v>0</v>
      </c>
      <c r="O1272" s="4">
        <v>0</v>
      </c>
    </row>
    <row r="1273" spans="1:15" x14ac:dyDescent="0.15">
      <c r="A1273" s="4">
        <v>1270</v>
      </c>
      <c r="B1273" s="4">
        <v>36</v>
      </c>
      <c r="C1273" s="4">
        <v>11</v>
      </c>
      <c r="D1273" s="4">
        <v>14</v>
      </c>
      <c r="E1273" s="4">
        <v>4</v>
      </c>
      <c r="F1273" s="8">
        <v>0.2</v>
      </c>
      <c r="G1273" s="4">
        <v>3</v>
      </c>
      <c r="H1273" s="4">
        <f t="shared" si="38"/>
        <v>0</v>
      </c>
      <c r="I1273" s="4">
        <f t="shared" si="39"/>
        <v>0</v>
      </c>
      <c r="J1273" s="4">
        <v>100</v>
      </c>
      <c r="K1273" s="4">
        <v>0</v>
      </c>
      <c r="L1273" s="4">
        <v>0</v>
      </c>
      <c r="M1273" s="4">
        <v>1</v>
      </c>
      <c r="N1273" s="4">
        <v>1</v>
      </c>
      <c r="O1273" s="4">
        <v>0</v>
      </c>
    </row>
    <row r="1274" spans="1:15" x14ac:dyDescent="0.15">
      <c r="A1274" s="4">
        <v>1271</v>
      </c>
      <c r="B1274" s="4">
        <v>43</v>
      </c>
      <c r="C1274" s="4">
        <v>18</v>
      </c>
      <c r="D1274" s="4">
        <v>60</v>
      </c>
      <c r="E1274" s="4">
        <v>2</v>
      </c>
      <c r="F1274" s="8">
        <v>2.2000000000000002</v>
      </c>
      <c r="G1274" s="4">
        <v>3</v>
      </c>
      <c r="H1274" s="4">
        <f t="shared" si="38"/>
        <v>0</v>
      </c>
      <c r="I1274" s="4">
        <f t="shared" si="39"/>
        <v>0</v>
      </c>
      <c r="J1274" s="4">
        <v>0</v>
      </c>
      <c r="K1274" s="4">
        <v>0</v>
      </c>
      <c r="L1274" s="4">
        <v>0</v>
      </c>
      <c r="M1274" s="4">
        <v>0</v>
      </c>
      <c r="N1274" s="4">
        <v>1</v>
      </c>
      <c r="O1274" s="4">
        <v>0</v>
      </c>
    </row>
    <row r="1275" spans="1:15" x14ac:dyDescent="0.15">
      <c r="A1275" s="4">
        <v>1272</v>
      </c>
      <c r="B1275" s="4">
        <v>28</v>
      </c>
      <c r="C1275" s="4">
        <v>4</v>
      </c>
      <c r="D1275" s="4">
        <v>94</v>
      </c>
      <c r="E1275" s="4">
        <v>3</v>
      </c>
      <c r="F1275" s="8">
        <v>0.8</v>
      </c>
      <c r="G1275" s="4">
        <v>1</v>
      </c>
      <c r="H1275" s="4">
        <f t="shared" si="38"/>
        <v>1</v>
      </c>
      <c r="I1275" s="4">
        <f t="shared" si="39"/>
        <v>0</v>
      </c>
      <c r="J1275" s="4">
        <v>236</v>
      </c>
      <c r="K1275" s="4">
        <v>0</v>
      </c>
      <c r="L1275" s="4">
        <v>0</v>
      </c>
      <c r="M1275" s="4">
        <v>1</v>
      </c>
      <c r="N1275" s="4">
        <v>0</v>
      </c>
      <c r="O1275" s="4">
        <v>0</v>
      </c>
    </row>
    <row r="1276" spans="1:15" x14ac:dyDescent="0.15">
      <c r="A1276" s="4">
        <v>1273</v>
      </c>
      <c r="B1276" s="4">
        <v>64</v>
      </c>
      <c r="C1276" s="4">
        <v>39</v>
      </c>
      <c r="D1276" s="4">
        <v>83</v>
      </c>
      <c r="E1276" s="4">
        <v>3</v>
      </c>
      <c r="F1276" s="8">
        <v>1.8</v>
      </c>
      <c r="G1276" s="4">
        <v>2</v>
      </c>
      <c r="H1276" s="4">
        <f t="shared" si="38"/>
        <v>0</v>
      </c>
      <c r="I1276" s="4">
        <f t="shared" si="39"/>
        <v>1</v>
      </c>
      <c r="J1276" s="4">
        <v>0</v>
      </c>
      <c r="K1276" s="4">
        <v>0</v>
      </c>
      <c r="L1276" s="4">
        <v>0</v>
      </c>
      <c r="M1276" s="4">
        <v>1</v>
      </c>
      <c r="N1276" s="4">
        <v>0</v>
      </c>
      <c r="O1276" s="4">
        <v>0</v>
      </c>
    </row>
    <row r="1277" spans="1:15" x14ac:dyDescent="0.15">
      <c r="A1277" s="4">
        <v>1274</v>
      </c>
      <c r="B1277" s="4">
        <v>60</v>
      </c>
      <c r="C1277" s="4">
        <v>35</v>
      </c>
      <c r="D1277" s="4">
        <v>130</v>
      </c>
      <c r="E1277" s="4">
        <v>3</v>
      </c>
      <c r="F1277" s="8">
        <v>6.3</v>
      </c>
      <c r="G1277" s="4">
        <v>3</v>
      </c>
      <c r="H1277" s="4">
        <f t="shared" si="38"/>
        <v>0</v>
      </c>
      <c r="I1277" s="4">
        <f t="shared" si="39"/>
        <v>0</v>
      </c>
      <c r="J1277" s="4">
        <v>437</v>
      </c>
      <c r="K1277" s="4">
        <v>0</v>
      </c>
      <c r="L1277" s="4">
        <v>1</v>
      </c>
      <c r="M1277" s="4">
        <v>1</v>
      </c>
      <c r="N1277" s="4">
        <v>1</v>
      </c>
      <c r="O1277" s="4">
        <v>1</v>
      </c>
    </row>
    <row r="1278" spans="1:15" x14ac:dyDescent="0.15">
      <c r="A1278" s="4">
        <v>1275</v>
      </c>
      <c r="B1278" s="4">
        <v>62</v>
      </c>
      <c r="C1278" s="4">
        <v>37</v>
      </c>
      <c r="D1278" s="4">
        <v>61</v>
      </c>
      <c r="E1278" s="4">
        <v>4</v>
      </c>
      <c r="F1278" s="8">
        <v>1.7</v>
      </c>
      <c r="G1278" s="4">
        <v>1</v>
      </c>
      <c r="H1278" s="4">
        <f t="shared" si="38"/>
        <v>1</v>
      </c>
      <c r="I1278" s="4">
        <f t="shared" si="39"/>
        <v>0</v>
      </c>
      <c r="J1278" s="4">
        <v>0</v>
      </c>
      <c r="K1278" s="4">
        <v>0</v>
      </c>
      <c r="L1278" s="4">
        <v>0</v>
      </c>
      <c r="M1278" s="4">
        <v>0</v>
      </c>
      <c r="N1278" s="4">
        <v>0</v>
      </c>
      <c r="O1278" s="4">
        <v>0</v>
      </c>
    </row>
    <row r="1279" spans="1:15" x14ac:dyDescent="0.15">
      <c r="A1279" s="4">
        <v>1276</v>
      </c>
      <c r="B1279" s="4">
        <v>27</v>
      </c>
      <c r="C1279" s="4">
        <v>2</v>
      </c>
      <c r="D1279" s="4">
        <v>92</v>
      </c>
      <c r="E1279" s="4">
        <v>2</v>
      </c>
      <c r="F1279" s="8">
        <v>3.1</v>
      </c>
      <c r="G1279" s="4">
        <v>1</v>
      </c>
      <c r="H1279" s="4">
        <f t="shared" si="38"/>
        <v>1</v>
      </c>
      <c r="I1279" s="4">
        <f t="shared" si="39"/>
        <v>0</v>
      </c>
      <c r="J1279" s="4">
        <v>178</v>
      </c>
      <c r="K1279" s="4">
        <v>0</v>
      </c>
      <c r="L1279" s="4">
        <v>0</v>
      </c>
      <c r="M1279" s="4">
        <v>1</v>
      </c>
      <c r="N1279" s="4">
        <v>0</v>
      </c>
      <c r="O1279" s="4">
        <v>0</v>
      </c>
    </row>
    <row r="1280" spans="1:15" x14ac:dyDescent="0.15">
      <c r="A1280" s="4">
        <v>1277</v>
      </c>
      <c r="B1280" s="4">
        <v>42</v>
      </c>
      <c r="C1280" s="4">
        <v>16</v>
      </c>
      <c r="D1280" s="4">
        <v>20</v>
      </c>
      <c r="E1280" s="4">
        <v>2</v>
      </c>
      <c r="F1280" s="8">
        <v>0.8</v>
      </c>
      <c r="G1280" s="4">
        <v>3</v>
      </c>
      <c r="H1280" s="4">
        <f t="shared" si="38"/>
        <v>0</v>
      </c>
      <c r="I1280" s="4">
        <f t="shared" si="39"/>
        <v>0</v>
      </c>
      <c r="J1280" s="4">
        <v>117</v>
      </c>
      <c r="K1280" s="4">
        <v>0</v>
      </c>
      <c r="L1280" s="4">
        <v>0</v>
      </c>
      <c r="M1280" s="4">
        <v>1</v>
      </c>
      <c r="N1280" s="4">
        <v>1</v>
      </c>
      <c r="O1280" s="4">
        <v>0</v>
      </c>
    </row>
    <row r="1281" spans="1:15" x14ac:dyDescent="0.15">
      <c r="A1281" s="4">
        <v>1278</v>
      </c>
      <c r="B1281" s="4">
        <v>45</v>
      </c>
      <c r="C1281" s="4">
        <v>20</v>
      </c>
      <c r="D1281" s="4">
        <v>194</v>
      </c>
      <c r="E1281" s="4">
        <v>2</v>
      </c>
      <c r="F1281" s="8">
        <v>8.8000000000000007</v>
      </c>
      <c r="G1281" s="4">
        <v>1</v>
      </c>
      <c r="H1281" s="4">
        <f t="shared" si="38"/>
        <v>1</v>
      </c>
      <c r="I1281" s="4">
        <f t="shared" si="39"/>
        <v>0</v>
      </c>
      <c r="J1281" s="4">
        <v>428</v>
      </c>
      <c r="K1281" s="4">
        <v>0</v>
      </c>
      <c r="L1281" s="4">
        <v>0</v>
      </c>
      <c r="M1281" s="4">
        <v>0</v>
      </c>
      <c r="N1281" s="4">
        <v>0</v>
      </c>
      <c r="O1281" s="4">
        <v>0</v>
      </c>
    </row>
    <row r="1282" spans="1:15" x14ac:dyDescent="0.15">
      <c r="A1282" s="4">
        <v>1279</v>
      </c>
      <c r="B1282" s="4">
        <v>36</v>
      </c>
      <c r="C1282" s="4">
        <v>10</v>
      </c>
      <c r="D1282" s="4">
        <v>74</v>
      </c>
      <c r="E1282" s="4">
        <v>1</v>
      </c>
      <c r="F1282" s="8">
        <v>2.5</v>
      </c>
      <c r="G1282" s="4">
        <v>1</v>
      </c>
      <c r="H1282" s="4">
        <f t="shared" si="38"/>
        <v>1</v>
      </c>
      <c r="I1282" s="4">
        <f t="shared" si="39"/>
        <v>0</v>
      </c>
      <c r="J1282" s="4">
        <v>0</v>
      </c>
      <c r="K1282" s="4">
        <v>0</v>
      </c>
      <c r="L1282" s="4">
        <v>0</v>
      </c>
      <c r="M1282" s="4">
        <v>0</v>
      </c>
      <c r="N1282" s="4">
        <v>1</v>
      </c>
      <c r="O1282" s="4">
        <v>0</v>
      </c>
    </row>
    <row r="1283" spans="1:15" x14ac:dyDescent="0.15">
      <c r="A1283" s="4">
        <v>1280</v>
      </c>
      <c r="B1283" s="4">
        <v>48</v>
      </c>
      <c r="C1283" s="4">
        <v>22</v>
      </c>
      <c r="D1283" s="4">
        <v>84</v>
      </c>
      <c r="E1283" s="4">
        <v>2</v>
      </c>
      <c r="F1283" s="8">
        <v>0.4</v>
      </c>
      <c r="G1283" s="4">
        <v>3</v>
      </c>
      <c r="H1283" s="4">
        <f t="shared" si="38"/>
        <v>0</v>
      </c>
      <c r="I1283" s="4">
        <f t="shared" si="39"/>
        <v>0</v>
      </c>
      <c r="J1283" s="4">
        <v>145</v>
      </c>
      <c r="K1283" s="4">
        <v>0</v>
      </c>
      <c r="L1283" s="4">
        <v>0</v>
      </c>
      <c r="M1283" s="4">
        <v>0</v>
      </c>
      <c r="N1283" s="4">
        <v>0</v>
      </c>
      <c r="O1283" s="4">
        <v>0</v>
      </c>
    </row>
    <row r="1284" spans="1:15" x14ac:dyDescent="0.15">
      <c r="A1284" s="4">
        <v>1281</v>
      </c>
      <c r="B1284" s="4">
        <v>65</v>
      </c>
      <c r="C1284" s="4">
        <v>40</v>
      </c>
      <c r="D1284" s="4">
        <v>98</v>
      </c>
      <c r="E1284" s="4">
        <v>3</v>
      </c>
      <c r="F1284" s="8">
        <v>1.8</v>
      </c>
      <c r="G1284" s="4">
        <v>2</v>
      </c>
      <c r="H1284" s="4">
        <f t="shared" si="38"/>
        <v>0</v>
      </c>
      <c r="I1284" s="4">
        <f t="shared" si="39"/>
        <v>1</v>
      </c>
      <c r="J1284" s="4">
        <v>333</v>
      </c>
      <c r="K1284" s="4">
        <v>0</v>
      </c>
      <c r="L1284" s="4">
        <v>0</v>
      </c>
      <c r="M1284" s="4">
        <v>0</v>
      </c>
      <c r="N1284" s="4">
        <v>0</v>
      </c>
      <c r="O1284" s="4">
        <v>0</v>
      </c>
    </row>
    <row r="1285" spans="1:15" x14ac:dyDescent="0.15">
      <c r="A1285" s="4">
        <v>1282</v>
      </c>
      <c r="B1285" s="4">
        <v>39</v>
      </c>
      <c r="C1285" s="4">
        <v>15</v>
      </c>
      <c r="D1285" s="4">
        <v>52</v>
      </c>
      <c r="E1285" s="4">
        <v>3</v>
      </c>
      <c r="F1285" s="8">
        <v>2.3333333333333335</v>
      </c>
      <c r="G1285" s="4">
        <v>1</v>
      </c>
      <c r="H1285" s="4">
        <f t="shared" ref="H1285:H1348" si="40">IF(G1285=1,1,0)</f>
        <v>1</v>
      </c>
      <c r="I1285" s="4">
        <f t="shared" ref="I1285:I1348" si="41">IF(G1285=2,1,0)</f>
        <v>0</v>
      </c>
      <c r="J1285" s="4">
        <v>0</v>
      </c>
      <c r="K1285" s="4">
        <v>0</v>
      </c>
      <c r="L1285" s="4">
        <v>0</v>
      </c>
      <c r="M1285" s="4">
        <v>1</v>
      </c>
      <c r="N1285" s="4">
        <v>0</v>
      </c>
      <c r="O1285" s="4">
        <v>0</v>
      </c>
    </row>
    <row r="1286" spans="1:15" x14ac:dyDescent="0.15">
      <c r="A1286" s="4">
        <v>1283</v>
      </c>
      <c r="B1286" s="4">
        <v>51</v>
      </c>
      <c r="C1286" s="4">
        <v>26</v>
      </c>
      <c r="D1286" s="4">
        <v>55</v>
      </c>
      <c r="E1286" s="4">
        <v>1</v>
      </c>
      <c r="F1286" s="8">
        <v>1.3</v>
      </c>
      <c r="G1286" s="4">
        <v>2</v>
      </c>
      <c r="H1286" s="4">
        <f t="shared" si="40"/>
        <v>0</v>
      </c>
      <c r="I1286" s="4">
        <f t="shared" si="41"/>
        <v>1</v>
      </c>
      <c r="J1286" s="4">
        <v>236</v>
      </c>
      <c r="K1286" s="4">
        <v>0</v>
      </c>
      <c r="L1286" s="4">
        <v>0</v>
      </c>
      <c r="M1286" s="4">
        <v>0</v>
      </c>
      <c r="N1286" s="4">
        <v>1</v>
      </c>
      <c r="O1286" s="4">
        <v>0</v>
      </c>
    </row>
    <row r="1287" spans="1:15" x14ac:dyDescent="0.15">
      <c r="A1287" s="4">
        <v>1284</v>
      </c>
      <c r="B1287" s="4">
        <v>30</v>
      </c>
      <c r="C1287" s="4">
        <v>6</v>
      </c>
      <c r="D1287" s="4">
        <v>64</v>
      </c>
      <c r="E1287" s="4">
        <v>4</v>
      </c>
      <c r="F1287" s="8">
        <v>3.4</v>
      </c>
      <c r="G1287" s="4">
        <v>1</v>
      </c>
      <c r="H1287" s="4">
        <f t="shared" si="40"/>
        <v>1</v>
      </c>
      <c r="I1287" s="4">
        <f t="shared" si="41"/>
        <v>0</v>
      </c>
      <c r="J1287" s="4">
        <v>117</v>
      </c>
      <c r="K1287" s="4">
        <v>0</v>
      </c>
      <c r="L1287" s="4">
        <v>0</v>
      </c>
      <c r="M1287" s="4">
        <v>0</v>
      </c>
      <c r="N1287" s="4">
        <v>0</v>
      </c>
      <c r="O1287" s="4">
        <v>0</v>
      </c>
    </row>
    <row r="1288" spans="1:15" x14ac:dyDescent="0.15">
      <c r="A1288" s="4">
        <v>1285</v>
      </c>
      <c r="B1288" s="4">
        <v>65</v>
      </c>
      <c r="C1288" s="4">
        <v>40</v>
      </c>
      <c r="D1288" s="4">
        <v>128</v>
      </c>
      <c r="E1288" s="4">
        <v>1</v>
      </c>
      <c r="F1288" s="8">
        <v>2.5</v>
      </c>
      <c r="G1288" s="4">
        <v>1</v>
      </c>
      <c r="H1288" s="4">
        <f t="shared" si="40"/>
        <v>1</v>
      </c>
      <c r="I1288" s="4">
        <f t="shared" si="41"/>
        <v>0</v>
      </c>
      <c r="J1288" s="4">
        <v>162</v>
      </c>
      <c r="K1288" s="4">
        <v>0</v>
      </c>
      <c r="L1288" s="4">
        <v>0</v>
      </c>
      <c r="M1288" s="4">
        <v>1</v>
      </c>
      <c r="N1288" s="4">
        <v>0</v>
      </c>
      <c r="O1288" s="4">
        <v>0</v>
      </c>
    </row>
    <row r="1289" spans="1:15" x14ac:dyDescent="0.15">
      <c r="A1289" s="4">
        <v>1286</v>
      </c>
      <c r="B1289" s="4">
        <v>38</v>
      </c>
      <c r="C1289" s="4">
        <v>13</v>
      </c>
      <c r="D1289" s="4">
        <v>113</v>
      </c>
      <c r="E1289" s="4">
        <v>4</v>
      </c>
      <c r="F1289" s="8">
        <v>1.7</v>
      </c>
      <c r="G1289" s="4">
        <v>2</v>
      </c>
      <c r="H1289" s="4">
        <f t="shared" si="40"/>
        <v>0</v>
      </c>
      <c r="I1289" s="4">
        <f t="shared" si="41"/>
        <v>1</v>
      </c>
      <c r="J1289" s="4">
        <v>0</v>
      </c>
      <c r="K1289" s="4">
        <v>0</v>
      </c>
      <c r="L1289" s="4">
        <v>0</v>
      </c>
      <c r="M1289" s="4">
        <v>0</v>
      </c>
      <c r="N1289" s="4">
        <v>1</v>
      </c>
      <c r="O1289" s="4">
        <v>1</v>
      </c>
    </row>
    <row r="1290" spans="1:15" x14ac:dyDescent="0.15">
      <c r="A1290" s="4">
        <v>1287</v>
      </c>
      <c r="B1290" s="4">
        <v>29</v>
      </c>
      <c r="C1290" s="4">
        <v>3</v>
      </c>
      <c r="D1290" s="4">
        <v>50</v>
      </c>
      <c r="E1290" s="4">
        <v>3</v>
      </c>
      <c r="F1290" s="8">
        <v>1.1000000000000001</v>
      </c>
      <c r="G1290" s="4">
        <v>2</v>
      </c>
      <c r="H1290" s="4">
        <f t="shared" si="40"/>
        <v>0</v>
      </c>
      <c r="I1290" s="4">
        <f t="shared" si="41"/>
        <v>1</v>
      </c>
      <c r="J1290" s="4">
        <v>0</v>
      </c>
      <c r="K1290" s="4">
        <v>0</v>
      </c>
      <c r="L1290" s="4">
        <v>0</v>
      </c>
      <c r="M1290" s="4">
        <v>0</v>
      </c>
      <c r="N1290" s="4">
        <v>1</v>
      </c>
      <c r="O1290" s="4">
        <v>0</v>
      </c>
    </row>
    <row r="1291" spans="1:15" x14ac:dyDescent="0.15">
      <c r="A1291" s="4">
        <v>1288</v>
      </c>
      <c r="B1291" s="4">
        <v>42</v>
      </c>
      <c r="C1291" s="4">
        <v>18</v>
      </c>
      <c r="D1291" s="4">
        <v>54</v>
      </c>
      <c r="E1291" s="4">
        <v>4</v>
      </c>
      <c r="F1291" s="8">
        <v>2.2000000000000002</v>
      </c>
      <c r="G1291" s="4">
        <v>2</v>
      </c>
      <c r="H1291" s="4">
        <f t="shared" si="40"/>
        <v>0</v>
      </c>
      <c r="I1291" s="4">
        <f t="shared" si="41"/>
        <v>1</v>
      </c>
      <c r="J1291" s="4">
        <v>0</v>
      </c>
      <c r="K1291" s="4">
        <v>0</v>
      </c>
      <c r="L1291" s="4">
        <v>0</v>
      </c>
      <c r="M1291" s="4">
        <v>0</v>
      </c>
      <c r="N1291" s="4">
        <v>0</v>
      </c>
      <c r="O1291" s="4">
        <v>0</v>
      </c>
    </row>
    <row r="1292" spans="1:15" x14ac:dyDescent="0.15">
      <c r="A1292" s="4">
        <v>1289</v>
      </c>
      <c r="B1292" s="4">
        <v>63</v>
      </c>
      <c r="C1292" s="4">
        <v>38</v>
      </c>
      <c r="D1292" s="4">
        <v>129</v>
      </c>
      <c r="E1292" s="4">
        <v>1</v>
      </c>
      <c r="F1292" s="8">
        <v>0.9</v>
      </c>
      <c r="G1292" s="4">
        <v>1</v>
      </c>
      <c r="H1292" s="4">
        <f t="shared" si="40"/>
        <v>1</v>
      </c>
      <c r="I1292" s="4">
        <f t="shared" si="41"/>
        <v>0</v>
      </c>
      <c r="J1292" s="4">
        <v>366</v>
      </c>
      <c r="K1292" s="4">
        <v>0</v>
      </c>
      <c r="L1292" s="4">
        <v>0</v>
      </c>
      <c r="M1292" s="4">
        <v>1</v>
      </c>
      <c r="N1292" s="4">
        <v>0</v>
      </c>
      <c r="O1292" s="4">
        <v>0</v>
      </c>
    </row>
    <row r="1293" spans="1:15" x14ac:dyDescent="0.15">
      <c r="A1293" s="4">
        <v>1290</v>
      </c>
      <c r="B1293" s="4">
        <v>46</v>
      </c>
      <c r="C1293" s="4">
        <v>21</v>
      </c>
      <c r="D1293" s="4">
        <v>82</v>
      </c>
      <c r="E1293" s="4">
        <v>4</v>
      </c>
      <c r="F1293" s="8">
        <v>0.4</v>
      </c>
      <c r="G1293" s="4">
        <v>1</v>
      </c>
      <c r="H1293" s="4">
        <f t="shared" si="40"/>
        <v>1</v>
      </c>
      <c r="I1293" s="4">
        <f t="shared" si="41"/>
        <v>0</v>
      </c>
      <c r="J1293" s="4">
        <v>0</v>
      </c>
      <c r="K1293" s="4">
        <v>0</v>
      </c>
      <c r="L1293" s="4">
        <v>0</v>
      </c>
      <c r="M1293" s="4">
        <v>0</v>
      </c>
      <c r="N1293" s="4">
        <v>0</v>
      </c>
      <c r="O1293" s="4">
        <v>0</v>
      </c>
    </row>
    <row r="1294" spans="1:15" x14ac:dyDescent="0.15">
      <c r="A1294" s="4">
        <v>1291</v>
      </c>
      <c r="B1294" s="4">
        <v>62</v>
      </c>
      <c r="C1294" s="4">
        <v>38</v>
      </c>
      <c r="D1294" s="4">
        <v>100</v>
      </c>
      <c r="E1294" s="4">
        <v>4</v>
      </c>
      <c r="F1294" s="8">
        <v>1.7</v>
      </c>
      <c r="G1294" s="4">
        <v>2</v>
      </c>
      <c r="H1294" s="4">
        <f t="shared" si="40"/>
        <v>0</v>
      </c>
      <c r="I1294" s="4">
        <f t="shared" si="41"/>
        <v>1</v>
      </c>
      <c r="J1294" s="4">
        <v>0</v>
      </c>
      <c r="K1294" s="4">
        <v>0</v>
      </c>
      <c r="L1294" s="4">
        <v>0</v>
      </c>
      <c r="M1294" s="4">
        <v>1</v>
      </c>
      <c r="N1294" s="4">
        <v>0</v>
      </c>
      <c r="O1294" s="4">
        <v>0</v>
      </c>
    </row>
    <row r="1295" spans="1:15" x14ac:dyDescent="0.15">
      <c r="A1295" s="4">
        <v>1292</v>
      </c>
      <c r="B1295" s="4">
        <v>58</v>
      </c>
      <c r="C1295" s="4">
        <v>34</v>
      </c>
      <c r="D1295" s="4">
        <v>44</v>
      </c>
      <c r="E1295" s="4">
        <v>4</v>
      </c>
      <c r="F1295" s="8">
        <v>2.2000000000000002</v>
      </c>
      <c r="G1295" s="4">
        <v>1</v>
      </c>
      <c r="H1295" s="4">
        <f t="shared" si="40"/>
        <v>1</v>
      </c>
      <c r="I1295" s="4">
        <f t="shared" si="41"/>
        <v>0</v>
      </c>
      <c r="J1295" s="4">
        <v>0</v>
      </c>
      <c r="K1295" s="4">
        <v>1</v>
      </c>
      <c r="L1295" s="4">
        <v>0</v>
      </c>
      <c r="M1295" s="4">
        <v>0</v>
      </c>
      <c r="N1295" s="4">
        <v>0</v>
      </c>
      <c r="O1295" s="4">
        <v>0</v>
      </c>
    </row>
    <row r="1296" spans="1:15" x14ac:dyDescent="0.15">
      <c r="A1296" s="4">
        <v>1293</v>
      </c>
      <c r="B1296" s="4">
        <v>56</v>
      </c>
      <c r="C1296" s="4">
        <v>30</v>
      </c>
      <c r="D1296" s="4">
        <v>164</v>
      </c>
      <c r="E1296" s="4">
        <v>4</v>
      </c>
      <c r="F1296" s="8">
        <v>0.5</v>
      </c>
      <c r="G1296" s="4">
        <v>2</v>
      </c>
      <c r="H1296" s="4">
        <f t="shared" si="40"/>
        <v>0</v>
      </c>
      <c r="I1296" s="4">
        <f t="shared" si="41"/>
        <v>1</v>
      </c>
      <c r="J1296" s="4">
        <v>234</v>
      </c>
      <c r="K1296" s="4">
        <v>0</v>
      </c>
      <c r="L1296" s="4">
        <v>1</v>
      </c>
      <c r="M1296" s="4">
        <v>1</v>
      </c>
      <c r="N1296" s="4">
        <v>1</v>
      </c>
      <c r="O1296" s="4">
        <v>1</v>
      </c>
    </row>
    <row r="1297" spans="1:15" x14ac:dyDescent="0.15">
      <c r="A1297" s="4">
        <v>1294</v>
      </c>
      <c r="B1297" s="4">
        <v>56</v>
      </c>
      <c r="C1297" s="4">
        <v>31</v>
      </c>
      <c r="D1297" s="4">
        <v>81</v>
      </c>
      <c r="E1297" s="4">
        <v>2</v>
      </c>
      <c r="F1297" s="8">
        <v>3.7</v>
      </c>
      <c r="G1297" s="4">
        <v>1</v>
      </c>
      <c r="H1297" s="4">
        <f t="shared" si="40"/>
        <v>1</v>
      </c>
      <c r="I1297" s="4">
        <f t="shared" si="41"/>
        <v>0</v>
      </c>
      <c r="J1297" s="4">
        <v>121</v>
      </c>
      <c r="K1297" s="4">
        <v>0</v>
      </c>
      <c r="L1297" s="4">
        <v>0</v>
      </c>
      <c r="M1297" s="4">
        <v>1</v>
      </c>
      <c r="N1297" s="4">
        <v>1</v>
      </c>
      <c r="O1297" s="4">
        <v>0</v>
      </c>
    </row>
    <row r="1298" spans="1:15" x14ac:dyDescent="0.15">
      <c r="A1298" s="4">
        <v>1295</v>
      </c>
      <c r="B1298" s="4">
        <v>34</v>
      </c>
      <c r="C1298" s="4">
        <v>10</v>
      </c>
      <c r="D1298" s="4">
        <v>71</v>
      </c>
      <c r="E1298" s="4">
        <v>1</v>
      </c>
      <c r="F1298" s="8">
        <v>0.1</v>
      </c>
      <c r="G1298" s="4">
        <v>1</v>
      </c>
      <c r="H1298" s="4">
        <f t="shared" si="40"/>
        <v>1</v>
      </c>
      <c r="I1298" s="4">
        <f t="shared" si="41"/>
        <v>0</v>
      </c>
      <c r="J1298" s="4">
        <v>257</v>
      </c>
      <c r="K1298" s="4">
        <v>0</v>
      </c>
      <c r="L1298" s="4">
        <v>0</v>
      </c>
      <c r="M1298" s="4">
        <v>1</v>
      </c>
      <c r="N1298" s="4">
        <v>1</v>
      </c>
      <c r="O1298" s="4">
        <v>0</v>
      </c>
    </row>
    <row r="1299" spans="1:15" x14ac:dyDescent="0.15">
      <c r="A1299" s="4">
        <v>1296</v>
      </c>
      <c r="B1299" s="4">
        <v>42</v>
      </c>
      <c r="C1299" s="4">
        <v>17</v>
      </c>
      <c r="D1299" s="4">
        <v>28</v>
      </c>
      <c r="E1299" s="4">
        <v>1</v>
      </c>
      <c r="F1299" s="8">
        <v>0.5</v>
      </c>
      <c r="G1299" s="4">
        <v>3</v>
      </c>
      <c r="H1299" s="4">
        <f t="shared" si="40"/>
        <v>0</v>
      </c>
      <c r="I1299" s="4">
        <f t="shared" si="41"/>
        <v>0</v>
      </c>
      <c r="J1299" s="4">
        <v>90</v>
      </c>
      <c r="K1299" s="4">
        <v>0</v>
      </c>
      <c r="L1299" s="4">
        <v>0</v>
      </c>
      <c r="M1299" s="4">
        <v>0</v>
      </c>
      <c r="N1299" s="4">
        <v>0</v>
      </c>
      <c r="O1299" s="4">
        <v>0</v>
      </c>
    </row>
    <row r="1300" spans="1:15" x14ac:dyDescent="0.15">
      <c r="A1300" s="4">
        <v>1297</v>
      </c>
      <c r="B1300" s="4">
        <v>30</v>
      </c>
      <c r="C1300" s="4">
        <v>6</v>
      </c>
      <c r="D1300" s="4">
        <v>80</v>
      </c>
      <c r="E1300" s="4">
        <v>3</v>
      </c>
      <c r="F1300" s="8">
        <v>1.5</v>
      </c>
      <c r="G1300" s="4">
        <v>1</v>
      </c>
      <c r="H1300" s="4">
        <f t="shared" si="40"/>
        <v>1</v>
      </c>
      <c r="I1300" s="4">
        <f t="shared" si="41"/>
        <v>0</v>
      </c>
      <c r="J1300" s="4">
        <v>219</v>
      </c>
      <c r="K1300" s="4">
        <v>0</v>
      </c>
      <c r="L1300" s="4">
        <v>0</v>
      </c>
      <c r="M1300" s="4">
        <v>1</v>
      </c>
      <c r="N1300" s="4">
        <v>0</v>
      </c>
      <c r="O1300" s="4">
        <v>0</v>
      </c>
    </row>
    <row r="1301" spans="1:15" x14ac:dyDescent="0.15">
      <c r="A1301" s="4">
        <v>1298</v>
      </c>
      <c r="B1301" s="4">
        <v>61</v>
      </c>
      <c r="C1301" s="4">
        <v>35</v>
      </c>
      <c r="D1301" s="4">
        <v>90</v>
      </c>
      <c r="E1301" s="4">
        <v>4</v>
      </c>
      <c r="F1301" s="8">
        <v>1.9</v>
      </c>
      <c r="G1301" s="4">
        <v>2</v>
      </c>
      <c r="H1301" s="4">
        <f t="shared" si="40"/>
        <v>0</v>
      </c>
      <c r="I1301" s="4">
        <f t="shared" si="41"/>
        <v>1</v>
      </c>
      <c r="J1301" s="4">
        <v>0</v>
      </c>
      <c r="K1301" s="4">
        <v>0</v>
      </c>
      <c r="L1301" s="4">
        <v>0</v>
      </c>
      <c r="M1301" s="4">
        <v>1</v>
      </c>
      <c r="N1301" s="4">
        <v>0</v>
      </c>
      <c r="O1301" s="4">
        <v>0</v>
      </c>
    </row>
    <row r="1302" spans="1:15" x14ac:dyDescent="0.15">
      <c r="A1302" s="4">
        <v>1299</v>
      </c>
      <c r="B1302" s="4">
        <v>38</v>
      </c>
      <c r="C1302" s="4">
        <v>14</v>
      </c>
      <c r="D1302" s="4">
        <v>74</v>
      </c>
      <c r="E1302" s="4">
        <v>1</v>
      </c>
      <c r="F1302" s="8">
        <v>3.6</v>
      </c>
      <c r="G1302" s="4">
        <v>2</v>
      </c>
      <c r="H1302" s="4">
        <f t="shared" si="40"/>
        <v>0</v>
      </c>
      <c r="I1302" s="4">
        <f t="shared" si="41"/>
        <v>1</v>
      </c>
      <c r="J1302" s="4">
        <v>0</v>
      </c>
      <c r="K1302" s="4">
        <v>0</v>
      </c>
      <c r="L1302" s="4">
        <v>0</v>
      </c>
      <c r="M1302" s="4">
        <v>1</v>
      </c>
      <c r="N1302" s="4">
        <v>1</v>
      </c>
      <c r="O1302" s="4">
        <v>0</v>
      </c>
    </row>
    <row r="1303" spans="1:15" x14ac:dyDescent="0.15">
      <c r="A1303" s="4">
        <v>1300</v>
      </c>
      <c r="B1303" s="4">
        <v>50</v>
      </c>
      <c r="C1303" s="4">
        <v>25</v>
      </c>
      <c r="D1303" s="4">
        <v>14</v>
      </c>
      <c r="E1303" s="4">
        <v>2</v>
      </c>
      <c r="F1303" s="8">
        <v>0.7</v>
      </c>
      <c r="G1303" s="4">
        <v>3</v>
      </c>
      <c r="H1303" s="4">
        <f t="shared" si="40"/>
        <v>0</v>
      </c>
      <c r="I1303" s="4">
        <f t="shared" si="41"/>
        <v>0</v>
      </c>
      <c r="J1303" s="4">
        <v>0</v>
      </c>
      <c r="K1303" s="4">
        <v>1</v>
      </c>
      <c r="L1303" s="4">
        <v>0</v>
      </c>
      <c r="M1303" s="4">
        <v>1</v>
      </c>
      <c r="N1303" s="4">
        <v>0</v>
      </c>
      <c r="O1303" s="4">
        <v>0</v>
      </c>
    </row>
    <row r="1304" spans="1:15" x14ac:dyDescent="0.15">
      <c r="A1304" s="4">
        <v>1301</v>
      </c>
      <c r="B1304" s="4">
        <v>61</v>
      </c>
      <c r="C1304" s="4">
        <v>36</v>
      </c>
      <c r="D1304" s="4">
        <v>23</v>
      </c>
      <c r="E1304" s="4">
        <v>2</v>
      </c>
      <c r="F1304" s="8">
        <v>0.5</v>
      </c>
      <c r="G1304" s="4">
        <v>2</v>
      </c>
      <c r="H1304" s="4">
        <f t="shared" si="40"/>
        <v>0</v>
      </c>
      <c r="I1304" s="4">
        <f t="shared" si="41"/>
        <v>1</v>
      </c>
      <c r="J1304" s="4">
        <v>103</v>
      </c>
      <c r="K1304" s="4">
        <v>0</v>
      </c>
      <c r="L1304" s="4">
        <v>0</v>
      </c>
      <c r="M1304" s="4">
        <v>1</v>
      </c>
      <c r="N1304" s="4">
        <v>0</v>
      </c>
      <c r="O1304" s="4">
        <v>0</v>
      </c>
    </row>
    <row r="1305" spans="1:15" x14ac:dyDescent="0.15">
      <c r="A1305" s="4">
        <v>1302</v>
      </c>
      <c r="B1305" s="4">
        <v>41</v>
      </c>
      <c r="C1305" s="4">
        <v>17</v>
      </c>
      <c r="D1305" s="4">
        <v>153</v>
      </c>
      <c r="E1305" s="4">
        <v>1</v>
      </c>
      <c r="F1305" s="8">
        <v>1.7</v>
      </c>
      <c r="G1305" s="4">
        <v>1</v>
      </c>
      <c r="H1305" s="4">
        <f t="shared" si="40"/>
        <v>1</v>
      </c>
      <c r="I1305" s="4">
        <f t="shared" si="41"/>
        <v>0</v>
      </c>
      <c r="J1305" s="4">
        <v>337</v>
      </c>
      <c r="K1305" s="4">
        <v>0</v>
      </c>
      <c r="L1305" s="4">
        <v>0</v>
      </c>
      <c r="M1305" s="4">
        <v>0</v>
      </c>
      <c r="N1305" s="4">
        <v>1</v>
      </c>
      <c r="O1305" s="4">
        <v>0</v>
      </c>
    </row>
    <row r="1306" spans="1:15" x14ac:dyDescent="0.15">
      <c r="A1306" s="4">
        <v>1303</v>
      </c>
      <c r="B1306" s="4">
        <v>42</v>
      </c>
      <c r="C1306" s="4">
        <v>16</v>
      </c>
      <c r="D1306" s="4">
        <v>38</v>
      </c>
      <c r="E1306" s="4">
        <v>3</v>
      </c>
      <c r="F1306" s="8">
        <v>0.9</v>
      </c>
      <c r="G1306" s="4">
        <v>3</v>
      </c>
      <c r="H1306" s="4">
        <f t="shared" si="40"/>
        <v>0</v>
      </c>
      <c r="I1306" s="4">
        <f t="shared" si="41"/>
        <v>0</v>
      </c>
      <c r="J1306" s="4">
        <v>0</v>
      </c>
      <c r="K1306" s="4">
        <v>0</v>
      </c>
      <c r="L1306" s="4">
        <v>0</v>
      </c>
      <c r="M1306" s="4">
        <v>0</v>
      </c>
      <c r="N1306" s="4">
        <v>0</v>
      </c>
      <c r="O1306" s="4">
        <v>0</v>
      </c>
    </row>
    <row r="1307" spans="1:15" x14ac:dyDescent="0.15">
      <c r="A1307" s="4">
        <v>1304</v>
      </c>
      <c r="B1307" s="4">
        <v>29</v>
      </c>
      <c r="C1307" s="4">
        <v>5</v>
      </c>
      <c r="D1307" s="4">
        <v>112</v>
      </c>
      <c r="E1307" s="4">
        <v>2</v>
      </c>
      <c r="F1307" s="8">
        <v>2</v>
      </c>
      <c r="G1307" s="4">
        <v>2</v>
      </c>
      <c r="H1307" s="4">
        <f t="shared" si="40"/>
        <v>0</v>
      </c>
      <c r="I1307" s="4">
        <f t="shared" si="41"/>
        <v>1</v>
      </c>
      <c r="J1307" s="4">
        <v>382</v>
      </c>
      <c r="K1307" s="4">
        <v>1</v>
      </c>
      <c r="L1307" s="4">
        <v>0</v>
      </c>
      <c r="M1307" s="4">
        <v>0</v>
      </c>
      <c r="N1307" s="4">
        <v>0</v>
      </c>
      <c r="O1307" s="4">
        <v>0</v>
      </c>
    </row>
    <row r="1308" spans="1:15" x14ac:dyDescent="0.15">
      <c r="A1308" s="4">
        <v>1305</v>
      </c>
      <c r="B1308" s="4">
        <v>51</v>
      </c>
      <c r="C1308" s="4">
        <v>26</v>
      </c>
      <c r="D1308" s="4">
        <v>145</v>
      </c>
      <c r="E1308" s="4">
        <v>1</v>
      </c>
      <c r="F1308" s="8">
        <v>8.1</v>
      </c>
      <c r="G1308" s="4">
        <v>1</v>
      </c>
      <c r="H1308" s="4">
        <f t="shared" si="40"/>
        <v>1</v>
      </c>
      <c r="I1308" s="4">
        <f t="shared" si="41"/>
        <v>0</v>
      </c>
      <c r="J1308" s="4">
        <v>397</v>
      </c>
      <c r="K1308" s="4">
        <v>0</v>
      </c>
      <c r="L1308" s="4">
        <v>0</v>
      </c>
      <c r="M1308" s="4">
        <v>0</v>
      </c>
      <c r="N1308" s="4">
        <v>1</v>
      </c>
      <c r="O1308" s="4">
        <v>0</v>
      </c>
    </row>
    <row r="1309" spans="1:15" x14ac:dyDescent="0.15">
      <c r="A1309" s="4">
        <v>1306</v>
      </c>
      <c r="B1309" s="4">
        <v>32</v>
      </c>
      <c r="C1309" s="4">
        <v>6</v>
      </c>
      <c r="D1309" s="4">
        <v>28</v>
      </c>
      <c r="E1309" s="4">
        <v>2</v>
      </c>
      <c r="F1309" s="8">
        <v>0.3</v>
      </c>
      <c r="G1309" s="4">
        <v>2</v>
      </c>
      <c r="H1309" s="4">
        <f t="shared" si="40"/>
        <v>0</v>
      </c>
      <c r="I1309" s="4">
        <f t="shared" si="41"/>
        <v>1</v>
      </c>
      <c r="J1309" s="4">
        <v>88</v>
      </c>
      <c r="K1309" s="4">
        <v>0</v>
      </c>
      <c r="L1309" s="4">
        <v>0</v>
      </c>
      <c r="M1309" s="4">
        <v>1</v>
      </c>
      <c r="N1309" s="4">
        <v>0</v>
      </c>
      <c r="O1309" s="4">
        <v>0</v>
      </c>
    </row>
    <row r="1310" spans="1:15" x14ac:dyDescent="0.15">
      <c r="A1310" s="4">
        <v>1307</v>
      </c>
      <c r="B1310" s="4">
        <v>34</v>
      </c>
      <c r="C1310" s="4">
        <v>9</v>
      </c>
      <c r="D1310" s="4">
        <v>31</v>
      </c>
      <c r="E1310" s="4">
        <v>4</v>
      </c>
      <c r="F1310" s="8">
        <v>1.1000000000000001</v>
      </c>
      <c r="G1310" s="4">
        <v>3</v>
      </c>
      <c r="H1310" s="4">
        <f t="shared" si="40"/>
        <v>0</v>
      </c>
      <c r="I1310" s="4">
        <f t="shared" si="41"/>
        <v>0</v>
      </c>
      <c r="J1310" s="4">
        <v>0</v>
      </c>
      <c r="K1310" s="4">
        <v>0</v>
      </c>
      <c r="L1310" s="4">
        <v>0</v>
      </c>
      <c r="M1310" s="4">
        <v>1</v>
      </c>
      <c r="N1310" s="4">
        <v>1</v>
      </c>
      <c r="O1310" s="4">
        <v>0</v>
      </c>
    </row>
    <row r="1311" spans="1:15" x14ac:dyDescent="0.15">
      <c r="A1311" s="4">
        <v>1308</v>
      </c>
      <c r="B1311" s="4">
        <v>26</v>
      </c>
      <c r="C1311" s="4">
        <v>2</v>
      </c>
      <c r="D1311" s="4">
        <v>195</v>
      </c>
      <c r="E1311" s="4">
        <v>1</v>
      </c>
      <c r="F1311" s="8">
        <v>6.333333333333333</v>
      </c>
      <c r="G1311" s="4">
        <v>1</v>
      </c>
      <c r="H1311" s="4">
        <f t="shared" si="40"/>
        <v>1</v>
      </c>
      <c r="I1311" s="4">
        <f t="shared" si="41"/>
        <v>0</v>
      </c>
      <c r="J1311" s="4">
        <v>0</v>
      </c>
      <c r="K1311" s="4">
        <v>0</v>
      </c>
      <c r="L1311" s="4">
        <v>0</v>
      </c>
      <c r="M1311" s="4">
        <v>1</v>
      </c>
      <c r="N1311" s="4">
        <v>1</v>
      </c>
      <c r="O1311" s="4">
        <v>0</v>
      </c>
    </row>
    <row r="1312" spans="1:15" x14ac:dyDescent="0.15">
      <c r="A1312" s="4">
        <v>1309</v>
      </c>
      <c r="B1312" s="4">
        <v>54</v>
      </c>
      <c r="C1312" s="4">
        <v>24</v>
      </c>
      <c r="D1312" s="4">
        <v>50</v>
      </c>
      <c r="E1312" s="4">
        <v>3</v>
      </c>
      <c r="F1312" s="8">
        <v>2</v>
      </c>
      <c r="G1312" s="4">
        <v>3</v>
      </c>
      <c r="H1312" s="4">
        <f t="shared" si="40"/>
        <v>0</v>
      </c>
      <c r="I1312" s="4">
        <f t="shared" si="41"/>
        <v>0</v>
      </c>
      <c r="J1312" s="4">
        <v>0</v>
      </c>
      <c r="K1312" s="4">
        <v>0</v>
      </c>
      <c r="L1312" s="4">
        <v>0</v>
      </c>
      <c r="M1312" s="4">
        <v>1</v>
      </c>
      <c r="N1312" s="4">
        <v>1</v>
      </c>
      <c r="O1312" s="4">
        <v>0</v>
      </c>
    </row>
    <row r="1313" spans="1:15" x14ac:dyDescent="0.15">
      <c r="A1313" s="4">
        <v>1310</v>
      </c>
      <c r="B1313" s="4">
        <v>38</v>
      </c>
      <c r="C1313" s="4">
        <v>14</v>
      </c>
      <c r="D1313" s="4">
        <v>71</v>
      </c>
      <c r="E1313" s="4">
        <v>4</v>
      </c>
      <c r="F1313" s="8">
        <v>2</v>
      </c>
      <c r="G1313" s="4">
        <v>3</v>
      </c>
      <c r="H1313" s="4">
        <f t="shared" si="40"/>
        <v>0</v>
      </c>
      <c r="I1313" s="4">
        <f t="shared" si="41"/>
        <v>0</v>
      </c>
      <c r="J1313" s="4">
        <v>0</v>
      </c>
      <c r="K1313" s="4">
        <v>0</v>
      </c>
      <c r="L1313" s="4">
        <v>0</v>
      </c>
      <c r="M1313" s="4">
        <v>0</v>
      </c>
      <c r="N1313" s="4">
        <v>0</v>
      </c>
      <c r="O1313" s="4">
        <v>0</v>
      </c>
    </row>
    <row r="1314" spans="1:15" x14ac:dyDescent="0.15">
      <c r="A1314" s="4">
        <v>1311</v>
      </c>
      <c r="B1314" s="4">
        <v>62</v>
      </c>
      <c r="C1314" s="4">
        <v>36</v>
      </c>
      <c r="D1314" s="4">
        <v>21</v>
      </c>
      <c r="E1314" s="4">
        <v>3</v>
      </c>
      <c r="F1314" s="8">
        <v>0.3</v>
      </c>
      <c r="G1314" s="4">
        <v>3</v>
      </c>
      <c r="H1314" s="4">
        <f t="shared" si="40"/>
        <v>0</v>
      </c>
      <c r="I1314" s="4">
        <f t="shared" si="41"/>
        <v>0</v>
      </c>
      <c r="J1314" s="4">
        <v>0</v>
      </c>
      <c r="K1314" s="4">
        <v>0</v>
      </c>
      <c r="L1314" s="4">
        <v>0</v>
      </c>
      <c r="M1314" s="4">
        <v>0</v>
      </c>
      <c r="N1314" s="4">
        <v>0</v>
      </c>
      <c r="O1314" s="4">
        <v>0</v>
      </c>
    </row>
    <row r="1315" spans="1:15" x14ac:dyDescent="0.15">
      <c r="A1315" s="4">
        <v>1312</v>
      </c>
      <c r="B1315" s="4">
        <v>37</v>
      </c>
      <c r="C1315" s="4">
        <v>11</v>
      </c>
      <c r="D1315" s="4">
        <v>35</v>
      </c>
      <c r="E1315" s="4">
        <v>2</v>
      </c>
      <c r="F1315" s="8">
        <v>0.8</v>
      </c>
      <c r="G1315" s="4">
        <v>3</v>
      </c>
      <c r="H1315" s="4">
        <f t="shared" si="40"/>
        <v>0</v>
      </c>
      <c r="I1315" s="4">
        <f t="shared" si="41"/>
        <v>0</v>
      </c>
      <c r="J1315" s="4">
        <v>125</v>
      </c>
      <c r="K1315" s="4">
        <v>0</v>
      </c>
      <c r="L1315" s="4">
        <v>0</v>
      </c>
      <c r="M1315" s="4">
        <v>0</v>
      </c>
      <c r="N1315" s="4">
        <v>0</v>
      </c>
      <c r="O1315" s="4">
        <v>0</v>
      </c>
    </row>
    <row r="1316" spans="1:15" x14ac:dyDescent="0.15">
      <c r="A1316" s="4">
        <v>1313</v>
      </c>
      <c r="B1316" s="4">
        <v>46</v>
      </c>
      <c r="C1316" s="4">
        <v>21</v>
      </c>
      <c r="D1316" s="4">
        <v>42</v>
      </c>
      <c r="E1316" s="4">
        <v>1</v>
      </c>
      <c r="F1316" s="8">
        <v>2.4</v>
      </c>
      <c r="G1316" s="4">
        <v>1</v>
      </c>
      <c r="H1316" s="4">
        <f t="shared" si="40"/>
        <v>1</v>
      </c>
      <c r="I1316" s="4">
        <f t="shared" si="41"/>
        <v>0</v>
      </c>
      <c r="J1316" s="4">
        <v>0</v>
      </c>
      <c r="K1316" s="4">
        <v>0</v>
      </c>
      <c r="L1316" s="4">
        <v>0</v>
      </c>
      <c r="M1316" s="4">
        <v>1</v>
      </c>
      <c r="N1316" s="4">
        <v>1</v>
      </c>
      <c r="O1316" s="4">
        <v>0</v>
      </c>
    </row>
    <row r="1317" spans="1:15" x14ac:dyDescent="0.15">
      <c r="A1317" s="4">
        <v>1314</v>
      </c>
      <c r="B1317" s="4">
        <v>52</v>
      </c>
      <c r="C1317" s="4">
        <v>27</v>
      </c>
      <c r="D1317" s="4">
        <v>78</v>
      </c>
      <c r="E1317" s="4">
        <v>4</v>
      </c>
      <c r="F1317" s="8">
        <v>3.6</v>
      </c>
      <c r="G1317" s="4">
        <v>3</v>
      </c>
      <c r="H1317" s="4">
        <f t="shared" si="40"/>
        <v>0</v>
      </c>
      <c r="I1317" s="4">
        <f t="shared" si="41"/>
        <v>0</v>
      </c>
      <c r="J1317" s="4">
        <v>141</v>
      </c>
      <c r="K1317" s="4">
        <v>0</v>
      </c>
      <c r="L1317" s="4">
        <v>0</v>
      </c>
      <c r="M1317" s="4">
        <v>1</v>
      </c>
      <c r="N1317" s="4">
        <v>0</v>
      </c>
      <c r="O1317" s="4">
        <v>0</v>
      </c>
    </row>
    <row r="1318" spans="1:15" x14ac:dyDescent="0.15">
      <c r="A1318" s="4">
        <v>1315</v>
      </c>
      <c r="B1318" s="4">
        <v>32</v>
      </c>
      <c r="C1318" s="4">
        <v>6</v>
      </c>
      <c r="D1318" s="4">
        <v>73</v>
      </c>
      <c r="E1318" s="4">
        <v>4</v>
      </c>
      <c r="F1318" s="8">
        <v>2.2000000000000002</v>
      </c>
      <c r="G1318" s="4">
        <v>2</v>
      </c>
      <c r="H1318" s="4">
        <f t="shared" si="40"/>
        <v>0</v>
      </c>
      <c r="I1318" s="4">
        <f t="shared" si="41"/>
        <v>1</v>
      </c>
      <c r="J1318" s="4">
        <v>0</v>
      </c>
      <c r="K1318" s="4">
        <v>0</v>
      </c>
      <c r="L1318" s="4">
        <v>0</v>
      </c>
      <c r="M1318" s="4">
        <v>0</v>
      </c>
      <c r="N1318" s="4">
        <v>0</v>
      </c>
      <c r="O1318" s="4">
        <v>0</v>
      </c>
    </row>
    <row r="1319" spans="1:15" x14ac:dyDescent="0.15">
      <c r="A1319" s="4">
        <v>1316</v>
      </c>
      <c r="B1319" s="4">
        <v>49</v>
      </c>
      <c r="C1319" s="4">
        <v>25</v>
      </c>
      <c r="D1319" s="4">
        <v>53</v>
      </c>
      <c r="E1319" s="4">
        <v>2</v>
      </c>
      <c r="F1319" s="8">
        <v>1</v>
      </c>
      <c r="G1319" s="4">
        <v>3</v>
      </c>
      <c r="H1319" s="4">
        <f t="shared" si="40"/>
        <v>0</v>
      </c>
      <c r="I1319" s="4">
        <f t="shared" si="41"/>
        <v>0</v>
      </c>
      <c r="J1319" s="4">
        <v>181</v>
      </c>
      <c r="K1319" s="4">
        <v>0</v>
      </c>
      <c r="L1319" s="4">
        <v>0</v>
      </c>
      <c r="M1319" s="4">
        <v>0</v>
      </c>
      <c r="N1319" s="4">
        <v>0</v>
      </c>
      <c r="O1319" s="4">
        <v>0</v>
      </c>
    </row>
    <row r="1320" spans="1:15" x14ac:dyDescent="0.15">
      <c r="A1320" s="4">
        <v>1317</v>
      </c>
      <c r="B1320" s="4">
        <v>28</v>
      </c>
      <c r="C1320" s="4">
        <v>3</v>
      </c>
      <c r="D1320" s="4">
        <v>51</v>
      </c>
      <c r="E1320" s="4">
        <v>2</v>
      </c>
      <c r="F1320" s="8">
        <v>1.6</v>
      </c>
      <c r="G1320" s="4">
        <v>3</v>
      </c>
      <c r="H1320" s="4">
        <f t="shared" si="40"/>
        <v>0</v>
      </c>
      <c r="I1320" s="4">
        <f t="shared" si="41"/>
        <v>0</v>
      </c>
      <c r="J1320" s="4">
        <v>123</v>
      </c>
      <c r="K1320" s="4">
        <v>0</v>
      </c>
      <c r="L1320" s="4">
        <v>0</v>
      </c>
      <c r="M1320" s="4">
        <v>0</v>
      </c>
      <c r="N1320" s="4">
        <v>0</v>
      </c>
      <c r="O1320" s="4">
        <v>0</v>
      </c>
    </row>
    <row r="1321" spans="1:15" x14ac:dyDescent="0.15">
      <c r="A1321" s="4">
        <v>1318</v>
      </c>
      <c r="B1321" s="4">
        <v>55</v>
      </c>
      <c r="C1321" s="4">
        <v>30</v>
      </c>
      <c r="D1321" s="4">
        <v>40</v>
      </c>
      <c r="E1321" s="4">
        <v>2</v>
      </c>
      <c r="F1321" s="8">
        <v>2.2999999999999998</v>
      </c>
      <c r="G1321" s="4">
        <v>3</v>
      </c>
      <c r="H1321" s="4">
        <f t="shared" si="40"/>
        <v>0</v>
      </c>
      <c r="I1321" s="4">
        <f t="shared" si="41"/>
        <v>0</v>
      </c>
      <c r="J1321" s="4">
        <v>0</v>
      </c>
      <c r="K1321" s="4">
        <v>0</v>
      </c>
      <c r="L1321" s="4">
        <v>0</v>
      </c>
      <c r="M1321" s="4">
        <v>1</v>
      </c>
      <c r="N1321" s="4">
        <v>0</v>
      </c>
      <c r="O1321" s="4">
        <v>0</v>
      </c>
    </row>
    <row r="1322" spans="1:15" x14ac:dyDescent="0.15">
      <c r="A1322" s="4">
        <v>1319</v>
      </c>
      <c r="B1322" s="4">
        <v>52</v>
      </c>
      <c r="C1322" s="4">
        <v>26</v>
      </c>
      <c r="D1322" s="4">
        <v>178</v>
      </c>
      <c r="E1322" s="4">
        <v>1</v>
      </c>
      <c r="F1322" s="8">
        <v>1</v>
      </c>
      <c r="G1322" s="4">
        <v>1</v>
      </c>
      <c r="H1322" s="4">
        <f t="shared" si="40"/>
        <v>1</v>
      </c>
      <c r="I1322" s="4">
        <f t="shared" si="41"/>
        <v>0</v>
      </c>
      <c r="J1322" s="4">
        <v>0</v>
      </c>
      <c r="K1322" s="4">
        <v>0</v>
      </c>
      <c r="L1322" s="4">
        <v>0</v>
      </c>
      <c r="M1322" s="4">
        <v>0</v>
      </c>
      <c r="N1322" s="4">
        <v>0</v>
      </c>
      <c r="O1322" s="4">
        <v>0</v>
      </c>
    </row>
    <row r="1323" spans="1:15" x14ac:dyDescent="0.15">
      <c r="A1323" s="4">
        <v>1320</v>
      </c>
      <c r="B1323" s="4">
        <v>32</v>
      </c>
      <c r="C1323" s="4">
        <v>6</v>
      </c>
      <c r="D1323" s="4">
        <v>35</v>
      </c>
      <c r="E1323" s="4">
        <v>2</v>
      </c>
      <c r="F1323" s="8">
        <v>0.3</v>
      </c>
      <c r="G1323" s="4">
        <v>1</v>
      </c>
      <c r="H1323" s="4">
        <f t="shared" si="40"/>
        <v>1</v>
      </c>
      <c r="I1323" s="4">
        <f t="shared" si="41"/>
        <v>0</v>
      </c>
      <c r="J1323" s="4">
        <v>0</v>
      </c>
      <c r="K1323" s="4">
        <v>0</v>
      </c>
      <c r="L1323" s="4">
        <v>0</v>
      </c>
      <c r="M1323" s="4">
        <v>0</v>
      </c>
      <c r="N1323" s="4">
        <v>1</v>
      </c>
      <c r="O1323" s="4">
        <v>0</v>
      </c>
    </row>
    <row r="1324" spans="1:15" x14ac:dyDescent="0.15">
      <c r="A1324" s="4">
        <v>1321</v>
      </c>
      <c r="B1324" s="4">
        <v>31</v>
      </c>
      <c r="C1324" s="4">
        <v>7</v>
      </c>
      <c r="D1324" s="4">
        <v>192</v>
      </c>
      <c r="E1324" s="4">
        <v>1</v>
      </c>
      <c r="F1324" s="8">
        <v>0</v>
      </c>
      <c r="G1324" s="4">
        <v>2</v>
      </c>
      <c r="H1324" s="4">
        <f t="shared" si="40"/>
        <v>0</v>
      </c>
      <c r="I1324" s="4">
        <f t="shared" si="41"/>
        <v>1</v>
      </c>
      <c r="J1324" s="4">
        <v>0</v>
      </c>
      <c r="K1324" s="4">
        <v>0</v>
      </c>
      <c r="L1324" s="4">
        <v>0</v>
      </c>
      <c r="M1324" s="4">
        <v>1</v>
      </c>
      <c r="N1324" s="4">
        <v>0</v>
      </c>
      <c r="O1324" s="4">
        <v>1</v>
      </c>
    </row>
    <row r="1325" spans="1:15" x14ac:dyDescent="0.15">
      <c r="A1325" s="4">
        <v>1322</v>
      </c>
      <c r="B1325" s="4">
        <v>27</v>
      </c>
      <c r="C1325" s="4">
        <v>3</v>
      </c>
      <c r="D1325" s="4">
        <v>123</v>
      </c>
      <c r="E1325" s="4">
        <v>1</v>
      </c>
      <c r="F1325" s="8">
        <v>5.4</v>
      </c>
      <c r="G1325" s="4">
        <v>1</v>
      </c>
      <c r="H1325" s="4">
        <f t="shared" si="40"/>
        <v>1</v>
      </c>
      <c r="I1325" s="4">
        <f t="shared" si="41"/>
        <v>0</v>
      </c>
      <c r="J1325" s="4">
        <v>0</v>
      </c>
      <c r="K1325" s="4">
        <v>0</v>
      </c>
      <c r="L1325" s="4">
        <v>0</v>
      </c>
      <c r="M1325" s="4">
        <v>0</v>
      </c>
      <c r="N1325" s="4">
        <v>0</v>
      </c>
      <c r="O1325" s="4">
        <v>0</v>
      </c>
    </row>
    <row r="1326" spans="1:15" x14ac:dyDescent="0.15">
      <c r="A1326" s="4">
        <v>1323</v>
      </c>
      <c r="B1326" s="4">
        <v>32</v>
      </c>
      <c r="C1326" s="4">
        <v>5</v>
      </c>
      <c r="D1326" s="4">
        <v>48</v>
      </c>
      <c r="E1326" s="4">
        <v>2</v>
      </c>
      <c r="F1326" s="8">
        <v>1.6666666666666667</v>
      </c>
      <c r="G1326" s="4">
        <v>2</v>
      </c>
      <c r="H1326" s="4">
        <f t="shared" si="40"/>
        <v>0</v>
      </c>
      <c r="I1326" s="4">
        <f t="shared" si="41"/>
        <v>1</v>
      </c>
      <c r="J1326" s="4">
        <v>0</v>
      </c>
      <c r="K1326" s="4">
        <v>1</v>
      </c>
      <c r="L1326" s="4">
        <v>1</v>
      </c>
      <c r="M1326" s="4">
        <v>1</v>
      </c>
      <c r="N1326" s="4">
        <v>1</v>
      </c>
      <c r="O1326" s="4">
        <v>0</v>
      </c>
    </row>
    <row r="1327" spans="1:15" x14ac:dyDescent="0.15">
      <c r="A1327" s="4">
        <v>1324</v>
      </c>
      <c r="B1327" s="4">
        <v>52</v>
      </c>
      <c r="C1327" s="4">
        <v>26</v>
      </c>
      <c r="D1327" s="4">
        <v>45</v>
      </c>
      <c r="E1327" s="4">
        <v>3</v>
      </c>
      <c r="F1327" s="8">
        <v>0.6</v>
      </c>
      <c r="G1327" s="4">
        <v>2</v>
      </c>
      <c r="H1327" s="4">
        <f t="shared" si="40"/>
        <v>0</v>
      </c>
      <c r="I1327" s="4">
        <f t="shared" si="41"/>
        <v>1</v>
      </c>
      <c r="J1327" s="4">
        <v>0</v>
      </c>
      <c r="K1327" s="4">
        <v>0</v>
      </c>
      <c r="L1327" s="4">
        <v>0</v>
      </c>
      <c r="M1327" s="4">
        <v>0</v>
      </c>
      <c r="N1327" s="4">
        <v>0</v>
      </c>
      <c r="O1327" s="4">
        <v>0</v>
      </c>
    </row>
    <row r="1328" spans="1:15" x14ac:dyDescent="0.15">
      <c r="A1328" s="4">
        <v>1325</v>
      </c>
      <c r="B1328" s="4">
        <v>52</v>
      </c>
      <c r="C1328" s="4">
        <v>28</v>
      </c>
      <c r="D1328" s="4">
        <v>15</v>
      </c>
      <c r="E1328" s="4">
        <v>1</v>
      </c>
      <c r="F1328" s="8">
        <v>0.2</v>
      </c>
      <c r="G1328" s="4">
        <v>1</v>
      </c>
      <c r="H1328" s="4">
        <f t="shared" si="40"/>
        <v>1</v>
      </c>
      <c r="I1328" s="4">
        <f t="shared" si="41"/>
        <v>0</v>
      </c>
      <c r="J1328" s="4">
        <v>0</v>
      </c>
      <c r="K1328" s="4">
        <v>0</v>
      </c>
      <c r="L1328" s="4">
        <v>0</v>
      </c>
      <c r="M1328" s="4">
        <v>1</v>
      </c>
      <c r="N1328" s="4">
        <v>0</v>
      </c>
      <c r="O1328" s="4">
        <v>0</v>
      </c>
    </row>
    <row r="1329" spans="1:15" x14ac:dyDescent="0.15">
      <c r="A1329" s="4">
        <v>1326</v>
      </c>
      <c r="B1329" s="4">
        <v>50</v>
      </c>
      <c r="C1329" s="4">
        <v>24</v>
      </c>
      <c r="D1329" s="4">
        <v>79</v>
      </c>
      <c r="E1329" s="4">
        <v>1</v>
      </c>
      <c r="F1329" s="8">
        <v>0.3</v>
      </c>
      <c r="G1329" s="4">
        <v>1</v>
      </c>
      <c r="H1329" s="4">
        <f t="shared" si="40"/>
        <v>1</v>
      </c>
      <c r="I1329" s="4">
        <f t="shared" si="41"/>
        <v>0</v>
      </c>
      <c r="J1329" s="4">
        <v>120</v>
      </c>
      <c r="K1329" s="4">
        <v>0</v>
      </c>
      <c r="L1329" s="4">
        <v>0</v>
      </c>
      <c r="M1329" s="4">
        <v>1</v>
      </c>
      <c r="N1329" s="4">
        <v>0</v>
      </c>
      <c r="O1329" s="4">
        <v>0</v>
      </c>
    </row>
    <row r="1330" spans="1:15" x14ac:dyDescent="0.15">
      <c r="A1330" s="4">
        <v>1327</v>
      </c>
      <c r="B1330" s="4">
        <v>32</v>
      </c>
      <c r="C1330" s="4">
        <v>5</v>
      </c>
      <c r="D1330" s="4">
        <v>63</v>
      </c>
      <c r="E1330" s="4">
        <v>4</v>
      </c>
      <c r="F1330" s="8">
        <v>2</v>
      </c>
      <c r="G1330" s="4">
        <v>2</v>
      </c>
      <c r="H1330" s="4">
        <f t="shared" si="40"/>
        <v>0</v>
      </c>
      <c r="I1330" s="4">
        <f t="shared" si="41"/>
        <v>1</v>
      </c>
      <c r="J1330" s="4">
        <v>0</v>
      </c>
      <c r="K1330" s="4">
        <v>1</v>
      </c>
      <c r="L1330" s="4">
        <v>0</v>
      </c>
      <c r="M1330" s="4">
        <v>1</v>
      </c>
      <c r="N1330" s="4">
        <v>0</v>
      </c>
      <c r="O1330" s="4">
        <v>0</v>
      </c>
    </row>
    <row r="1331" spans="1:15" x14ac:dyDescent="0.15">
      <c r="A1331" s="4">
        <v>1328</v>
      </c>
      <c r="B1331" s="4">
        <v>61</v>
      </c>
      <c r="C1331" s="4">
        <v>35</v>
      </c>
      <c r="D1331" s="4">
        <v>30</v>
      </c>
      <c r="E1331" s="4">
        <v>2</v>
      </c>
      <c r="F1331" s="8">
        <v>0.2</v>
      </c>
      <c r="G1331" s="4">
        <v>3</v>
      </c>
      <c r="H1331" s="4">
        <f t="shared" si="40"/>
        <v>0</v>
      </c>
      <c r="I1331" s="4">
        <f t="shared" si="41"/>
        <v>0</v>
      </c>
      <c r="J1331" s="4">
        <v>0</v>
      </c>
      <c r="K1331" s="4">
        <v>0</v>
      </c>
      <c r="L1331" s="4">
        <v>0</v>
      </c>
      <c r="M1331" s="4">
        <v>1</v>
      </c>
      <c r="N1331" s="4">
        <v>0</v>
      </c>
      <c r="O1331" s="4">
        <v>0</v>
      </c>
    </row>
    <row r="1332" spans="1:15" x14ac:dyDescent="0.15">
      <c r="A1332" s="4">
        <v>1329</v>
      </c>
      <c r="B1332" s="4">
        <v>60</v>
      </c>
      <c r="C1332" s="4">
        <v>36</v>
      </c>
      <c r="D1332" s="4">
        <v>145</v>
      </c>
      <c r="E1332" s="4">
        <v>4</v>
      </c>
      <c r="F1332" s="8">
        <v>6.9</v>
      </c>
      <c r="G1332" s="4">
        <v>1</v>
      </c>
      <c r="H1332" s="4">
        <f t="shared" si="40"/>
        <v>1</v>
      </c>
      <c r="I1332" s="4">
        <f t="shared" si="41"/>
        <v>0</v>
      </c>
      <c r="J1332" s="4">
        <v>380</v>
      </c>
      <c r="K1332" s="4">
        <v>0</v>
      </c>
      <c r="L1332" s="4">
        <v>0</v>
      </c>
      <c r="M1332" s="4">
        <v>0</v>
      </c>
      <c r="N1332" s="4">
        <v>1</v>
      </c>
      <c r="O1332" s="4">
        <v>1</v>
      </c>
    </row>
    <row r="1333" spans="1:15" x14ac:dyDescent="0.15">
      <c r="A1333" s="4">
        <v>1330</v>
      </c>
      <c r="B1333" s="4">
        <v>28</v>
      </c>
      <c r="C1333" s="4">
        <v>4</v>
      </c>
      <c r="D1333" s="4">
        <v>32</v>
      </c>
      <c r="E1333" s="4">
        <v>3</v>
      </c>
      <c r="F1333" s="8">
        <v>1</v>
      </c>
      <c r="G1333" s="4">
        <v>2</v>
      </c>
      <c r="H1333" s="4">
        <f t="shared" si="40"/>
        <v>0</v>
      </c>
      <c r="I1333" s="4">
        <f t="shared" si="41"/>
        <v>1</v>
      </c>
      <c r="J1333" s="4">
        <v>0</v>
      </c>
      <c r="K1333" s="4">
        <v>0</v>
      </c>
      <c r="L1333" s="4">
        <v>0</v>
      </c>
      <c r="M1333" s="4">
        <v>0</v>
      </c>
      <c r="N1333" s="4">
        <v>0</v>
      </c>
      <c r="O1333" s="4">
        <v>0</v>
      </c>
    </row>
    <row r="1334" spans="1:15" x14ac:dyDescent="0.15">
      <c r="A1334" s="4">
        <v>1331</v>
      </c>
      <c r="B1334" s="4">
        <v>34</v>
      </c>
      <c r="C1334" s="4">
        <v>9</v>
      </c>
      <c r="D1334" s="4">
        <v>64</v>
      </c>
      <c r="E1334" s="4">
        <v>2</v>
      </c>
      <c r="F1334" s="8">
        <v>0.1</v>
      </c>
      <c r="G1334" s="4">
        <v>1</v>
      </c>
      <c r="H1334" s="4">
        <f t="shared" si="40"/>
        <v>1</v>
      </c>
      <c r="I1334" s="4">
        <f t="shared" si="41"/>
        <v>0</v>
      </c>
      <c r="J1334" s="4">
        <v>224</v>
      </c>
      <c r="K1334" s="4">
        <v>0</v>
      </c>
      <c r="L1334" s="4">
        <v>0</v>
      </c>
      <c r="M1334" s="4">
        <v>1</v>
      </c>
      <c r="N1334" s="4">
        <v>1</v>
      </c>
      <c r="O1334" s="4">
        <v>0</v>
      </c>
    </row>
    <row r="1335" spans="1:15" x14ac:dyDescent="0.15">
      <c r="A1335" s="4">
        <v>1332</v>
      </c>
      <c r="B1335" s="4">
        <v>31</v>
      </c>
      <c r="C1335" s="4">
        <v>7</v>
      </c>
      <c r="D1335" s="4">
        <v>84</v>
      </c>
      <c r="E1335" s="4">
        <v>1</v>
      </c>
      <c r="F1335" s="8">
        <v>0.1</v>
      </c>
      <c r="G1335" s="4">
        <v>1</v>
      </c>
      <c r="H1335" s="4">
        <f t="shared" si="40"/>
        <v>1</v>
      </c>
      <c r="I1335" s="4">
        <f t="shared" si="41"/>
        <v>0</v>
      </c>
      <c r="J1335" s="4">
        <v>0</v>
      </c>
      <c r="K1335" s="4">
        <v>0</v>
      </c>
      <c r="L1335" s="4">
        <v>0</v>
      </c>
      <c r="M1335" s="4">
        <v>1</v>
      </c>
      <c r="N1335" s="4">
        <v>0</v>
      </c>
      <c r="O1335" s="4">
        <v>0</v>
      </c>
    </row>
    <row r="1336" spans="1:15" x14ac:dyDescent="0.15">
      <c r="A1336" s="4">
        <v>1333</v>
      </c>
      <c r="B1336" s="4">
        <v>31</v>
      </c>
      <c r="C1336" s="4">
        <v>5</v>
      </c>
      <c r="D1336" s="4">
        <v>21</v>
      </c>
      <c r="E1336" s="4">
        <v>1</v>
      </c>
      <c r="F1336" s="8">
        <v>0.4</v>
      </c>
      <c r="G1336" s="4">
        <v>2</v>
      </c>
      <c r="H1336" s="4">
        <f t="shared" si="40"/>
        <v>0</v>
      </c>
      <c r="I1336" s="4">
        <f t="shared" si="41"/>
        <v>1</v>
      </c>
      <c r="J1336" s="4">
        <v>0</v>
      </c>
      <c r="K1336" s="4">
        <v>0</v>
      </c>
      <c r="L1336" s="4">
        <v>0</v>
      </c>
      <c r="M1336" s="4">
        <v>1</v>
      </c>
      <c r="N1336" s="4">
        <v>0</v>
      </c>
      <c r="O1336" s="4">
        <v>0</v>
      </c>
    </row>
    <row r="1337" spans="1:15" x14ac:dyDescent="0.15">
      <c r="A1337" s="4">
        <v>1334</v>
      </c>
      <c r="B1337" s="4">
        <v>62</v>
      </c>
      <c r="C1337" s="4">
        <v>38</v>
      </c>
      <c r="D1337" s="4">
        <v>99</v>
      </c>
      <c r="E1337" s="4">
        <v>4</v>
      </c>
      <c r="F1337" s="8">
        <v>1.7</v>
      </c>
      <c r="G1337" s="4">
        <v>2</v>
      </c>
      <c r="H1337" s="4">
        <f t="shared" si="40"/>
        <v>0</v>
      </c>
      <c r="I1337" s="4">
        <f t="shared" si="41"/>
        <v>1</v>
      </c>
      <c r="J1337" s="4">
        <v>0</v>
      </c>
      <c r="K1337" s="4">
        <v>0</v>
      </c>
      <c r="L1337" s="4">
        <v>0</v>
      </c>
      <c r="M1337" s="4">
        <v>1</v>
      </c>
      <c r="N1337" s="4">
        <v>0</v>
      </c>
      <c r="O1337" s="4">
        <v>0</v>
      </c>
    </row>
    <row r="1338" spans="1:15" x14ac:dyDescent="0.15">
      <c r="A1338" s="4">
        <v>1335</v>
      </c>
      <c r="B1338" s="4">
        <v>47</v>
      </c>
      <c r="C1338" s="4">
        <v>22</v>
      </c>
      <c r="D1338" s="4">
        <v>35</v>
      </c>
      <c r="E1338" s="4">
        <v>2</v>
      </c>
      <c r="F1338" s="8">
        <v>1.3</v>
      </c>
      <c r="G1338" s="4">
        <v>1</v>
      </c>
      <c r="H1338" s="4">
        <f t="shared" si="40"/>
        <v>1</v>
      </c>
      <c r="I1338" s="4">
        <f t="shared" si="41"/>
        <v>0</v>
      </c>
      <c r="J1338" s="4">
        <v>0</v>
      </c>
      <c r="K1338" s="4">
        <v>0</v>
      </c>
      <c r="L1338" s="4">
        <v>0</v>
      </c>
      <c r="M1338" s="4">
        <v>1</v>
      </c>
      <c r="N1338" s="4">
        <v>0</v>
      </c>
      <c r="O1338" s="4">
        <v>0</v>
      </c>
    </row>
    <row r="1339" spans="1:15" x14ac:dyDescent="0.15">
      <c r="A1339" s="4">
        <v>1336</v>
      </c>
      <c r="B1339" s="4">
        <v>50</v>
      </c>
      <c r="C1339" s="4">
        <v>24</v>
      </c>
      <c r="D1339" s="4">
        <v>180</v>
      </c>
      <c r="E1339" s="4">
        <v>1</v>
      </c>
      <c r="F1339" s="8">
        <v>1.7</v>
      </c>
      <c r="G1339" s="4">
        <v>1</v>
      </c>
      <c r="H1339" s="4">
        <f t="shared" si="40"/>
        <v>1</v>
      </c>
      <c r="I1339" s="4">
        <f t="shared" si="41"/>
        <v>0</v>
      </c>
      <c r="J1339" s="4">
        <v>0</v>
      </c>
      <c r="K1339" s="4">
        <v>0</v>
      </c>
      <c r="L1339" s="4">
        <v>0</v>
      </c>
      <c r="M1339" s="4">
        <v>1</v>
      </c>
      <c r="N1339" s="4">
        <v>1</v>
      </c>
      <c r="O1339" s="4">
        <v>0</v>
      </c>
    </row>
    <row r="1340" spans="1:15" x14ac:dyDescent="0.15">
      <c r="A1340" s="4">
        <v>1337</v>
      </c>
      <c r="B1340" s="4">
        <v>36</v>
      </c>
      <c r="C1340" s="4">
        <v>12</v>
      </c>
      <c r="D1340" s="4">
        <v>42</v>
      </c>
      <c r="E1340" s="4">
        <v>1</v>
      </c>
      <c r="F1340" s="8">
        <v>1.3333333333333333</v>
      </c>
      <c r="G1340" s="4">
        <v>1</v>
      </c>
      <c r="H1340" s="4">
        <f t="shared" si="40"/>
        <v>1</v>
      </c>
      <c r="I1340" s="4">
        <f t="shared" si="41"/>
        <v>0</v>
      </c>
      <c r="J1340" s="4">
        <v>0</v>
      </c>
      <c r="K1340" s="4">
        <v>0</v>
      </c>
      <c r="L1340" s="4">
        <v>0</v>
      </c>
      <c r="M1340" s="4">
        <v>1</v>
      </c>
      <c r="N1340" s="4">
        <v>0</v>
      </c>
      <c r="O1340" s="4">
        <v>0</v>
      </c>
    </row>
    <row r="1341" spans="1:15" x14ac:dyDescent="0.15">
      <c r="A1341" s="4">
        <v>1338</v>
      </c>
      <c r="B1341" s="4">
        <v>26</v>
      </c>
      <c r="C1341" s="4">
        <v>0</v>
      </c>
      <c r="D1341" s="4">
        <v>179</v>
      </c>
      <c r="E1341" s="4">
        <v>4</v>
      </c>
      <c r="F1341" s="8">
        <v>2.1</v>
      </c>
      <c r="G1341" s="4">
        <v>2</v>
      </c>
      <c r="H1341" s="4">
        <f t="shared" si="40"/>
        <v>0</v>
      </c>
      <c r="I1341" s="4">
        <f t="shared" si="41"/>
        <v>1</v>
      </c>
      <c r="J1341" s="4">
        <v>0</v>
      </c>
      <c r="K1341" s="4">
        <v>0</v>
      </c>
      <c r="L1341" s="4">
        <v>0</v>
      </c>
      <c r="M1341" s="4">
        <v>0</v>
      </c>
      <c r="N1341" s="4">
        <v>0</v>
      </c>
      <c r="O1341" s="4">
        <v>1</v>
      </c>
    </row>
    <row r="1342" spans="1:15" x14ac:dyDescent="0.15">
      <c r="A1342" s="4">
        <v>1339</v>
      </c>
      <c r="B1342" s="4">
        <v>51</v>
      </c>
      <c r="C1342" s="4">
        <v>27</v>
      </c>
      <c r="D1342" s="4">
        <v>42</v>
      </c>
      <c r="E1342" s="4">
        <v>4</v>
      </c>
      <c r="F1342" s="8">
        <v>0.1</v>
      </c>
      <c r="G1342" s="4">
        <v>3</v>
      </c>
      <c r="H1342" s="4">
        <f t="shared" si="40"/>
        <v>0</v>
      </c>
      <c r="I1342" s="4">
        <f t="shared" si="41"/>
        <v>0</v>
      </c>
      <c r="J1342" s="4">
        <v>0</v>
      </c>
      <c r="K1342" s="4">
        <v>0</v>
      </c>
      <c r="L1342" s="4">
        <v>0</v>
      </c>
      <c r="M1342" s="4">
        <v>0</v>
      </c>
      <c r="N1342" s="4">
        <v>0</v>
      </c>
      <c r="O1342" s="4">
        <v>0</v>
      </c>
    </row>
    <row r="1343" spans="1:15" x14ac:dyDescent="0.15">
      <c r="A1343" s="4">
        <v>1340</v>
      </c>
      <c r="B1343" s="4">
        <v>52</v>
      </c>
      <c r="C1343" s="4">
        <v>25</v>
      </c>
      <c r="D1343" s="4">
        <v>180</v>
      </c>
      <c r="E1343" s="4">
        <v>2</v>
      </c>
      <c r="F1343" s="8">
        <v>9</v>
      </c>
      <c r="G1343" s="4">
        <v>2</v>
      </c>
      <c r="H1343" s="4">
        <f t="shared" si="40"/>
        <v>0</v>
      </c>
      <c r="I1343" s="4">
        <f t="shared" si="41"/>
        <v>1</v>
      </c>
      <c r="J1343" s="4">
        <v>297</v>
      </c>
      <c r="K1343" s="4">
        <v>0</v>
      </c>
      <c r="L1343" s="4">
        <v>0</v>
      </c>
      <c r="M1343" s="4">
        <v>1</v>
      </c>
      <c r="N1343" s="4">
        <v>0</v>
      </c>
      <c r="O1343" s="4">
        <v>1</v>
      </c>
    </row>
    <row r="1344" spans="1:15" x14ac:dyDescent="0.15">
      <c r="A1344" s="4">
        <v>1341</v>
      </c>
      <c r="B1344" s="4">
        <v>35</v>
      </c>
      <c r="C1344" s="4">
        <v>11</v>
      </c>
      <c r="D1344" s="4">
        <v>82</v>
      </c>
      <c r="E1344" s="4">
        <v>4</v>
      </c>
      <c r="F1344" s="8">
        <v>3.4</v>
      </c>
      <c r="G1344" s="4">
        <v>1</v>
      </c>
      <c r="H1344" s="4">
        <f t="shared" si="40"/>
        <v>1</v>
      </c>
      <c r="I1344" s="4">
        <f t="shared" si="41"/>
        <v>0</v>
      </c>
      <c r="J1344" s="4">
        <v>0</v>
      </c>
      <c r="K1344" s="4">
        <v>0</v>
      </c>
      <c r="L1344" s="4">
        <v>0</v>
      </c>
      <c r="M1344" s="4">
        <v>0</v>
      </c>
      <c r="N1344" s="4">
        <v>0</v>
      </c>
      <c r="O1344" s="4">
        <v>0</v>
      </c>
    </row>
    <row r="1345" spans="1:15" x14ac:dyDescent="0.15">
      <c r="A1345" s="4">
        <v>1342</v>
      </c>
      <c r="B1345" s="4">
        <v>42</v>
      </c>
      <c r="C1345" s="4">
        <v>16</v>
      </c>
      <c r="D1345" s="4">
        <v>55</v>
      </c>
      <c r="E1345" s="4">
        <v>2</v>
      </c>
      <c r="F1345" s="8">
        <v>0.7</v>
      </c>
      <c r="G1345" s="4">
        <v>1</v>
      </c>
      <c r="H1345" s="4">
        <f t="shared" si="40"/>
        <v>1</v>
      </c>
      <c r="I1345" s="4">
        <f t="shared" si="41"/>
        <v>0</v>
      </c>
      <c r="J1345" s="4">
        <v>149</v>
      </c>
      <c r="K1345" s="4">
        <v>0</v>
      </c>
      <c r="L1345" s="4">
        <v>0</v>
      </c>
      <c r="M1345" s="4">
        <v>0</v>
      </c>
      <c r="N1345" s="4">
        <v>0</v>
      </c>
      <c r="O1345" s="4">
        <v>0</v>
      </c>
    </row>
    <row r="1346" spans="1:15" x14ac:dyDescent="0.15">
      <c r="A1346" s="4">
        <v>1343</v>
      </c>
      <c r="B1346" s="4">
        <v>36</v>
      </c>
      <c r="C1346" s="4">
        <v>12</v>
      </c>
      <c r="D1346" s="4">
        <v>79</v>
      </c>
      <c r="E1346" s="4">
        <v>2</v>
      </c>
      <c r="F1346" s="8">
        <v>2.2000000000000002</v>
      </c>
      <c r="G1346" s="4">
        <v>1</v>
      </c>
      <c r="H1346" s="4">
        <f t="shared" si="40"/>
        <v>1</v>
      </c>
      <c r="I1346" s="4">
        <f t="shared" si="41"/>
        <v>0</v>
      </c>
      <c r="J1346" s="4">
        <v>0</v>
      </c>
      <c r="K1346" s="4">
        <v>0</v>
      </c>
      <c r="L1346" s="4">
        <v>0</v>
      </c>
      <c r="M1346" s="4">
        <v>1</v>
      </c>
      <c r="N1346" s="4">
        <v>0</v>
      </c>
      <c r="O1346" s="4">
        <v>0</v>
      </c>
    </row>
    <row r="1347" spans="1:15" x14ac:dyDescent="0.15">
      <c r="A1347" s="4">
        <v>1344</v>
      </c>
      <c r="B1347" s="4">
        <v>41</v>
      </c>
      <c r="C1347" s="4">
        <v>17</v>
      </c>
      <c r="D1347" s="4">
        <v>48</v>
      </c>
      <c r="E1347" s="4">
        <v>2</v>
      </c>
      <c r="F1347" s="8">
        <v>0.6</v>
      </c>
      <c r="G1347" s="4">
        <v>3</v>
      </c>
      <c r="H1347" s="4">
        <f t="shared" si="40"/>
        <v>0</v>
      </c>
      <c r="I1347" s="4">
        <f t="shared" si="41"/>
        <v>0</v>
      </c>
      <c r="J1347" s="4">
        <v>215</v>
      </c>
      <c r="K1347" s="4">
        <v>0</v>
      </c>
      <c r="L1347" s="4">
        <v>0</v>
      </c>
      <c r="M1347" s="4">
        <v>0</v>
      </c>
      <c r="N1347" s="4">
        <v>1</v>
      </c>
      <c r="O1347" s="4">
        <v>0</v>
      </c>
    </row>
    <row r="1348" spans="1:15" x14ac:dyDescent="0.15">
      <c r="A1348" s="4">
        <v>1345</v>
      </c>
      <c r="B1348" s="4">
        <v>49</v>
      </c>
      <c r="C1348" s="4">
        <v>25</v>
      </c>
      <c r="D1348" s="4">
        <v>93</v>
      </c>
      <c r="E1348" s="4">
        <v>1</v>
      </c>
      <c r="F1348" s="8">
        <v>2.7</v>
      </c>
      <c r="G1348" s="4">
        <v>1</v>
      </c>
      <c r="H1348" s="4">
        <f t="shared" si="40"/>
        <v>1</v>
      </c>
      <c r="I1348" s="4">
        <f t="shared" si="41"/>
        <v>0</v>
      </c>
      <c r="J1348" s="4">
        <v>0</v>
      </c>
      <c r="K1348" s="4">
        <v>1</v>
      </c>
      <c r="L1348" s="4">
        <v>0</v>
      </c>
      <c r="M1348" s="4">
        <v>1</v>
      </c>
      <c r="N1348" s="4">
        <v>0</v>
      </c>
      <c r="O1348" s="4">
        <v>0</v>
      </c>
    </row>
    <row r="1349" spans="1:15" x14ac:dyDescent="0.15">
      <c r="A1349" s="4">
        <v>1346</v>
      </c>
      <c r="B1349" s="4">
        <v>57</v>
      </c>
      <c r="C1349" s="4">
        <v>32</v>
      </c>
      <c r="D1349" s="4">
        <v>23</v>
      </c>
      <c r="E1349" s="4">
        <v>2</v>
      </c>
      <c r="F1349" s="8">
        <v>0.2</v>
      </c>
      <c r="G1349" s="4">
        <v>3</v>
      </c>
      <c r="H1349" s="4">
        <f t="shared" ref="H1349:H1412" si="42">IF(G1349=1,1,0)</f>
        <v>0</v>
      </c>
      <c r="I1349" s="4">
        <f t="shared" ref="I1349:I1412" si="43">IF(G1349=2,1,0)</f>
        <v>0</v>
      </c>
      <c r="J1349" s="4">
        <v>0</v>
      </c>
      <c r="K1349" s="4">
        <v>0</v>
      </c>
      <c r="L1349" s="4">
        <v>0</v>
      </c>
      <c r="M1349" s="4">
        <v>0</v>
      </c>
      <c r="N1349" s="4">
        <v>0</v>
      </c>
      <c r="O1349" s="4">
        <v>0</v>
      </c>
    </row>
    <row r="1350" spans="1:15" x14ac:dyDescent="0.15">
      <c r="A1350" s="4">
        <v>1347</v>
      </c>
      <c r="B1350" s="4">
        <v>44</v>
      </c>
      <c r="C1350" s="4">
        <v>20</v>
      </c>
      <c r="D1350" s="4">
        <v>50</v>
      </c>
      <c r="E1350" s="4">
        <v>3</v>
      </c>
      <c r="F1350" s="8">
        <v>2.3333333333333335</v>
      </c>
      <c r="G1350" s="4">
        <v>1</v>
      </c>
      <c r="H1350" s="4">
        <f t="shared" si="42"/>
        <v>1</v>
      </c>
      <c r="I1350" s="4">
        <f t="shared" si="43"/>
        <v>0</v>
      </c>
      <c r="J1350" s="4">
        <v>200</v>
      </c>
      <c r="K1350" s="4">
        <v>0</v>
      </c>
      <c r="L1350" s="4">
        <v>0</v>
      </c>
      <c r="M1350" s="4">
        <v>0</v>
      </c>
      <c r="N1350" s="4">
        <v>0</v>
      </c>
      <c r="O1350" s="4">
        <v>0</v>
      </c>
    </row>
    <row r="1351" spans="1:15" x14ac:dyDescent="0.15">
      <c r="A1351" s="4">
        <v>1348</v>
      </c>
      <c r="B1351" s="4">
        <v>60</v>
      </c>
      <c r="C1351" s="4">
        <v>34</v>
      </c>
      <c r="D1351" s="4">
        <v>85</v>
      </c>
      <c r="E1351" s="4">
        <v>2</v>
      </c>
      <c r="F1351" s="8">
        <v>2</v>
      </c>
      <c r="G1351" s="4">
        <v>1</v>
      </c>
      <c r="H1351" s="4">
        <f t="shared" si="42"/>
        <v>1</v>
      </c>
      <c r="I1351" s="4">
        <f t="shared" si="43"/>
        <v>0</v>
      </c>
      <c r="J1351" s="4">
        <v>0</v>
      </c>
      <c r="K1351" s="4">
        <v>0</v>
      </c>
      <c r="L1351" s="4">
        <v>0</v>
      </c>
      <c r="M1351" s="4">
        <v>1</v>
      </c>
      <c r="N1351" s="4">
        <v>0</v>
      </c>
      <c r="O1351" s="4">
        <v>0</v>
      </c>
    </row>
    <row r="1352" spans="1:15" x14ac:dyDescent="0.15">
      <c r="A1352" s="4">
        <v>1349</v>
      </c>
      <c r="B1352" s="4">
        <v>38</v>
      </c>
      <c r="C1352" s="4">
        <v>14</v>
      </c>
      <c r="D1352" s="4">
        <v>35</v>
      </c>
      <c r="E1352" s="4">
        <v>1</v>
      </c>
      <c r="F1352" s="8">
        <v>1.5</v>
      </c>
      <c r="G1352" s="4">
        <v>2</v>
      </c>
      <c r="H1352" s="4">
        <f t="shared" si="42"/>
        <v>0</v>
      </c>
      <c r="I1352" s="4">
        <f t="shared" si="43"/>
        <v>1</v>
      </c>
      <c r="J1352" s="4">
        <v>97</v>
      </c>
      <c r="K1352" s="4">
        <v>0</v>
      </c>
      <c r="L1352" s="4">
        <v>0</v>
      </c>
      <c r="M1352" s="4">
        <v>1</v>
      </c>
      <c r="N1352" s="4">
        <v>0</v>
      </c>
      <c r="O1352" s="4">
        <v>0</v>
      </c>
    </row>
    <row r="1353" spans="1:15" x14ac:dyDescent="0.15">
      <c r="A1353" s="4">
        <v>1350</v>
      </c>
      <c r="B1353" s="4">
        <v>26</v>
      </c>
      <c r="C1353" s="4">
        <v>2</v>
      </c>
      <c r="D1353" s="4">
        <v>171</v>
      </c>
      <c r="E1353" s="4">
        <v>3</v>
      </c>
      <c r="F1353" s="8">
        <v>6</v>
      </c>
      <c r="G1353" s="4">
        <v>2</v>
      </c>
      <c r="H1353" s="4">
        <f t="shared" si="42"/>
        <v>0</v>
      </c>
      <c r="I1353" s="4">
        <f t="shared" si="43"/>
        <v>1</v>
      </c>
      <c r="J1353" s="4">
        <v>0</v>
      </c>
      <c r="K1353" s="4">
        <v>0</v>
      </c>
      <c r="L1353" s="4">
        <v>0</v>
      </c>
      <c r="M1353" s="4">
        <v>1</v>
      </c>
      <c r="N1353" s="4">
        <v>0</v>
      </c>
      <c r="O1353" s="4">
        <v>1</v>
      </c>
    </row>
    <row r="1354" spans="1:15" x14ac:dyDescent="0.15">
      <c r="A1354" s="4">
        <v>1351</v>
      </c>
      <c r="B1354" s="4">
        <v>29</v>
      </c>
      <c r="C1354" s="4">
        <v>2</v>
      </c>
      <c r="D1354" s="4">
        <v>29</v>
      </c>
      <c r="E1354" s="4">
        <v>4</v>
      </c>
      <c r="F1354" s="8">
        <v>1.5</v>
      </c>
      <c r="G1354" s="4">
        <v>2</v>
      </c>
      <c r="H1354" s="4">
        <f t="shared" si="42"/>
        <v>0</v>
      </c>
      <c r="I1354" s="4">
        <f t="shared" si="43"/>
        <v>1</v>
      </c>
      <c r="J1354" s="4">
        <v>0</v>
      </c>
      <c r="K1354" s="4">
        <v>0</v>
      </c>
      <c r="L1354" s="4">
        <v>0</v>
      </c>
      <c r="M1354" s="4">
        <v>0</v>
      </c>
      <c r="N1354" s="4">
        <v>1</v>
      </c>
      <c r="O1354" s="4">
        <v>0</v>
      </c>
    </row>
    <row r="1355" spans="1:15" x14ac:dyDescent="0.15">
      <c r="A1355" s="4">
        <v>1352</v>
      </c>
      <c r="B1355" s="4">
        <v>59</v>
      </c>
      <c r="C1355" s="4">
        <v>35</v>
      </c>
      <c r="D1355" s="4">
        <v>84</v>
      </c>
      <c r="E1355" s="4">
        <v>1</v>
      </c>
      <c r="F1355" s="8">
        <v>1.8</v>
      </c>
      <c r="G1355" s="4">
        <v>3</v>
      </c>
      <c r="H1355" s="4">
        <f t="shared" si="42"/>
        <v>0</v>
      </c>
      <c r="I1355" s="4">
        <f t="shared" si="43"/>
        <v>0</v>
      </c>
      <c r="J1355" s="4">
        <v>0</v>
      </c>
      <c r="K1355" s="4">
        <v>0</v>
      </c>
      <c r="L1355" s="4">
        <v>0</v>
      </c>
      <c r="M1355" s="4">
        <v>1</v>
      </c>
      <c r="N1355" s="4">
        <v>1</v>
      </c>
      <c r="O1355" s="4">
        <v>0</v>
      </c>
    </row>
    <row r="1356" spans="1:15" x14ac:dyDescent="0.15">
      <c r="A1356" s="4">
        <v>1353</v>
      </c>
      <c r="B1356" s="4">
        <v>51</v>
      </c>
      <c r="C1356" s="4">
        <v>27</v>
      </c>
      <c r="D1356" s="4">
        <v>20</v>
      </c>
      <c r="E1356" s="4">
        <v>4</v>
      </c>
      <c r="F1356" s="8">
        <v>0.5</v>
      </c>
      <c r="G1356" s="4">
        <v>2</v>
      </c>
      <c r="H1356" s="4">
        <f t="shared" si="42"/>
        <v>0</v>
      </c>
      <c r="I1356" s="4">
        <f t="shared" si="43"/>
        <v>1</v>
      </c>
      <c r="J1356" s="4">
        <v>0</v>
      </c>
      <c r="K1356" s="4">
        <v>0</v>
      </c>
      <c r="L1356" s="4">
        <v>0</v>
      </c>
      <c r="M1356" s="4">
        <v>1</v>
      </c>
      <c r="N1356" s="4">
        <v>0</v>
      </c>
      <c r="O1356" s="4">
        <v>0</v>
      </c>
    </row>
    <row r="1357" spans="1:15" x14ac:dyDescent="0.15">
      <c r="A1357" s="4">
        <v>1354</v>
      </c>
      <c r="B1357" s="4">
        <v>50</v>
      </c>
      <c r="C1357" s="4">
        <v>25</v>
      </c>
      <c r="D1357" s="4">
        <v>14</v>
      </c>
      <c r="E1357" s="4">
        <v>1</v>
      </c>
      <c r="F1357" s="8">
        <v>0.4</v>
      </c>
      <c r="G1357" s="4">
        <v>3</v>
      </c>
      <c r="H1357" s="4">
        <f t="shared" si="42"/>
        <v>0</v>
      </c>
      <c r="I1357" s="4">
        <f t="shared" si="43"/>
        <v>0</v>
      </c>
      <c r="J1357" s="4">
        <v>0</v>
      </c>
      <c r="K1357" s="4">
        <v>0</v>
      </c>
      <c r="L1357" s="4">
        <v>0</v>
      </c>
      <c r="M1357" s="4">
        <v>1</v>
      </c>
      <c r="N1357" s="4">
        <v>1</v>
      </c>
      <c r="O1357" s="4">
        <v>0</v>
      </c>
    </row>
    <row r="1358" spans="1:15" x14ac:dyDescent="0.15">
      <c r="A1358" s="4">
        <v>1355</v>
      </c>
      <c r="B1358" s="4">
        <v>35</v>
      </c>
      <c r="C1358" s="4">
        <v>10</v>
      </c>
      <c r="D1358" s="4">
        <v>179</v>
      </c>
      <c r="E1358" s="4">
        <v>1</v>
      </c>
      <c r="F1358" s="8">
        <v>8.6</v>
      </c>
      <c r="G1358" s="4">
        <v>1</v>
      </c>
      <c r="H1358" s="4">
        <f t="shared" si="42"/>
        <v>1</v>
      </c>
      <c r="I1358" s="4">
        <f t="shared" si="43"/>
        <v>0</v>
      </c>
      <c r="J1358" s="4">
        <v>357</v>
      </c>
      <c r="K1358" s="4">
        <v>0</v>
      </c>
      <c r="L1358" s="4">
        <v>0</v>
      </c>
      <c r="M1358" s="4">
        <v>0</v>
      </c>
      <c r="N1358" s="4">
        <v>0</v>
      </c>
      <c r="O1358" s="4">
        <v>0</v>
      </c>
    </row>
    <row r="1359" spans="1:15" x14ac:dyDescent="0.15">
      <c r="A1359" s="4">
        <v>1356</v>
      </c>
      <c r="B1359" s="4">
        <v>61</v>
      </c>
      <c r="C1359" s="4">
        <v>37</v>
      </c>
      <c r="D1359" s="4">
        <v>48</v>
      </c>
      <c r="E1359" s="4">
        <v>1</v>
      </c>
      <c r="F1359" s="8">
        <v>0.8</v>
      </c>
      <c r="G1359" s="4">
        <v>1</v>
      </c>
      <c r="H1359" s="4">
        <f t="shared" si="42"/>
        <v>1</v>
      </c>
      <c r="I1359" s="4">
        <f t="shared" si="43"/>
        <v>0</v>
      </c>
      <c r="J1359" s="4">
        <v>158</v>
      </c>
      <c r="K1359" s="4">
        <v>0</v>
      </c>
      <c r="L1359" s="4">
        <v>0</v>
      </c>
      <c r="M1359" s="4">
        <v>1</v>
      </c>
      <c r="N1359" s="4">
        <v>0</v>
      </c>
      <c r="O1359" s="4">
        <v>0</v>
      </c>
    </row>
    <row r="1360" spans="1:15" x14ac:dyDescent="0.15">
      <c r="A1360" s="4">
        <v>1357</v>
      </c>
      <c r="B1360" s="4">
        <v>42</v>
      </c>
      <c r="C1360" s="4">
        <v>16</v>
      </c>
      <c r="D1360" s="4">
        <v>74</v>
      </c>
      <c r="E1360" s="4">
        <v>1</v>
      </c>
      <c r="F1360" s="8">
        <v>2.8</v>
      </c>
      <c r="G1360" s="4">
        <v>1</v>
      </c>
      <c r="H1360" s="4">
        <f t="shared" si="42"/>
        <v>1</v>
      </c>
      <c r="I1360" s="4">
        <f t="shared" si="43"/>
        <v>0</v>
      </c>
      <c r="J1360" s="4">
        <v>0</v>
      </c>
      <c r="K1360" s="4">
        <v>0</v>
      </c>
      <c r="L1360" s="4">
        <v>0</v>
      </c>
      <c r="M1360" s="4">
        <v>1</v>
      </c>
      <c r="N1360" s="4">
        <v>0</v>
      </c>
      <c r="O1360" s="4">
        <v>0</v>
      </c>
    </row>
    <row r="1361" spans="1:15" x14ac:dyDescent="0.15">
      <c r="A1361" s="4">
        <v>1358</v>
      </c>
      <c r="B1361" s="4">
        <v>55</v>
      </c>
      <c r="C1361" s="4">
        <v>29</v>
      </c>
      <c r="D1361" s="4">
        <v>53</v>
      </c>
      <c r="E1361" s="4">
        <v>1</v>
      </c>
      <c r="F1361" s="8">
        <v>1.4</v>
      </c>
      <c r="G1361" s="4">
        <v>1</v>
      </c>
      <c r="H1361" s="4">
        <f t="shared" si="42"/>
        <v>1</v>
      </c>
      <c r="I1361" s="4">
        <f t="shared" si="43"/>
        <v>0</v>
      </c>
      <c r="J1361" s="4">
        <v>0</v>
      </c>
      <c r="K1361" s="4">
        <v>0</v>
      </c>
      <c r="L1361" s="4">
        <v>0</v>
      </c>
      <c r="M1361" s="4">
        <v>0</v>
      </c>
      <c r="N1361" s="4">
        <v>0</v>
      </c>
      <c r="O1361" s="4">
        <v>0</v>
      </c>
    </row>
    <row r="1362" spans="1:15" x14ac:dyDescent="0.15">
      <c r="A1362" s="4">
        <v>1359</v>
      </c>
      <c r="B1362" s="4">
        <v>50</v>
      </c>
      <c r="C1362" s="4">
        <v>25</v>
      </c>
      <c r="D1362" s="4">
        <v>83</v>
      </c>
      <c r="E1362" s="4">
        <v>1</v>
      </c>
      <c r="F1362" s="8">
        <v>2.8</v>
      </c>
      <c r="G1362" s="4">
        <v>2</v>
      </c>
      <c r="H1362" s="4">
        <f t="shared" si="42"/>
        <v>0</v>
      </c>
      <c r="I1362" s="4">
        <f t="shared" si="43"/>
        <v>1</v>
      </c>
      <c r="J1362" s="4">
        <v>0</v>
      </c>
      <c r="K1362" s="4">
        <v>0</v>
      </c>
      <c r="L1362" s="4">
        <v>0</v>
      </c>
      <c r="M1362" s="4">
        <v>1</v>
      </c>
      <c r="N1362" s="4">
        <v>1</v>
      </c>
      <c r="O1362" s="4">
        <v>0</v>
      </c>
    </row>
    <row r="1363" spans="1:15" x14ac:dyDescent="0.15">
      <c r="A1363" s="4">
        <v>1360</v>
      </c>
      <c r="B1363" s="4">
        <v>64</v>
      </c>
      <c r="C1363" s="4">
        <v>40</v>
      </c>
      <c r="D1363" s="4">
        <v>171</v>
      </c>
      <c r="E1363" s="4">
        <v>2</v>
      </c>
      <c r="F1363" s="8">
        <v>2.1</v>
      </c>
      <c r="G1363" s="4">
        <v>1</v>
      </c>
      <c r="H1363" s="4">
        <f t="shared" si="42"/>
        <v>1</v>
      </c>
      <c r="I1363" s="4">
        <f t="shared" si="43"/>
        <v>0</v>
      </c>
      <c r="J1363" s="4">
        <v>433</v>
      </c>
      <c r="K1363" s="4">
        <v>0</v>
      </c>
      <c r="L1363" s="4">
        <v>0</v>
      </c>
      <c r="M1363" s="4">
        <v>0</v>
      </c>
      <c r="N1363" s="4">
        <v>0</v>
      </c>
      <c r="O1363" s="4">
        <v>0</v>
      </c>
    </row>
    <row r="1364" spans="1:15" x14ac:dyDescent="0.15">
      <c r="A1364" s="4">
        <v>1361</v>
      </c>
      <c r="B1364" s="4">
        <v>54</v>
      </c>
      <c r="C1364" s="4">
        <v>28</v>
      </c>
      <c r="D1364" s="4">
        <v>85</v>
      </c>
      <c r="E1364" s="4">
        <v>4</v>
      </c>
      <c r="F1364" s="8">
        <v>4.9000000000000004</v>
      </c>
      <c r="G1364" s="4">
        <v>1</v>
      </c>
      <c r="H1364" s="4">
        <f t="shared" si="42"/>
        <v>1</v>
      </c>
      <c r="I1364" s="4">
        <f t="shared" si="43"/>
        <v>0</v>
      </c>
      <c r="J1364" s="4">
        <v>0</v>
      </c>
      <c r="K1364" s="4">
        <v>0</v>
      </c>
      <c r="L1364" s="4">
        <v>0</v>
      </c>
      <c r="M1364" s="4">
        <v>1</v>
      </c>
      <c r="N1364" s="4">
        <v>0</v>
      </c>
      <c r="O1364" s="4">
        <v>0</v>
      </c>
    </row>
    <row r="1365" spans="1:15" x14ac:dyDescent="0.15">
      <c r="A1365" s="4">
        <v>1362</v>
      </c>
      <c r="B1365" s="4">
        <v>50</v>
      </c>
      <c r="C1365" s="4">
        <v>26</v>
      </c>
      <c r="D1365" s="4">
        <v>38</v>
      </c>
      <c r="E1365" s="4">
        <v>4</v>
      </c>
      <c r="F1365" s="8">
        <v>0.9</v>
      </c>
      <c r="G1365" s="4">
        <v>2</v>
      </c>
      <c r="H1365" s="4">
        <f t="shared" si="42"/>
        <v>0</v>
      </c>
      <c r="I1365" s="4">
        <f t="shared" si="43"/>
        <v>1</v>
      </c>
      <c r="J1365" s="4">
        <v>0</v>
      </c>
      <c r="K1365" s="4">
        <v>0</v>
      </c>
      <c r="L1365" s="4">
        <v>0</v>
      </c>
      <c r="M1365" s="4">
        <v>1</v>
      </c>
      <c r="N1365" s="4">
        <v>0</v>
      </c>
      <c r="O1365" s="4">
        <v>0</v>
      </c>
    </row>
    <row r="1366" spans="1:15" x14ac:dyDescent="0.15">
      <c r="A1366" s="4">
        <v>1363</v>
      </c>
      <c r="B1366" s="4">
        <v>31</v>
      </c>
      <c r="C1366" s="4">
        <v>5</v>
      </c>
      <c r="D1366" s="4">
        <v>85</v>
      </c>
      <c r="E1366" s="4">
        <v>3</v>
      </c>
      <c r="F1366" s="8">
        <v>1.6</v>
      </c>
      <c r="G1366" s="4">
        <v>1</v>
      </c>
      <c r="H1366" s="4">
        <f t="shared" si="42"/>
        <v>1</v>
      </c>
      <c r="I1366" s="4">
        <f t="shared" si="43"/>
        <v>0</v>
      </c>
      <c r="J1366" s="4">
        <v>157</v>
      </c>
      <c r="K1366" s="4">
        <v>0</v>
      </c>
      <c r="L1366" s="4">
        <v>0</v>
      </c>
      <c r="M1366" s="4">
        <v>1</v>
      </c>
      <c r="N1366" s="4">
        <v>1</v>
      </c>
      <c r="O1366" s="4">
        <v>0</v>
      </c>
    </row>
    <row r="1367" spans="1:15" x14ac:dyDescent="0.15">
      <c r="A1367" s="4">
        <v>1364</v>
      </c>
      <c r="B1367" s="4">
        <v>32</v>
      </c>
      <c r="C1367" s="4">
        <v>8</v>
      </c>
      <c r="D1367" s="4">
        <v>79</v>
      </c>
      <c r="E1367" s="4">
        <v>1</v>
      </c>
      <c r="F1367" s="8">
        <v>0.1</v>
      </c>
      <c r="G1367" s="4">
        <v>1</v>
      </c>
      <c r="H1367" s="4">
        <f t="shared" si="42"/>
        <v>1</v>
      </c>
      <c r="I1367" s="4">
        <f t="shared" si="43"/>
        <v>0</v>
      </c>
      <c r="J1367" s="4">
        <v>0</v>
      </c>
      <c r="K1367" s="4">
        <v>0</v>
      </c>
      <c r="L1367" s="4">
        <v>0</v>
      </c>
      <c r="M1367" s="4">
        <v>0</v>
      </c>
      <c r="N1367" s="4">
        <v>0</v>
      </c>
      <c r="O1367" s="4">
        <v>0</v>
      </c>
    </row>
    <row r="1368" spans="1:15" x14ac:dyDescent="0.15">
      <c r="A1368" s="4">
        <v>1365</v>
      </c>
      <c r="B1368" s="4">
        <v>44</v>
      </c>
      <c r="C1368" s="4">
        <v>19</v>
      </c>
      <c r="D1368" s="4">
        <v>69</v>
      </c>
      <c r="E1368" s="4">
        <v>4</v>
      </c>
      <c r="F1368" s="8">
        <v>0.4</v>
      </c>
      <c r="G1368" s="4">
        <v>1</v>
      </c>
      <c r="H1368" s="4">
        <f t="shared" si="42"/>
        <v>1</v>
      </c>
      <c r="I1368" s="4">
        <f t="shared" si="43"/>
        <v>0</v>
      </c>
      <c r="J1368" s="4">
        <v>0</v>
      </c>
      <c r="K1368" s="4">
        <v>0</v>
      </c>
      <c r="L1368" s="4">
        <v>0</v>
      </c>
      <c r="M1368" s="4">
        <v>0</v>
      </c>
      <c r="N1368" s="4">
        <v>0</v>
      </c>
      <c r="O1368" s="4">
        <v>0</v>
      </c>
    </row>
    <row r="1369" spans="1:15" x14ac:dyDescent="0.15">
      <c r="A1369" s="4">
        <v>1366</v>
      </c>
      <c r="B1369" s="4">
        <v>60</v>
      </c>
      <c r="C1369" s="4">
        <v>35</v>
      </c>
      <c r="D1369" s="4">
        <v>43</v>
      </c>
      <c r="E1369" s="4">
        <v>3</v>
      </c>
      <c r="F1369" s="8">
        <v>0.9</v>
      </c>
      <c r="G1369" s="4">
        <v>3</v>
      </c>
      <c r="H1369" s="4">
        <f t="shared" si="42"/>
        <v>0</v>
      </c>
      <c r="I1369" s="4">
        <f t="shared" si="43"/>
        <v>0</v>
      </c>
      <c r="J1369" s="4">
        <v>0</v>
      </c>
      <c r="K1369" s="4">
        <v>0</v>
      </c>
      <c r="L1369" s="4">
        <v>0</v>
      </c>
      <c r="M1369" s="4">
        <v>1</v>
      </c>
      <c r="N1369" s="4">
        <v>1</v>
      </c>
      <c r="O1369" s="4">
        <v>0</v>
      </c>
    </row>
    <row r="1370" spans="1:15" x14ac:dyDescent="0.15">
      <c r="A1370" s="4">
        <v>1367</v>
      </c>
      <c r="B1370" s="4">
        <v>60</v>
      </c>
      <c r="C1370" s="4">
        <v>34</v>
      </c>
      <c r="D1370" s="4">
        <v>33</v>
      </c>
      <c r="E1370" s="4">
        <v>2</v>
      </c>
      <c r="F1370" s="8">
        <v>0.3</v>
      </c>
      <c r="G1370" s="4">
        <v>1</v>
      </c>
      <c r="H1370" s="4">
        <f t="shared" si="42"/>
        <v>1</v>
      </c>
      <c r="I1370" s="4">
        <f t="shared" si="43"/>
        <v>0</v>
      </c>
      <c r="J1370" s="4">
        <v>101</v>
      </c>
      <c r="K1370" s="4">
        <v>0</v>
      </c>
      <c r="L1370" s="4">
        <v>0</v>
      </c>
      <c r="M1370" s="4">
        <v>1</v>
      </c>
      <c r="N1370" s="4">
        <v>0</v>
      </c>
      <c r="O1370" s="4">
        <v>0</v>
      </c>
    </row>
    <row r="1371" spans="1:15" x14ac:dyDescent="0.15">
      <c r="A1371" s="4">
        <v>1368</v>
      </c>
      <c r="B1371" s="4">
        <v>62</v>
      </c>
      <c r="C1371" s="4">
        <v>38</v>
      </c>
      <c r="D1371" s="4">
        <v>42</v>
      </c>
      <c r="E1371" s="4">
        <v>3</v>
      </c>
      <c r="F1371" s="8">
        <v>0.1</v>
      </c>
      <c r="G1371" s="4">
        <v>3</v>
      </c>
      <c r="H1371" s="4">
        <f t="shared" si="42"/>
        <v>0</v>
      </c>
      <c r="I1371" s="4">
        <f t="shared" si="43"/>
        <v>0</v>
      </c>
      <c r="J1371" s="4">
        <v>149</v>
      </c>
      <c r="K1371" s="4">
        <v>0</v>
      </c>
      <c r="L1371" s="4">
        <v>0</v>
      </c>
      <c r="M1371" s="4">
        <v>0</v>
      </c>
      <c r="N1371" s="4">
        <v>1</v>
      </c>
      <c r="O1371" s="4">
        <v>0</v>
      </c>
    </row>
    <row r="1372" spans="1:15" x14ac:dyDescent="0.15">
      <c r="A1372" s="4">
        <v>1369</v>
      </c>
      <c r="B1372" s="4">
        <v>46</v>
      </c>
      <c r="C1372" s="4">
        <v>21</v>
      </c>
      <c r="D1372" s="4">
        <v>40</v>
      </c>
      <c r="E1372" s="4">
        <v>4</v>
      </c>
      <c r="F1372" s="8">
        <v>1.9</v>
      </c>
      <c r="G1372" s="4">
        <v>3</v>
      </c>
      <c r="H1372" s="4">
        <f t="shared" si="42"/>
        <v>0</v>
      </c>
      <c r="I1372" s="4">
        <f t="shared" si="43"/>
        <v>0</v>
      </c>
      <c r="J1372" s="4">
        <v>122</v>
      </c>
      <c r="K1372" s="4">
        <v>0</v>
      </c>
      <c r="L1372" s="4">
        <v>0</v>
      </c>
      <c r="M1372" s="4">
        <v>1</v>
      </c>
      <c r="N1372" s="4">
        <v>0</v>
      </c>
      <c r="O1372" s="4">
        <v>0</v>
      </c>
    </row>
    <row r="1373" spans="1:15" x14ac:dyDescent="0.15">
      <c r="A1373" s="4">
        <v>1370</v>
      </c>
      <c r="B1373" s="4">
        <v>57</v>
      </c>
      <c r="C1373" s="4">
        <v>33</v>
      </c>
      <c r="D1373" s="4">
        <v>43</v>
      </c>
      <c r="E1373" s="4">
        <v>1</v>
      </c>
      <c r="F1373" s="8">
        <v>1.8</v>
      </c>
      <c r="G1373" s="4">
        <v>3</v>
      </c>
      <c r="H1373" s="4">
        <f t="shared" si="42"/>
        <v>0</v>
      </c>
      <c r="I1373" s="4">
        <f t="shared" si="43"/>
        <v>0</v>
      </c>
      <c r="J1373" s="4">
        <v>0</v>
      </c>
      <c r="K1373" s="4">
        <v>0</v>
      </c>
      <c r="L1373" s="4">
        <v>0</v>
      </c>
      <c r="M1373" s="4">
        <v>0</v>
      </c>
      <c r="N1373" s="4">
        <v>0</v>
      </c>
      <c r="O1373" s="4">
        <v>0</v>
      </c>
    </row>
    <row r="1374" spans="1:15" x14ac:dyDescent="0.15">
      <c r="A1374" s="4">
        <v>1371</v>
      </c>
      <c r="B1374" s="4">
        <v>30</v>
      </c>
      <c r="C1374" s="4">
        <v>5</v>
      </c>
      <c r="D1374" s="4">
        <v>20</v>
      </c>
      <c r="E1374" s="4">
        <v>4</v>
      </c>
      <c r="F1374" s="8">
        <v>0.5</v>
      </c>
      <c r="G1374" s="4">
        <v>3</v>
      </c>
      <c r="H1374" s="4">
        <f t="shared" si="42"/>
        <v>0</v>
      </c>
      <c r="I1374" s="4">
        <f t="shared" si="43"/>
        <v>0</v>
      </c>
      <c r="J1374" s="4">
        <v>117</v>
      </c>
      <c r="K1374" s="4">
        <v>0</v>
      </c>
      <c r="L1374" s="4">
        <v>0</v>
      </c>
      <c r="M1374" s="4">
        <v>0</v>
      </c>
      <c r="N1374" s="4">
        <v>0</v>
      </c>
      <c r="O1374" s="4">
        <v>0</v>
      </c>
    </row>
    <row r="1375" spans="1:15" x14ac:dyDescent="0.15">
      <c r="A1375" s="4">
        <v>1372</v>
      </c>
      <c r="B1375" s="4">
        <v>58</v>
      </c>
      <c r="C1375" s="4">
        <v>32</v>
      </c>
      <c r="D1375" s="4">
        <v>65</v>
      </c>
      <c r="E1375" s="4">
        <v>3</v>
      </c>
      <c r="F1375" s="8">
        <v>2.5</v>
      </c>
      <c r="G1375" s="4">
        <v>1</v>
      </c>
      <c r="H1375" s="4">
        <f t="shared" si="42"/>
        <v>1</v>
      </c>
      <c r="I1375" s="4">
        <f t="shared" si="43"/>
        <v>0</v>
      </c>
      <c r="J1375" s="4">
        <v>222</v>
      </c>
      <c r="K1375" s="4">
        <v>0</v>
      </c>
      <c r="L1375" s="4">
        <v>0</v>
      </c>
      <c r="M1375" s="4">
        <v>1</v>
      </c>
      <c r="N1375" s="4">
        <v>0</v>
      </c>
      <c r="O1375" s="4">
        <v>0</v>
      </c>
    </row>
    <row r="1376" spans="1:15" x14ac:dyDescent="0.15">
      <c r="A1376" s="4">
        <v>1373</v>
      </c>
      <c r="B1376" s="4">
        <v>39</v>
      </c>
      <c r="C1376" s="4">
        <v>13</v>
      </c>
      <c r="D1376" s="4">
        <v>139</v>
      </c>
      <c r="E1376" s="4">
        <v>3</v>
      </c>
      <c r="F1376" s="8">
        <v>3.4</v>
      </c>
      <c r="G1376" s="4">
        <v>1</v>
      </c>
      <c r="H1376" s="4">
        <f t="shared" si="42"/>
        <v>1</v>
      </c>
      <c r="I1376" s="4">
        <f t="shared" si="43"/>
        <v>0</v>
      </c>
      <c r="J1376" s="4">
        <v>483</v>
      </c>
      <c r="K1376" s="4">
        <v>0</v>
      </c>
      <c r="L1376" s="4">
        <v>0</v>
      </c>
      <c r="M1376" s="4">
        <v>1</v>
      </c>
      <c r="N1376" s="4">
        <v>0</v>
      </c>
      <c r="O1376" s="4">
        <v>1</v>
      </c>
    </row>
    <row r="1377" spans="1:15" x14ac:dyDescent="0.15">
      <c r="A1377" s="4">
        <v>1374</v>
      </c>
      <c r="B1377" s="4">
        <v>60</v>
      </c>
      <c r="C1377" s="4">
        <v>35</v>
      </c>
      <c r="D1377" s="4">
        <v>135</v>
      </c>
      <c r="E1377" s="4">
        <v>3</v>
      </c>
      <c r="F1377" s="8">
        <v>0.3</v>
      </c>
      <c r="G1377" s="4">
        <v>3</v>
      </c>
      <c r="H1377" s="4">
        <f t="shared" si="42"/>
        <v>0</v>
      </c>
      <c r="I1377" s="4">
        <f t="shared" si="43"/>
        <v>0</v>
      </c>
      <c r="J1377" s="4">
        <v>0</v>
      </c>
      <c r="K1377" s="4">
        <v>0</v>
      </c>
      <c r="L1377" s="4">
        <v>0</v>
      </c>
      <c r="M1377" s="4">
        <v>1</v>
      </c>
      <c r="N1377" s="4">
        <v>0</v>
      </c>
      <c r="O1377" s="4">
        <v>1</v>
      </c>
    </row>
    <row r="1378" spans="1:15" x14ac:dyDescent="0.15">
      <c r="A1378" s="4">
        <v>1375</v>
      </c>
      <c r="B1378" s="4">
        <v>59</v>
      </c>
      <c r="C1378" s="4">
        <v>34</v>
      </c>
      <c r="D1378" s="4">
        <v>84</v>
      </c>
      <c r="E1378" s="4">
        <v>3</v>
      </c>
      <c r="F1378" s="8">
        <v>1.6</v>
      </c>
      <c r="G1378" s="4">
        <v>3</v>
      </c>
      <c r="H1378" s="4">
        <f t="shared" si="42"/>
        <v>0</v>
      </c>
      <c r="I1378" s="4">
        <f t="shared" si="43"/>
        <v>0</v>
      </c>
      <c r="J1378" s="4">
        <v>0</v>
      </c>
      <c r="K1378" s="4">
        <v>0</v>
      </c>
      <c r="L1378" s="4">
        <v>0</v>
      </c>
      <c r="M1378" s="4">
        <v>1</v>
      </c>
      <c r="N1378" s="4">
        <v>0</v>
      </c>
      <c r="O1378" s="4">
        <v>0</v>
      </c>
    </row>
    <row r="1379" spans="1:15" x14ac:dyDescent="0.15">
      <c r="A1379" s="4">
        <v>1376</v>
      </c>
      <c r="B1379" s="4">
        <v>50</v>
      </c>
      <c r="C1379" s="4">
        <v>26</v>
      </c>
      <c r="D1379" s="4">
        <v>179</v>
      </c>
      <c r="E1379" s="4">
        <v>1</v>
      </c>
      <c r="F1379" s="8">
        <v>2.9</v>
      </c>
      <c r="G1379" s="4">
        <v>3</v>
      </c>
      <c r="H1379" s="4">
        <f t="shared" si="42"/>
        <v>0</v>
      </c>
      <c r="I1379" s="4">
        <f t="shared" si="43"/>
        <v>0</v>
      </c>
      <c r="J1379" s="4">
        <v>0</v>
      </c>
      <c r="K1379" s="4">
        <v>0</v>
      </c>
      <c r="L1379" s="4">
        <v>0</v>
      </c>
      <c r="M1379" s="4">
        <v>0</v>
      </c>
      <c r="N1379" s="4">
        <v>1</v>
      </c>
      <c r="O1379" s="4">
        <v>1</v>
      </c>
    </row>
    <row r="1380" spans="1:15" x14ac:dyDescent="0.15">
      <c r="A1380" s="4">
        <v>1377</v>
      </c>
      <c r="B1380" s="4">
        <v>63</v>
      </c>
      <c r="C1380" s="4">
        <v>39</v>
      </c>
      <c r="D1380" s="4">
        <v>45</v>
      </c>
      <c r="E1380" s="4">
        <v>4</v>
      </c>
      <c r="F1380" s="8">
        <v>1.3</v>
      </c>
      <c r="G1380" s="4">
        <v>2</v>
      </c>
      <c r="H1380" s="4">
        <f t="shared" si="42"/>
        <v>0</v>
      </c>
      <c r="I1380" s="4">
        <f t="shared" si="43"/>
        <v>1</v>
      </c>
      <c r="J1380" s="4">
        <v>86</v>
      </c>
      <c r="K1380" s="4">
        <v>0</v>
      </c>
      <c r="L1380" s="4">
        <v>0</v>
      </c>
      <c r="M1380" s="4">
        <v>0</v>
      </c>
      <c r="N1380" s="4">
        <v>0</v>
      </c>
      <c r="O1380" s="4">
        <v>0</v>
      </c>
    </row>
    <row r="1381" spans="1:15" x14ac:dyDescent="0.15">
      <c r="A1381" s="4">
        <v>1378</v>
      </c>
      <c r="B1381" s="4">
        <v>27</v>
      </c>
      <c r="C1381" s="4">
        <v>3</v>
      </c>
      <c r="D1381" s="4">
        <v>109</v>
      </c>
      <c r="E1381" s="4">
        <v>2</v>
      </c>
      <c r="F1381" s="8">
        <v>2.5</v>
      </c>
      <c r="G1381" s="4">
        <v>1</v>
      </c>
      <c r="H1381" s="4">
        <f t="shared" si="42"/>
        <v>1</v>
      </c>
      <c r="I1381" s="4">
        <f t="shared" si="43"/>
        <v>0</v>
      </c>
      <c r="J1381" s="4">
        <v>0</v>
      </c>
      <c r="K1381" s="4">
        <v>0</v>
      </c>
      <c r="L1381" s="4">
        <v>0</v>
      </c>
      <c r="M1381" s="4">
        <v>1</v>
      </c>
      <c r="N1381" s="4">
        <v>0</v>
      </c>
      <c r="O1381" s="4">
        <v>0</v>
      </c>
    </row>
    <row r="1382" spans="1:15" x14ac:dyDescent="0.15">
      <c r="A1382" s="4">
        <v>1379</v>
      </c>
      <c r="B1382" s="4">
        <v>54</v>
      </c>
      <c r="C1382" s="4">
        <v>29</v>
      </c>
      <c r="D1382" s="4">
        <v>34</v>
      </c>
      <c r="E1382" s="4">
        <v>4</v>
      </c>
      <c r="F1382" s="8">
        <v>0.1</v>
      </c>
      <c r="G1382" s="4">
        <v>3</v>
      </c>
      <c r="H1382" s="4">
        <f t="shared" si="42"/>
        <v>0</v>
      </c>
      <c r="I1382" s="4">
        <f t="shared" si="43"/>
        <v>0</v>
      </c>
      <c r="J1382" s="4">
        <v>0</v>
      </c>
      <c r="K1382" s="4">
        <v>0</v>
      </c>
      <c r="L1382" s="4">
        <v>0</v>
      </c>
      <c r="M1382" s="4">
        <v>1</v>
      </c>
      <c r="N1382" s="4">
        <v>0</v>
      </c>
      <c r="O1382" s="4">
        <v>0</v>
      </c>
    </row>
    <row r="1383" spans="1:15" x14ac:dyDescent="0.15">
      <c r="A1383" s="4">
        <v>1380</v>
      </c>
      <c r="B1383" s="4">
        <v>62</v>
      </c>
      <c r="C1383" s="4">
        <v>37</v>
      </c>
      <c r="D1383" s="4">
        <v>162</v>
      </c>
      <c r="E1383" s="4">
        <v>1</v>
      </c>
      <c r="F1383" s="8">
        <v>1.3</v>
      </c>
      <c r="G1383" s="4">
        <v>1</v>
      </c>
      <c r="H1383" s="4">
        <f t="shared" si="42"/>
        <v>1</v>
      </c>
      <c r="I1383" s="4">
        <f t="shared" si="43"/>
        <v>0</v>
      </c>
      <c r="J1383" s="4">
        <v>0</v>
      </c>
      <c r="K1383" s="4">
        <v>0</v>
      </c>
      <c r="L1383" s="4">
        <v>0</v>
      </c>
      <c r="M1383" s="4">
        <v>1</v>
      </c>
      <c r="N1383" s="4">
        <v>0</v>
      </c>
      <c r="O1383" s="4">
        <v>0</v>
      </c>
    </row>
    <row r="1384" spans="1:15" x14ac:dyDescent="0.15">
      <c r="A1384" s="4">
        <v>1381</v>
      </c>
      <c r="B1384" s="4">
        <v>60</v>
      </c>
      <c r="C1384" s="4">
        <v>34</v>
      </c>
      <c r="D1384" s="4">
        <v>105</v>
      </c>
      <c r="E1384" s="4">
        <v>2</v>
      </c>
      <c r="F1384" s="8">
        <v>1.4</v>
      </c>
      <c r="G1384" s="4">
        <v>1</v>
      </c>
      <c r="H1384" s="4">
        <f t="shared" si="42"/>
        <v>1</v>
      </c>
      <c r="I1384" s="4">
        <f t="shared" si="43"/>
        <v>0</v>
      </c>
      <c r="J1384" s="4">
        <v>0</v>
      </c>
      <c r="K1384" s="4">
        <v>0</v>
      </c>
      <c r="L1384" s="4">
        <v>0</v>
      </c>
      <c r="M1384" s="4">
        <v>1</v>
      </c>
      <c r="N1384" s="4">
        <v>0</v>
      </c>
      <c r="O1384" s="4">
        <v>0</v>
      </c>
    </row>
    <row r="1385" spans="1:15" x14ac:dyDescent="0.15">
      <c r="A1385" s="4">
        <v>1382</v>
      </c>
      <c r="B1385" s="4">
        <v>38</v>
      </c>
      <c r="C1385" s="4">
        <v>12</v>
      </c>
      <c r="D1385" s="4">
        <v>22</v>
      </c>
      <c r="E1385" s="4">
        <v>3</v>
      </c>
      <c r="F1385" s="8">
        <v>0.2</v>
      </c>
      <c r="G1385" s="4">
        <v>2</v>
      </c>
      <c r="H1385" s="4">
        <f t="shared" si="42"/>
        <v>0</v>
      </c>
      <c r="I1385" s="4">
        <f t="shared" si="43"/>
        <v>1</v>
      </c>
      <c r="J1385" s="4">
        <v>0</v>
      </c>
      <c r="K1385" s="4">
        <v>0</v>
      </c>
      <c r="L1385" s="4">
        <v>0</v>
      </c>
      <c r="M1385" s="4">
        <v>1</v>
      </c>
      <c r="N1385" s="4">
        <v>0</v>
      </c>
      <c r="O1385" s="4">
        <v>0</v>
      </c>
    </row>
    <row r="1386" spans="1:15" x14ac:dyDescent="0.15">
      <c r="A1386" s="4">
        <v>1383</v>
      </c>
      <c r="B1386" s="4">
        <v>34</v>
      </c>
      <c r="C1386" s="4">
        <v>8</v>
      </c>
      <c r="D1386" s="4">
        <v>82</v>
      </c>
      <c r="E1386" s="4">
        <v>2</v>
      </c>
      <c r="F1386" s="8">
        <v>1.8</v>
      </c>
      <c r="G1386" s="4">
        <v>1</v>
      </c>
      <c r="H1386" s="4">
        <f t="shared" si="42"/>
        <v>1</v>
      </c>
      <c r="I1386" s="4">
        <f t="shared" si="43"/>
        <v>0</v>
      </c>
      <c r="J1386" s="4">
        <v>178</v>
      </c>
      <c r="K1386" s="4">
        <v>0</v>
      </c>
      <c r="L1386" s="4">
        <v>0</v>
      </c>
      <c r="M1386" s="4">
        <v>1</v>
      </c>
      <c r="N1386" s="4">
        <v>1</v>
      </c>
      <c r="O1386" s="4">
        <v>0</v>
      </c>
    </row>
    <row r="1387" spans="1:15" x14ac:dyDescent="0.15">
      <c r="A1387" s="4">
        <v>1384</v>
      </c>
      <c r="B1387" s="4">
        <v>65</v>
      </c>
      <c r="C1387" s="4">
        <v>41</v>
      </c>
      <c r="D1387" s="4">
        <v>105</v>
      </c>
      <c r="E1387" s="4">
        <v>4</v>
      </c>
      <c r="F1387" s="8">
        <v>1.7</v>
      </c>
      <c r="G1387" s="4">
        <v>2</v>
      </c>
      <c r="H1387" s="4">
        <f t="shared" si="42"/>
        <v>0</v>
      </c>
      <c r="I1387" s="4">
        <f t="shared" si="43"/>
        <v>1</v>
      </c>
      <c r="J1387" s="4">
        <v>230</v>
      </c>
      <c r="K1387" s="4">
        <v>1</v>
      </c>
      <c r="L1387" s="4">
        <v>0</v>
      </c>
      <c r="M1387" s="4">
        <v>1</v>
      </c>
      <c r="N1387" s="4">
        <v>0</v>
      </c>
      <c r="O1387" s="4">
        <v>0</v>
      </c>
    </row>
    <row r="1388" spans="1:15" x14ac:dyDescent="0.15">
      <c r="A1388" s="4">
        <v>1385</v>
      </c>
      <c r="B1388" s="4">
        <v>55</v>
      </c>
      <c r="C1388" s="4">
        <v>31</v>
      </c>
      <c r="D1388" s="4">
        <v>62</v>
      </c>
      <c r="E1388" s="4">
        <v>1</v>
      </c>
      <c r="F1388" s="8">
        <v>1.8</v>
      </c>
      <c r="G1388" s="4">
        <v>3</v>
      </c>
      <c r="H1388" s="4">
        <f t="shared" si="42"/>
        <v>0</v>
      </c>
      <c r="I1388" s="4">
        <f t="shared" si="43"/>
        <v>0</v>
      </c>
      <c r="J1388" s="4">
        <v>0</v>
      </c>
      <c r="K1388" s="4">
        <v>0</v>
      </c>
      <c r="L1388" s="4">
        <v>0</v>
      </c>
      <c r="M1388" s="4">
        <v>1</v>
      </c>
      <c r="N1388" s="4">
        <v>0</v>
      </c>
      <c r="O1388" s="4">
        <v>0</v>
      </c>
    </row>
    <row r="1389" spans="1:15" x14ac:dyDescent="0.15">
      <c r="A1389" s="4">
        <v>1386</v>
      </c>
      <c r="B1389" s="4">
        <v>57</v>
      </c>
      <c r="C1389" s="4">
        <v>31</v>
      </c>
      <c r="D1389" s="4">
        <v>82</v>
      </c>
      <c r="E1389" s="4">
        <v>2</v>
      </c>
      <c r="F1389" s="8">
        <v>2</v>
      </c>
      <c r="G1389" s="4">
        <v>1</v>
      </c>
      <c r="H1389" s="4">
        <f t="shared" si="42"/>
        <v>1</v>
      </c>
      <c r="I1389" s="4">
        <f t="shared" si="43"/>
        <v>0</v>
      </c>
      <c r="J1389" s="4">
        <v>83</v>
      </c>
      <c r="K1389" s="4">
        <v>0</v>
      </c>
      <c r="L1389" s="4">
        <v>0</v>
      </c>
      <c r="M1389" s="4">
        <v>0</v>
      </c>
      <c r="N1389" s="4">
        <v>1</v>
      </c>
      <c r="O1389" s="4">
        <v>0</v>
      </c>
    </row>
    <row r="1390" spans="1:15" x14ac:dyDescent="0.15">
      <c r="A1390" s="4">
        <v>1387</v>
      </c>
      <c r="B1390" s="4">
        <v>27</v>
      </c>
      <c r="C1390" s="4">
        <v>3</v>
      </c>
      <c r="D1390" s="4">
        <v>72</v>
      </c>
      <c r="E1390" s="4">
        <v>4</v>
      </c>
      <c r="F1390" s="8">
        <v>0</v>
      </c>
      <c r="G1390" s="4">
        <v>1</v>
      </c>
      <c r="H1390" s="4">
        <f t="shared" si="42"/>
        <v>1</v>
      </c>
      <c r="I1390" s="4">
        <f t="shared" si="43"/>
        <v>0</v>
      </c>
      <c r="J1390" s="4">
        <v>0</v>
      </c>
      <c r="K1390" s="4">
        <v>0</v>
      </c>
      <c r="L1390" s="4">
        <v>0</v>
      </c>
      <c r="M1390" s="4">
        <v>1</v>
      </c>
      <c r="N1390" s="4">
        <v>0</v>
      </c>
      <c r="O1390" s="4">
        <v>0</v>
      </c>
    </row>
    <row r="1391" spans="1:15" x14ac:dyDescent="0.15">
      <c r="A1391" s="4">
        <v>1388</v>
      </c>
      <c r="B1391" s="4">
        <v>35</v>
      </c>
      <c r="C1391" s="4">
        <v>10</v>
      </c>
      <c r="D1391" s="4">
        <v>38</v>
      </c>
      <c r="E1391" s="4">
        <v>4</v>
      </c>
      <c r="F1391" s="8">
        <v>1.7</v>
      </c>
      <c r="G1391" s="4">
        <v>1</v>
      </c>
      <c r="H1391" s="4">
        <f t="shared" si="42"/>
        <v>1</v>
      </c>
      <c r="I1391" s="4">
        <f t="shared" si="43"/>
        <v>0</v>
      </c>
      <c r="J1391" s="4">
        <v>0</v>
      </c>
      <c r="K1391" s="4">
        <v>0</v>
      </c>
      <c r="L1391" s="4">
        <v>0</v>
      </c>
      <c r="M1391" s="4">
        <v>1</v>
      </c>
      <c r="N1391" s="4">
        <v>1</v>
      </c>
      <c r="O1391" s="4">
        <v>0</v>
      </c>
    </row>
    <row r="1392" spans="1:15" x14ac:dyDescent="0.15">
      <c r="A1392" s="4">
        <v>1389</v>
      </c>
      <c r="B1392" s="4">
        <v>52</v>
      </c>
      <c r="C1392" s="4">
        <v>28</v>
      </c>
      <c r="D1392" s="4">
        <v>25</v>
      </c>
      <c r="E1392" s="4">
        <v>4</v>
      </c>
      <c r="F1392" s="8">
        <v>1</v>
      </c>
      <c r="G1392" s="4">
        <v>1</v>
      </c>
      <c r="H1392" s="4">
        <f t="shared" si="42"/>
        <v>1</v>
      </c>
      <c r="I1392" s="4">
        <f t="shared" si="43"/>
        <v>0</v>
      </c>
      <c r="J1392" s="4">
        <v>0</v>
      </c>
      <c r="K1392" s="4">
        <v>0</v>
      </c>
      <c r="L1392" s="4">
        <v>0</v>
      </c>
      <c r="M1392" s="4">
        <v>0</v>
      </c>
      <c r="N1392" s="4">
        <v>0</v>
      </c>
      <c r="O1392" s="4">
        <v>0</v>
      </c>
    </row>
    <row r="1393" spans="1:15" x14ac:dyDescent="0.15">
      <c r="A1393" s="4">
        <v>1390</v>
      </c>
      <c r="B1393" s="4">
        <v>45</v>
      </c>
      <c r="C1393" s="4">
        <v>15</v>
      </c>
      <c r="D1393" s="4">
        <v>20</v>
      </c>
      <c r="E1393" s="4">
        <v>1</v>
      </c>
      <c r="F1393" s="8">
        <v>0.75</v>
      </c>
      <c r="G1393" s="4">
        <v>3</v>
      </c>
      <c r="H1393" s="4">
        <f t="shared" si="42"/>
        <v>0</v>
      </c>
      <c r="I1393" s="4">
        <f t="shared" si="43"/>
        <v>0</v>
      </c>
      <c r="J1393" s="4">
        <v>0</v>
      </c>
      <c r="K1393" s="4">
        <v>0</v>
      </c>
      <c r="L1393" s="4">
        <v>0</v>
      </c>
      <c r="M1393" s="4">
        <v>1</v>
      </c>
      <c r="N1393" s="4">
        <v>0</v>
      </c>
      <c r="O1393" s="4">
        <v>0</v>
      </c>
    </row>
    <row r="1394" spans="1:15" x14ac:dyDescent="0.15">
      <c r="A1394" s="4">
        <v>1391</v>
      </c>
      <c r="B1394" s="4">
        <v>29</v>
      </c>
      <c r="C1394" s="4">
        <v>3</v>
      </c>
      <c r="D1394" s="4">
        <v>80</v>
      </c>
      <c r="E1394" s="4">
        <v>4</v>
      </c>
      <c r="F1394" s="8">
        <v>1.8</v>
      </c>
      <c r="G1394" s="4">
        <v>2</v>
      </c>
      <c r="H1394" s="4">
        <f t="shared" si="42"/>
        <v>0</v>
      </c>
      <c r="I1394" s="4">
        <f t="shared" si="43"/>
        <v>1</v>
      </c>
      <c r="J1394" s="4">
        <v>0</v>
      </c>
      <c r="K1394" s="4">
        <v>0</v>
      </c>
      <c r="L1394" s="4">
        <v>0</v>
      </c>
      <c r="M1394" s="4">
        <v>1</v>
      </c>
      <c r="N1394" s="4">
        <v>1</v>
      </c>
      <c r="O1394" s="4">
        <v>0</v>
      </c>
    </row>
    <row r="1395" spans="1:15" x14ac:dyDescent="0.15">
      <c r="A1395" s="4">
        <v>1392</v>
      </c>
      <c r="B1395" s="4">
        <v>44</v>
      </c>
      <c r="C1395" s="4">
        <v>18</v>
      </c>
      <c r="D1395" s="4">
        <v>84</v>
      </c>
      <c r="E1395" s="4">
        <v>3</v>
      </c>
      <c r="F1395" s="8">
        <v>1.1000000000000001</v>
      </c>
      <c r="G1395" s="4">
        <v>1</v>
      </c>
      <c r="H1395" s="4">
        <f t="shared" si="42"/>
        <v>1</v>
      </c>
      <c r="I1395" s="4">
        <f t="shared" si="43"/>
        <v>0</v>
      </c>
      <c r="J1395" s="4">
        <v>0</v>
      </c>
      <c r="K1395" s="4">
        <v>0</v>
      </c>
      <c r="L1395" s="4">
        <v>0</v>
      </c>
      <c r="M1395" s="4">
        <v>0</v>
      </c>
      <c r="N1395" s="4">
        <v>0</v>
      </c>
      <c r="O1395" s="4">
        <v>0</v>
      </c>
    </row>
    <row r="1396" spans="1:15" x14ac:dyDescent="0.15">
      <c r="A1396" s="4">
        <v>1393</v>
      </c>
      <c r="B1396" s="4">
        <v>47</v>
      </c>
      <c r="C1396" s="4">
        <v>23</v>
      </c>
      <c r="D1396" s="4">
        <v>33</v>
      </c>
      <c r="E1396" s="4">
        <v>1</v>
      </c>
      <c r="F1396" s="8">
        <v>1</v>
      </c>
      <c r="G1396" s="4">
        <v>1</v>
      </c>
      <c r="H1396" s="4">
        <f t="shared" si="42"/>
        <v>1</v>
      </c>
      <c r="I1396" s="4">
        <f t="shared" si="43"/>
        <v>0</v>
      </c>
      <c r="J1396" s="4">
        <v>0</v>
      </c>
      <c r="K1396" s="4">
        <v>0</v>
      </c>
      <c r="L1396" s="4">
        <v>0</v>
      </c>
      <c r="M1396" s="4">
        <v>1</v>
      </c>
      <c r="N1396" s="4">
        <v>1</v>
      </c>
      <c r="O1396" s="4">
        <v>0</v>
      </c>
    </row>
    <row r="1397" spans="1:15" x14ac:dyDescent="0.15">
      <c r="A1397" s="4">
        <v>1394</v>
      </c>
      <c r="B1397" s="4">
        <v>62</v>
      </c>
      <c r="C1397" s="4">
        <v>37</v>
      </c>
      <c r="D1397" s="4">
        <v>55</v>
      </c>
      <c r="E1397" s="4">
        <v>3</v>
      </c>
      <c r="F1397" s="8">
        <v>0.9</v>
      </c>
      <c r="G1397" s="4">
        <v>3</v>
      </c>
      <c r="H1397" s="4">
        <f t="shared" si="42"/>
        <v>0</v>
      </c>
      <c r="I1397" s="4">
        <f t="shared" si="43"/>
        <v>0</v>
      </c>
      <c r="J1397" s="4">
        <v>0</v>
      </c>
      <c r="K1397" s="4">
        <v>0</v>
      </c>
      <c r="L1397" s="4">
        <v>0</v>
      </c>
      <c r="M1397" s="4">
        <v>1</v>
      </c>
      <c r="N1397" s="4">
        <v>0</v>
      </c>
      <c r="O1397" s="4">
        <v>0</v>
      </c>
    </row>
    <row r="1398" spans="1:15" x14ac:dyDescent="0.15">
      <c r="A1398" s="4">
        <v>1395</v>
      </c>
      <c r="B1398" s="4">
        <v>52</v>
      </c>
      <c r="C1398" s="4">
        <v>27</v>
      </c>
      <c r="D1398" s="4">
        <v>33</v>
      </c>
      <c r="E1398" s="4">
        <v>2</v>
      </c>
      <c r="F1398" s="8">
        <v>0.7</v>
      </c>
      <c r="G1398" s="4">
        <v>2</v>
      </c>
      <c r="H1398" s="4">
        <f t="shared" si="42"/>
        <v>0</v>
      </c>
      <c r="I1398" s="4">
        <f t="shared" si="43"/>
        <v>1</v>
      </c>
      <c r="J1398" s="4">
        <v>0</v>
      </c>
      <c r="K1398" s="4">
        <v>0</v>
      </c>
      <c r="L1398" s="4">
        <v>0</v>
      </c>
      <c r="M1398" s="4">
        <v>0</v>
      </c>
      <c r="N1398" s="4">
        <v>1</v>
      </c>
      <c r="O1398" s="4">
        <v>0</v>
      </c>
    </row>
    <row r="1399" spans="1:15" x14ac:dyDescent="0.15">
      <c r="A1399" s="4">
        <v>1396</v>
      </c>
      <c r="B1399" s="4">
        <v>47</v>
      </c>
      <c r="C1399" s="4">
        <v>23</v>
      </c>
      <c r="D1399" s="4">
        <v>190</v>
      </c>
      <c r="E1399" s="4">
        <v>4</v>
      </c>
      <c r="F1399" s="8">
        <v>0.3</v>
      </c>
      <c r="G1399" s="4">
        <v>3</v>
      </c>
      <c r="H1399" s="4">
        <f t="shared" si="42"/>
        <v>0</v>
      </c>
      <c r="I1399" s="4">
        <f t="shared" si="43"/>
        <v>0</v>
      </c>
      <c r="J1399" s="4">
        <v>305</v>
      </c>
      <c r="K1399" s="4">
        <v>0</v>
      </c>
      <c r="L1399" s="4">
        <v>0</v>
      </c>
      <c r="M1399" s="4">
        <v>0</v>
      </c>
      <c r="N1399" s="4">
        <v>0</v>
      </c>
      <c r="O1399" s="4">
        <v>1</v>
      </c>
    </row>
    <row r="1400" spans="1:15" x14ac:dyDescent="0.15">
      <c r="A1400" s="4">
        <v>1397</v>
      </c>
      <c r="B1400" s="4">
        <v>42</v>
      </c>
      <c r="C1400" s="4">
        <v>18</v>
      </c>
      <c r="D1400" s="4">
        <v>43</v>
      </c>
      <c r="E1400" s="4">
        <v>1</v>
      </c>
      <c r="F1400" s="8">
        <v>0.3</v>
      </c>
      <c r="G1400" s="4">
        <v>3</v>
      </c>
      <c r="H1400" s="4">
        <f t="shared" si="42"/>
        <v>0</v>
      </c>
      <c r="I1400" s="4">
        <f t="shared" si="43"/>
        <v>0</v>
      </c>
      <c r="J1400" s="4">
        <v>158</v>
      </c>
      <c r="K1400" s="4">
        <v>0</v>
      </c>
      <c r="L1400" s="4">
        <v>0</v>
      </c>
      <c r="M1400" s="4">
        <v>0</v>
      </c>
      <c r="N1400" s="4">
        <v>0</v>
      </c>
      <c r="O1400" s="4">
        <v>0</v>
      </c>
    </row>
    <row r="1401" spans="1:15" x14ac:dyDescent="0.15">
      <c r="A1401" s="4">
        <v>1398</v>
      </c>
      <c r="B1401" s="4">
        <v>65</v>
      </c>
      <c r="C1401" s="4">
        <v>41</v>
      </c>
      <c r="D1401" s="4">
        <v>45</v>
      </c>
      <c r="E1401" s="4">
        <v>3</v>
      </c>
      <c r="F1401" s="8">
        <v>0.1</v>
      </c>
      <c r="G1401" s="4">
        <v>3</v>
      </c>
      <c r="H1401" s="4">
        <f t="shared" si="42"/>
        <v>0</v>
      </c>
      <c r="I1401" s="4">
        <f t="shared" si="43"/>
        <v>0</v>
      </c>
      <c r="J1401" s="4">
        <v>0</v>
      </c>
      <c r="K1401" s="4">
        <v>0</v>
      </c>
      <c r="L1401" s="4">
        <v>0</v>
      </c>
      <c r="M1401" s="4">
        <v>1</v>
      </c>
      <c r="N1401" s="4">
        <v>0</v>
      </c>
      <c r="O1401" s="4">
        <v>0</v>
      </c>
    </row>
    <row r="1402" spans="1:15" x14ac:dyDescent="0.15">
      <c r="A1402" s="4">
        <v>1399</v>
      </c>
      <c r="B1402" s="4">
        <v>42</v>
      </c>
      <c r="C1402" s="4">
        <v>18</v>
      </c>
      <c r="D1402" s="4">
        <v>141</v>
      </c>
      <c r="E1402" s="4">
        <v>1</v>
      </c>
      <c r="F1402" s="8">
        <v>3.5</v>
      </c>
      <c r="G1402" s="4">
        <v>1</v>
      </c>
      <c r="H1402" s="4">
        <f t="shared" si="42"/>
        <v>1</v>
      </c>
      <c r="I1402" s="4">
        <f t="shared" si="43"/>
        <v>0</v>
      </c>
      <c r="J1402" s="4">
        <v>0</v>
      </c>
      <c r="K1402" s="4">
        <v>0</v>
      </c>
      <c r="L1402" s="4">
        <v>0</v>
      </c>
      <c r="M1402" s="4">
        <v>0</v>
      </c>
      <c r="N1402" s="4">
        <v>0</v>
      </c>
      <c r="O1402" s="4">
        <v>0</v>
      </c>
    </row>
    <row r="1403" spans="1:15" x14ac:dyDescent="0.15">
      <c r="A1403" s="4">
        <v>1400</v>
      </c>
      <c r="B1403" s="4">
        <v>40</v>
      </c>
      <c r="C1403" s="4">
        <v>16</v>
      </c>
      <c r="D1403" s="4">
        <v>69</v>
      </c>
      <c r="E1403" s="4">
        <v>4</v>
      </c>
      <c r="F1403" s="8">
        <v>2.4</v>
      </c>
      <c r="G1403" s="4">
        <v>1</v>
      </c>
      <c r="H1403" s="4">
        <f t="shared" si="42"/>
        <v>1</v>
      </c>
      <c r="I1403" s="4">
        <f t="shared" si="43"/>
        <v>0</v>
      </c>
      <c r="J1403" s="4">
        <v>0</v>
      </c>
      <c r="K1403" s="4">
        <v>0</v>
      </c>
      <c r="L1403" s="4">
        <v>0</v>
      </c>
      <c r="M1403" s="4">
        <v>1</v>
      </c>
      <c r="N1403" s="4">
        <v>0</v>
      </c>
      <c r="O1403" s="4">
        <v>0</v>
      </c>
    </row>
    <row r="1404" spans="1:15" x14ac:dyDescent="0.15">
      <c r="A1404" s="4">
        <v>1401</v>
      </c>
      <c r="B1404" s="4">
        <v>32</v>
      </c>
      <c r="C1404" s="4">
        <v>8</v>
      </c>
      <c r="D1404" s="4">
        <v>78</v>
      </c>
      <c r="E1404" s="4">
        <v>4</v>
      </c>
      <c r="F1404" s="8">
        <v>0.1</v>
      </c>
      <c r="G1404" s="4">
        <v>2</v>
      </c>
      <c r="H1404" s="4">
        <f t="shared" si="42"/>
        <v>0</v>
      </c>
      <c r="I1404" s="4">
        <f t="shared" si="43"/>
        <v>1</v>
      </c>
      <c r="J1404" s="4">
        <v>0</v>
      </c>
      <c r="K1404" s="4">
        <v>0</v>
      </c>
      <c r="L1404" s="4">
        <v>0</v>
      </c>
      <c r="M1404" s="4">
        <v>1</v>
      </c>
      <c r="N1404" s="4">
        <v>0</v>
      </c>
      <c r="O1404" s="4">
        <v>0</v>
      </c>
    </row>
    <row r="1405" spans="1:15" x14ac:dyDescent="0.15">
      <c r="A1405" s="4">
        <v>1402</v>
      </c>
      <c r="B1405" s="4">
        <v>40</v>
      </c>
      <c r="C1405" s="4">
        <v>15</v>
      </c>
      <c r="D1405" s="4">
        <v>84</v>
      </c>
      <c r="E1405" s="4">
        <v>1</v>
      </c>
      <c r="F1405" s="8">
        <v>3.7</v>
      </c>
      <c r="G1405" s="4">
        <v>3</v>
      </c>
      <c r="H1405" s="4">
        <f t="shared" si="42"/>
        <v>0</v>
      </c>
      <c r="I1405" s="4">
        <f t="shared" si="43"/>
        <v>0</v>
      </c>
      <c r="J1405" s="4">
        <v>0</v>
      </c>
      <c r="K1405" s="4">
        <v>0</v>
      </c>
      <c r="L1405" s="4">
        <v>0</v>
      </c>
      <c r="M1405" s="4">
        <v>1</v>
      </c>
      <c r="N1405" s="4">
        <v>0</v>
      </c>
      <c r="O1405" s="4">
        <v>0</v>
      </c>
    </row>
    <row r="1406" spans="1:15" x14ac:dyDescent="0.15">
      <c r="A1406" s="4">
        <v>1403</v>
      </c>
      <c r="B1406" s="4">
        <v>55</v>
      </c>
      <c r="C1406" s="4">
        <v>29</v>
      </c>
      <c r="D1406" s="4">
        <v>172</v>
      </c>
      <c r="E1406" s="4">
        <v>1</v>
      </c>
      <c r="F1406" s="8">
        <v>5.2</v>
      </c>
      <c r="G1406" s="4">
        <v>2</v>
      </c>
      <c r="H1406" s="4">
        <f t="shared" si="42"/>
        <v>0</v>
      </c>
      <c r="I1406" s="4">
        <f t="shared" si="43"/>
        <v>1</v>
      </c>
      <c r="J1406" s="4">
        <v>0</v>
      </c>
      <c r="K1406" s="4">
        <v>0</v>
      </c>
      <c r="L1406" s="4">
        <v>0</v>
      </c>
      <c r="M1406" s="4">
        <v>0</v>
      </c>
      <c r="N1406" s="4">
        <v>0</v>
      </c>
      <c r="O1406" s="4">
        <v>1</v>
      </c>
    </row>
    <row r="1407" spans="1:15" x14ac:dyDescent="0.15">
      <c r="A1407" s="4">
        <v>1404</v>
      </c>
      <c r="B1407" s="4">
        <v>32</v>
      </c>
      <c r="C1407" s="4">
        <v>6</v>
      </c>
      <c r="D1407" s="4">
        <v>51</v>
      </c>
      <c r="E1407" s="4">
        <v>4</v>
      </c>
      <c r="F1407" s="8">
        <v>0.2</v>
      </c>
      <c r="G1407" s="4">
        <v>1</v>
      </c>
      <c r="H1407" s="4">
        <f t="shared" si="42"/>
        <v>1</v>
      </c>
      <c r="I1407" s="4">
        <f t="shared" si="43"/>
        <v>0</v>
      </c>
      <c r="J1407" s="4">
        <v>154</v>
      </c>
      <c r="K1407" s="4">
        <v>1</v>
      </c>
      <c r="L1407" s="4">
        <v>0</v>
      </c>
      <c r="M1407" s="4">
        <v>0</v>
      </c>
      <c r="N1407" s="4">
        <v>1</v>
      </c>
      <c r="O1407" s="4">
        <v>0</v>
      </c>
    </row>
    <row r="1408" spans="1:15" x14ac:dyDescent="0.15">
      <c r="A1408" s="4">
        <v>1405</v>
      </c>
      <c r="B1408" s="4">
        <v>58</v>
      </c>
      <c r="C1408" s="4">
        <v>28</v>
      </c>
      <c r="D1408" s="4">
        <v>75</v>
      </c>
      <c r="E1408" s="4">
        <v>1</v>
      </c>
      <c r="F1408" s="8">
        <v>1.4</v>
      </c>
      <c r="G1408" s="4">
        <v>3</v>
      </c>
      <c r="H1408" s="4">
        <f t="shared" si="42"/>
        <v>0</v>
      </c>
      <c r="I1408" s="4">
        <f t="shared" si="43"/>
        <v>0</v>
      </c>
      <c r="J1408" s="4">
        <v>0</v>
      </c>
      <c r="K1408" s="4">
        <v>0</v>
      </c>
      <c r="L1408" s="4">
        <v>0</v>
      </c>
      <c r="M1408" s="4">
        <v>1</v>
      </c>
      <c r="N1408" s="4">
        <v>0</v>
      </c>
      <c r="O1408" s="4">
        <v>0</v>
      </c>
    </row>
    <row r="1409" spans="1:15" x14ac:dyDescent="0.15">
      <c r="A1409" s="4">
        <v>1406</v>
      </c>
      <c r="B1409" s="4">
        <v>46</v>
      </c>
      <c r="C1409" s="4">
        <v>22</v>
      </c>
      <c r="D1409" s="4">
        <v>183</v>
      </c>
      <c r="E1409" s="4">
        <v>1</v>
      </c>
      <c r="F1409" s="8">
        <v>3.1</v>
      </c>
      <c r="G1409" s="4">
        <v>2</v>
      </c>
      <c r="H1409" s="4">
        <f t="shared" si="42"/>
        <v>0</v>
      </c>
      <c r="I1409" s="4">
        <f t="shared" si="43"/>
        <v>1</v>
      </c>
      <c r="J1409" s="4">
        <v>0</v>
      </c>
      <c r="K1409" s="4">
        <v>0</v>
      </c>
      <c r="L1409" s="4">
        <v>1</v>
      </c>
      <c r="M1409" s="4">
        <v>1</v>
      </c>
      <c r="N1409" s="4">
        <v>1</v>
      </c>
      <c r="O1409" s="4">
        <v>1</v>
      </c>
    </row>
    <row r="1410" spans="1:15" x14ac:dyDescent="0.15">
      <c r="A1410" s="4">
        <v>1407</v>
      </c>
      <c r="B1410" s="4">
        <v>53</v>
      </c>
      <c r="C1410" s="4">
        <v>23</v>
      </c>
      <c r="D1410" s="4">
        <v>20</v>
      </c>
      <c r="E1410" s="4">
        <v>4</v>
      </c>
      <c r="F1410" s="8">
        <v>0.4</v>
      </c>
      <c r="G1410" s="4">
        <v>3</v>
      </c>
      <c r="H1410" s="4">
        <f t="shared" si="42"/>
        <v>0</v>
      </c>
      <c r="I1410" s="4">
        <f t="shared" si="43"/>
        <v>0</v>
      </c>
      <c r="J1410" s="4">
        <v>0</v>
      </c>
      <c r="K1410" s="4">
        <v>0</v>
      </c>
      <c r="L1410" s="4">
        <v>0</v>
      </c>
      <c r="M1410" s="4">
        <v>1</v>
      </c>
      <c r="N1410" s="4">
        <v>1</v>
      </c>
      <c r="O1410" s="4">
        <v>0</v>
      </c>
    </row>
    <row r="1411" spans="1:15" x14ac:dyDescent="0.15">
      <c r="A1411" s="4">
        <v>1408</v>
      </c>
      <c r="B1411" s="4">
        <v>63</v>
      </c>
      <c r="C1411" s="4">
        <v>39</v>
      </c>
      <c r="D1411" s="4">
        <v>101</v>
      </c>
      <c r="E1411" s="4">
        <v>2</v>
      </c>
      <c r="F1411" s="8">
        <v>3.9</v>
      </c>
      <c r="G1411" s="4">
        <v>3</v>
      </c>
      <c r="H1411" s="4">
        <f t="shared" si="42"/>
        <v>0</v>
      </c>
      <c r="I1411" s="4">
        <f t="shared" si="43"/>
        <v>0</v>
      </c>
      <c r="J1411" s="4">
        <v>294</v>
      </c>
      <c r="K1411" s="4">
        <v>0</v>
      </c>
      <c r="L1411" s="4">
        <v>0</v>
      </c>
      <c r="M1411" s="4">
        <v>1</v>
      </c>
      <c r="N1411" s="4">
        <v>0</v>
      </c>
      <c r="O1411" s="4">
        <v>1</v>
      </c>
    </row>
    <row r="1412" spans="1:15" x14ac:dyDescent="0.15">
      <c r="A1412" s="4">
        <v>1409</v>
      </c>
      <c r="B1412" s="4">
        <v>40</v>
      </c>
      <c r="C1412" s="4">
        <v>14</v>
      </c>
      <c r="D1412" s="4">
        <v>129</v>
      </c>
      <c r="E1412" s="4">
        <v>1</v>
      </c>
      <c r="F1412" s="8">
        <v>5.9</v>
      </c>
      <c r="G1412" s="4">
        <v>3</v>
      </c>
      <c r="H1412" s="4">
        <f t="shared" si="42"/>
        <v>0</v>
      </c>
      <c r="I1412" s="4">
        <f t="shared" si="43"/>
        <v>0</v>
      </c>
      <c r="J1412" s="4">
        <v>0</v>
      </c>
      <c r="K1412" s="4">
        <v>0</v>
      </c>
      <c r="L1412" s="4">
        <v>0</v>
      </c>
      <c r="M1412" s="4">
        <v>1</v>
      </c>
      <c r="N1412" s="4">
        <v>0</v>
      </c>
      <c r="O1412" s="4">
        <v>1</v>
      </c>
    </row>
    <row r="1413" spans="1:15" x14ac:dyDescent="0.15">
      <c r="A1413" s="4">
        <v>1410</v>
      </c>
      <c r="B1413" s="4">
        <v>41</v>
      </c>
      <c r="C1413" s="4">
        <v>17</v>
      </c>
      <c r="D1413" s="4">
        <v>63</v>
      </c>
      <c r="E1413" s="4">
        <v>2</v>
      </c>
      <c r="F1413" s="8">
        <v>3.2</v>
      </c>
      <c r="G1413" s="4">
        <v>1</v>
      </c>
      <c r="H1413" s="4">
        <f t="shared" ref="H1413:H1476" si="44">IF(G1413=1,1,0)</f>
        <v>1</v>
      </c>
      <c r="I1413" s="4">
        <f t="shared" ref="I1413:I1476" si="45">IF(G1413=2,1,0)</f>
        <v>0</v>
      </c>
      <c r="J1413" s="4">
        <v>0</v>
      </c>
      <c r="K1413" s="4">
        <v>0</v>
      </c>
      <c r="L1413" s="4">
        <v>0</v>
      </c>
      <c r="M1413" s="4">
        <v>0</v>
      </c>
      <c r="N1413" s="4">
        <v>0</v>
      </c>
      <c r="O1413" s="4">
        <v>0</v>
      </c>
    </row>
    <row r="1414" spans="1:15" x14ac:dyDescent="0.15">
      <c r="A1414" s="4">
        <v>1411</v>
      </c>
      <c r="B1414" s="4">
        <v>60</v>
      </c>
      <c r="C1414" s="4">
        <v>35</v>
      </c>
      <c r="D1414" s="4">
        <v>44</v>
      </c>
      <c r="E1414" s="4">
        <v>4</v>
      </c>
      <c r="F1414" s="8">
        <v>2.1</v>
      </c>
      <c r="G1414" s="4">
        <v>1</v>
      </c>
      <c r="H1414" s="4">
        <f t="shared" si="44"/>
        <v>1</v>
      </c>
      <c r="I1414" s="4">
        <f t="shared" si="45"/>
        <v>0</v>
      </c>
      <c r="J1414" s="4">
        <v>0</v>
      </c>
      <c r="K1414" s="4">
        <v>0</v>
      </c>
      <c r="L1414" s="4">
        <v>0</v>
      </c>
      <c r="M1414" s="4">
        <v>0</v>
      </c>
      <c r="N1414" s="4">
        <v>0</v>
      </c>
      <c r="O1414" s="4">
        <v>0</v>
      </c>
    </row>
    <row r="1415" spans="1:15" x14ac:dyDescent="0.15">
      <c r="A1415" s="4">
        <v>1412</v>
      </c>
      <c r="B1415" s="4">
        <v>65</v>
      </c>
      <c r="C1415" s="4">
        <v>39</v>
      </c>
      <c r="D1415" s="4">
        <v>184</v>
      </c>
      <c r="E1415" s="4">
        <v>1</v>
      </c>
      <c r="F1415" s="8">
        <v>5.4</v>
      </c>
      <c r="G1415" s="4">
        <v>3</v>
      </c>
      <c r="H1415" s="4">
        <f t="shared" si="44"/>
        <v>0</v>
      </c>
      <c r="I1415" s="4">
        <f t="shared" si="45"/>
        <v>0</v>
      </c>
      <c r="J1415" s="4">
        <v>176</v>
      </c>
      <c r="K1415" s="4">
        <v>0</v>
      </c>
      <c r="L1415" s="4">
        <v>1</v>
      </c>
      <c r="M1415" s="4">
        <v>1</v>
      </c>
      <c r="N1415" s="4">
        <v>1</v>
      </c>
      <c r="O1415" s="4">
        <v>1</v>
      </c>
    </row>
    <row r="1416" spans="1:15" x14ac:dyDescent="0.15">
      <c r="A1416" s="4">
        <v>1413</v>
      </c>
      <c r="B1416" s="4">
        <v>59</v>
      </c>
      <c r="C1416" s="4">
        <v>33</v>
      </c>
      <c r="D1416" s="4">
        <v>100</v>
      </c>
      <c r="E1416" s="4">
        <v>2</v>
      </c>
      <c r="F1416" s="8">
        <v>2</v>
      </c>
      <c r="G1416" s="4">
        <v>1</v>
      </c>
      <c r="H1416" s="4">
        <f t="shared" si="44"/>
        <v>1</v>
      </c>
      <c r="I1416" s="4">
        <f t="shared" si="45"/>
        <v>0</v>
      </c>
      <c r="J1416" s="4">
        <v>127</v>
      </c>
      <c r="K1416" s="4">
        <v>0</v>
      </c>
      <c r="L1416" s="4">
        <v>0</v>
      </c>
      <c r="M1416" s="4">
        <v>0</v>
      </c>
      <c r="N1416" s="4">
        <v>0</v>
      </c>
      <c r="O1416" s="4">
        <v>0</v>
      </c>
    </row>
    <row r="1417" spans="1:15" x14ac:dyDescent="0.15">
      <c r="A1417" s="4">
        <v>1414</v>
      </c>
      <c r="B1417" s="4">
        <v>48</v>
      </c>
      <c r="C1417" s="4">
        <v>24</v>
      </c>
      <c r="D1417" s="4">
        <v>12</v>
      </c>
      <c r="E1417" s="4">
        <v>3</v>
      </c>
      <c r="F1417" s="8">
        <v>0.4</v>
      </c>
      <c r="G1417" s="4">
        <v>1</v>
      </c>
      <c r="H1417" s="4">
        <f t="shared" si="44"/>
        <v>1</v>
      </c>
      <c r="I1417" s="4">
        <f t="shared" si="45"/>
        <v>0</v>
      </c>
      <c r="J1417" s="4">
        <v>0</v>
      </c>
      <c r="K1417" s="4">
        <v>0</v>
      </c>
      <c r="L1417" s="4">
        <v>0</v>
      </c>
      <c r="M1417" s="4">
        <v>0</v>
      </c>
      <c r="N1417" s="4">
        <v>0</v>
      </c>
      <c r="O1417" s="4">
        <v>0</v>
      </c>
    </row>
    <row r="1418" spans="1:15" x14ac:dyDescent="0.15">
      <c r="A1418" s="4">
        <v>1415</v>
      </c>
      <c r="B1418" s="4">
        <v>59</v>
      </c>
      <c r="C1418" s="4">
        <v>33</v>
      </c>
      <c r="D1418" s="4">
        <v>68</v>
      </c>
      <c r="E1418" s="4">
        <v>2</v>
      </c>
      <c r="F1418" s="8">
        <v>2.2999999999999998</v>
      </c>
      <c r="G1418" s="4">
        <v>3</v>
      </c>
      <c r="H1418" s="4">
        <f t="shared" si="44"/>
        <v>0</v>
      </c>
      <c r="I1418" s="4">
        <f t="shared" si="45"/>
        <v>0</v>
      </c>
      <c r="J1418" s="4">
        <v>128</v>
      </c>
      <c r="K1418" s="4">
        <v>1</v>
      </c>
      <c r="L1418" s="4">
        <v>0</v>
      </c>
      <c r="M1418" s="4">
        <v>1</v>
      </c>
      <c r="N1418" s="4">
        <v>0</v>
      </c>
      <c r="O1418" s="4">
        <v>0</v>
      </c>
    </row>
    <row r="1419" spans="1:15" x14ac:dyDescent="0.15">
      <c r="A1419" s="4">
        <v>1416</v>
      </c>
      <c r="B1419" s="4">
        <v>33</v>
      </c>
      <c r="C1419" s="4">
        <v>8</v>
      </c>
      <c r="D1419" s="4">
        <v>48</v>
      </c>
      <c r="E1419" s="4">
        <v>1</v>
      </c>
      <c r="F1419" s="8">
        <v>1</v>
      </c>
      <c r="G1419" s="4">
        <v>1</v>
      </c>
      <c r="H1419" s="4">
        <f t="shared" si="44"/>
        <v>1</v>
      </c>
      <c r="I1419" s="4">
        <f t="shared" si="45"/>
        <v>0</v>
      </c>
      <c r="J1419" s="4">
        <v>212</v>
      </c>
      <c r="K1419" s="4">
        <v>0</v>
      </c>
      <c r="L1419" s="4">
        <v>0</v>
      </c>
      <c r="M1419" s="4">
        <v>1</v>
      </c>
      <c r="N1419" s="4">
        <v>0</v>
      </c>
      <c r="O1419" s="4">
        <v>0</v>
      </c>
    </row>
    <row r="1420" spans="1:15" x14ac:dyDescent="0.15">
      <c r="A1420" s="4">
        <v>1417</v>
      </c>
      <c r="B1420" s="4">
        <v>40</v>
      </c>
      <c r="C1420" s="4">
        <v>15</v>
      </c>
      <c r="D1420" s="4">
        <v>82</v>
      </c>
      <c r="E1420" s="4">
        <v>2</v>
      </c>
      <c r="F1420" s="8">
        <v>0.4</v>
      </c>
      <c r="G1420" s="4">
        <v>1</v>
      </c>
      <c r="H1420" s="4">
        <f t="shared" si="44"/>
        <v>1</v>
      </c>
      <c r="I1420" s="4">
        <f t="shared" si="45"/>
        <v>0</v>
      </c>
      <c r="J1420" s="4">
        <v>0</v>
      </c>
      <c r="K1420" s="4">
        <v>0</v>
      </c>
      <c r="L1420" s="4">
        <v>0</v>
      </c>
      <c r="M1420" s="4">
        <v>0</v>
      </c>
      <c r="N1420" s="4">
        <v>0</v>
      </c>
      <c r="O1420" s="4">
        <v>0</v>
      </c>
    </row>
    <row r="1421" spans="1:15" x14ac:dyDescent="0.15">
      <c r="A1421" s="4">
        <v>1418</v>
      </c>
      <c r="B1421" s="4">
        <v>42</v>
      </c>
      <c r="C1421" s="4">
        <v>18</v>
      </c>
      <c r="D1421" s="4">
        <v>52</v>
      </c>
      <c r="E1421" s="4">
        <v>2</v>
      </c>
      <c r="F1421" s="8">
        <v>2.5</v>
      </c>
      <c r="G1421" s="4">
        <v>1</v>
      </c>
      <c r="H1421" s="4">
        <f t="shared" si="44"/>
        <v>1</v>
      </c>
      <c r="I1421" s="4">
        <f t="shared" si="45"/>
        <v>0</v>
      </c>
      <c r="J1421" s="4">
        <v>0</v>
      </c>
      <c r="K1421" s="4">
        <v>0</v>
      </c>
      <c r="L1421" s="4">
        <v>0</v>
      </c>
      <c r="M1421" s="4">
        <v>0</v>
      </c>
      <c r="N1421" s="4">
        <v>0</v>
      </c>
      <c r="O1421" s="4">
        <v>0</v>
      </c>
    </row>
    <row r="1422" spans="1:15" x14ac:dyDescent="0.15">
      <c r="A1422" s="4">
        <v>1419</v>
      </c>
      <c r="B1422" s="4">
        <v>65</v>
      </c>
      <c r="C1422" s="4">
        <v>41</v>
      </c>
      <c r="D1422" s="4">
        <v>154</v>
      </c>
      <c r="E1422" s="4">
        <v>2</v>
      </c>
      <c r="F1422" s="8">
        <v>4.5999999999999996</v>
      </c>
      <c r="G1422" s="4">
        <v>2</v>
      </c>
      <c r="H1422" s="4">
        <f t="shared" si="44"/>
        <v>0</v>
      </c>
      <c r="I1422" s="4">
        <f t="shared" si="45"/>
        <v>1</v>
      </c>
      <c r="J1422" s="4">
        <v>0</v>
      </c>
      <c r="K1422" s="4">
        <v>1</v>
      </c>
      <c r="L1422" s="4">
        <v>1</v>
      </c>
      <c r="M1422" s="4">
        <v>1</v>
      </c>
      <c r="N1422" s="4">
        <v>1</v>
      </c>
      <c r="O1422" s="4">
        <v>1</v>
      </c>
    </row>
    <row r="1423" spans="1:15" x14ac:dyDescent="0.15">
      <c r="A1423" s="4">
        <v>1420</v>
      </c>
      <c r="B1423" s="4">
        <v>30</v>
      </c>
      <c r="C1423" s="4">
        <v>4</v>
      </c>
      <c r="D1423" s="4">
        <v>39</v>
      </c>
      <c r="E1423" s="4">
        <v>1</v>
      </c>
      <c r="F1423" s="8">
        <v>1.5</v>
      </c>
      <c r="G1423" s="4">
        <v>1</v>
      </c>
      <c r="H1423" s="4">
        <f t="shared" si="44"/>
        <v>1</v>
      </c>
      <c r="I1423" s="4">
        <f t="shared" si="45"/>
        <v>0</v>
      </c>
      <c r="J1423" s="4">
        <v>0</v>
      </c>
      <c r="K1423" s="4">
        <v>0</v>
      </c>
      <c r="L1423" s="4">
        <v>0</v>
      </c>
      <c r="M1423" s="4">
        <v>0</v>
      </c>
      <c r="N1423" s="4">
        <v>1</v>
      </c>
      <c r="O1423" s="4">
        <v>0</v>
      </c>
    </row>
    <row r="1424" spans="1:15" x14ac:dyDescent="0.15">
      <c r="A1424" s="4">
        <v>1421</v>
      </c>
      <c r="B1424" s="4">
        <v>30</v>
      </c>
      <c r="C1424" s="4">
        <v>4</v>
      </c>
      <c r="D1424" s="4">
        <v>40</v>
      </c>
      <c r="E1424" s="4">
        <v>1</v>
      </c>
      <c r="F1424" s="8">
        <v>0.3</v>
      </c>
      <c r="G1424" s="4">
        <v>1</v>
      </c>
      <c r="H1424" s="4">
        <f t="shared" si="44"/>
        <v>1</v>
      </c>
      <c r="I1424" s="4">
        <f t="shared" si="45"/>
        <v>0</v>
      </c>
      <c r="J1424" s="4">
        <v>0</v>
      </c>
      <c r="K1424" s="4">
        <v>0</v>
      </c>
      <c r="L1424" s="4">
        <v>1</v>
      </c>
      <c r="M1424" s="4">
        <v>1</v>
      </c>
      <c r="N1424" s="4">
        <v>1</v>
      </c>
      <c r="O1424" s="4">
        <v>0</v>
      </c>
    </row>
    <row r="1425" spans="1:15" x14ac:dyDescent="0.15">
      <c r="A1425" s="4">
        <v>1422</v>
      </c>
      <c r="B1425" s="4">
        <v>42</v>
      </c>
      <c r="C1425" s="4">
        <v>17</v>
      </c>
      <c r="D1425" s="4">
        <v>54</v>
      </c>
      <c r="E1425" s="4">
        <v>4</v>
      </c>
      <c r="F1425" s="8">
        <v>1.9</v>
      </c>
      <c r="G1425" s="4">
        <v>3</v>
      </c>
      <c r="H1425" s="4">
        <f t="shared" si="44"/>
        <v>0</v>
      </c>
      <c r="I1425" s="4">
        <f t="shared" si="45"/>
        <v>0</v>
      </c>
      <c r="J1425" s="4">
        <v>164</v>
      </c>
      <c r="K1425" s="4">
        <v>0</v>
      </c>
      <c r="L1425" s="4">
        <v>0</v>
      </c>
      <c r="M1425" s="4">
        <v>0</v>
      </c>
      <c r="N1425" s="4">
        <v>0</v>
      </c>
      <c r="O1425" s="4">
        <v>0</v>
      </c>
    </row>
    <row r="1426" spans="1:15" x14ac:dyDescent="0.15">
      <c r="A1426" s="4">
        <v>1423</v>
      </c>
      <c r="B1426" s="4">
        <v>32</v>
      </c>
      <c r="C1426" s="4">
        <v>8</v>
      </c>
      <c r="D1426" s="4">
        <v>32</v>
      </c>
      <c r="E1426" s="4">
        <v>2</v>
      </c>
      <c r="F1426" s="8">
        <v>1</v>
      </c>
      <c r="G1426" s="4">
        <v>2</v>
      </c>
      <c r="H1426" s="4">
        <f t="shared" si="44"/>
        <v>0</v>
      </c>
      <c r="I1426" s="4">
        <f t="shared" si="45"/>
        <v>1</v>
      </c>
      <c r="J1426" s="4">
        <v>103</v>
      </c>
      <c r="K1426" s="4">
        <v>0</v>
      </c>
      <c r="L1426" s="4">
        <v>1</v>
      </c>
      <c r="M1426" s="4">
        <v>1</v>
      </c>
      <c r="N1426" s="4">
        <v>1</v>
      </c>
      <c r="O1426" s="4">
        <v>0</v>
      </c>
    </row>
    <row r="1427" spans="1:15" x14ac:dyDescent="0.15">
      <c r="A1427" s="4">
        <v>1424</v>
      </c>
      <c r="B1427" s="4">
        <v>55</v>
      </c>
      <c r="C1427" s="4">
        <v>30</v>
      </c>
      <c r="D1427" s="4">
        <v>64</v>
      </c>
      <c r="E1427" s="4">
        <v>2</v>
      </c>
      <c r="F1427" s="8">
        <v>2.2999999999999998</v>
      </c>
      <c r="G1427" s="4">
        <v>3</v>
      </c>
      <c r="H1427" s="4">
        <f t="shared" si="44"/>
        <v>0</v>
      </c>
      <c r="I1427" s="4">
        <f t="shared" si="45"/>
        <v>0</v>
      </c>
      <c r="J1427" s="4">
        <v>0</v>
      </c>
      <c r="K1427" s="4">
        <v>0</v>
      </c>
      <c r="L1427" s="4">
        <v>0</v>
      </c>
      <c r="M1427" s="4">
        <v>0</v>
      </c>
      <c r="N1427" s="4">
        <v>0</v>
      </c>
      <c r="O1427" s="4">
        <v>0</v>
      </c>
    </row>
    <row r="1428" spans="1:15" x14ac:dyDescent="0.15">
      <c r="A1428" s="4">
        <v>1425</v>
      </c>
      <c r="B1428" s="4">
        <v>29</v>
      </c>
      <c r="C1428" s="4">
        <v>3</v>
      </c>
      <c r="D1428" s="4">
        <v>92</v>
      </c>
      <c r="E1428" s="4">
        <v>2</v>
      </c>
      <c r="F1428" s="8">
        <v>1.3</v>
      </c>
      <c r="G1428" s="4">
        <v>1</v>
      </c>
      <c r="H1428" s="4">
        <f t="shared" si="44"/>
        <v>1</v>
      </c>
      <c r="I1428" s="4">
        <f t="shared" si="45"/>
        <v>0</v>
      </c>
      <c r="J1428" s="4">
        <v>287</v>
      </c>
      <c r="K1428" s="4">
        <v>0</v>
      </c>
      <c r="L1428" s="4">
        <v>0</v>
      </c>
      <c r="M1428" s="4">
        <v>1</v>
      </c>
      <c r="N1428" s="4">
        <v>0</v>
      </c>
      <c r="O1428" s="4">
        <v>0</v>
      </c>
    </row>
    <row r="1429" spans="1:15" x14ac:dyDescent="0.15">
      <c r="A1429" s="4">
        <v>1426</v>
      </c>
      <c r="B1429" s="4">
        <v>64</v>
      </c>
      <c r="C1429" s="4">
        <v>38</v>
      </c>
      <c r="D1429" s="4">
        <v>40</v>
      </c>
      <c r="E1429" s="4">
        <v>1</v>
      </c>
      <c r="F1429" s="8">
        <v>2.5</v>
      </c>
      <c r="G1429" s="4">
        <v>3</v>
      </c>
      <c r="H1429" s="4">
        <f t="shared" si="44"/>
        <v>0</v>
      </c>
      <c r="I1429" s="4">
        <f t="shared" si="45"/>
        <v>0</v>
      </c>
      <c r="J1429" s="4">
        <v>94</v>
      </c>
      <c r="K1429" s="4">
        <v>0</v>
      </c>
      <c r="L1429" s="4">
        <v>0</v>
      </c>
      <c r="M1429" s="4">
        <v>1</v>
      </c>
      <c r="N1429" s="4">
        <v>1</v>
      </c>
      <c r="O1429" s="4">
        <v>0</v>
      </c>
    </row>
    <row r="1430" spans="1:15" x14ac:dyDescent="0.15">
      <c r="A1430" s="4">
        <v>1427</v>
      </c>
      <c r="B1430" s="4">
        <v>37</v>
      </c>
      <c r="C1430" s="4">
        <v>11</v>
      </c>
      <c r="D1430" s="4">
        <v>60</v>
      </c>
      <c r="E1430" s="4">
        <v>3</v>
      </c>
      <c r="F1430" s="8">
        <v>0.5</v>
      </c>
      <c r="G1430" s="4">
        <v>3</v>
      </c>
      <c r="H1430" s="4">
        <f t="shared" si="44"/>
        <v>0</v>
      </c>
      <c r="I1430" s="4">
        <f t="shared" si="45"/>
        <v>0</v>
      </c>
      <c r="J1430" s="4">
        <v>0</v>
      </c>
      <c r="K1430" s="4">
        <v>0</v>
      </c>
      <c r="L1430" s="4">
        <v>0</v>
      </c>
      <c r="M1430" s="4">
        <v>1</v>
      </c>
      <c r="N1430" s="4">
        <v>0</v>
      </c>
      <c r="O1430" s="4">
        <v>0</v>
      </c>
    </row>
    <row r="1431" spans="1:15" x14ac:dyDescent="0.15">
      <c r="A1431" s="4">
        <v>1428</v>
      </c>
      <c r="B1431" s="4">
        <v>31</v>
      </c>
      <c r="C1431" s="4">
        <v>5</v>
      </c>
      <c r="D1431" s="4">
        <v>85</v>
      </c>
      <c r="E1431" s="4">
        <v>2</v>
      </c>
      <c r="F1431" s="8">
        <v>1.3</v>
      </c>
      <c r="G1431" s="4">
        <v>1</v>
      </c>
      <c r="H1431" s="4">
        <f t="shared" si="44"/>
        <v>1</v>
      </c>
      <c r="I1431" s="4">
        <f t="shared" si="45"/>
        <v>0</v>
      </c>
      <c r="J1431" s="4">
        <v>119</v>
      </c>
      <c r="K1431" s="4">
        <v>0</v>
      </c>
      <c r="L1431" s="4">
        <v>0</v>
      </c>
      <c r="M1431" s="4">
        <v>1</v>
      </c>
      <c r="N1431" s="4">
        <v>1</v>
      </c>
      <c r="O1431" s="4">
        <v>0</v>
      </c>
    </row>
    <row r="1432" spans="1:15" x14ac:dyDescent="0.15">
      <c r="A1432" s="4">
        <v>1429</v>
      </c>
      <c r="B1432" s="4">
        <v>25</v>
      </c>
      <c r="C1432" s="4">
        <v>0</v>
      </c>
      <c r="D1432" s="4">
        <v>21</v>
      </c>
      <c r="E1432" s="4">
        <v>4</v>
      </c>
      <c r="F1432" s="8">
        <v>0.4</v>
      </c>
      <c r="G1432" s="4">
        <v>1</v>
      </c>
      <c r="H1432" s="4">
        <f t="shared" si="44"/>
        <v>1</v>
      </c>
      <c r="I1432" s="4">
        <f t="shared" si="45"/>
        <v>0</v>
      </c>
      <c r="J1432" s="4">
        <v>90</v>
      </c>
      <c r="K1432" s="4">
        <v>0</v>
      </c>
      <c r="L1432" s="4">
        <v>0</v>
      </c>
      <c r="M1432" s="4">
        <v>1</v>
      </c>
      <c r="N1432" s="4">
        <v>0</v>
      </c>
      <c r="O1432" s="4">
        <v>0</v>
      </c>
    </row>
    <row r="1433" spans="1:15" x14ac:dyDescent="0.15">
      <c r="A1433" s="4">
        <v>1430</v>
      </c>
      <c r="B1433" s="4">
        <v>31</v>
      </c>
      <c r="C1433" s="4">
        <v>5</v>
      </c>
      <c r="D1433" s="4">
        <v>35</v>
      </c>
      <c r="E1433" s="4">
        <v>1</v>
      </c>
      <c r="F1433" s="8">
        <v>0.6</v>
      </c>
      <c r="G1433" s="4">
        <v>3</v>
      </c>
      <c r="H1433" s="4">
        <f t="shared" si="44"/>
        <v>0</v>
      </c>
      <c r="I1433" s="4">
        <f t="shared" si="45"/>
        <v>0</v>
      </c>
      <c r="J1433" s="4">
        <v>171</v>
      </c>
      <c r="K1433" s="4">
        <v>0</v>
      </c>
      <c r="L1433" s="4">
        <v>0</v>
      </c>
      <c r="M1433" s="4">
        <v>0</v>
      </c>
      <c r="N1433" s="4">
        <v>0</v>
      </c>
      <c r="O1433" s="4">
        <v>0</v>
      </c>
    </row>
    <row r="1434" spans="1:15" x14ac:dyDescent="0.15">
      <c r="A1434" s="4">
        <v>1431</v>
      </c>
      <c r="B1434" s="4">
        <v>32</v>
      </c>
      <c r="C1434" s="4">
        <v>7</v>
      </c>
      <c r="D1434" s="4">
        <v>52</v>
      </c>
      <c r="E1434" s="4">
        <v>2</v>
      </c>
      <c r="F1434" s="8">
        <v>0.1</v>
      </c>
      <c r="G1434" s="4">
        <v>1</v>
      </c>
      <c r="H1434" s="4">
        <f t="shared" si="44"/>
        <v>1</v>
      </c>
      <c r="I1434" s="4">
        <f t="shared" si="45"/>
        <v>0</v>
      </c>
      <c r="J1434" s="4">
        <v>0</v>
      </c>
      <c r="K1434" s="4">
        <v>0</v>
      </c>
      <c r="L1434" s="4">
        <v>0</v>
      </c>
      <c r="M1434" s="4">
        <v>1</v>
      </c>
      <c r="N1434" s="4">
        <v>0</v>
      </c>
      <c r="O1434" s="4">
        <v>0</v>
      </c>
    </row>
    <row r="1435" spans="1:15" x14ac:dyDescent="0.15">
      <c r="A1435" s="4">
        <v>1432</v>
      </c>
      <c r="B1435" s="4">
        <v>58</v>
      </c>
      <c r="C1435" s="4">
        <v>34</v>
      </c>
      <c r="D1435" s="4">
        <v>128</v>
      </c>
      <c r="E1435" s="4">
        <v>1</v>
      </c>
      <c r="F1435" s="8">
        <v>7.4</v>
      </c>
      <c r="G1435" s="4">
        <v>1</v>
      </c>
      <c r="H1435" s="4">
        <f t="shared" si="44"/>
        <v>1</v>
      </c>
      <c r="I1435" s="4">
        <f t="shared" si="45"/>
        <v>0</v>
      </c>
      <c r="J1435" s="4">
        <v>0</v>
      </c>
      <c r="K1435" s="4">
        <v>0</v>
      </c>
      <c r="L1435" s="4">
        <v>0</v>
      </c>
      <c r="M1435" s="4">
        <v>0</v>
      </c>
      <c r="N1435" s="4">
        <v>0</v>
      </c>
      <c r="O1435" s="4">
        <v>0</v>
      </c>
    </row>
    <row r="1436" spans="1:15" x14ac:dyDescent="0.15">
      <c r="A1436" s="4">
        <v>1433</v>
      </c>
      <c r="B1436" s="4">
        <v>26</v>
      </c>
      <c r="C1436" s="4">
        <v>2</v>
      </c>
      <c r="D1436" s="4">
        <v>195</v>
      </c>
      <c r="E1436" s="4">
        <v>1</v>
      </c>
      <c r="F1436" s="8">
        <v>6.333333333333333</v>
      </c>
      <c r="G1436" s="4">
        <v>1</v>
      </c>
      <c r="H1436" s="4">
        <f t="shared" si="44"/>
        <v>1</v>
      </c>
      <c r="I1436" s="4">
        <f t="shared" si="45"/>
        <v>0</v>
      </c>
      <c r="J1436" s="4">
        <v>0</v>
      </c>
      <c r="K1436" s="4">
        <v>0</v>
      </c>
      <c r="L1436" s="4">
        <v>0</v>
      </c>
      <c r="M1436" s="4">
        <v>0</v>
      </c>
      <c r="N1436" s="4">
        <v>0</v>
      </c>
      <c r="O1436" s="4">
        <v>0</v>
      </c>
    </row>
    <row r="1437" spans="1:15" x14ac:dyDescent="0.15">
      <c r="A1437" s="4">
        <v>1434</v>
      </c>
      <c r="B1437" s="4">
        <v>51</v>
      </c>
      <c r="C1437" s="4">
        <v>25</v>
      </c>
      <c r="D1437" s="4">
        <v>68</v>
      </c>
      <c r="E1437" s="4">
        <v>2</v>
      </c>
      <c r="F1437" s="8">
        <v>1.5</v>
      </c>
      <c r="G1437" s="4">
        <v>2</v>
      </c>
      <c r="H1437" s="4">
        <f t="shared" si="44"/>
        <v>0</v>
      </c>
      <c r="I1437" s="4">
        <f t="shared" si="45"/>
        <v>1</v>
      </c>
      <c r="J1437" s="4">
        <v>117</v>
      </c>
      <c r="K1437" s="4">
        <v>0</v>
      </c>
      <c r="L1437" s="4">
        <v>0</v>
      </c>
      <c r="M1437" s="4">
        <v>0</v>
      </c>
      <c r="N1437" s="4">
        <v>1</v>
      </c>
      <c r="O1437" s="4">
        <v>0</v>
      </c>
    </row>
    <row r="1438" spans="1:15" x14ac:dyDescent="0.15">
      <c r="A1438" s="4">
        <v>1435</v>
      </c>
      <c r="B1438" s="4">
        <v>65</v>
      </c>
      <c r="C1438" s="4">
        <v>41</v>
      </c>
      <c r="D1438" s="4">
        <v>55</v>
      </c>
      <c r="E1438" s="4">
        <v>2</v>
      </c>
      <c r="F1438" s="8">
        <v>1.1000000000000001</v>
      </c>
      <c r="G1438" s="4">
        <v>1</v>
      </c>
      <c r="H1438" s="4">
        <f t="shared" si="44"/>
        <v>1</v>
      </c>
      <c r="I1438" s="4">
        <f t="shared" si="45"/>
        <v>0</v>
      </c>
      <c r="J1438" s="4">
        <v>0</v>
      </c>
      <c r="K1438" s="4">
        <v>0</v>
      </c>
      <c r="L1438" s="4">
        <v>0</v>
      </c>
      <c r="M1438" s="4">
        <v>0</v>
      </c>
      <c r="N1438" s="4">
        <v>0</v>
      </c>
      <c r="O1438" s="4">
        <v>0</v>
      </c>
    </row>
    <row r="1439" spans="1:15" x14ac:dyDescent="0.15">
      <c r="A1439" s="4">
        <v>1436</v>
      </c>
      <c r="B1439" s="4">
        <v>43</v>
      </c>
      <c r="C1439" s="4">
        <v>17</v>
      </c>
      <c r="D1439" s="4">
        <v>55</v>
      </c>
      <c r="E1439" s="4">
        <v>1</v>
      </c>
      <c r="F1439" s="8">
        <v>0.2</v>
      </c>
      <c r="G1439" s="4">
        <v>1</v>
      </c>
      <c r="H1439" s="4">
        <f t="shared" si="44"/>
        <v>1</v>
      </c>
      <c r="I1439" s="4">
        <f t="shared" si="45"/>
        <v>0</v>
      </c>
      <c r="J1439" s="4">
        <v>0</v>
      </c>
      <c r="K1439" s="4">
        <v>0</v>
      </c>
      <c r="L1439" s="4">
        <v>0</v>
      </c>
      <c r="M1439" s="4">
        <v>1</v>
      </c>
      <c r="N1439" s="4">
        <v>0</v>
      </c>
      <c r="O1439" s="4">
        <v>0</v>
      </c>
    </row>
    <row r="1440" spans="1:15" x14ac:dyDescent="0.15">
      <c r="A1440" s="4">
        <v>1437</v>
      </c>
      <c r="B1440" s="4">
        <v>46</v>
      </c>
      <c r="C1440" s="4">
        <v>21</v>
      </c>
      <c r="D1440" s="4">
        <v>80</v>
      </c>
      <c r="E1440" s="4">
        <v>4</v>
      </c>
      <c r="F1440" s="8">
        <v>0.4</v>
      </c>
      <c r="G1440" s="4">
        <v>1</v>
      </c>
      <c r="H1440" s="4">
        <f t="shared" si="44"/>
        <v>1</v>
      </c>
      <c r="I1440" s="4">
        <f t="shared" si="45"/>
        <v>0</v>
      </c>
      <c r="J1440" s="4">
        <v>0</v>
      </c>
      <c r="K1440" s="4">
        <v>0</v>
      </c>
      <c r="L1440" s="4">
        <v>0</v>
      </c>
      <c r="M1440" s="4">
        <v>1</v>
      </c>
      <c r="N1440" s="4">
        <v>1</v>
      </c>
      <c r="O1440" s="4">
        <v>0</v>
      </c>
    </row>
    <row r="1441" spans="1:15" x14ac:dyDescent="0.15">
      <c r="A1441" s="4">
        <v>1438</v>
      </c>
      <c r="B1441" s="4">
        <v>28</v>
      </c>
      <c r="C1441" s="4">
        <v>3</v>
      </c>
      <c r="D1441" s="4">
        <v>123</v>
      </c>
      <c r="E1441" s="4">
        <v>1</v>
      </c>
      <c r="F1441" s="8">
        <v>0.8</v>
      </c>
      <c r="G1441" s="4">
        <v>1</v>
      </c>
      <c r="H1441" s="4">
        <f t="shared" si="44"/>
        <v>1</v>
      </c>
      <c r="I1441" s="4">
        <f t="shared" si="45"/>
        <v>0</v>
      </c>
      <c r="J1441" s="4">
        <v>146</v>
      </c>
      <c r="K1441" s="4">
        <v>0</v>
      </c>
      <c r="L1441" s="4">
        <v>0</v>
      </c>
      <c r="M1441" s="4">
        <v>0</v>
      </c>
      <c r="N1441" s="4">
        <v>0</v>
      </c>
      <c r="O1441" s="4">
        <v>0</v>
      </c>
    </row>
    <row r="1442" spans="1:15" x14ac:dyDescent="0.15">
      <c r="A1442" s="4">
        <v>1439</v>
      </c>
      <c r="B1442" s="4">
        <v>63</v>
      </c>
      <c r="C1442" s="4">
        <v>37</v>
      </c>
      <c r="D1442" s="4">
        <v>90</v>
      </c>
      <c r="E1442" s="4">
        <v>4</v>
      </c>
      <c r="F1442" s="8">
        <v>1.9</v>
      </c>
      <c r="G1442" s="4">
        <v>2</v>
      </c>
      <c r="H1442" s="4">
        <f t="shared" si="44"/>
        <v>0</v>
      </c>
      <c r="I1442" s="4">
        <f t="shared" si="45"/>
        <v>1</v>
      </c>
      <c r="J1442" s="4">
        <v>106</v>
      </c>
      <c r="K1442" s="4">
        <v>1</v>
      </c>
      <c r="L1442" s="4">
        <v>0</v>
      </c>
      <c r="M1442" s="4">
        <v>1</v>
      </c>
      <c r="N1442" s="4">
        <v>0</v>
      </c>
      <c r="O1442" s="4">
        <v>0</v>
      </c>
    </row>
    <row r="1443" spans="1:15" x14ac:dyDescent="0.15">
      <c r="A1443" s="4">
        <v>1440</v>
      </c>
      <c r="B1443" s="4">
        <v>59</v>
      </c>
      <c r="C1443" s="4">
        <v>29</v>
      </c>
      <c r="D1443" s="4">
        <v>61</v>
      </c>
      <c r="E1443" s="4">
        <v>1</v>
      </c>
      <c r="F1443" s="8">
        <v>1.4</v>
      </c>
      <c r="G1443" s="4">
        <v>3</v>
      </c>
      <c r="H1443" s="4">
        <f t="shared" si="44"/>
        <v>0</v>
      </c>
      <c r="I1443" s="4">
        <f t="shared" si="45"/>
        <v>0</v>
      </c>
      <c r="J1443" s="4">
        <v>0</v>
      </c>
      <c r="K1443" s="4">
        <v>0</v>
      </c>
      <c r="L1443" s="4">
        <v>0</v>
      </c>
      <c r="M1443" s="4">
        <v>0</v>
      </c>
      <c r="N1443" s="4">
        <v>0</v>
      </c>
      <c r="O1443" s="4">
        <v>0</v>
      </c>
    </row>
    <row r="1444" spans="1:15" x14ac:dyDescent="0.15">
      <c r="A1444" s="4">
        <v>1441</v>
      </c>
      <c r="B1444" s="4">
        <v>42</v>
      </c>
      <c r="C1444" s="4">
        <v>15</v>
      </c>
      <c r="D1444" s="4">
        <v>41</v>
      </c>
      <c r="E1444" s="4">
        <v>3</v>
      </c>
      <c r="F1444" s="8">
        <v>2.5</v>
      </c>
      <c r="G1444" s="4">
        <v>2</v>
      </c>
      <c r="H1444" s="4">
        <f t="shared" si="44"/>
        <v>0</v>
      </c>
      <c r="I1444" s="4">
        <f t="shared" si="45"/>
        <v>1</v>
      </c>
      <c r="J1444" s="4">
        <v>0</v>
      </c>
      <c r="K1444" s="4">
        <v>0</v>
      </c>
      <c r="L1444" s="4">
        <v>0</v>
      </c>
      <c r="M1444" s="4">
        <v>1</v>
      </c>
      <c r="N1444" s="4">
        <v>0</v>
      </c>
      <c r="O1444" s="4">
        <v>0</v>
      </c>
    </row>
    <row r="1445" spans="1:15" x14ac:dyDescent="0.15">
      <c r="A1445" s="4">
        <v>1442</v>
      </c>
      <c r="B1445" s="4">
        <v>58</v>
      </c>
      <c r="C1445" s="4">
        <v>33</v>
      </c>
      <c r="D1445" s="4">
        <v>43</v>
      </c>
      <c r="E1445" s="4">
        <v>2</v>
      </c>
      <c r="F1445" s="8">
        <v>1.6</v>
      </c>
      <c r="G1445" s="4">
        <v>3</v>
      </c>
      <c r="H1445" s="4">
        <f t="shared" si="44"/>
        <v>0</v>
      </c>
      <c r="I1445" s="4">
        <f t="shared" si="45"/>
        <v>0</v>
      </c>
      <c r="J1445" s="4">
        <v>0</v>
      </c>
      <c r="K1445" s="4">
        <v>0</v>
      </c>
      <c r="L1445" s="4">
        <v>0</v>
      </c>
      <c r="M1445" s="4">
        <v>1</v>
      </c>
      <c r="N1445" s="4">
        <v>0</v>
      </c>
      <c r="O1445" s="4">
        <v>0</v>
      </c>
    </row>
    <row r="1446" spans="1:15" x14ac:dyDescent="0.15">
      <c r="A1446" s="4">
        <v>1443</v>
      </c>
      <c r="B1446" s="4">
        <v>39</v>
      </c>
      <c r="C1446" s="4">
        <v>13</v>
      </c>
      <c r="D1446" s="4">
        <v>71</v>
      </c>
      <c r="E1446" s="4">
        <v>3</v>
      </c>
      <c r="F1446" s="8">
        <v>0.1</v>
      </c>
      <c r="G1446" s="4">
        <v>1</v>
      </c>
      <c r="H1446" s="4">
        <f t="shared" si="44"/>
        <v>1</v>
      </c>
      <c r="I1446" s="4">
        <f t="shared" si="45"/>
        <v>0</v>
      </c>
      <c r="J1446" s="4">
        <v>162</v>
      </c>
      <c r="K1446" s="4">
        <v>1</v>
      </c>
      <c r="L1446" s="4">
        <v>0</v>
      </c>
      <c r="M1446" s="4">
        <v>1</v>
      </c>
      <c r="N1446" s="4">
        <v>0</v>
      </c>
      <c r="O1446" s="4">
        <v>0</v>
      </c>
    </row>
    <row r="1447" spans="1:15" x14ac:dyDescent="0.15">
      <c r="A1447" s="4">
        <v>1444</v>
      </c>
      <c r="B1447" s="4">
        <v>36</v>
      </c>
      <c r="C1447" s="4">
        <v>12</v>
      </c>
      <c r="D1447" s="4">
        <v>25</v>
      </c>
      <c r="E1447" s="4">
        <v>4</v>
      </c>
      <c r="F1447" s="8">
        <v>1</v>
      </c>
      <c r="G1447" s="4">
        <v>1</v>
      </c>
      <c r="H1447" s="4">
        <f t="shared" si="44"/>
        <v>1</v>
      </c>
      <c r="I1447" s="4">
        <f t="shared" si="45"/>
        <v>0</v>
      </c>
      <c r="J1447" s="4">
        <v>0</v>
      </c>
      <c r="K1447" s="4">
        <v>0</v>
      </c>
      <c r="L1447" s="4">
        <v>0</v>
      </c>
      <c r="M1447" s="4">
        <v>1</v>
      </c>
      <c r="N1447" s="4">
        <v>0</v>
      </c>
      <c r="O1447" s="4">
        <v>0</v>
      </c>
    </row>
    <row r="1448" spans="1:15" x14ac:dyDescent="0.15">
      <c r="A1448" s="4">
        <v>1445</v>
      </c>
      <c r="B1448" s="4">
        <v>60</v>
      </c>
      <c r="C1448" s="4">
        <v>33</v>
      </c>
      <c r="D1448" s="4">
        <v>154</v>
      </c>
      <c r="E1448" s="4">
        <v>1</v>
      </c>
      <c r="F1448" s="8">
        <v>3</v>
      </c>
      <c r="G1448" s="4">
        <v>2</v>
      </c>
      <c r="H1448" s="4">
        <f t="shared" si="44"/>
        <v>0</v>
      </c>
      <c r="I1448" s="4">
        <f t="shared" si="45"/>
        <v>1</v>
      </c>
      <c r="J1448" s="4">
        <v>0</v>
      </c>
      <c r="K1448" s="4">
        <v>1</v>
      </c>
      <c r="L1448" s="4">
        <v>1</v>
      </c>
      <c r="M1448" s="4">
        <v>1</v>
      </c>
      <c r="N1448" s="4">
        <v>0</v>
      </c>
      <c r="O1448" s="4">
        <v>1</v>
      </c>
    </row>
    <row r="1449" spans="1:15" x14ac:dyDescent="0.15">
      <c r="A1449" s="4">
        <v>1446</v>
      </c>
      <c r="B1449" s="4">
        <v>47</v>
      </c>
      <c r="C1449" s="4">
        <v>21</v>
      </c>
      <c r="D1449" s="4">
        <v>141</v>
      </c>
      <c r="E1449" s="4">
        <v>1</v>
      </c>
      <c r="F1449" s="8">
        <v>2.4</v>
      </c>
      <c r="G1449" s="4">
        <v>1</v>
      </c>
      <c r="H1449" s="4">
        <f t="shared" si="44"/>
        <v>1</v>
      </c>
      <c r="I1449" s="4">
        <f t="shared" si="45"/>
        <v>0</v>
      </c>
      <c r="J1449" s="4">
        <v>0</v>
      </c>
      <c r="K1449" s="4">
        <v>0</v>
      </c>
      <c r="L1449" s="4">
        <v>0</v>
      </c>
      <c r="M1449" s="4">
        <v>0</v>
      </c>
      <c r="N1449" s="4">
        <v>0</v>
      </c>
      <c r="O1449" s="4">
        <v>0</v>
      </c>
    </row>
    <row r="1450" spans="1:15" x14ac:dyDescent="0.15">
      <c r="A1450" s="4">
        <v>1447</v>
      </c>
      <c r="B1450" s="4">
        <v>29</v>
      </c>
      <c r="C1450" s="4">
        <v>4</v>
      </c>
      <c r="D1450" s="4">
        <v>22</v>
      </c>
      <c r="E1450" s="4">
        <v>2</v>
      </c>
      <c r="F1450" s="8">
        <v>0.9</v>
      </c>
      <c r="G1450" s="4">
        <v>3</v>
      </c>
      <c r="H1450" s="4">
        <f t="shared" si="44"/>
        <v>0</v>
      </c>
      <c r="I1450" s="4">
        <f t="shared" si="45"/>
        <v>0</v>
      </c>
      <c r="J1450" s="4">
        <v>110</v>
      </c>
      <c r="K1450" s="4">
        <v>0</v>
      </c>
      <c r="L1450" s="4">
        <v>0</v>
      </c>
      <c r="M1450" s="4">
        <v>0</v>
      </c>
      <c r="N1450" s="4">
        <v>0</v>
      </c>
      <c r="O1450" s="4">
        <v>0</v>
      </c>
    </row>
    <row r="1451" spans="1:15" x14ac:dyDescent="0.15">
      <c r="A1451" s="4">
        <v>1448</v>
      </c>
      <c r="B1451" s="4">
        <v>52</v>
      </c>
      <c r="C1451" s="4">
        <v>28</v>
      </c>
      <c r="D1451" s="4">
        <v>145</v>
      </c>
      <c r="E1451" s="4">
        <v>2</v>
      </c>
      <c r="F1451" s="8">
        <v>6.8</v>
      </c>
      <c r="G1451" s="4">
        <v>1</v>
      </c>
      <c r="H1451" s="4">
        <f t="shared" si="44"/>
        <v>1</v>
      </c>
      <c r="I1451" s="4">
        <f t="shared" si="45"/>
        <v>0</v>
      </c>
      <c r="J1451" s="4">
        <v>0</v>
      </c>
      <c r="K1451" s="4">
        <v>0</v>
      </c>
      <c r="L1451" s="4">
        <v>0</v>
      </c>
      <c r="M1451" s="4">
        <v>1</v>
      </c>
      <c r="N1451" s="4">
        <v>0</v>
      </c>
      <c r="O1451" s="4">
        <v>0</v>
      </c>
    </row>
    <row r="1452" spans="1:15" x14ac:dyDescent="0.15">
      <c r="A1452" s="4">
        <v>1449</v>
      </c>
      <c r="B1452" s="4">
        <v>41</v>
      </c>
      <c r="C1452" s="4">
        <v>16</v>
      </c>
      <c r="D1452" s="4">
        <v>49</v>
      </c>
      <c r="E1452" s="4">
        <v>3</v>
      </c>
      <c r="F1452" s="8">
        <v>0.5</v>
      </c>
      <c r="G1452" s="4">
        <v>3</v>
      </c>
      <c r="H1452" s="4">
        <f t="shared" si="44"/>
        <v>0</v>
      </c>
      <c r="I1452" s="4">
        <f t="shared" si="45"/>
        <v>0</v>
      </c>
      <c r="J1452" s="4">
        <v>0</v>
      </c>
      <c r="K1452" s="4">
        <v>0</v>
      </c>
      <c r="L1452" s="4">
        <v>0</v>
      </c>
      <c r="M1452" s="4">
        <v>1</v>
      </c>
      <c r="N1452" s="4">
        <v>0</v>
      </c>
      <c r="O1452" s="4">
        <v>0</v>
      </c>
    </row>
    <row r="1453" spans="1:15" x14ac:dyDescent="0.15">
      <c r="A1453" s="4">
        <v>1450</v>
      </c>
      <c r="B1453" s="4">
        <v>63</v>
      </c>
      <c r="C1453" s="4">
        <v>37</v>
      </c>
      <c r="D1453" s="4">
        <v>109</v>
      </c>
      <c r="E1453" s="4">
        <v>1</v>
      </c>
      <c r="F1453" s="8">
        <v>2</v>
      </c>
      <c r="G1453" s="4">
        <v>1</v>
      </c>
      <c r="H1453" s="4">
        <f t="shared" si="44"/>
        <v>1</v>
      </c>
      <c r="I1453" s="4">
        <f t="shared" si="45"/>
        <v>0</v>
      </c>
      <c r="J1453" s="4">
        <v>0</v>
      </c>
      <c r="K1453" s="4">
        <v>0</v>
      </c>
      <c r="L1453" s="4">
        <v>0</v>
      </c>
      <c r="M1453" s="4">
        <v>1</v>
      </c>
      <c r="N1453" s="4">
        <v>0</v>
      </c>
      <c r="O1453" s="4">
        <v>0</v>
      </c>
    </row>
    <row r="1454" spans="1:15" x14ac:dyDescent="0.15">
      <c r="A1454" s="4">
        <v>1451</v>
      </c>
      <c r="B1454" s="4">
        <v>59</v>
      </c>
      <c r="C1454" s="4">
        <v>34</v>
      </c>
      <c r="D1454" s="4">
        <v>80</v>
      </c>
      <c r="E1454" s="4">
        <v>3</v>
      </c>
      <c r="F1454" s="8">
        <v>0.5</v>
      </c>
      <c r="G1454" s="4">
        <v>1</v>
      </c>
      <c r="H1454" s="4">
        <f t="shared" si="44"/>
        <v>1</v>
      </c>
      <c r="I1454" s="4">
        <f t="shared" si="45"/>
        <v>0</v>
      </c>
      <c r="J1454" s="4">
        <v>0</v>
      </c>
      <c r="K1454" s="4">
        <v>0</v>
      </c>
      <c r="L1454" s="4">
        <v>0</v>
      </c>
      <c r="M1454" s="4">
        <v>1</v>
      </c>
      <c r="N1454" s="4">
        <v>1</v>
      </c>
      <c r="O1454" s="4">
        <v>0</v>
      </c>
    </row>
    <row r="1455" spans="1:15" x14ac:dyDescent="0.15">
      <c r="A1455" s="4">
        <v>1452</v>
      </c>
      <c r="B1455" s="4">
        <v>44</v>
      </c>
      <c r="C1455" s="4">
        <v>20</v>
      </c>
      <c r="D1455" s="4">
        <v>82</v>
      </c>
      <c r="E1455" s="4">
        <v>4</v>
      </c>
      <c r="F1455" s="8">
        <v>1.4</v>
      </c>
      <c r="G1455" s="4">
        <v>2</v>
      </c>
      <c r="H1455" s="4">
        <f t="shared" si="44"/>
        <v>0</v>
      </c>
      <c r="I1455" s="4">
        <f t="shared" si="45"/>
        <v>1</v>
      </c>
      <c r="J1455" s="4">
        <v>201</v>
      </c>
      <c r="K1455" s="4">
        <v>0</v>
      </c>
      <c r="L1455" s="4">
        <v>0</v>
      </c>
      <c r="M1455" s="4">
        <v>1</v>
      </c>
      <c r="N1455" s="4">
        <v>1</v>
      </c>
      <c r="O1455" s="4">
        <v>0</v>
      </c>
    </row>
    <row r="1456" spans="1:15" x14ac:dyDescent="0.15">
      <c r="A1456" s="4">
        <v>1453</v>
      </c>
      <c r="B1456" s="4">
        <v>54</v>
      </c>
      <c r="C1456" s="4">
        <v>28</v>
      </c>
      <c r="D1456" s="4">
        <v>52</v>
      </c>
      <c r="E1456" s="4">
        <v>4</v>
      </c>
      <c r="F1456" s="8">
        <v>2.5</v>
      </c>
      <c r="G1456" s="4">
        <v>1</v>
      </c>
      <c r="H1456" s="4">
        <f t="shared" si="44"/>
        <v>1</v>
      </c>
      <c r="I1456" s="4">
        <f t="shared" si="45"/>
        <v>0</v>
      </c>
      <c r="J1456" s="4">
        <v>0</v>
      </c>
      <c r="K1456" s="4">
        <v>0</v>
      </c>
      <c r="L1456" s="4">
        <v>0</v>
      </c>
      <c r="M1456" s="4">
        <v>1</v>
      </c>
      <c r="N1456" s="4">
        <v>0</v>
      </c>
      <c r="O1456" s="4">
        <v>0</v>
      </c>
    </row>
    <row r="1457" spans="1:15" x14ac:dyDescent="0.15">
      <c r="A1457" s="4">
        <v>1454</v>
      </c>
      <c r="B1457" s="4">
        <v>29</v>
      </c>
      <c r="C1457" s="4">
        <v>5</v>
      </c>
      <c r="D1457" s="4">
        <v>85</v>
      </c>
      <c r="E1457" s="4">
        <v>3</v>
      </c>
      <c r="F1457" s="8">
        <v>2.5</v>
      </c>
      <c r="G1457" s="4">
        <v>1</v>
      </c>
      <c r="H1457" s="4">
        <f t="shared" si="44"/>
        <v>1</v>
      </c>
      <c r="I1457" s="4">
        <f t="shared" si="45"/>
        <v>0</v>
      </c>
      <c r="J1457" s="4">
        <v>0</v>
      </c>
      <c r="K1457" s="4">
        <v>0</v>
      </c>
      <c r="L1457" s="4">
        <v>0</v>
      </c>
      <c r="M1457" s="4">
        <v>1</v>
      </c>
      <c r="N1457" s="4">
        <v>1</v>
      </c>
      <c r="O1457" s="4">
        <v>0</v>
      </c>
    </row>
    <row r="1458" spans="1:15" x14ac:dyDescent="0.15">
      <c r="A1458" s="4">
        <v>1455</v>
      </c>
      <c r="B1458" s="4">
        <v>51</v>
      </c>
      <c r="C1458" s="4">
        <v>25</v>
      </c>
      <c r="D1458" s="4">
        <v>148</v>
      </c>
      <c r="E1458" s="4">
        <v>1</v>
      </c>
      <c r="F1458" s="8">
        <v>1</v>
      </c>
      <c r="G1458" s="4">
        <v>1</v>
      </c>
      <c r="H1458" s="4">
        <f t="shared" si="44"/>
        <v>1</v>
      </c>
      <c r="I1458" s="4">
        <f t="shared" si="45"/>
        <v>0</v>
      </c>
      <c r="J1458" s="4">
        <v>0</v>
      </c>
      <c r="K1458" s="4">
        <v>0</v>
      </c>
      <c r="L1458" s="4">
        <v>0</v>
      </c>
      <c r="M1458" s="4">
        <v>0</v>
      </c>
      <c r="N1458" s="4">
        <v>0</v>
      </c>
      <c r="O1458" s="4">
        <v>0</v>
      </c>
    </row>
    <row r="1459" spans="1:15" x14ac:dyDescent="0.15">
      <c r="A1459" s="4">
        <v>1456</v>
      </c>
      <c r="B1459" s="4">
        <v>63</v>
      </c>
      <c r="C1459" s="4">
        <v>39</v>
      </c>
      <c r="D1459" s="4">
        <v>160</v>
      </c>
      <c r="E1459" s="4">
        <v>2</v>
      </c>
      <c r="F1459" s="8">
        <v>2.1</v>
      </c>
      <c r="G1459" s="4">
        <v>1</v>
      </c>
      <c r="H1459" s="4">
        <f t="shared" si="44"/>
        <v>1</v>
      </c>
      <c r="I1459" s="4">
        <f t="shared" si="45"/>
        <v>0</v>
      </c>
      <c r="J1459" s="4">
        <v>0</v>
      </c>
      <c r="K1459" s="4">
        <v>0</v>
      </c>
      <c r="L1459" s="4">
        <v>0</v>
      </c>
      <c r="M1459" s="4">
        <v>0</v>
      </c>
      <c r="N1459" s="4">
        <v>1</v>
      </c>
      <c r="O1459" s="4">
        <v>0</v>
      </c>
    </row>
    <row r="1460" spans="1:15" x14ac:dyDescent="0.15">
      <c r="A1460" s="4">
        <v>1457</v>
      </c>
      <c r="B1460" s="4">
        <v>36</v>
      </c>
      <c r="C1460" s="4">
        <v>11</v>
      </c>
      <c r="D1460" s="4">
        <v>39</v>
      </c>
      <c r="E1460" s="4">
        <v>4</v>
      </c>
      <c r="F1460" s="8">
        <v>1.7</v>
      </c>
      <c r="G1460" s="4">
        <v>1</v>
      </c>
      <c r="H1460" s="4">
        <f t="shared" si="44"/>
        <v>1</v>
      </c>
      <c r="I1460" s="4">
        <f t="shared" si="45"/>
        <v>0</v>
      </c>
      <c r="J1460" s="4">
        <v>0</v>
      </c>
      <c r="K1460" s="4">
        <v>0</v>
      </c>
      <c r="L1460" s="4">
        <v>0</v>
      </c>
      <c r="M1460" s="4">
        <v>1</v>
      </c>
      <c r="N1460" s="4">
        <v>0</v>
      </c>
      <c r="O1460" s="4">
        <v>0</v>
      </c>
    </row>
    <row r="1461" spans="1:15" x14ac:dyDescent="0.15">
      <c r="A1461" s="4">
        <v>1458</v>
      </c>
      <c r="B1461" s="4">
        <v>42</v>
      </c>
      <c r="C1461" s="4">
        <v>16</v>
      </c>
      <c r="D1461" s="4">
        <v>25</v>
      </c>
      <c r="E1461" s="4">
        <v>2</v>
      </c>
      <c r="F1461" s="8">
        <v>0.8</v>
      </c>
      <c r="G1461" s="4">
        <v>3</v>
      </c>
      <c r="H1461" s="4">
        <f t="shared" si="44"/>
        <v>0</v>
      </c>
      <c r="I1461" s="4">
        <f t="shared" si="45"/>
        <v>0</v>
      </c>
      <c r="J1461" s="4">
        <v>0</v>
      </c>
      <c r="K1461" s="4">
        <v>0</v>
      </c>
      <c r="L1461" s="4">
        <v>0</v>
      </c>
      <c r="M1461" s="4">
        <v>0</v>
      </c>
      <c r="N1461" s="4">
        <v>1</v>
      </c>
      <c r="O1461" s="4">
        <v>0</v>
      </c>
    </row>
    <row r="1462" spans="1:15" x14ac:dyDescent="0.15">
      <c r="A1462" s="4">
        <v>1459</v>
      </c>
      <c r="B1462" s="4">
        <v>51</v>
      </c>
      <c r="C1462" s="4">
        <v>25</v>
      </c>
      <c r="D1462" s="4">
        <v>33</v>
      </c>
      <c r="E1462" s="4">
        <v>1</v>
      </c>
      <c r="F1462" s="8">
        <v>1.4</v>
      </c>
      <c r="G1462" s="4">
        <v>3</v>
      </c>
      <c r="H1462" s="4">
        <f t="shared" si="44"/>
        <v>0</v>
      </c>
      <c r="I1462" s="4">
        <f t="shared" si="45"/>
        <v>0</v>
      </c>
      <c r="J1462" s="4">
        <v>0</v>
      </c>
      <c r="K1462" s="4">
        <v>0</v>
      </c>
      <c r="L1462" s="4">
        <v>0</v>
      </c>
      <c r="M1462" s="4">
        <v>1</v>
      </c>
      <c r="N1462" s="4">
        <v>1</v>
      </c>
      <c r="O1462" s="4">
        <v>0</v>
      </c>
    </row>
    <row r="1463" spans="1:15" x14ac:dyDescent="0.15">
      <c r="A1463" s="4">
        <v>1460</v>
      </c>
      <c r="B1463" s="4">
        <v>47</v>
      </c>
      <c r="C1463" s="4">
        <v>20</v>
      </c>
      <c r="D1463" s="4">
        <v>38</v>
      </c>
      <c r="E1463" s="4">
        <v>3</v>
      </c>
      <c r="F1463" s="8">
        <v>2.5</v>
      </c>
      <c r="G1463" s="4">
        <v>2</v>
      </c>
      <c r="H1463" s="4">
        <f t="shared" si="44"/>
        <v>0</v>
      </c>
      <c r="I1463" s="4">
        <f t="shared" si="45"/>
        <v>1</v>
      </c>
      <c r="J1463" s="4">
        <v>0</v>
      </c>
      <c r="K1463" s="4">
        <v>0</v>
      </c>
      <c r="L1463" s="4">
        <v>0</v>
      </c>
      <c r="M1463" s="4">
        <v>0</v>
      </c>
      <c r="N1463" s="4">
        <v>0</v>
      </c>
      <c r="O1463" s="4">
        <v>0</v>
      </c>
    </row>
    <row r="1464" spans="1:15" x14ac:dyDescent="0.15">
      <c r="A1464" s="4">
        <v>1461</v>
      </c>
      <c r="B1464" s="4">
        <v>40</v>
      </c>
      <c r="C1464" s="4">
        <v>16</v>
      </c>
      <c r="D1464" s="4">
        <v>85</v>
      </c>
      <c r="E1464" s="4">
        <v>4</v>
      </c>
      <c r="F1464" s="8">
        <v>0.2</v>
      </c>
      <c r="G1464" s="4">
        <v>3</v>
      </c>
      <c r="H1464" s="4">
        <f t="shared" si="44"/>
        <v>0</v>
      </c>
      <c r="I1464" s="4">
        <f t="shared" si="45"/>
        <v>0</v>
      </c>
      <c r="J1464" s="4">
        <v>0</v>
      </c>
      <c r="K1464" s="4">
        <v>0</v>
      </c>
      <c r="L1464" s="4">
        <v>0</v>
      </c>
      <c r="M1464" s="4">
        <v>1</v>
      </c>
      <c r="N1464" s="4">
        <v>1</v>
      </c>
      <c r="O1464" s="4">
        <v>0</v>
      </c>
    </row>
    <row r="1465" spans="1:15" x14ac:dyDescent="0.15">
      <c r="A1465" s="4">
        <v>1462</v>
      </c>
      <c r="B1465" s="4">
        <v>54</v>
      </c>
      <c r="C1465" s="4">
        <v>28</v>
      </c>
      <c r="D1465" s="4">
        <v>48</v>
      </c>
      <c r="E1465" s="4">
        <v>1</v>
      </c>
      <c r="F1465" s="8">
        <v>0.2</v>
      </c>
      <c r="G1465" s="4">
        <v>1</v>
      </c>
      <c r="H1465" s="4">
        <f t="shared" si="44"/>
        <v>1</v>
      </c>
      <c r="I1465" s="4">
        <f t="shared" si="45"/>
        <v>0</v>
      </c>
      <c r="J1465" s="4">
        <v>0</v>
      </c>
      <c r="K1465" s="4">
        <v>0</v>
      </c>
      <c r="L1465" s="4">
        <v>0</v>
      </c>
      <c r="M1465" s="4">
        <v>1</v>
      </c>
      <c r="N1465" s="4">
        <v>0</v>
      </c>
      <c r="O1465" s="4">
        <v>0</v>
      </c>
    </row>
    <row r="1466" spans="1:15" x14ac:dyDescent="0.15">
      <c r="A1466" s="4">
        <v>1463</v>
      </c>
      <c r="B1466" s="4">
        <v>47</v>
      </c>
      <c r="C1466" s="4">
        <v>21</v>
      </c>
      <c r="D1466" s="4">
        <v>15</v>
      </c>
      <c r="E1466" s="4">
        <v>4</v>
      </c>
      <c r="F1466" s="8">
        <v>0.6</v>
      </c>
      <c r="G1466" s="4">
        <v>3</v>
      </c>
      <c r="H1466" s="4">
        <f t="shared" si="44"/>
        <v>0</v>
      </c>
      <c r="I1466" s="4">
        <f t="shared" si="45"/>
        <v>0</v>
      </c>
      <c r="J1466" s="4">
        <v>77</v>
      </c>
      <c r="K1466" s="4">
        <v>0</v>
      </c>
      <c r="L1466" s="4">
        <v>0</v>
      </c>
      <c r="M1466" s="4">
        <v>1</v>
      </c>
      <c r="N1466" s="4">
        <v>0</v>
      </c>
      <c r="O1466" s="4">
        <v>0</v>
      </c>
    </row>
    <row r="1467" spans="1:15" x14ac:dyDescent="0.15">
      <c r="A1467" s="4">
        <v>1464</v>
      </c>
      <c r="B1467" s="4">
        <v>35</v>
      </c>
      <c r="C1467" s="4">
        <v>10</v>
      </c>
      <c r="D1467" s="4">
        <v>94</v>
      </c>
      <c r="E1467" s="4">
        <v>1</v>
      </c>
      <c r="F1467" s="8">
        <v>0</v>
      </c>
      <c r="G1467" s="4">
        <v>1</v>
      </c>
      <c r="H1467" s="4">
        <f t="shared" si="44"/>
        <v>1</v>
      </c>
      <c r="I1467" s="4">
        <f t="shared" si="45"/>
        <v>0</v>
      </c>
      <c r="J1467" s="4">
        <v>174</v>
      </c>
      <c r="K1467" s="4">
        <v>0</v>
      </c>
      <c r="L1467" s="4">
        <v>0</v>
      </c>
      <c r="M1467" s="4">
        <v>1</v>
      </c>
      <c r="N1467" s="4">
        <v>0</v>
      </c>
      <c r="O1467" s="4">
        <v>0</v>
      </c>
    </row>
    <row r="1468" spans="1:15" x14ac:dyDescent="0.15">
      <c r="A1468" s="4">
        <v>1465</v>
      </c>
      <c r="B1468" s="4">
        <v>28</v>
      </c>
      <c r="C1468" s="4">
        <v>4</v>
      </c>
      <c r="D1468" s="4">
        <v>120</v>
      </c>
      <c r="E1468" s="4">
        <v>2</v>
      </c>
      <c r="F1468" s="8">
        <v>0.6</v>
      </c>
      <c r="G1468" s="4">
        <v>1</v>
      </c>
      <c r="H1468" s="4">
        <f t="shared" si="44"/>
        <v>1</v>
      </c>
      <c r="I1468" s="4">
        <f t="shared" si="45"/>
        <v>0</v>
      </c>
      <c r="J1468" s="4">
        <v>0</v>
      </c>
      <c r="K1468" s="4">
        <v>0</v>
      </c>
      <c r="L1468" s="4">
        <v>0</v>
      </c>
      <c r="M1468" s="4">
        <v>1</v>
      </c>
      <c r="N1468" s="4">
        <v>0</v>
      </c>
      <c r="O1468" s="4">
        <v>0</v>
      </c>
    </row>
    <row r="1469" spans="1:15" x14ac:dyDescent="0.15">
      <c r="A1469" s="4">
        <v>1466</v>
      </c>
      <c r="B1469" s="4">
        <v>45</v>
      </c>
      <c r="C1469" s="4">
        <v>19</v>
      </c>
      <c r="D1469" s="4">
        <v>60</v>
      </c>
      <c r="E1469" s="4">
        <v>1</v>
      </c>
      <c r="F1469" s="8">
        <v>0.7</v>
      </c>
      <c r="G1469" s="4">
        <v>3</v>
      </c>
      <c r="H1469" s="4">
        <f t="shared" si="44"/>
        <v>0</v>
      </c>
      <c r="I1469" s="4">
        <f t="shared" si="45"/>
        <v>0</v>
      </c>
      <c r="J1469" s="4">
        <v>159</v>
      </c>
      <c r="K1469" s="4">
        <v>0</v>
      </c>
      <c r="L1469" s="4">
        <v>0</v>
      </c>
      <c r="M1469" s="4">
        <v>1</v>
      </c>
      <c r="N1469" s="4">
        <v>0</v>
      </c>
      <c r="O1469" s="4">
        <v>0</v>
      </c>
    </row>
    <row r="1470" spans="1:15" x14ac:dyDescent="0.15">
      <c r="A1470" s="4">
        <v>1467</v>
      </c>
      <c r="B1470" s="4">
        <v>33</v>
      </c>
      <c r="C1470" s="4">
        <v>9</v>
      </c>
      <c r="D1470" s="4">
        <v>145</v>
      </c>
      <c r="E1470" s="4">
        <v>2</v>
      </c>
      <c r="F1470" s="8">
        <v>4.333333333333333</v>
      </c>
      <c r="G1470" s="4">
        <v>1</v>
      </c>
      <c r="H1470" s="4">
        <f t="shared" si="44"/>
        <v>1</v>
      </c>
      <c r="I1470" s="4">
        <f t="shared" si="45"/>
        <v>0</v>
      </c>
      <c r="J1470" s="4">
        <v>277</v>
      </c>
      <c r="K1470" s="4">
        <v>0</v>
      </c>
      <c r="L1470" s="4">
        <v>0</v>
      </c>
      <c r="M1470" s="4">
        <v>0</v>
      </c>
      <c r="N1470" s="4">
        <v>1</v>
      </c>
      <c r="O1470" s="4">
        <v>0</v>
      </c>
    </row>
    <row r="1471" spans="1:15" x14ac:dyDescent="0.15">
      <c r="A1471" s="4">
        <v>1468</v>
      </c>
      <c r="B1471" s="4">
        <v>62</v>
      </c>
      <c r="C1471" s="4">
        <v>36</v>
      </c>
      <c r="D1471" s="4">
        <v>29</v>
      </c>
      <c r="E1471" s="4">
        <v>2</v>
      </c>
      <c r="F1471" s="8">
        <v>0.7</v>
      </c>
      <c r="G1471" s="4">
        <v>3</v>
      </c>
      <c r="H1471" s="4">
        <f t="shared" si="44"/>
        <v>0</v>
      </c>
      <c r="I1471" s="4">
        <f t="shared" si="45"/>
        <v>0</v>
      </c>
      <c r="J1471" s="4">
        <v>0</v>
      </c>
      <c r="K1471" s="4">
        <v>0</v>
      </c>
      <c r="L1471" s="4">
        <v>0</v>
      </c>
      <c r="M1471" s="4">
        <v>0</v>
      </c>
      <c r="N1471" s="4">
        <v>0</v>
      </c>
      <c r="O1471" s="4">
        <v>0</v>
      </c>
    </row>
    <row r="1472" spans="1:15" x14ac:dyDescent="0.15">
      <c r="A1472" s="4">
        <v>1469</v>
      </c>
      <c r="B1472" s="4">
        <v>45</v>
      </c>
      <c r="C1472" s="4">
        <v>18</v>
      </c>
      <c r="D1472" s="4">
        <v>78</v>
      </c>
      <c r="E1472" s="4">
        <v>3</v>
      </c>
      <c r="F1472" s="8">
        <v>2.6666666666666665</v>
      </c>
      <c r="G1472" s="4">
        <v>2</v>
      </c>
      <c r="H1472" s="4">
        <f t="shared" si="44"/>
        <v>0</v>
      </c>
      <c r="I1472" s="4">
        <f t="shared" si="45"/>
        <v>1</v>
      </c>
      <c r="J1472" s="4">
        <v>0</v>
      </c>
      <c r="K1472" s="4">
        <v>0</v>
      </c>
      <c r="L1472" s="4">
        <v>0</v>
      </c>
      <c r="M1472" s="4">
        <v>1</v>
      </c>
      <c r="N1472" s="4">
        <v>0</v>
      </c>
      <c r="O1472" s="4">
        <v>0</v>
      </c>
    </row>
    <row r="1473" spans="1:15" x14ac:dyDescent="0.15">
      <c r="A1473" s="4">
        <v>1470</v>
      </c>
      <c r="B1473" s="4">
        <v>59</v>
      </c>
      <c r="C1473" s="4">
        <v>35</v>
      </c>
      <c r="D1473" s="4">
        <v>59</v>
      </c>
      <c r="E1473" s="4">
        <v>4</v>
      </c>
      <c r="F1473" s="8">
        <v>1.2</v>
      </c>
      <c r="G1473" s="4">
        <v>2</v>
      </c>
      <c r="H1473" s="4">
        <f t="shared" si="44"/>
        <v>0</v>
      </c>
      <c r="I1473" s="4">
        <f t="shared" si="45"/>
        <v>1</v>
      </c>
      <c r="J1473" s="4">
        <v>0</v>
      </c>
      <c r="K1473" s="4">
        <v>0</v>
      </c>
      <c r="L1473" s="4">
        <v>0</v>
      </c>
      <c r="M1473" s="4">
        <v>1</v>
      </c>
      <c r="N1473" s="4">
        <v>0</v>
      </c>
      <c r="O1473" s="4">
        <v>0</v>
      </c>
    </row>
    <row r="1474" spans="1:15" x14ac:dyDescent="0.15">
      <c r="A1474" s="4">
        <v>1471</v>
      </c>
      <c r="B1474" s="4">
        <v>58</v>
      </c>
      <c r="C1474" s="4">
        <v>28</v>
      </c>
      <c r="D1474" s="4">
        <v>80</v>
      </c>
      <c r="E1474" s="4">
        <v>2</v>
      </c>
      <c r="F1474" s="8">
        <v>4.5</v>
      </c>
      <c r="G1474" s="4">
        <v>3</v>
      </c>
      <c r="H1474" s="4">
        <f t="shared" si="44"/>
        <v>0</v>
      </c>
      <c r="I1474" s="4">
        <f t="shared" si="45"/>
        <v>0</v>
      </c>
      <c r="J1474" s="4">
        <v>0</v>
      </c>
      <c r="K1474" s="4">
        <v>0</v>
      </c>
      <c r="L1474" s="4">
        <v>0</v>
      </c>
      <c r="M1474" s="4">
        <v>0</v>
      </c>
      <c r="N1474" s="4">
        <v>1</v>
      </c>
      <c r="O1474" s="4">
        <v>0</v>
      </c>
    </row>
    <row r="1475" spans="1:15" x14ac:dyDescent="0.15">
      <c r="A1475" s="4">
        <v>1472</v>
      </c>
      <c r="B1475" s="4">
        <v>52</v>
      </c>
      <c r="C1475" s="4">
        <v>26</v>
      </c>
      <c r="D1475" s="4">
        <v>180</v>
      </c>
      <c r="E1475" s="4">
        <v>1</v>
      </c>
      <c r="F1475" s="8">
        <v>1</v>
      </c>
      <c r="G1475" s="4">
        <v>1</v>
      </c>
      <c r="H1475" s="4">
        <f t="shared" si="44"/>
        <v>1</v>
      </c>
      <c r="I1475" s="4">
        <f t="shared" si="45"/>
        <v>0</v>
      </c>
      <c r="J1475" s="4">
        <v>0</v>
      </c>
      <c r="K1475" s="4">
        <v>0</v>
      </c>
      <c r="L1475" s="4">
        <v>0</v>
      </c>
      <c r="M1475" s="4">
        <v>1</v>
      </c>
      <c r="N1475" s="4">
        <v>1</v>
      </c>
      <c r="O1475" s="4">
        <v>0</v>
      </c>
    </row>
    <row r="1476" spans="1:15" x14ac:dyDescent="0.15">
      <c r="A1476" s="4">
        <v>1473</v>
      </c>
      <c r="B1476" s="4">
        <v>34</v>
      </c>
      <c r="C1476" s="4">
        <v>8</v>
      </c>
      <c r="D1476" s="4">
        <v>8</v>
      </c>
      <c r="E1476" s="4">
        <v>3</v>
      </c>
      <c r="F1476" s="8">
        <v>0.1</v>
      </c>
      <c r="G1476" s="4">
        <v>2</v>
      </c>
      <c r="H1476" s="4">
        <f t="shared" si="44"/>
        <v>0</v>
      </c>
      <c r="I1476" s="4">
        <f t="shared" si="45"/>
        <v>1</v>
      </c>
      <c r="J1476" s="4">
        <v>83</v>
      </c>
      <c r="K1476" s="4">
        <v>0</v>
      </c>
      <c r="L1476" s="4">
        <v>0</v>
      </c>
      <c r="M1476" s="4">
        <v>1</v>
      </c>
      <c r="N1476" s="4">
        <v>0</v>
      </c>
      <c r="O1476" s="4">
        <v>0</v>
      </c>
    </row>
    <row r="1477" spans="1:15" x14ac:dyDescent="0.15">
      <c r="A1477" s="4">
        <v>1474</v>
      </c>
      <c r="B1477" s="4">
        <v>65</v>
      </c>
      <c r="C1477" s="4">
        <v>35</v>
      </c>
      <c r="D1477" s="4">
        <v>23</v>
      </c>
      <c r="E1477" s="4">
        <v>1</v>
      </c>
      <c r="F1477" s="8">
        <v>1.5</v>
      </c>
      <c r="G1477" s="4">
        <v>3</v>
      </c>
      <c r="H1477" s="4">
        <f t="shared" ref="H1477:H1540" si="46">IF(G1477=1,1,0)</f>
        <v>0</v>
      </c>
      <c r="I1477" s="4">
        <f t="shared" ref="I1477:I1540" si="47">IF(G1477=2,1,0)</f>
        <v>0</v>
      </c>
      <c r="J1477" s="4">
        <v>0</v>
      </c>
      <c r="K1477" s="4">
        <v>0</v>
      </c>
      <c r="L1477" s="4">
        <v>0</v>
      </c>
      <c r="M1477" s="4">
        <v>1</v>
      </c>
      <c r="N1477" s="4">
        <v>0</v>
      </c>
      <c r="O1477" s="4">
        <v>0</v>
      </c>
    </row>
    <row r="1478" spans="1:15" x14ac:dyDescent="0.15">
      <c r="A1478" s="4">
        <v>1475</v>
      </c>
      <c r="B1478" s="4">
        <v>48</v>
      </c>
      <c r="C1478" s="4">
        <v>23</v>
      </c>
      <c r="D1478" s="4">
        <v>79</v>
      </c>
      <c r="E1478" s="4">
        <v>2</v>
      </c>
      <c r="F1478" s="8">
        <v>3.8</v>
      </c>
      <c r="G1478" s="4">
        <v>3</v>
      </c>
      <c r="H1478" s="4">
        <f t="shared" si="46"/>
        <v>0</v>
      </c>
      <c r="I1478" s="4">
        <f t="shared" si="47"/>
        <v>0</v>
      </c>
      <c r="J1478" s="4">
        <v>0</v>
      </c>
      <c r="K1478" s="4">
        <v>0</v>
      </c>
      <c r="L1478" s="4">
        <v>0</v>
      </c>
      <c r="M1478" s="4">
        <v>1</v>
      </c>
      <c r="N1478" s="4">
        <v>0</v>
      </c>
      <c r="O1478" s="4">
        <v>0</v>
      </c>
    </row>
    <row r="1479" spans="1:15" x14ac:dyDescent="0.15">
      <c r="A1479" s="4">
        <v>1476</v>
      </c>
      <c r="B1479" s="4">
        <v>44</v>
      </c>
      <c r="C1479" s="4">
        <v>19</v>
      </c>
      <c r="D1479" s="4">
        <v>78</v>
      </c>
      <c r="E1479" s="4">
        <v>2</v>
      </c>
      <c r="F1479" s="8">
        <v>3.8</v>
      </c>
      <c r="G1479" s="4">
        <v>3</v>
      </c>
      <c r="H1479" s="4">
        <f t="shared" si="46"/>
        <v>0</v>
      </c>
      <c r="I1479" s="4">
        <f t="shared" si="47"/>
        <v>0</v>
      </c>
      <c r="J1479" s="4">
        <v>268</v>
      </c>
      <c r="K1479" s="4">
        <v>0</v>
      </c>
      <c r="L1479" s="4">
        <v>0</v>
      </c>
      <c r="M1479" s="4">
        <v>0</v>
      </c>
      <c r="N1479" s="4">
        <v>0</v>
      </c>
      <c r="O1479" s="4">
        <v>0</v>
      </c>
    </row>
    <row r="1480" spans="1:15" x14ac:dyDescent="0.15">
      <c r="A1480" s="4">
        <v>1477</v>
      </c>
      <c r="B1480" s="4">
        <v>61</v>
      </c>
      <c r="C1480" s="4">
        <v>37</v>
      </c>
      <c r="D1480" s="4">
        <v>64</v>
      </c>
      <c r="E1480" s="4">
        <v>1</v>
      </c>
      <c r="F1480" s="8">
        <v>0</v>
      </c>
      <c r="G1480" s="4">
        <v>2</v>
      </c>
      <c r="H1480" s="4">
        <f t="shared" si="46"/>
        <v>0</v>
      </c>
      <c r="I1480" s="4">
        <f t="shared" si="47"/>
        <v>1</v>
      </c>
      <c r="J1480" s="4">
        <v>0</v>
      </c>
      <c r="K1480" s="4">
        <v>0</v>
      </c>
      <c r="L1480" s="4">
        <v>0</v>
      </c>
      <c r="M1480" s="4">
        <v>0</v>
      </c>
      <c r="N1480" s="4">
        <v>1</v>
      </c>
      <c r="O1480" s="4">
        <v>0</v>
      </c>
    </row>
    <row r="1481" spans="1:15" x14ac:dyDescent="0.15">
      <c r="A1481" s="4">
        <v>1478</v>
      </c>
      <c r="B1481" s="4">
        <v>40</v>
      </c>
      <c r="C1481" s="4">
        <v>14</v>
      </c>
      <c r="D1481" s="4">
        <v>64</v>
      </c>
      <c r="E1481" s="4">
        <v>4</v>
      </c>
      <c r="F1481" s="8">
        <v>0.2</v>
      </c>
      <c r="G1481" s="4">
        <v>3</v>
      </c>
      <c r="H1481" s="4">
        <f t="shared" si="46"/>
        <v>0</v>
      </c>
      <c r="I1481" s="4">
        <f t="shared" si="47"/>
        <v>0</v>
      </c>
      <c r="J1481" s="4">
        <v>0</v>
      </c>
      <c r="K1481" s="4">
        <v>0</v>
      </c>
      <c r="L1481" s="4">
        <v>0</v>
      </c>
      <c r="M1481" s="4">
        <v>1</v>
      </c>
      <c r="N1481" s="4">
        <v>1</v>
      </c>
      <c r="O1481" s="4">
        <v>0</v>
      </c>
    </row>
    <row r="1482" spans="1:15" x14ac:dyDescent="0.15">
      <c r="A1482" s="4">
        <v>1479</v>
      </c>
      <c r="B1482" s="4">
        <v>65</v>
      </c>
      <c r="C1482" s="4">
        <v>39</v>
      </c>
      <c r="D1482" s="4">
        <v>160</v>
      </c>
      <c r="E1482" s="4">
        <v>4</v>
      </c>
      <c r="F1482" s="8">
        <v>3.8</v>
      </c>
      <c r="G1482" s="4">
        <v>1</v>
      </c>
      <c r="H1482" s="4">
        <f t="shared" si="46"/>
        <v>1</v>
      </c>
      <c r="I1482" s="4">
        <f t="shared" si="47"/>
        <v>0</v>
      </c>
      <c r="J1482" s="4">
        <v>237</v>
      </c>
      <c r="K1482" s="4">
        <v>0</v>
      </c>
      <c r="L1482" s="4">
        <v>0</v>
      </c>
      <c r="M1482" s="4">
        <v>1</v>
      </c>
      <c r="N1482" s="4">
        <v>0</v>
      </c>
      <c r="O1482" s="4">
        <v>1</v>
      </c>
    </row>
    <row r="1483" spans="1:15" x14ac:dyDescent="0.15">
      <c r="A1483" s="4">
        <v>1480</v>
      </c>
      <c r="B1483" s="4">
        <v>28</v>
      </c>
      <c r="C1483" s="4">
        <v>4</v>
      </c>
      <c r="D1483" s="4">
        <v>43</v>
      </c>
      <c r="E1483" s="4">
        <v>1</v>
      </c>
      <c r="F1483" s="8">
        <v>1</v>
      </c>
      <c r="G1483" s="4">
        <v>3</v>
      </c>
      <c r="H1483" s="4">
        <f t="shared" si="46"/>
        <v>0</v>
      </c>
      <c r="I1483" s="4">
        <f t="shared" si="47"/>
        <v>0</v>
      </c>
      <c r="J1483" s="4">
        <v>102</v>
      </c>
      <c r="K1483" s="4">
        <v>0</v>
      </c>
      <c r="L1483" s="4">
        <v>0</v>
      </c>
      <c r="M1483" s="4">
        <v>0</v>
      </c>
      <c r="N1483" s="4">
        <v>0</v>
      </c>
      <c r="O1483" s="4">
        <v>0</v>
      </c>
    </row>
    <row r="1484" spans="1:15" x14ac:dyDescent="0.15">
      <c r="A1484" s="4">
        <v>1481</v>
      </c>
      <c r="B1484" s="4">
        <v>67</v>
      </c>
      <c r="C1484" s="4">
        <v>42</v>
      </c>
      <c r="D1484" s="4">
        <v>32</v>
      </c>
      <c r="E1484" s="4">
        <v>1</v>
      </c>
      <c r="F1484" s="8">
        <v>1.1000000000000001</v>
      </c>
      <c r="G1484" s="4">
        <v>3</v>
      </c>
      <c r="H1484" s="4">
        <f t="shared" si="46"/>
        <v>0</v>
      </c>
      <c r="I1484" s="4">
        <f t="shared" si="47"/>
        <v>0</v>
      </c>
      <c r="J1484" s="4">
        <v>0</v>
      </c>
      <c r="K1484" s="4">
        <v>0</v>
      </c>
      <c r="L1484" s="4">
        <v>0</v>
      </c>
      <c r="M1484" s="4">
        <v>0</v>
      </c>
      <c r="N1484" s="4">
        <v>1</v>
      </c>
      <c r="O1484" s="4">
        <v>0</v>
      </c>
    </row>
    <row r="1485" spans="1:15" x14ac:dyDescent="0.15">
      <c r="A1485" s="4">
        <v>1482</v>
      </c>
      <c r="B1485" s="4">
        <v>35</v>
      </c>
      <c r="C1485" s="4">
        <v>9</v>
      </c>
      <c r="D1485" s="4">
        <v>179</v>
      </c>
      <c r="E1485" s="4">
        <v>2</v>
      </c>
      <c r="F1485" s="8">
        <v>0</v>
      </c>
      <c r="G1485" s="4">
        <v>1</v>
      </c>
      <c r="H1485" s="4">
        <f t="shared" si="46"/>
        <v>1</v>
      </c>
      <c r="I1485" s="4">
        <f t="shared" si="47"/>
        <v>0</v>
      </c>
      <c r="J1485" s="4">
        <v>76</v>
      </c>
      <c r="K1485" s="4">
        <v>1</v>
      </c>
      <c r="L1485" s="4">
        <v>0</v>
      </c>
      <c r="M1485" s="4">
        <v>1</v>
      </c>
      <c r="N1485" s="4">
        <v>0</v>
      </c>
      <c r="O1485" s="4">
        <v>0</v>
      </c>
    </row>
    <row r="1486" spans="1:15" x14ac:dyDescent="0.15">
      <c r="A1486" s="4">
        <v>1483</v>
      </c>
      <c r="B1486" s="4">
        <v>60</v>
      </c>
      <c r="C1486" s="4">
        <v>35</v>
      </c>
      <c r="D1486" s="4">
        <v>8</v>
      </c>
      <c r="E1486" s="4">
        <v>1</v>
      </c>
      <c r="F1486" s="8">
        <v>0.1</v>
      </c>
      <c r="G1486" s="4">
        <v>1</v>
      </c>
      <c r="H1486" s="4">
        <f t="shared" si="46"/>
        <v>1</v>
      </c>
      <c r="I1486" s="4">
        <f t="shared" si="47"/>
        <v>0</v>
      </c>
      <c r="J1486" s="4">
        <v>0</v>
      </c>
      <c r="K1486" s="4">
        <v>0</v>
      </c>
      <c r="L1486" s="4">
        <v>0</v>
      </c>
      <c r="M1486" s="4">
        <v>1</v>
      </c>
      <c r="N1486" s="4">
        <v>0</v>
      </c>
      <c r="O1486" s="4">
        <v>0</v>
      </c>
    </row>
    <row r="1487" spans="1:15" x14ac:dyDescent="0.15">
      <c r="A1487" s="4">
        <v>1484</v>
      </c>
      <c r="B1487" s="4">
        <v>58</v>
      </c>
      <c r="C1487" s="4">
        <v>32</v>
      </c>
      <c r="D1487" s="4">
        <v>63</v>
      </c>
      <c r="E1487" s="4">
        <v>1</v>
      </c>
      <c r="F1487" s="8">
        <v>1.6</v>
      </c>
      <c r="G1487" s="4">
        <v>1</v>
      </c>
      <c r="H1487" s="4">
        <f t="shared" si="46"/>
        <v>1</v>
      </c>
      <c r="I1487" s="4">
        <f t="shared" si="47"/>
        <v>0</v>
      </c>
      <c r="J1487" s="4">
        <v>0</v>
      </c>
      <c r="K1487" s="4">
        <v>1</v>
      </c>
      <c r="L1487" s="4">
        <v>0</v>
      </c>
      <c r="M1487" s="4">
        <v>1</v>
      </c>
      <c r="N1487" s="4">
        <v>0</v>
      </c>
      <c r="O1487" s="4">
        <v>0</v>
      </c>
    </row>
    <row r="1488" spans="1:15" x14ac:dyDescent="0.15">
      <c r="A1488" s="4">
        <v>1485</v>
      </c>
      <c r="B1488" s="4">
        <v>55</v>
      </c>
      <c r="C1488" s="4">
        <v>30</v>
      </c>
      <c r="D1488" s="4">
        <v>40</v>
      </c>
      <c r="E1488" s="4">
        <v>2</v>
      </c>
      <c r="F1488" s="8">
        <v>2.2999999999999998</v>
      </c>
      <c r="G1488" s="4">
        <v>3</v>
      </c>
      <c r="H1488" s="4">
        <f t="shared" si="46"/>
        <v>0</v>
      </c>
      <c r="I1488" s="4">
        <f t="shared" si="47"/>
        <v>0</v>
      </c>
      <c r="J1488" s="4">
        <v>0</v>
      </c>
      <c r="K1488" s="4">
        <v>1</v>
      </c>
      <c r="L1488" s="4">
        <v>0</v>
      </c>
      <c r="M1488" s="4">
        <v>1</v>
      </c>
      <c r="N1488" s="4">
        <v>0</v>
      </c>
      <c r="O1488" s="4">
        <v>0</v>
      </c>
    </row>
    <row r="1489" spans="1:15" x14ac:dyDescent="0.15">
      <c r="A1489" s="4">
        <v>1486</v>
      </c>
      <c r="B1489" s="4">
        <v>34</v>
      </c>
      <c r="C1489" s="4">
        <v>9</v>
      </c>
      <c r="D1489" s="4">
        <v>99</v>
      </c>
      <c r="E1489" s="4">
        <v>4</v>
      </c>
      <c r="F1489" s="8">
        <v>2.2000000000000002</v>
      </c>
      <c r="G1489" s="4">
        <v>2</v>
      </c>
      <c r="H1489" s="4">
        <f t="shared" si="46"/>
        <v>0</v>
      </c>
      <c r="I1489" s="4">
        <f t="shared" si="47"/>
        <v>1</v>
      </c>
      <c r="J1489" s="4">
        <v>155</v>
      </c>
      <c r="K1489" s="4">
        <v>0</v>
      </c>
      <c r="L1489" s="4">
        <v>0</v>
      </c>
      <c r="M1489" s="4">
        <v>1</v>
      </c>
      <c r="N1489" s="4">
        <v>0</v>
      </c>
      <c r="O1489" s="4">
        <v>0</v>
      </c>
    </row>
    <row r="1490" spans="1:15" x14ac:dyDescent="0.15">
      <c r="A1490" s="4">
        <v>1487</v>
      </c>
      <c r="B1490" s="4">
        <v>35</v>
      </c>
      <c r="C1490" s="4">
        <v>9</v>
      </c>
      <c r="D1490" s="4">
        <v>141</v>
      </c>
      <c r="E1490" s="4">
        <v>2</v>
      </c>
      <c r="F1490" s="8">
        <v>4.5</v>
      </c>
      <c r="G1490" s="4">
        <v>2</v>
      </c>
      <c r="H1490" s="4">
        <f t="shared" si="46"/>
        <v>0</v>
      </c>
      <c r="I1490" s="4">
        <f t="shared" si="47"/>
        <v>1</v>
      </c>
      <c r="J1490" s="4">
        <v>0</v>
      </c>
      <c r="K1490" s="4">
        <v>0</v>
      </c>
      <c r="L1490" s="4">
        <v>0</v>
      </c>
      <c r="M1490" s="4">
        <v>0</v>
      </c>
      <c r="N1490" s="4">
        <v>0</v>
      </c>
      <c r="O1490" s="4">
        <v>1</v>
      </c>
    </row>
    <row r="1491" spans="1:15" x14ac:dyDescent="0.15">
      <c r="A1491" s="4">
        <v>1488</v>
      </c>
      <c r="B1491" s="4">
        <v>28</v>
      </c>
      <c r="C1491" s="4">
        <v>4</v>
      </c>
      <c r="D1491" s="4">
        <v>159</v>
      </c>
      <c r="E1491" s="4">
        <v>1</v>
      </c>
      <c r="F1491" s="8">
        <v>1.5</v>
      </c>
      <c r="G1491" s="4">
        <v>1</v>
      </c>
      <c r="H1491" s="4">
        <f t="shared" si="46"/>
        <v>1</v>
      </c>
      <c r="I1491" s="4">
        <f t="shared" si="47"/>
        <v>0</v>
      </c>
      <c r="J1491" s="4">
        <v>0</v>
      </c>
      <c r="K1491" s="4">
        <v>0</v>
      </c>
      <c r="L1491" s="4">
        <v>0</v>
      </c>
      <c r="M1491" s="4">
        <v>1</v>
      </c>
      <c r="N1491" s="4">
        <v>1</v>
      </c>
      <c r="O1491" s="4">
        <v>0</v>
      </c>
    </row>
    <row r="1492" spans="1:15" x14ac:dyDescent="0.15">
      <c r="A1492" s="4">
        <v>1489</v>
      </c>
      <c r="B1492" s="4">
        <v>38</v>
      </c>
      <c r="C1492" s="4">
        <v>12</v>
      </c>
      <c r="D1492" s="4">
        <v>39</v>
      </c>
      <c r="E1492" s="4">
        <v>2</v>
      </c>
      <c r="F1492" s="8">
        <v>0.3</v>
      </c>
      <c r="G1492" s="4">
        <v>1</v>
      </c>
      <c r="H1492" s="4">
        <f t="shared" si="46"/>
        <v>1</v>
      </c>
      <c r="I1492" s="4">
        <f t="shared" si="47"/>
        <v>0</v>
      </c>
      <c r="J1492" s="4">
        <v>174</v>
      </c>
      <c r="K1492" s="4">
        <v>0</v>
      </c>
      <c r="L1492" s="4">
        <v>0</v>
      </c>
      <c r="M1492" s="4">
        <v>1</v>
      </c>
      <c r="N1492" s="4">
        <v>0</v>
      </c>
      <c r="O1492" s="4">
        <v>0</v>
      </c>
    </row>
    <row r="1493" spans="1:15" x14ac:dyDescent="0.15">
      <c r="A1493" s="4">
        <v>1490</v>
      </c>
      <c r="B1493" s="4">
        <v>62</v>
      </c>
      <c r="C1493" s="4">
        <v>38</v>
      </c>
      <c r="D1493" s="4">
        <v>99</v>
      </c>
      <c r="E1493" s="4">
        <v>4</v>
      </c>
      <c r="F1493" s="8">
        <v>1.7</v>
      </c>
      <c r="G1493" s="4">
        <v>2</v>
      </c>
      <c r="H1493" s="4">
        <f t="shared" si="46"/>
        <v>0</v>
      </c>
      <c r="I1493" s="4">
        <f t="shared" si="47"/>
        <v>1</v>
      </c>
      <c r="J1493" s="4">
        <v>0</v>
      </c>
      <c r="K1493" s="4">
        <v>0</v>
      </c>
      <c r="L1493" s="4">
        <v>0</v>
      </c>
      <c r="M1493" s="4">
        <v>0</v>
      </c>
      <c r="N1493" s="4">
        <v>0</v>
      </c>
      <c r="O1493" s="4">
        <v>0</v>
      </c>
    </row>
    <row r="1494" spans="1:15" x14ac:dyDescent="0.15">
      <c r="A1494" s="4">
        <v>1491</v>
      </c>
      <c r="B1494" s="4">
        <v>30</v>
      </c>
      <c r="C1494" s="4">
        <v>4</v>
      </c>
      <c r="D1494" s="4">
        <v>18</v>
      </c>
      <c r="E1494" s="4">
        <v>4</v>
      </c>
      <c r="F1494" s="8">
        <v>0.3</v>
      </c>
      <c r="G1494" s="4">
        <v>2</v>
      </c>
      <c r="H1494" s="4">
        <f t="shared" si="46"/>
        <v>0</v>
      </c>
      <c r="I1494" s="4">
        <f t="shared" si="47"/>
        <v>1</v>
      </c>
      <c r="J1494" s="4">
        <v>0</v>
      </c>
      <c r="K1494" s="4">
        <v>0</v>
      </c>
      <c r="L1494" s="4">
        <v>0</v>
      </c>
      <c r="M1494" s="4">
        <v>1</v>
      </c>
      <c r="N1494" s="4">
        <v>1</v>
      </c>
      <c r="O1494" s="4">
        <v>0</v>
      </c>
    </row>
    <row r="1495" spans="1:15" x14ac:dyDescent="0.15">
      <c r="A1495" s="4">
        <v>1492</v>
      </c>
      <c r="B1495" s="4">
        <v>38</v>
      </c>
      <c r="C1495" s="4">
        <v>12</v>
      </c>
      <c r="D1495" s="4">
        <v>38</v>
      </c>
      <c r="E1495" s="4">
        <v>2</v>
      </c>
      <c r="F1495" s="8">
        <v>0.3</v>
      </c>
      <c r="G1495" s="4">
        <v>1</v>
      </c>
      <c r="H1495" s="4">
        <f t="shared" si="46"/>
        <v>1</v>
      </c>
      <c r="I1495" s="4">
        <f t="shared" si="47"/>
        <v>0</v>
      </c>
      <c r="J1495" s="4">
        <v>0</v>
      </c>
      <c r="K1495" s="4">
        <v>0</v>
      </c>
      <c r="L1495" s="4">
        <v>0</v>
      </c>
      <c r="M1495" s="4">
        <v>1</v>
      </c>
      <c r="N1495" s="4">
        <v>1</v>
      </c>
      <c r="O1495" s="4">
        <v>0</v>
      </c>
    </row>
    <row r="1496" spans="1:15" x14ac:dyDescent="0.15">
      <c r="A1496" s="4">
        <v>1493</v>
      </c>
      <c r="B1496" s="4">
        <v>33</v>
      </c>
      <c r="C1496" s="4">
        <v>8</v>
      </c>
      <c r="D1496" s="4">
        <v>133</v>
      </c>
      <c r="E1496" s="4">
        <v>1</v>
      </c>
      <c r="F1496" s="8">
        <v>0</v>
      </c>
      <c r="G1496" s="4">
        <v>1</v>
      </c>
      <c r="H1496" s="4">
        <f t="shared" si="46"/>
        <v>1</v>
      </c>
      <c r="I1496" s="4">
        <f t="shared" si="47"/>
        <v>0</v>
      </c>
      <c r="J1496" s="4">
        <v>0</v>
      </c>
      <c r="K1496" s="4">
        <v>0</v>
      </c>
      <c r="L1496" s="4">
        <v>0</v>
      </c>
      <c r="M1496" s="4">
        <v>1</v>
      </c>
      <c r="N1496" s="4">
        <v>0</v>
      </c>
      <c r="O1496" s="4">
        <v>0</v>
      </c>
    </row>
    <row r="1497" spans="1:15" x14ac:dyDescent="0.15">
      <c r="A1497" s="4">
        <v>1494</v>
      </c>
      <c r="B1497" s="4">
        <v>58</v>
      </c>
      <c r="C1497" s="4">
        <v>34</v>
      </c>
      <c r="D1497" s="4">
        <v>84</v>
      </c>
      <c r="E1497" s="4">
        <v>2</v>
      </c>
      <c r="F1497" s="8">
        <v>2.8</v>
      </c>
      <c r="G1497" s="4">
        <v>1</v>
      </c>
      <c r="H1497" s="4">
        <f t="shared" si="46"/>
        <v>1</v>
      </c>
      <c r="I1497" s="4">
        <f t="shared" si="47"/>
        <v>0</v>
      </c>
      <c r="J1497" s="4">
        <v>0</v>
      </c>
      <c r="K1497" s="4">
        <v>0</v>
      </c>
      <c r="L1497" s="4">
        <v>0</v>
      </c>
      <c r="M1497" s="4">
        <v>1</v>
      </c>
      <c r="N1497" s="4">
        <v>1</v>
      </c>
      <c r="O1497" s="4">
        <v>0</v>
      </c>
    </row>
    <row r="1498" spans="1:15" x14ac:dyDescent="0.15">
      <c r="A1498" s="4">
        <v>1495</v>
      </c>
      <c r="B1498" s="4">
        <v>59</v>
      </c>
      <c r="C1498" s="4">
        <v>35</v>
      </c>
      <c r="D1498" s="4">
        <v>60</v>
      </c>
      <c r="E1498" s="4">
        <v>1</v>
      </c>
      <c r="F1498" s="8">
        <v>0</v>
      </c>
      <c r="G1498" s="4">
        <v>2</v>
      </c>
      <c r="H1498" s="4">
        <f t="shared" si="46"/>
        <v>0</v>
      </c>
      <c r="I1498" s="4">
        <f t="shared" si="47"/>
        <v>1</v>
      </c>
      <c r="J1498" s="4">
        <v>0</v>
      </c>
      <c r="K1498" s="4">
        <v>0</v>
      </c>
      <c r="L1498" s="4">
        <v>0</v>
      </c>
      <c r="M1498" s="4">
        <v>1</v>
      </c>
      <c r="N1498" s="4">
        <v>1</v>
      </c>
      <c r="O1498" s="4">
        <v>0</v>
      </c>
    </row>
    <row r="1499" spans="1:15" x14ac:dyDescent="0.15">
      <c r="A1499" s="4">
        <v>1496</v>
      </c>
      <c r="B1499" s="4">
        <v>52</v>
      </c>
      <c r="C1499" s="4">
        <v>28</v>
      </c>
      <c r="D1499" s="4">
        <v>178</v>
      </c>
      <c r="E1499" s="4">
        <v>3</v>
      </c>
      <c r="F1499" s="8">
        <v>5.4</v>
      </c>
      <c r="G1499" s="4">
        <v>3</v>
      </c>
      <c r="H1499" s="4">
        <f t="shared" si="46"/>
        <v>0</v>
      </c>
      <c r="I1499" s="4">
        <f t="shared" si="47"/>
        <v>0</v>
      </c>
      <c r="J1499" s="4">
        <v>147</v>
      </c>
      <c r="K1499" s="4">
        <v>0</v>
      </c>
      <c r="L1499" s="4">
        <v>0</v>
      </c>
      <c r="M1499" s="4">
        <v>1</v>
      </c>
      <c r="N1499" s="4">
        <v>0</v>
      </c>
      <c r="O1499" s="4">
        <v>1</v>
      </c>
    </row>
    <row r="1500" spans="1:15" x14ac:dyDescent="0.15">
      <c r="A1500" s="4">
        <v>1497</v>
      </c>
      <c r="B1500" s="4">
        <v>36</v>
      </c>
      <c r="C1500" s="4">
        <v>12</v>
      </c>
      <c r="D1500" s="4">
        <v>18</v>
      </c>
      <c r="E1500" s="4">
        <v>1</v>
      </c>
      <c r="F1500" s="8">
        <v>0.5</v>
      </c>
      <c r="G1500" s="4">
        <v>3</v>
      </c>
      <c r="H1500" s="4">
        <f t="shared" si="46"/>
        <v>0</v>
      </c>
      <c r="I1500" s="4">
        <f t="shared" si="47"/>
        <v>0</v>
      </c>
      <c r="J1500" s="4">
        <v>0</v>
      </c>
      <c r="K1500" s="4">
        <v>0</v>
      </c>
      <c r="L1500" s="4">
        <v>0</v>
      </c>
      <c r="M1500" s="4">
        <v>0</v>
      </c>
      <c r="N1500" s="4">
        <v>1</v>
      </c>
      <c r="O1500" s="4">
        <v>0</v>
      </c>
    </row>
    <row r="1501" spans="1:15" x14ac:dyDescent="0.15">
      <c r="A1501" s="4">
        <v>1498</v>
      </c>
      <c r="B1501" s="4">
        <v>45</v>
      </c>
      <c r="C1501" s="4">
        <v>21</v>
      </c>
      <c r="D1501" s="4">
        <v>73</v>
      </c>
      <c r="E1501" s="4">
        <v>1</v>
      </c>
      <c r="F1501" s="8">
        <v>0.8</v>
      </c>
      <c r="G1501" s="4">
        <v>3</v>
      </c>
      <c r="H1501" s="4">
        <f t="shared" si="46"/>
        <v>0</v>
      </c>
      <c r="I1501" s="4">
        <f t="shared" si="47"/>
        <v>0</v>
      </c>
      <c r="J1501" s="4">
        <v>0</v>
      </c>
      <c r="K1501" s="4">
        <v>0</v>
      </c>
      <c r="L1501" s="4">
        <v>0</v>
      </c>
      <c r="M1501" s="4">
        <v>1</v>
      </c>
      <c r="N1501" s="4">
        <v>0</v>
      </c>
      <c r="O1501" s="4">
        <v>0</v>
      </c>
    </row>
    <row r="1502" spans="1:15" x14ac:dyDescent="0.15">
      <c r="A1502" s="4">
        <v>1499</v>
      </c>
      <c r="B1502" s="4">
        <v>49</v>
      </c>
      <c r="C1502" s="4">
        <v>23</v>
      </c>
      <c r="D1502" s="4">
        <v>125</v>
      </c>
      <c r="E1502" s="4">
        <v>1</v>
      </c>
      <c r="F1502" s="8">
        <v>7.3</v>
      </c>
      <c r="G1502" s="4">
        <v>1</v>
      </c>
      <c r="H1502" s="4">
        <f t="shared" si="46"/>
        <v>1</v>
      </c>
      <c r="I1502" s="4">
        <f t="shared" si="47"/>
        <v>0</v>
      </c>
      <c r="J1502" s="4">
        <v>0</v>
      </c>
      <c r="K1502" s="4">
        <v>0</v>
      </c>
      <c r="L1502" s="4">
        <v>0</v>
      </c>
      <c r="M1502" s="4">
        <v>0</v>
      </c>
      <c r="N1502" s="4">
        <v>0</v>
      </c>
      <c r="O1502" s="4">
        <v>0</v>
      </c>
    </row>
    <row r="1503" spans="1:15" x14ac:dyDescent="0.15">
      <c r="A1503" s="4">
        <v>1500</v>
      </c>
      <c r="B1503" s="4">
        <v>52</v>
      </c>
      <c r="C1503" s="4">
        <v>26</v>
      </c>
      <c r="D1503" s="4">
        <v>91</v>
      </c>
      <c r="E1503" s="4">
        <v>1</v>
      </c>
      <c r="F1503" s="8">
        <v>4.3</v>
      </c>
      <c r="G1503" s="4">
        <v>2</v>
      </c>
      <c r="H1503" s="4">
        <f t="shared" si="46"/>
        <v>0</v>
      </c>
      <c r="I1503" s="4">
        <f t="shared" si="47"/>
        <v>1</v>
      </c>
      <c r="J1503" s="4">
        <v>0</v>
      </c>
      <c r="K1503" s="4">
        <v>0</v>
      </c>
      <c r="L1503" s="4">
        <v>1</v>
      </c>
      <c r="M1503" s="4">
        <v>1</v>
      </c>
      <c r="N1503" s="4">
        <v>1</v>
      </c>
      <c r="O1503" s="4">
        <v>1</v>
      </c>
    </row>
    <row r="1504" spans="1:15" x14ac:dyDescent="0.15">
      <c r="A1504" s="4">
        <v>1501</v>
      </c>
      <c r="B1504" s="4">
        <v>54</v>
      </c>
      <c r="C1504" s="4">
        <v>28</v>
      </c>
      <c r="D1504" s="4">
        <v>74</v>
      </c>
      <c r="E1504" s="4">
        <v>2</v>
      </c>
      <c r="F1504" s="8">
        <v>1.1000000000000001</v>
      </c>
      <c r="G1504" s="4">
        <v>1</v>
      </c>
      <c r="H1504" s="4">
        <f t="shared" si="46"/>
        <v>1</v>
      </c>
      <c r="I1504" s="4">
        <f t="shared" si="47"/>
        <v>0</v>
      </c>
      <c r="J1504" s="4">
        <v>0</v>
      </c>
      <c r="K1504" s="4">
        <v>0</v>
      </c>
      <c r="L1504" s="4">
        <v>0</v>
      </c>
      <c r="M1504" s="4">
        <v>1</v>
      </c>
      <c r="N1504" s="4">
        <v>0</v>
      </c>
      <c r="O1504" s="4">
        <v>0</v>
      </c>
    </row>
    <row r="1505" spans="1:15" x14ac:dyDescent="0.15">
      <c r="A1505" s="4">
        <v>1502</v>
      </c>
      <c r="B1505" s="4">
        <v>30</v>
      </c>
      <c r="C1505" s="4">
        <v>4</v>
      </c>
      <c r="D1505" s="4">
        <v>35</v>
      </c>
      <c r="E1505" s="4">
        <v>2</v>
      </c>
      <c r="F1505" s="8">
        <v>0.3</v>
      </c>
      <c r="G1505" s="4">
        <v>2</v>
      </c>
      <c r="H1505" s="4">
        <f t="shared" si="46"/>
        <v>0</v>
      </c>
      <c r="I1505" s="4">
        <f t="shared" si="47"/>
        <v>1</v>
      </c>
      <c r="J1505" s="4">
        <v>0</v>
      </c>
      <c r="K1505" s="4">
        <v>1</v>
      </c>
      <c r="L1505" s="4">
        <v>0</v>
      </c>
      <c r="M1505" s="4">
        <v>0</v>
      </c>
      <c r="N1505" s="4">
        <v>1</v>
      </c>
      <c r="O1505" s="4">
        <v>0</v>
      </c>
    </row>
    <row r="1506" spans="1:15" x14ac:dyDescent="0.15">
      <c r="A1506" s="4">
        <v>1503</v>
      </c>
      <c r="B1506" s="4">
        <v>65</v>
      </c>
      <c r="C1506" s="4">
        <v>39</v>
      </c>
      <c r="D1506" s="4">
        <v>113</v>
      </c>
      <c r="E1506" s="4">
        <v>1</v>
      </c>
      <c r="F1506" s="8">
        <v>2</v>
      </c>
      <c r="G1506" s="4">
        <v>1</v>
      </c>
      <c r="H1506" s="4">
        <f t="shared" si="46"/>
        <v>1</v>
      </c>
      <c r="I1506" s="4">
        <f t="shared" si="47"/>
        <v>0</v>
      </c>
      <c r="J1506" s="4">
        <v>0</v>
      </c>
      <c r="K1506" s="4">
        <v>0</v>
      </c>
      <c r="L1506" s="4">
        <v>0</v>
      </c>
      <c r="M1506" s="4">
        <v>1</v>
      </c>
      <c r="N1506" s="4">
        <v>1</v>
      </c>
      <c r="O1506" s="4">
        <v>0</v>
      </c>
    </row>
    <row r="1507" spans="1:15" x14ac:dyDescent="0.15">
      <c r="A1507" s="4">
        <v>1504</v>
      </c>
      <c r="B1507" s="4">
        <v>34</v>
      </c>
      <c r="C1507" s="4">
        <v>8</v>
      </c>
      <c r="D1507" s="4">
        <v>52</v>
      </c>
      <c r="E1507" s="4">
        <v>4</v>
      </c>
      <c r="F1507" s="8">
        <v>2.2000000000000002</v>
      </c>
      <c r="G1507" s="4">
        <v>2</v>
      </c>
      <c r="H1507" s="4">
        <f t="shared" si="46"/>
        <v>0</v>
      </c>
      <c r="I1507" s="4">
        <f t="shared" si="47"/>
        <v>1</v>
      </c>
      <c r="J1507" s="4">
        <v>0</v>
      </c>
      <c r="K1507" s="4">
        <v>0</v>
      </c>
      <c r="L1507" s="4">
        <v>0</v>
      </c>
      <c r="M1507" s="4">
        <v>0</v>
      </c>
      <c r="N1507" s="4">
        <v>0</v>
      </c>
      <c r="O1507" s="4">
        <v>0</v>
      </c>
    </row>
    <row r="1508" spans="1:15" x14ac:dyDescent="0.15">
      <c r="A1508" s="4">
        <v>1505</v>
      </c>
      <c r="B1508" s="4">
        <v>30</v>
      </c>
      <c r="C1508" s="4">
        <v>6</v>
      </c>
      <c r="D1508" s="4">
        <v>191</v>
      </c>
      <c r="E1508" s="4">
        <v>2</v>
      </c>
      <c r="F1508" s="8">
        <v>4.4000000000000004</v>
      </c>
      <c r="G1508" s="4">
        <v>2</v>
      </c>
      <c r="H1508" s="4">
        <f t="shared" si="46"/>
        <v>0</v>
      </c>
      <c r="I1508" s="4">
        <f t="shared" si="47"/>
        <v>1</v>
      </c>
      <c r="J1508" s="4">
        <v>0</v>
      </c>
      <c r="K1508" s="4">
        <v>0</v>
      </c>
      <c r="L1508" s="4">
        <v>0</v>
      </c>
      <c r="M1508" s="4">
        <v>1</v>
      </c>
      <c r="N1508" s="4">
        <v>0</v>
      </c>
      <c r="O1508" s="4">
        <v>1</v>
      </c>
    </row>
    <row r="1509" spans="1:15" x14ac:dyDescent="0.15">
      <c r="A1509" s="4">
        <v>1506</v>
      </c>
      <c r="B1509" s="4">
        <v>51</v>
      </c>
      <c r="C1509" s="4">
        <v>25</v>
      </c>
      <c r="D1509" s="4">
        <v>18</v>
      </c>
      <c r="E1509" s="4">
        <v>1</v>
      </c>
      <c r="F1509" s="8">
        <v>0.3</v>
      </c>
      <c r="G1509" s="4">
        <v>3</v>
      </c>
      <c r="H1509" s="4">
        <f t="shared" si="46"/>
        <v>0</v>
      </c>
      <c r="I1509" s="4">
        <f t="shared" si="47"/>
        <v>0</v>
      </c>
      <c r="J1509" s="4">
        <v>93</v>
      </c>
      <c r="K1509" s="4">
        <v>0</v>
      </c>
      <c r="L1509" s="4">
        <v>0</v>
      </c>
      <c r="M1509" s="4">
        <v>0</v>
      </c>
      <c r="N1509" s="4">
        <v>1</v>
      </c>
      <c r="O1509" s="4">
        <v>0</v>
      </c>
    </row>
    <row r="1510" spans="1:15" x14ac:dyDescent="0.15">
      <c r="A1510" s="4">
        <v>1507</v>
      </c>
      <c r="B1510" s="4">
        <v>52</v>
      </c>
      <c r="C1510" s="4">
        <v>27</v>
      </c>
      <c r="D1510" s="4">
        <v>25</v>
      </c>
      <c r="E1510" s="4">
        <v>2</v>
      </c>
      <c r="F1510" s="8">
        <v>0</v>
      </c>
      <c r="G1510" s="4">
        <v>1</v>
      </c>
      <c r="H1510" s="4">
        <f t="shared" si="46"/>
        <v>1</v>
      </c>
      <c r="I1510" s="4">
        <f t="shared" si="47"/>
        <v>0</v>
      </c>
      <c r="J1510" s="4">
        <v>0</v>
      </c>
      <c r="K1510" s="4">
        <v>0</v>
      </c>
      <c r="L1510" s="4">
        <v>0</v>
      </c>
      <c r="M1510" s="4">
        <v>1</v>
      </c>
      <c r="N1510" s="4">
        <v>1</v>
      </c>
      <c r="O1510" s="4">
        <v>0</v>
      </c>
    </row>
    <row r="1511" spans="1:15" x14ac:dyDescent="0.15">
      <c r="A1511" s="4">
        <v>1508</v>
      </c>
      <c r="B1511" s="4">
        <v>43</v>
      </c>
      <c r="C1511" s="4">
        <v>18</v>
      </c>
      <c r="D1511" s="4">
        <v>50</v>
      </c>
      <c r="E1511" s="4">
        <v>4</v>
      </c>
      <c r="F1511" s="8">
        <v>1.9</v>
      </c>
      <c r="G1511" s="4">
        <v>3</v>
      </c>
      <c r="H1511" s="4">
        <f t="shared" si="46"/>
        <v>0</v>
      </c>
      <c r="I1511" s="4">
        <f t="shared" si="47"/>
        <v>0</v>
      </c>
      <c r="J1511" s="4">
        <v>0</v>
      </c>
      <c r="K1511" s="4">
        <v>0</v>
      </c>
      <c r="L1511" s="4">
        <v>0</v>
      </c>
      <c r="M1511" s="4">
        <v>0</v>
      </c>
      <c r="N1511" s="4">
        <v>0</v>
      </c>
      <c r="O1511" s="4">
        <v>0</v>
      </c>
    </row>
    <row r="1512" spans="1:15" x14ac:dyDescent="0.15">
      <c r="A1512" s="4">
        <v>1509</v>
      </c>
      <c r="B1512" s="4">
        <v>35</v>
      </c>
      <c r="C1512" s="4">
        <v>10</v>
      </c>
      <c r="D1512" s="4">
        <v>75</v>
      </c>
      <c r="E1512" s="4">
        <v>4</v>
      </c>
      <c r="F1512" s="8">
        <v>0.7</v>
      </c>
      <c r="G1512" s="4">
        <v>3</v>
      </c>
      <c r="H1512" s="4">
        <f t="shared" si="46"/>
        <v>0</v>
      </c>
      <c r="I1512" s="4">
        <f t="shared" si="47"/>
        <v>0</v>
      </c>
      <c r="J1512" s="4">
        <v>0</v>
      </c>
      <c r="K1512" s="4">
        <v>0</v>
      </c>
      <c r="L1512" s="4">
        <v>0</v>
      </c>
      <c r="M1512" s="4">
        <v>1</v>
      </c>
      <c r="N1512" s="4">
        <v>1</v>
      </c>
      <c r="O1512" s="4">
        <v>0</v>
      </c>
    </row>
    <row r="1513" spans="1:15" x14ac:dyDescent="0.15">
      <c r="A1513" s="4">
        <v>1510</v>
      </c>
      <c r="B1513" s="4">
        <v>56</v>
      </c>
      <c r="C1513" s="4">
        <v>26</v>
      </c>
      <c r="D1513" s="4">
        <v>92</v>
      </c>
      <c r="E1513" s="4">
        <v>2</v>
      </c>
      <c r="F1513" s="8">
        <v>4.5</v>
      </c>
      <c r="G1513" s="4">
        <v>3</v>
      </c>
      <c r="H1513" s="4">
        <f t="shared" si="46"/>
        <v>0</v>
      </c>
      <c r="I1513" s="4">
        <f t="shared" si="47"/>
        <v>0</v>
      </c>
      <c r="J1513" s="4">
        <v>0</v>
      </c>
      <c r="K1513" s="4">
        <v>1</v>
      </c>
      <c r="L1513" s="4">
        <v>0</v>
      </c>
      <c r="M1513" s="4">
        <v>0</v>
      </c>
      <c r="N1513" s="4">
        <v>1</v>
      </c>
      <c r="O1513" s="4">
        <v>0</v>
      </c>
    </row>
    <row r="1514" spans="1:15" x14ac:dyDescent="0.15">
      <c r="A1514" s="4">
        <v>1511</v>
      </c>
      <c r="B1514" s="4">
        <v>57</v>
      </c>
      <c r="C1514" s="4">
        <v>32</v>
      </c>
      <c r="D1514" s="4">
        <v>33</v>
      </c>
      <c r="E1514" s="4">
        <v>2</v>
      </c>
      <c r="F1514" s="8">
        <v>2</v>
      </c>
      <c r="G1514" s="4">
        <v>2</v>
      </c>
      <c r="H1514" s="4">
        <f t="shared" si="46"/>
        <v>0</v>
      </c>
      <c r="I1514" s="4">
        <f t="shared" si="47"/>
        <v>1</v>
      </c>
      <c r="J1514" s="4">
        <v>0</v>
      </c>
      <c r="K1514" s="4">
        <v>0</v>
      </c>
      <c r="L1514" s="4">
        <v>0</v>
      </c>
      <c r="M1514" s="4">
        <v>1</v>
      </c>
      <c r="N1514" s="4">
        <v>0</v>
      </c>
      <c r="O1514" s="4">
        <v>0</v>
      </c>
    </row>
    <row r="1515" spans="1:15" x14ac:dyDescent="0.15">
      <c r="A1515" s="4">
        <v>1512</v>
      </c>
      <c r="B1515" s="4">
        <v>58</v>
      </c>
      <c r="C1515" s="4">
        <v>32</v>
      </c>
      <c r="D1515" s="4">
        <v>65</v>
      </c>
      <c r="E1515" s="4">
        <v>3</v>
      </c>
      <c r="F1515" s="8">
        <v>2.2000000000000002</v>
      </c>
      <c r="G1515" s="4">
        <v>3</v>
      </c>
      <c r="H1515" s="4">
        <f t="shared" si="46"/>
        <v>0</v>
      </c>
      <c r="I1515" s="4">
        <f t="shared" si="47"/>
        <v>0</v>
      </c>
      <c r="J1515" s="4">
        <v>0</v>
      </c>
      <c r="K1515" s="4">
        <v>0</v>
      </c>
      <c r="L1515" s="4">
        <v>0</v>
      </c>
      <c r="M1515" s="4">
        <v>0</v>
      </c>
      <c r="N1515" s="4">
        <v>0</v>
      </c>
      <c r="O1515" s="4">
        <v>0</v>
      </c>
    </row>
    <row r="1516" spans="1:15" x14ac:dyDescent="0.15">
      <c r="A1516" s="4">
        <v>1513</v>
      </c>
      <c r="B1516" s="4">
        <v>53</v>
      </c>
      <c r="C1516" s="4">
        <v>28</v>
      </c>
      <c r="D1516" s="4">
        <v>44</v>
      </c>
      <c r="E1516" s="4">
        <v>3</v>
      </c>
      <c r="F1516" s="8">
        <v>1.7</v>
      </c>
      <c r="G1516" s="4">
        <v>1</v>
      </c>
      <c r="H1516" s="4">
        <f t="shared" si="46"/>
        <v>1</v>
      </c>
      <c r="I1516" s="4">
        <f t="shared" si="47"/>
        <v>0</v>
      </c>
      <c r="J1516" s="4">
        <v>0</v>
      </c>
      <c r="K1516" s="4">
        <v>0</v>
      </c>
      <c r="L1516" s="4">
        <v>0</v>
      </c>
      <c r="M1516" s="4">
        <v>0</v>
      </c>
      <c r="N1516" s="4">
        <v>0</v>
      </c>
      <c r="O1516" s="4">
        <v>0</v>
      </c>
    </row>
    <row r="1517" spans="1:15" x14ac:dyDescent="0.15">
      <c r="A1517" s="4">
        <v>1514</v>
      </c>
      <c r="B1517" s="4">
        <v>45</v>
      </c>
      <c r="C1517" s="4">
        <v>21</v>
      </c>
      <c r="D1517" s="4">
        <v>183</v>
      </c>
      <c r="E1517" s="4">
        <v>2</v>
      </c>
      <c r="F1517" s="8">
        <v>1.4</v>
      </c>
      <c r="G1517" s="4">
        <v>1</v>
      </c>
      <c r="H1517" s="4">
        <f t="shared" si="46"/>
        <v>1</v>
      </c>
      <c r="I1517" s="4">
        <f t="shared" si="47"/>
        <v>0</v>
      </c>
      <c r="J1517" s="4">
        <v>354</v>
      </c>
      <c r="K1517" s="4">
        <v>0</v>
      </c>
      <c r="L1517" s="4">
        <v>0</v>
      </c>
      <c r="M1517" s="4">
        <v>0</v>
      </c>
      <c r="N1517" s="4">
        <v>0</v>
      </c>
      <c r="O1517" s="4">
        <v>0</v>
      </c>
    </row>
    <row r="1518" spans="1:15" x14ac:dyDescent="0.15">
      <c r="A1518" s="4">
        <v>1515</v>
      </c>
      <c r="B1518" s="4">
        <v>44</v>
      </c>
      <c r="C1518" s="4">
        <v>20</v>
      </c>
      <c r="D1518" s="4">
        <v>175</v>
      </c>
      <c r="E1518" s="4">
        <v>2</v>
      </c>
      <c r="F1518" s="8">
        <v>1.4</v>
      </c>
      <c r="G1518" s="4">
        <v>1</v>
      </c>
      <c r="H1518" s="4">
        <f t="shared" si="46"/>
        <v>1</v>
      </c>
      <c r="I1518" s="4">
        <f t="shared" si="47"/>
        <v>0</v>
      </c>
      <c r="J1518" s="4">
        <v>0</v>
      </c>
      <c r="K1518" s="4">
        <v>0</v>
      </c>
      <c r="L1518" s="4">
        <v>0</v>
      </c>
      <c r="M1518" s="4">
        <v>1</v>
      </c>
      <c r="N1518" s="4">
        <v>1</v>
      </c>
      <c r="O1518" s="4">
        <v>0</v>
      </c>
    </row>
    <row r="1519" spans="1:15" x14ac:dyDescent="0.15">
      <c r="A1519" s="4">
        <v>1516</v>
      </c>
      <c r="B1519" s="4">
        <v>54</v>
      </c>
      <c r="C1519" s="4">
        <v>28</v>
      </c>
      <c r="D1519" s="4">
        <v>28</v>
      </c>
      <c r="E1519" s="4">
        <v>4</v>
      </c>
      <c r="F1519" s="8">
        <v>1.5</v>
      </c>
      <c r="G1519" s="4">
        <v>3</v>
      </c>
      <c r="H1519" s="4">
        <f t="shared" si="46"/>
        <v>0</v>
      </c>
      <c r="I1519" s="4">
        <f t="shared" si="47"/>
        <v>0</v>
      </c>
      <c r="J1519" s="4">
        <v>0</v>
      </c>
      <c r="K1519" s="4">
        <v>0</v>
      </c>
      <c r="L1519" s="4">
        <v>0</v>
      </c>
      <c r="M1519" s="4">
        <v>1</v>
      </c>
      <c r="N1519" s="4">
        <v>1</v>
      </c>
      <c r="O1519" s="4">
        <v>0</v>
      </c>
    </row>
    <row r="1520" spans="1:15" x14ac:dyDescent="0.15">
      <c r="A1520" s="4">
        <v>1517</v>
      </c>
      <c r="B1520" s="4">
        <v>41</v>
      </c>
      <c r="C1520" s="4">
        <v>17</v>
      </c>
      <c r="D1520" s="4">
        <v>49</v>
      </c>
      <c r="E1520" s="4">
        <v>4</v>
      </c>
      <c r="F1520" s="8">
        <v>2.2000000000000002</v>
      </c>
      <c r="G1520" s="4">
        <v>2</v>
      </c>
      <c r="H1520" s="4">
        <f t="shared" si="46"/>
        <v>0</v>
      </c>
      <c r="I1520" s="4">
        <f t="shared" si="47"/>
        <v>1</v>
      </c>
      <c r="J1520" s="4">
        <v>0</v>
      </c>
      <c r="K1520" s="4">
        <v>0</v>
      </c>
      <c r="L1520" s="4">
        <v>0</v>
      </c>
      <c r="M1520" s="4">
        <v>0</v>
      </c>
      <c r="N1520" s="4">
        <v>0</v>
      </c>
      <c r="O1520" s="4">
        <v>0</v>
      </c>
    </row>
    <row r="1521" spans="1:15" x14ac:dyDescent="0.15">
      <c r="A1521" s="4">
        <v>1518</v>
      </c>
      <c r="B1521" s="4">
        <v>52</v>
      </c>
      <c r="C1521" s="4">
        <v>26</v>
      </c>
      <c r="D1521" s="4">
        <v>45</v>
      </c>
      <c r="E1521" s="4">
        <v>4</v>
      </c>
      <c r="F1521" s="8">
        <v>1.8</v>
      </c>
      <c r="G1521" s="4">
        <v>1</v>
      </c>
      <c r="H1521" s="4">
        <f t="shared" si="46"/>
        <v>1</v>
      </c>
      <c r="I1521" s="4">
        <f t="shared" si="47"/>
        <v>0</v>
      </c>
      <c r="J1521" s="4">
        <v>0</v>
      </c>
      <c r="K1521" s="4">
        <v>0</v>
      </c>
      <c r="L1521" s="4">
        <v>0</v>
      </c>
      <c r="M1521" s="4">
        <v>1</v>
      </c>
      <c r="N1521" s="4">
        <v>0</v>
      </c>
      <c r="O1521" s="4">
        <v>0</v>
      </c>
    </row>
    <row r="1522" spans="1:15" x14ac:dyDescent="0.15">
      <c r="A1522" s="4">
        <v>1519</v>
      </c>
      <c r="B1522" s="4">
        <v>43</v>
      </c>
      <c r="C1522" s="4">
        <v>17</v>
      </c>
      <c r="D1522" s="4">
        <v>64</v>
      </c>
      <c r="E1522" s="4">
        <v>4</v>
      </c>
      <c r="F1522" s="8">
        <v>3</v>
      </c>
      <c r="G1522" s="4">
        <v>3</v>
      </c>
      <c r="H1522" s="4">
        <f t="shared" si="46"/>
        <v>0</v>
      </c>
      <c r="I1522" s="4">
        <f t="shared" si="47"/>
        <v>0</v>
      </c>
      <c r="J1522" s="4">
        <v>221</v>
      </c>
      <c r="K1522" s="4">
        <v>0</v>
      </c>
      <c r="L1522" s="4">
        <v>0</v>
      </c>
      <c r="M1522" s="4">
        <v>1</v>
      </c>
      <c r="N1522" s="4">
        <v>0</v>
      </c>
      <c r="O1522" s="4">
        <v>1</v>
      </c>
    </row>
    <row r="1523" spans="1:15" x14ac:dyDescent="0.15">
      <c r="A1523" s="4">
        <v>1520</v>
      </c>
      <c r="B1523" s="4">
        <v>63</v>
      </c>
      <c r="C1523" s="4">
        <v>38</v>
      </c>
      <c r="D1523" s="4">
        <v>22</v>
      </c>
      <c r="E1523" s="4">
        <v>3</v>
      </c>
      <c r="F1523" s="8">
        <v>0.1</v>
      </c>
      <c r="G1523" s="4">
        <v>3</v>
      </c>
      <c r="H1523" s="4">
        <f t="shared" si="46"/>
        <v>0</v>
      </c>
      <c r="I1523" s="4">
        <f t="shared" si="47"/>
        <v>0</v>
      </c>
      <c r="J1523" s="4">
        <v>90</v>
      </c>
      <c r="K1523" s="4">
        <v>0</v>
      </c>
      <c r="L1523" s="4">
        <v>0</v>
      </c>
      <c r="M1523" s="4">
        <v>1</v>
      </c>
      <c r="N1523" s="4">
        <v>0</v>
      </c>
      <c r="O1523" s="4">
        <v>0</v>
      </c>
    </row>
    <row r="1524" spans="1:15" x14ac:dyDescent="0.15">
      <c r="A1524" s="4">
        <v>1521</v>
      </c>
      <c r="B1524" s="4">
        <v>54</v>
      </c>
      <c r="C1524" s="4">
        <v>30</v>
      </c>
      <c r="D1524" s="4">
        <v>120</v>
      </c>
      <c r="E1524" s="4">
        <v>1</v>
      </c>
      <c r="F1524" s="8">
        <v>7.4</v>
      </c>
      <c r="G1524" s="4">
        <v>1</v>
      </c>
      <c r="H1524" s="4">
        <f t="shared" si="46"/>
        <v>1</v>
      </c>
      <c r="I1524" s="4">
        <f t="shared" si="47"/>
        <v>0</v>
      </c>
      <c r="J1524" s="4">
        <v>119</v>
      </c>
      <c r="K1524" s="4">
        <v>0</v>
      </c>
      <c r="L1524" s="4">
        <v>0</v>
      </c>
      <c r="M1524" s="4">
        <v>1</v>
      </c>
      <c r="N1524" s="4">
        <v>1</v>
      </c>
      <c r="O1524" s="4">
        <v>0</v>
      </c>
    </row>
    <row r="1525" spans="1:15" x14ac:dyDescent="0.15">
      <c r="A1525" s="4">
        <v>1522</v>
      </c>
      <c r="B1525" s="4">
        <v>33</v>
      </c>
      <c r="C1525" s="4">
        <v>8</v>
      </c>
      <c r="D1525" s="4">
        <v>175</v>
      </c>
      <c r="E1525" s="4">
        <v>2</v>
      </c>
      <c r="F1525" s="8">
        <v>6.7</v>
      </c>
      <c r="G1525" s="4">
        <v>1</v>
      </c>
      <c r="H1525" s="4">
        <f t="shared" si="46"/>
        <v>1</v>
      </c>
      <c r="I1525" s="4">
        <f t="shared" si="47"/>
        <v>0</v>
      </c>
      <c r="J1525" s="4">
        <v>102</v>
      </c>
      <c r="K1525" s="4">
        <v>0</v>
      </c>
      <c r="L1525" s="4">
        <v>0</v>
      </c>
      <c r="M1525" s="4">
        <v>1</v>
      </c>
      <c r="N1525" s="4">
        <v>0</v>
      </c>
      <c r="O1525" s="4">
        <v>0</v>
      </c>
    </row>
    <row r="1526" spans="1:15" x14ac:dyDescent="0.15">
      <c r="A1526" s="4">
        <v>1523</v>
      </c>
      <c r="B1526" s="4">
        <v>25</v>
      </c>
      <c r="C1526" s="4">
        <v>0</v>
      </c>
      <c r="D1526" s="4">
        <v>101</v>
      </c>
      <c r="E1526" s="4">
        <v>4</v>
      </c>
      <c r="F1526" s="8">
        <v>2.2999999999999998</v>
      </c>
      <c r="G1526" s="4">
        <v>3</v>
      </c>
      <c r="H1526" s="4">
        <f t="shared" si="46"/>
        <v>0</v>
      </c>
      <c r="I1526" s="4">
        <f t="shared" si="47"/>
        <v>0</v>
      </c>
      <c r="J1526" s="4">
        <v>256</v>
      </c>
      <c r="K1526" s="4">
        <v>0</v>
      </c>
      <c r="L1526" s="4">
        <v>0</v>
      </c>
      <c r="M1526" s="4">
        <v>0</v>
      </c>
      <c r="N1526" s="4">
        <v>1</v>
      </c>
      <c r="O1526" s="4">
        <v>0</v>
      </c>
    </row>
    <row r="1527" spans="1:15" x14ac:dyDescent="0.15">
      <c r="A1527" s="4">
        <v>1524</v>
      </c>
      <c r="B1527" s="4">
        <v>41</v>
      </c>
      <c r="C1527" s="4">
        <v>16</v>
      </c>
      <c r="D1527" s="4">
        <v>104</v>
      </c>
      <c r="E1527" s="4">
        <v>1</v>
      </c>
      <c r="F1527" s="8">
        <v>1</v>
      </c>
      <c r="G1527" s="4">
        <v>3</v>
      </c>
      <c r="H1527" s="4">
        <f t="shared" si="46"/>
        <v>0</v>
      </c>
      <c r="I1527" s="4">
        <f t="shared" si="47"/>
        <v>0</v>
      </c>
      <c r="J1527" s="4">
        <v>0</v>
      </c>
      <c r="K1527" s="4">
        <v>0</v>
      </c>
      <c r="L1527" s="4">
        <v>0</v>
      </c>
      <c r="M1527" s="4">
        <v>1</v>
      </c>
      <c r="N1527" s="4">
        <v>0</v>
      </c>
      <c r="O1527" s="4">
        <v>0</v>
      </c>
    </row>
    <row r="1528" spans="1:15" x14ac:dyDescent="0.15">
      <c r="A1528" s="4">
        <v>1525</v>
      </c>
      <c r="B1528" s="4">
        <v>40</v>
      </c>
      <c r="C1528" s="4">
        <v>16</v>
      </c>
      <c r="D1528" s="4">
        <v>155</v>
      </c>
      <c r="E1528" s="4">
        <v>4</v>
      </c>
      <c r="F1528" s="8">
        <v>0.1</v>
      </c>
      <c r="G1528" s="4">
        <v>3</v>
      </c>
      <c r="H1528" s="4">
        <f t="shared" si="46"/>
        <v>0</v>
      </c>
      <c r="I1528" s="4">
        <f t="shared" si="47"/>
        <v>0</v>
      </c>
      <c r="J1528" s="4">
        <v>0</v>
      </c>
      <c r="K1528" s="4">
        <v>0</v>
      </c>
      <c r="L1528" s="4">
        <v>1</v>
      </c>
      <c r="M1528" s="4">
        <v>1</v>
      </c>
      <c r="N1528" s="4">
        <v>1</v>
      </c>
      <c r="O1528" s="4">
        <v>1</v>
      </c>
    </row>
    <row r="1529" spans="1:15" x14ac:dyDescent="0.15">
      <c r="A1529" s="4">
        <v>1526</v>
      </c>
      <c r="B1529" s="4">
        <v>43</v>
      </c>
      <c r="C1529" s="4">
        <v>18</v>
      </c>
      <c r="D1529" s="4">
        <v>58</v>
      </c>
      <c r="E1529" s="4">
        <v>1</v>
      </c>
      <c r="F1529" s="8">
        <v>2.4</v>
      </c>
      <c r="G1529" s="4">
        <v>1</v>
      </c>
      <c r="H1529" s="4">
        <f t="shared" si="46"/>
        <v>1</v>
      </c>
      <c r="I1529" s="4">
        <f t="shared" si="47"/>
        <v>0</v>
      </c>
      <c r="J1529" s="4">
        <v>0</v>
      </c>
      <c r="K1529" s="4">
        <v>0</v>
      </c>
      <c r="L1529" s="4">
        <v>0</v>
      </c>
      <c r="M1529" s="4">
        <v>0</v>
      </c>
      <c r="N1529" s="4">
        <v>0</v>
      </c>
      <c r="O1529" s="4">
        <v>0</v>
      </c>
    </row>
    <row r="1530" spans="1:15" x14ac:dyDescent="0.15">
      <c r="A1530" s="4">
        <v>1527</v>
      </c>
      <c r="B1530" s="4">
        <v>36</v>
      </c>
      <c r="C1530" s="4">
        <v>10</v>
      </c>
      <c r="D1530" s="4">
        <v>80</v>
      </c>
      <c r="E1530" s="4">
        <v>4</v>
      </c>
      <c r="F1530" s="8">
        <v>2.2000000000000002</v>
      </c>
      <c r="G1530" s="4">
        <v>2</v>
      </c>
      <c r="H1530" s="4">
        <f t="shared" si="46"/>
        <v>0</v>
      </c>
      <c r="I1530" s="4">
        <f t="shared" si="47"/>
        <v>1</v>
      </c>
      <c r="J1530" s="4">
        <v>0</v>
      </c>
      <c r="K1530" s="4">
        <v>0</v>
      </c>
      <c r="L1530" s="4">
        <v>0</v>
      </c>
      <c r="M1530" s="4">
        <v>1</v>
      </c>
      <c r="N1530" s="4">
        <v>0</v>
      </c>
      <c r="O1530" s="4">
        <v>0</v>
      </c>
    </row>
    <row r="1531" spans="1:15" x14ac:dyDescent="0.15">
      <c r="A1531" s="4">
        <v>1528</v>
      </c>
      <c r="B1531" s="4">
        <v>57</v>
      </c>
      <c r="C1531" s="4">
        <v>33</v>
      </c>
      <c r="D1531" s="4">
        <v>45</v>
      </c>
      <c r="E1531" s="4">
        <v>1</v>
      </c>
      <c r="F1531" s="8">
        <v>1.8</v>
      </c>
      <c r="G1531" s="4">
        <v>3</v>
      </c>
      <c r="H1531" s="4">
        <f t="shared" si="46"/>
        <v>0</v>
      </c>
      <c r="I1531" s="4">
        <f t="shared" si="47"/>
        <v>0</v>
      </c>
      <c r="J1531" s="4">
        <v>195</v>
      </c>
      <c r="K1531" s="4">
        <v>0</v>
      </c>
      <c r="L1531" s="4">
        <v>0</v>
      </c>
      <c r="M1531" s="4">
        <v>0</v>
      </c>
      <c r="N1531" s="4">
        <v>0</v>
      </c>
      <c r="O1531" s="4">
        <v>0</v>
      </c>
    </row>
    <row r="1532" spans="1:15" x14ac:dyDescent="0.15">
      <c r="A1532" s="4">
        <v>1529</v>
      </c>
      <c r="B1532" s="4">
        <v>34</v>
      </c>
      <c r="C1532" s="4">
        <v>9</v>
      </c>
      <c r="D1532" s="4">
        <v>134</v>
      </c>
      <c r="E1532" s="4">
        <v>1</v>
      </c>
      <c r="F1532" s="8">
        <v>4.5999999999999996</v>
      </c>
      <c r="G1532" s="4">
        <v>1</v>
      </c>
      <c r="H1532" s="4">
        <f t="shared" si="46"/>
        <v>1</v>
      </c>
      <c r="I1532" s="4">
        <f t="shared" si="47"/>
        <v>0</v>
      </c>
      <c r="J1532" s="4">
        <v>164</v>
      </c>
      <c r="K1532" s="4">
        <v>1</v>
      </c>
      <c r="L1532" s="4">
        <v>0</v>
      </c>
      <c r="M1532" s="4">
        <v>1</v>
      </c>
      <c r="N1532" s="4">
        <v>0</v>
      </c>
      <c r="O1532" s="4">
        <v>0</v>
      </c>
    </row>
    <row r="1533" spans="1:15" x14ac:dyDescent="0.15">
      <c r="A1533" s="4">
        <v>1530</v>
      </c>
      <c r="B1533" s="4">
        <v>38</v>
      </c>
      <c r="C1533" s="4">
        <v>14</v>
      </c>
      <c r="D1533" s="4">
        <v>58</v>
      </c>
      <c r="E1533" s="4">
        <v>4</v>
      </c>
      <c r="F1533" s="8">
        <v>2</v>
      </c>
      <c r="G1533" s="4">
        <v>3</v>
      </c>
      <c r="H1533" s="4">
        <f t="shared" si="46"/>
        <v>0</v>
      </c>
      <c r="I1533" s="4">
        <f t="shared" si="47"/>
        <v>0</v>
      </c>
      <c r="J1533" s="4">
        <v>153</v>
      </c>
      <c r="K1533" s="4">
        <v>1</v>
      </c>
      <c r="L1533" s="4">
        <v>0</v>
      </c>
      <c r="M1533" s="4">
        <v>0</v>
      </c>
      <c r="N1533" s="4">
        <v>0</v>
      </c>
      <c r="O1533" s="4">
        <v>0</v>
      </c>
    </row>
    <row r="1534" spans="1:15" x14ac:dyDescent="0.15">
      <c r="A1534" s="4">
        <v>1531</v>
      </c>
      <c r="B1534" s="4">
        <v>47</v>
      </c>
      <c r="C1534" s="4">
        <v>21</v>
      </c>
      <c r="D1534" s="4">
        <v>20</v>
      </c>
      <c r="E1534" s="4">
        <v>1</v>
      </c>
      <c r="F1534" s="8">
        <v>0.2</v>
      </c>
      <c r="G1534" s="4">
        <v>1</v>
      </c>
      <c r="H1534" s="4">
        <f t="shared" si="46"/>
        <v>1</v>
      </c>
      <c r="I1534" s="4">
        <f t="shared" si="47"/>
        <v>0</v>
      </c>
      <c r="J1534" s="4">
        <v>0</v>
      </c>
      <c r="K1534" s="4">
        <v>0</v>
      </c>
      <c r="L1534" s="4">
        <v>0</v>
      </c>
      <c r="M1534" s="4">
        <v>1</v>
      </c>
      <c r="N1534" s="4">
        <v>1</v>
      </c>
      <c r="O1534" s="4">
        <v>0</v>
      </c>
    </row>
    <row r="1535" spans="1:15" x14ac:dyDescent="0.15">
      <c r="A1535" s="4">
        <v>1532</v>
      </c>
      <c r="B1535" s="4">
        <v>39</v>
      </c>
      <c r="C1535" s="4">
        <v>13</v>
      </c>
      <c r="D1535" s="4">
        <v>25</v>
      </c>
      <c r="E1535" s="4">
        <v>4</v>
      </c>
      <c r="F1535" s="8">
        <v>1.5</v>
      </c>
      <c r="G1535" s="4">
        <v>3</v>
      </c>
      <c r="H1535" s="4">
        <f t="shared" si="46"/>
        <v>0</v>
      </c>
      <c r="I1535" s="4">
        <f t="shared" si="47"/>
        <v>0</v>
      </c>
      <c r="J1535" s="4">
        <v>0</v>
      </c>
      <c r="K1535" s="4">
        <v>0</v>
      </c>
      <c r="L1535" s="4">
        <v>0</v>
      </c>
      <c r="M1535" s="4">
        <v>1</v>
      </c>
      <c r="N1535" s="4">
        <v>0</v>
      </c>
      <c r="O1535" s="4">
        <v>0</v>
      </c>
    </row>
    <row r="1536" spans="1:15" x14ac:dyDescent="0.15">
      <c r="A1536" s="4">
        <v>1533</v>
      </c>
      <c r="B1536" s="4">
        <v>45</v>
      </c>
      <c r="C1536" s="4">
        <v>20</v>
      </c>
      <c r="D1536" s="4">
        <v>55</v>
      </c>
      <c r="E1536" s="4">
        <v>1</v>
      </c>
      <c r="F1536" s="8">
        <v>0.3</v>
      </c>
      <c r="G1536" s="4">
        <v>1</v>
      </c>
      <c r="H1536" s="4">
        <f t="shared" si="46"/>
        <v>1</v>
      </c>
      <c r="I1536" s="4">
        <f t="shared" si="47"/>
        <v>0</v>
      </c>
      <c r="J1536" s="4">
        <v>0</v>
      </c>
      <c r="K1536" s="4">
        <v>0</v>
      </c>
      <c r="L1536" s="4">
        <v>0</v>
      </c>
      <c r="M1536" s="4">
        <v>1</v>
      </c>
      <c r="N1536" s="4">
        <v>1</v>
      </c>
      <c r="O1536" s="4">
        <v>0</v>
      </c>
    </row>
    <row r="1537" spans="1:15" x14ac:dyDescent="0.15">
      <c r="A1537" s="4">
        <v>1534</v>
      </c>
      <c r="B1537" s="4">
        <v>62</v>
      </c>
      <c r="C1537" s="4">
        <v>37</v>
      </c>
      <c r="D1537" s="4">
        <v>155</v>
      </c>
      <c r="E1537" s="4">
        <v>1</v>
      </c>
      <c r="F1537" s="8">
        <v>1.3</v>
      </c>
      <c r="G1537" s="4">
        <v>1</v>
      </c>
      <c r="H1537" s="4">
        <f t="shared" si="46"/>
        <v>1</v>
      </c>
      <c r="I1537" s="4">
        <f t="shared" si="47"/>
        <v>0</v>
      </c>
      <c r="J1537" s="4">
        <v>0</v>
      </c>
      <c r="K1537" s="4">
        <v>0</v>
      </c>
      <c r="L1537" s="4">
        <v>0</v>
      </c>
      <c r="M1537" s="4">
        <v>0</v>
      </c>
      <c r="N1537" s="4">
        <v>0</v>
      </c>
      <c r="O1537" s="4">
        <v>0</v>
      </c>
    </row>
    <row r="1538" spans="1:15" x14ac:dyDescent="0.15">
      <c r="A1538" s="4">
        <v>1535</v>
      </c>
      <c r="B1538" s="4">
        <v>59</v>
      </c>
      <c r="C1538" s="4">
        <v>34</v>
      </c>
      <c r="D1538" s="4">
        <v>30</v>
      </c>
      <c r="E1538" s="4">
        <v>1</v>
      </c>
      <c r="F1538" s="8">
        <v>1.3</v>
      </c>
      <c r="G1538" s="4">
        <v>1</v>
      </c>
      <c r="H1538" s="4">
        <f t="shared" si="46"/>
        <v>1</v>
      </c>
      <c r="I1538" s="4">
        <f t="shared" si="47"/>
        <v>0</v>
      </c>
      <c r="J1538" s="4">
        <v>0</v>
      </c>
      <c r="K1538" s="4">
        <v>0</v>
      </c>
      <c r="L1538" s="4">
        <v>0</v>
      </c>
      <c r="M1538" s="4">
        <v>1</v>
      </c>
      <c r="N1538" s="4">
        <v>1</v>
      </c>
      <c r="O1538" s="4">
        <v>0</v>
      </c>
    </row>
    <row r="1539" spans="1:15" x14ac:dyDescent="0.15">
      <c r="A1539" s="4">
        <v>1536</v>
      </c>
      <c r="B1539" s="4">
        <v>61</v>
      </c>
      <c r="C1539" s="4">
        <v>37</v>
      </c>
      <c r="D1539" s="4">
        <v>39</v>
      </c>
      <c r="E1539" s="4">
        <v>4</v>
      </c>
      <c r="F1539" s="8">
        <v>0.4</v>
      </c>
      <c r="G1539" s="4">
        <v>1</v>
      </c>
      <c r="H1539" s="4">
        <f t="shared" si="46"/>
        <v>1</v>
      </c>
      <c r="I1539" s="4">
        <f t="shared" si="47"/>
        <v>0</v>
      </c>
      <c r="J1539" s="4">
        <v>0</v>
      </c>
      <c r="K1539" s="4">
        <v>0</v>
      </c>
      <c r="L1539" s="4">
        <v>0</v>
      </c>
      <c r="M1539" s="4">
        <v>1</v>
      </c>
      <c r="N1539" s="4">
        <v>1</v>
      </c>
      <c r="O1539" s="4">
        <v>0</v>
      </c>
    </row>
    <row r="1540" spans="1:15" x14ac:dyDescent="0.15">
      <c r="A1540" s="4">
        <v>1537</v>
      </c>
      <c r="B1540" s="4">
        <v>36</v>
      </c>
      <c r="C1540" s="4">
        <v>12</v>
      </c>
      <c r="D1540" s="4">
        <v>73</v>
      </c>
      <c r="E1540" s="4">
        <v>4</v>
      </c>
      <c r="F1540" s="8">
        <v>2</v>
      </c>
      <c r="G1540" s="4">
        <v>3</v>
      </c>
      <c r="H1540" s="4">
        <f t="shared" si="46"/>
        <v>0</v>
      </c>
      <c r="I1540" s="4">
        <f t="shared" si="47"/>
        <v>0</v>
      </c>
      <c r="J1540" s="4">
        <v>188</v>
      </c>
      <c r="K1540" s="4">
        <v>0</v>
      </c>
      <c r="L1540" s="4">
        <v>0</v>
      </c>
      <c r="M1540" s="4">
        <v>1</v>
      </c>
      <c r="N1540" s="4">
        <v>0</v>
      </c>
      <c r="O1540" s="4">
        <v>0</v>
      </c>
    </row>
    <row r="1541" spans="1:15" x14ac:dyDescent="0.15">
      <c r="A1541" s="4">
        <v>1538</v>
      </c>
      <c r="B1541" s="4">
        <v>58</v>
      </c>
      <c r="C1541" s="4">
        <v>34</v>
      </c>
      <c r="D1541" s="4">
        <v>41</v>
      </c>
      <c r="E1541" s="4">
        <v>4</v>
      </c>
      <c r="F1541" s="8">
        <v>1.3</v>
      </c>
      <c r="G1541" s="4">
        <v>1</v>
      </c>
      <c r="H1541" s="4">
        <f t="shared" ref="H1541:H1604" si="48">IF(G1541=1,1,0)</f>
        <v>1</v>
      </c>
      <c r="I1541" s="4">
        <f t="shared" ref="I1541:I1604" si="49">IF(G1541=2,1,0)</f>
        <v>0</v>
      </c>
      <c r="J1541" s="4">
        <v>0</v>
      </c>
      <c r="K1541" s="4">
        <v>0</v>
      </c>
      <c r="L1541" s="4">
        <v>0</v>
      </c>
      <c r="M1541" s="4">
        <v>1</v>
      </c>
      <c r="N1541" s="4">
        <v>0</v>
      </c>
      <c r="O1541" s="4">
        <v>0</v>
      </c>
    </row>
    <row r="1542" spans="1:15" x14ac:dyDescent="0.15">
      <c r="A1542" s="4">
        <v>1539</v>
      </c>
      <c r="B1542" s="4">
        <v>55</v>
      </c>
      <c r="C1542" s="4">
        <v>30</v>
      </c>
      <c r="D1542" s="4">
        <v>34</v>
      </c>
      <c r="E1542" s="4">
        <v>4</v>
      </c>
      <c r="F1542" s="8">
        <v>0.1</v>
      </c>
      <c r="G1542" s="4">
        <v>3</v>
      </c>
      <c r="H1542" s="4">
        <f t="shared" si="48"/>
        <v>0</v>
      </c>
      <c r="I1542" s="4">
        <f t="shared" si="49"/>
        <v>0</v>
      </c>
      <c r="J1542" s="4">
        <v>157</v>
      </c>
      <c r="K1542" s="4">
        <v>0</v>
      </c>
      <c r="L1542" s="4">
        <v>0</v>
      </c>
      <c r="M1542" s="4">
        <v>1</v>
      </c>
      <c r="N1542" s="4">
        <v>0</v>
      </c>
      <c r="O1542" s="4">
        <v>0</v>
      </c>
    </row>
    <row r="1543" spans="1:15" x14ac:dyDescent="0.15">
      <c r="A1543" s="4">
        <v>1540</v>
      </c>
      <c r="B1543" s="4">
        <v>29</v>
      </c>
      <c r="C1543" s="4">
        <v>5</v>
      </c>
      <c r="D1543" s="4">
        <v>21</v>
      </c>
      <c r="E1543" s="4">
        <v>3</v>
      </c>
      <c r="F1543" s="8">
        <v>0.9</v>
      </c>
      <c r="G1543" s="4">
        <v>3</v>
      </c>
      <c r="H1543" s="4">
        <f t="shared" si="48"/>
        <v>0</v>
      </c>
      <c r="I1543" s="4">
        <f t="shared" si="49"/>
        <v>0</v>
      </c>
      <c r="J1543" s="4">
        <v>119</v>
      </c>
      <c r="K1543" s="4">
        <v>0</v>
      </c>
      <c r="L1543" s="4">
        <v>0</v>
      </c>
      <c r="M1543" s="4">
        <v>0</v>
      </c>
      <c r="N1543" s="4">
        <v>0</v>
      </c>
      <c r="O1543" s="4">
        <v>0</v>
      </c>
    </row>
    <row r="1544" spans="1:15" x14ac:dyDescent="0.15">
      <c r="A1544" s="4">
        <v>1541</v>
      </c>
      <c r="B1544" s="4">
        <v>34</v>
      </c>
      <c r="C1544" s="4">
        <v>8</v>
      </c>
      <c r="D1544" s="4">
        <v>11</v>
      </c>
      <c r="E1544" s="4">
        <v>4</v>
      </c>
      <c r="F1544" s="8">
        <v>0.3</v>
      </c>
      <c r="G1544" s="4">
        <v>1</v>
      </c>
      <c r="H1544" s="4">
        <f t="shared" si="48"/>
        <v>1</v>
      </c>
      <c r="I1544" s="4">
        <f t="shared" si="49"/>
        <v>0</v>
      </c>
      <c r="J1544" s="4">
        <v>0</v>
      </c>
      <c r="K1544" s="4">
        <v>1</v>
      </c>
      <c r="L1544" s="4">
        <v>1</v>
      </c>
      <c r="M1544" s="4">
        <v>1</v>
      </c>
      <c r="N1544" s="4">
        <v>1</v>
      </c>
      <c r="O1544" s="4">
        <v>0</v>
      </c>
    </row>
    <row r="1545" spans="1:15" x14ac:dyDescent="0.15">
      <c r="A1545" s="4">
        <v>1542</v>
      </c>
      <c r="B1545" s="4">
        <v>61</v>
      </c>
      <c r="C1545" s="4">
        <v>35</v>
      </c>
      <c r="D1545" s="4">
        <v>154</v>
      </c>
      <c r="E1545" s="4">
        <v>2</v>
      </c>
      <c r="F1545" s="8">
        <v>6.9</v>
      </c>
      <c r="G1545" s="4">
        <v>1</v>
      </c>
      <c r="H1545" s="4">
        <f t="shared" si="48"/>
        <v>1</v>
      </c>
      <c r="I1545" s="4">
        <f t="shared" si="49"/>
        <v>0</v>
      </c>
      <c r="J1545" s="4">
        <v>0</v>
      </c>
      <c r="K1545" s="4">
        <v>0</v>
      </c>
      <c r="L1545" s="4">
        <v>0</v>
      </c>
      <c r="M1545" s="4">
        <v>0</v>
      </c>
      <c r="N1545" s="4">
        <v>0</v>
      </c>
      <c r="O1545" s="4">
        <v>0</v>
      </c>
    </row>
    <row r="1546" spans="1:15" x14ac:dyDescent="0.15">
      <c r="A1546" s="4">
        <v>1543</v>
      </c>
      <c r="B1546" s="4">
        <v>50</v>
      </c>
      <c r="C1546" s="4">
        <v>20</v>
      </c>
      <c r="D1546" s="4">
        <v>19</v>
      </c>
      <c r="E1546" s="4">
        <v>4</v>
      </c>
      <c r="F1546" s="8">
        <v>0.4</v>
      </c>
      <c r="G1546" s="4">
        <v>3</v>
      </c>
      <c r="H1546" s="4">
        <f t="shared" si="48"/>
        <v>0</v>
      </c>
      <c r="I1546" s="4">
        <f t="shared" si="49"/>
        <v>0</v>
      </c>
      <c r="J1546" s="4">
        <v>0</v>
      </c>
      <c r="K1546" s="4">
        <v>0</v>
      </c>
      <c r="L1546" s="4">
        <v>0</v>
      </c>
      <c r="M1546" s="4">
        <v>0</v>
      </c>
      <c r="N1546" s="4">
        <v>0</v>
      </c>
      <c r="O1546" s="4">
        <v>0</v>
      </c>
    </row>
    <row r="1547" spans="1:15" x14ac:dyDescent="0.15">
      <c r="A1547" s="4">
        <v>1544</v>
      </c>
      <c r="B1547" s="4">
        <v>52</v>
      </c>
      <c r="C1547" s="4">
        <v>26</v>
      </c>
      <c r="D1547" s="4">
        <v>101</v>
      </c>
      <c r="E1547" s="4">
        <v>2</v>
      </c>
      <c r="F1547" s="8">
        <v>2.4</v>
      </c>
      <c r="G1547" s="4">
        <v>2</v>
      </c>
      <c r="H1547" s="4">
        <f t="shared" si="48"/>
        <v>0</v>
      </c>
      <c r="I1547" s="4">
        <f t="shared" si="49"/>
        <v>1</v>
      </c>
      <c r="J1547" s="4">
        <v>0</v>
      </c>
      <c r="K1547" s="4">
        <v>0</v>
      </c>
      <c r="L1547" s="4">
        <v>0</v>
      </c>
      <c r="M1547" s="4">
        <v>1</v>
      </c>
      <c r="N1547" s="4">
        <v>0</v>
      </c>
      <c r="O1547" s="4">
        <v>0</v>
      </c>
    </row>
    <row r="1548" spans="1:15" x14ac:dyDescent="0.15">
      <c r="A1548" s="4">
        <v>1545</v>
      </c>
      <c r="B1548" s="4">
        <v>39</v>
      </c>
      <c r="C1548" s="4">
        <v>15</v>
      </c>
      <c r="D1548" s="4">
        <v>24</v>
      </c>
      <c r="E1548" s="4">
        <v>1</v>
      </c>
      <c r="F1548" s="8">
        <v>1</v>
      </c>
      <c r="G1548" s="4">
        <v>1</v>
      </c>
      <c r="H1548" s="4">
        <f t="shared" si="48"/>
        <v>1</v>
      </c>
      <c r="I1548" s="4">
        <f t="shared" si="49"/>
        <v>0</v>
      </c>
      <c r="J1548" s="4">
        <v>116</v>
      </c>
      <c r="K1548" s="4">
        <v>0</v>
      </c>
      <c r="L1548" s="4">
        <v>0</v>
      </c>
      <c r="M1548" s="4">
        <v>1</v>
      </c>
      <c r="N1548" s="4">
        <v>1</v>
      </c>
      <c r="O1548" s="4">
        <v>0</v>
      </c>
    </row>
    <row r="1549" spans="1:15" x14ac:dyDescent="0.15">
      <c r="A1549" s="4">
        <v>1546</v>
      </c>
      <c r="B1549" s="4">
        <v>55</v>
      </c>
      <c r="C1549" s="4">
        <v>29</v>
      </c>
      <c r="D1549" s="4">
        <v>131</v>
      </c>
      <c r="E1549" s="4">
        <v>2</v>
      </c>
      <c r="F1549" s="8">
        <v>2.7</v>
      </c>
      <c r="G1549" s="4">
        <v>1</v>
      </c>
      <c r="H1549" s="4">
        <f t="shared" si="48"/>
        <v>1</v>
      </c>
      <c r="I1549" s="4">
        <f t="shared" si="49"/>
        <v>0</v>
      </c>
      <c r="J1549" s="4">
        <v>0</v>
      </c>
      <c r="K1549" s="4">
        <v>1</v>
      </c>
      <c r="L1549" s="4">
        <v>0</v>
      </c>
      <c r="M1549" s="4">
        <v>0</v>
      </c>
      <c r="N1549" s="4">
        <v>0</v>
      </c>
      <c r="O1549" s="4">
        <v>0</v>
      </c>
    </row>
    <row r="1550" spans="1:15" x14ac:dyDescent="0.15">
      <c r="A1550" s="4">
        <v>1547</v>
      </c>
      <c r="B1550" s="4">
        <v>33</v>
      </c>
      <c r="C1550" s="4">
        <v>9</v>
      </c>
      <c r="D1550" s="4">
        <v>105</v>
      </c>
      <c r="E1550" s="4">
        <v>1</v>
      </c>
      <c r="F1550" s="8">
        <v>4</v>
      </c>
      <c r="G1550" s="4">
        <v>1</v>
      </c>
      <c r="H1550" s="4">
        <f t="shared" si="48"/>
        <v>1</v>
      </c>
      <c r="I1550" s="4">
        <f t="shared" si="49"/>
        <v>0</v>
      </c>
      <c r="J1550" s="4">
        <v>0</v>
      </c>
      <c r="K1550" s="4">
        <v>0</v>
      </c>
      <c r="L1550" s="4">
        <v>0</v>
      </c>
      <c r="M1550" s="4">
        <v>1</v>
      </c>
      <c r="N1550" s="4">
        <v>0</v>
      </c>
      <c r="O1550" s="4">
        <v>0</v>
      </c>
    </row>
    <row r="1551" spans="1:15" x14ac:dyDescent="0.15">
      <c r="A1551" s="4">
        <v>1548</v>
      </c>
      <c r="B1551" s="4">
        <v>47</v>
      </c>
      <c r="C1551" s="4">
        <v>21</v>
      </c>
      <c r="D1551" s="4">
        <v>52</v>
      </c>
      <c r="E1551" s="4">
        <v>1</v>
      </c>
      <c r="F1551" s="8">
        <v>1.2</v>
      </c>
      <c r="G1551" s="4">
        <v>2</v>
      </c>
      <c r="H1551" s="4">
        <f t="shared" si="48"/>
        <v>0</v>
      </c>
      <c r="I1551" s="4">
        <f t="shared" si="49"/>
        <v>1</v>
      </c>
      <c r="J1551" s="4">
        <v>194</v>
      </c>
      <c r="K1551" s="4">
        <v>0</v>
      </c>
      <c r="L1551" s="4">
        <v>0</v>
      </c>
      <c r="M1551" s="4">
        <v>0</v>
      </c>
      <c r="N1551" s="4">
        <v>0</v>
      </c>
      <c r="O1551" s="4">
        <v>0</v>
      </c>
    </row>
    <row r="1552" spans="1:15" x14ac:dyDescent="0.15">
      <c r="A1552" s="4">
        <v>1549</v>
      </c>
      <c r="B1552" s="4">
        <v>57</v>
      </c>
      <c r="C1552" s="4">
        <v>32</v>
      </c>
      <c r="D1552" s="4">
        <v>21</v>
      </c>
      <c r="E1552" s="4">
        <v>4</v>
      </c>
      <c r="F1552" s="8">
        <v>0.9</v>
      </c>
      <c r="G1552" s="4">
        <v>2</v>
      </c>
      <c r="H1552" s="4">
        <f t="shared" si="48"/>
        <v>0</v>
      </c>
      <c r="I1552" s="4">
        <f t="shared" si="49"/>
        <v>1</v>
      </c>
      <c r="J1552" s="4">
        <v>113</v>
      </c>
      <c r="K1552" s="4">
        <v>1</v>
      </c>
      <c r="L1552" s="4">
        <v>0</v>
      </c>
      <c r="M1552" s="4">
        <v>0</v>
      </c>
      <c r="N1552" s="4">
        <v>0</v>
      </c>
      <c r="O1552" s="4">
        <v>0</v>
      </c>
    </row>
    <row r="1553" spans="1:15" x14ac:dyDescent="0.15">
      <c r="A1553" s="4">
        <v>1550</v>
      </c>
      <c r="B1553" s="4">
        <v>57</v>
      </c>
      <c r="C1553" s="4">
        <v>31</v>
      </c>
      <c r="D1553" s="4">
        <v>45</v>
      </c>
      <c r="E1553" s="4">
        <v>3</v>
      </c>
      <c r="F1553" s="8">
        <v>1.4</v>
      </c>
      <c r="G1553" s="4">
        <v>1</v>
      </c>
      <c r="H1553" s="4">
        <f t="shared" si="48"/>
        <v>1</v>
      </c>
      <c r="I1553" s="4">
        <f t="shared" si="49"/>
        <v>0</v>
      </c>
      <c r="J1553" s="4">
        <v>198</v>
      </c>
      <c r="K1553" s="4">
        <v>0</v>
      </c>
      <c r="L1553" s="4">
        <v>0</v>
      </c>
      <c r="M1553" s="4">
        <v>1</v>
      </c>
      <c r="N1553" s="4">
        <v>0</v>
      </c>
      <c r="O1553" s="4">
        <v>0</v>
      </c>
    </row>
    <row r="1554" spans="1:15" x14ac:dyDescent="0.15">
      <c r="A1554" s="4">
        <v>1551</v>
      </c>
      <c r="B1554" s="4">
        <v>40</v>
      </c>
      <c r="C1554" s="4">
        <v>14</v>
      </c>
      <c r="D1554" s="4">
        <v>39</v>
      </c>
      <c r="E1554" s="4">
        <v>1</v>
      </c>
      <c r="F1554" s="8">
        <v>2</v>
      </c>
      <c r="G1554" s="4">
        <v>1</v>
      </c>
      <c r="H1554" s="4">
        <f t="shared" si="48"/>
        <v>1</v>
      </c>
      <c r="I1554" s="4">
        <f t="shared" si="49"/>
        <v>0</v>
      </c>
      <c r="J1554" s="4">
        <v>0</v>
      </c>
      <c r="K1554" s="4">
        <v>0</v>
      </c>
      <c r="L1554" s="4">
        <v>0</v>
      </c>
      <c r="M1554" s="4">
        <v>1</v>
      </c>
      <c r="N1554" s="4">
        <v>0</v>
      </c>
      <c r="O1554" s="4">
        <v>0</v>
      </c>
    </row>
    <row r="1555" spans="1:15" x14ac:dyDescent="0.15">
      <c r="A1555" s="4">
        <v>1552</v>
      </c>
      <c r="B1555" s="4">
        <v>50</v>
      </c>
      <c r="C1555" s="4">
        <v>25</v>
      </c>
      <c r="D1555" s="4">
        <v>192</v>
      </c>
      <c r="E1555" s="4">
        <v>2</v>
      </c>
      <c r="F1555" s="8">
        <v>2.8</v>
      </c>
      <c r="G1555" s="4">
        <v>1</v>
      </c>
      <c r="H1555" s="4">
        <f t="shared" si="48"/>
        <v>1</v>
      </c>
      <c r="I1555" s="4">
        <f t="shared" si="49"/>
        <v>0</v>
      </c>
      <c r="J1555" s="4">
        <v>238</v>
      </c>
      <c r="K1555" s="4">
        <v>0</v>
      </c>
      <c r="L1555" s="4">
        <v>0</v>
      </c>
      <c r="M1555" s="4">
        <v>0</v>
      </c>
      <c r="N1555" s="4">
        <v>1</v>
      </c>
      <c r="O1555" s="4">
        <v>0</v>
      </c>
    </row>
    <row r="1556" spans="1:15" x14ac:dyDescent="0.15">
      <c r="A1556" s="4">
        <v>1553</v>
      </c>
      <c r="B1556" s="4">
        <v>29</v>
      </c>
      <c r="C1556" s="4">
        <v>5</v>
      </c>
      <c r="D1556" s="4">
        <v>195</v>
      </c>
      <c r="E1556" s="4">
        <v>1</v>
      </c>
      <c r="F1556" s="8">
        <v>4.3</v>
      </c>
      <c r="G1556" s="4">
        <v>1</v>
      </c>
      <c r="H1556" s="4">
        <f t="shared" si="48"/>
        <v>1</v>
      </c>
      <c r="I1556" s="4">
        <f t="shared" si="49"/>
        <v>0</v>
      </c>
      <c r="J1556" s="4">
        <v>0</v>
      </c>
      <c r="K1556" s="4">
        <v>0</v>
      </c>
      <c r="L1556" s="4">
        <v>0</v>
      </c>
      <c r="M1556" s="4">
        <v>0</v>
      </c>
      <c r="N1556" s="4">
        <v>0</v>
      </c>
      <c r="O1556" s="4">
        <v>0</v>
      </c>
    </row>
    <row r="1557" spans="1:15" x14ac:dyDescent="0.15">
      <c r="A1557" s="4">
        <v>1554</v>
      </c>
      <c r="B1557" s="4">
        <v>46</v>
      </c>
      <c r="C1557" s="4">
        <v>22</v>
      </c>
      <c r="D1557" s="4">
        <v>83</v>
      </c>
      <c r="E1557" s="4">
        <v>3</v>
      </c>
      <c r="F1557" s="8">
        <v>0.7</v>
      </c>
      <c r="G1557" s="4">
        <v>1</v>
      </c>
      <c r="H1557" s="4">
        <f t="shared" si="48"/>
        <v>1</v>
      </c>
      <c r="I1557" s="4">
        <f t="shared" si="49"/>
        <v>0</v>
      </c>
      <c r="J1557" s="4">
        <v>0</v>
      </c>
      <c r="K1557" s="4">
        <v>0</v>
      </c>
      <c r="L1557" s="4">
        <v>0</v>
      </c>
      <c r="M1557" s="4">
        <v>0</v>
      </c>
      <c r="N1557" s="4">
        <v>0</v>
      </c>
      <c r="O1557" s="4">
        <v>0</v>
      </c>
    </row>
    <row r="1558" spans="1:15" x14ac:dyDescent="0.15">
      <c r="A1558" s="4">
        <v>1555</v>
      </c>
      <c r="B1558" s="4">
        <v>42</v>
      </c>
      <c r="C1558" s="4">
        <v>15</v>
      </c>
      <c r="D1558" s="4">
        <v>34</v>
      </c>
      <c r="E1558" s="4">
        <v>3</v>
      </c>
      <c r="F1558" s="8">
        <v>1</v>
      </c>
      <c r="G1558" s="4">
        <v>2</v>
      </c>
      <c r="H1558" s="4">
        <f t="shared" si="48"/>
        <v>0</v>
      </c>
      <c r="I1558" s="4">
        <f t="shared" si="49"/>
        <v>1</v>
      </c>
      <c r="J1558" s="4">
        <v>0</v>
      </c>
      <c r="K1558" s="4">
        <v>1</v>
      </c>
      <c r="L1558" s="4">
        <v>0</v>
      </c>
      <c r="M1558" s="4">
        <v>1</v>
      </c>
      <c r="N1558" s="4">
        <v>0</v>
      </c>
      <c r="O1558" s="4">
        <v>0</v>
      </c>
    </row>
    <row r="1559" spans="1:15" x14ac:dyDescent="0.15">
      <c r="A1559" s="4">
        <v>1556</v>
      </c>
      <c r="B1559" s="4">
        <v>59</v>
      </c>
      <c r="C1559" s="4">
        <v>33</v>
      </c>
      <c r="D1559" s="4">
        <v>49</v>
      </c>
      <c r="E1559" s="4">
        <v>4</v>
      </c>
      <c r="F1559" s="8">
        <v>1.7</v>
      </c>
      <c r="G1559" s="4">
        <v>2</v>
      </c>
      <c r="H1559" s="4">
        <f t="shared" si="48"/>
        <v>0</v>
      </c>
      <c r="I1559" s="4">
        <f t="shared" si="49"/>
        <v>1</v>
      </c>
      <c r="J1559" s="4">
        <v>104</v>
      </c>
      <c r="K1559" s="4">
        <v>0</v>
      </c>
      <c r="L1559" s="4">
        <v>0</v>
      </c>
      <c r="M1559" s="4">
        <v>1</v>
      </c>
      <c r="N1559" s="4">
        <v>0</v>
      </c>
      <c r="O1559" s="4">
        <v>0</v>
      </c>
    </row>
    <row r="1560" spans="1:15" x14ac:dyDescent="0.15">
      <c r="A1560" s="4">
        <v>1557</v>
      </c>
      <c r="B1560" s="4">
        <v>31</v>
      </c>
      <c r="C1560" s="4">
        <v>1</v>
      </c>
      <c r="D1560" s="4">
        <v>60</v>
      </c>
      <c r="E1560" s="4">
        <v>4</v>
      </c>
      <c r="F1560" s="8">
        <v>4</v>
      </c>
      <c r="G1560" s="4">
        <v>3</v>
      </c>
      <c r="H1560" s="4">
        <f t="shared" si="48"/>
        <v>0</v>
      </c>
      <c r="I1560" s="4">
        <f t="shared" si="49"/>
        <v>0</v>
      </c>
      <c r="J1560" s="4">
        <v>244</v>
      </c>
      <c r="K1560" s="4">
        <v>0</v>
      </c>
      <c r="L1560" s="4">
        <v>0</v>
      </c>
      <c r="M1560" s="4">
        <v>0</v>
      </c>
      <c r="N1560" s="4">
        <v>0</v>
      </c>
      <c r="O1560" s="4">
        <v>0</v>
      </c>
    </row>
    <row r="1561" spans="1:15" x14ac:dyDescent="0.15">
      <c r="A1561" s="4">
        <v>1558</v>
      </c>
      <c r="B1561" s="4">
        <v>51</v>
      </c>
      <c r="C1561" s="4">
        <v>25</v>
      </c>
      <c r="D1561" s="4">
        <v>41</v>
      </c>
      <c r="E1561" s="4">
        <v>4</v>
      </c>
      <c r="F1561" s="8">
        <v>1.8</v>
      </c>
      <c r="G1561" s="4">
        <v>1</v>
      </c>
      <c r="H1561" s="4">
        <f t="shared" si="48"/>
        <v>1</v>
      </c>
      <c r="I1561" s="4">
        <f t="shared" si="49"/>
        <v>0</v>
      </c>
      <c r="J1561" s="4">
        <v>0</v>
      </c>
      <c r="K1561" s="4">
        <v>0</v>
      </c>
      <c r="L1561" s="4">
        <v>0</v>
      </c>
      <c r="M1561" s="4">
        <v>0</v>
      </c>
      <c r="N1561" s="4">
        <v>0</v>
      </c>
      <c r="O1561" s="4">
        <v>0</v>
      </c>
    </row>
    <row r="1562" spans="1:15" x14ac:dyDescent="0.15">
      <c r="A1562" s="4">
        <v>1559</v>
      </c>
      <c r="B1562" s="4">
        <v>35</v>
      </c>
      <c r="C1562" s="4">
        <v>10</v>
      </c>
      <c r="D1562" s="4">
        <v>72</v>
      </c>
      <c r="E1562" s="4">
        <v>3</v>
      </c>
      <c r="F1562" s="8">
        <v>2.2999999999999998</v>
      </c>
      <c r="G1562" s="4">
        <v>1</v>
      </c>
      <c r="H1562" s="4">
        <f t="shared" si="48"/>
        <v>1</v>
      </c>
      <c r="I1562" s="4">
        <f t="shared" si="49"/>
        <v>0</v>
      </c>
      <c r="J1562" s="4">
        <v>285</v>
      </c>
      <c r="K1562" s="4">
        <v>0</v>
      </c>
      <c r="L1562" s="4">
        <v>0</v>
      </c>
      <c r="M1562" s="4">
        <v>0</v>
      </c>
      <c r="N1562" s="4">
        <v>0</v>
      </c>
      <c r="O1562" s="4">
        <v>0</v>
      </c>
    </row>
    <row r="1563" spans="1:15" x14ac:dyDescent="0.15">
      <c r="A1563" s="4">
        <v>1560</v>
      </c>
      <c r="B1563" s="4">
        <v>59</v>
      </c>
      <c r="C1563" s="4">
        <v>35</v>
      </c>
      <c r="D1563" s="4">
        <v>102</v>
      </c>
      <c r="E1563" s="4">
        <v>4</v>
      </c>
      <c r="F1563" s="8">
        <v>3</v>
      </c>
      <c r="G1563" s="4">
        <v>2</v>
      </c>
      <c r="H1563" s="4">
        <f t="shared" si="48"/>
        <v>0</v>
      </c>
      <c r="I1563" s="4">
        <f t="shared" si="49"/>
        <v>1</v>
      </c>
      <c r="J1563" s="4">
        <v>115</v>
      </c>
      <c r="K1563" s="4">
        <v>0</v>
      </c>
      <c r="L1563" s="4">
        <v>0</v>
      </c>
      <c r="M1563" s="4">
        <v>1</v>
      </c>
      <c r="N1563" s="4">
        <v>0</v>
      </c>
      <c r="O1563" s="4">
        <v>1</v>
      </c>
    </row>
    <row r="1564" spans="1:15" x14ac:dyDescent="0.15">
      <c r="A1564" s="4">
        <v>1561</v>
      </c>
      <c r="B1564" s="4">
        <v>35</v>
      </c>
      <c r="C1564" s="4">
        <v>10</v>
      </c>
      <c r="D1564" s="4">
        <v>31</v>
      </c>
      <c r="E1564" s="4">
        <v>3</v>
      </c>
      <c r="F1564" s="8">
        <v>1.3</v>
      </c>
      <c r="G1564" s="4">
        <v>1</v>
      </c>
      <c r="H1564" s="4">
        <f t="shared" si="48"/>
        <v>1</v>
      </c>
      <c r="I1564" s="4">
        <f t="shared" si="49"/>
        <v>0</v>
      </c>
      <c r="J1564" s="4">
        <v>0</v>
      </c>
      <c r="K1564" s="4">
        <v>0</v>
      </c>
      <c r="L1564" s="4">
        <v>0</v>
      </c>
      <c r="M1564" s="4">
        <v>0</v>
      </c>
      <c r="N1564" s="4">
        <v>0</v>
      </c>
      <c r="O1564" s="4">
        <v>0</v>
      </c>
    </row>
    <row r="1565" spans="1:15" x14ac:dyDescent="0.15">
      <c r="A1565" s="4">
        <v>1562</v>
      </c>
      <c r="B1565" s="4">
        <v>46</v>
      </c>
      <c r="C1565" s="4">
        <v>20</v>
      </c>
      <c r="D1565" s="4">
        <v>73</v>
      </c>
      <c r="E1565" s="4">
        <v>1</v>
      </c>
      <c r="F1565" s="8">
        <v>1.5</v>
      </c>
      <c r="G1565" s="4">
        <v>2</v>
      </c>
      <c r="H1565" s="4">
        <f t="shared" si="48"/>
        <v>0</v>
      </c>
      <c r="I1565" s="4">
        <f t="shared" si="49"/>
        <v>1</v>
      </c>
      <c r="J1565" s="4">
        <v>128</v>
      </c>
      <c r="K1565" s="4">
        <v>0</v>
      </c>
      <c r="L1565" s="4">
        <v>0</v>
      </c>
      <c r="M1565" s="4">
        <v>1</v>
      </c>
      <c r="N1565" s="4">
        <v>0</v>
      </c>
      <c r="O1565" s="4">
        <v>0</v>
      </c>
    </row>
    <row r="1566" spans="1:15" x14ac:dyDescent="0.15">
      <c r="A1566" s="4">
        <v>1563</v>
      </c>
      <c r="B1566" s="4">
        <v>34</v>
      </c>
      <c r="C1566" s="4">
        <v>9</v>
      </c>
      <c r="D1566" s="4">
        <v>89</v>
      </c>
      <c r="E1566" s="4">
        <v>1</v>
      </c>
      <c r="F1566" s="8">
        <v>0</v>
      </c>
      <c r="G1566" s="4">
        <v>1</v>
      </c>
      <c r="H1566" s="4">
        <f t="shared" si="48"/>
        <v>1</v>
      </c>
      <c r="I1566" s="4">
        <f t="shared" si="49"/>
        <v>0</v>
      </c>
      <c r="J1566" s="4">
        <v>0</v>
      </c>
      <c r="K1566" s="4">
        <v>0</v>
      </c>
      <c r="L1566" s="4">
        <v>0</v>
      </c>
      <c r="M1566" s="4">
        <v>1</v>
      </c>
      <c r="N1566" s="4">
        <v>0</v>
      </c>
      <c r="O1566" s="4">
        <v>0</v>
      </c>
    </row>
    <row r="1567" spans="1:15" x14ac:dyDescent="0.15">
      <c r="A1567" s="4">
        <v>1564</v>
      </c>
      <c r="B1567" s="4">
        <v>55</v>
      </c>
      <c r="C1567" s="4">
        <v>29</v>
      </c>
      <c r="D1567" s="4">
        <v>19</v>
      </c>
      <c r="E1567" s="4">
        <v>4</v>
      </c>
      <c r="F1567" s="8">
        <v>0.7</v>
      </c>
      <c r="G1567" s="4">
        <v>3</v>
      </c>
      <c r="H1567" s="4">
        <f t="shared" si="48"/>
        <v>0</v>
      </c>
      <c r="I1567" s="4">
        <f t="shared" si="49"/>
        <v>0</v>
      </c>
      <c r="J1567" s="4">
        <v>121</v>
      </c>
      <c r="K1567" s="4">
        <v>1</v>
      </c>
      <c r="L1567" s="4">
        <v>0</v>
      </c>
      <c r="M1567" s="4">
        <v>0</v>
      </c>
      <c r="N1567" s="4">
        <v>1</v>
      </c>
      <c r="O1567" s="4">
        <v>0</v>
      </c>
    </row>
    <row r="1568" spans="1:15" x14ac:dyDescent="0.15">
      <c r="A1568" s="4">
        <v>1565</v>
      </c>
      <c r="B1568" s="4">
        <v>64</v>
      </c>
      <c r="C1568" s="4">
        <v>40</v>
      </c>
      <c r="D1568" s="4">
        <v>63</v>
      </c>
      <c r="E1568" s="4">
        <v>4</v>
      </c>
      <c r="F1568" s="8">
        <v>1.2</v>
      </c>
      <c r="G1568" s="4">
        <v>2</v>
      </c>
      <c r="H1568" s="4">
        <f t="shared" si="48"/>
        <v>0</v>
      </c>
      <c r="I1568" s="4">
        <f t="shared" si="49"/>
        <v>1</v>
      </c>
      <c r="J1568" s="4">
        <v>0</v>
      </c>
      <c r="K1568" s="4">
        <v>0</v>
      </c>
      <c r="L1568" s="4">
        <v>0</v>
      </c>
      <c r="M1568" s="4">
        <v>1</v>
      </c>
      <c r="N1568" s="4">
        <v>0</v>
      </c>
      <c r="O1568" s="4">
        <v>0</v>
      </c>
    </row>
    <row r="1569" spans="1:15" x14ac:dyDescent="0.15">
      <c r="A1569" s="4">
        <v>1566</v>
      </c>
      <c r="B1569" s="4">
        <v>34</v>
      </c>
      <c r="C1569" s="4">
        <v>9</v>
      </c>
      <c r="D1569" s="4">
        <v>104</v>
      </c>
      <c r="E1569" s="4">
        <v>3</v>
      </c>
      <c r="F1569" s="8">
        <v>1.2</v>
      </c>
      <c r="G1569" s="4">
        <v>3</v>
      </c>
      <c r="H1569" s="4">
        <f t="shared" si="48"/>
        <v>0</v>
      </c>
      <c r="I1569" s="4">
        <f t="shared" si="49"/>
        <v>0</v>
      </c>
      <c r="J1569" s="4">
        <v>0</v>
      </c>
      <c r="K1569" s="4">
        <v>0</v>
      </c>
      <c r="L1569" s="4">
        <v>0</v>
      </c>
      <c r="M1569" s="4">
        <v>1</v>
      </c>
      <c r="N1569" s="4">
        <v>0</v>
      </c>
      <c r="O1569" s="4">
        <v>0</v>
      </c>
    </row>
    <row r="1570" spans="1:15" x14ac:dyDescent="0.15">
      <c r="A1570" s="4">
        <v>1567</v>
      </c>
      <c r="B1570" s="4">
        <v>61</v>
      </c>
      <c r="C1570" s="4">
        <v>35</v>
      </c>
      <c r="D1570" s="4">
        <v>40</v>
      </c>
      <c r="E1570" s="4">
        <v>1</v>
      </c>
      <c r="F1570" s="8">
        <v>0.8</v>
      </c>
      <c r="G1570" s="4">
        <v>2</v>
      </c>
      <c r="H1570" s="4">
        <f t="shared" si="48"/>
        <v>0</v>
      </c>
      <c r="I1570" s="4">
        <f t="shared" si="49"/>
        <v>1</v>
      </c>
      <c r="J1570" s="4">
        <v>128</v>
      </c>
      <c r="K1570" s="4">
        <v>0</v>
      </c>
      <c r="L1570" s="4">
        <v>0</v>
      </c>
      <c r="M1570" s="4">
        <v>1</v>
      </c>
      <c r="N1570" s="4">
        <v>0</v>
      </c>
      <c r="O1570" s="4">
        <v>0</v>
      </c>
    </row>
    <row r="1571" spans="1:15" x14ac:dyDescent="0.15">
      <c r="A1571" s="4">
        <v>1568</v>
      </c>
      <c r="B1571" s="4">
        <v>63</v>
      </c>
      <c r="C1571" s="4">
        <v>39</v>
      </c>
      <c r="D1571" s="4">
        <v>92</v>
      </c>
      <c r="E1571" s="4">
        <v>2</v>
      </c>
      <c r="F1571" s="8">
        <v>0</v>
      </c>
      <c r="G1571" s="4">
        <v>3</v>
      </c>
      <c r="H1571" s="4">
        <f t="shared" si="48"/>
        <v>0</v>
      </c>
      <c r="I1571" s="4">
        <f t="shared" si="49"/>
        <v>0</v>
      </c>
      <c r="J1571" s="4">
        <v>0</v>
      </c>
      <c r="K1571" s="4">
        <v>0</v>
      </c>
      <c r="L1571" s="4">
        <v>0</v>
      </c>
      <c r="M1571" s="4">
        <v>1</v>
      </c>
      <c r="N1571" s="4">
        <v>0</v>
      </c>
      <c r="O1571" s="4">
        <v>0</v>
      </c>
    </row>
    <row r="1572" spans="1:15" x14ac:dyDescent="0.15">
      <c r="A1572" s="4">
        <v>1569</v>
      </c>
      <c r="B1572" s="4">
        <v>59</v>
      </c>
      <c r="C1572" s="4">
        <v>33</v>
      </c>
      <c r="D1572" s="4">
        <v>72</v>
      </c>
      <c r="E1572" s="4">
        <v>2</v>
      </c>
      <c r="F1572" s="8">
        <v>0.7</v>
      </c>
      <c r="G1572" s="4">
        <v>2</v>
      </c>
      <c r="H1572" s="4">
        <f t="shared" si="48"/>
        <v>0</v>
      </c>
      <c r="I1572" s="4">
        <f t="shared" si="49"/>
        <v>1</v>
      </c>
      <c r="J1572" s="4">
        <v>226</v>
      </c>
      <c r="K1572" s="4">
        <v>0</v>
      </c>
      <c r="L1572" s="4">
        <v>0</v>
      </c>
      <c r="M1572" s="4">
        <v>0</v>
      </c>
      <c r="N1572" s="4">
        <v>0</v>
      </c>
      <c r="O1572" s="4">
        <v>0</v>
      </c>
    </row>
    <row r="1573" spans="1:15" x14ac:dyDescent="0.15">
      <c r="A1573" s="4">
        <v>1570</v>
      </c>
      <c r="B1573" s="4">
        <v>51</v>
      </c>
      <c r="C1573" s="4">
        <v>27</v>
      </c>
      <c r="D1573" s="4">
        <v>44</v>
      </c>
      <c r="E1573" s="4">
        <v>3</v>
      </c>
      <c r="F1573" s="8">
        <v>1.9</v>
      </c>
      <c r="G1573" s="4">
        <v>2</v>
      </c>
      <c r="H1573" s="4">
        <f t="shared" si="48"/>
        <v>0</v>
      </c>
      <c r="I1573" s="4">
        <f t="shared" si="49"/>
        <v>1</v>
      </c>
      <c r="J1573" s="4">
        <v>141</v>
      </c>
      <c r="K1573" s="4">
        <v>0</v>
      </c>
      <c r="L1573" s="4">
        <v>0</v>
      </c>
      <c r="M1573" s="4">
        <v>0</v>
      </c>
      <c r="N1573" s="4">
        <v>0</v>
      </c>
      <c r="O1573" s="4">
        <v>0</v>
      </c>
    </row>
    <row r="1574" spans="1:15" x14ac:dyDescent="0.15">
      <c r="A1574" s="4">
        <v>1571</v>
      </c>
      <c r="B1574" s="4">
        <v>41</v>
      </c>
      <c r="C1574" s="4">
        <v>16</v>
      </c>
      <c r="D1574" s="4">
        <v>114</v>
      </c>
      <c r="E1574" s="4">
        <v>4</v>
      </c>
      <c r="F1574" s="8">
        <v>3.5</v>
      </c>
      <c r="G1574" s="4">
        <v>1</v>
      </c>
      <c r="H1574" s="4">
        <f t="shared" si="48"/>
        <v>1</v>
      </c>
      <c r="I1574" s="4">
        <f t="shared" si="49"/>
        <v>0</v>
      </c>
      <c r="J1574" s="4">
        <v>0</v>
      </c>
      <c r="K1574" s="4">
        <v>0</v>
      </c>
      <c r="L1574" s="4">
        <v>0</v>
      </c>
      <c r="M1574" s="4">
        <v>0</v>
      </c>
      <c r="N1574" s="4">
        <v>1</v>
      </c>
      <c r="O1574" s="4">
        <v>1</v>
      </c>
    </row>
    <row r="1575" spans="1:15" x14ac:dyDescent="0.15">
      <c r="A1575" s="4">
        <v>1572</v>
      </c>
      <c r="B1575" s="4">
        <v>37</v>
      </c>
      <c r="C1575" s="4">
        <v>13</v>
      </c>
      <c r="D1575" s="4">
        <v>73</v>
      </c>
      <c r="E1575" s="4">
        <v>4</v>
      </c>
      <c r="F1575" s="8">
        <v>2.4</v>
      </c>
      <c r="G1575" s="4">
        <v>1</v>
      </c>
      <c r="H1575" s="4">
        <f t="shared" si="48"/>
        <v>1</v>
      </c>
      <c r="I1575" s="4">
        <f t="shared" si="49"/>
        <v>0</v>
      </c>
      <c r="J1575" s="4">
        <v>0</v>
      </c>
      <c r="K1575" s="4">
        <v>0</v>
      </c>
      <c r="L1575" s="4">
        <v>0</v>
      </c>
      <c r="M1575" s="4">
        <v>0</v>
      </c>
      <c r="N1575" s="4">
        <v>0</v>
      </c>
      <c r="O1575" s="4">
        <v>0</v>
      </c>
    </row>
    <row r="1576" spans="1:15" x14ac:dyDescent="0.15">
      <c r="A1576" s="4">
        <v>1573</v>
      </c>
      <c r="B1576" s="4">
        <v>64</v>
      </c>
      <c r="C1576" s="4">
        <v>40</v>
      </c>
      <c r="D1576" s="4">
        <v>63</v>
      </c>
      <c r="E1576" s="4">
        <v>4</v>
      </c>
      <c r="F1576" s="8">
        <v>1.2</v>
      </c>
      <c r="G1576" s="4">
        <v>2</v>
      </c>
      <c r="H1576" s="4">
        <f t="shared" si="48"/>
        <v>0</v>
      </c>
      <c r="I1576" s="4">
        <f t="shared" si="49"/>
        <v>1</v>
      </c>
      <c r="J1576" s="4">
        <v>0</v>
      </c>
      <c r="K1576" s="4">
        <v>1</v>
      </c>
      <c r="L1576" s="4">
        <v>0</v>
      </c>
      <c r="M1576" s="4">
        <v>0</v>
      </c>
      <c r="N1576" s="4">
        <v>1</v>
      </c>
      <c r="O1576" s="4">
        <v>0</v>
      </c>
    </row>
    <row r="1577" spans="1:15" x14ac:dyDescent="0.15">
      <c r="A1577" s="4">
        <v>1574</v>
      </c>
      <c r="B1577" s="4">
        <v>44</v>
      </c>
      <c r="C1577" s="4">
        <v>20</v>
      </c>
      <c r="D1577" s="4">
        <v>69</v>
      </c>
      <c r="E1577" s="4">
        <v>1</v>
      </c>
      <c r="F1577" s="8">
        <v>0.8</v>
      </c>
      <c r="G1577" s="4">
        <v>3</v>
      </c>
      <c r="H1577" s="4">
        <f t="shared" si="48"/>
        <v>0</v>
      </c>
      <c r="I1577" s="4">
        <f t="shared" si="49"/>
        <v>0</v>
      </c>
      <c r="J1577" s="4">
        <v>184</v>
      </c>
      <c r="K1577" s="4">
        <v>0</v>
      </c>
      <c r="L1577" s="4">
        <v>1</v>
      </c>
      <c r="M1577" s="4">
        <v>1</v>
      </c>
      <c r="N1577" s="4">
        <v>1</v>
      </c>
      <c r="O1577" s="4">
        <v>0</v>
      </c>
    </row>
    <row r="1578" spans="1:15" x14ac:dyDescent="0.15">
      <c r="A1578" s="4">
        <v>1575</v>
      </c>
      <c r="B1578" s="4">
        <v>62</v>
      </c>
      <c r="C1578" s="4">
        <v>37</v>
      </c>
      <c r="D1578" s="4">
        <v>42</v>
      </c>
      <c r="E1578" s="4">
        <v>3</v>
      </c>
      <c r="F1578" s="8">
        <v>1.5</v>
      </c>
      <c r="G1578" s="4">
        <v>1</v>
      </c>
      <c r="H1578" s="4">
        <f t="shared" si="48"/>
        <v>1</v>
      </c>
      <c r="I1578" s="4">
        <f t="shared" si="49"/>
        <v>0</v>
      </c>
      <c r="J1578" s="4">
        <v>0</v>
      </c>
      <c r="K1578" s="4">
        <v>0</v>
      </c>
      <c r="L1578" s="4">
        <v>0</v>
      </c>
      <c r="M1578" s="4">
        <v>1</v>
      </c>
      <c r="N1578" s="4">
        <v>0</v>
      </c>
      <c r="O1578" s="4">
        <v>0</v>
      </c>
    </row>
    <row r="1579" spans="1:15" x14ac:dyDescent="0.15">
      <c r="A1579" s="4">
        <v>1576</v>
      </c>
      <c r="B1579" s="4">
        <v>50</v>
      </c>
      <c r="C1579" s="4">
        <v>26</v>
      </c>
      <c r="D1579" s="4">
        <v>88</v>
      </c>
      <c r="E1579" s="4">
        <v>1</v>
      </c>
      <c r="F1579" s="8">
        <v>2.7</v>
      </c>
      <c r="G1579" s="4">
        <v>1</v>
      </c>
      <c r="H1579" s="4">
        <f t="shared" si="48"/>
        <v>1</v>
      </c>
      <c r="I1579" s="4">
        <f t="shared" si="49"/>
        <v>0</v>
      </c>
      <c r="J1579" s="4">
        <v>0</v>
      </c>
      <c r="K1579" s="4">
        <v>0</v>
      </c>
      <c r="L1579" s="4">
        <v>0</v>
      </c>
      <c r="M1579" s="4">
        <v>1</v>
      </c>
      <c r="N1579" s="4">
        <v>0</v>
      </c>
      <c r="O1579" s="4">
        <v>0</v>
      </c>
    </row>
    <row r="1580" spans="1:15" x14ac:dyDescent="0.15">
      <c r="A1580" s="4">
        <v>1577</v>
      </c>
      <c r="B1580" s="4">
        <v>43</v>
      </c>
      <c r="C1580" s="4">
        <v>18</v>
      </c>
      <c r="D1580" s="4">
        <v>98</v>
      </c>
      <c r="E1580" s="4">
        <v>2</v>
      </c>
      <c r="F1580" s="8">
        <v>0.4</v>
      </c>
      <c r="G1580" s="4">
        <v>1</v>
      </c>
      <c r="H1580" s="4">
        <f t="shared" si="48"/>
        <v>1</v>
      </c>
      <c r="I1580" s="4">
        <f t="shared" si="49"/>
        <v>0</v>
      </c>
      <c r="J1580" s="4">
        <v>0</v>
      </c>
      <c r="K1580" s="4">
        <v>0</v>
      </c>
      <c r="L1580" s="4">
        <v>0</v>
      </c>
      <c r="M1580" s="4">
        <v>1</v>
      </c>
      <c r="N1580" s="4">
        <v>0</v>
      </c>
      <c r="O1580" s="4">
        <v>0</v>
      </c>
    </row>
    <row r="1581" spans="1:15" x14ac:dyDescent="0.15">
      <c r="A1581" s="4">
        <v>1578</v>
      </c>
      <c r="B1581" s="4">
        <v>34</v>
      </c>
      <c r="C1581" s="4">
        <v>8</v>
      </c>
      <c r="D1581" s="4">
        <v>65</v>
      </c>
      <c r="E1581" s="4">
        <v>1</v>
      </c>
      <c r="F1581" s="8">
        <v>3</v>
      </c>
      <c r="G1581" s="4">
        <v>1</v>
      </c>
      <c r="H1581" s="4">
        <f t="shared" si="48"/>
        <v>1</v>
      </c>
      <c r="I1581" s="4">
        <f t="shared" si="49"/>
        <v>0</v>
      </c>
      <c r="J1581" s="4">
        <v>227</v>
      </c>
      <c r="K1581" s="4">
        <v>0</v>
      </c>
      <c r="L1581" s="4">
        <v>0</v>
      </c>
      <c r="M1581" s="4">
        <v>1</v>
      </c>
      <c r="N1581" s="4">
        <v>0</v>
      </c>
      <c r="O1581" s="4">
        <v>1</v>
      </c>
    </row>
    <row r="1582" spans="1:15" x14ac:dyDescent="0.15">
      <c r="A1582" s="4">
        <v>1579</v>
      </c>
      <c r="B1582" s="4">
        <v>38</v>
      </c>
      <c r="C1582" s="4">
        <v>13</v>
      </c>
      <c r="D1582" s="4">
        <v>12</v>
      </c>
      <c r="E1582" s="4">
        <v>2</v>
      </c>
      <c r="F1582" s="8">
        <v>0.3</v>
      </c>
      <c r="G1582" s="4">
        <v>2</v>
      </c>
      <c r="H1582" s="4">
        <f t="shared" si="48"/>
        <v>0</v>
      </c>
      <c r="I1582" s="4">
        <f t="shared" si="49"/>
        <v>1</v>
      </c>
      <c r="J1582" s="4">
        <v>104</v>
      </c>
      <c r="K1582" s="4">
        <v>1</v>
      </c>
      <c r="L1582" s="4">
        <v>0</v>
      </c>
      <c r="M1582" s="4">
        <v>1</v>
      </c>
      <c r="N1582" s="4">
        <v>0</v>
      </c>
      <c r="O1582" s="4">
        <v>0</v>
      </c>
    </row>
    <row r="1583" spans="1:15" x14ac:dyDescent="0.15">
      <c r="A1583" s="4">
        <v>1580</v>
      </c>
      <c r="B1583" s="4">
        <v>29</v>
      </c>
      <c r="C1583" s="4">
        <v>5</v>
      </c>
      <c r="D1583" s="4">
        <v>122</v>
      </c>
      <c r="E1583" s="4">
        <v>4</v>
      </c>
      <c r="F1583" s="8">
        <v>3</v>
      </c>
      <c r="G1583" s="4">
        <v>1</v>
      </c>
      <c r="H1583" s="4">
        <f t="shared" si="48"/>
        <v>1</v>
      </c>
      <c r="I1583" s="4">
        <f t="shared" si="49"/>
        <v>0</v>
      </c>
      <c r="J1583" s="4">
        <v>0</v>
      </c>
      <c r="K1583" s="4">
        <v>0</v>
      </c>
      <c r="L1583" s="4">
        <v>0</v>
      </c>
      <c r="M1583" s="4">
        <v>0</v>
      </c>
      <c r="N1583" s="4">
        <v>1</v>
      </c>
      <c r="O1583" s="4">
        <v>1</v>
      </c>
    </row>
    <row r="1584" spans="1:15" x14ac:dyDescent="0.15">
      <c r="A1584" s="4">
        <v>1581</v>
      </c>
      <c r="B1584" s="4">
        <v>39</v>
      </c>
      <c r="C1584" s="4">
        <v>14</v>
      </c>
      <c r="D1584" s="4">
        <v>12</v>
      </c>
      <c r="E1584" s="4">
        <v>2</v>
      </c>
      <c r="F1584" s="8">
        <v>0</v>
      </c>
      <c r="G1584" s="4">
        <v>3</v>
      </c>
      <c r="H1584" s="4">
        <f t="shared" si="48"/>
        <v>0</v>
      </c>
      <c r="I1584" s="4">
        <f t="shared" si="49"/>
        <v>0</v>
      </c>
      <c r="J1584" s="4">
        <v>0</v>
      </c>
      <c r="K1584" s="4">
        <v>0</v>
      </c>
      <c r="L1584" s="4">
        <v>0</v>
      </c>
      <c r="M1584" s="4">
        <v>0</v>
      </c>
      <c r="N1584" s="4">
        <v>0</v>
      </c>
      <c r="O1584" s="4">
        <v>0</v>
      </c>
    </row>
    <row r="1585" spans="1:15" x14ac:dyDescent="0.15">
      <c r="A1585" s="4">
        <v>1582</v>
      </c>
      <c r="B1585" s="4">
        <v>53</v>
      </c>
      <c r="C1585" s="4">
        <v>29</v>
      </c>
      <c r="D1585" s="4">
        <v>24</v>
      </c>
      <c r="E1585" s="4">
        <v>2</v>
      </c>
      <c r="F1585" s="8">
        <v>0.2</v>
      </c>
      <c r="G1585" s="4">
        <v>1</v>
      </c>
      <c r="H1585" s="4">
        <f t="shared" si="48"/>
        <v>1</v>
      </c>
      <c r="I1585" s="4">
        <f t="shared" si="49"/>
        <v>0</v>
      </c>
      <c r="J1585" s="4">
        <v>0</v>
      </c>
      <c r="K1585" s="4">
        <v>0</v>
      </c>
      <c r="L1585" s="4">
        <v>0</v>
      </c>
      <c r="M1585" s="4">
        <v>0</v>
      </c>
      <c r="N1585" s="4">
        <v>1</v>
      </c>
      <c r="O1585" s="4">
        <v>0</v>
      </c>
    </row>
    <row r="1586" spans="1:15" x14ac:dyDescent="0.15">
      <c r="A1586" s="4">
        <v>1583</v>
      </c>
      <c r="B1586" s="4">
        <v>43</v>
      </c>
      <c r="C1586" s="4">
        <v>19</v>
      </c>
      <c r="D1586" s="4">
        <v>170</v>
      </c>
      <c r="E1586" s="4">
        <v>4</v>
      </c>
      <c r="F1586" s="8">
        <v>4.25</v>
      </c>
      <c r="G1586" s="4">
        <v>1</v>
      </c>
      <c r="H1586" s="4">
        <f t="shared" si="48"/>
        <v>1</v>
      </c>
      <c r="I1586" s="4">
        <f t="shared" si="49"/>
        <v>0</v>
      </c>
      <c r="J1586" s="4">
        <v>318</v>
      </c>
      <c r="K1586" s="4">
        <v>0</v>
      </c>
      <c r="L1586" s="4">
        <v>1</v>
      </c>
      <c r="M1586" s="4">
        <v>1</v>
      </c>
      <c r="N1586" s="4">
        <v>1</v>
      </c>
      <c r="O1586" s="4">
        <v>1</v>
      </c>
    </row>
    <row r="1587" spans="1:15" x14ac:dyDescent="0.15">
      <c r="A1587" s="4">
        <v>1584</v>
      </c>
      <c r="B1587" s="4">
        <v>61</v>
      </c>
      <c r="C1587" s="4">
        <v>36</v>
      </c>
      <c r="D1587" s="4">
        <v>184</v>
      </c>
      <c r="E1587" s="4">
        <v>4</v>
      </c>
      <c r="F1587" s="8">
        <v>2.2999999999999998</v>
      </c>
      <c r="G1587" s="4">
        <v>2</v>
      </c>
      <c r="H1587" s="4">
        <f t="shared" si="48"/>
        <v>0</v>
      </c>
      <c r="I1587" s="4">
        <f t="shared" si="49"/>
        <v>1</v>
      </c>
      <c r="J1587" s="4">
        <v>342</v>
      </c>
      <c r="K1587" s="4">
        <v>0</v>
      </c>
      <c r="L1587" s="4">
        <v>1</v>
      </c>
      <c r="M1587" s="4">
        <v>1</v>
      </c>
      <c r="N1587" s="4">
        <v>1</v>
      </c>
      <c r="O1587" s="4">
        <v>1</v>
      </c>
    </row>
    <row r="1588" spans="1:15" x14ac:dyDescent="0.15">
      <c r="A1588" s="4">
        <v>1585</v>
      </c>
      <c r="B1588" s="4">
        <v>46</v>
      </c>
      <c r="C1588" s="4">
        <v>20</v>
      </c>
      <c r="D1588" s="4">
        <v>25</v>
      </c>
      <c r="E1588" s="4">
        <v>4</v>
      </c>
      <c r="F1588" s="8">
        <v>0.6</v>
      </c>
      <c r="G1588" s="4">
        <v>3</v>
      </c>
      <c r="H1588" s="4">
        <f t="shared" si="48"/>
        <v>0</v>
      </c>
      <c r="I1588" s="4">
        <f t="shared" si="49"/>
        <v>0</v>
      </c>
      <c r="J1588" s="4">
        <v>125</v>
      </c>
      <c r="K1588" s="4">
        <v>0</v>
      </c>
      <c r="L1588" s="4">
        <v>0</v>
      </c>
      <c r="M1588" s="4">
        <v>0</v>
      </c>
      <c r="N1588" s="4">
        <v>0</v>
      </c>
      <c r="O1588" s="4">
        <v>0</v>
      </c>
    </row>
    <row r="1589" spans="1:15" x14ac:dyDescent="0.15">
      <c r="A1589" s="4">
        <v>1586</v>
      </c>
      <c r="B1589" s="4">
        <v>57</v>
      </c>
      <c r="C1589" s="4">
        <v>31</v>
      </c>
      <c r="D1589" s="4">
        <v>131</v>
      </c>
      <c r="E1589" s="4">
        <v>2</v>
      </c>
      <c r="F1589" s="8">
        <v>2.7</v>
      </c>
      <c r="G1589" s="4">
        <v>1</v>
      </c>
      <c r="H1589" s="4">
        <f t="shared" si="48"/>
        <v>1</v>
      </c>
      <c r="I1589" s="4">
        <f t="shared" si="49"/>
        <v>0</v>
      </c>
      <c r="J1589" s="4">
        <v>0</v>
      </c>
      <c r="K1589" s="4">
        <v>0</v>
      </c>
      <c r="L1589" s="4">
        <v>0</v>
      </c>
      <c r="M1589" s="4">
        <v>0</v>
      </c>
      <c r="N1589" s="4">
        <v>0</v>
      </c>
      <c r="O1589" s="4">
        <v>0</v>
      </c>
    </row>
    <row r="1590" spans="1:15" x14ac:dyDescent="0.15">
      <c r="A1590" s="4">
        <v>1587</v>
      </c>
      <c r="B1590" s="4">
        <v>59</v>
      </c>
      <c r="C1590" s="4">
        <v>33</v>
      </c>
      <c r="D1590" s="4">
        <v>50</v>
      </c>
      <c r="E1590" s="4">
        <v>2</v>
      </c>
      <c r="F1590" s="8">
        <v>2.2999999999999998</v>
      </c>
      <c r="G1590" s="4">
        <v>3</v>
      </c>
      <c r="H1590" s="4">
        <f t="shared" si="48"/>
        <v>0</v>
      </c>
      <c r="I1590" s="4">
        <f t="shared" si="49"/>
        <v>0</v>
      </c>
      <c r="J1590" s="4">
        <v>0</v>
      </c>
      <c r="K1590" s="4">
        <v>0</v>
      </c>
      <c r="L1590" s="4">
        <v>0</v>
      </c>
      <c r="M1590" s="4">
        <v>0</v>
      </c>
      <c r="N1590" s="4">
        <v>1</v>
      </c>
      <c r="O1590" s="4">
        <v>0</v>
      </c>
    </row>
    <row r="1591" spans="1:15" x14ac:dyDescent="0.15">
      <c r="A1591" s="4">
        <v>1588</v>
      </c>
      <c r="B1591" s="4">
        <v>52</v>
      </c>
      <c r="C1591" s="4">
        <v>28</v>
      </c>
      <c r="D1591" s="4">
        <v>21</v>
      </c>
      <c r="E1591" s="4">
        <v>2</v>
      </c>
      <c r="F1591" s="8">
        <v>0.4</v>
      </c>
      <c r="G1591" s="4">
        <v>1</v>
      </c>
      <c r="H1591" s="4">
        <f t="shared" si="48"/>
        <v>1</v>
      </c>
      <c r="I1591" s="4">
        <f t="shared" si="49"/>
        <v>0</v>
      </c>
      <c r="J1591" s="4">
        <v>0</v>
      </c>
      <c r="K1591" s="4">
        <v>1</v>
      </c>
      <c r="L1591" s="4">
        <v>0</v>
      </c>
      <c r="M1591" s="4">
        <v>1</v>
      </c>
      <c r="N1591" s="4">
        <v>0</v>
      </c>
      <c r="O1591" s="4">
        <v>0</v>
      </c>
    </row>
    <row r="1592" spans="1:15" x14ac:dyDescent="0.15">
      <c r="A1592" s="4">
        <v>1589</v>
      </c>
      <c r="B1592" s="4">
        <v>29</v>
      </c>
      <c r="C1592" s="4">
        <v>3</v>
      </c>
      <c r="D1592" s="4">
        <v>55</v>
      </c>
      <c r="E1592" s="4">
        <v>3</v>
      </c>
      <c r="F1592" s="8">
        <v>1.1000000000000001</v>
      </c>
      <c r="G1592" s="4">
        <v>2</v>
      </c>
      <c r="H1592" s="4">
        <f t="shared" si="48"/>
        <v>0</v>
      </c>
      <c r="I1592" s="4">
        <f t="shared" si="49"/>
        <v>1</v>
      </c>
      <c r="J1592" s="4">
        <v>0</v>
      </c>
      <c r="K1592" s="4">
        <v>0</v>
      </c>
      <c r="L1592" s="4">
        <v>0</v>
      </c>
      <c r="M1592" s="4">
        <v>1</v>
      </c>
      <c r="N1592" s="4">
        <v>0</v>
      </c>
      <c r="O1592" s="4">
        <v>0</v>
      </c>
    </row>
    <row r="1593" spans="1:15" x14ac:dyDescent="0.15">
      <c r="A1593" s="4">
        <v>1590</v>
      </c>
      <c r="B1593" s="4">
        <v>57</v>
      </c>
      <c r="C1593" s="4">
        <v>32</v>
      </c>
      <c r="D1593" s="4">
        <v>124</v>
      </c>
      <c r="E1593" s="4">
        <v>1</v>
      </c>
      <c r="F1593" s="8">
        <v>0.2</v>
      </c>
      <c r="G1593" s="4">
        <v>2</v>
      </c>
      <c r="H1593" s="4">
        <f t="shared" si="48"/>
        <v>0</v>
      </c>
      <c r="I1593" s="4">
        <f t="shared" si="49"/>
        <v>1</v>
      </c>
      <c r="J1593" s="4">
        <v>0</v>
      </c>
      <c r="K1593" s="4">
        <v>0</v>
      </c>
      <c r="L1593" s="4">
        <v>0</v>
      </c>
      <c r="M1593" s="4">
        <v>1</v>
      </c>
      <c r="N1593" s="4">
        <v>0</v>
      </c>
      <c r="O1593" s="4">
        <v>1</v>
      </c>
    </row>
    <row r="1594" spans="1:15" x14ac:dyDescent="0.15">
      <c r="A1594" s="4">
        <v>1591</v>
      </c>
      <c r="B1594" s="4">
        <v>49</v>
      </c>
      <c r="C1594" s="4">
        <v>23</v>
      </c>
      <c r="D1594" s="4">
        <v>58</v>
      </c>
      <c r="E1594" s="4">
        <v>4</v>
      </c>
      <c r="F1594" s="8">
        <v>2.6</v>
      </c>
      <c r="G1594" s="4">
        <v>1</v>
      </c>
      <c r="H1594" s="4">
        <f t="shared" si="48"/>
        <v>1</v>
      </c>
      <c r="I1594" s="4">
        <f t="shared" si="49"/>
        <v>0</v>
      </c>
      <c r="J1594" s="4">
        <v>188</v>
      </c>
      <c r="K1594" s="4">
        <v>0</v>
      </c>
      <c r="L1594" s="4">
        <v>0</v>
      </c>
      <c r="M1594" s="4">
        <v>0</v>
      </c>
      <c r="N1594" s="4">
        <v>0</v>
      </c>
      <c r="O1594" s="4">
        <v>0</v>
      </c>
    </row>
    <row r="1595" spans="1:15" x14ac:dyDescent="0.15">
      <c r="A1595" s="4">
        <v>1592</v>
      </c>
      <c r="B1595" s="4">
        <v>39</v>
      </c>
      <c r="C1595" s="4">
        <v>13</v>
      </c>
      <c r="D1595" s="4">
        <v>72</v>
      </c>
      <c r="E1595" s="4">
        <v>2</v>
      </c>
      <c r="F1595" s="8">
        <v>2.8</v>
      </c>
      <c r="G1595" s="4">
        <v>1</v>
      </c>
      <c r="H1595" s="4">
        <f t="shared" si="48"/>
        <v>1</v>
      </c>
      <c r="I1595" s="4">
        <f t="shared" si="49"/>
        <v>0</v>
      </c>
      <c r="J1595" s="4">
        <v>0</v>
      </c>
      <c r="K1595" s="4">
        <v>0</v>
      </c>
      <c r="L1595" s="4">
        <v>0</v>
      </c>
      <c r="M1595" s="4">
        <v>1</v>
      </c>
      <c r="N1595" s="4">
        <v>0</v>
      </c>
      <c r="O1595" s="4">
        <v>0</v>
      </c>
    </row>
    <row r="1596" spans="1:15" x14ac:dyDescent="0.15">
      <c r="A1596" s="4">
        <v>1593</v>
      </c>
      <c r="B1596" s="4">
        <v>56</v>
      </c>
      <c r="C1596" s="4">
        <v>31</v>
      </c>
      <c r="D1596" s="4">
        <v>192</v>
      </c>
      <c r="E1596" s="4">
        <v>1</v>
      </c>
      <c r="F1596" s="8">
        <v>7</v>
      </c>
      <c r="G1596" s="4">
        <v>3</v>
      </c>
      <c r="H1596" s="4">
        <f t="shared" si="48"/>
        <v>0</v>
      </c>
      <c r="I1596" s="4">
        <f t="shared" si="49"/>
        <v>0</v>
      </c>
      <c r="J1596" s="4">
        <v>0</v>
      </c>
      <c r="K1596" s="4">
        <v>0</v>
      </c>
      <c r="L1596" s="4">
        <v>1</v>
      </c>
      <c r="M1596" s="4">
        <v>1</v>
      </c>
      <c r="N1596" s="4">
        <v>0</v>
      </c>
      <c r="O1596" s="4">
        <v>1</v>
      </c>
    </row>
    <row r="1597" spans="1:15" x14ac:dyDescent="0.15">
      <c r="A1597" s="4">
        <v>1594</v>
      </c>
      <c r="B1597" s="4">
        <v>63</v>
      </c>
      <c r="C1597" s="4">
        <v>38</v>
      </c>
      <c r="D1597" s="4">
        <v>83</v>
      </c>
      <c r="E1597" s="4">
        <v>3</v>
      </c>
      <c r="F1597" s="8">
        <v>1.8</v>
      </c>
      <c r="G1597" s="4">
        <v>2</v>
      </c>
      <c r="H1597" s="4">
        <f t="shared" si="48"/>
        <v>0</v>
      </c>
      <c r="I1597" s="4">
        <f t="shared" si="49"/>
        <v>1</v>
      </c>
      <c r="J1597" s="4">
        <v>0</v>
      </c>
      <c r="K1597" s="4">
        <v>0</v>
      </c>
      <c r="L1597" s="4">
        <v>0</v>
      </c>
      <c r="M1597" s="4">
        <v>1</v>
      </c>
      <c r="N1597" s="4">
        <v>0</v>
      </c>
      <c r="O1597" s="4">
        <v>0</v>
      </c>
    </row>
    <row r="1598" spans="1:15" x14ac:dyDescent="0.15">
      <c r="A1598" s="4">
        <v>1595</v>
      </c>
      <c r="B1598" s="4">
        <v>37</v>
      </c>
      <c r="C1598" s="4">
        <v>12</v>
      </c>
      <c r="D1598" s="4">
        <v>93</v>
      </c>
      <c r="E1598" s="4">
        <v>1</v>
      </c>
      <c r="F1598" s="8">
        <v>2.8</v>
      </c>
      <c r="G1598" s="4">
        <v>1</v>
      </c>
      <c r="H1598" s="4">
        <f t="shared" si="48"/>
        <v>1</v>
      </c>
      <c r="I1598" s="4">
        <f t="shared" si="49"/>
        <v>0</v>
      </c>
      <c r="J1598" s="4">
        <v>0</v>
      </c>
      <c r="K1598" s="4">
        <v>1</v>
      </c>
      <c r="L1598" s="4">
        <v>0</v>
      </c>
      <c r="M1598" s="4">
        <v>1</v>
      </c>
      <c r="N1598" s="4">
        <v>0</v>
      </c>
      <c r="O1598" s="4">
        <v>0</v>
      </c>
    </row>
    <row r="1599" spans="1:15" x14ac:dyDescent="0.15">
      <c r="A1599" s="4">
        <v>1596</v>
      </c>
      <c r="B1599" s="4">
        <v>56</v>
      </c>
      <c r="C1599" s="4">
        <v>26</v>
      </c>
      <c r="D1599" s="4">
        <v>38</v>
      </c>
      <c r="E1599" s="4">
        <v>3</v>
      </c>
      <c r="F1599" s="8">
        <v>1</v>
      </c>
      <c r="G1599" s="4">
        <v>3</v>
      </c>
      <c r="H1599" s="4">
        <f t="shared" si="48"/>
        <v>0</v>
      </c>
      <c r="I1599" s="4">
        <f t="shared" si="49"/>
        <v>0</v>
      </c>
      <c r="J1599" s="4">
        <v>110</v>
      </c>
      <c r="K1599" s="4">
        <v>1</v>
      </c>
      <c r="L1599" s="4">
        <v>0</v>
      </c>
      <c r="M1599" s="4">
        <v>1</v>
      </c>
      <c r="N1599" s="4">
        <v>0</v>
      </c>
      <c r="O1599" s="4">
        <v>0</v>
      </c>
    </row>
    <row r="1600" spans="1:15" x14ac:dyDescent="0.15">
      <c r="A1600" s="4">
        <v>1597</v>
      </c>
      <c r="B1600" s="4">
        <v>45</v>
      </c>
      <c r="C1600" s="4">
        <v>20</v>
      </c>
      <c r="D1600" s="4">
        <v>55</v>
      </c>
      <c r="E1600" s="4">
        <v>4</v>
      </c>
      <c r="F1600" s="8">
        <v>1.9</v>
      </c>
      <c r="G1600" s="4">
        <v>3</v>
      </c>
      <c r="H1600" s="4">
        <f t="shared" si="48"/>
        <v>0</v>
      </c>
      <c r="I1600" s="4">
        <f t="shared" si="49"/>
        <v>0</v>
      </c>
      <c r="J1600" s="4">
        <v>164</v>
      </c>
      <c r="K1600" s="4">
        <v>1</v>
      </c>
      <c r="L1600" s="4">
        <v>0</v>
      </c>
      <c r="M1600" s="4">
        <v>0</v>
      </c>
      <c r="N1600" s="4">
        <v>0</v>
      </c>
      <c r="O1600" s="4">
        <v>0</v>
      </c>
    </row>
    <row r="1601" spans="1:15" x14ac:dyDescent="0.15">
      <c r="A1601" s="4">
        <v>1598</v>
      </c>
      <c r="B1601" s="4">
        <v>66</v>
      </c>
      <c r="C1601" s="4">
        <v>41</v>
      </c>
      <c r="D1601" s="4">
        <v>11</v>
      </c>
      <c r="E1601" s="4">
        <v>3</v>
      </c>
      <c r="F1601" s="8">
        <v>0.1</v>
      </c>
      <c r="G1601" s="4">
        <v>3</v>
      </c>
      <c r="H1601" s="4">
        <f t="shared" si="48"/>
        <v>0</v>
      </c>
      <c r="I1601" s="4">
        <f t="shared" si="49"/>
        <v>0</v>
      </c>
      <c r="J1601" s="4">
        <v>0</v>
      </c>
      <c r="K1601" s="4">
        <v>1</v>
      </c>
      <c r="L1601" s="4">
        <v>0</v>
      </c>
      <c r="M1601" s="4">
        <v>0</v>
      </c>
      <c r="N1601" s="4">
        <v>1</v>
      </c>
      <c r="O1601" s="4">
        <v>0</v>
      </c>
    </row>
    <row r="1602" spans="1:15" x14ac:dyDescent="0.15">
      <c r="A1602" s="4">
        <v>1599</v>
      </c>
      <c r="B1602" s="4">
        <v>40</v>
      </c>
      <c r="C1602" s="4">
        <v>15</v>
      </c>
      <c r="D1602" s="4">
        <v>85</v>
      </c>
      <c r="E1602" s="4">
        <v>2</v>
      </c>
      <c r="F1602" s="8">
        <v>0.4</v>
      </c>
      <c r="G1602" s="4">
        <v>1</v>
      </c>
      <c r="H1602" s="4">
        <f t="shared" si="48"/>
        <v>1</v>
      </c>
      <c r="I1602" s="4">
        <f t="shared" si="49"/>
        <v>0</v>
      </c>
      <c r="J1602" s="4">
        <v>0</v>
      </c>
      <c r="K1602" s="4">
        <v>1</v>
      </c>
      <c r="L1602" s="4">
        <v>0</v>
      </c>
      <c r="M1602" s="4">
        <v>0</v>
      </c>
      <c r="N1602" s="4">
        <v>0</v>
      </c>
      <c r="O1602" s="4">
        <v>0</v>
      </c>
    </row>
    <row r="1603" spans="1:15" x14ac:dyDescent="0.15">
      <c r="A1603" s="4">
        <v>1600</v>
      </c>
      <c r="B1603" s="4">
        <v>50</v>
      </c>
      <c r="C1603" s="4">
        <v>24</v>
      </c>
      <c r="D1603" s="4">
        <v>124</v>
      </c>
      <c r="E1603" s="4">
        <v>1</v>
      </c>
      <c r="F1603" s="8">
        <v>4.9000000000000004</v>
      </c>
      <c r="G1603" s="4">
        <v>1</v>
      </c>
      <c r="H1603" s="4">
        <f t="shared" si="48"/>
        <v>1</v>
      </c>
      <c r="I1603" s="4">
        <f t="shared" si="49"/>
        <v>0</v>
      </c>
      <c r="J1603" s="4">
        <v>266</v>
      </c>
      <c r="K1603" s="4">
        <v>0</v>
      </c>
      <c r="L1603" s="4">
        <v>0</v>
      </c>
      <c r="M1603" s="4">
        <v>1</v>
      </c>
      <c r="N1603" s="4">
        <v>0</v>
      </c>
      <c r="O1603" s="4">
        <v>0</v>
      </c>
    </row>
    <row r="1604" spans="1:15" x14ac:dyDescent="0.15">
      <c r="A1604" s="4">
        <v>1601</v>
      </c>
      <c r="B1604" s="4">
        <v>60</v>
      </c>
      <c r="C1604" s="4">
        <v>36</v>
      </c>
      <c r="D1604" s="4">
        <v>129</v>
      </c>
      <c r="E1604" s="4">
        <v>2</v>
      </c>
      <c r="F1604" s="8">
        <v>6</v>
      </c>
      <c r="G1604" s="4">
        <v>1</v>
      </c>
      <c r="H1604" s="4">
        <f t="shared" si="48"/>
        <v>1</v>
      </c>
      <c r="I1604" s="4">
        <f t="shared" si="49"/>
        <v>0</v>
      </c>
      <c r="J1604" s="4">
        <v>0</v>
      </c>
      <c r="K1604" s="4">
        <v>0</v>
      </c>
      <c r="L1604" s="4">
        <v>0</v>
      </c>
      <c r="M1604" s="4">
        <v>1</v>
      </c>
      <c r="N1604" s="4">
        <v>0</v>
      </c>
      <c r="O1604" s="4">
        <v>0</v>
      </c>
    </row>
    <row r="1605" spans="1:15" x14ac:dyDescent="0.15">
      <c r="A1605" s="4">
        <v>1602</v>
      </c>
      <c r="B1605" s="4">
        <v>31</v>
      </c>
      <c r="C1605" s="4">
        <v>7</v>
      </c>
      <c r="D1605" s="4">
        <v>180</v>
      </c>
      <c r="E1605" s="4">
        <v>1</v>
      </c>
      <c r="F1605" s="8">
        <v>4.3</v>
      </c>
      <c r="G1605" s="4">
        <v>1</v>
      </c>
      <c r="H1605" s="4">
        <f t="shared" ref="H1605:H1668" si="50">IF(G1605=1,1,0)</f>
        <v>1</v>
      </c>
      <c r="I1605" s="4">
        <f t="shared" ref="I1605:I1668" si="51">IF(G1605=2,1,0)</f>
        <v>0</v>
      </c>
      <c r="J1605" s="4">
        <v>0</v>
      </c>
      <c r="K1605" s="4">
        <v>0</v>
      </c>
      <c r="L1605" s="4">
        <v>0</v>
      </c>
      <c r="M1605" s="4">
        <v>0</v>
      </c>
      <c r="N1605" s="4">
        <v>0</v>
      </c>
      <c r="O1605" s="4">
        <v>0</v>
      </c>
    </row>
    <row r="1606" spans="1:15" x14ac:dyDescent="0.15">
      <c r="A1606" s="4">
        <v>1603</v>
      </c>
      <c r="B1606" s="4">
        <v>40</v>
      </c>
      <c r="C1606" s="4">
        <v>14</v>
      </c>
      <c r="D1606" s="4">
        <v>74</v>
      </c>
      <c r="E1606" s="4">
        <v>4</v>
      </c>
      <c r="F1606" s="8">
        <v>1.4</v>
      </c>
      <c r="G1606" s="4">
        <v>2</v>
      </c>
      <c r="H1606" s="4">
        <f t="shared" si="50"/>
        <v>0</v>
      </c>
      <c r="I1606" s="4">
        <f t="shared" si="51"/>
        <v>1</v>
      </c>
      <c r="J1606" s="4">
        <v>0</v>
      </c>
      <c r="K1606" s="4">
        <v>0</v>
      </c>
      <c r="L1606" s="4">
        <v>0</v>
      </c>
      <c r="M1606" s="4">
        <v>1</v>
      </c>
      <c r="N1606" s="4">
        <v>0</v>
      </c>
      <c r="O1606" s="4">
        <v>0</v>
      </c>
    </row>
    <row r="1607" spans="1:15" x14ac:dyDescent="0.15">
      <c r="A1607" s="4">
        <v>1604</v>
      </c>
      <c r="B1607" s="4">
        <v>36</v>
      </c>
      <c r="C1607" s="4">
        <v>6</v>
      </c>
      <c r="D1607" s="4">
        <v>138</v>
      </c>
      <c r="E1607" s="4">
        <v>1</v>
      </c>
      <c r="F1607" s="8">
        <v>7</v>
      </c>
      <c r="G1607" s="4">
        <v>3</v>
      </c>
      <c r="H1607" s="4">
        <f t="shared" si="50"/>
        <v>0</v>
      </c>
      <c r="I1607" s="4">
        <f t="shared" si="51"/>
        <v>0</v>
      </c>
      <c r="J1607" s="4">
        <v>86</v>
      </c>
      <c r="K1607" s="4">
        <v>0</v>
      </c>
      <c r="L1607" s="4">
        <v>0</v>
      </c>
      <c r="M1607" s="4">
        <v>1</v>
      </c>
      <c r="N1607" s="4">
        <v>0</v>
      </c>
      <c r="O1607" s="4">
        <v>1</v>
      </c>
    </row>
    <row r="1608" spans="1:15" x14ac:dyDescent="0.15">
      <c r="A1608" s="4">
        <v>1605</v>
      </c>
      <c r="B1608" s="4">
        <v>55</v>
      </c>
      <c r="C1608" s="4">
        <v>29</v>
      </c>
      <c r="D1608" s="4">
        <v>111</v>
      </c>
      <c r="E1608" s="4">
        <v>2</v>
      </c>
      <c r="F1608" s="8">
        <v>3.6</v>
      </c>
      <c r="G1608" s="4">
        <v>3</v>
      </c>
      <c r="H1608" s="4">
        <f t="shared" si="50"/>
        <v>0</v>
      </c>
      <c r="I1608" s="4">
        <f t="shared" si="51"/>
        <v>0</v>
      </c>
      <c r="J1608" s="4">
        <v>0</v>
      </c>
      <c r="K1608" s="4">
        <v>0</v>
      </c>
      <c r="L1608" s="4">
        <v>0</v>
      </c>
      <c r="M1608" s="4">
        <v>0</v>
      </c>
      <c r="N1608" s="4">
        <v>1</v>
      </c>
      <c r="O1608" s="4">
        <v>1</v>
      </c>
    </row>
    <row r="1609" spans="1:15" x14ac:dyDescent="0.15">
      <c r="A1609" s="4">
        <v>1606</v>
      </c>
      <c r="B1609" s="4">
        <v>54</v>
      </c>
      <c r="C1609" s="4">
        <v>28</v>
      </c>
      <c r="D1609" s="4">
        <v>83</v>
      </c>
      <c r="E1609" s="4">
        <v>3</v>
      </c>
      <c r="F1609" s="8">
        <v>0.8</v>
      </c>
      <c r="G1609" s="4">
        <v>1</v>
      </c>
      <c r="H1609" s="4">
        <f t="shared" si="50"/>
        <v>1</v>
      </c>
      <c r="I1609" s="4">
        <f t="shared" si="51"/>
        <v>0</v>
      </c>
      <c r="J1609" s="4">
        <v>0</v>
      </c>
      <c r="K1609" s="4">
        <v>0</v>
      </c>
      <c r="L1609" s="4">
        <v>0</v>
      </c>
      <c r="M1609" s="4">
        <v>1</v>
      </c>
      <c r="N1609" s="4">
        <v>0</v>
      </c>
      <c r="O1609" s="4">
        <v>0</v>
      </c>
    </row>
    <row r="1610" spans="1:15" x14ac:dyDescent="0.15">
      <c r="A1610" s="4">
        <v>1607</v>
      </c>
      <c r="B1610" s="4">
        <v>35</v>
      </c>
      <c r="C1610" s="4">
        <v>10</v>
      </c>
      <c r="D1610" s="4">
        <v>33</v>
      </c>
      <c r="E1610" s="4">
        <v>4</v>
      </c>
      <c r="F1610" s="8">
        <v>1.7</v>
      </c>
      <c r="G1610" s="4">
        <v>1</v>
      </c>
      <c r="H1610" s="4">
        <f t="shared" si="50"/>
        <v>1</v>
      </c>
      <c r="I1610" s="4">
        <f t="shared" si="51"/>
        <v>0</v>
      </c>
      <c r="J1610" s="4">
        <v>87</v>
      </c>
      <c r="K1610" s="4">
        <v>0</v>
      </c>
      <c r="L1610" s="4">
        <v>0</v>
      </c>
      <c r="M1610" s="4">
        <v>1</v>
      </c>
      <c r="N1610" s="4">
        <v>0</v>
      </c>
      <c r="O1610" s="4">
        <v>0</v>
      </c>
    </row>
    <row r="1611" spans="1:15" x14ac:dyDescent="0.15">
      <c r="A1611" s="4">
        <v>1608</v>
      </c>
      <c r="B1611" s="4">
        <v>55</v>
      </c>
      <c r="C1611" s="4">
        <v>29</v>
      </c>
      <c r="D1611" s="4">
        <v>21</v>
      </c>
      <c r="E1611" s="4">
        <v>4</v>
      </c>
      <c r="F1611" s="8">
        <v>0.7</v>
      </c>
      <c r="G1611" s="4">
        <v>3</v>
      </c>
      <c r="H1611" s="4">
        <f t="shared" si="50"/>
        <v>0</v>
      </c>
      <c r="I1611" s="4">
        <f t="shared" si="51"/>
        <v>0</v>
      </c>
      <c r="J1611" s="4">
        <v>0</v>
      </c>
      <c r="K1611" s="4">
        <v>0</v>
      </c>
      <c r="L1611" s="4">
        <v>0</v>
      </c>
      <c r="M1611" s="4">
        <v>0</v>
      </c>
      <c r="N1611" s="4">
        <v>0</v>
      </c>
      <c r="O1611" s="4">
        <v>0</v>
      </c>
    </row>
    <row r="1612" spans="1:15" x14ac:dyDescent="0.15">
      <c r="A1612" s="4">
        <v>1609</v>
      </c>
      <c r="B1612" s="4">
        <v>36</v>
      </c>
      <c r="C1612" s="4">
        <v>10</v>
      </c>
      <c r="D1612" s="4">
        <v>35</v>
      </c>
      <c r="E1612" s="4">
        <v>2</v>
      </c>
      <c r="F1612" s="8">
        <v>0.3</v>
      </c>
      <c r="G1612" s="4">
        <v>1</v>
      </c>
      <c r="H1612" s="4">
        <f t="shared" si="50"/>
        <v>1</v>
      </c>
      <c r="I1612" s="4">
        <f t="shared" si="51"/>
        <v>0</v>
      </c>
      <c r="J1612" s="4">
        <v>98</v>
      </c>
      <c r="K1612" s="4">
        <v>0</v>
      </c>
      <c r="L1612" s="4">
        <v>0</v>
      </c>
      <c r="M1612" s="4">
        <v>1</v>
      </c>
      <c r="N1612" s="4">
        <v>0</v>
      </c>
      <c r="O1612" s="4">
        <v>0</v>
      </c>
    </row>
    <row r="1613" spans="1:15" x14ac:dyDescent="0.15">
      <c r="A1613" s="4">
        <v>1610</v>
      </c>
      <c r="B1613" s="4">
        <v>66</v>
      </c>
      <c r="C1613" s="4">
        <v>41</v>
      </c>
      <c r="D1613" s="4">
        <v>105</v>
      </c>
      <c r="E1613" s="4">
        <v>1</v>
      </c>
      <c r="F1613" s="8">
        <v>0.8</v>
      </c>
      <c r="G1613" s="4">
        <v>3</v>
      </c>
      <c r="H1613" s="4">
        <f t="shared" si="50"/>
        <v>0</v>
      </c>
      <c r="I1613" s="4">
        <f t="shared" si="51"/>
        <v>0</v>
      </c>
      <c r="J1613" s="4">
        <v>0</v>
      </c>
      <c r="K1613" s="4">
        <v>1</v>
      </c>
      <c r="L1613" s="4">
        <v>1</v>
      </c>
      <c r="M1613" s="4">
        <v>1</v>
      </c>
      <c r="N1613" s="4">
        <v>1</v>
      </c>
      <c r="O1613" s="4">
        <v>0</v>
      </c>
    </row>
    <row r="1614" spans="1:15" x14ac:dyDescent="0.15">
      <c r="A1614" s="4">
        <v>1611</v>
      </c>
      <c r="B1614" s="4">
        <v>38</v>
      </c>
      <c r="C1614" s="4">
        <v>14</v>
      </c>
      <c r="D1614" s="4">
        <v>103</v>
      </c>
      <c r="E1614" s="4">
        <v>1</v>
      </c>
      <c r="F1614" s="8">
        <v>0.8</v>
      </c>
      <c r="G1614" s="4">
        <v>2</v>
      </c>
      <c r="H1614" s="4">
        <f t="shared" si="50"/>
        <v>0</v>
      </c>
      <c r="I1614" s="4">
        <f t="shared" si="51"/>
        <v>1</v>
      </c>
      <c r="J1614" s="4">
        <v>0</v>
      </c>
      <c r="K1614" s="4">
        <v>0</v>
      </c>
      <c r="L1614" s="4">
        <v>0</v>
      </c>
      <c r="M1614" s="4">
        <v>0</v>
      </c>
      <c r="N1614" s="4">
        <v>1</v>
      </c>
      <c r="O1614" s="4">
        <v>0</v>
      </c>
    </row>
    <row r="1615" spans="1:15" x14ac:dyDescent="0.15">
      <c r="A1615" s="4">
        <v>1612</v>
      </c>
      <c r="B1615" s="4">
        <v>58</v>
      </c>
      <c r="C1615" s="4">
        <v>32</v>
      </c>
      <c r="D1615" s="4">
        <v>75</v>
      </c>
      <c r="E1615" s="4">
        <v>2</v>
      </c>
      <c r="F1615" s="8">
        <v>2.2999999999999998</v>
      </c>
      <c r="G1615" s="4">
        <v>3</v>
      </c>
      <c r="H1615" s="4">
        <f t="shared" si="50"/>
        <v>0</v>
      </c>
      <c r="I1615" s="4">
        <f t="shared" si="51"/>
        <v>0</v>
      </c>
      <c r="J1615" s="4">
        <v>0</v>
      </c>
      <c r="K1615" s="4">
        <v>0</v>
      </c>
      <c r="L1615" s="4">
        <v>0</v>
      </c>
      <c r="M1615" s="4">
        <v>0</v>
      </c>
      <c r="N1615" s="4">
        <v>0</v>
      </c>
      <c r="O1615" s="4">
        <v>0</v>
      </c>
    </row>
    <row r="1616" spans="1:15" x14ac:dyDescent="0.15">
      <c r="A1616" s="4">
        <v>1613</v>
      </c>
      <c r="B1616" s="4">
        <v>41</v>
      </c>
      <c r="C1616" s="4">
        <v>17</v>
      </c>
      <c r="D1616" s="4">
        <v>33</v>
      </c>
      <c r="E1616" s="4">
        <v>1</v>
      </c>
      <c r="F1616" s="8">
        <v>0.7</v>
      </c>
      <c r="G1616" s="4">
        <v>1</v>
      </c>
      <c r="H1616" s="4">
        <f t="shared" si="50"/>
        <v>1</v>
      </c>
      <c r="I1616" s="4">
        <f t="shared" si="51"/>
        <v>0</v>
      </c>
      <c r="J1616" s="4">
        <v>104</v>
      </c>
      <c r="K1616" s="4">
        <v>0</v>
      </c>
      <c r="L1616" s="4">
        <v>0</v>
      </c>
      <c r="M1616" s="4">
        <v>0</v>
      </c>
      <c r="N1616" s="4">
        <v>0</v>
      </c>
      <c r="O1616" s="4">
        <v>0</v>
      </c>
    </row>
    <row r="1617" spans="1:15" x14ac:dyDescent="0.15">
      <c r="A1617" s="4">
        <v>1614</v>
      </c>
      <c r="B1617" s="4">
        <v>60</v>
      </c>
      <c r="C1617" s="4">
        <v>34</v>
      </c>
      <c r="D1617" s="4">
        <v>52</v>
      </c>
      <c r="E1617" s="4">
        <v>4</v>
      </c>
      <c r="F1617" s="8">
        <v>1.7</v>
      </c>
      <c r="G1617" s="4">
        <v>2</v>
      </c>
      <c r="H1617" s="4">
        <f t="shared" si="50"/>
        <v>0</v>
      </c>
      <c r="I1617" s="4">
        <f t="shared" si="51"/>
        <v>1</v>
      </c>
      <c r="J1617" s="4">
        <v>0</v>
      </c>
      <c r="K1617" s="4">
        <v>1</v>
      </c>
      <c r="L1617" s="4">
        <v>0</v>
      </c>
      <c r="M1617" s="4">
        <v>1</v>
      </c>
      <c r="N1617" s="4">
        <v>0</v>
      </c>
      <c r="O1617" s="4">
        <v>0</v>
      </c>
    </row>
    <row r="1618" spans="1:15" x14ac:dyDescent="0.15">
      <c r="A1618" s="4">
        <v>1615</v>
      </c>
      <c r="B1618" s="4">
        <v>47</v>
      </c>
      <c r="C1618" s="4">
        <v>23</v>
      </c>
      <c r="D1618" s="4">
        <v>89</v>
      </c>
      <c r="E1618" s="4">
        <v>1</v>
      </c>
      <c r="F1618" s="8">
        <v>2.6</v>
      </c>
      <c r="G1618" s="4">
        <v>2</v>
      </c>
      <c r="H1618" s="4">
        <f t="shared" si="50"/>
        <v>0</v>
      </c>
      <c r="I1618" s="4">
        <f t="shared" si="51"/>
        <v>1</v>
      </c>
      <c r="J1618" s="4">
        <v>0</v>
      </c>
      <c r="K1618" s="4">
        <v>1</v>
      </c>
      <c r="L1618" s="4">
        <v>1</v>
      </c>
      <c r="M1618" s="4">
        <v>1</v>
      </c>
      <c r="N1618" s="4">
        <v>1</v>
      </c>
      <c r="O1618" s="4">
        <v>0</v>
      </c>
    </row>
    <row r="1619" spans="1:15" x14ac:dyDescent="0.15">
      <c r="A1619" s="4">
        <v>1616</v>
      </c>
      <c r="B1619" s="4">
        <v>62</v>
      </c>
      <c r="C1619" s="4">
        <v>36</v>
      </c>
      <c r="D1619" s="4">
        <v>63</v>
      </c>
      <c r="E1619" s="4">
        <v>1</v>
      </c>
      <c r="F1619" s="8">
        <v>2.5</v>
      </c>
      <c r="G1619" s="4">
        <v>3</v>
      </c>
      <c r="H1619" s="4">
        <f t="shared" si="50"/>
        <v>0</v>
      </c>
      <c r="I1619" s="4">
        <f t="shared" si="51"/>
        <v>0</v>
      </c>
      <c r="J1619" s="4">
        <v>0</v>
      </c>
      <c r="K1619" s="4">
        <v>0</v>
      </c>
      <c r="L1619" s="4">
        <v>0</v>
      </c>
      <c r="M1619" s="4">
        <v>0</v>
      </c>
      <c r="N1619" s="4">
        <v>0</v>
      </c>
      <c r="O1619" s="4">
        <v>0</v>
      </c>
    </row>
    <row r="1620" spans="1:15" x14ac:dyDescent="0.15">
      <c r="A1620" s="4">
        <v>1617</v>
      </c>
      <c r="B1620" s="4">
        <v>48</v>
      </c>
      <c r="C1620" s="4">
        <v>23</v>
      </c>
      <c r="D1620" s="4">
        <v>84</v>
      </c>
      <c r="E1620" s="4">
        <v>4</v>
      </c>
      <c r="F1620" s="8">
        <v>3.1</v>
      </c>
      <c r="G1620" s="4">
        <v>2</v>
      </c>
      <c r="H1620" s="4">
        <f t="shared" si="50"/>
        <v>0</v>
      </c>
      <c r="I1620" s="4">
        <f t="shared" si="51"/>
        <v>1</v>
      </c>
      <c r="J1620" s="4">
        <v>0</v>
      </c>
      <c r="K1620" s="4">
        <v>1</v>
      </c>
      <c r="L1620" s="4">
        <v>1</v>
      </c>
      <c r="M1620" s="4">
        <v>1</v>
      </c>
      <c r="N1620" s="4">
        <v>0</v>
      </c>
      <c r="O1620" s="4">
        <v>1</v>
      </c>
    </row>
    <row r="1621" spans="1:15" x14ac:dyDescent="0.15">
      <c r="A1621" s="4">
        <v>1618</v>
      </c>
      <c r="B1621" s="4">
        <v>61</v>
      </c>
      <c r="C1621" s="4">
        <v>36</v>
      </c>
      <c r="D1621" s="4">
        <v>44</v>
      </c>
      <c r="E1621" s="4">
        <v>4</v>
      </c>
      <c r="F1621" s="8">
        <v>2.1</v>
      </c>
      <c r="G1621" s="4">
        <v>1</v>
      </c>
      <c r="H1621" s="4">
        <f t="shared" si="50"/>
        <v>1</v>
      </c>
      <c r="I1621" s="4">
        <f t="shared" si="51"/>
        <v>0</v>
      </c>
      <c r="J1621" s="4">
        <v>0</v>
      </c>
      <c r="K1621" s="4">
        <v>0</v>
      </c>
      <c r="L1621" s="4">
        <v>0</v>
      </c>
      <c r="M1621" s="4">
        <v>0</v>
      </c>
      <c r="N1621" s="4">
        <v>0</v>
      </c>
      <c r="O1621" s="4">
        <v>0</v>
      </c>
    </row>
    <row r="1622" spans="1:15" x14ac:dyDescent="0.15">
      <c r="A1622" s="4">
        <v>1619</v>
      </c>
      <c r="B1622" s="4">
        <v>29</v>
      </c>
      <c r="C1622" s="4">
        <v>3</v>
      </c>
      <c r="D1622" s="4">
        <v>29</v>
      </c>
      <c r="E1622" s="4">
        <v>3</v>
      </c>
      <c r="F1622" s="8">
        <v>1</v>
      </c>
      <c r="G1622" s="4">
        <v>1</v>
      </c>
      <c r="H1622" s="4">
        <f t="shared" si="50"/>
        <v>1</v>
      </c>
      <c r="I1622" s="4">
        <f t="shared" si="51"/>
        <v>0</v>
      </c>
      <c r="J1622" s="4">
        <v>0</v>
      </c>
      <c r="K1622" s="4">
        <v>0</v>
      </c>
      <c r="L1622" s="4">
        <v>0</v>
      </c>
      <c r="M1622" s="4">
        <v>1</v>
      </c>
      <c r="N1622" s="4">
        <v>1</v>
      </c>
      <c r="O1622" s="4">
        <v>0</v>
      </c>
    </row>
    <row r="1623" spans="1:15" x14ac:dyDescent="0.15">
      <c r="A1623" s="4">
        <v>1620</v>
      </c>
      <c r="B1623" s="4">
        <v>45</v>
      </c>
      <c r="C1623" s="4">
        <v>21</v>
      </c>
      <c r="D1623" s="4">
        <v>29</v>
      </c>
      <c r="E1623" s="4">
        <v>1</v>
      </c>
      <c r="F1623" s="8">
        <v>0.3</v>
      </c>
      <c r="G1623" s="4">
        <v>3</v>
      </c>
      <c r="H1623" s="4">
        <f t="shared" si="50"/>
        <v>0</v>
      </c>
      <c r="I1623" s="4">
        <f t="shared" si="51"/>
        <v>0</v>
      </c>
      <c r="J1623" s="4">
        <v>0</v>
      </c>
      <c r="K1623" s="4">
        <v>0</v>
      </c>
      <c r="L1623" s="4">
        <v>0</v>
      </c>
      <c r="M1623" s="4">
        <v>1</v>
      </c>
      <c r="N1623" s="4">
        <v>0</v>
      </c>
      <c r="O1623" s="4">
        <v>0</v>
      </c>
    </row>
    <row r="1624" spans="1:15" x14ac:dyDescent="0.15">
      <c r="A1624" s="4">
        <v>1621</v>
      </c>
      <c r="B1624" s="4">
        <v>39</v>
      </c>
      <c r="C1624" s="4">
        <v>14</v>
      </c>
      <c r="D1624" s="4">
        <v>22</v>
      </c>
      <c r="E1624" s="4">
        <v>2</v>
      </c>
      <c r="F1624" s="8">
        <v>0.3</v>
      </c>
      <c r="G1624" s="4">
        <v>2</v>
      </c>
      <c r="H1624" s="4">
        <f t="shared" si="50"/>
        <v>0</v>
      </c>
      <c r="I1624" s="4">
        <f t="shared" si="51"/>
        <v>1</v>
      </c>
      <c r="J1624" s="4">
        <v>0</v>
      </c>
      <c r="K1624" s="4">
        <v>0</v>
      </c>
      <c r="L1624" s="4">
        <v>0</v>
      </c>
      <c r="M1624" s="4">
        <v>1</v>
      </c>
      <c r="N1624" s="4">
        <v>0</v>
      </c>
      <c r="O1624" s="4">
        <v>0</v>
      </c>
    </row>
    <row r="1625" spans="1:15" x14ac:dyDescent="0.15">
      <c r="A1625" s="4">
        <v>1622</v>
      </c>
      <c r="B1625" s="4">
        <v>31</v>
      </c>
      <c r="C1625" s="4">
        <v>6</v>
      </c>
      <c r="D1625" s="4">
        <v>53</v>
      </c>
      <c r="E1625" s="4">
        <v>4</v>
      </c>
      <c r="F1625" s="8">
        <v>2.2000000000000002</v>
      </c>
      <c r="G1625" s="4">
        <v>1</v>
      </c>
      <c r="H1625" s="4">
        <f t="shared" si="50"/>
        <v>1</v>
      </c>
      <c r="I1625" s="4">
        <f t="shared" si="51"/>
        <v>0</v>
      </c>
      <c r="J1625" s="4">
        <v>114</v>
      </c>
      <c r="K1625" s="4">
        <v>0</v>
      </c>
      <c r="L1625" s="4">
        <v>0</v>
      </c>
      <c r="M1625" s="4">
        <v>1</v>
      </c>
      <c r="N1625" s="4">
        <v>0</v>
      </c>
      <c r="O1625" s="4">
        <v>0</v>
      </c>
    </row>
    <row r="1626" spans="1:15" x14ac:dyDescent="0.15">
      <c r="A1626" s="4">
        <v>1623</v>
      </c>
      <c r="B1626" s="4">
        <v>39</v>
      </c>
      <c r="C1626" s="4">
        <v>14</v>
      </c>
      <c r="D1626" s="4">
        <v>24</v>
      </c>
      <c r="E1626" s="4">
        <v>2</v>
      </c>
      <c r="F1626" s="8">
        <v>0.3</v>
      </c>
      <c r="G1626" s="4">
        <v>2</v>
      </c>
      <c r="H1626" s="4">
        <f t="shared" si="50"/>
        <v>0</v>
      </c>
      <c r="I1626" s="4">
        <f t="shared" si="51"/>
        <v>1</v>
      </c>
      <c r="J1626" s="4">
        <v>0</v>
      </c>
      <c r="K1626" s="4">
        <v>0</v>
      </c>
      <c r="L1626" s="4">
        <v>0</v>
      </c>
      <c r="M1626" s="4">
        <v>1</v>
      </c>
      <c r="N1626" s="4">
        <v>0</v>
      </c>
      <c r="O1626" s="4">
        <v>0</v>
      </c>
    </row>
    <row r="1627" spans="1:15" x14ac:dyDescent="0.15">
      <c r="A1627" s="4">
        <v>1624</v>
      </c>
      <c r="B1627" s="4">
        <v>63</v>
      </c>
      <c r="C1627" s="4">
        <v>38</v>
      </c>
      <c r="D1627" s="4">
        <v>153</v>
      </c>
      <c r="E1627" s="4">
        <v>1</v>
      </c>
      <c r="F1627" s="8">
        <v>1.3</v>
      </c>
      <c r="G1627" s="4">
        <v>1</v>
      </c>
      <c r="H1627" s="4">
        <f t="shared" si="50"/>
        <v>1</v>
      </c>
      <c r="I1627" s="4">
        <f t="shared" si="51"/>
        <v>0</v>
      </c>
      <c r="J1627" s="4">
        <v>455</v>
      </c>
      <c r="K1627" s="4">
        <v>0</v>
      </c>
      <c r="L1627" s="4">
        <v>0</v>
      </c>
      <c r="M1627" s="4">
        <v>0</v>
      </c>
      <c r="N1627" s="4">
        <v>0</v>
      </c>
      <c r="O1627" s="4">
        <v>0</v>
      </c>
    </row>
    <row r="1628" spans="1:15" x14ac:dyDescent="0.15">
      <c r="A1628" s="4">
        <v>1625</v>
      </c>
      <c r="B1628" s="4">
        <v>28</v>
      </c>
      <c r="C1628" s="4">
        <v>2</v>
      </c>
      <c r="D1628" s="4">
        <v>31</v>
      </c>
      <c r="E1628" s="4">
        <v>2</v>
      </c>
      <c r="F1628" s="8">
        <v>0.3</v>
      </c>
      <c r="G1628" s="4">
        <v>2</v>
      </c>
      <c r="H1628" s="4">
        <f t="shared" si="50"/>
        <v>0</v>
      </c>
      <c r="I1628" s="4">
        <f t="shared" si="51"/>
        <v>1</v>
      </c>
      <c r="J1628" s="4">
        <v>0</v>
      </c>
      <c r="K1628" s="4">
        <v>1</v>
      </c>
      <c r="L1628" s="4">
        <v>0</v>
      </c>
      <c r="M1628" s="4">
        <v>1</v>
      </c>
      <c r="N1628" s="4">
        <v>0</v>
      </c>
      <c r="O1628" s="4">
        <v>0</v>
      </c>
    </row>
    <row r="1629" spans="1:15" x14ac:dyDescent="0.15">
      <c r="A1629" s="4">
        <v>1626</v>
      </c>
      <c r="B1629" s="4">
        <v>56</v>
      </c>
      <c r="C1629" s="4">
        <v>30</v>
      </c>
      <c r="D1629" s="4">
        <v>21</v>
      </c>
      <c r="E1629" s="4">
        <v>2</v>
      </c>
      <c r="F1629" s="8">
        <v>0.7</v>
      </c>
      <c r="G1629" s="4">
        <v>2</v>
      </c>
      <c r="H1629" s="4">
        <f t="shared" si="50"/>
        <v>0</v>
      </c>
      <c r="I1629" s="4">
        <f t="shared" si="51"/>
        <v>1</v>
      </c>
      <c r="J1629" s="4">
        <v>0</v>
      </c>
      <c r="K1629" s="4">
        <v>0</v>
      </c>
      <c r="L1629" s="4">
        <v>0</v>
      </c>
      <c r="M1629" s="4">
        <v>1</v>
      </c>
      <c r="N1629" s="4">
        <v>0</v>
      </c>
      <c r="O1629" s="4">
        <v>0</v>
      </c>
    </row>
    <row r="1630" spans="1:15" x14ac:dyDescent="0.15">
      <c r="A1630" s="4">
        <v>1627</v>
      </c>
      <c r="B1630" s="4">
        <v>31</v>
      </c>
      <c r="C1630" s="4">
        <v>6</v>
      </c>
      <c r="D1630" s="4">
        <v>180</v>
      </c>
      <c r="E1630" s="4">
        <v>2</v>
      </c>
      <c r="F1630" s="8">
        <v>6.7</v>
      </c>
      <c r="G1630" s="4">
        <v>1</v>
      </c>
      <c r="H1630" s="4">
        <f t="shared" si="50"/>
        <v>1</v>
      </c>
      <c r="I1630" s="4">
        <f t="shared" si="51"/>
        <v>0</v>
      </c>
      <c r="J1630" s="4">
        <v>0</v>
      </c>
      <c r="K1630" s="4">
        <v>0</v>
      </c>
      <c r="L1630" s="4">
        <v>0</v>
      </c>
      <c r="M1630" s="4">
        <v>0</v>
      </c>
      <c r="N1630" s="4">
        <v>0</v>
      </c>
      <c r="O1630" s="4">
        <v>0</v>
      </c>
    </row>
    <row r="1631" spans="1:15" x14ac:dyDescent="0.15">
      <c r="A1631" s="4">
        <v>1628</v>
      </c>
      <c r="B1631" s="4">
        <v>46</v>
      </c>
      <c r="C1631" s="4">
        <v>20</v>
      </c>
      <c r="D1631" s="4">
        <v>82</v>
      </c>
      <c r="E1631" s="4">
        <v>3</v>
      </c>
      <c r="F1631" s="8">
        <v>0.7</v>
      </c>
      <c r="G1631" s="4">
        <v>2</v>
      </c>
      <c r="H1631" s="4">
        <f t="shared" si="50"/>
        <v>0</v>
      </c>
      <c r="I1631" s="4">
        <f t="shared" si="51"/>
        <v>1</v>
      </c>
      <c r="J1631" s="4">
        <v>0</v>
      </c>
      <c r="K1631" s="4">
        <v>0</v>
      </c>
      <c r="L1631" s="4">
        <v>0</v>
      </c>
      <c r="M1631" s="4">
        <v>1</v>
      </c>
      <c r="N1631" s="4">
        <v>1</v>
      </c>
      <c r="O1631" s="4">
        <v>0</v>
      </c>
    </row>
    <row r="1632" spans="1:15" x14ac:dyDescent="0.15">
      <c r="A1632" s="4">
        <v>1629</v>
      </c>
      <c r="B1632" s="4">
        <v>42</v>
      </c>
      <c r="C1632" s="4">
        <v>18</v>
      </c>
      <c r="D1632" s="4">
        <v>90</v>
      </c>
      <c r="E1632" s="4">
        <v>4</v>
      </c>
      <c r="F1632" s="8">
        <v>0.8</v>
      </c>
      <c r="G1632" s="4">
        <v>1</v>
      </c>
      <c r="H1632" s="4">
        <f t="shared" si="50"/>
        <v>1</v>
      </c>
      <c r="I1632" s="4">
        <f t="shared" si="51"/>
        <v>0</v>
      </c>
      <c r="J1632" s="4">
        <v>245</v>
      </c>
      <c r="K1632" s="4">
        <v>1</v>
      </c>
      <c r="L1632" s="4">
        <v>0</v>
      </c>
      <c r="M1632" s="4">
        <v>0</v>
      </c>
      <c r="N1632" s="4">
        <v>0</v>
      </c>
      <c r="O1632" s="4">
        <v>0</v>
      </c>
    </row>
    <row r="1633" spans="1:15" x14ac:dyDescent="0.15">
      <c r="A1633" s="4">
        <v>1630</v>
      </c>
      <c r="B1633" s="4">
        <v>53</v>
      </c>
      <c r="C1633" s="4">
        <v>29</v>
      </c>
      <c r="D1633" s="4">
        <v>154</v>
      </c>
      <c r="E1633" s="4">
        <v>4</v>
      </c>
      <c r="F1633" s="8">
        <v>7.4</v>
      </c>
      <c r="G1633" s="4">
        <v>3</v>
      </c>
      <c r="H1633" s="4">
        <f t="shared" si="50"/>
        <v>0</v>
      </c>
      <c r="I1633" s="4">
        <f t="shared" si="51"/>
        <v>0</v>
      </c>
      <c r="J1633" s="4">
        <v>0</v>
      </c>
      <c r="K1633" s="4">
        <v>0</v>
      </c>
      <c r="L1633" s="4">
        <v>0</v>
      </c>
      <c r="M1633" s="4">
        <v>0</v>
      </c>
      <c r="N1633" s="4">
        <v>0</v>
      </c>
      <c r="O1633" s="4">
        <v>1</v>
      </c>
    </row>
    <row r="1634" spans="1:15" x14ac:dyDescent="0.15">
      <c r="A1634" s="4">
        <v>1631</v>
      </c>
      <c r="B1634" s="4">
        <v>41</v>
      </c>
      <c r="C1634" s="4">
        <v>17</v>
      </c>
      <c r="D1634" s="4">
        <v>99</v>
      </c>
      <c r="E1634" s="4">
        <v>2</v>
      </c>
      <c r="F1634" s="8">
        <v>1.8</v>
      </c>
      <c r="G1634" s="4">
        <v>2</v>
      </c>
      <c r="H1634" s="4">
        <f t="shared" si="50"/>
        <v>0</v>
      </c>
      <c r="I1634" s="4">
        <f t="shared" si="51"/>
        <v>1</v>
      </c>
      <c r="J1634" s="4">
        <v>0</v>
      </c>
      <c r="K1634" s="4">
        <v>0</v>
      </c>
      <c r="L1634" s="4">
        <v>0</v>
      </c>
      <c r="M1634" s="4">
        <v>1</v>
      </c>
      <c r="N1634" s="4">
        <v>1</v>
      </c>
      <c r="O1634" s="4">
        <v>0</v>
      </c>
    </row>
    <row r="1635" spans="1:15" x14ac:dyDescent="0.15">
      <c r="A1635" s="4">
        <v>1632</v>
      </c>
      <c r="B1635" s="4">
        <v>61</v>
      </c>
      <c r="C1635" s="4">
        <v>36</v>
      </c>
      <c r="D1635" s="4">
        <v>153</v>
      </c>
      <c r="E1635" s="4">
        <v>1</v>
      </c>
      <c r="F1635" s="8">
        <v>2.6</v>
      </c>
      <c r="G1635" s="4">
        <v>2</v>
      </c>
      <c r="H1635" s="4">
        <f t="shared" si="50"/>
        <v>0</v>
      </c>
      <c r="I1635" s="4">
        <f t="shared" si="51"/>
        <v>1</v>
      </c>
      <c r="J1635" s="4">
        <v>0</v>
      </c>
      <c r="K1635" s="4">
        <v>1</v>
      </c>
      <c r="L1635" s="4">
        <v>1</v>
      </c>
      <c r="M1635" s="4">
        <v>0</v>
      </c>
      <c r="N1635" s="4">
        <v>1</v>
      </c>
      <c r="O1635" s="4">
        <v>1</v>
      </c>
    </row>
    <row r="1636" spans="1:15" x14ac:dyDescent="0.15">
      <c r="A1636" s="4">
        <v>1633</v>
      </c>
      <c r="B1636" s="4">
        <v>31</v>
      </c>
      <c r="C1636" s="4">
        <v>5</v>
      </c>
      <c r="D1636" s="4">
        <v>93</v>
      </c>
      <c r="E1636" s="4">
        <v>2</v>
      </c>
      <c r="F1636" s="8">
        <v>3.1</v>
      </c>
      <c r="G1636" s="4">
        <v>2</v>
      </c>
      <c r="H1636" s="4">
        <f t="shared" si="50"/>
        <v>0</v>
      </c>
      <c r="I1636" s="4">
        <f t="shared" si="51"/>
        <v>1</v>
      </c>
      <c r="J1636" s="4">
        <v>0</v>
      </c>
      <c r="K1636" s="4">
        <v>0</v>
      </c>
      <c r="L1636" s="4">
        <v>0</v>
      </c>
      <c r="M1636" s="4">
        <v>1</v>
      </c>
      <c r="N1636" s="4">
        <v>0</v>
      </c>
      <c r="O1636" s="4">
        <v>1</v>
      </c>
    </row>
    <row r="1637" spans="1:15" x14ac:dyDescent="0.15">
      <c r="A1637" s="4">
        <v>1634</v>
      </c>
      <c r="B1637" s="4">
        <v>62</v>
      </c>
      <c r="C1637" s="4">
        <v>38</v>
      </c>
      <c r="D1637" s="4">
        <v>53</v>
      </c>
      <c r="E1637" s="4">
        <v>1</v>
      </c>
      <c r="F1637" s="8">
        <v>0</v>
      </c>
      <c r="G1637" s="4">
        <v>2</v>
      </c>
      <c r="H1637" s="4">
        <f t="shared" si="50"/>
        <v>0</v>
      </c>
      <c r="I1637" s="4">
        <f t="shared" si="51"/>
        <v>1</v>
      </c>
      <c r="J1637" s="4">
        <v>0</v>
      </c>
      <c r="K1637" s="4">
        <v>0</v>
      </c>
      <c r="L1637" s="4">
        <v>0</v>
      </c>
      <c r="M1637" s="4">
        <v>0</v>
      </c>
      <c r="N1637" s="4">
        <v>0</v>
      </c>
      <c r="O1637" s="4">
        <v>0</v>
      </c>
    </row>
    <row r="1638" spans="1:15" x14ac:dyDescent="0.15">
      <c r="A1638" s="4">
        <v>1635</v>
      </c>
      <c r="B1638" s="4">
        <v>59</v>
      </c>
      <c r="C1638" s="4">
        <v>34</v>
      </c>
      <c r="D1638" s="4">
        <v>18</v>
      </c>
      <c r="E1638" s="4">
        <v>3</v>
      </c>
      <c r="F1638" s="8">
        <v>1.3</v>
      </c>
      <c r="G1638" s="4">
        <v>2</v>
      </c>
      <c r="H1638" s="4">
        <f t="shared" si="50"/>
        <v>0</v>
      </c>
      <c r="I1638" s="4">
        <f t="shared" si="51"/>
        <v>1</v>
      </c>
      <c r="J1638" s="4">
        <v>104</v>
      </c>
      <c r="K1638" s="4">
        <v>0</v>
      </c>
      <c r="L1638" s="4">
        <v>1</v>
      </c>
      <c r="M1638" s="4">
        <v>1</v>
      </c>
      <c r="N1638" s="4">
        <v>1</v>
      </c>
      <c r="O1638" s="4">
        <v>0</v>
      </c>
    </row>
    <row r="1639" spans="1:15" x14ac:dyDescent="0.15">
      <c r="A1639" s="4">
        <v>1636</v>
      </c>
      <c r="B1639" s="4">
        <v>49</v>
      </c>
      <c r="C1639" s="4">
        <v>24</v>
      </c>
      <c r="D1639" s="4">
        <v>70</v>
      </c>
      <c r="E1639" s="4">
        <v>1</v>
      </c>
      <c r="F1639" s="8">
        <v>2.9</v>
      </c>
      <c r="G1639" s="4">
        <v>1</v>
      </c>
      <c r="H1639" s="4">
        <f t="shared" si="50"/>
        <v>1</v>
      </c>
      <c r="I1639" s="4">
        <f t="shared" si="51"/>
        <v>0</v>
      </c>
      <c r="J1639" s="4">
        <v>0</v>
      </c>
      <c r="K1639" s="4">
        <v>0</v>
      </c>
      <c r="L1639" s="4">
        <v>0</v>
      </c>
      <c r="M1639" s="4">
        <v>0</v>
      </c>
      <c r="N1639" s="4">
        <v>0</v>
      </c>
      <c r="O1639" s="4">
        <v>0</v>
      </c>
    </row>
    <row r="1640" spans="1:15" x14ac:dyDescent="0.15">
      <c r="A1640" s="4">
        <v>1637</v>
      </c>
      <c r="B1640" s="4">
        <v>65</v>
      </c>
      <c r="C1640" s="4">
        <v>39</v>
      </c>
      <c r="D1640" s="4">
        <v>100</v>
      </c>
      <c r="E1640" s="4">
        <v>4</v>
      </c>
      <c r="F1640" s="8">
        <v>1.7</v>
      </c>
      <c r="G1640" s="4">
        <v>3</v>
      </c>
      <c r="H1640" s="4">
        <f t="shared" si="50"/>
        <v>0</v>
      </c>
      <c r="I1640" s="4">
        <f t="shared" si="51"/>
        <v>0</v>
      </c>
      <c r="J1640" s="4">
        <v>0</v>
      </c>
      <c r="K1640" s="4">
        <v>0</v>
      </c>
      <c r="L1640" s="4">
        <v>0</v>
      </c>
      <c r="M1640" s="4">
        <v>0</v>
      </c>
      <c r="N1640" s="4">
        <v>1</v>
      </c>
      <c r="O1640" s="4">
        <v>0</v>
      </c>
    </row>
    <row r="1641" spans="1:15" x14ac:dyDescent="0.15">
      <c r="A1641" s="4">
        <v>1638</v>
      </c>
      <c r="B1641" s="4">
        <v>30</v>
      </c>
      <c r="C1641" s="4">
        <v>6</v>
      </c>
      <c r="D1641" s="4">
        <v>193</v>
      </c>
      <c r="E1641" s="4">
        <v>3</v>
      </c>
      <c r="F1641" s="8">
        <v>6.3</v>
      </c>
      <c r="G1641" s="4">
        <v>3</v>
      </c>
      <c r="H1641" s="4">
        <f t="shared" si="50"/>
        <v>0</v>
      </c>
      <c r="I1641" s="4">
        <f t="shared" si="51"/>
        <v>0</v>
      </c>
      <c r="J1641" s="4">
        <v>0</v>
      </c>
      <c r="K1641" s="4">
        <v>0</v>
      </c>
      <c r="L1641" s="4">
        <v>0</v>
      </c>
      <c r="M1641" s="4">
        <v>1</v>
      </c>
      <c r="N1641" s="4">
        <v>0</v>
      </c>
      <c r="O1641" s="4">
        <v>1</v>
      </c>
    </row>
    <row r="1642" spans="1:15" x14ac:dyDescent="0.15">
      <c r="A1642" s="4">
        <v>1639</v>
      </c>
      <c r="B1642" s="4">
        <v>32</v>
      </c>
      <c r="C1642" s="4">
        <v>7</v>
      </c>
      <c r="D1642" s="4">
        <v>125</v>
      </c>
      <c r="E1642" s="4">
        <v>1</v>
      </c>
      <c r="F1642" s="8">
        <v>0</v>
      </c>
      <c r="G1642" s="4">
        <v>1</v>
      </c>
      <c r="H1642" s="4">
        <f t="shared" si="50"/>
        <v>1</v>
      </c>
      <c r="I1642" s="4">
        <f t="shared" si="51"/>
        <v>0</v>
      </c>
      <c r="J1642" s="4">
        <v>0</v>
      </c>
      <c r="K1642" s="4">
        <v>0</v>
      </c>
      <c r="L1642" s="4">
        <v>0</v>
      </c>
      <c r="M1642" s="4">
        <v>1</v>
      </c>
      <c r="N1642" s="4">
        <v>1</v>
      </c>
      <c r="O1642" s="4">
        <v>0</v>
      </c>
    </row>
    <row r="1643" spans="1:15" x14ac:dyDescent="0.15">
      <c r="A1643" s="4">
        <v>1640</v>
      </c>
      <c r="B1643" s="4">
        <v>56</v>
      </c>
      <c r="C1643" s="4">
        <v>31</v>
      </c>
      <c r="D1643" s="4">
        <v>68</v>
      </c>
      <c r="E1643" s="4">
        <v>2</v>
      </c>
      <c r="F1643" s="8">
        <v>0</v>
      </c>
      <c r="G1643" s="4">
        <v>3</v>
      </c>
      <c r="H1643" s="4">
        <f t="shared" si="50"/>
        <v>0</v>
      </c>
      <c r="I1643" s="4">
        <f t="shared" si="51"/>
        <v>0</v>
      </c>
      <c r="J1643" s="4">
        <v>0</v>
      </c>
      <c r="K1643" s="4">
        <v>1</v>
      </c>
      <c r="L1643" s="4">
        <v>0</v>
      </c>
      <c r="M1643" s="4">
        <v>1</v>
      </c>
      <c r="N1643" s="4">
        <v>0</v>
      </c>
      <c r="O1643" s="4">
        <v>0</v>
      </c>
    </row>
    <row r="1644" spans="1:15" x14ac:dyDescent="0.15">
      <c r="A1644" s="4">
        <v>1641</v>
      </c>
      <c r="B1644" s="4">
        <v>36</v>
      </c>
      <c r="C1644" s="4">
        <v>10</v>
      </c>
      <c r="D1644" s="4">
        <v>55</v>
      </c>
      <c r="E1644" s="4">
        <v>1</v>
      </c>
      <c r="F1644" s="8">
        <v>2</v>
      </c>
      <c r="G1644" s="4">
        <v>1</v>
      </c>
      <c r="H1644" s="4">
        <f t="shared" si="50"/>
        <v>1</v>
      </c>
      <c r="I1644" s="4">
        <f t="shared" si="51"/>
        <v>0</v>
      </c>
      <c r="J1644" s="4">
        <v>95</v>
      </c>
      <c r="K1644" s="4">
        <v>0</v>
      </c>
      <c r="L1644" s="4">
        <v>0</v>
      </c>
      <c r="M1644" s="4">
        <v>1</v>
      </c>
      <c r="N1644" s="4">
        <v>0</v>
      </c>
      <c r="O1644" s="4">
        <v>0</v>
      </c>
    </row>
    <row r="1645" spans="1:15" x14ac:dyDescent="0.15">
      <c r="A1645" s="4">
        <v>1642</v>
      </c>
      <c r="B1645" s="4">
        <v>58</v>
      </c>
      <c r="C1645" s="4">
        <v>34</v>
      </c>
      <c r="D1645" s="4">
        <v>152</v>
      </c>
      <c r="E1645" s="4">
        <v>4</v>
      </c>
      <c r="F1645" s="8">
        <v>3.6</v>
      </c>
      <c r="G1645" s="4">
        <v>3</v>
      </c>
      <c r="H1645" s="4">
        <f t="shared" si="50"/>
        <v>0</v>
      </c>
      <c r="I1645" s="4">
        <f t="shared" si="51"/>
        <v>0</v>
      </c>
      <c r="J1645" s="4">
        <v>0</v>
      </c>
      <c r="K1645" s="4">
        <v>0</v>
      </c>
      <c r="L1645" s="4">
        <v>0</v>
      </c>
      <c r="M1645" s="4">
        <v>0</v>
      </c>
      <c r="N1645" s="4">
        <v>0</v>
      </c>
      <c r="O1645" s="4">
        <v>1</v>
      </c>
    </row>
    <row r="1646" spans="1:15" x14ac:dyDescent="0.15">
      <c r="A1646" s="4">
        <v>1643</v>
      </c>
      <c r="B1646" s="4">
        <v>27</v>
      </c>
      <c r="C1646" s="4">
        <v>3</v>
      </c>
      <c r="D1646" s="4">
        <v>84</v>
      </c>
      <c r="E1646" s="4">
        <v>3</v>
      </c>
      <c r="F1646" s="8">
        <v>1.5</v>
      </c>
      <c r="G1646" s="4">
        <v>1</v>
      </c>
      <c r="H1646" s="4">
        <f t="shared" si="50"/>
        <v>1</v>
      </c>
      <c r="I1646" s="4">
        <f t="shared" si="51"/>
        <v>0</v>
      </c>
      <c r="J1646" s="4">
        <v>0</v>
      </c>
      <c r="K1646" s="4">
        <v>0</v>
      </c>
      <c r="L1646" s="4">
        <v>0</v>
      </c>
      <c r="M1646" s="4">
        <v>1</v>
      </c>
      <c r="N1646" s="4">
        <v>1</v>
      </c>
      <c r="O1646" s="4">
        <v>0</v>
      </c>
    </row>
    <row r="1647" spans="1:15" x14ac:dyDescent="0.15">
      <c r="A1647" s="4">
        <v>1644</v>
      </c>
      <c r="B1647" s="4">
        <v>41</v>
      </c>
      <c r="C1647" s="4">
        <v>16</v>
      </c>
      <c r="D1647" s="4">
        <v>13</v>
      </c>
      <c r="E1647" s="4">
        <v>2</v>
      </c>
      <c r="F1647" s="8">
        <v>0</v>
      </c>
      <c r="G1647" s="4">
        <v>3</v>
      </c>
      <c r="H1647" s="4">
        <f t="shared" si="50"/>
        <v>0</v>
      </c>
      <c r="I1647" s="4">
        <f t="shared" si="51"/>
        <v>0</v>
      </c>
      <c r="J1647" s="4">
        <v>0</v>
      </c>
      <c r="K1647" s="4">
        <v>0</v>
      </c>
      <c r="L1647" s="4">
        <v>0</v>
      </c>
      <c r="M1647" s="4">
        <v>1</v>
      </c>
      <c r="N1647" s="4">
        <v>0</v>
      </c>
      <c r="O1647" s="4">
        <v>0</v>
      </c>
    </row>
    <row r="1648" spans="1:15" x14ac:dyDescent="0.15">
      <c r="A1648" s="4">
        <v>1645</v>
      </c>
      <c r="B1648" s="4">
        <v>59</v>
      </c>
      <c r="C1648" s="4">
        <v>35</v>
      </c>
      <c r="D1648" s="4">
        <v>33</v>
      </c>
      <c r="E1648" s="4">
        <v>4</v>
      </c>
      <c r="F1648" s="8">
        <v>0.4</v>
      </c>
      <c r="G1648" s="4">
        <v>1</v>
      </c>
      <c r="H1648" s="4">
        <f t="shared" si="50"/>
        <v>1</v>
      </c>
      <c r="I1648" s="4">
        <f t="shared" si="51"/>
        <v>0</v>
      </c>
      <c r="J1648" s="4">
        <v>131</v>
      </c>
      <c r="K1648" s="4">
        <v>0</v>
      </c>
      <c r="L1648" s="4">
        <v>0</v>
      </c>
      <c r="M1648" s="4">
        <v>0</v>
      </c>
      <c r="N1648" s="4">
        <v>1</v>
      </c>
      <c r="O1648" s="4">
        <v>0</v>
      </c>
    </row>
    <row r="1649" spans="1:15" x14ac:dyDescent="0.15">
      <c r="A1649" s="4">
        <v>1646</v>
      </c>
      <c r="B1649" s="4">
        <v>56</v>
      </c>
      <c r="C1649" s="4">
        <v>32</v>
      </c>
      <c r="D1649" s="4">
        <v>89</v>
      </c>
      <c r="E1649" s="4">
        <v>4</v>
      </c>
      <c r="F1649" s="8">
        <v>1</v>
      </c>
      <c r="G1649" s="4">
        <v>2</v>
      </c>
      <c r="H1649" s="4">
        <f t="shared" si="50"/>
        <v>0</v>
      </c>
      <c r="I1649" s="4">
        <f t="shared" si="51"/>
        <v>1</v>
      </c>
      <c r="J1649" s="4">
        <v>90</v>
      </c>
      <c r="K1649" s="4">
        <v>1</v>
      </c>
      <c r="L1649" s="4">
        <v>0</v>
      </c>
      <c r="M1649" s="4">
        <v>1</v>
      </c>
      <c r="N1649" s="4">
        <v>0</v>
      </c>
      <c r="O1649" s="4">
        <v>0</v>
      </c>
    </row>
    <row r="1650" spans="1:15" x14ac:dyDescent="0.15">
      <c r="A1650" s="4">
        <v>1647</v>
      </c>
      <c r="B1650" s="4">
        <v>52</v>
      </c>
      <c r="C1650" s="4">
        <v>26</v>
      </c>
      <c r="D1650" s="4">
        <v>93</v>
      </c>
      <c r="E1650" s="4">
        <v>1</v>
      </c>
      <c r="F1650" s="8">
        <v>2.4</v>
      </c>
      <c r="G1650" s="4">
        <v>1</v>
      </c>
      <c r="H1650" s="4">
        <f t="shared" si="50"/>
        <v>1</v>
      </c>
      <c r="I1650" s="4">
        <f t="shared" si="51"/>
        <v>0</v>
      </c>
      <c r="J1650" s="4">
        <v>0</v>
      </c>
      <c r="K1650" s="4">
        <v>0</v>
      </c>
      <c r="L1650" s="4">
        <v>0</v>
      </c>
      <c r="M1650" s="4">
        <v>1</v>
      </c>
      <c r="N1650" s="4">
        <v>0</v>
      </c>
      <c r="O1650" s="4">
        <v>0</v>
      </c>
    </row>
    <row r="1651" spans="1:15" x14ac:dyDescent="0.15">
      <c r="A1651" s="4">
        <v>1648</v>
      </c>
      <c r="B1651" s="4">
        <v>35</v>
      </c>
      <c r="C1651" s="4">
        <v>5</v>
      </c>
      <c r="D1651" s="4">
        <v>68</v>
      </c>
      <c r="E1651" s="4">
        <v>4</v>
      </c>
      <c r="F1651" s="8">
        <v>1.8</v>
      </c>
      <c r="G1651" s="4">
        <v>3</v>
      </c>
      <c r="H1651" s="4">
        <f t="shared" si="50"/>
        <v>0</v>
      </c>
      <c r="I1651" s="4">
        <f t="shared" si="51"/>
        <v>0</v>
      </c>
      <c r="J1651" s="4">
        <v>0</v>
      </c>
      <c r="K1651" s="4">
        <v>0</v>
      </c>
      <c r="L1651" s="4">
        <v>0</v>
      </c>
      <c r="M1651" s="4">
        <v>0</v>
      </c>
      <c r="N1651" s="4">
        <v>0</v>
      </c>
      <c r="O1651" s="4">
        <v>0</v>
      </c>
    </row>
    <row r="1652" spans="1:15" x14ac:dyDescent="0.15">
      <c r="A1652" s="4">
        <v>1649</v>
      </c>
      <c r="B1652" s="4">
        <v>47</v>
      </c>
      <c r="C1652" s="4">
        <v>21</v>
      </c>
      <c r="D1652" s="4">
        <v>85</v>
      </c>
      <c r="E1652" s="4">
        <v>2</v>
      </c>
      <c r="F1652" s="8">
        <v>1.7</v>
      </c>
      <c r="G1652" s="4">
        <v>2</v>
      </c>
      <c r="H1652" s="4">
        <f t="shared" si="50"/>
        <v>0</v>
      </c>
      <c r="I1652" s="4">
        <f t="shared" si="51"/>
        <v>1</v>
      </c>
      <c r="J1652" s="4">
        <v>0</v>
      </c>
      <c r="K1652" s="4">
        <v>0</v>
      </c>
      <c r="L1652" s="4">
        <v>0</v>
      </c>
      <c r="M1652" s="4">
        <v>0</v>
      </c>
      <c r="N1652" s="4">
        <v>1</v>
      </c>
      <c r="O1652" s="4">
        <v>0</v>
      </c>
    </row>
    <row r="1653" spans="1:15" x14ac:dyDescent="0.15">
      <c r="A1653" s="4">
        <v>1650</v>
      </c>
      <c r="B1653" s="4">
        <v>29</v>
      </c>
      <c r="C1653" s="4">
        <v>4</v>
      </c>
      <c r="D1653" s="4">
        <v>73</v>
      </c>
      <c r="E1653" s="4">
        <v>1</v>
      </c>
      <c r="F1653" s="8">
        <v>0.8</v>
      </c>
      <c r="G1653" s="4">
        <v>2</v>
      </c>
      <c r="H1653" s="4">
        <f t="shared" si="50"/>
        <v>0</v>
      </c>
      <c r="I1653" s="4">
        <f t="shared" si="51"/>
        <v>1</v>
      </c>
      <c r="J1653" s="4">
        <v>0</v>
      </c>
      <c r="K1653" s="4">
        <v>0</v>
      </c>
      <c r="L1653" s="4">
        <v>0</v>
      </c>
      <c r="M1653" s="4">
        <v>1</v>
      </c>
      <c r="N1653" s="4">
        <v>0</v>
      </c>
      <c r="O1653" s="4">
        <v>0</v>
      </c>
    </row>
    <row r="1654" spans="1:15" x14ac:dyDescent="0.15">
      <c r="A1654" s="4">
        <v>1651</v>
      </c>
      <c r="B1654" s="4">
        <v>31</v>
      </c>
      <c r="C1654" s="4">
        <v>6</v>
      </c>
      <c r="D1654" s="4">
        <v>83</v>
      </c>
      <c r="E1654" s="4">
        <v>4</v>
      </c>
      <c r="F1654" s="8">
        <v>2.2000000000000002</v>
      </c>
      <c r="G1654" s="4">
        <v>2</v>
      </c>
      <c r="H1654" s="4">
        <f t="shared" si="50"/>
        <v>0</v>
      </c>
      <c r="I1654" s="4">
        <f t="shared" si="51"/>
        <v>1</v>
      </c>
      <c r="J1654" s="4">
        <v>106</v>
      </c>
      <c r="K1654" s="4">
        <v>0</v>
      </c>
      <c r="L1654" s="4">
        <v>0</v>
      </c>
      <c r="M1654" s="4">
        <v>1</v>
      </c>
      <c r="N1654" s="4">
        <v>0</v>
      </c>
      <c r="O1654" s="4">
        <v>0</v>
      </c>
    </row>
    <row r="1655" spans="1:15" x14ac:dyDescent="0.15">
      <c r="A1655" s="4">
        <v>1652</v>
      </c>
      <c r="B1655" s="4">
        <v>62</v>
      </c>
      <c r="C1655" s="4">
        <v>36</v>
      </c>
      <c r="D1655" s="4">
        <v>158</v>
      </c>
      <c r="E1655" s="4">
        <v>2</v>
      </c>
      <c r="F1655" s="8">
        <v>6.3</v>
      </c>
      <c r="G1655" s="4">
        <v>3</v>
      </c>
      <c r="H1655" s="4">
        <f t="shared" si="50"/>
        <v>0</v>
      </c>
      <c r="I1655" s="4">
        <f t="shared" si="51"/>
        <v>0</v>
      </c>
      <c r="J1655" s="4">
        <v>0</v>
      </c>
      <c r="K1655" s="4">
        <v>0</v>
      </c>
      <c r="L1655" s="4">
        <v>0</v>
      </c>
      <c r="M1655" s="4">
        <v>1</v>
      </c>
      <c r="N1655" s="4">
        <v>0</v>
      </c>
      <c r="O1655" s="4">
        <v>1</v>
      </c>
    </row>
    <row r="1656" spans="1:15" x14ac:dyDescent="0.15">
      <c r="A1656" s="4">
        <v>1653</v>
      </c>
      <c r="B1656" s="4">
        <v>48</v>
      </c>
      <c r="C1656" s="4">
        <v>18</v>
      </c>
      <c r="D1656" s="4">
        <v>182</v>
      </c>
      <c r="E1656" s="4">
        <v>4</v>
      </c>
      <c r="F1656" s="8">
        <v>6</v>
      </c>
      <c r="G1656" s="4">
        <v>3</v>
      </c>
      <c r="H1656" s="4">
        <f t="shared" si="50"/>
        <v>0</v>
      </c>
      <c r="I1656" s="4">
        <f t="shared" si="51"/>
        <v>0</v>
      </c>
      <c r="J1656" s="4">
        <v>0</v>
      </c>
      <c r="K1656" s="4">
        <v>0</v>
      </c>
      <c r="L1656" s="4">
        <v>0</v>
      </c>
      <c r="M1656" s="4">
        <v>1</v>
      </c>
      <c r="N1656" s="4">
        <v>0</v>
      </c>
      <c r="O1656" s="4">
        <v>1</v>
      </c>
    </row>
    <row r="1657" spans="1:15" x14ac:dyDescent="0.15">
      <c r="A1657" s="4">
        <v>1654</v>
      </c>
      <c r="B1657" s="4">
        <v>26</v>
      </c>
      <c r="C1657" s="4">
        <v>1</v>
      </c>
      <c r="D1657" s="4">
        <v>24</v>
      </c>
      <c r="E1657" s="4">
        <v>2</v>
      </c>
      <c r="F1657" s="8">
        <v>0.9</v>
      </c>
      <c r="G1657" s="4">
        <v>3</v>
      </c>
      <c r="H1657" s="4">
        <f t="shared" si="50"/>
        <v>0</v>
      </c>
      <c r="I1657" s="4">
        <f t="shared" si="51"/>
        <v>0</v>
      </c>
      <c r="J1657" s="4">
        <v>123</v>
      </c>
      <c r="K1657" s="4">
        <v>0</v>
      </c>
      <c r="L1657" s="4">
        <v>0</v>
      </c>
      <c r="M1657" s="4">
        <v>0</v>
      </c>
      <c r="N1657" s="4">
        <v>1</v>
      </c>
      <c r="O1657" s="4">
        <v>0</v>
      </c>
    </row>
    <row r="1658" spans="1:15" x14ac:dyDescent="0.15">
      <c r="A1658" s="4">
        <v>1655</v>
      </c>
      <c r="B1658" s="4">
        <v>60</v>
      </c>
      <c r="C1658" s="4">
        <v>34</v>
      </c>
      <c r="D1658" s="4">
        <v>102</v>
      </c>
      <c r="E1658" s="4">
        <v>2</v>
      </c>
      <c r="F1658" s="8">
        <v>2</v>
      </c>
      <c r="G1658" s="4">
        <v>1</v>
      </c>
      <c r="H1658" s="4">
        <f t="shared" si="50"/>
        <v>1</v>
      </c>
      <c r="I1658" s="4">
        <f t="shared" si="51"/>
        <v>0</v>
      </c>
      <c r="J1658" s="4">
        <v>0</v>
      </c>
      <c r="K1658" s="4">
        <v>0</v>
      </c>
      <c r="L1658" s="4">
        <v>0</v>
      </c>
      <c r="M1658" s="4">
        <v>1</v>
      </c>
      <c r="N1658" s="4">
        <v>1</v>
      </c>
      <c r="O1658" s="4">
        <v>0</v>
      </c>
    </row>
    <row r="1659" spans="1:15" x14ac:dyDescent="0.15">
      <c r="A1659" s="4">
        <v>1656</v>
      </c>
      <c r="B1659" s="4">
        <v>35</v>
      </c>
      <c r="C1659" s="4">
        <v>11</v>
      </c>
      <c r="D1659" s="4">
        <v>53</v>
      </c>
      <c r="E1659" s="4">
        <v>3</v>
      </c>
      <c r="F1659" s="8">
        <v>2.8</v>
      </c>
      <c r="G1659" s="4">
        <v>1</v>
      </c>
      <c r="H1659" s="4">
        <f t="shared" si="50"/>
        <v>1</v>
      </c>
      <c r="I1659" s="4">
        <f t="shared" si="51"/>
        <v>0</v>
      </c>
      <c r="J1659" s="4">
        <v>0</v>
      </c>
      <c r="K1659" s="4">
        <v>0</v>
      </c>
      <c r="L1659" s="4">
        <v>0</v>
      </c>
      <c r="M1659" s="4">
        <v>0</v>
      </c>
      <c r="N1659" s="4">
        <v>0</v>
      </c>
      <c r="O1659" s="4">
        <v>0</v>
      </c>
    </row>
    <row r="1660" spans="1:15" x14ac:dyDescent="0.15">
      <c r="A1660" s="4">
        <v>1657</v>
      </c>
      <c r="B1660" s="4">
        <v>40</v>
      </c>
      <c r="C1660" s="4">
        <v>15</v>
      </c>
      <c r="D1660" s="4">
        <v>175</v>
      </c>
      <c r="E1660" s="4">
        <v>2</v>
      </c>
      <c r="F1660" s="8">
        <v>3.3</v>
      </c>
      <c r="G1660" s="4">
        <v>1</v>
      </c>
      <c r="H1660" s="4">
        <f t="shared" si="50"/>
        <v>1</v>
      </c>
      <c r="I1660" s="4">
        <f t="shared" si="51"/>
        <v>0</v>
      </c>
      <c r="J1660" s="4">
        <v>0</v>
      </c>
      <c r="K1660" s="4">
        <v>0</v>
      </c>
      <c r="L1660" s="4">
        <v>0</v>
      </c>
      <c r="M1660" s="4">
        <v>1</v>
      </c>
      <c r="N1660" s="4">
        <v>0</v>
      </c>
      <c r="O1660" s="4">
        <v>0</v>
      </c>
    </row>
    <row r="1661" spans="1:15" x14ac:dyDescent="0.15">
      <c r="A1661" s="4">
        <v>1658</v>
      </c>
      <c r="B1661" s="4">
        <v>31</v>
      </c>
      <c r="C1661" s="4">
        <v>5</v>
      </c>
      <c r="D1661" s="4">
        <v>28</v>
      </c>
      <c r="E1661" s="4">
        <v>3</v>
      </c>
      <c r="F1661" s="8">
        <v>1</v>
      </c>
      <c r="G1661" s="4">
        <v>1</v>
      </c>
      <c r="H1661" s="4">
        <f t="shared" si="50"/>
        <v>1</v>
      </c>
      <c r="I1661" s="4">
        <f t="shared" si="51"/>
        <v>0</v>
      </c>
      <c r="J1661" s="4">
        <v>0</v>
      </c>
      <c r="K1661" s="4">
        <v>0</v>
      </c>
      <c r="L1661" s="4">
        <v>0</v>
      </c>
      <c r="M1661" s="4">
        <v>1</v>
      </c>
      <c r="N1661" s="4">
        <v>0</v>
      </c>
      <c r="O1661" s="4">
        <v>0</v>
      </c>
    </row>
    <row r="1662" spans="1:15" x14ac:dyDescent="0.15">
      <c r="A1662" s="4">
        <v>1659</v>
      </c>
      <c r="B1662" s="4">
        <v>50</v>
      </c>
      <c r="C1662" s="4">
        <v>25</v>
      </c>
      <c r="D1662" s="4">
        <v>14</v>
      </c>
      <c r="E1662" s="4">
        <v>4</v>
      </c>
      <c r="F1662" s="8">
        <v>0.8</v>
      </c>
      <c r="G1662" s="4">
        <v>1</v>
      </c>
      <c r="H1662" s="4">
        <f t="shared" si="50"/>
        <v>1</v>
      </c>
      <c r="I1662" s="4">
        <f t="shared" si="51"/>
        <v>0</v>
      </c>
      <c r="J1662" s="4">
        <v>0</v>
      </c>
      <c r="K1662" s="4">
        <v>0</v>
      </c>
      <c r="L1662" s="4">
        <v>0</v>
      </c>
      <c r="M1662" s="4">
        <v>1</v>
      </c>
      <c r="N1662" s="4">
        <v>0</v>
      </c>
      <c r="O1662" s="4">
        <v>0</v>
      </c>
    </row>
    <row r="1663" spans="1:15" x14ac:dyDescent="0.15">
      <c r="A1663" s="4">
        <v>1660</v>
      </c>
      <c r="B1663" s="4">
        <v>33</v>
      </c>
      <c r="C1663" s="4">
        <v>7</v>
      </c>
      <c r="D1663" s="4">
        <v>139</v>
      </c>
      <c r="E1663" s="4">
        <v>1</v>
      </c>
      <c r="F1663" s="8">
        <v>4</v>
      </c>
      <c r="G1663" s="4">
        <v>3</v>
      </c>
      <c r="H1663" s="4">
        <f t="shared" si="50"/>
        <v>0</v>
      </c>
      <c r="I1663" s="4">
        <f t="shared" si="51"/>
        <v>0</v>
      </c>
      <c r="J1663" s="4">
        <v>106</v>
      </c>
      <c r="K1663" s="4">
        <v>0</v>
      </c>
      <c r="L1663" s="4">
        <v>1</v>
      </c>
      <c r="M1663" s="4">
        <v>1</v>
      </c>
      <c r="N1663" s="4">
        <v>1</v>
      </c>
      <c r="O1663" s="4">
        <v>1</v>
      </c>
    </row>
    <row r="1664" spans="1:15" x14ac:dyDescent="0.15">
      <c r="A1664" s="4">
        <v>1661</v>
      </c>
      <c r="B1664" s="4">
        <v>37</v>
      </c>
      <c r="C1664" s="4">
        <v>11</v>
      </c>
      <c r="D1664" s="4">
        <v>34</v>
      </c>
      <c r="E1664" s="4">
        <v>3</v>
      </c>
      <c r="F1664" s="8">
        <v>0.9</v>
      </c>
      <c r="G1664" s="4">
        <v>1</v>
      </c>
      <c r="H1664" s="4">
        <f t="shared" si="50"/>
        <v>1</v>
      </c>
      <c r="I1664" s="4">
        <f t="shared" si="51"/>
        <v>0</v>
      </c>
      <c r="J1664" s="4">
        <v>0</v>
      </c>
      <c r="K1664" s="4">
        <v>0</v>
      </c>
      <c r="L1664" s="4">
        <v>0</v>
      </c>
      <c r="M1664" s="4">
        <v>1</v>
      </c>
      <c r="N1664" s="4">
        <v>0</v>
      </c>
      <c r="O1664" s="4">
        <v>0</v>
      </c>
    </row>
    <row r="1665" spans="1:15" x14ac:dyDescent="0.15">
      <c r="A1665" s="4">
        <v>1662</v>
      </c>
      <c r="B1665" s="4">
        <v>38</v>
      </c>
      <c r="C1665" s="4">
        <v>14</v>
      </c>
      <c r="D1665" s="4">
        <v>64</v>
      </c>
      <c r="E1665" s="4">
        <v>1</v>
      </c>
      <c r="F1665" s="8">
        <v>1.5</v>
      </c>
      <c r="G1665" s="4">
        <v>3</v>
      </c>
      <c r="H1665" s="4">
        <f t="shared" si="50"/>
        <v>0</v>
      </c>
      <c r="I1665" s="4">
        <f t="shared" si="51"/>
        <v>0</v>
      </c>
      <c r="J1665" s="4">
        <v>0</v>
      </c>
      <c r="K1665" s="4">
        <v>0</v>
      </c>
      <c r="L1665" s="4">
        <v>0</v>
      </c>
      <c r="M1665" s="4">
        <v>0</v>
      </c>
      <c r="N1665" s="4">
        <v>1</v>
      </c>
      <c r="O1665" s="4">
        <v>0</v>
      </c>
    </row>
    <row r="1666" spans="1:15" x14ac:dyDescent="0.15">
      <c r="A1666" s="4">
        <v>1663</v>
      </c>
      <c r="B1666" s="4">
        <v>63</v>
      </c>
      <c r="C1666" s="4">
        <v>38</v>
      </c>
      <c r="D1666" s="4">
        <v>84</v>
      </c>
      <c r="E1666" s="4">
        <v>4</v>
      </c>
      <c r="F1666" s="8">
        <v>0.1</v>
      </c>
      <c r="G1666" s="4">
        <v>2</v>
      </c>
      <c r="H1666" s="4">
        <f t="shared" si="50"/>
        <v>0</v>
      </c>
      <c r="I1666" s="4">
        <f t="shared" si="51"/>
        <v>1</v>
      </c>
      <c r="J1666" s="4">
        <v>0</v>
      </c>
      <c r="K1666" s="4">
        <v>0</v>
      </c>
      <c r="L1666" s="4">
        <v>0</v>
      </c>
      <c r="M1666" s="4">
        <v>0</v>
      </c>
      <c r="N1666" s="4">
        <v>0</v>
      </c>
      <c r="O1666" s="4">
        <v>0</v>
      </c>
    </row>
    <row r="1667" spans="1:15" x14ac:dyDescent="0.15">
      <c r="A1667" s="4">
        <v>1664</v>
      </c>
      <c r="B1667" s="4">
        <v>57</v>
      </c>
      <c r="C1667" s="4">
        <v>32</v>
      </c>
      <c r="D1667" s="4">
        <v>42</v>
      </c>
      <c r="E1667" s="4">
        <v>3</v>
      </c>
      <c r="F1667" s="8">
        <v>0.5</v>
      </c>
      <c r="G1667" s="4">
        <v>2</v>
      </c>
      <c r="H1667" s="4">
        <f t="shared" si="50"/>
        <v>0</v>
      </c>
      <c r="I1667" s="4">
        <f t="shared" si="51"/>
        <v>1</v>
      </c>
      <c r="J1667" s="4">
        <v>0</v>
      </c>
      <c r="K1667" s="4">
        <v>1</v>
      </c>
      <c r="L1667" s="4">
        <v>0</v>
      </c>
      <c r="M1667" s="4">
        <v>1</v>
      </c>
      <c r="N1667" s="4">
        <v>0</v>
      </c>
      <c r="O1667" s="4">
        <v>0</v>
      </c>
    </row>
    <row r="1668" spans="1:15" x14ac:dyDescent="0.15">
      <c r="A1668" s="4">
        <v>1665</v>
      </c>
      <c r="B1668" s="4">
        <v>61</v>
      </c>
      <c r="C1668" s="4">
        <v>35</v>
      </c>
      <c r="D1668" s="4">
        <v>63</v>
      </c>
      <c r="E1668" s="4">
        <v>1</v>
      </c>
      <c r="F1668" s="8">
        <v>1.6</v>
      </c>
      <c r="G1668" s="4">
        <v>1</v>
      </c>
      <c r="H1668" s="4">
        <f t="shared" si="50"/>
        <v>1</v>
      </c>
      <c r="I1668" s="4">
        <f t="shared" si="51"/>
        <v>0</v>
      </c>
      <c r="J1668" s="4">
        <v>0</v>
      </c>
      <c r="K1668" s="4">
        <v>0</v>
      </c>
      <c r="L1668" s="4">
        <v>0</v>
      </c>
      <c r="M1668" s="4">
        <v>1</v>
      </c>
      <c r="N1668" s="4">
        <v>0</v>
      </c>
      <c r="O1668" s="4">
        <v>0</v>
      </c>
    </row>
    <row r="1669" spans="1:15" x14ac:dyDescent="0.15">
      <c r="A1669" s="4">
        <v>1666</v>
      </c>
      <c r="B1669" s="4">
        <v>37</v>
      </c>
      <c r="C1669" s="4">
        <v>12</v>
      </c>
      <c r="D1669" s="4">
        <v>100</v>
      </c>
      <c r="E1669" s="4">
        <v>3</v>
      </c>
      <c r="F1669" s="8">
        <v>1.2</v>
      </c>
      <c r="G1669" s="4">
        <v>3</v>
      </c>
      <c r="H1669" s="4">
        <f t="shared" ref="H1669:H1732" si="52">IF(G1669=1,1,0)</f>
        <v>0</v>
      </c>
      <c r="I1669" s="4">
        <f t="shared" ref="I1669:I1732" si="53">IF(G1669=2,1,0)</f>
        <v>0</v>
      </c>
      <c r="J1669" s="4">
        <v>341</v>
      </c>
      <c r="K1669" s="4">
        <v>0</v>
      </c>
      <c r="L1669" s="4">
        <v>0</v>
      </c>
      <c r="M1669" s="4">
        <v>1</v>
      </c>
      <c r="N1669" s="4">
        <v>1</v>
      </c>
      <c r="O1669" s="4">
        <v>0</v>
      </c>
    </row>
    <row r="1670" spans="1:15" x14ac:dyDescent="0.15">
      <c r="A1670" s="4">
        <v>1667</v>
      </c>
      <c r="B1670" s="4">
        <v>51</v>
      </c>
      <c r="C1670" s="4">
        <v>25</v>
      </c>
      <c r="D1670" s="4">
        <v>190</v>
      </c>
      <c r="E1670" s="4">
        <v>2</v>
      </c>
      <c r="F1670" s="8">
        <v>4.2</v>
      </c>
      <c r="G1670" s="4">
        <v>2</v>
      </c>
      <c r="H1670" s="4">
        <f t="shared" si="52"/>
        <v>0</v>
      </c>
      <c r="I1670" s="4">
        <f t="shared" si="53"/>
        <v>1</v>
      </c>
      <c r="J1670" s="4">
        <v>0</v>
      </c>
      <c r="K1670" s="4">
        <v>0</v>
      </c>
      <c r="L1670" s="4">
        <v>0</v>
      </c>
      <c r="M1670" s="4">
        <v>1</v>
      </c>
      <c r="N1670" s="4">
        <v>0</v>
      </c>
      <c r="O1670" s="4">
        <v>1</v>
      </c>
    </row>
    <row r="1671" spans="1:15" x14ac:dyDescent="0.15">
      <c r="A1671" s="4">
        <v>1668</v>
      </c>
      <c r="B1671" s="4">
        <v>44</v>
      </c>
      <c r="C1671" s="4">
        <v>20</v>
      </c>
      <c r="D1671" s="4">
        <v>22</v>
      </c>
      <c r="E1671" s="4">
        <v>1</v>
      </c>
      <c r="F1671" s="8">
        <v>1</v>
      </c>
      <c r="G1671" s="4">
        <v>1</v>
      </c>
      <c r="H1671" s="4">
        <f t="shared" si="52"/>
        <v>1</v>
      </c>
      <c r="I1671" s="4">
        <f t="shared" si="53"/>
        <v>0</v>
      </c>
      <c r="J1671" s="4">
        <v>91</v>
      </c>
      <c r="K1671" s="4">
        <v>0</v>
      </c>
      <c r="L1671" s="4">
        <v>0</v>
      </c>
      <c r="M1671" s="4">
        <v>0</v>
      </c>
      <c r="N1671" s="4">
        <v>0</v>
      </c>
      <c r="O1671" s="4">
        <v>0</v>
      </c>
    </row>
    <row r="1672" spans="1:15" x14ac:dyDescent="0.15">
      <c r="A1672" s="4">
        <v>1669</v>
      </c>
      <c r="B1672" s="4">
        <v>63</v>
      </c>
      <c r="C1672" s="4">
        <v>37</v>
      </c>
      <c r="D1672" s="4">
        <v>20</v>
      </c>
      <c r="E1672" s="4">
        <v>1</v>
      </c>
      <c r="F1672" s="8">
        <v>0.8</v>
      </c>
      <c r="G1672" s="4">
        <v>2</v>
      </c>
      <c r="H1672" s="4">
        <f t="shared" si="52"/>
        <v>0</v>
      </c>
      <c r="I1672" s="4">
        <f t="shared" si="53"/>
        <v>1</v>
      </c>
      <c r="J1672" s="4">
        <v>0</v>
      </c>
      <c r="K1672" s="4">
        <v>1</v>
      </c>
      <c r="L1672" s="4">
        <v>0</v>
      </c>
      <c r="M1672" s="4">
        <v>0</v>
      </c>
      <c r="N1672" s="4">
        <v>1</v>
      </c>
      <c r="O1672" s="4">
        <v>0</v>
      </c>
    </row>
    <row r="1673" spans="1:15" x14ac:dyDescent="0.15">
      <c r="A1673" s="4">
        <v>1670</v>
      </c>
      <c r="B1673" s="4">
        <v>43</v>
      </c>
      <c r="C1673" s="4">
        <v>18</v>
      </c>
      <c r="D1673" s="4">
        <v>21</v>
      </c>
      <c r="E1673" s="4">
        <v>2</v>
      </c>
      <c r="F1673" s="8">
        <v>1.4</v>
      </c>
      <c r="G1673" s="4">
        <v>2</v>
      </c>
      <c r="H1673" s="4">
        <f t="shared" si="52"/>
        <v>0</v>
      </c>
      <c r="I1673" s="4">
        <f t="shared" si="53"/>
        <v>1</v>
      </c>
      <c r="J1673" s="4">
        <v>0</v>
      </c>
      <c r="K1673" s="4">
        <v>0</v>
      </c>
      <c r="L1673" s="4">
        <v>0</v>
      </c>
      <c r="M1673" s="4">
        <v>1</v>
      </c>
      <c r="N1673" s="4">
        <v>1</v>
      </c>
      <c r="O1673" s="4">
        <v>0</v>
      </c>
    </row>
    <row r="1674" spans="1:15" x14ac:dyDescent="0.15">
      <c r="A1674" s="4">
        <v>1671</v>
      </c>
      <c r="B1674" s="4">
        <v>38</v>
      </c>
      <c r="C1674" s="4">
        <v>14</v>
      </c>
      <c r="D1674" s="4">
        <v>25</v>
      </c>
      <c r="E1674" s="4">
        <v>4</v>
      </c>
      <c r="F1674" s="8">
        <v>0.4</v>
      </c>
      <c r="G1674" s="4">
        <v>2</v>
      </c>
      <c r="H1674" s="4">
        <f t="shared" si="52"/>
        <v>0</v>
      </c>
      <c r="I1674" s="4">
        <f t="shared" si="53"/>
        <v>1</v>
      </c>
      <c r="J1674" s="4">
        <v>101</v>
      </c>
      <c r="K1674" s="4">
        <v>0</v>
      </c>
      <c r="L1674" s="4">
        <v>0</v>
      </c>
      <c r="M1674" s="4">
        <v>1</v>
      </c>
      <c r="N1674" s="4">
        <v>0</v>
      </c>
      <c r="O1674" s="4">
        <v>0</v>
      </c>
    </row>
    <row r="1675" spans="1:15" x14ac:dyDescent="0.15">
      <c r="A1675" s="4">
        <v>1672</v>
      </c>
      <c r="B1675" s="4">
        <v>34</v>
      </c>
      <c r="C1675" s="4">
        <v>9</v>
      </c>
      <c r="D1675" s="4">
        <v>20</v>
      </c>
      <c r="E1675" s="4">
        <v>4</v>
      </c>
      <c r="F1675" s="8">
        <v>1.1000000000000001</v>
      </c>
      <c r="G1675" s="4">
        <v>3</v>
      </c>
      <c r="H1675" s="4">
        <f t="shared" si="52"/>
        <v>0</v>
      </c>
      <c r="I1675" s="4">
        <f t="shared" si="53"/>
        <v>0</v>
      </c>
      <c r="J1675" s="4">
        <v>0</v>
      </c>
      <c r="K1675" s="4">
        <v>0</v>
      </c>
      <c r="L1675" s="4">
        <v>0</v>
      </c>
      <c r="M1675" s="4">
        <v>1</v>
      </c>
      <c r="N1675" s="4">
        <v>0</v>
      </c>
      <c r="O1675" s="4">
        <v>0</v>
      </c>
    </row>
    <row r="1676" spans="1:15" x14ac:dyDescent="0.15">
      <c r="A1676" s="4">
        <v>1673</v>
      </c>
      <c r="B1676" s="4">
        <v>48</v>
      </c>
      <c r="C1676" s="4">
        <v>23</v>
      </c>
      <c r="D1676" s="4">
        <v>173</v>
      </c>
      <c r="E1676" s="4">
        <v>3</v>
      </c>
      <c r="F1676" s="8">
        <v>0.2</v>
      </c>
      <c r="G1676" s="4">
        <v>1</v>
      </c>
      <c r="H1676" s="4">
        <f t="shared" si="52"/>
        <v>1</v>
      </c>
      <c r="I1676" s="4">
        <f t="shared" si="53"/>
        <v>0</v>
      </c>
      <c r="J1676" s="4">
        <v>0</v>
      </c>
      <c r="K1676" s="4">
        <v>0</v>
      </c>
      <c r="L1676" s="4">
        <v>1</v>
      </c>
      <c r="M1676" s="4">
        <v>1</v>
      </c>
      <c r="N1676" s="4">
        <v>1</v>
      </c>
      <c r="O1676" s="4">
        <v>1</v>
      </c>
    </row>
    <row r="1677" spans="1:15" x14ac:dyDescent="0.15">
      <c r="A1677" s="4">
        <v>1674</v>
      </c>
      <c r="B1677" s="4">
        <v>29</v>
      </c>
      <c r="C1677" s="4">
        <v>5</v>
      </c>
      <c r="D1677" s="4">
        <v>81</v>
      </c>
      <c r="E1677" s="4">
        <v>2</v>
      </c>
      <c r="F1677" s="8">
        <v>2.5</v>
      </c>
      <c r="G1677" s="4">
        <v>1</v>
      </c>
      <c r="H1677" s="4">
        <f t="shared" si="52"/>
        <v>1</v>
      </c>
      <c r="I1677" s="4">
        <f t="shared" si="53"/>
        <v>0</v>
      </c>
      <c r="J1677" s="4">
        <v>0</v>
      </c>
      <c r="K1677" s="4">
        <v>0</v>
      </c>
      <c r="L1677" s="4">
        <v>0</v>
      </c>
      <c r="M1677" s="4">
        <v>0</v>
      </c>
      <c r="N1677" s="4">
        <v>1</v>
      </c>
      <c r="O1677" s="4">
        <v>0</v>
      </c>
    </row>
    <row r="1678" spans="1:15" x14ac:dyDescent="0.15">
      <c r="A1678" s="4">
        <v>1675</v>
      </c>
      <c r="B1678" s="4">
        <v>37</v>
      </c>
      <c r="C1678" s="4">
        <v>11</v>
      </c>
      <c r="D1678" s="4">
        <v>139</v>
      </c>
      <c r="E1678" s="4">
        <v>2</v>
      </c>
      <c r="F1678" s="8">
        <v>0.8</v>
      </c>
      <c r="G1678" s="4">
        <v>2</v>
      </c>
      <c r="H1678" s="4">
        <f t="shared" si="52"/>
        <v>0</v>
      </c>
      <c r="I1678" s="4">
        <f t="shared" si="53"/>
        <v>1</v>
      </c>
      <c r="J1678" s="4">
        <v>421</v>
      </c>
      <c r="K1678" s="4">
        <v>0</v>
      </c>
      <c r="L1678" s="4">
        <v>0</v>
      </c>
      <c r="M1678" s="4">
        <v>1</v>
      </c>
      <c r="N1678" s="4">
        <v>0</v>
      </c>
      <c r="O1678" s="4">
        <v>1</v>
      </c>
    </row>
    <row r="1679" spans="1:15" x14ac:dyDescent="0.15">
      <c r="A1679" s="4">
        <v>1676</v>
      </c>
      <c r="B1679" s="4">
        <v>60</v>
      </c>
      <c r="C1679" s="4">
        <v>35</v>
      </c>
      <c r="D1679" s="4">
        <v>119</v>
      </c>
      <c r="E1679" s="4">
        <v>2</v>
      </c>
      <c r="F1679" s="8">
        <v>3.9</v>
      </c>
      <c r="G1679" s="4">
        <v>1</v>
      </c>
      <c r="H1679" s="4">
        <f t="shared" si="52"/>
        <v>1</v>
      </c>
      <c r="I1679" s="4">
        <f t="shared" si="53"/>
        <v>0</v>
      </c>
      <c r="J1679" s="4">
        <v>0</v>
      </c>
      <c r="K1679" s="4">
        <v>1</v>
      </c>
      <c r="L1679" s="4">
        <v>0</v>
      </c>
      <c r="M1679" s="4">
        <v>1</v>
      </c>
      <c r="N1679" s="4">
        <v>0</v>
      </c>
      <c r="O1679" s="4">
        <v>0</v>
      </c>
    </row>
    <row r="1680" spans="1:15" x14ac:dyDescent="0.15">
      <c r="A1680" s="4">
        <v>1677</v>
      </c>
      <c r="B1680" s="4">
        <v>46</v>
      </c>
      <c r="C1680" s="4">
        <v>20</v>
      </c>
      <c r="D1680" s="4">
        <v>74</v>
      </c>
      <c r="E1680" s="4">
        <v>4</v>
      </c>
      <c r="F1680" s="8">
        <v>2.6</v>
      </c>
      <c r="G1680" s="4">
        <v>3</v>
      </c>
      <c r="H1680" s="4">
        <f t="shared" si="52"/>
        <v>0</v>
      </c>
      <c r="I1680" s="4">
        <f t="shared" si="53"/>
        <v>0</v>
      </c>
      <c r="J1680" s="4">
        <v>104</v>
      </c>
      <c r="K1680" s="4">
        <v>0</v>
      </c>
      <c r="L1680" s="4">
        <v>0</v>
      </c>
      <c r="M1680" s="4">
        <v>1</v>
      </c>
      <c r="N1680" s="4">
        <v>0</v>
      </c>
      <c r="O1680" s="4">
        <v>0</v>
      </c>
    </row>
    <row r="1681" spans="1:15" x14ac:dyDescent="0.15">
      <c r="A1681" s="4">
        <v>1678</v>
      </c>
      <c r="B1681" s="4">
        <v>34</v>
      </c>
      <c r="C1681" s="4">
        <v>10</v>
      </c>
      <c r="D1681" s="4">
        <v>42</v>
      </c>
      <c r="E1681" s="4">
        <v>1</v>
      </c>
      <c r="F1681" s="8">
        <v>1.5</v>
      </c>
      <c r="G1681" s="4">
        <v>2</v>
      </c>
      <c r="H1681" s="4">
        <f t="shared" si="52"/>
        <v>0</v>
      </c>
      <c r="I1681" s="4">
        <f t="shared" si="53"/>
        <v>1</v>
      </c>
      <c r="J1681" s="4">
        <v>131</v>
      </c>
      <c r="K1681" s="4">
        <v>0</v>
      </c>
      <c r="L1681" s="4">
        <v>0</v>
      </c>
      <c r="M1681" s="4">
        <v>0</v>
      </c>
      <c r="N1681" s="4">
        <v>0</v>
      </c>
      <c r="O1681" s="4">
        <v>0</v>
      </c>
    </row>
    <row r="1682" spans="1:15" x14ac:dyDescent="0.15">
      <c r="A1682" s="4">
        <v>1679</v>
      </c>
      <c r="B1682" s="4">
        <v>56</v>
      </c>
      <c r="C1682" s="4">
        <v>30</v>
      </c>
      <c r="D1682" s="4">
        <v>73</v>
      </c>
      <c r="E1682" s="4">
        <v>2</v>
      </c>
      <c r="F1682" s="8">
        <v>1.1000000000000001</v>
      </c>
      <c r="G1682" s="4">
        <v>1</v>
      </c>
      <c r="H1682" s="4">
        <f t="shared" si="52"/>
        <v>1</v>
      </c>
      <c r="I1682" s="4">
        <f t="shared" si="53"/>
        <v>0</v>
      </c>
      <c r="J1682" s="4">
        <v>0</v>
      </c>
      <c r="K1682" s="4">
        <v>0</v>
      </c>
      <c r="L1682" s="4">
        <v>0</v>
      </c>
      <c r="M1682" s="4">
        <v>0</v>
      </c>
      <c r="N1682" s="4">
        <v>0</v>
      </c>
      <c r="O1682" s="4">
        <v>0</v>
      </c>
    </row>
    <row r="1683" spans="1:15" x14ac:dyDescent="0.15">
      <c r="A1683" s="4">
        <v>1680</v>
      </c>
      <c r="B1683" s="4">
        <v>57</v>
      </c>
      <c r="C1683" s="4">
        <v>31</v>
      </c>
      <c r="D1683" s="4">
        <v>114</v>
      </c>
      <c r="E1683" s="4">
        <v>4</v>
      </c>
      <c r="F1683" s="8">
        <v>5.2</v>
      </c>
      <c r="G1683" s="4">
        <v>1</v>
      </c>
      <c r="H1683" s="4">
        <f t="shared" si="52"/>
        <v>1</v>
      </c>
      <c r="I1683" s="4">
        <f t="shared" si="53"/>
        <v>0</v>
      </c>
      <c r="J1683" s="4">
        <v>0</v>
      </c>
      <c r="K1683" s="4">
        <v>1</v>
      </c>
      <c r="L1683" s="4">
        <v>1</v>
      </c>
      <c r="M1683" s="4">
        <v>1</v>
      </c>
      <c r="N1683" s="4">
        <v>0</v>
      </c>
      <c r="O1683" s="4">
        <v>1</v>
      </c>
    </row>
    <row r="1684" spans="1:15" x14ac:dyDescent="0.15">
      <c r="A1684" s="4">
        <v>1681</v>
      </c>
      <c r="B1684" s="4">
        <v>62</v>
      </c>
      <c r="C1684" s="4">
        <v>36</v>
      </c>
      <c r="D1684" s="4">
        <v>44</v>
      </c>
      <c r="E1684" s="4">
        <v>2</v>
      </c>
      <c r="F1684" s="8">
        <v>1</v>
      </c>
      <c r="G1684" s="4">
        <v>3</v>
      </c>
      <c r="H1684" s="4">
        <f t="shared" si="52"/>
        <v>0</v>
      </c>
      <c r="I1684" s="4">
        <f t="shared" si="53"/>
        <v>0</v>
      </c>
      <c r="J1684" s="4">
        <v>0</v>
      </c>
      <c r="K1684" s="4">
        <v>0</v>
      </c>
      <c r="L1684" s="4">
        <v>0</v>
      </c>
      <c r="M1684" s="4">
        <v>0</v>
      </c>
      <c r="N1684" s="4">
        <v>0</v>
      </c>
      <c r="O1684" s="4">
        <v>0</v>
      </c>
    </row>
    <row r="1685" spans="1:15" x14ac:dyDescent="0.15">
      <c r="A1685" s="4">
        <v>1682</v>
      </c>
      <c r="B1685" s="4">
        <v>32</v>
      </c>
      <c r="C1685" s="4">
        <v>8</v>
      </c>
      <c r="D1685" s="4">
        <v>141</v>
      </c>
      <c r="E1685" s="4">
        <v>2</v>
      </c>
      <c r="F1685" s="8">
        <v>4.333333333333333</v>
      </c>
      <c r="G1685" s="4">
        <v>1</v>
      </c>
      <c r="H1685" s="4">
        <f t="shared" si="52"/>
        <v>1</v>
      </c>
      <c r="I1685" s="4">
        <f t="shared" si="53"/>
        <v>0</v>
      </c>
      <c r="J1685" s="4">
        <v>0</v>
      </c>
      <c r="K1685" s="4">
        <v>0</v>
      </c>
      <c r="L1685" s="4">
        <v>0</v>
      </c>
      <c r="M1685" s="4">
        <v>0</v>
      </c>
      <c r="N1685" s="4">
        <v>0</v>
      </c>
      <c r="O1685" s="4">
        <v>0</v>
      </c>
    </row>
    <row r="1686" spans="1:15" x14ac:dyDescent="0.15">
      <c r="A1686" s="4">
        <v>1683</v>
      </c>
      <c r="B1686" s="4">
        <v>51</v>
      </c>
      <c r="C1686" s="4">
        <v>26</v>
      </c>
      <c r="D1686" s="4">
        <v>14</v>
      </c>
      <c r="E1686" s="4">
        <v>2</v>
      </c>
      <c r="F1686" s="8">
        <v>0</v>
      </c>
      <c r="G1686" s="4">
        <v>1</v>
      </c>
      <c r="H1686" s="4">
        <f t="shared" si="52"/>
        <v>1</v>
      </c>
      <c r="I1686" s="4">
        <f t="shared" si="53"/>
        <v>0</v>
      </c>
      <c r="J1686" s="4">
        <v>103</v>
      </c>
      <c r="K1686" s="4">
        <v>0</v>
      </c>
      <c r="L1686" s="4">
        <v>0</v>
      </c>
      <c r="M1686" s="4">
        <v>1</v>
      </c>
      <c r="N1686" s="4">
        <v>0</v>
      </c>
      <c r="O1686" s="4">
        <v>0</v>
      </c>
    </row>
    <row r="1687" spans="1:15" x14ac:dyDescent="0.15">
      <c r="A1687" s="4">
        <v>1684</v>
      </c>
      <c r="B1687" s="4">
        <v>55</v>
      </c>
      <c r="C1687" s="4">
        <v>29</v>
      </c>
      <c r="D1687" s="4">
        <v>33</v>
      </c>
      <c r="E1687" s="4">
        <v>2</v>
      </c>
      <c r="F1687" s="8">
        <v>0.4</v>
      </c>
      <c r="G1687" s="4">
        <v>3</v>
      </c>
      <c r="H1687" s="4">
        <f t="shared" si="52"/>
        <v>0</v>
      </c>
      <c r="I1687" s="4">
        <f t="shared" si="53"/>
        <v>0</v>
      </c>
      <c r="J1687" s="4">
        <v>0</v>
      </c>
      <c r="K1687" s="4">
        <v>0</v>
      </c>
      <c r="L1687" s="4">
        <v>0</v>
      </c>
      <c r="M1687" s="4">
        <v>0</v>
      </c>
      <c r="N1687" s="4">
        <v>0</v>
      </c>
      <c r="O1687" s="4">
        <v>0</v>
      </c>
    </row>
    <row r="1688" spans="1:15" x14ac:dyDescent="0.15">
      <c r="A1688" s="4">
        <v>1685</v>
      </c>
      <c r="B1688" s="4">
        <v>60</v>
      </c>
      <c r="C1688" s="4">
        <v>34</v>
      </c>
      <c r="D1688" s="4">
        <v>83</v>
      </c>
      <c r="E1688" s="4">
        <v>2</v>
      </c>
      <c r="F1688" s="8">
        <v>2</v>
      </c>
      <c r="G1688" s="4">
        <v>1</v>
      </c>
      <c r="H1688" s="4">
        <f t="shared" si="52"/>
        <v>1</v>
      </c>
      <c r="I1688" s="4">
        <f t="shared" si="53"/>
        <v>0</v>
      </c>
      <c r="J1688" s="4">
        <v>249</v>
      </c>
      <c r="K1688" s="4">
        <v>0</v>
      </c>
      <c r="L1688" s="4">
        <v>0</v>
      </c>
      <c r="M1688" s="4">
        <v>0</v>
      </c>
      <c r="N1688" s="4">
        <v>0</v>
      </c>
      <c r="O1688" s="4">
        <v>0</v>
      </c>
    </row>
    <row r="1689" spans="1:15" x14ac:dyDescent="0.15">
      <c r="A1689" s="4">
        <v>1686</v>
      </c>
      <c r="B1689" s="4">
        <v>40</v>
      </c>
      <c r="C1689" s="4">
        <v>16</v>
      </c>
      <c r="D1689" s="4">
        <v>89</v>
      </c>
      <c r="E1689" s="4">
        <v>4</v>
      </c>
      <c r="F1689" s="8">
        <v>0.8</v>
      </c>
      <c r="G1689" s="4">
        <v>1</v>
      </c>
      <c r="H1689" s="4">
        <f t="shared" si="52"/>
        <v>1</v>
      </c>
      <c r="I1689" s="4">
        <f t="shared" si="53"/>
        <v>0</v>
      </c>
      <c r="J1689" s="4">
        <v>155</v>
      </c>
      <c r="K1689" s="4">
        <v>0</v>
      </c>
      <c r="L1689" s="4">
        <v>0</v>
      </c>
      <c r="M1689" s="4">
        <v>1</v>
      </c>
      <c r="N1689" s="4">
        <v>0</v>
      </c>
      <c r="O1689" s="4">
        <v>0</v>
      </c>
    </row>
    <row r="1690" spans="1:15" x14ac:dyDescent="0.15">
      <c r="A1690" s="4">
        <v>1687</v>
      </c>
      <c r="B1690" s="4">
        <v>62</v>
      </c>
      <c r="C1690" s="4">
        <v>38</v>
      </c>
      <c r="D1690" s="4">
        <v>39</v>
      </c>
      <c r="E1690" s="4">
        <v>4</v>
      </c>
      <c r="F1690" s="8">
        <v>2.2000000000000002</v>
      </c>
      <c r="G1690" s="4">
        <v>1</v>
      </c>
      <c r="H1690" s="4">
        <f t="shared" si="52"/>
        <v>1</v>
      </c>
      <c r="I1690" s="4">
        <f t="shared" si="53"/>
        <v>0</v>
      </c>
      <c r="J1690" s="4">
        <v>0</v>
      </c>
      <c r="K1690" s="4">
        <v>1</v>
      </c>
      <c r="L1690" s="4">
        <v>0</v>
      </c>
      <c r="M1690" s="4">
        <v>1</v>
      </c>
      <c r="N1690" s="4">
        <v>0</v>
      </c>
      <c r="O1690" s="4">
        <v>0</v>
      </c>
    </row>
    <row r="1691" spans="1:15" x14ac:dyDescent="0.15">
      <c r="A1691" s="4">
        <v>1688</v>
      </c>
      <c r="B1691" s="4">
        <v>63</v>
      </c>
      <c r="C1691" s="4">
        <v>39</v>
      </c>
      <c r="D1691" s="4">
        <v>83</v>
      </c>
      <c r="E1691" s="4">
        <v>3</v>
      </c>
      <c r="F1691" s="8">
        <v>2</v>
      </c>
      <c r="G1691" s="4">
        <v>3</v>
      </c>
      <c r="H1691" s="4">
        <f t="shared" si="52"/>
        <v>0</v>
      </c>
      <c r="I1691" s="4">
        <f t="shared" si="53"/>
        <v>0</v>
      </c>
      <c r="J1691" s="4">
        <v>0</v>
      </c>
      <c r="K1691" s="4">
        <v>0</v>
      </c>
      <c r="L1691" s="4">
        <v>0</v>
      </c>
      <c r="M1691" s="4">
        <v>1</v>
      </c>
      <c r="N1691" s="4">
        <v>1</v>
      </c>
      <c r="O1691" s="4">
        <v>0</v>
      </c>
    </row>
    <row r="1692" spans="1:15" x14ac:dyDescent="0.15">
      <c r="A1692" s="4">
        <v>1689</v>
      </c>
      <c r="B1692" s="4">
        <v>60</v>
      </c>
      <c r="C1692" s="4">
        <v>34</v>
      </c>
      <c r="D1692" s="4">
        <v>108</v>
      </c>
      <c r="E1692" s="4">
        <v>2</v>
      </c>
      <c r="F1692" s="8">
        <v>2</v>
      </c>
      <c r="G1692" s="4">
        <v>1</v>
      </c>
      <c r="H1692" s="4">
        <f t="shared" si="52"/>
        <v>1</v>
      </c>
      <c r="I1692" s="4">
        <f t="shared" si="53"/>
        <v>0</v>
      </c>
      <c r="J1692" s="4">
        <v>359</v>
      </c>
      <c r="K1692" s="4">
        <v>0</v>
      </c>
      <c r="L1692" s="4">
        <v>0</v>
      </c>
      <c r="M1692" s="4">
        <v>1</v>
      </c>
      <c r="N1692" s="4">
        <v>0</v>
      </c>
      <c r="O1692" s="4">
        <v>0</v>
      </c>
    </row>
    <row r="1693" spans="1:15" x14ac:dyDescent="0.15">
      <c r="A1693" s="4">
        <v>1690</v>
      </c>
      <c r="B1693" s="4">
        <v>59</v>
      </c>
      <c r="C1693" s="4">
        <v>34</v>
      </c>
      <c r="D1693" s="4">
        <v>21</v>
      </c>
      <c r="E1693" s="4">
        <v>3</v>
      </c>
      <c r="F1693" s="8">
        <v>1.3</v>
      </c>
      <c r="G1693" s="4">
        <v>2</v>
      </c>
      <c r="H1693" s="4">
        <f t="shared" si="52"/>
        <v>0</v>
      </c>
      <c r="I1693" s="4">
        <f t="shared" si="53"/>
        <v>1</v>
      </c>
      <c r="J1693" s="4">
        <v>0</v>
      </c>
      <c r="K1693" s="4">
        <v>0</v>
      </c>
      <c r="L1693" s="4">
        <v>0</v>
      </c>
      <c r="M1693" s="4">
        <v>1</v>
      </c>
      <c r="N1693" s="4">
        <v>1</v>
      </c>
      <c r="O1693" s="4">
        <v>0</v>
      </c>
    </row>
    <row r="1694" spans="1:15" x14ac:dyDescent="0.15">
      <c r="A1694" s="4">
        <v>1691</v>
      </c>
      <c r="B1694" s="4">
        <v>26</v>
      </c>
      <c r="C1694" s="4">
        <v>1</v>
      </c>
      <c r="D1694" s="4">
        <v>102</v>
      </c>
      <c r="E1694" s="4">
        <v>1</v>
      </c>
      <c r="F1694" s="8">
        <v>1.9</v>
      </c>
      <c r="G1694" s="4">
        <v>1</v>
      </c>
      <c r="H1694" s="4">
        <f t="shared" si="52"/>
        <v>1</v>
      </c>
      <c r="I1694" s="4">
        <f t="shared" si="53"/>
        <v>0</v>
      </c>
      <c r="J1694" s="4">
        <v>0</v>
      </c>
      <c r="K1694" s="4">
        <v>0</v>
      </c>
      <c r="L1694" s="4">
        <v>0</v>
      </c>
      <c r="M1694" s="4">
        <v>0</v>
      </c>
      <c r="N1694" s="4">
        <v>0</v>
      </c>
      <c r="O1694" s="4">
        <v>0</v>
      </c>
    </row>
    <row r="1695" spans="1:15" x14ac:dyDescent="0.15">
      <c r="A1695" s="4">
        <v>1692</v>
      </c>
      <c r="B1695" s="4">
        <v>56</v>
      </c>
      <c r="C1695" s="4">
        <v>32</v>
      </c>
      <c r="D1695" s="4">
        <v>48</v>
      </c>
      <c r="E1695" s="4">
        <v>1</v>
      </c>
      <c r="F1695" s="8">
        <v>1.6</v>
      </c>
      <c r="G1695" s="4">
        <v>3</v>
      </c>
      <c r="H1695" s="4">
        <f t="shared" si="52"/>
        <v>0</v>
      </c>
      <c r="I1695" s="4">
        <f t="shared" si="53"/>
        <v>0</v>
      </c>
      <c r="J1695" s="4">
        <v>0</v>
      </c>
      <c r="K1695" s="4">
        <v>0</v>
      </c>
      <c r="L1695" s="4">
        <v>0</v>
      </c>
      <c r="M1695" s="4">
        <v>0</v>
      </c>
      <c r="N1695" s="4">
        <v>1</v>
      </c>
      <c r="O1695" s="4">
        <v>0</v>
      </c>
    </row>
    <row r="1696" spans="1:15" x14ac:dyDescent="0.15">
      <c r="A1696" s="4">
        <v>1693</v>
      </c>
      <c r="B1696" s="4">
        <v>58</v>
      </c>
      <c r="C1696" s="4">
        <v>32</v>
      </c>
      <c r="D1696" s="4">
        <v>32</v>
      </c>
      <c r="E1696" s="4">
        <v>3</v>
      </c>
      <c r="F1696" s="8">
        <v>1.4</v>
      </c>
      <c r="G1696" s="4">
        <v>1</v>
      </c>
      <c r="H1696" s="4">
        <f t="shared" si="52"/>
        <v>1</v>
      </c>
      <c r="I1696" s="4">
        <f t="shared" si="53"/>
        <v>0</v>
      </c>
      <c r="J1696" s="4">
        <v>0</v>
      </c>
      <c r="K1696" s="4">
        <v>0</v>
      </c>
      <c r="L1696" s="4">
        <v>0</v>
      </c>
      <c r="M1696" s="4">
        <v>1</v>
      </c>
      <c r="N1696" s="4">
        <v>0</v>
      </c>
      <c r="O1696" s="4">
        <v>0</v>
      </c>
    </row>
    <row r="1697" spans="1:15" x14ac:dyDescent="0.15">
      <c r="A1697" s="4">
        <v>1694</v>
      </c>
      <c r="B1697" s="4">
        <v>57</v>
      </c>
      <c r="C1697" s="4">
        <v>31</v>
      </c>
      <c r="D1697" s="4">
        <v>43</v>
      </c>
      <c r="E1697" s="4">
        <v>1</v>
      </c>
      <c r="F1697" s="8">
        <v>0.2</v>
      </c>
      <c r="G1697" s="4">
        <v>1</v>
      </c>
      <c r="H1697" s="4">
        <f t="shared" si="52"/>
        <v>1</v>
      </c>
      <c r="I1697" s="4">
        <f t="shared" si="53"/>
        <v>0</v>
      </c>
      <c r="J1697" s="4">
        <v>0</v>
      </c>
      <c r="K1697" s="4">
        <v>0</v>
      </c>
      <c r="L1697" s="4">
        <v>0</v>
      </c>
      <c r="M1697" s="4">
        <v>0</v>
      </c>
      <c r="N1697" s="4">
        <v>0</v>
      </c>
      <c r="O1697" s="4">
        <v>0</v>
      </c>
    </row>
    <row r="1698" spans="1:15" x14ac:dyDescent="0.15">
      <c r="A1698" s="4">
        <v>1695</v>
      </c>
      <c r="B1698" s="4">
        <v>48</v>
      </c>
      <c r="C1698" s="4">
        <v>23</v>
      </c>
      <c r="D1698" s="4">
        <v>35</v>
      </c>
      <c r="E1698" s="4">
        <v>4</v>
      </c>
      <c r="F1698" s="8">
        <v>0.4</v>
      </c>
      <c r="G1698" s="4">
        <v>2</v>
      </c>
      <c r="H1698" s="4">
        <f t="shared" si="52"/>
        <v>0</v>
      </c>
      <c r="I1698" s="4">
        <f t="shared" si="53"/>
        <v>1</v>
      </c>
      <c r="J1698" s="4">
        <v>118</v>
      </c>
      <c r="K1698" s="4">
        <v>0</v>
      </c>
      <c r="L1698" s="4">
        <v>0</v>
      </c>
      <c r="M1698" s="4">
        <v>0</v>
      </c>
      <c r="N1698" s="4">
        <v>0</v>
      </c>
      <c r="O1698" s="4">
        <v>0</v>
      </c>
    </row>
    <row r="1699" spans="1:15" x14ac:dyDescent="0.15">
      <c r="A1699" s="4">
        <v>1696</v>
      </c>
      <c r="B1699" s="4">
        <v>30</v>
      </c>
      <c r="C1699" s="4">
        <v>6</v>
      </c>
      <c r="D1699" s="4">
        <v>184</v>
      </c>
      <c r="E1699" s="4">
        <v>1</v>
      </c>
      <c r="F1699" s="8">
        <v>6</v>
      </c>
      <c r="G1699" s="4">
        <v>1</v>
      </c>
      <c r="H1699" s="4">
        <f t="shared" si="52"/>
        <v>1</v>
      </c>
      <c r="I1699" s="4">
        <f t="shared" si="53"/>
        <v>0</v>
      </c>
      <c r="J1699" s="4">
        <v>0</v>
      </c>
      <c r="K1699" s="4">
        <v>0</v>
      </c>
      <c r="L1699" s="4">
        <v>0</v>
      </c>
      <c r="M1699" s="4">
        <v>1</v>
      </c>
      <c r="N1699" s="4">
        <v>0</v>
      </c>
      <c r="O1699" s="4">
        <v>0</v>
      </c>
    </row>
    <row r="1700" spans="1:15" x14ac:dyDescent="0.15">
      <c r="A1700" s="4">
        <v>1697</v>
      </c>
      <c r="B1700" s="4">
        <v>45</v>
      </c>
      <c r="C1700" s="4">
        <v>21</v>
      </c>
      <c r="D1700" s="4">
        <v>140</v>
      </c>
      <c r="E1700" s="4">
        <v>2</v>
      </c>
      <c r="F1700" s="8">
        <v>7.6</v>
      </c>
      <c r="G1700" s="4">
        <v>1</v>
      </c>
      <c r="H1700" s="4">
        <f t="shared" si="52"/>
        <v>1</v>
      </c>
      <c r="I1700" s="4">
        <f t="shared" si="53"/>
        <v>0</v>
      </c>
      <c r="J1700" s="4">
        <v>132</v>
      </c>
      <c r="K1700" s="4">
        <v>0</v>
      </c>
      <c r="L1700" s="4">
        <v>0</v>
      </c>
      <c r="M1700" s="4">
        <v>0</v>
      </c>
      <c r="N1700" s="4">
        <v>0</v>
      </c>
      <c r="O1700" s="4">
        <v>0</v>
      </c>
    </row>
    <row r="1701" spans="1:15" x14ac:dyDescent="0.15">
      <c r="A1701" s="4">
        <v>1698</v>
      </c>
      <c r="B1701" s="4">
        <v>64</v>
      </c>
      <c r="C1701" s="4">
        <v>38</v>
      </c>
      <c r="D1701" s="4">
        <v>32</v>
      </c>
      <c r="E1701" s="4">
        <v>3</v>
      </c>
      <c r="F1701" s="8">
        <v>0.7</v>
      </c>
      <c r="G1701" s="4">
        <v>2</v>
      </c>
      <c r="H1701" s="4">
        <f t="shared" si="52"/>
        <v>0</v>
      </c>
      <c r="I1701" s="4">
        <f t="shared" si="53"/>
        <v>1</v>
      </c>
      <c r="J1701" s="4">
        <v>0</v>
      </c>
      <c r="K1701" s="4">
        <v>0</v>
      </c>
      <c r="L1701" s="4">
        <v>0</v>
      </c>
      <c r="M1701" s="4">
        <v>1</v>
      </c>
      <c r="N1701" s="4">
        <v>1</v>
      </c>
      <c r="O1701" s="4">
        <v>0</v>
      </c>
    </row>
    <row r="1702" spans="1:15" x14ac:dyDescent="0.15">
      <c r="A1702" s="4">
        <v>1699</v>
      </c>
      <c r="B1702" s="4">
        <v>44</v>
      </c>
      <c r="C1702" s="4">
        <v>20</v>
      </c>
      <c r="D1702" s="4">
        <v>149</v>
      </c>
      <c r="E1702" s="4">
        <v>1</v>
      </c>
      <c r="F1702" s="8">
        <v>1.7</v>
      </c>
      <c r="G1702" s="4">
        <v>1</v>
      </c>
      <c r="H1702" s="4">
        <f t="shared" si="52"/>
        <v>1</v>
      </c>
      <c r="I1702" s="4">
        <f t="shared" si="53"/>
        <v>0</v>
      </c>
      <c r="J1702" s="4">
        <v>0</v>
      </c>
      <c r="K1702" s="4">
        <v>0</v>
      </c>
      <c r="L1702" s="4">
        <v>0</v>
      </c>
      <c r="M1702" s="4">
        <v>1</v>
      </c>
      <c r="N1702" s="4">
        <v>0</v>
      </c>
      <c r="O1702" s="4">
        <v>0</v>
      </c>
    </row>
    <row r="1703" spans="1:15" x14ac:dyDescent="0.15">
      <c r="A1703" s="4">
        <v>1700</v>
      </c>
      <c r="B1703" s="4">
        <v>51</v>
      </c>
      <c r="C1703" s="4">
        <v>25</v>
      </c>
      <c r="D1703" s="4">
        <v>15</v>
      </c>
      <c r="E1703" s="4">
        <v>4</v>
      </c>
      <c r="F1703" s="8">
        <v>0.6</v>
      </c>
      <c r="G1703" s="4">
        <v>3</v>
      </c>
      <c r="H1703" s="4">
        <f t="shared" si="52"/>
        <v>0</v>
      </c>
      <c r="I1703" s="4">
        <f t="shared" si="53"/>
        <v>0</v>
      </c>
      <c r="J1703" s="4">
        <v>0</v>
      </c>
      <c r="K1703" s="4">
        <v>0</v>
      </c>
      <c r="L1703" s="4">
        <v>0</v>
      </c>
      <c r="M1703" s="4">
        <v>0</v>
      </c>
      <c r="N1703" s="4">
        <v>1</v>
      </c>
      <c r="O1703" s="4">
        <v>0</v>
      </c>
    </row>
    <row r="1704" spans="1:15" x14ac:dyDescent="0.15">
      <c r="A1704" s="4">
        <v>1701</v>
      </c>
      <c r="B1704" s="4">
        <v>43</v>
      </c>
      <c r="C1704" s="4">
        <v>16</v>
      </c>
      <c r="D1704" s="4">
        <v>71</v>
      </c>
      <c r="E1704" s="4">
        <v>3</v>
      </c>
      <c r="F1704" s="8">
        <v>2.3333333333333335</v>
      </c>
      <c r="G1704" s="4">
        <v>2</v>
      </c>
      <c r="H1704" s="4">
        <f t="shared" si="52"/>
        <v>0</v>
      </c>
      <c r="I1704" s="4">
        <f t="shared" si="53"/>
        <v>1</v>
      </c>
      <c r="J1704" s="4">
        <v>0</v>
      </c>
      <c r="K1704" s="4">
        <v>0</v>
      </c>
      <c r="L1704" s="4">
        <v>0</v>
      </c>
      <c r="M1704" s="4">
        <v>0</v>
      </c>
      <c r="N1704" s="4">
        <v>0</v>
      </c>
      <c r="O1704" s="4">
        <v>0</v>
      </c>
    </row>
    <row r="1705" spans="1:15" x14ac:dyDescent="0.15">
      <c r="A1705" s="4">
        <v>1702</v>
      </c>
      <c r="B1705" s="4">
        <v>29</v>
      </c>
      <c r="C1705" s="4">
        <v>3</v>
      </c>
      <c r="D1705" s="4">
        <v>108</v>
      </c>
      <c r="E1705" s="4">
        <v>4</v>
      </c>
      <c r="F1705" s="8">
        <v>1.8</v>
      </c>
      <c r="G1705" s="4">
        <v>2</v>
      </c>
      <c r="H1705" s="4">
        <f t="shared" si="52"/>
        <v>0</v>
      </c>
      <c r="I1705" s="4">
        <f t="shared" si="53"/>
        <v>1</v>
      </c>
      <c r="J1705" s="4">
        <v>0</v>
      </c>
      <c r="K1705" s="4">
        <v>0</v>
      </c>
      <c r="L1705" s="4">
        <v>0</v>
      </c>
      <c r="M1705" s="4">
        <v>0</v>
      </c>
      <c r="N1705" s="4">
        <v>0</v>
      </c>
      <c r="O1705" s="4">
        <v>0</v>
      </c>
    </row>
    <row r="1706" spans="1:15" x14ac:dyDescent="0.15">
      <c r="A1706" s="4">
        <v>1703</v>
      </c>
      <c r="B1706" s="4">
        <v>56</v>
      </c>
      <c r="C1706" s="4">
        <v>30</v>
      </c>
      <c r="D1706" s="4">
        <v>122</v>
      </c>
      <c r="E1706" s="4">
        <v>2</v>
      </c>
      <c r="F1706" s="8">
        <v>0.5</v>
      </c>
      <c r="G1706" s="4">
        <v>1</v>
      </c>
      <c r="H1706" s="4">
        <f t="shared" si="52"/>
        <v>1</v>
      </c>
      <c r="I1706" s="4">
        <f t="shared" si="53"/>
        <v>0</v>
      </c>
      <c r="J1706" s="4">
        <v>0</v>
      </c>
      <c r="K1706" s="4">
        <v>0</v>
      </c>
      <c r="L1706" s="4">
        <v>0</v>
      </c>
      <c r="M1706" s="4">
        <v>0</v>
      </c>
      <c r="N1706" s="4">
        <v>1</v>
      </c>
      <c r="O1706" s="4">
        <v>0</v>
      </c>
    </row>
    <row r="1707" spans="1:15" x14ac:dyDescent="0.15">
      <c r="A1707" s="4">
        <v>1704</v>
      </c>
      <c r="B1707" s="4">
        <v>65</v>
      </c>
      <c r="C1707" s="4">
        <v>41</v>
      </c>
      <c r="D1707" s="4">
        <v>40</v>
      </c>
      <c r="E1707" s="4">
        <v>3</v>
      </c>
      <c r="F1707" s="8">
        <v>0.1</v>
      </c>
      <c r="G1707" s="4">
        <v>3</v>
      </c>
      <c r="H1707" s="4">
        <f t="shared" si="52"/>
        <v>0</v>
      </c>
      <c r="I1707" s="4">
        <f t="shared" si="53"/>
        <v>0</v>
      </c>
      <c r="J1707" s="4">
        <v>0</v>
      </c>
      <c r="K1707" s="4">
        <v>0</v>
      </c>
      <c r="L1707" s="4">
        <v>0</v>
      </c>
      <c r="M1707" s="4">
        <v>1</v>
      </c>
      <c r="N1707" s="4">
        <v>0</v>
      </c>
      <c r="O1707" s="4">
        <v>0</v>
      </c>
    </row>
    <row r="1708" spans="1:15" x14ac:dyDescent="0.15">
      <c r="A1708" s="4">
        <v>1705</v>
      </c>
      <c r="B1708" s="4">
        <v>46</v>
      </c>
      <c r="C1708" s="4">
        <v>22</v>
      </c>
      <c r="D1708" s="4">
        <v>198</v>
      </c>
      <c r="E1708" s="4">
        <v>2</v>
      </c>
      <c r="F1708" s="8">
        <v>6.666666666666667</v>
      </c>
      <c r="G1708" s="4">
        <v>1</v>
      </c>
      <c r="H1708" s="4">
        <f t="shared" si="52"/>
        <v>1</v>
      </c>
      <c r="I1708" s="4">
        <f t="shared" si="53"/>
        <v>0</v>
      </c>
      <c r="J1708" s="4">
        <v>0</v>
      </c>
      <c r="K1708" s="4">
        <v>0</v>
      </c>
      <c r="L1708" s="4">
        <v>0</v>
      </c>
      <c r="M1708" s="4">
        <v>0</v>
      </c>
      <c r="N1708" s="4">
        <v>1</v>
      </c>
      <c r="O1708" s="4">
        <v>0</v>
      </c>
    </row>
    <row r="1709" spans="1:15" x14ac:dyDescent="0.15">
      <c r="A1709" s="4">
        <v>1706</v>
      </c>
      <c r="B1709" s="4">
        <v>48</v>
      </c>
      <c r="C1709" s="4">
        <v>24</v>
      </c>
      <c r="D1709" s="4">
        <v>79</v>
      </c>
      <c r="E1709" s="4">
        <v>4</v>
      </c>
      <c r="F1709" s="8">
        <v>1.4</v>
      </c>
      <c r="G1709" s="4">
        <v>2</v>
      </c>
      <c r="H1709" s="4">
        <f t="shared" si="52"/>
        <v>0</v>
      </c>
      <c r="I1709" s="4">
        <f t="shared" si="53"/>
        <v>1</v>
      </c>
      <c r="J1709" s="4">
        <v>0</v>
      </c>
      <c r="K1709" s="4">
        <v>1</v>
      </c>
      <c r="L1709" s="4">
        <v>0</v>
      </c>
      <c r="M1709" s="4">
        <v>0</v>
      </c>
      <c r="N1709" s="4">
        <v>1</v>
      </c>
      <c r="O1709" s="4">
        <v>0</v>
      </c>
    </row>
    <row r="1710" spans="1:15" x14ac:dyDescent="0.15">
      <c r="A1710" s="4">
        <v>1707</v>
      </c>
      <c r="B1710" s="4">
        <v>56</v>
      </c>
      <c r="C1710" s="4">
        <v>31</v>
      </c>
      <c r="D1710" s="4">
        <v>84</v>
      </c>
      <c r="E1710" s="4">
        <v>1</v>
      </c>
      <c r="F1710" s="8">
        <v>0.1</v>
      </c>
      <c r="G1710" s="4">
        <v>3</v>
      </c>
      <c r="H1710" s="4">
        <f t="shared" si="52"/>
        <v>0</v>
      </c>
      <c r="I1710" s="4">
        <f t="shared" si="53"/>
        <v>0</v>
      </c>
      <c r="J1710" s="4">
        <v>0</v>
      </c>
      <c r="K1710" s="4">
        <v>0</v>
      </c>
      <c r="L1710" s="4">
        <v>0</v>
      </c>
      <c r="M1710" s="4">
        <v>1</v>
      </c>
      <c r="N1710" s="4">
        <v>0</v>
      </c>
      <c r="O1710" s="4">
        <v>0</v>
      </c>
    </row>
    <row r="1711" spans="1:15" x14ac:dyDescent="0.15">
      <c r="A1711" s="4">
        <v>1708</v>
      </c>
      <c r="B1711" s="4">
        <v>61</v>
      </c>
      <c r="C1711" s="4">
        <v>37</v>
      </c>
      <c r="D1711" s="4">
        <v>31</v>
      </c>
      <c r="E1711" s="4">
        <v>3</v>
      </c>
      <c r="F1711" s="8">
        <v>0.4</v>
      </c>
      <c r="G1711" s="4">
        <v>2</v>
      </c>
      <c r="H1711" s="4">
        <f t="shared" si="52"/>
        <v>0</v>
      </c>
      <c r="I1711" s="4">
        <f t="shared" si="53"/>
        <v>1</v>
      </c>
      <c r="J1711" s="4">
        <v>0</v>
      </c>
      <c r="K1711" s="4">
        <v>0</v>
      </c>
      <c r="L1711" s="4">
        <v>0</v>
      </c>
      <c r="M1711" s="4">
        <v>0</v>
      </c>
      <c r="N1711" s="4">
        <v>1</v>
      </c>
      <c r="O1711" s="4">
        <v>0</v>
      </c>
    </row>
    <row r="1712" spans="1:15" x14ac:dyDescent="0.15">
      <c r="A1712" s="4">
        <v>1709</v>
      </c>
      <c r="B1712" s="4">
        <v>46</v>
      </c>
      <c r="C1712" s="4">
        <v>20</v>
      </c>
      <c r="D1712" s="4">
        <v>12</v>
      </c>
      <c r="E1712" s="4">
        <v>4</v>
      </c>
      <c r="F1712" s="8">
        <v>0.6</v>
      </c>
      <c r="G1712" s="4">
        <v>3</v>
      </c>
      <c r="H1712" s="4">
        <f t="shared" si="52"/>
        <v>0</v>
      </c>
      <c r="I1712" s="4">
        <f t="shared" si="53"/>
        <v>0</v>
      </c>
      <c r="J1712" s="4">
        <v>0</v>
      </c>
      <c r="K1712" s="4">
        <v>0</v>
      </c>
      <c r="L1712" s="4">
        <v>0</v>
      </c>
      <c r="M1712" s="4">
        <v>0</v>
      </c>
      <c r="N1712" s="4">
        <v>1</v>
      </c>
      <c r="O1712" s="4">
        <v>0</v>
      </c>
    </row>
    <row r="1713" spans="1:15" x14ac:dyDescent="0.15">
      <c r="A1713" s="4">
        <v>1710</v>
      </c>
      <c r="B1713" s="4">
        <v>58</v>
      </c>
      <c r="C1713" s="4">
        <v>34</v>
      </c>
      <c r="D1713" s="4">
        <v>88</v>
      </c>
      <c r="E1713" s="4">
        <v>2</v>
      </c>
      <c r="F1713" s="8">
        <v>1.6</v>
      </c>
      <c r="G1713" s="4">
        <v>1</v>
      </c>
      <c r="H1713" s="4">
        <f t="shared" si="52"/>
        <v>1</v>
      </c>
      <c r="I1713" s="4">
        <f t="shared" si="53"/>
        <v>0</v>
      </c>
      <c r="J1713" s="4">
        <v>0</v>
      </c>
      <c r="K1713" s="4">
        <v>0</v>
      </c>
      <c r="L1713" s="4">
        <v>0</v>
      </c>
      <c r="M1713" s="4">
        <v>1</v>
      </c>
      <c r="N1713" s="4">
        <v>1</v>
      </c>
      <c r="O1713" s="4">
        <v>0</v>
      </c>
    </row>
    <row r="1714" spans="1:15" x14ac:dyDescent="0.15">
      <c r="A1714" s="4">
        <v>1711</v>
      </c>
      <c r="B1714" s="4">
        <v>31</v>
      </c>
      <c r="C1714" s="4">
        <v>5</v>
      </c>
      <c r="D1714" s="4">
        <v>29</v>
      </c>
      <c r="E1714" s="4">
        <v>2</v>
      </c>
      <c r="F1714" s="8">
        <v>0.3</v>
      </c>
      <c r="G1714" s="4">
        <v>2</v>
      </c>
      <c r="H1714" s="4">
        <f t="shared" si="52"/>
        <v>0</v>
      </c>
      <c r="I1714" s="4">
        <f t="shared" si="53"/>
        <v>1</v>
      </c>
      <c r="J1714" s="4">
        <v>131</v>
      </c>
      <c r="K1714" s="4">
        <v>0</v>
      </c>
      <c r="L1714" s="4">
        <v>0</v>
      </c>
      <c r="M1714" s="4">
        <v>1</v>
      </c>
      <c r="N1714" s="4">
        <v>1</v>
      </c>
      <c r="O1714" s="4">
        <v>0</v>
      </c>
    </row>
    <row r="1715" spans="1:15" x14ac:dyDescent="0.15">
      <c r="A1715" s="4">
        <v>1712</v>
      </c>
      <c r="B1715" s="4">
        <v>27</v>
      </c>
      <c r="C1715" s="4">
        <v>3</v>
      </c>
      <c r="D1715" s="4">
        <v>201</v>
      </c>
      <c r="E1715" s="4">
        <v>1</v>
      </c>
      <c r="F1715" s="8">
        <v>6.333333333333333</v>
      </c>
      <c r="G1715" s="4">
        <v>1</v>
      </c>
      <c r="H1715" s="4">
        <f t="shared" si="52"/>
        <v>1</v>
      </c>
      <c r="I1715" s="4">
        <f t="shared" si="53"/>
        <v>0</v>
      </c>
      <c r="J1715" s="4">
        <v>158</v>
      </c>
      <c r="K1715" s="4">
        <v>0</v>
      </c>
      <c r="L1715" s="4">
        <v>0</v>
      </c>
      <c r="M1715" s="4">
        <v>1</v>
      </c>
      <c r="N1715" s="4">
        <v>0</v>
      </c>
      <c r="O1715" s="4">
        <v>0</v>
      </c>
    </row>
    <row r="1716" spans="1:15" x14ac:dyDescent="0.15">
      <c r="A1716" s="4">
        <v>1713</v>
      </c>
      <c r="B1716" s="4">
        <v>44</v>
      </c>
      <c r="C1716" s="4">
        <v>20</v>
      </c>
      <c r="D1716" s="4">
        <v>20</v>
      </c>
      <c r="E1716" s="4">
        <v>1</v>
      </c>
      <c r="F1716" s="8">
        <v>1.4</v>
      </c>
      <c r="G1716" s="4">
        <v>3</v>
      </c>
      <c r="H1716" s="4">
        <f t="shared" si="52"/>
        <v>0</v>
      </c>
      <c r="I1716" s="4">
        <f t="shared" si="53"/>
        <v>0</v>
      </c>
      <c r="J1716" s="4">
        <v>0</v>
      </c>
      <c r="K1716" s="4">
        <v>0</v>
      </c>
      <c r="L1716" s="4">
        <v>0</v>
      </c>
      <c r="M1716" s="4">
        <v>0</v>
      </c>
      <c r="N1716" s="4">
        <v>0</v>
      </c>
      <c r="O1716" s="4">
        <v>0</v>
      </c>
    </row>
    <row r="1717" spans="1:15" x14ac:dyDescent="0.15">
      <c r="A1717" s="4">
        <v>1714</v>
      </c>
      <c r="B1717" s="4">
        <v>44</v>
      </c>
      <c r="C1717" s="4">
        <v>20</v>
      </c>
      <c r="D1717" s="4">
        <v>15</v>
      </c>
      <c r="E1717" s="4">
        <v>1</v>
      </c>
      <c r="F1717" s="8">
        <v>1</v>
      </c>
      <c r="G1717" s="4">
        <v>1</v>
      </c>
      <c r="H1717" s="4">
        <f t="shared" si="52"/>
        <v>1</v>
      </c>
      <c r="I1717" s="4">
        <f t="shared" si="53"/>
        <v>0</v>
      </c>
      <c r="J1717" s="4">
        <v>0</v>
      </c>
      <c r="K1717" s="4">
        <v>0</v>
      </c>
      <c r="L1717" s="4">
        <v>0</v>
      </c>
      <c r="M1717" s="4">
        <v>1</v>
      </c>
      <c r="N1717" s="4">
        <v>0</v>
      </c>
      <c r="O1717" s="4">
        <v>0</v>
      </c>
    </row>
    <row r="1718" spans="1:15" x14ac:dyDescent="0.15">
      <c r="A1718" s="4">
        <v>1715</v>
      </c>
      <c r="B1718" s="4">
        <v>51</v>
      </c>
      <c r="C1718" s="4">
        <v>27</v>
      </c>
      <c r="D1718" s="4">
        <v>155</v>
      </c>
      <c r="E1718" s="4">
        <v>2</v>
      </c>
      <c r="F1718" s="8">
        <v>0.4</v>
      </c>
      <c r="G1718" s="4">
        <v>1</v>
      </c>
      <c r="H1718" s="4">
        <f t="shared" si="52"/>
        <v>1</v>
      </c>
      <c r="I1718" s="4">
        <f t="shared" si="53"/>
        <v>0</v>
      </c>
      <c r="J1718" s="4">
        <v>107</v>
      </c>
      <c r="K1718" s="4">
        <v>0</v>
      </c>
      <c r="L1718" s="4">
        <v>0</v>
      </c>
      <c r="M1718" s="4">
        <v>0</v>
      </c>
      <c r="N1718" s="4">
        <v>1</v>
      </c>
      <c r="O1718" s="4">
        <v>0</v>
      </c>
    </row>
    <row r="1719" spans="1:15" x14ac:dyDescent="0.15">
      <c r="A1719" s="4">
        <v>1716</v>
      </c>
      <c r="B1719" s="4">
        <v>39</v>
      </c>
      <c r="C1719" s="4">
        <v>13</v>
      </c>
      <c r="D1719" s="4">
        <v>25</v>
      </c>
      <c r="E1719" s="4">
        <v>3</v>
      </c>
      <c r="F1719" s="8">
        <v>0.2</v>
      </c>
      <c r="G1719" s="4">
        <v>2</v>
      </c>
      <c r="H1719" s="4">
        <f t="shared" si="52"/>
        <v>0</v>
      </c>
      <c r="I1719" s="4">
        <f t="shared" si="53"/>
        <v>1</v>
      </c>
      <c r="J1719" s="4">
        <v>0</v>
      </c>
      <c r="K1719" s="4">
        <v>0</v>
      </c>
      <c r="L1719" s="4">
        <v>0</v>
      </c>
      <c r="M1719" s="4">
        <v>1</v>
      </c>
      <c r="N1719" s="4">
        <v>0</v>
      </c>
      <c r="O1719" s="4">
        <v>0</v>
      </c>
    </row>
    <row r="1720" spans="1:15" x14ac:dyDescent="0.15">
      <c r="A1720" s="4">
        <v>1717</v>
      </c>
      <c r="B1720" s="4">
        <v>32</v>
      </c>
      <c r="C1720" s="4">
        <v>8</v>
      </c>
      <c r="D1720" s="4">
        <v>200</v>
      </c>
      <c r="E1720" s="4">
        <v>2</v>
      </c>
      <c r="F1720" s="8">
        <v>6.5</v>
      </c>
      <c r="G1720" s="4">
        <v>1</v>
      </c>
      <c r="H1720" s="4">
        <f t="shared" si="52"/>
        <v>1</v>
      </c>
      <c r="I1720" s="4">
        <f t="shared" si="53"/>
        <v>0</v>
      </c>
      <c r="J1720" s="4">
        <v>565</v>
      </c>
      <c r="K1720" s="4">
        <v>0</v>
      </c>
      <c r="L1720" s="4">
        <v>0</v>
      </c>
      <c r="M1720" s="4">
        <v>1</v>
      </c>
      <c r="N1720" s="4">
        <v>0</v>
      </c>
      <c r="O1720" s="4">
        <v>0</v>
      </c>
    </row>
    <row r="1721" spans="1:15" x14ac:dyDescent="0.15">
      <c r="A1721" s="4">
        <v>1718</v>
      </c>
      <c r="B1721" s="4">
        <v>33</v>
      </c>
      <c r="C1721" s="4">
        <v>7</v>
      </c>
      <c r="D1721" s="4">
        <v>101</v>
      </c>
      <c r="E1721" s="4">
        <v>1</v>
      </c>
      <c r="F1721" s="8">
        <v>2.7</v>
      </c>
      <c r="G1721" s="4">
        <v>2</v>
      </c>
      <c r="H1721" s="4">
        <f t="shared" si="52"/>
        <v>0</v>
      </c>
      <c r="I1721" s="4">
        <f t="shared" si="53"/>
        <v>1</v>
      </c>
      <c r="J1721" s="4">
        <v>233</v>
      </c>
      <c r="K1721" s="4">
        <v>0</v>
      </c>
      <c r="L1721" s="4">
        <v>0</v>
      </c>
      <c r="M1721" s="4">
        <v>0</v>
      </c>
      <c r="N1721" s="4">
        <v>0</v>
      </c>
      <c r="O1721" s="4">
        <v>0</v>
      </c>
    </row>
    <row r="1722" spans="1:15" x14ac:dyDescent="0.15">
      <c r="A1722" s="4">
        <v>1719</v>
      </c>
      <c r="B1722" s="4">
        <v>40</v>
      </c>
      <c r="C1722" s="4">
        <v>16</v>
      </c>
      <c r="D1722" s="4">
        <v>19</v>
      </c>
      <c r="E1722" s="4">
        <v>4</v>
      </c>
      <c r="F1722" s="8">
        <v>0.4</v>
      </c>
      <c r="G1722" s="4">
        <v>2</v>
      </c>
      <c r="H1722" s="4">
        <f t="shared" si="52"/>
        <v>0</v>
      </c>
      <c r="I1722" s="4">
        <f t="shared" si="53"/>
        <v>1</v>
      </c>
      <c r="J1722" s="4">
        <v>0</v>
      </c>
      <c r="K1722" s="4">
        <v>0</v>
      </c>
      <c r="L1722" s="4">
        <v>0</v>
      </c>
      <c r="M1722" s="4">
        <v>1</v>
      </c>
      <c r="N1722" s="4">
        <v>1</v>
      </c>
      <c r="O1722" s="4">
        <v>0</v>
      </c>
    </row>
    <row r="1723" spans="1:15" x14ac:dyDescent="0.15">
      <c r="A1723" s="4">
        <v>1720</v>
      </c>
      <c r="B1723" s="4">
        <v>36</v>
      </c>
      <c r="C1723" s="4">
        <v>12</v>
      </c>
      <c r="D1723" s="4">
        <v>188</v>
      </c>
      <c r="E1723" s="4">
        <v>2</v>
      </c>
      <c r="F1723" s="8">
        <v>6.5</v>
      </c>
      <c r="G1723" s="4">
        <v>1</v>
      </c>
      <c r="H1723" s="4">
        <f t="shared" si="52"/>
        <v>1</v>
      </c>
      <c r="I1723" s="4">
        <f t="shared" si="53"/>
        <v>0</v>
      </c>
      <c r="J1723" s="4">
        <v>0</v>
      </c>
      <c r="K1723" s="4">
        <v>0</v>
      </c>
      <c r="L1723" s="4">
        <v>0</v>
      </c>
      <c r="M1723" s="4">
        <v>1</v>
      </c>
      <c r="N1723" s="4">
        <v>1</v>
      </c>
      <c r="O1723" s="4">
        <v>0</v>
      </c>
    </row>
    <row r="1724" spans="1:15" x14ac:dyDescent="0.15">
      <c r="A1724" s="4">
        <v>1721</v>
      </c>
      <c r="B1724" s="4">
        <v>52</v>
      </c>
      <c r="C1724" s="4">
        <v>28</v>
      </c>
      <c r="D1724" s="4">
        <v>8</v>
      </c>
      <c r="E1724" s="4">
        <v>1</v>
      </c>
      <c r="F1724" s="8">
        <v>0.3</v>
      </c>
      <c r="G1724" s="4">
        <v>1</v>
      </c>
      <c r="H1724" s="4">
        <f t="shared" si="52"/>
        <v>1</v>
      </c>
      <c r="I1724" s="4">
        <f t="shared" si="53"/>
        <v>0</v>
      </c>
      <c r="J1724" s="4">
        <v>0</v>
      </c>
      <c r="K1724" s="4">
        <v>0</v>
      </c>
      <c r="L1724" s="4">
        <v>0</v>
      </c>
      <c r="M1724" s="4">
        <v>1</v>
      </c>
      <c r="N1724" s="4">
        <v>0</v>
      </c>
      <c r="O1724" s="4">
        <v>0</v>
      </c>
    </row>
    <row r="1725" spans="1:15" x14ac:dyDescent="0.15">
      <c r="A1725" s="4">
        <v>1722</v>
      </c>
      <c r="B1725" s="4">
        <v>54</v>
      </c>
      <c r="C1725" s="4">
        <v>29</v>
      </c>
      <c r="D1725" s="4">
        <v>59</v>
      </c>
      <c r="E1725" s="4">
        <v>2</v>
      </c>
      <c r="F1725" s="8">
        <v>2.2999999999999998</v>
      </c>
      <c r="G1725" s="4">
        <v>3</v>
      </c>
      <c r="H1725" s="4">
        <f t="shared" si="52"/>
        <v>0</v>
      </c>
      <c r="I1725" s="4">
        <f t="shared" si="53"/>
        <v>0</v>
      </c>
      <c r="J1725" s="4">
        <v>152</v>
      </c>
      <c r="K1725" s="4">
        <v>0</v>
      </c>
      <c r="L1725" s="4">
        <v>0</v>
      </c>
      <c r="M1725" s="4">
        <v>1</v>
      </c>
      <c r="N1725" s="4">
        <v>0</v>
      </c>
      <c r="O1725" s="4">
        <v>0</v>
      </c>
    </row>
    <row r="1726" spans="1:15" x14ac:dyDescent="0.15">
      <c r="A1726" s="4">
        <v>1723</v>
      </c>
      <c r="B1726" s="4">
        <v>26</v>
      </c>
      <c r="C1726" s="4">
        <v>2</v>
      </c>
      <c r="D1726" s="4">
        <v>72</v>
      </c>
      <c r="E1726" s="4">
        <v>4</v>
      </c>
      <c r="F1726" s="8">
        <v>2.6</v>
      </c>
      <c r="G1726" s="4">
        <v>1</v>
      </c>
      <c r="H1726" s="4">
        <f t="shared" si="52"/>
        <v>1</v>
      </c>
      <c r="I1726" s="4">
        <f t="shared" si="53"/>
        <v>0</v>
      </c>
      <c r="J1726" s="4">
        <v>0</v>
      </c>
      <c r="K1726" s="4">
        <v>1</v>
      </c>
      <c r="L1726" s="4">
        <v>1</v>
      </c>
      <c r="M1726" s="4">
        <v>1</v>
      </c>
      <c r="N1726" s="4">
        <v>0</v>
      </c>
      <c r="O1726" s="4">
        <v>0</v>
      </c>
    </row>
    <row r="1727" spans="1:15" x14ac:dyDescent="0.15">
      <c r="A1727" s="4">
        <v>1724</v>
      </c>
      <c r="B1727" s="4">
        <v>39</v>
      </c>
      <c r="C1727" s="4">
        <v>15</v>
      </c>
      <c r="D1727" s="4">
        <v>55</v>
      </c>
      <c r="E1727" s="4">
        <v>1</v>
      </c>
      <c r="F1727" s="8">
        <v>1.5</v>
      </c>
      <c r="G1727" s="4">
        <v>3</v>
      </c>
      <c r="H1727" s="4">
        <f t="shared" si="52"/>
        <v>0</v>
      </c>
      <c r="I1727" s="4">
        <f t="shared" si="53"/>
        <v>0</v>
      </c>
      <c r="J1727" s="4">
        <v>0</v>
      </c>
      <c r="K1727" s="4">
        <v>0</v>
      </c>
      <c r="L1727" s="4">
        <v>0</v>
      </c>
      <c r="M1727" s="4">
        <v>1</v>
      </c>
      <c r="N1727" s="4">
        <v>0</v>
      </c>
      <c r="O1727" s="4">
        <v>0</v>
      </c>
    </row>
    <row r="1728" spans="1:15" x14ac:dyDescent="0.15">
      <c r="A1728" s="4">
        <v>1725</v>
      </c>
      <c r="B1728" s="4">
        <v>46</v>
      </c>
      <c r="C1728" s="4">
        <v>19</v>
      </c>
      <c r="D1728" s="4">
        <v>24</v>
      </c>
      <c r="E1728" s="4">
        <v>3</v>
      </c>
      <c r="F1728" s="8">
        <v>0.66666666666666663</v>
      </c>
      <c r="G1728" s="4">
        <v>2</v>
      </c>
      <c r="H1728" s="4">
        <f t="shared" si="52"/>
        <v>0</v>
      </c>
      <c r="I1728" s="4">
        <f t="shared" si="53"/>
        <v>1</v>
      </c>
      <c r="J1728" s="4">
        <v>0</v>
      </c>
      <c r="K1728" s="4">
        <v>0</v>
      </c>
      <c r="L1728" s="4">
        <v>0</v>
      </c>
      <c r="M1728" s="4">
        <v>1</v>
      </c>
      <c r="N1728" s="4">
        <v>0</v>
      </c>
      <c r="O1728" s="4">
        <v>0</v>
      </c>
    </row>
    <row r="1729" spans="1:15" x14ac:dyDescent="0.15">
      <c r="A1729" s="4">
        <v>1726</v>
      </c>
      <c r="B1729" s="4">
        <v>57</v>
      </c>
      <c r="C1729" s="4">
        <v>32</v>
      </c>
      <c r="D1729" s="4">
        <v>19</v>
      </c>
      <c r="E1729" s="4">
        <v>1</v>
      </c>
      <c r="F1729" s="8">
        <v>1.3</v>
      </c>
      <c r="G1729" s="4">
        <v>1</v>
      </c>
      <c r="H1729" s="4">
        <f t="shared" si="52"/>
        <v>1</v>
      </c>
      <c r="I1729" s="4">
        <f t="shared" si="53"/>
        <v>0</v>
      </c>
      <c r="J1729" s="4">
        <v>0</v>
      </c>
      <c r="K1729" s="4">
        <v>0</v>
      </c>
      <c r="L1729" s="4">
        <v>0</v>
      </c>
      <c r="M1729" s="4">
        <v>1</v>
      </c>
      <c r="N1729" s="4">
        <v>0</v>
      </c>
      <c r="O1729" s="4">
        <v>0</v>
      </c>
    </row>
    <row r="1730" spans="1:15" x14ac:dyDescent="0.15">
      <c r="A1730" s="4">
        <v>1727</v>
      </c>
      <c r="B1730" s="4">
        <v>59</v>
      </c>
      <c r="C1730" s="4">
        <v>33</v>
      </c>
      <c r="D1730" s="4">
        <v>71</v>
      </c>
      <c r="E1730" s="4">
        <v>2</v>
      </c>
      <c r="F1730" s="8">
        <v>2.2999999999999998</v>
      </c>
      <c r="G1730" s="4">
        <v>3</v>
      </c>
      <c r="H1730" s="4">
        <f t="shared" si="52"/>
        <v>0</v>
      </c>
      <c r="I1730" s="4">
        <f t="shared" si="53"/>
        <v>0</v>
      </c>
      <c r="J1730" s="4">
        <v>150</v>
      </c>
      <c r="K1730" s="4">
        <v>0</v>
      </c>
      <c r="L1730" s="4">
        <v>0</v>
      </c>
      <c r="M1730" s="4">
        <v>1</v>
      </c>
      <c r="N1730" s="4">
        <v>1</v>
      </c>
      <c r="O1730" s="4">
        <v>0</v>
      </c>
    </row>
    <row r="1731" spans="1:15" x14ac:dyDescent="0.15">
      <c r="A1731" s="4">
        <v>1728</v>
      </c>
      <c r="B1731" s="4">
        <v>52</v>
      </c>
      <c r="C1731" s="4">
        <v>26</v>
      </c>
      <c r="D1731" s="4">
        <v>54</v>
      </c>
      <c r="E1731" s="4">
        <v>2</v>
      </c>
      <c r="F1731" s="8">
        <v>1.5</v>
      </c>
      <c r="G1731" s="4">
        <v>2</v>
      </c>
      <c r="H1731" s="4">
        <f t="shared" si="52"/>
        <v>0</v>
      </c>
      <c r="I1731" s="4">
        <f t="shared" si="53"/>
        <v>1</v>
      </c>
      <c r="J1731" s="4">
        <v>0</v>
      </c>
      <c r="K1731" s="4">
        <v>0</v>
      </c>
      <c r="L1731" s="4">
        <v>0</v>
      </c>
      <c r="M1731" s="4">
        <v>0</v>
      </c>
      <c r="N1731" s="4">
        <v>1</v>
      </c>
      <c r="O1731" s="4">
        <v>0</v>
      </c>
    </row>
    <row r="1732" spans="1:15" x14ac:dyDescent="0.15">
      <c r="A1732" s="4">
        <v>1729</v>
      </c>
      <c r="B1732" s="4">
        <v>52</v>
      </c>
      <c r="C1732" s="4">
        <v>26</v>
      </c>
      <c r="D1732" s="4">
        <v>28</v>
      </c>
      <c r="E1732" s="4">
        <v>1</v>
      </c>
      <c r="F1732" s="8">
        <v>0.3</v>
      </c>
      <c r="G1732" s="4">
        <v>3</v>
      </c>
      <c r="H1732" s="4">
        <f t="shared" si="52"/>
        <v>0</v>
      </c>
      <c r="I1732" s="4">
        <f t="shared" si="53"/>
        <v>0</v>
      </c>
      <c r="J1732" s="4">
        <v>0</v>
      </c>
      <c r="K1732" s="4">
        <v>0</v>
      </c>
      <c r="L1732" s="4">
        <v>0</v>
      </c>
      <c r="M1732" s="4">
        <v>1</v>
      </c>
      <c r="N1732" s="4">
        <v>0</v>
      </c>
      <c r="O1732" s="4">
        <v>0</v>
      </c>
    </row>
    <row r="1733" spans="1:15" x14ac:dyDescent="0.15">
      <c r="A1733" s="4">
        <v>1730</v>
      </c>
      <c r="B1733" s="4">
        <v>50</v>
      </c>
      <c r="C1733" s="4">
        <v>20</v>
      </c>
      <c r="D1733" s="4">
        <v>25</v>
      </c>
      <c r="E1733" s="4">
        <v>4</v>
      </c>
      <c r="F1733" s="8">
        <v>0.4</v>
      </c>
      <c r="G1733" s="4">
        <v>3</v>
      </c>
      <c r="H1733" s="4">
        <f t="shared" ref="H1733:H1796" si="54">IF(G1733=1,1,0)</f>
        <v>0</v>
      </c>
      <c r="I1733" s="4">
        <f t="shared" ref="I1733:I1796" si="55">IF(G1733=2,1,0)</f>
        <v>0</v>
      </c>
      <c r="J1733" s="4">
        <v>0</v>
      </c>
      <c r="K1733" s="4">
        <v>0</v>
      </c>
      <c r="L1733" s="4">
        <v>0</v>
      </c>
      <c r="M1733" s="4">
        <v>1</v>
      </c>
      <c r="N1733" s="4">
        <v>0</v>
      </c>
      <c r="O1733" s="4">
        <v>0</v>
      </c>
    </row>
    <row r="1734" spans="1:15" x14ac:dyDescent="0.15">
      <c r="A1734" s="4">
        <v>1731</v>
      </c>
      <c r="B1734" s="4">
        <v>41</v>
      </c>
      <c r="C1734" s="4">
        <v>17</v>
      </c>
      <c r="D1734" s="4">
        <v>51</v>
      </c>
      <c r="E1734" s="4">
        <v>2</v>
      </c>
      <c r="F1734" s="8">
        <v>0.6</v>
      </c>
      <c r="G1734" s="4">
        <v>3</v>
      </c>
      <c r="H1734" s="4">
        <f t="shared" si="54"/>
        <v>0</v>
      </c>
      <c r="I1734" s="4">
        <f t="shared" si="55"/>
        <v>0</v>
      </c>
      <c r="J1734" s="4">
        <v>0</v>
      </c>
      <c r="K1734" s="4">
        <v>0</v>
      </c>
      <c r="L1734" s="4">
        <v>0</v>
      </c>
      <c r="M1734" s="4">
        <v>0</v>
      </c>
      <c r="N1734" s="4">
        <v>1</v>
      </c>
      <c r="O1734" s="4">
        <v>0</v>
      </c>
    </row>
    <row r="1735" spans="1:15" x14ac:dyDescent="0.15">
      <c r="A1735" s="4">
        <v>1732</v>
      </c>
      <c r="B1735" s="4">
        <v>43</v>
      </c>
      <c r="C1735" s="4">
        <v>19</v>
      </c>
      <c r="D1735" s="4">
        <v>125</v>
      </c>
      <c r="E1735" s="4">
        <v>3</v>
      </c>
      <c r="F1735" s="8">
        <v>2.4</v>
      </c>
      <c r="G1735" s="4">
        <v>1</v>
      </c>
      <c r="H1735" s="4">
        <f t="shared" si="54"/>
        <v>1</v>
      </c>
      <c r="I1735" s="4">
        <f t="shared" si="55"/>
        <v>0</v>
      </c>
      <c r="J1735" s="4">
        <v>0</v>
      </c>
      <c r="K1735" s="4">
        <v>0</v>
      </c>
      <c r="L1735" s="4">
        <v>0</v>
      </c>
      <c r="M1735" s="4">
        <v>1</v>
      </c>
      <c r="N1735" s="4">
        <v>0</v>
      </c>
      <c r="O1735" s="4">
        <v>1</v>
      </c>
    </row>
    <row r="1736" spans="1:15" x14ac:dyDescent="0.15">
      <c r="A1736" s="4">
        <v>1733</v>
      </c>
      <c r="B1736" s="4">
        <v>25</v>
      </c>
      <c r="C1736" s="4">
        <v>0</v>
      </c>
      <c r="D1736" s="4">
        <v>88</v>
      </c>
      <c r="E1736" s="4">
        <v>2</v>
      </c>
      <c r="F1736" s="8">
        <v>1.8</v>
      </c>
      <c r="G1736" s="4">
        <v>2</v>
      </c>
      <c r="H1736" s="4">
        <f t="shared" si="54"/>
        <v>0</v>
      </c>
      <c r="I1736" s="4">
        <f t="shared" si="55"/>
        <v>1</v>
      </c>
      <c r="J1736" s="4">
        <v>319</v>
      </c>
      <c r="K1736" s="4">
        <v>0</v>
      </c>
      <c r="L1736" s="4">
        <v>0</v>
      </c>
      <c r="M1736" s="4">
        <v>1</v>
      </c>
      <c r="N1736" s="4">
        <v>1</v>
      </c>
      <c r="O1736" s="4">
        <v>0</v>
      </c>
    </row>
    <row r="1737" spans="1:15" x14ac:dyDescent="0.15">
      <c r="A1737" s="4">
        <v>1734</v>
      </c>
      <c r="B1737" s="4">
        <v>40</v>
      </c>
      <c r="C1737" s="4">
        <v>16</v>
      </c>
      <c r="D1737" s="4">
        <v>125</v>
      </c>
      <c r="E1737" s="4">
        <v>2</v>
      </c>
      <c r="F1737" s="8">
        <v>2.2000000000000002</v>
      </c>
      <c r="G1737" s="4">
        <v>1</v>
      </c>
      <c r="H1737" s="4">
        <f t="shared" si="54"/>
        <v>1</v>
      </c>
      <c r="I1737" s="4">
        <f t="shared" si="55"/>
        <v>0</v>
      </c>
      <c r="J1737" s="4">
        <v>0</v>
      </c>
      <c r="K1737" s="4">
        <v>0</v>
      </c>
      <c r="L1737" s="4">
        <v>0</v>
      </c>
      <c r="M1737" s="4">
        <v>1</v>
      </c>
      <c r="N1737" s="4">
        <v>0</v>
      </c>
      <c r="O1737" s="4">
        <v>0</v>
      </c>
    </row>
    <row r="1738" spans="1:15" x14ac:dyDescent="0.15">
      <c r="A1738" s="4">
        <v>1735</v>
      </c>
      <c r="B1738" s="4">
        <v>35</v>
      </c>
      <c r="C1738" s="4">
        <v>10</v>
      </c>
      <c r="D1738" s="4">
        <v>79</v>
      </c>
      <c r="E1738" s="4">
        <v>4</v>
      </c>
      <c r="F1738" s="8">
        <v>2.1</v>
      </c>
      <c r="G1738" s="4">
        <v>3</v>
      </c>
      <c r="H1738" s="4">
        <f t="shared" si="54"/>
        <v>0</v>
      </c>
      <c r="I1738" s="4">
        <f t="shared" si="55"/>
        <v>0</v>
      </c>
      <c r="J1738" s="4">
        <v>182</v>
      </c>
      <c r="K1738" s="4">
        <v>0</v>
      </c>
      <c r="L1738" s="4">
        <v>0</v>
      </c>
      <c r="M1738" s="4">
        <v>1</v>
      </c>
      <c r="N1738" s="4">
        <v>0</v>
      </c>
      <c r="O1738" s="4">
        <v>0</v>
      </c>
    </row>
    <row r="1739" spans="1:15" x14ac:dyDescent="0.15">
      <c r="A1739" s="4">
        <v>1736</v>
      </c>
      <c r="B1739" s="4">
        <v>60</v>
      </c>
      <c r="C1739" s="4">
        <v>36</v>
      </c>
      <c r="D1739" s="4">
        <v>31</v>
      </c>
      <c r="E1739" s="4">
        <v>3</v>
      </c>
      <c r="F1739" s="8">
        <v>0.4</v>
      </c>
      <c r="G1739" s="4">
        <v>2</v>
      </c>
      <c r="H1739" s="4">
        <f t="shared" si="54"/>
        <v>0</v>
      </c>
      <c r="I1739" s="4">
        <f t="shared" si="55"/>
        <v>1</v>
      </c>
      <c r="J1739" s="4">
        <v>0</v>
      </c>
      <c r="K1739" s="4">
        <v>0</v>
      </c>
      <c r="L1739" s="4">
        <v>0</v>
      </c>
      <c r="M1739" s="4">
        <v>1</v>
      </c>
      <c r="N1739" s="4">
        <v>1</v>
      </c>
      <c r="O1739" s="4">
        <v>0</v>
      </c>
    </row>
    <row r="1740" spans="1:15" x14ac:dyDescent="0.15">
      <c r="A1740" s="4">
        <v>1737</v>
      </c>
      <c r="B1740" s="4">
        <v>57</v>
      </c>
      <c r="C1740" s="4">
        <v>31</v>
      </c>
      <c r="D1740" s="4">
        <v>131</v>
      </c>
      <c r="E1740" s="4">
        <v>2</v>
      </c>
      <c r="F1740" s="8">
        <v>2.7</v>
      </c>
      <c r="G1740" s="4">
        <v>1</v>
      </c>
      <c r="H1740" s="4">
        <f t="shared" si="54"/>
        <v>1</v>
      </c>
      <c r="I1740" s="4">
        <f t="shared" si="55"/>
        <v>0</v>
      </c>
      <c r="J1740" s="4">
        <v>394</v>
      </c>
      <c r="K1740" s="4">
        <v>0</v>
      </c>
      <c r="L1740" s="4">
        <v>0</v>
      </c>
      <c r="M1740" s="4">
        <v>0</v>
      </c>
      <c r="N1740" s="4">
        <v>1</v>
      </c>
      <c r="O1740" s="4">
        <v>0</v>
      </c>
    </row>
    <row r="1741" spans="1:15" x14ac:dyDescent="0.15">
      <c r="A1741" s="4">
        <v>1738</v>
      </c>
      <c r="B1741" s="4">
        <v>44</v>
      </c>
      <c r="C1741" s="4">
        <v>19</v>
      </c>
      <c r="D1741" s="4">
        <v>70</v>
      </c>
      <c r="E1741" s="4">
        <v>1</v>
      </c>
      <c r="F1741" s="8">
        <v>0.2</v>
      </c>
      <c r="G1741" s="4">
        <v>2</v>
      </c>
      <c r="H1741" s="4">
        <f t="shared" si="54"/>
        <v>0</v>
      </c>
      <c r="I1741" s="4">
        <f t="shared" si="55"/>
        <v>1</v>
      </c>
      <c r="J1741" s="4">
        <v>230</v>
      </c>
      <c r="K1741" s="4">
        <v>1</v>
      </c>
      <c r="L1741" s="4">
        <v>0</v>
      </c>
      <c r="M1741" s="4">
        <v>0</v>
      </c>
      <c r="N1741" s="4">
        <v>0</v>
      </c>
      <c r="O1741" s="4">
        <v>0</v>
      </c>
    </row>
    <row r="1742" spans="1:15" x14ac:dyDescent="0.15">
      <c r="A1742" s="4">
        <v>1739</v>
      </c>
      <c r="B1742" s="4">
        <v>61</v>
      </c>
      <c r="C1742" s="4">
        <v>36</v>
      </c>
      <c r="D1742" s="4">
        <v>38</v>
      </c>
      <c r="E1742" s="4">
        <v>3</v>
      </c>
      <c r="F1742" s="8">
        <v>0.9</v>
      </c>
      <c r="G1742" s="4">
        <v>3</v>
      </c>
      <c r="H1742" s="4">
        <f t="shared" si="54"/>
        <v>0</v>
      </c>
      <c r="I1742" s="4">
        <f t="shared" si="55"/>
        <v>0</v>
      </c>
      <c r="J1742" s="4">
        <v>82</v>
      </c>
      <c r="K1742" s="4">
        <v>0</v>
      </c>
      <c r="L1742" s="4">
        <v>0</v>
      </c>
      <c r="M1742" s="4">
        <v>1</v>
      </c>
      <c r="N1742" s="4">
        <v>1</v>
      </c>
      <c r="O1742" s="4">
        <v>0</v>
      </c>
    </row>
    <row r="1743" spans="1:15" x14ac:dyDescent="0.15">
      <c r="A1743" s="4">
        <v>1740</v>
      </c>
      <c r="B1743" s="4">
        <v>33</v>
      </c>
      <c r="C1743" s="4">
        <v>7</v>
      </c>
      <c r="D1743" s="4">
        <v>83</v>
      </c>
      <c r="E1743" s="4">
        <v>1</v>
      </c>
      <c r="F1743" s="8">
        <v>2.5</v>
      </c>
      <c r="G1743" s="4">
        <v>1</v>
      </c>
      <c r="H1743" s="4">
        <f t="shared" si="54"/>
        <v>1</v>
      </c>
      <c r="I1743" s="4">
        <f t="shared" si="55"/>
        <v>0</v>
      </c>
      <c r="J1743" s="4">
        <v>0</v>
      </c>
      <c r="K1743" s="4">
        <v>1</v>
      </c>
      <c r="L1743" s="4">
        <v>1</v>
      </c>
      <c r="M1743" s="4">
        <v>1</v>
      </c>
      <c r="N1743" s="4">
        <v>1</v>
      </c>
      <c r="O1743" s="4">
        <v>0</v>
      </c>
    </row>
    <row r="1744" spans="1:15" x14ac:dyDescent="0.15">
      <c r="A1744" s="4">
        <v>1741</v>
      </c>
      <c r="B1744" s="4">
        <v>45</v>
      </c>
      <c r="C1744" s="4">
        <v>20</v>
      </c>
      <c r="D1744" s="4">
        <v>59</v>
      </c>
      <c r="E1744" s="4">
        <v>1</v>
      </c>
      <c r="F1744" s="8">
        <v>2.4</v>
      </c>
      <c r="G1744" s="4">
        <v>1</v>
      </c>
      <c r="H1744" s="4">
        <f t="shared" si="54"/>
        <v>1</v>
      </c>
      <c r="I1744" s="4">
        <f t="shared" si="55"/>
        <v>0</v>
      </c>
      <c r="J1744" s="4">
        <v>0</v>
      </c>
      <c r="K1744" s="4">
        <v>1</v>
      </c>
      <c r="L1744" s="4">
        <v>1</v>
      </c>
      <c r="M1744" s="4">
        <v>1</v>
      </c>
      <c r="N1744" s="4">
        <v>0</v>
      </c>
      <c r="O1744" s="4">
        <v>0</v>
      </c>
    </row>
    <row r="1745" spans="1:15" x14ac:dyDescent="0.15">
      <c r="A1745" s="4">
        <v>1742</v>
      </c>
      <c r="B1745" s="4">
        <v>45</v>
      </c>
      <c r="C1745" s="4">
        <v>21</v>
      </c>
      <c r="D1745" s="4">
        <v>121</v>
      </c>
      <c r="E1745" s="4">
        <v>1</v>
      </c>
      <c r="F1745" s="8">
        <v>4.7</v>
      </c>
      <c r="G1745" s="4">
        <v>1</v>
      </c>
      <c r="H1745" s="4">
        <f t="shared" si="54"/>
        <v>1</v>
      </c>
      <c r="I1745" s="4">
        <f t="shared" si="55"/>
        <v>0</v>
      </c>
      <c r="J1745" s="4">
        <v>0</v>
      </c>
      <c r="K1745" s="4">
        <v>0</v>
      </c>
      <c r="L1745" s="4">
        <v>0</v>
      </c>
      <c r="M1745" s="4">
        <v>0</v>
      </c>
      <c r="N1745" s="4">
        <v>0</v>
      </c>
      <c r="O1745" s="4">
        <v>0</v>
      </c>
    </row>
    <row r="1746" spans="1:15" x14ac:dyDescent="0.15">
      <c r="A1746" s="4">
        <v>1743</v>
      </c>
      <c r="B1746" s="4">
        <v>64</v>
      </c>
      <c r="C1746" s="4">
        <v>38</v>
      </c>
      <c r="D1746" s="4">
        <v>42</v>
      </c>
      <c r="E1746" s="4">
        <v>2</v>
      </c>
      <c r="F1746" s="8">
        <v>0.7</v>
      </c>
      <c r="G1746" s="4">
        <v>3</v>
      </c>
      <c r="H1746" s="4">
        <f t="shared" si="54"/>
        <v>0</v>
      </c>
      <c r="I1746" s="4">
        <f t="shared" si="55"/>
        <v>0</v>
      </c>
      <c r="J1746" s="4">
        <v>137</v>
      </c>
      <c r="K1746" s="4">
        <v>0</v>
      </c>
      <c r="L1746" s="4">
        <v>0</v>
      </c>
      <c r="M1746" s="4">
        <v>1</v>
      </c>
      <c r="N1746" s="4">
        <v>0</v>
      </c>
      <c r="O1746" s="4">
        <v>0</v>
      </c>
    </row>
    <row r="1747" spans="1:15" x14ac:dyDescent="0.15">
      <c r="A1747" s="4">
        <v>1744</v>
      </c>
      <c r="B1747" s="4">
        <v>50</v>
      </c>
      <c r="C1747" s="4">
        <v>24</v>
      </c>
      <c r="D1747" s="4">
        <v>32</v>
      </c>
      <c r="E1747" s="4">
        <v>4</v>
      </c>
      <c r="F1747" s="8">
        <v>1.8</v>
      </c>
      <c r="G1747" s="4">
        <v>1</v>
      </c>
      <c r="H1747" s="4">
        <f t="shared" si="54"/>
        <v>1</v>
      </c>
      <c r="I1747" s="4">
        <f t="shared" si="55"/>
        <v>0</v>
      </c>
      <c r="J1747" s="4">
        <v>109</v>
      </c>
      <c r="K1747" s="4">
        <v>0</v>
      </c>
      <c r="L1747" s="4">
        <v>0</v>
      </c>
      <c r="M1747" s="4">
        <v>1</v>
      </c>
      <c r="N1747" s="4">
        <v>0</v>
      </c>
      <c r="O1747" s="4">
        <v>0</v>
      </c>
    </row>
    <row r="1748" spans="1:15" x14ac:dyDescent="0.15">
      <c r="A1748" s="4">
        <v>1745</v>
      </c>
      <c r="B1748" s="4">
        <v>28</v>
      </c>
      <c r="C1748" s="4">
        <v>3</v>
      </c>
      <c r="D1748" s="4">
        <v>29</v>
      </c>
      <c r="E1748" s="4">
        <v>4</v>
      </c>
      <c r="F1748" s="8">
        <v>0.8</v>
      </c>
      <c r="G1748" s="4">
        <v>1</v>
      </c>
      <c r="H1748" s="4">
        <f t="shared" si="54"/>
        <v>1</v>
      </c>
      <c r="I1748" s="4">
        <f t="shared" si="55"/>
        <v>0</v>
      </c>
      <c r="J1748" s="4">
        <v>135</v>
      </c>
      <c r="K1748" s="4">
        <v>0</v>
      </c>
      <c r="L1748" s="4">
        <v>0</v>
      </c>
      <c r="M1748" s="4">
        <v>1</v>
      </c>
      <c r="N1748" s="4">
        <v>0</v>
      </c>
      <c r="O1748" s="4">
        <v>0</v>
      </c>
    </row>
    <row r="1749" spans="1:15" x14ac:dyDescent="0.15">
      <c r="A1749" s="4">
        <v>1746</v>
      </c>
      <c r="B1749" s="4">
        <v>37</v>
      </c>
      <c r="C1749" s="4">
        <v>12</v>
      </c>
      <c r="D1749" s="4">
        <v>40</v>
      </c>
      <c r="E1749" s="4">
        <v>2</v>
      </c>
      <c r="F1749" s="8">
        <v>1.1000000000000001</v>
      </c>
      <c r="G1749" s="4">
        <v>2</v>
      </c>
      <c r="H1749" s="4">
        <f t="shared" si="54"/>
        <v>0</v>
      </c>
      <c r="I1749" s="4">
        <f t="shared" si="55"/>
        <v>1</v>
      </c>
      <c r="J1749" s="4">
        <v>0</v>
      </c>
      <c r="K1749" s="4">
        <v>1</v>
      </c>
      <c r="L1749" s="4">
        <v>0</v>
      </c>
      <c r="M1749" s="4">
        <v>0</v>
      </c>
      <c r="N1749" s="4">
        <v>1</v>
      </c>
      <c r="O1749" s="4">
        <v>0</v>
      </c>
    </row>
    <row r="1750" spans="1:15" x14ac:dyDescent="0.15">
      <c r="A1750" s="4">
        <v>1747</v>
      </c>
      <c r="B1750" s="4">
        <v>62</v>
      </c>
      <c r="C1750" s="4">
        <v>36</v>
      </c>
      <c r="D1750" s="4">
        <v>25</v>
      </c>
      <c r="E1750" s="4">
        <v>3</v>
      </c>
      <c r="F1750" s="8">
        <v>0.3</v>
      </c>
      <c r="G1750" s="4">
        <v>3</v>
      </c>
      <c r="H1750" s="4">
        <f t="shared" si="54"/>
        <v>0</v>
      </c>
      <c r="I1750" s="4">
        <f t="shared" si="55"/>
        <v>0</v>
      </c>
      <c r="J1750" s="4">
        <v>0</v>
      </c>
      <c r="K1750" s="4">
        <v>0</v>
      </c>
      <c r="L1750" s="4">
        <v>0</v>
      </c>
      <c r="M1750" s="4">
        <v>1</v>
      </c>
      <c r="N1750" s="4">
        <v>1</v>
      </c>
      <c r="O1750" s="4">
        <v>0</v>
      </c>
    </row>
    <row r="1751" spans="1:15" x14ac:dyDescent="0.15">
      <c r="A1751" s="4">
        <v>1748</v>
      </c>
      <c r="B1751" s="4">
        <v>29</v>
      </c>
      <c r="C1751" s="4">
        <v>5</v>
      </c>
      <c r="D1751" s="4">
        <v>21</v>
      </c>
      <c r="E1751" s="4">
        <v>4</v>
      </c>
      <c r="F1751" s="8">
        <v>0.4</v>
      </c>
      <c r="G1751" s="4">
        <v>2</v>
      </c>
      <c r="H1751" s="4">
        <f t="shared" si="54"/>
        <v>0</v>
      </c>
      <c r="I1751" s="4">
        <f t="shared" si="55"/>
        <v>1</v>
      </c>
      <c r="J1751" s="4">
        <v>89</v>
      </c>
      <c r="K1751" s="4">
        <v>0</v>
      </c>
      <c r="L1751" s="4">
        <v>0</v>
      </c>
      <c r="M1751" s="4">
        <v>0</v>
      </c>
      <c r="N1751" s="4">
        <v>1</v>
      </c>
      <c r="O1751" s="4">
        <v>0</v>
      </c>
    </row>
    <row r="1752" spans="1:15" x14ac:dyDescent="0.15">
      <c r="A1752" s="4">
        <v>1749</v>
      </c>
      <c r="B1752" s="4">
        <v>49</v>
      </c>
      <c r="C1752" s="4">
        <v>23</v>
      </c>
      <c r="D1752" s="4">
        <v>79</v>
      </c>
      <c r="E1752" s="4">
        <v>3</v>
      </c>
      <c r="F1752" s="8">
        <v>0.7</v>
      </c>
      <c r="G1752" s="4">
        <v>2</v>
      </c>
      <c r="H1752" s="4">
        <f t="shared" si="54"/>
        <v>0</v>
      </c>
      <c r="I1752" s="4">
        <f t="shared" si="55"/>
        <v>1</v>
      </c>
      <c r="J1752" s="4">
        <v>151</v>
      </c>
      <c r="K1752" s="4">
        <v>0</v>
      </c>
      <c r="L1752" s="4">
        <v>0</v>
      </c>
      <c r="M1752" s="4">
        <v>1</v>
      </c>
      <c r="N1752" s="4">
        <v>0</v>
      </c>
      <c r="O1752" s="4">
        <v>0</v>
      </c>
    </row>
    <row r="1753" spans="1:15" x14ac:dyDescent="0.15">
      <c r="A1753" s="4">
        <v>1750</v>
      </c>
      <c r="B1753" s="4">
        <v>46</v>
      </c>
      <c r="C1753" s="4">
        <v>22</v>
      </c>
      <c r="D1753" s="4">
        <v>52</v>
      </c>
      <c r="E1753" s="4">
        <v>2</v>
      </c>
      <c r="F1753" s="8">
        <v>2.1</v>
      </c>
      <c r="G1753" s="4">
        <v>3</v>
      </c>
      <c r="H1753" s="4">
        <f t="shared" si="54"/>
        <v>0</v>
      </c>
      <c r="I1753" s="4">
        <f t="shared" si="55"/>
        <v>0</v>
      </c>
      <c r="J1753" s="4">
        <v>221</v>
      </c>
      <c r="K1753" s="4">
        <v>0</v>
      </c>
      <c r="L1753" s="4">
        <v>0</v>
      </c>
      <c r="M1753" s="4">
        <v>0</v>
      </c>
      <c r="N1753" s="4">
        <v>0</v>
      </c>
      <c r="O1753" s="4">
        <v>0</v>
      </c>
    </row>
    <row r="1754" spans="1:15" x14ac:dyDescent="0.15">
      <c r="A1754" s="4">
        <v>1751</v>
      </c>
      <c r="B1754" s="4">
        <v>60</v>
      </c>
      <c r="C1754" s="4">
        <v>34</v>
      </c>
      <c r="D1754" s="4">
        <v>61</v>
      </c>
      <c r="E1754" s="4">
        <v>4</v>
      </c>
      <c r="F1754" s="8">
        <v>1.7</v>
      </c>
      <c r="G1754" s="4">
        <v>2</v>
      </c>
      <c r="H1754" s="4">
        <f t="shared" si="54"/>
        <v>0</v>
      </c>
      <c r="I1754" s="4">
        <f t="shared" si="55"/>
        <v>1</v>
      </c>
      <c r="J1754" s="4">
        <v>229</v>
      </c>
      <c r="K1754" s="4">
        <v>0</v>
      </c>
      <c r="L1754" s="4">
        <v>0</v>
      </c>
      <c r="M1754" s="4">
        <v>0</v>
      </c>
      <c r="N1754" s="4">
        <v>0</v>
      </c>
      <c r="O1754" s="4">
        <v>0</v>
      </c>
    </row>
    <row r="1755" spans="1:15" x14ac:dyDescent="0.15">
      <c r="A1755" s="4">
        <v>1752</v>
      </c>
      <c r="B1755" s="4">
        <v>55</v>
      </c>
      <c r="C1755" s="4">
        <v>31</v>
      </c>
      <c r="D1755" s="4">
        <v>25</v>
      </c>
      <c r="E1755" s="4">
        <v>2</v>
      </c>
      <c r="F1755" s="8">
        <v>0.2</v>
      </c>
      <c r="G1755" s="4">
        <v>1</v>
      </c>
      <c r="H1755" s="4">
        <f t="shared" si="54"/>
        <v>1</v>
      </c>
      <c r="I1755" s="4">
        <f t="shared" si="55"/>
        <v>0</v>
      </c>
      <c r="J1755" s="4">
        <v>0</v>
      </c>
      <c r="K1755" s="4">
        <v>0</v>
      </c>
      <c r="L1755" s="4">
        <v>0</v>
      </c>
      <c r="M1755" s="4">
        <v>0</v>
      </c>
      <c r="N1755" s="4">
        <v>0</v>
      </c>
      <c r="O1755" s="4">
        <v>0</v>
      </c>
    </row>
    <row r="1756" spans="1:15" x14ac:dyDescent="0.15">
      <c r="A1756" s="4">
        <v>1753</v>
      </c>
      <c r="B1756" s="4">
        <v>33</v>
      </c>
      <c r="C1756" s="4">
        <v>8</v>
      </c>
      <c r="D1756" s="4">
        <v>155</v>
      </c>
      <c r="E1756" s="4">
        <v>1</v>
      </c>
      <c r="F1756" s="8">
        <v>7.4</v>
      </c>
      <c r="G1756" s="4">
        <v>3</v>
      </c>
      <c r="H1756" s="4">
        <f t="shared" si="54"/>
        <v>0</v>
      </c>
      <c r="I1756" s="4">
        <f t="shared" si="55"/>
        <v>0</v>
      </c>
      <c r="J1756" s="4">
        <v>0</v>
      </c>
      <c r="K1756" s="4">
        <v>0</v>
      </c>
      <c r="L1756" s="4">
        <v>0</v>
      </c>
      <c r="M1756" s="4">
        <v>0</v>
      </c>
      <c r="N1756" s="4">
        <v>0</v>
      </c>
      <c r="O1756" s="4">
        <v>1</v>
      </c>
    </row>
    <row r="1757" spans="1:15" x14ac:dyDescent="0.15">
      <c r="A1757" s="4">
        <v>1754</v>
      </c>
      <c r="B1757" s="4">
        <v>53</v>
      </c>
      <c r="C1757" s="4">
        <v>29</v>
      </c>
      <c r="D1757" s="4">
        <v>25</v>
      </c>
      <c r="E1757" s="4">
        <v>2</v>
      </c>
      <c r="F1757" s="8">
        <v>0.4</v>
      </c>
      <c r="G1757" s="4">
        <v>1</v>
      </c>
      <c r="H1757" s="4">
        <f t="shared" si="54"/>
        <v>1</v>
      </c>
      <c r="I1757" s="4">
        <f t="shared" si="55"/>
        <v>0</v>
      </c>
      <c r="J1757" s="4">
        <v>0</v>
      </c>
      <c r="K1757" s="4">
        <v>0</v>
      </c>
      <c r="L1757" s="4">
        <v>0</v>
      </c>
      <c r="M1757" s="4">
        <v>1</v>
      </c>
      <c r="N1757" s="4">
        <v>0</v>
      </c>
      <c r="O1757" s="4">
        <v>0</v>
      </c>
    </row>
    <row r="1758" spans="1:15" x14ac:dyDescent="0.15">
      <c r="A1758" s="4">
        <v>1755</v>
      </c>
      <c r="B1758" s="4">
        <v>50</v>
      </c>
      <c r="C1758" s="4">
        <v>24</v>
      </c>
      <c r="D1758" s="4">
        <v>80</v>
      </c>
      <c r="E1758" s="4">
        <v>4</v>
      </c>
      <c r="F1758" s="8">
        <v>4.9000000000000004</v>
      </c>
      <c r="G1758" s="4">
        <v>1</v>
      </c>
      <c r="H1758" s="4">
        <f t="shared" si="54"/>
        <v>1</v>
      </c>
      <c r="I1758" s="4">
        <f t="shared" si="55"/>
        <v>0</v>
      </c>
      <c r="J1758" s="4">
        <v>0</v>
      </c>
      <c r="K1758" s="4">
        <v>0</v>
      </c>
      <c r="L1758" s="4">
        <v>0</v>
      </c>
      <c r="M1758" s="4">
        <v>1</v>
      </c>
      <c r="N1758" s="4">
        <v>0</v>
      </c>
      <c r="O1758" s="4">
        <v>0</v>
      </c>
    </row>
    <row r="1759" spans="1:15" x14ac:dyDescent="0.15">
      <c r="A1759" s="4">
        <v>1756</v>
      </c>
      <c r="B1759" s="4">
        <v>28</v>
      </c>
      <c r="C1759" s="4">
        <v>3</v>
      </c>
      <c r="D1759" s="4">
        <v>55</v>
      </c>
      <c r="E1759" s="4">
        <v>4</v>
      </c>
      <c r="F1759" s="8">
        <v>1.7</v>
      </c>
      <c r="G1759" s="4">
        <v>2</v>
      </c>
      <c r="H1759" s="4">
        <f t="shared" si="54"/>
        <v>0</v>
      </c>
      <c r="I1759" s="4">
        <f t="shared" si="55"/>
        <v>1</v>
      </c>
      <c r="J1759" s="4">
        <v>0</v>
      </c>
      <c r="K1759" s="4">
        <v>0</v>
      </c>
      <c r="L1759" s="4">
        <v>0</v>
      </c>
      <c r="M1759" s="4">
        <v>1</v>
      </c>
      <c r="N1759" s="4">
        <v>1</v>
      </c>
      <c r="O1759" s="4">
        <v>0</v>
      </c>
    </row>
    <row r="1760" spans="1:15" x14ac:dyDescent="0.15">
      <c r="A1760" s="4">
        <v>1757</v>
      </c>
      <c r="B1760" s="4">
        <v>42</v>
      </c>
      <c r="C1760" s="4">
        <v>17</v>
      </c>
      <c r="D1760" s="4">
        <v>23</v>
      </c>
      <c r="E1760" s="4">
        <v>2</v>
      </c>
      <c r="F1760" s="8">
        <v>0</v>
      </c>
      <c r="G1760" s="4">
        <v>3</v>
      </c>
      <c r="H1760" s="4">
        <f t="shared" si="54"/>
        <v>0</v>
      </c>
      <c r="I1760" s="4">
        <f t="shared" si="55"/>
        <v>0</v>
      </c>
      <c r="J1760" s="4">
        <v>0</v>
      </c>
      <c r="K1760" s="4">
        <v>0</v>
      </c>
      <c r="L1760" s="4">
        <v>0</v>
      </c>
      <c r="M1760" s="4">
        <v>0</v>
      </c>
      <c r="N1760" s="4">
        <v>0</v>
      </c>
      <c r="O1760" s="4">
        <v>0</v>
      </c>
    </row>
    <row r="1761" spans="1:15" x14ac:dyDescent="0.15">
      <c r="A1761" s="4">
        <v>1758</v>
      </c>
      <c r="B1761" s="4">
        <v>33</v>
      </c>
      <c r="C1761" s="4">
        <v>9</v>
      </c>
      <c r="D1761" s="4">
        <v>60</v>
      </c>
      <c r="E1761" s="4">
        <v>1</v>
      </c>
      <c r="F1761" s="8">
        <v>1.2</v>
      </c>
      <c r="G1761" s="4">
        <v>1</v>
      </c>
      <c r="H1761" s="4">
        <f t="shared" si="54"/>
        <v>1</v>
      </c>
      <c r="I1761" s="4">
        <f t="shared" si="55"/>
        <v>0</v>
      </c>
      <c r="J1761" s="4">
        <v>0</v>
      </c>
      <c r="K1761" s="4">
        <v>0</v>
      </c>
      <c r="L1761" s="4">
        <v>0</v>
      </c>
      <c r="M1761" s="4">
        <v>1</v>
      </c>
      <c r="N1761" s="4">
        <v>1</v>
      </c>
      <c r="O1761" s="4">
        <v>0</v>
      </c>
    </row>
    <row r="1762" spans="1:15" x14ac:dyDescent="0.15">
      <c r="A1762" s="4">
        <v>1759</v>
      </c>
      <c r="B1762" s="4">
        <v>40</v>
      </c>
      <c r="C1762" s="4">
        <v>14</v>
      </c>
      <c r="D1762" s="4">
        <v>54</v>
      </c>
      <c r="E1762" s="4">
        <v>2</v>
      </c>
      <c r="F1762" s="8">
        <v>0.7</v>
      </c>
      <c r="G1762" s="4">
        <v>1</v>
      </c>
      <c r="H1762" s="4">
        <f t="shared" si="54"/>
        <v>1</v>
      </c>
      <c r="I1762" s="4">
        <f t="shared" si="55"/>
        <v>0</v>
      </c>
      <c r="J1762" s="4">
        <v>0</v>
      </c>
      <c r="K1762" s="4">
        <v>0</v>
      </c>
      <c r="L1762" s="4">
        <v>0</v>
      </c>
      <c r="M1762" s="4">
        <v>0</v>
      </c>
      <c r="N1762" s="4">
        <v>0</v>
      </c>
      <c r="O1762" s="4">
        <v>0</v>
      </c>
    </row>
    <row r="1763" spans="1:15" x14ac:dyDescent="0.15">
      <c r="A1763" s="4">
        <v>1760</v>
      </c>
      <c r="B1763" s="4">
        <v>31</v>
      </c>
      <c r="C1763" s="4">
        <v>6</v>
      </c>
      <c r="D1763" s="4">
        <v>44</v>
      </c>
      <c r="E1763" s="4">
        <v>4</v>
      </c>
      <c r="F1763" s="8">
        <v>0.8</v>
      </c>
      <c r="G1763" s="4">
        <v>1</v>
      </c>
      <c r="H1763" s="4">
        <f t="shared" si="54"/>
        <v>1</v>
      </c>
      <c r="I1763" s="4">
        <f t="shared" si="55"/>
        <v>0</v>
      </c>
      <c r="J1763" s="4">
        <v>0</v>
      </c>
      <c r="K1763" s="4">
        <v>0</v>
      </c>
      <c r="L1763" s="4">
        <v>0</v>
      </c>
      <c r="M1763" s="4">
        <v>0</v>
      </c>
      <c r="N1763" s="4">
        <v>0</v>
      </c>
      <c r="O1763" s="4">
        <v>0</v>
      </c>
    </row>
    <row r="1764" spans="1:15" x14ac:dyDescent="0.15">
      <c r="A1764" s="4">
        <v>1761</v>
      </c>
      <c r="B1764" s="4">
        <v>41</v>
      </c>
      <c r="C1764" s="4">
        <v>16</v>
      </c>
      <c r="D1764" s="4">
        <v>33</v>
      </c>
      <c r="E1764" s="4">
        <v>4</v>
      </c>
      <c r="F1764" s="8">
        <v>0</v>
      </c>
      <c r="G1764" s="4">
        <v>2</v>
      </c>
      <c r="H1764" s="4">
        <f t="shared" si="54"/>
        <v>0</v>
      </c>
      <c r="I1764" s="4">
        <f t="shared" si="55"/>
        <v>1</v>
      </c>
      <c r="J1764" s="4">
        <v>0</v>
      </c>
      <c r="K1764" s="4">
        <v>0</v>
      </c>
      <c r="L1764" s="4">
        <v>0</v>
      </c>
      <c r="M1764" s="4">
        <v>1</v>
      </c>
      <c r="N1764" s="4">
        <v>0</v>
      </c>
      <c r="O1764" s="4">
        <v>0</v>
      </c>
    </row>
    <row r="1765" spans="1:15" x14ac:dyDescent="0.15">
      <c r="A1765" s="4">
        <v>1762</v>
      </c>
      <c r="B1765" s="4">
        <v>52</v>
      </c>
      <c r="C1765" s="4">
        <v>27</v>
      </c>
      <c r="D1765" s="4">
        <v>45</v>
      </c>
      <c r="E1765" s="4">
        <v>2</v>
      </c>
      <c r="F1765" s="8">
        <v>2</v>
      </c>
      <c r="G1765" s="4">
        <v>2</v>
      </c>
      <c r="H1765" s="4">
        <f t="shared" si="54"/>
        <v>0</v>
      </c>
      <c r="I1765" s="4">
        <f t="shared" si="55"/>
        <v>1</v>
      </c>
      <c r="J1765" s="4">
        <v>121</v>
      </c>
      <c r="K1765" s="4">
        <v>0</v>
      </c>
      <c r="L1765" s="4">
        <v>0</v>
      </c>
      <c r="M1765" s="4">
        <v>0</v>
      </c>
      <c r="N1765" s="4">
        <v>1</v>
      </c>
      <c r="O1765" s="4">
        <v>0</v>
      </c>
    </row>
    <row r="1766" spans="1:15" x14ac:dyDescent="0.15">
      <c r="A1766" s="4">
        <v>1763</v>
      </c>
      <c r="B1766" s="4">
        <v>65</v>
      </c>
      <c r="C1766" s="4">
        <v>35</v>
      </c>
      <c r="D1766" s="4">
        <v>55</v>
      </c>
      <c r="E1766" s="4">
        <v>4</v>
      </c>
      <c r="F1766" s="8">
        <v>1.6666666666666667</v>
      </c>
      <c r="G1766" s="4">
        <v>3</v>
      </c>
      <c r="H1766" s="4">
        <f t="shared" si="54"/>
        <v>0</v>
      </c>
      <c r="I1766" s="4">
        <f t="shared" si="55"/>
        <v>0</v>
      </c>
      <c r="J1766" s="4">
        <v>89</v>
      </c>
      <c r="K1766" s="4">
        <v>0</v>
      </c>
      <c r="L1766" s="4">
        <v>0</v>
      </c>
      <c r="M1766" s="4">
        <v>1</v>
      </c>
      <c r="N1766" s="4">
        <v>1</v>
      </c>
      <c r="O1766" s="4">
        <v>0</v>
      </c>
    </row>
    <row r="1767" spans="1:15" x14ac:dyDescent="0.15">
      <c r="A1767" s="4">
        <v>1764</v>
      </c>
      <c r="B1767" s="4">
        <v>48</v>
      </c>
      <c r="C1767" s="4">
        <v>24</v>
      </c>
      <c r="D1767" s="4">
        <v>134</v>
      </c>
      <c r="E1767" s="4">
        <v>1</v>
      </c>
      <c r="F1767" s="8">
        <v>5</v>
      </c>
      <c r="G1767" s="4">
        <v>1</v>
      </c>
      <c r="H1767" s="4">
        <f t="shared" si="54"/>
        <v>1</v>
      </c>
      <c r="I1767" s="4">
        <f t="shared" si="55"/>
        <v>0</v>
      </c>
      <c r="J1767" s="4">
        <v>0</v>
      </c>
      <c r="K1767" s="4">
        <v>0</v>
      </c>
      <c r="L1767" s="4">
        <v>0</v>
      </c>
      <c r="M1767" s="4">
        <v>0</v>
      </c>
      <c r="N1767" s="4">
        <v>1</v>
      </c>
      <c r="O1767" s="4">
        <v>0</v>
      </c>
    </row>
    <row r="1768" spans="1:15" x14ac:dyDescent="0.15">
      <c r="A1768" s="4">
        <v>1765</v>
      </c>
      <c r="B1768" s="4">
        <v>45</v>
      </c>
      <c r="C1768" s="4">
        <v>21</v>
      </c>
      <c r="D1768" s="4">
        <v>44</v>
      </c>
      <c r="E1768" s="4">
        <v>3</v>
      </c>
      <c r="F1768" s="8">
        <v>0.6</v>
      </c>
      <c r="G1768" s="4">
        <v>2</v>
      </c>
      <c r="H1768" s="4">
        <f t="shared" si="54"/>
        <v>0</v>
      </c>
      <c r="I1768" s="4">
        <f t="shared" si="55"/>
        <v>1</v>
      </c>
      <c r="J1768" s="4">
        <v>0</v>
      </c>
      <c r="K1768" s="4">
        <v>0</v>
      </c>
      <c r="L1768" s="4">
        <v>0</v>
      </c>
      <c r="M1768" s="4">
        <v>1</v>
      </c>
      <c r="N1768" s="4">
        <v>0</v>
      </c>
      <c r="O1768" s="4">
        <v>0</v>
      </c>
    </row>
    <row r="1769" spans="1:15" x14ac:dyDescent="0.15">
      <c r="A1769" s="4">
        <v>1766</v>
      </c>
      <c r="B1769" s="4">
        <v>26</v>
      </c>
      <c r="C1769" s="4">
        <v>0</v>
      </c>
      <c r="D1769" s="4">
        <v>149</v>
      </c>
      <c r="E1769" s="4">
        <v>2</v>
      </c>
      <c r="F1769" s="8">
        <v>7.2</v>
      </c>
      <c r="G1769" s="4">
        <v>1</v>
      </c>
      <c r="H1769" s="4">
        <f t="shared" si="54"/>
        <v>1</v>
      </c>
      <c r="I1769" s="4">
        <f t="shared" si="55"/>
        <v>0</v>
      </c>
      <c r="J1769" s="4">
        <v>154</v>
      </c>
      <c r="K1769" s="4">
        <v>0</v>
      </c>
      <c r="L1769" s="4">
        <v>0</v>
      </c>
      <c r="M1769" s="4">
        <v>0</v>
      </c>
      <c r="N1769" s="4">
        <v>0</v>
      </c>
      <c r="O1769" s="4">
        <v>0</v>
      </c>
    </row>
    <row r="1770" spans="1:15" x14ac:dyDescent="0.15">
      <c r="A1770" s="4">
        <v>1767</v>
      </c>
      <c r="B1770" s="4">
        <v>64</v>
      </c>
      <c r="C1770" s="4">
        <v>38</v>
      </c>
      <c r="D1770" s="4">
        <v>22</v>
      </c>
      <c r="E1770" s="4">
        <v>2</v>
      </c>
      <c r="F1770" s="8">
        <v>0.2</v>
      </c>
      <c r="G1770" s="4">
        <v>3</v>
      </c>
      <c r="H1770" s="4">
        <f t="shared" si="54"/>
        <v>0</v>
      </c>
      <c r="I1770" s="4">
        <f t="shared" si="55"/>
        <v>0</v>
      </c>
      <c r="J1770" s="4">
        <v>0</v>
      </c>
      <c r="K1770" s="4">
        <v>1</v>
      </c>
      <c r="L1770" s="4">
        <v>0</v>
      </c>
      <c r="M1770" s="4">
        <v>0</v>
      </c>
      <c r="N1770" s="4">
        <v>0</v>
      </c>
      <c r="O1770" s="4">
        <v>0</v>
      </c>
    </row>
    <row r="1771" spans="1:15" x14ac:dyDescent="0.15">
      <c r="A1771" s="4">
        <v>1768</v>
      </c>
      <c r="B1771" s="4">
        <v>41</v>
      </c>
      <c r="C1771" s="4">
        <v>14</v>
      </c>
      <c r="D1771" s="4">
        <v>74</v>
      </c>
      <c r="E1771" s="4">
        <v>3</v>
      </c>
      <c r="F1771" s="8">
        <v>2.3333333333333335</v>
      </c>
      <c r="G1771" s="4">
        <v>2</v>
      </c>
      <c r="H1771" s="4">
        <f t="shared" si="54"/>
        <v>0</v>
      </c>
      <c r="I1771" s="4">
        <f t="shared" si="55"/>
        <v>1</v>
      </c>
      <c r="J1771" s="4">
        <v>0</v>
      </c>
      <c r="K1771" s="4">
        <v>0</v>
      </c>
      <c r="L1771" s="4">
        <v>0</v>
      </c>
      <c r="M1771" s="4">
        <v>1</v>
      </c>
      <c r="N1771" s="4">
        <v>0</v>
      </c>
      <c r="O1771" s="4">
        <v>0</v>
      </c>
    </row>
    <row r="1772" spans="1:15" x14ac:dyDescent="0.15">
      <c r="A1772" s="4">
        <v>1769</v>
      </c>
      <c r="B1772" s="4">
        <v>43</v>
      </c>
      <c r="C1772" s="4">
        <v>18</v>
      </c>
      <c r="D1772" s="4">
        <v>128</v>
      </c>
      <c r="E1772" s="4">
        <v>4</v>
      </c>
      <c r="F1772" s="8">
        <v>5.3</v>
      </c>
      <c r="G1772" s="4">
        <v>1</v>
      </c>
      <c r="H1772" s="4">
        <f t="shared" si="54"/>
        <v>1</v>
      </c>
      <c r="I1772" s="4">
        <f t="shared" si="55"/>
        <v>0</v>
      </c>
      <c r="J1772" s="4">
        <v>84</v>
      </c>
      <c r="K1772" s="4">
        <v>0</v>
      </c>
      <c r="L1772" s="4">
        <v>0</v>
      </c>
      <c r="M1772" s="4">
        <v>0</v>
      </c>
      <c r="N1772" s="4">
        <v>0</v>
      </c>
      <c r="O1772" s="4">
        <v>1</v>
      </c>
    </row>
    <row r="1773" spans="1:15" x14ac:dyDescent="0.15">
      <c r="A1773" s="4">
        <v>1770</v>
      </c>
      <c r="B1773" s="4">
        <v>60</v>
      </c>
      <c r="C1773" s="4">
        <v>36</v>
      </c>
      <c r="D1773" s="4">
        <v>62</v>
      </c>
      <c r="E1773" s="4">
        <v>4</v>
      </c>
      <c r="F1773" s="8">
        <v>2.2000000000000002</v>
      </c>
      <c r="G1773" s="4">
        <v>1</v>
      </c>
      <c r="H1773" s="4">
        <f t="shared" si="54"/>
        <v>1</v>
      </c>
      <c r="I1773" s="4">
        <f t="shared" si="55"/>
        <v>0</v>
      </c>
      <c r="J1773" s="4">
        <v>0</v>
      </c>
      <c r="K1773" s="4">
        <v>0</v>
      </c>
      <c r="L1773" s="4">
        <v>0</v>
      </c>
      <c r="M1773" s="4">
        <v>0</v>
      </c>
      <c r="N1773" s="4">
        <v>0</v>
      </c>
      <c r="O1773" s="4">
        <v>0</v>
      </c>
    </row>
    <row r="1774" spans="1:15" x14ac:dyDescent="0.15">
      <c r="A1774" s="4">
        <v>1771</v>
      </c>
      <c r="B1774" s="4">
        <v>62</v>
      </c>
      <c r="C1774" s="4">
        <v>37</v>
      </c>
      <c r="D1774" s="4">
        <v>9</v>
      </c>
      <c r="E1774" s="4">
        <v>1</v>
      </c>
      <c r="F1774" s="8">
        <v>0.1</v>
      </c>
      <c r="G1774" s="4">
        <v>1</v>
      </c>
      <c r="H1774" s="4">
        <f t="shared" si="54"/>
        <v>1</v>
      </c>
      <c r="I1774" s="4">
        <f t="shared" si="55"/>
        <v>0</v>
      </c>
      <c r="J1774" s="4">
        <v>94</v>
      </c>
      <c r="K1774" s="4">
        <v>0</v>
      </c>
      <c r="L1774" s="4">
        <v>0</v>
      </c>
      <c r="M1774" s="4">
        <v>0</v>
      </c>
      <c r="N1774" s="4">
        <v>0</v>
      </c>
      <c r="O1774" s="4">
        <v>0</v>
      </c>
    </row>
    <row r="1775" spans="1:15" x14ac:dyDescent="0.15">
      <c r="A1775" s="4">
        <v>1772</v>
      </c>
      <c r="B1775" s="4">
        <v>46</v>
      </c>
      <c r="C1775" s="4">
        <v>21</v>
      </c>
      <c r="D1775" s="4">
        <v>9</v>
      </c>
      <c r="E1775" s="4">
        <v>2</v>
      </c>
      <c r="F1775" s="8">
        <v>0.7</v>
      </c>
      <c r="G1775" s="4">
        <v>3</v>
      </c>
      <c r="H1775" s="4">
        <f t="shared" si="54"/>
        <v>0</v>
      </c>
      <c r="I1775" s="4">
        <f t="shared" si="55"/>
        <v>0</v>
      </c>
      <c r="J1775" s="4">
        <v>0</v>
      </c>
      <c r="K1775" s="4">
        <v>0</v>
      </c>
      <c r="L1775" s="4">
        <v>0</v>
      </c>
      <c r="M1775" s="4">
        <v>1</v>
      </c>
      <c r="N1775" s="4">
        <v>0</v>
      </c>
      <c r="O1775" s="4">
        <v>0</v>
      </c>
    </row>
    <row r="1776" spans="1:15" x14ac:dyDescent="0.15">
      <c r="A1776" s="4">
        <v>1773</v>
      </c>
      <c r="B1776" s="4">
        <v>36</v>
      </c>
      <c r="C1776" s="4">
        <v>11</v>
      </c>
      <c r="D1776" s="4">
        <v>15</v>
      </c>
      <c r="E1776" s="4">
        <v>2</v>
      </c>
      <c r="F1776" s="8">
        <v>0.3</v>
      </c>
      <c r="G1776" s="4">
        <v>2</v>
      </c>
      <c r="H1776" s="4">
        <f t="shared" si="54"/>
        <v>0</v>
      </c>
      <c r="I1776" s="4">
        <f t="shared" si="55"/>
        <v>1</v>
      </c>
      <c r="J1776" s="4">
        <v>119</v>
      </c>
      <c r="K1776" s="4">
        <v>0</v>
      </c>
      <c r="L1776" s="4">
        <v>0</v>
      </c>
      <c r="M1776" s="4">
        <v>0</v>
      </c>
      <c r="N1776" s="4">
        <v>0</v>
      </c>
      <c r="O1776" s="4">
        <v>0</v>
      </c>
    </row>
    <row r="1777" spans="1:15" x14ac:dyDescent="0.15">
      <c r="A1777" s="4">
        <v>1774</v>
      </c>
      <c r="B1777" s="4">
        <v>31</v>
      </c>
      <c r="C1777" s="4">
        <v>5</v>
      </c>
      <c r="D1777" s="4">
        <v>28</v>
      </c>
      <c r="E1777" s="4">
        <v>4</v>
      </c>
      <c r="F1777" s="8">
        <v>0.8</v>
      </c>
      <c r="G1777" s="4">
        <v>1</v>
      </c>
      <c r="H1777" s="4">
        <f t="shared" si="54"/>
        <v>1</v>
      </c>
      <c r="I1777" s="4">
        <f t="shared" si="55"/>
        <v>0</v>
      </c>
      <c r="J1777" s="4">
        <v>0</v>
      </c>
      <c r="K1777" s="4">
        <v>0</v>
      </c>
      <c r="L1777" s="4">
        <v>0</v>
      </c>
      <c r="M1777" s="4">
        <v>0</v>
      </c>
      <c r="N1777" s="4">
        <v>0</v>
      </c>
      <c r="O1777" s="4">
        <v>0</v>
      </c>
    </row>
    <row r="1778" spans="1:15" x14ac:dyDescent="0.15">
      <c r="A1778" s="4">
        <v>1775</v>
      </c>
      <c r="B1778" s="4">
        <v>43</v>
      </c>
      <c r="C1778" s="4">
        <v>18</v>
      </c>
      <c r="D1778" s="4">
        <v>83</v>
      </c>
      <c r="E1778" s="4">
        <v>3</v>
      </c>
      <c r="F1778" s="8">
        <v>0.5</v>
      </c>
      <c r="G1778" s="4">
        <v>3</v>
      </c>
      <c r="H1778" s="4">
        <f t="shared" si="54"/>
        <v>0</v>
      </c>
      <c r="I1778" s="4">
        <f t="shared" si="55"/>
        <v>0</v>
      </c>
      <c r="J1778" s="4">
        <v>0</v>
      </c>
      <c r="K1778" s="4">
        <v>0</v>
      </c>
      <c r="L1778" s="4">
        <v>0</v>
      </c>
      <c r="M1778" s="4">
        <v>0</v>
      </c>
      <c r="N1778" s="4">
        <v>1</v>
      </c>
      <c r="O1778" s="4">
        <v>0</v>
      </c>
    </row>
    <row r="1779" spans="1:15" x14ac:dyDescent="0.15">
      <c r="A1779" s="4">
        <v>1776</v>
      </c>
      <c r="B1779" s="4">
        <v>46</v>
      </c>
      <c r="C1779" s="4">
        <v>22</v>
      </c>
      <c r="D1779" s="4">
        <v>73</v>
      </c>
      <c r="E1779" s="4">
        <v>1</v>
      </c>
      <c r="F1779" s="8">
        <v>0.8</v>
      </c>
      <c r="G1779" s="4">
        <v>3</v>
      </c>
      <c r="H1779" s="4">
        <f t="shared" si="54"/>
        <v>0</v>
      </c>
      <c r="I1779" s="4">
        <f t="shared" si="55"/>
        <v>0</v>
      </c>
      <c r="J1779" s="4">
        <v>117</v>
      </c>
      <c r="K1779" s="4">
        <v>0</v>
      </c>
      <c r="L1779" s="4">
        <v>0</v>
      </c>
      <c r="M1779" s="4">
        <v>0</v>
      </c>
      <c r="N1779" s="4">
        <v>0</v>
      </c>
      <c r="O1779" s="4">
        <v>0</v>
      </c>
    </row>
    <row r="1780" spans="1:15" x14ac:dyDescent="0.15">
      <c r="A1780" s="4">
        <v>1777</v>
      </c>
      <c r="B1780" s="4">
        <v>50</v>
      </c>
      <c r="C1780" s="4">
        <v>26</v>
      </c>
      <c r="D1780" s="4">
        <v>42</v>
      </c>
      <c r="E1780" s="4">
        <v>4</v>
      </c>
      <c r="F1780" s="8">
        <v>1.1000000000000001</v>
      </c>
      <c r="G1780" s="4">
        <v>2</v>
      </c>
      <c r="H1780" s="4">
        <f t="shared" si="54"/>
        <v>0</v>
      </c>
      <c r="I1780" s="4">
        <f t="shared" si="55"/>
        <v>1</v>
      </c>
      <c r="J1780" s="4">
        <v>151</v>
      </c>
      <c r="K1780" s="4">
        <v>0</v>
      </c>
      <c r="L1780" s="4">
        <v>0</v>
      </c>
      <c r="M1780" s="4">
        <v>1</v>
      </c>
      <c r="N1780" s="4">
        <v>0</v>
      </c>
      <c r="O1780" s="4">
        <v>0</v>
      </c>
    </row>
    <row r="1781" spans="1:15" x14ac:dyDescent="0.15">
      <c r="A1781" s="4">
        <v>1778</v>
      </c>
      <c r="B1781" s="4">
        <v>52</v>
      </c>
      <c r="C1781" s="4">
        <v>27</v>
      </c>
      <c r="D1781" s="4">
        <v>34</v>
      </c>
      <c r="E1781" s="4">
        <v>2</v>
      </c>
      <c r="F1781" s="8">
        <v>0.7</v>
      </c>
      <c r="G1781" s="4">
        <v>2</v>
      </c>
      <c r="H1781" s="4">
        <f t="shared" si="54"/>
        <v>0</v>
      </c>
      <c r="I1781" s="4">
        <f t="shared" si="55"/>
        <v>1</v>
      </c>
      <c r="J1781" s="4">
        <v>114</v>
      </c>
      <c r="K1781" s="4">
        <v>0</v>
      </c>
      <c r="L1781" s="4">
        <v>0</v>
      </c>
      <c r="M1781" s="4">
        <v>1</v>
      </c>
      <c r="N1781" s="4">
        <v>1</v>
      </c>
      <c r="O1781" s="4">
        <v>0</v>
      </c>
    </row>
    <row r="1782" spans="1:15" x14ac:dyDescent="0.15">
      <c r="A1782" s="4">
        <v>1779</v>
      </c>
      <c r="B1782" s="4">
        <v>27</v>
      </c>
      <c r="C1782" s="4">
        <v>3</v>
      </c>
      <c r="D1782" s="4">
        <v>32</v>
      </c>
      <c r="E1782" s="4">
        <v>3</v>
      </c>
      <c r="F1782" s="8">
        <v>1</v>
      </c>
      <c r="G1782" s="4">
        <v>2</v>
      </c>
      <c r="H1782" s="4">
        <f t="shared" si="54"/>
        <v>0</v>
      </c>
      <c r="I1782" s="4">
        <f t="shared" si="55"/>
        <v>1</v>
      </c>
      <c r="J1782" s="4">
        <v>0</v>
      </c>
      <c r="K1782" s="4">
        <v>0</v>
      </c>
      <c r="L1782" s="4">
        <v>0</v>
      </c>
      <c r="M1782" s="4">
        <v>0</v>
      </c>
      <c r="N1782" s="4">
        <v>0</v>
      </c>
      <c r="O1782" s="4">
        <v>0</v>
      </c>
    </row>
    <row r="1783" spans="1:15" x14ac:dyDescent="0.15">
      <c r="A1783" s="4">
        <v>1780</v>
      </c>
      <c r="B1783" s="4">
        <v>34</v>
      </c>
      <c r="C1783" s="4">
        <v>9</v>
      </c>
      <c r="D1783" s="4">
        <v>68</v>
      </c>
      <c r="E1783" s="4">
        <v>1</v>
      </c>
      <c r="F1783" s="8">
        <v>2.8</v>
      </c>
      <c r="G1783" s="4">
        <v>1</v>
      </c>
      <c r="H1783" s="4">
        <f t="shared" si="54"/>
        <v>1</v>
      </c>
      <c r="I1783" s="4">
        <f t="shared" si="55"/>
        <v>0</v>
      </c>
      <c r="J1783" s="4">
        <v>0</v>
      </c>
      <c r="K1783" s="4">
        <v>0</v>
      </c>
      <c r="L1783" s="4">
        <v>0</v>
      </c>
      <c r="M1783" s="4">
        <v>1</v>
      </c>
      <c r="N1783" s="4">
        <v>0</v>
      </c>
      <c r="O1783" s="4">
        <v>0</v>
      </c>
    </row>
    <row r="1784" spans="1:15" x14ac:dyDescent="0.15">
      <c r="A1784" s="4">
        <v>1781</v>
      </c>
      <c r="B1784" s="4">
        <v>49</v>
      </c>
      <c r="C1784" s="4">
        <v>24</v>
      </c>
      <c r="D1784" s="4">
        <v>82</v>
      </c>
      <c r="E1784" s="4">
        <v>1</v>
      </c>
      <c r="F1784" s="8">
        <v>2.9</v>
      </c>
      <c r="G1784" s="4">
        <v>1</v>
      </c>
      <c r="H1784" s="4">
        <f t="shared" si="54"/>
        <v>1</v>
      </c>
      <c r="I1784" s="4">
        <f t="shared" si="55"/>
        <v>0</v>
      </c>
      <c r="J1784" s="4">
        <v>267</v>
      </c>
      <c r="K1784" s="4">
        <v>0</v>
      </c>
      <c r="L1784" s="4">
        <v>0</v>
      </c>
      <c r="M1784" s="4">
        <v>1</v>
      </c>
      <c r="N1784" s="4">
        <v>0</v>
      </c>
      <c r="O1784" s="4">
        <v>0</v>
      </c>
    </row>
    <row r="1785" spans="1:15" x14ac:dyDescent="0.15">
      <c r="A1785" s="4">
        <v>1782</v>
      </c>
      <c r="B1785" s="4">
        <v>52</v>
      </c>
      <c r="C1785" s="4">
        <v>26</v>
      </c>
      <c r="D1785" s="4">
        <v>19</v>
      </c>
      <c r="E1785" s="4">
        <v>2</v>
      </c>
      <c r="F1785" s="8">
        <v>0.7</v>
      </c>
      <c r="G1785" s="4">
        <v>2</v>
      </c>
      <c r="H1785" s="4">
        <f t="shared" si="54"/>
        <v>0</v>
      </c>
      <c r="I1785" s="4">
        <f t="shared" si="55"/>
        <v>1</v>
      </c>
      <c r="J1785" s="4">
        <v>0</v>
      </c>
      <c r="K1785" s="4">
        <v>0</v>
      </c>
      <c r="L1785" s="4">
        <v>0</v>
      </c>
      <c r="M1785" s="4">
        <v>0</v>
      </c>
      <c r="N1785" s="4">
        <v>1</v>
      </c>
      <c r="O1785" s="4">
        <v>0</v>
      </c>
    </row>
    <row r="1786" spans="1:15" x14ac:dyDescent="0.15">
      <c r="A1786" s="4">
        <v>1783</v>
      </c>
      <c r="B1786" s="4">
        <v>37</v>
      </c>
      <c r="C1786" s="4">
        <v>11</v>
      </c>
      <c r="D1786" s="4">
        <v>60</v>
      </c>
      <c r="E1786" s="4">
        <v>2</v>
      </c>
      <c r="F1786" s="8">
        <v>2.8</v>
      </c>
      <c r="G1786" s="4">
        <v>1</v>
      </c>
      <c r="H1786" s="4">
        <f t="shared" si="54"/>
        <v>1</v>
      </c>
      <c r="I1786" s="4">
        <f t="shared" si="55"/>
        <v>0</v>
      </c>
      <c r="J1786" s="4">
        <v>181</v>
      </c>
      <c r="K1786" s="4">
        <v>0</v>
      </c>
      <c r="L1786" s="4">
        <v>0</v>
      </c>
      <c r="M1786" s="4">
        <v>0</v>
      </c>
      <c r="N1786" s="4">
        <v>1</v>
      </c>
      <c r="O1786" s="4">
        <v>0</v>
      </c>
    </row>
    <row r="1787" spans="1:15" x14ac:dyDescent="0.15">
      <c r="A1787" s="4">
        <v>1784</v>
      </c>
      <c r="B1787" s="4">
        <v>53</v>
      </c>
      <c r="C1787" s="4">
        <v>27</v>
      </c>
      <c r="D1787" s="4">
        <v>192</v>
      </c>
      <c r="E1787" s="4">
        <v>1</v>
      </c>
      <c r="F1787" s="8">
        <v>1.7</v>
      </c>
      <c r="G1787" s="4">
        <v>1</v>
      </c>
      <c r="H1787" s="4">
        <f t="shared" si="54"/>
        <v>1</v>
      </c>
      <c r="I1787" s="4">
        <f t="shared" si="55"/>
        <v>0</v>
      </c>
      <c r="J1787" s="4">
        <v>601</v>
      </c>
      <c r="K1787" s="4">
        <v>0</v>
      </c>
      <c r="L1787" s="4">
        <v>0</v>
      </c>
      <c r="M1787" s="4">
        <v>1</v>
      </c>
      <c r="N1787" s="4">
        <v>0</v>
      </c>
      <c r="O1787" s="4">
        <v>0</v>
      </c>
    </row>
    <row r="1788" spans="1:15" x14ac:dyDescent="0.15">
      <c r="A1788" s="4">
        <v>1785</v>
      </c>
      <c r="B1788" s="4">
        <v>54</v>
      </c>
      <c r="C1788" s="4">
        <v>29</v>
      </c>
      <c r="D1788" s="4">
        <v>119</v>
      </c>
      <c r="E1788" s="4">
        <v>3</v>
      </c>
      <c r="F1788" s="8">
        <v>2</v>
      </c>
      <c r="G1788" s="4">
        <v>1</v>
      </c>
      <c r="H1788" s="4">
        <f t="shared" si="54"/>
        <v>1</v>
      </c>
      <c r="I1788" s="4">
        <f t="shared" si="55"/>
        <v>0</v>
      </c>
      <c r="J1788" s="4">
        <v>0</v>
      </c>
      <c r="K1788" s="4">
        <v>1</v>
      </c>
      <c r="L1788" s="4">
        <v>1</v>
      </c>
      <c r="M1788" s="4">
        <v>0</v>
      </c>
      <c r="N1788" s="4">
        <v>0</v>
      </c>
      <c r="O1788" s="4">
        <v>1</v>
      </c>
    </row>
    <row r="1789" spans="1:15" x14ac:dyDescent="0.15">
      <c r="A1789" s="4">
        <v>1786</v>
      </c>
      <c r="B1789" s="4">
        <v>29</v>
      </c>
      <c r="C1789" s="4">
        <v>3</v>
      </c>
      <c r="D1789" s="4">
        <v>190</v>
      </c>
      <c r="E1789" s="4">
        <v>2</v>
      </c>
      <c r="F1789" s="8">
        <v>4.5</v>
      </c>
      <c r="G1789" s="4">
        <v>1</v>
      </c>
      <c r="H1789" s="4">
        <f t="shared" si="54"/>
        <v>1</v>
      </c>
      <c r="I1789" s="4">
        <f t="shared" si="55"/>
        <v>0</v>
      </c>
      <c r="J1789" s="4">
        <v>0</v>
      </c>
      <c r="K1789" s="4">
        <v>0</v>
      </c>
      <c r="L1789" s="4">
        <v>0</v>
      </c>
      <c r="M1789" s="4">
        <v>1</v>
      </c>
      <c r="N1789" s="4">
        <v>0</v>
      </c>
      <c r="O1789" s="4">
        <v>0</v>
      </c>
    </row>
    <row r="1790" spans="1:15" x14ac:dyDescent="0.15">
      <c r="A1790" s="4">
        <v>1787</v>
      </c>
      <c r="B1790" s="4">
        <v>35</v>
      </c>
      <c r="C1790" s="4">
        <v>11</v>
      </c>
      <c r="D1790" s="4">
        <v>34</v>
      </c>
      <c r="E1790" s="4">
        <v>1</v>
      </c>
      <c r="F1790" s="8">
        <v>1.5</v>
      </c>
      <c r="G1790" s="4">
        <v>2</v>
      </c>
      <c r="H1790" s="4">
        <f t="shared" si="54"/>
        <v>0</v>
      </c>
      <c r="I1790" s="4">
        <f t="shared" si="55"/>
        <v>1</v>
      </c>
      <c r="J1790" s="4">
        <v>0</v>
      </c>
      <c r="K1790" s="4">
        <v>0</v>
      </c>
      <c r="L1790" s="4">
        <v>0</v>
      </c>
      <c r="M1790" s="4">
        <v>0</v>
      </c>
      <c r="N1790" s="4">
        <v>0</v>
      </c>
      <c r="O1790" s="4">
        <v>0</v>
      </c>
    </row>
    <row r="1791" spans="1:15" x14ac:dyDescent="0.15">
      <c r="A1791" s="4">
        <v>1788</v>
      </c>
      <c r="B1791" s="4">
        <v>32</v>
      </c>
      <c r="C1791" s="4">
        <v>6</v>
      </c>
      <c r="D1791" s="4">
        <v>44</v>
      </c>
      <c r="E1791" s="4">
        <v>4</v>
      </c>
      <c r="F1791" s="8">
        <v>0.2</v>
      </c>
      <c r="G1791" s="4">
        <v>1</v>
      </c>
      <c r="H1791" s="4">
        <f t="shared" si="54"/>
        <v>1</v>
      </c>
      <c r="I1791" s="4">
        <f t="shared" si="55"/>
        <v>0</v>
      </c>
      <c r="J1791" s="4">
        <v>0</v>
      </c>
      <c r="K1791" s="4">
        <v>1</v>
      </c>
      <c r="L1791" s="4">
        <v>1</v>
      </c>
      <c r="M1791" s="4">
        <v>1</v>
      </c>
      <c r="N1791" s="4">
        <v>1</v>
      </c>
      <c r="O1791" s="4">
        <v>0</v>
      </c>
    </row>
    <row r="1792" spans="1:15" x14ac:dyDescent="0.15">
      <c r="A1792" s="4">
        <v>1789</v>
      </c>
      <c r="B1792" s="4">
        <v>38</v>
      </c>
      <c r="C1792" s="4">
        <v>13</v>
      </c>
      <c r="D1792" s="4">
        <v>23</v>
      </c>
      <c r="E1792" s="4">
        <v>4</v>
      </c>
      <c r="F1792" s="8">
        <v>0.2</v>
      </c>
      <c r="G1792" s="4">
        <v>3</v>
      </c>
      <c r="H1792" s="4">
        <f t="shared" si="54"/>
        <v>0</v>
      </c>
      <c r="I1792" s="4">
        <f t="shared" si="55"/>
        <v>0</v>
      </c>
      <c r="J1792" s="4">
        <v>0</v>
      </c>
      <c r="K1792" s="4">
        <v>0</v>
      </c>
      <c r="L1792" s="4">
        <v>0</v>
      </c>
      <c r="M1792" s="4">
        <v>1</v>
      </c>
      <c r="N1792" s="4">
        <v>0</v>
      </c>
      <c r="O1792" s="4">
        <v>0</v>
      </c>
    </row>
    <row r="1793" spans="1:15" x14ac:dyDescent="0.15">
      <c r="A1793" s="4">
        <v>1790</v>
      </c>
      <c r="B1793" s="4">
        <v>44</v>
      </c>
      <c r="C1793" s="4">
        <v>20</v>
      </c>
      <c r="D1793" s="4">
        <v>171</v>
      </c>
      <c r="E1793" s="4">
        <v>4</v>
      </c>
      <c r="F1793" s="8">
        <v>0.7</v>
      </c>
      <c r="G1793" s="4">
        <v>1</v>
      </c>
      <c r="H1793" s="4">
        <f t="shared" si="54"/>
        <v>1</v>
      </c>
      <c r="I1793" s="4">
        <f t="shared" si="55"/>
        <v>0</v>
      </c>
      <c r="J1793" s="4">
        <v>567</v>
      </c>
      <c r="K1793" s="4">
        <v>0</v>
      </c>
      <c r="L1793" s="4">
        <v>1</v>
      </c>
      <c r="M1793" s="4">
        <v>1</v>
      </c>
      <c r="N1793" s="4">
        <v>1</v>
      </c>
      <c r="O1793" s="4">
        <v>1</v>
      </c>
    </row>
    <row r="1794" spans="1:15" x14ac:dyDescent="0.15">
      <c r="A1794" s="4">
        <v>1791</v>
      </c>
      <c r="B1794" s="4">
        <v>44</v>
      </c>
      <c r="C1794" s="4">
        <v>20</v>
      </c>
      <c r="D1794" s="4">
        <v>43</v>
      </c>
      <c r="E1794" s="4">
        <v>1</v>
      </c>
      <c r="F1794" s="8">
        <v>0.3</v>
      </c>
      <c r="G1794" s="4">
        <v>3</v>
      </c>
      <c r="H1794" s="4">
        <f t="shared" si="54"/>
        <v>0</v>
      </c>
      <c r="I1794" s="4">
        <f t="shared" si="55"/>
        <v>0</v>
      </c>
      <c r="J1794" s="4">
        <v>0</v>
      </c>
      <c r="K1794" s="4">
        <v>1</v>
      </c>
      <c r="L1794" s="4">
        <v>0</v>
      </c>
      <c r="M1794" s="4">
        <v>0</v>
      </c>
      <c r="N1794" s="4">
        <v>1</v>
      </c>
      <c r="O1794" s="4">
        <v>0</v>
      </c>
    </row>
    <row r="1795" spans="1:15" x14ac:dyDescent="0.15">
      <c r="A1795" s="4">
        <v>1792</v>
      </c>
      <c r="B1795" s="4">
        <v>48</v>
      </c>
      <c r="C1795" s="4">
        <v>22</v>
      </c>
      <c r="D1795" s="4">
        <v>139</v>
      </c>
      <c r="E1795" s="4">
        <v>1</v>
      </c>
      <c r="F1795" s="8">
        <v>0</v>
      </c>
      <c r="G1795" s="4">
        <v>1</v>
      </c>
      <c r="H1795" s="4">
        <f t="shared" si="54"/>
        <v>1</v>
      </c>
      <c r="I1795" s="4">
        <f t="shared" si="55"/>
        <v>0</v>
      </c>
      <c r="J1795" s="4">
        <v>0</v>
      </c>
      <c r="K1795" s="4">
        <v>0</v>
      </c>
      <c r="L1795" s="4">
        <v>1</v>
      </c>
      <c r="M1795" s="4">
        <v>1</v>
      </c>
      <c r="N1795" s="4">
        <v>1</v>
      </c>
      <c r="O1795" s="4">
        <v>0</v>
      </c>
    </row>
    <row r="1796" spans="1:15" x14ac:dyDescent="0.15">
      <c r="A1796" s="4">
        <v>1793</v>
      </c>
      <c r="B1796" s="4">
        <v>46</v>
      </c>
      <c r="C1796" s="4">
        <v>20</v>
      </c>
      <c r="D1796" s="4">
        <v>118</v>
      </c>
      <c r="E1796" s="4">
        <v>1</v>
      </c>
      <c r="F1796" s="8">
        <v>5.7</v>
      </c>
      <c r="G1796" s="4">
        <v>1</v>
      </c>
      <c r="H1796" s="4">
        <f t="shared" si="54"/>
        <v>1</v>
      </c>
      <c r="I1796" s="4">
        <f t="shared" si="55"/>
        <v>0</v>
      </c>
      <c r="J1796" s="4">
        <v>0</v>
      </c>
      <c r="K1796" s="4">
        <v>0</v>
      </c>
      <c r="L1796" s="4">
        <v>1</v>
      </c>
      <c r="M1796" s="4">
        <v>1</v>
      </c>
      <c r="N1796" s="4">
        <v>1</v>
      </c>
      <c r="O1796" s="4">
        <v>0</v>
      </c>
    </row>
    <row r="1797" spans="1:15" x14ac:dyDescent="0.15">
      <c r="A1797" s="4">
        <v>1794</v>
      </c>
      <c r="B1797" s="4">
        <v>35</v>
      </c>
      <c r="C1797" s="4">
        <v>9</v>
      </c>
      <c r="D1797" s="4">
        <v>113</v>
      </c>
      <c r="E1797" s="4">
        <v>3</v>
      </c>
      <c r="F1797" s="8">
        <v>0.8</v>
      </c>
      <c r="G1797" s="4">
        <v>3</v>
      </c>
      <c r="H1797" s="4">
        <f t="shared" ref="H1797:H1860" si="56">IF(G1797=1,1,0)</f>
        <v>0</v>
      </c>
      <c r="I1797" s="4">
        <f t="shared" ref="I1797:I1860" si="57">IF(G1797=2,1,0)</f>
        <v>0</v>
      </c>
      <c r="J1797" s="4">
        <v>0</v>
      </c>
      <c r="K1797" s="4">
        <v>0</v>
      </c>
      <c r="L1797" s="4">
        <v>0</v>
      </c>
      <c r="M1797" s="4">
        <v>1</v>
      </c>
      <c r="N1797" s="4">
        <v>0</v>
      </c>
      <c r="O1797" s="4">
        <v>1</v>
      </c>
    </row>
    <row r="1798" spans="1:15" x14ac:dyDescent="0.15">
      <c r="A1798" s="4">
        <v>1795</v>
      </c>
      <c r="B1798" s="4">
        <v>56</v>
      </c>
      <c r="C1798" s="4">
        <v>32</v>
      </c>
      <c r="D1798" s="4">
        <v>98</v>
      </c>
      <c r="E1798" s="4">
        <v>3</v>
      </c>
      <c r="F1798" s="8">
        <v>3.9</v>
      </c>
      <c r="G1798" s="4">
        <v>3</v>
      </c>
      <c r="H1798" s="4">
        <f t="shared" si="56"/>
        <v>0</v>
      </c>
      <c r="I1798" s="4">
        <f t="shared" si="57"/>
        <v>0</v>
      </c>
      <c r="J1798" s="4">
        <v>0</v>
      </c>
      <c r="K1798" s="4">
        <v>0</v>
      </c>
      <c r="L1798" s="4">
        <v>0</v>
      </c>
      <c r="M1798" s="4">
        <v>0</v>
      </c>
      <c r="N1798" s="4">
        <v>0</v>
      </c>
      <c r="O1798" s="4">
        <v>1</v>
      </c>
    </row>
    <row r="1799" spans="1:15" x14ac:dyDescent="0.15">
      <c r="A1799" s="4">
        <v>1796</v>
      </c>
      <c r="B1799" s="4">
        <v>49</v>
      </c>
      <c r="C1799" s="4">
        <v>24</v>
      </c>
      <c r="D1799" s="4">
        <v>70</v>
      </c>
      <c r="E1799" s="4">
        <v>1</v>
      </c>
      <c r="F1799" s="8">
        <v>2.9</v>
      </c>
      <c r="G1799" s="4">
        <v>1</v>
      </c>
      <c r="H1799" s="4">
        <f t="shared" si="56"/>
        <v>1</v>
      </c>
      <c r="I1799" s="4">
        <f t="shared" si="57"/>
        <v>0</v>
      </c>
      <c r="J1799" s="4">
        <v>0</v>
      </c>
      <c r="K1799" s="4">
        <v>0</v>
      </c>
      <c r="L1799" s="4">
        <v>0</v>
      </c>
      <c r="M1799" s="4">
        <v>0</v>
      </c>
      <c r="N1799" s="4">
        <v>1</v>
      </c>
      <c r="O1799" s="4">
        <v>0</v>
      </c>
    </row>
    <row r="1800" spans="1:15" x14ac:dyDescent="0.15">
      <c r="A1800" s="4">
        <v>1797</v>
      </c>
      <c r="B1800" s="4">
        <v>57</v>
      </c>
      <c r="C1800" s="4">
        <v>32</v>
      </c>
      <c r="D1800" s="4">
        <v>42</v>
      </c>
      <c r="E1800" s="4">
        <v>2</v>
      </c>
      <c r="F1800" s="8">
        <v>2.1</v>
      </c>
      <c r="G1800" s="4">
        <v>3</v>
      </c>
      <c r="H1800" s="4">
        <f t="shared" si="56"/>
        <v>0</v>
      </c>
      <c r="I1800" s="4">
        <f t="shared" si="57"/>
        <v>0</v>
      </c>
      <c r="J1800" s="4">
        <v>0</v>
      </c>
      <c r="K1800" s="4">
        <v>0</v>
      </c>
      <c r="L1800" s="4">
        <v>0</v>
      </c>
      <c r="M1800" s="4">
        <v>1</v>
      </c>
      <c r="N1800" s="4">
        <v>0</v>
      </c>
      <c r="O1800" s="4">
        <v>0</v>
      </c>
    </row>
    <row r="1801" spans="1:15" x14ac:dyDescent="0.15">
      <c r="A1801" s="4">
        <v>1798</v>
      </c>
      <c r="B1801" s="4">
        <v>35</v>
      </c>
      <c r="C1801" s="4">
        <v>10</v>
      </c>
      <c r="D1801" s="4">
        <v>143</v>
      </c>
      <c r="E1801" s="4">
        <v>1</v>
      </c>
      <c r="F1801" s="8">
        <v>8.6</v>
      </c>
      <c r="G1801" s="4">
        <v>1</v>
      </c>
      <c r="H1801" s="4">
        <f t="shared" si="56"/>
        <v>1</v>
      </c>
      <c r="I1801" s="4">
        <f t="shared" si="57"/>
        <v>0</v>
      </c>
      <c r="J1801" s="4">
        <v>0</v>
      </c>
      <c r="K1801" s="4">
        <v>0</v>
      </c>
      <c r="L1801" s="4">
        <v>0</v>
      </c>
      <c r="M1801" s="4">
        <v>1</v>
      </c>
      <c r="N1801" s="4">
        <v>1</v>
      </c>
      <c r="O1801" s="4">
        <v>0</v>
      </c>
    </row>
    <row r="1802" spans="1:15" x14ac:dyDescent="0.15">
      <c r="A1802" s="4">
        <v>1799</v>
      </c>
      <c r="B1802" s="4">
        <v>44</v>
      </c>
      <c r="C1802" s="4">
        <v>20</v>
      </c>
      <c r="D1802" s="4">
        <v>185</v>
      </c>
      <c r="E1802" s="4">
        <v>3</v>
      </c>
      <c r="F1802" s="8">
        <v>2.7</v>
      </c>
      <c r="G1802" s="4">
        <v>1</v>
      </c>
      <c r="H1802" s="4">
        <f t="shared" si="56"/>
        <v>1</v>
      </c>
      <c r="I1802" s="4">
        <f t="shared" si="57"/>
        <v>0</v>
      </c>
      <c r="J1802" s="4">
        <v>0</v>
      </c>
      <c r="K1802" s="4">
        <v>0</v>
      </c>
      <c r="L1802" s="4">
        <v>0</v>
      </c>
      <c r="M1802" s="4">
        <v>1</v>
      </c>
      <c r="N1802" s="4">
        <v>0</v>
      </c>
      <c r="O1802" s="4">
        <v>1</v>
      </c>
    </row>
    <row r="1803" spans="1:15" x14ac:dyDescent="0.15">
      <c r="A1803" s="4">
        <v>1800</v>
      </c>
      <c r="B1803" s="4">
        <v>38</v>
      </c>
      <c r="C1803" s="4">
        <v>14</v>
      </c>
      <c r="D1803" s="4">
        <v>28</v>
      </c>
      <c r="E1803" s="4">
        <v>4</v>
      </c>
      <c r="F1803" s="8">
        <v>0.4</v>
      </c>
      <c r="G1803" s="4">
        <v>2</v>
      </c>
      <c r="H1803" s="4">
        <f t="shared" si="56"/>
        <v>0</v>
      </c>
      <c r="I1803" s="4">
        <f t="shared" si="57"/>
        <v>1</v>
      </c>
      <c r="J1803" s="4">
        <v>100</v>
      </c>
      <c r="K1803" s="4">
        <v>0</v>
      </c>
      <c r="L1803" s="4">
        <v>0</v>
      </c>
      <c r="M1803" s="4">
        <v>1</v>
      </c>
      <c r="N1803" s="4">
        <v>0</v>
      </c>
      <c r="O1803" s="4">
        <v>0</v>
      </c>
    </row>
    <row r="1804" spans="1:15" x14ac:dyDescent="0.15">
      <c r="A1804" s="4">
        <v>1801</v>
      </c>
      <c r="B1804" s="4">
        <v>57</v>
      </c>
      <c r="C1804" s="4">
        <v>33</v>
      </c>
      <c r="D1804" s="4">
        <v>45</v>
      </c>
      <c r="E1804" s="4">
        <v>3</v>
      </c>
      <c r="F1804" s="8">
        <v>1.5</v>
      </c>
      <c r="G1804" s="4">
        <v>1</v>
      </c>
      <c r="H1804" s="4">
        <f t="shared" si="56"/>
        <v>1</v>
      </c>
      <c r="I1804" s="4">
        <f t="shared" si="57"/>
        <v>0</v>
      </c>
      <c r="J1804" s="4">
        <v>181</v>
      </c>
      <c r="K1804" s="4">
        <v>1</v>
      </c>
      <c r="L1804" s="4">
        <v>1</v>
      </c>
      <c r="M1804" s="4">
        <v>1</v>
      </c>
      <c r="N1804" s="4">
        <v>1</v>
      </c>
      <c r="O1804" s="4">
        <v>0</v>
      </c>
    </row>
    <row r="1805" spans="1:15" x14ac:dyDescent="0.15">
      <c r="A1805" s="4">
        <v>1802</v>
      </c>
      <c r="B1805" s="4">
        <v>35</v>
      </c>
      <c r="C1805" s="4">
        <v>10</v>
      </c>
      <c r="D1805" s="4">
        <v>78</v>
      </c>
      <c r="E1805" s="4">
        <v>1</v>
      </c>
      <c r="F1805" s="8">
        <v>2.6</v>
      </c>
      <c r="G1805" s="4">
        <v>2</v>
      </c>
      <c r="H1805" s="4">
        <f t="shared" si="56"/>
        <v>0</v>
      </c>
      <c r="I1805" s="4">
        <f t="shared" si="57"/>
        <v>1</v>
      </c>
      <c r="J1805" s="4">
        <v>0</v>
      </c>
      <c r="K1805" s="4">
        <v>0</v>
      </c>
      <c r="L1805" s="4">
        <v>0</v>
      </c>
      <c r="M1805" s="4">
        <v>0</v>
      </c>
      <c r="N1805" s="4">
        <v>0</v>
      </c>
      <c r="O1805" s="4">
        <v>0</v>
      </c>
    </row>
    <row r="1806" spans="1:15" x14ac:dyDescent="0.15">
      <c r="A1806" s="4">
        <v>1803</v>
      </c>
      <c r="B1806" s="4">
        <v>29</v>
      </c>
      <c r="C1806" s="4">
        <v>3</v>
      </c>
      <c r="D1806" s="4">
        <v>121</v>
      </c>
      <c r="E1806" s="4">
        <v>2</v>
      </c>
      <c r="F1806" s="8">
        <v>1.3</v>
      </c>
      <c r="G1806" s="4">
        <v>1</v>
      </c>
      <c r="H1806" s="4">
        <f t="shared" si="56"/>
        <v>1</v>
      </c>
      <c r="I1806" s="4">
        <f t="shared" si="57"/>
        <v>0</v>
      </c>
      <c r="J1806" s="4">
        <v>0</v>
      </c>
      <c r="K1806" s="4">
        <v>0</v>
      </c>
      <c r="L1806" s="4">
        <v>0</v>
      </c>
      <c r="M1806" s="4">
        <v>0</v>
      </c>
      <c r="N1806" s="4">
        <v>0</v>
      </c>
      <c r="O1806" s="4">
        <v>0</v>
      </c>
    </row>
    <row r="1807" spans="1:15" x14ac:dyDescent="0.15">
      <c r="A1807" s="4">
        <v>1804</v>
      </c>
      <c r="B1807" s="4">
        <v>58</v>
      </c>
      <c r="C1807" s="4">
        <v>32</v>
      </c>
      <c r="D1807" s="4">
        <v>59</v>
      </c>
      <c r="E1807" s="4">
        <v>1</v>
      </c>
      <c r="F1807" s="8">
        <v>1.6</v>
      </c>
      <c r="G1807" s="4">
        <v>1</v>
      </c>
      <c r="H1807" s="4">
        <f t="shared" si="56"/>
        <v>1</v>
      </c>
      <c r="I1807" s="4">
        <f t="shared" si="57"/>
        <v>0</v>
      </c>
      <c r="J1807" s="4">
        <v>0</v>
      </c>
      <c r="K1807" s="4">
        <v>0</v>
      </c>
      <c r="L1807" s="4">
        <v>0</v>
      </c>
      <c r="M1807" s="4">
        <v>1</v>
      </c>
      <c r="N1807" s="4">
        <v>0</v>
      </c>
      <c r="O1807" s="4">
        <v>0</v>
      </c>
    </row>
    <row r="1808" spans="1:15" x14ac:dyDescent="0.15">
      <c r="A1808" s="4">
        <v>1805</v>
      </c>
      <c r="B1808" s="4">
        <v>40</v>
      </c>
      <c r="C1808" s="4">
        <v>16</v>
      </c>
      <c r="D1808" s="4">
        <v>64</v>
      </c>
      <c r="E1808" s="4">
        <v>4</v>
      </c>
      <c r="F1808" s="8">
        <v>2.6666666666666665</v>
      </c>
      <c r="G1808" s="4">
        <v>1</v>
      </c>
      <c r="H1808" s="4">
        <f t="shared" si="56"/>
        <v>1</v>
      </c>
      <c r="I1808" s="4">
        <f t="shared" si="57"/>
        <v>0</v>
      </c>
      <c r="J1808" s="4">
        <v>0</v>
      </c>
      <c r="K1808" s="4">
        <v>1</v>
      </c>
      <c r="L1808" s="4">
        <v>0</v>
      </c>
      <c r="M1808" s="4">
        <v>1</v>
      </c>
      <c r="N1808" s="4">
        <v>0</v>
      </c>
      <c r="O1808" s="4">
        <v>0</v>
      </c>
    </row>
    <row r="1809" spans="1:15" x14ac:dyDescent="0.15">
      <c r="A1809" s="4">
        <v>1806</v>
      </c>
      <c r="B1809" s="4">
        <v>51</v>
      </c>
      <c r="C1809" s="4">
        <v>26</v>
      </c>
      <c r="D1809" s="4">
        <v>15</v>
      </c>
      <c r="E1809" s="4">
        <v>2</v>
      </c>
      <c r="F1809" s="8">
        <v>0</v>
      </c>
      <c r="G1809" s="4">
        <v>1</v>
      </c>
      <c r="H1809" s="4">
        <f t="shared" si="56"/>
        <v>1</v>
      </c>
      <c r="I1809" s="4">
        <f t="shared" si="57"/>
        <v>0</v>
      </c>
      <c r="J1809" s="4">
        <v>114</v>
      </c>
      <c r="K1809" s="4">
        <v>0</v>
      </c>
      <c r="L1809" s="4">
        <v>0</v>
      </c>
      <c r="M1809" s="4">
        <v>1</v>
      </c>
      <c r="N1809" s="4">
        <v>0</v>
      </c>
      <c r="O1809" s="4">
        <v>0</v>
      </c>
    </row>
    <row r="1810" spans="1:15" x14ac:dyDescent="0.15">
      <c r="A1810" s="4">
        <v>1807</v>
      </c>
      <c r="B1810" s="4">
        <v>61</v>
      </c>
      <c r="C1810" s="4">
        <v>36</v>
      </c>
      <c r="D1810" s="4">
        <v>10</v>
      </c>
      <c r="E1810" s="4">
        <v>1</v>
      </c>
      <c r="F1810" s="8">
        <v>0.1</v>
      </c>
      <c r="G1810" s="4">
        <v>1</v>
      </c>
      <c r="H1810" s="4">
        <f t="shared" si="56"/>
        <v>1</v>
      </c>
      <c r="I1810" s="4">
        <f t="shared" si="57"/>
        <v>0</v>
      </c>
      <c r="J1810" s="4">
        <v>0</v>
      </c>
      <c r="K1810" s="4">
        <v>0</v>
      </c>
      <c r="L1810" s="4">
        <v>0</v>
      </c>
      <c r="M1810" s="4">
        <v>0</v>
      </c>
      <c r="N1810" s="4">
        <v>0</v>
      </c>
      <c r="O1810" s="4">
        <v>0</v>
      </c>
    </row>
    <row r="1811" spans="1:15" x14ac:dyDescent="0.15">
      <c r="A1811" s="4">
        <v>1808</v>
      </c>
      <c r="B1811" s="4">
        <v>46</v>
      </c>
      <c r="C1811" s="4">
        <v>20</v>
      </c>
      <c r="D1811" s="4">
        <v>61</v>
      </c>
      <c r="E1811" s="4">
        <v>2</v>
      </c>
      <c r="F1811" s="8">
        <v>0.4</v>
      </c>
      <c r="G1811" s="4">
        <v>3</v>
      </c>
      <c r="H1811" s="4">
        <f t="shared" si="56"/>
        <v>0</v>
      </c>
      <c r="I1811" s="4">
        <f t="shared" si="57"/>
        <v>0</v>
      </c>
      <c r="J1811" s="4">
        <v>0</v>
      </c>
      <c r="K1811" s="4">
        <v>0</v>
      </c>
      <c r="L1811" s="4">
        <v>0</v>
      </c>
      <c r="M1811" s="4">
        <v>0</v>
      </c>
      <c r="N1811" s="4">
        <v>0</v>
      </c>
      <c r="O1811" s="4">
        <v>0</v>
      </c>
    </row>
    <row r="1812" spans="1:15" x14ac:dyDescent="0.15">
      <c r="A1812" s="4">
        <v>1809</v>
      </c>
      <c r="B1812" s="4">
        <v>55</v>
      </c>
      <c r="C1812" s="4">
        <v>31</v>
      </c>
      <c r="D1812" s="4">
        <v>50</v>
      </c>
      <c r="E1812" s="4">
        <v>4</v>
      </c>
      <c r="F1812" s="8">
        <v>1.5</v>
      </c>
      <c r="G1812" s="4">
        <v>1</v>
      </c>
      <c r="H1812" s="4">
        <f t="shared" si="56"/>
        <v>1</v>
      </c>
      <c r="I1812" s="4">
        <f t="shared" si="57"/>
        <v>0</v>
      </c>
      <c r="J1812" s="4">
        <v>0</v>
      </c>
      <c r="K1812" s="4">
        <v>0</v>
      </c>
      <c r="L1812" s="4">
        <v>0</v>
      </c>
      <c r="M1812" s="4">
        <v>1</v>
      </c>
      <c r="N1812" s="4">
        <v>0</v>
      </c>
      <c r="O1812" s="4">
        <v>0</v>
      </c>
    </row>
    <row r="1813" spans="1:15" x14ac:dyDescent="0.15">
      <c r="A1813" s="4">
        <v>1810</v>
      </c>
      <c r="B1813" s="4">
        <v>35</v>
      </c>
      <c r="C1813" s="4">
        <v>10</v>
      </c>
      <c r="D1813" s="4">
        <v>79</v>
      </c>
      <c r="E1813" s="4">
        <v>4</v>
      </c>
      <c r="F1813" s="8">
        <v>2.1</v>
      </c>
      <c r="G1813" s="4">
        <v>3</v>
      </c>
      <c r="H1813" s="4">
        <f t="shared" si="56"/>
        <v>0</v>
      </c>
      <c r="I1813" s="4">
        <f t="shared" si="57"/>
        <v>0</v>
      </c>
      <c r="J1813" s="4">
        <v>0</v>
      </c>
      <c r="K1813" s="4">
        <v>1</v>
      </c>
      <c r="L1813" s="4">
        <v>0</v>
      </c>
      <c r="M1813" s="4">
        <v>1</v>
      </c>
      <c r="N1813" s="4">
        <v>0</v>
      </c>
      <c r="O1813" s="4">
        <v>0</v>
      </c>
    </row>
    <row r="1814" spans="1:15" x14ac:dyDescent="0.15">
      <c r="A1814" s="4">
        <v>1811</v>
      </c>
      <c r="B1814" s="4">
        <v>60</v>
      </c>
      <c r="C1814" s="4">
        <v>34</v>
      </c>
      <c r="D1814" s="4">
        <v>35</v>
      </c>
      <c r="E1814" s="4">
        <v>1</v>
      </c>
      <c r="F1814" s="8">
        <v>0.2</v>
      </c>
      <c r="G1814" s="4">
        <v>1</v>
      </c>
      <c r="H1814" s="4">
        <f t="shared" si="56"/>
        <v>1</v>
      </c>
      <c r="I1814" s="4">
        <f t="shared" si="57"/>
        <v>0</v>
      </c>
      <c r="J1814" s="4">
        <v>0</v>
      </c>
      <c r="K1814" s="4">
        <v>0</v>
      </c>
      <c r="L1814" s="4">
        <v>0</v>
      </c>
      <c r="M1814" s="4">
        <v>1</v>
      </c>
      <c r="N1814" s="4">
        <v>0</v>
      </c>
      <c r="O1814" s="4">
        <v>0</v>
      </c>
    </row>
    <row r="1815" spans="1:15" x14ac:dyDescent="0.15">
      <c r="A1815" s="4">
        <v>1812</v>
      </c>
      <c r="B1815" s="4">
        <v>28</v>
      </c>
      <c r="C1815" s="4">
        <v>3</v>
      </c>
      <c r="D1815" s="4">
        <v>11</v>
      </c>
      <c r="E1815" s="4">
        <v>4</v>
      </c>
      <c r="F1815" s="8">
        <v>0.5</v>
      </c>
      <c r="G1815" s="4">
        <v>3</v>
      </c>
      <c r="H1815" s="4">
        <f t="shared" si="56"/>
        <v>0</v>
      </c>
      <c r="I1815" s="4">
        <f t="shared" si="57"/>
        <v>0</v>
      </c>
      <c r="J1815" s="4">
        <v>0</v>
      </c>
      <c r="K1815" s="4">
        <v>0</v>
      </c>
      <c r="L1815" s="4">
        <v>0</v>
      </c>
      <c r="M1815" s="4">
        <v>0</v>
      </c>
      <c r="N1815" s="4">
        <v>0</v>
      </c>
      <c r="O1815" s="4">
        <v>0</v>
      </c>
    </row>
    <row r="1816" spans="1:15" x14ac:dyDescent="0.15">
      <c r="A1816" s="4">
        <v>1813</v>
      </c>
      <c r="B1816" s="4">
        <v>43</v>
      </c>
      <c r="C1816" s="4">
        <v>19</v>
      </c>
      <c r="D1816" s="4">
        <v>128</v>
      </c>
      <c r="E1816" s="4">
        <v>1</v>
      </c>
      <c r="F1816" s="8">
        <v>4.7</v>
      </c>
      <c r="G1816" s="4">
        <v>1</v>
      </c>
      <c r="H1816" s="4">
        <f t="shared" si="56"/>
        <v>1</v>
      </c>
      <c r="I1816" s="4">
        <f t="shared" si="57"/>
        <v>0</v>
      </c>
      <c r="J1816" s="4">
        <v>0</v>
      </c>
      <c r="K1816" s="4">
        <v>0</v>
      </c>
      <c r="L1816" s="4">
        <v>0</v>
      </c>
      <c r="M1816" s="4">
        <v>1</v>
      </c>
      <c r="N1816" s="4">
        <v>0</v>
      </c>
      <c r="O1816" s="4">
        <v>0</v>
      </c>
    </row>
    <row r="1817" spans="1:15" x14ac:dyDescent="0.15">
      <c r="A1817" s="4">
        <v>1814</v>
      </c>
      <c r="B1817" s="4">
        <v>61</v>
      </c>
      <c r="C1817" s="4">
        <v>36</v>
      </c>
      <c r="D1817" s="4">
        <v>55</v>
      </c>
      <c r="E1817" s="4">
        <v>3</v>
      </c>
      <c r="F1817" s="8">
        <v>0.9</v>
      </c>
      <c r="G1817" s="4">
        <v>3</v>
      </c>
      <c r="H1817" s="4">
        <f t="shared" si="56"/>
        <v>0</v>
      </c>
      <c r="I1817" s="4">
        <f t="shared" si="57"/>
        <v>0</v>
      </c>
      <c r="J1817" s="4">
        <v>0</v>
      </c>
      <c r="K1817" s="4">
        <v>0</v>
      </c>
      <c r="L1817" s="4">
        <v>0</v>
      </c>
      <c r="M1817" s="4">
        <v>1</v>
      </c>
      <c r="N1817" s="4">
        <v>1</v>
      </c>
      <c r="O1817" s="4">
        <v>0</v>
      </c>
    </row>
    <row r="1818" spans="1:15" x14ac:dyDescent="0.15">
      <c r="A1818" s="4">
        <v>1815</v>
      </c>
      <c r="B1818" s="4">
        <v>48</v>
      </c>
      <c r="C1818" s="4">
        <v>22</v>
      </c>
      <c r="D1818" s="4">
        <v>79</v>
      </c>
      <c r="E1818" s="4">
        <v>3</v>
      </c>
      <c r="F1818" s="8">
        <v>0.7</v>
      </c>
      <c r="G1818" s="4">
        <v>2</v>
      </c>
      <c r="H1818" s="4">
        <f t="shared" si="56"/>
        <v>0</v>
      </c>
      <c r="I1818" s="4">
        <f t="shared" si="57"/>
        <v>1</v>
      </c>
      <c r="J1818" s="4">
        <v>0</v>
      </c>
      <c r="K1818" s="4">
        <v>0</v>
      </c>
      <c r="L1818" s="4">
        <v>0</v>
      </c>
      <c r="M1818" s="4">
        <v>1</v>
      </c>
      <c r="N1818" s="4">
        <v>0</v>
      </c>
      <c r="O1818" s="4">
        <v>0</v>
      </c>
    </row>
    <row r="1819" spans="1:15" x14ac:dyDescent="0.15">
      <c r="A1819" s="4">
        <v>1816</v>
      </c>
      <c r="B1819" s="4">
        <v>65</v>
      </c>
      <c r="C1819" s="4">
        <v>39</v>
      </c>
      <c r="D1819" s="4">
        <v>18</v>
      </c>
      <c r="E1819" s="4">
        <v>2</v>
      </c>
      <c r="F1819" s="8">
        <v>0.4</v>
      </c>
      <c r="G1819" s="4">
        <v>1</v>
      </c>
      <c r="H1819" s="4">
        <f t="shared" si="56"/>
        <v>1</v>
      </c>
      <c r="I1819" s="4">
        <f t="shared" si="57"/>
        <v>0</v>
      </c>
      <c r="J1819" s="4">
        <v>0</v>
      </c>
      <c r="K1819" s="4">
        <v>1</v>
      </c>
      <c r="L1819" s="4">
        <v>1</v>
      </c>
      <c r="M1819" s="4">
        <v>1</v>
      </c>
      <c r="N1819" s="4">
        <v>1</v>
      </c>
      <c r="O1819" s="4">
        <v>0</v>
      </c>
    </row>
    <row r="1820" spans="1:15" x14ac:dyDescent="0.15">
      <c r="A1820" s="4">
        <v>1817</v>
      </c>
      <c r="B1820" s="4">
        <v>45</v>
      </c>
      <c r="C1820" s="4">
        <v>19</v>
      </c>
      <c r="D1820" s="4">
        <v>91</v>
      </c>
      <c r="E1820" s="4">
        <v>2</v>
      </c>
      <c r="F1820" s="8">
        <v>1.7</v>
      </c>
      <c r="G1820" s="4">
        <v>2</v>
      </c>
      <c r="H1820" s="4">
        <f t="shared" si="56"/>
        <v>0</v>
      </c>
      <c r="I1820" s="4">
        <f t="shared" si="57"/>
        <v>1</v>
      </c>
      <c r="J1820" s="4">
        <v>0</v>
      </c>
      <c r="K1820" s="4">
        <v>1</v>
      </c>
      <c r="L1820" s="4">
        <v>0</v>
      </c>
      <c r="M1820" s="4">
        <v>1</v>
      </c>
      <c r="N1820" s="4">
        <v>0</v>
      </c>
      <c r="O1820" s="4">
        <v>0</v>
      </c>
    </row>
    <row r="1821" spans="1:15" x14ac:dyDescent="0.15">
      <c r="A1821" s="4">
        <v>1818</v>
      </c>
      <c r="B1821" s="4">
        <v>36</v>
      </c>
      <c r="C1821" s="4">
        <v>11</v>
      </c>
      <c r="D1821" s="4">
        <v>9</v>
      </c>
      <c r="E1821" s="4">
        <v>4</v>
      </c>
      <c r="F1821" s="8">
        <v>0.2</v>
      </c>
      <c r="G1821" s="4">
        <v>3</v>
      </c>
      <c r="H1821" s="4">
        <f t="shared" si="56"/>
        <v>0</v>
      </c>
      <c r="I1821" s="4">
        <f t="shared" si="57"/>
        <v>0</v>
      </c>
      <c r="J1821" s="4">
        <v>0</v>
      </c>
      <c r="K1821" s="4">
        <v>0</v>
      </c>
      <c r="L1821" s="4">
        <v>0</v>
      </c>
      <c r="M1821" s="4">
        <v>0</v>
      </c>
      <c r="N1821" s="4">
        <v>1</v>
      </c>
      <c r="O1821" s="4">
        <v>0</v>
      </c>
    </row>
    <row r="1822" spans="1:15" x14ac:dyDescent="0.15">
      <c r="A1822" s="4">
        <v>1819</v>
      </c>
      <c r="B1822" s="4">
        <v>45</v>
      </c>
      <c r="C1822" s="4">
        <v>20</v>
      </c>
      <c r="D1822" s="4">
        <v>62</v>
      </c>
      <c r="E1822" s="4">
        <v>2</v>
      </c>
      <c r="F1822" s="8">
        <v>2.2000000000000002</v>
      </c>
      <c r="G1822" s="4">
        <v>3</v>
      </c>
      <c r="H1822" s="4">
        <f t="shared" si="56"/>
        <v>0</v>
      </c>
      <c r="I1822" s="4">
        <f t="shared" si="57"/>
        <v>0</v>
      </c>
      <c r="J1822" s="4">
        <v>0</v>
      </c>
      <c r="K1822" s="4">
        <v>0</v>
      </c>
      <c r="L1822" s="4">
        <v>0</v>
      </c>
      <c r="M1822" s="4">
        <v>1</v>
      </c>
      <c r="N1822" s="4">
        <v>0</v>
      </c>
      <c r="O1822" s="4">
        <v>0</v>
      </c>
    </row>
    <row r="1823" spans="1:15" x14ac:dyDescent="0.15">
      <c r="A1823" s="4">
        <v>1820</v>
      </c>
      <c r="B1823" s="4">
        <v>60</v>
      </c>
      <c r="C1823" s="4">
        <v>34</v>
      </c>
      <c r="D1823" s="4">
        <v>59</v>
      </c>
      <c r="E1823" s="4">
        <v>1</v>
      </c>
      <c r="F1823" s="8">
        <v>1.6</v>
      </c>
      <c r="G1823" s="4">
        <v>1</v>
      </c>
      <c r="H1823" s="4">
        <f t="shared" si="56"/>
        <v>1</v>
      </c>
      <c r="I1823" s="4">
        <f t="shared" si="57"/>
        <v>0</v>
      </c>
      <c r="J1823" s="4">
        <v>231</v>
      </c>
      <c r="K1823" s="4">
        <v>0</v>
      </c>
      <c r="L1823" s="4">
        <v>0</v>
      </c>
      <c r="M1823" s="4">
        <v>1</v>
      </c>
      <c r="N1823" s="4">
        <v>0</v>
      </c>
      <c r="O1823" s="4">
        <v>0</v>
      </c>
    </row>
    <row r="1824" spans="1:15" x14ac:dyDescent="0.15">
      <c r="A1824" s="4">
        <v>1821</v>
      </c>
      <c r="B1824" s="4">
        <v>47</v>
      </c>
      <c r="C1824" s="4">
        <v>22</v>
      </c>
      <c r="D1824" s="4">
        <v>25</v>
      </c>
      <c r="E1824" s="4">
        <v>1</v>
      </c>
      <c r="F1824" s="8">
        <v>0.1</v>
      </c>
      <c r="G1824" s="4">
        <v>1</v>
      </c>
      <c r="H1824" s="4">
        <f t="shared" si="56"/>
        <v>1</v>
      </c>
      <c r="I1824" s="4">
        <f t="shared" si="57"/>
        <v>0</v>
      </c>
      <c r="J1824" s="4">
        <v>148</v>
      </c>
      <c r="K1824" s="4">
        <v>0</v>
      </c>
      <c r="L1824" s="4">
        <v>0</v>
      </c>
      <c r="M1824" s="4">
        <v>1</v>
      </c>
      <c r="N1824" s="4">
        <v>0</v>
      </c>
      <c r="O1824" s="4">
        <v>0</v>
      </c>
    </row>
    <row r="1825" spans="1:15" x14ac:dyDescent="0.15">
      <c r="A1825" s="4">
        <v>1822</v>
      </c>
      <c r="B1825" s="4">
        <v>32</v>
      </c>
      <c r="C1825" s="4">
        <v>7</v>
      </c>
      <c r="D1825" s="4">
        <v>54</v>
      </c>
      <c r="E1825" s="4">
        <v>4</v>
      </c>
      <c r="F1825" s="8">
        <v>1.3</v>
      </c>
      <c r="G1825" s="4">
        <v>1</v>
      </c>
      <c r="H1825" s="4">
        <f t="shared" si="56"/>
        <v>1</v>
      </c>
      <c r="I1825" s="4">
        <f t="shared" si="57"/>
        <v>0</v>
      </c>
      <c r="J1825" s="4">
        <v>0</v>
      </c>
      <c r="K1825" s="4">
        <v>1</v>
      </c>
      <c r="L1825" s="4">
        <v>0</v>
      </c>
      <c r="M1825" s="4">
        <v>1</v>
      </c>
      <c r="N1825" s="4">
        <v>0</v>
      </c>
      <c r="O1825" s="4">
        <v>0</v>
      </c>
    </row>
    <row r="1826" spans="1:15" x14ac:dyDescent="0.15">
      <c r="A1826" s="4">
        <v>1823</v>
      </c>
      <c r="B1826" s="4">
        <v>48</v>
      </c>
      <c r="C1826" s="4">
        <v>23</v>
      </c>
      <c r="D1826" s="4">
        <v>112</v>
      </c>
      <c r="E1826" s="4">
        <v>1</v>
      </c>
      <c r="F1826" s="8">
        <v>5.0999999999999996</v>
      </c>
      <c r="G1826" s="4">
        <v>2</v>
      </c>
      <c r="H1826" s="4">
        <f t="shared" si="56"/>
        <v>0</v>
      </c>
      <c r="I1826" s="4">
        <f t="shared" si="57"/>
        <v>1</v>
      </c>
      <c r="J1826" s="4">
        <v>86</v>
      </c>
      <c r="K1826" s="4">
        <v>1</v>
      </c>
      <c r="L1826" s="4">
        <v>1</v>
      </c>
      <c r="M1826" s="4">
        <v>1</v>
      </c>
      <c r="N1826" s="4">
        <v>0</v>
      </c>
      <c r="O1826" s="4">
        <v>1</v>
      </c>
    </row>
    <row r="1827" spans="1:15" x14ac:dyDescent="0.15">
      <c r="A1827" s="4">
        <v>1824</v>
      </c>
      <c r="B1827" s="4">
        <v>33</v>
      </c>
      <c r="C1827" s="4">
        <v>8</v>
      </c>
      <c r="D1827" s="4">
        <v>125</v>
      </c>
      <c r="E1827" s="4">
        <v>1</v>
      </c>
      <c r="F1827" s="8">
        <v>0</v>
      </c>
      <c r="G1827" s="4">
        <v>1</v>
      </c>
      <c r="H1827" s="4">
        <f t="shared" si="56"/>
        <v>1</v>
      </c>
      <c r="I1827" s="4">
        <f t="shared" si="57"/>
        <v>0</v>
      </c>
      <c r="J1827" s="4">
        <v>0</v>
      </c>
      <c r="K1827" s="4">
        <v>0</v>
      </c>
      <c r="L1827" s="4">
        <v>0</v>
      </c>
      <c r="M1827" s="4">
        <v>1</v>
      </c>
      <c r="N1827" s="4">
        <v>1</v>
      </c>
      <c r="O1827" s="4">
        <v>0</v>
      </c>
    </row>
    <row r="1828" spans="1:15" x14ac:dyDescent="0.15">
      <c r="A1828" s="4">
        <v>1825</v>
      </c>
      <c r="B1828" s="4">
        <v>49</v>
      </c>
      <c r="C1828" s="4">
        <v>23</v>
      </c>
      <c r="D1828" s="4">
        <v>194</v>
      </c>
      <c r="E1828" s="4">
        <v>4</v>
      </c>
      <c r="F1828" s="8">
        <v>8.3000000000000007</v>
      </c>
      <c r="G1828" s="4">
        <v>2</v>
      </c>
      <c r="H1828" s="4">
        <f t="shared" si="56"/>
        <v>0</v>
      </c>
      <c r="I1828" s="4">
        <f t="shared" si="57"/>
        <v>1</v>
      </c>
      <c r="J1828" s="4">
        <v>0</v>
      </c>
      <c r="K1828" s="4">
        <v>0</v>
      </c>
      <c r="L1828" s="4">
        <v>0</v>
      </c>
      <c r="M1828" s="4">
        <v>0</v>
      </c>
      <c r="N1828" s="4">
        <v>1</v>
      </c>
      <c r="O1828" s="4">
        <v>1</v>
      </c>
    </row>
    <row r="1829" spans="1:15" x14ac:dyDescent="0.15">
      <c r="A1829" s="4">
        <v>1826</v>
      </c>
      <c r="B1829" s="4">
        <v>56</v>
      </c>
      <c r="C1829" s="4">
        <v>32</v>
      </c>
      <c r="D1829" s="4">
        <v>161</v>
      </c>
      <c r="E1829" s="4">
        <v>1</v>
      </c>
      <c r="F1829" s="8">
        <v>5.8</v>
      </c>
      <c r="G1829" s="4">
        <v>3</v>
      </c>
      <c r="H1829" s="4">
        <f t="shared" si="56"/>
        <v>0</v>
      </c>
      <c r="I1829" s="4">
        <f t="shared" si="57"/>
        <v>0</v>
      </c>
      <c r="J1829" s="4">
        <v>0</v>
      </c>
      <c r="K1829" s="4">
        <v>1</v>
      </c>
      <c r="L1829" s="4">
        <v>0</v>
      </c>
      <c r="M1829" s="4">
        <v>0</v>
      </c>
      <c r="N1829" s="4">
        <v>0</v>
      </c>
      <c r="O1829" s="4">
        <v>1</v>
      </c>
    </row>
    <row r="1830" spans="1:15" x14ac:dyDescent="0.15">
      <c r="A1830" s="4">
        <v>1827</v>
      </c>
      <c r="B1830" s="4">
        <v>59</v>
      </c>
      <c r="C1830" s="4">
        <v>33</v>
      </c>
      <c r="D1830" s="4">
        <v>35</v>
      </c>
      <c r="E1830" s="4">
        <v>1</v>
      </c>
      <c r="F1830" s="8">
        <v>0.2</v>
      </c>
      <c r="G1830" s="4">
        <v>1</v>
      </c>
      <c r="H1830" s="4">
        <f t="shared" si="56"/>
        <v>1</v>
      </c>
      <c r="I1830" s="4">
        <f t="shared" si="57"/>
        <v>0</v>
      </c>
      <c r="J1830" s="4">
        <v>171</v>
      </c>
      <c r="K1830" s="4">
        <v>0</v>
      </c>
      <c r="L1830" s="4">
        <v>0</v>
      </c>
      <c r="M1830" s="4">
        <v>0</v>
      </c>
      <c r="N1830" s="4">
        <v>0</v>
      </c>
      <c r="O1830" s="4">
        <v>0</v>
      </c>
    </row>
    <row r="1831" spans="1:15" x14ac:dyDescent="0.15">
      <c r="A1831" s="4">
        <v>1828</v>
      </c>
      <c r="B1831" s="4">
        <v>56</v>
      </c>
      <c r="C1831" s="4">
        <v>30</v>
      </c>
      <c r="D1831" s="4">
        <v>113</v>
      </c>
      <c r="E1831" s="4">
        <v>2</v>
      </c>
      <c r="F1831" s="8">
        <v>2.7</v>
      </c>
      <c r="G1831" s="4">
        <v>1</v>
      </c>
      <c r="H1831" s="4">
        <f t="shared" si="56"/>
        <v>1</v>
      </c>
      <c r="I1831" s="4">
        <f t="shared" si="57"/>
        <v>0</v>
      </c>
      <c r="J1831" s="4">
        <v>352</v>
      </c>
      <c r="K1831" s="4">
        <v>0</v>
      </c>
      <c r="L1831" s="4">
        <v>0</v>
      </c>
      <c r="M1831" s="4">
        <v>0</v>
      </c>
      <c r="N1831" s="4">
        <v>1</v>
      </c>
      <c r="O1831" s="4">
        <v>0</v>
      </c>
    </row>
    <row r="1832" spans="1:15" x14ac:dyDescent="0.15">
      <c r="A1832" s="4">
        <v>1829</v>
      </c>
      <c r="B1832" s="4">
        <v>30</v>
      </c>
      <c r="C1832" s="4">
        <v>4</v>
      </c>
      <c r="D1832" s="4">
        <v>25</v>
      </c>
      <c r="E1832" s="4">
        <v>2</v>
      </c>
      <c r="F1832" s="8">
        <v>0.3</v>
      </c>
      <c r="G1832" s="4">
        <v>2</v>
      </c>
      <c r="H1832" s="4">
        <f t="shared" si="56"/>
        <v>0</v>
      </c>
      <c r="I1832" s="4">
        <f t="shared" si="57"/>
        <v>1</v>
      </c>
      <c r="J1832" s="4">
        <v>0</v>
      </c>
      <c r="K1832" s="4">
        <v>0</v>
      </c>
      <c r="L1832" s="4">
        <v>0</v>
      </c>
      <c r="M1832" s="4">
        <v>0</v>
      </c>
      <c r="N1832" s="4">
        <v>0</v>
      </c>
      <c r="O1832" s="4">
        <v>0</v>
      </c>
    </row>
    <row r="1833" spans="1:15" x14ac:dyDescent="0.15">
      <c r="A1833" s="4">
        <v>1830</v>
      </c>
      <c r="B1833" s="4">
        <v>59</v>
      </c>
      <c r="C1833" s="4">
        <v>29</v>
      </c>
      <c r="D1833" s="4">
        <v>45</v>
      </c>
      <c r="E1833" s="4">
        <v>3</v>
      </c>
      <c r="F1833" s="8">
        <v>2</v>
      </c>
      <c r="G1833" s="4">
        <v>3</v>
      </c>
      <c r="H1833" s="4">
        <f t="shared" si="56"/>
        <v>0</v>
      </c>
      <c r="I1833" s="4">
        <f t="shared" si="57"/>
        <v>0</v>
      </c>
      <c r="J1833" s="4">
        <v>0</v>
      </c>
      <c r="K1833" s="4">
        <v>0</v>
      </c>
      <c r="L1833" s="4">
        <v>0</v>
      </c>
      <c r="M1833" s="4">
        <v>1</v>
      </c>
      <c r="N1833" s="4">
        <v>0</v>
      </c>
      <c r="O1833" s="4">
        <v>0</v>
      </c>
    </row>
    <row r="1834" spans="1:15" x14ac:dyDescent="0.15">
      <c r="A1834" s="4">
        <v>1831</v>
      </c>
      <c r="B1834" s="4">
        <v>38</v>
      </c>
      <c r="C1834" s="4">
        <v>13</v>
      </c>
      <c r="D1834" s="4">
        <v>119</v>
      </c>
      <c r="E1834" s="4">
        <v>2</v>
      </c>
      <c r="F1834" s="8">
        <v>7.8</v>
      </c>
      <c r="G1834" s="4">
        <v>1</v>
      </c>
      <c r="H1834" s="4">
        <f t="shared" si="56"/>
        <v>1</v>
      </c>
      <c r="I1834" s="4">
        <f t="shared" si="57"/>
        <v>0</v>
      </c>
      <c r="J1834" s="4">
        <v>221</v>
      </c>
      <c r="K1834" s="4">
        <v>0</v>
      </c>
      <c r="L1834" s="4">
        <v>0</v>
      </c>
      <c r="M1834" s="4">
        <v>0</v>
      </c>
      <c r="N1834" s="4">
        <v>0</v>
      </c>
      <c r="O1834" s="4">
        <v>0</v>
      </c>
    </row>
    <row r="1835" spans="1:15" x14ac:dyDescent="0.15">
      <c r="A1835" s="4">
        <v>1832</v>
      </c>
      <c r="B1835" s="4">
        <v>47</v>
      </c>
      <c r="C1835" s="4">
        <v>22</v>
      </c>
      <c r="D1835" s="4">
        <v>30</v>
      </c>
      <c r="E1835" s="4">
        <v>4</v>
      </c>
      <c r="F1835" s="8">
        <v>0.4</v>
      </c>
      <c r="G1835" s="4">
        <v>2</v>
      </c>
      <c r="H1835" s="4">
        <f t="shared" si="56"/>
        <v>0</v>
      </c>
      <c r="I1835" s="4">
        <f t="shared" si="57"/>
        <v>1</v>
      </c>
      <c r="J1835" s="4">
        <v>115</v>
      </c>
      <c r="K1835" s="4">
        <v>0</v>
      </c>
      <c r="L1835" s="4">
        <v>0</v>
      </c>
      <c r="M1835" s="4">
        <v>1</v>
      </c>
      <c r="N1835" s="4">
        <v>1</v>
      </c>
      <c r="O1835" s="4">
        <v>0</v>
      </c>
    </row>
    <row r="1836" spans="1:15" x14ac:dyDescent="0.15">
      <c r="A1836" s="4">
        <v>1833</v>
      </c>
      <c r="B1836" s="4">
        <v>54</v>
      </c>
      <c r="C1836" s="4">
        <v>29</v>
      </c>
      <c r="D1836" s="4">
        <v>79</v>
      </c>
      <c r="E1836" s="4">
        <v>4</v>
      </c>
      <c r="F1836" s="8">
        <v>3.8</v>
      </c>
      <c r="G1836" s="4">
        <v>2</v>
      </c>
      <c r="H1836" s="4">
        <f t="shared" si="56"/>
        <v>0</v>
      </c>
      <c r="I1836" s="4">
        <f t="shared" si="57"/>
        <v>1</v>
      </c>
      <c r="J1836" s="4">
        <v>0</v>
      </c>
      <c r="K1836" s="4">
        <v>1</v>
      </c>
      <c r="L1836" s="4">
        <v>0</v>
      </c>
      <c r="M1836" s="4">
        <v>1</v>
      </c>
      <c r="N1836" s="4">
        <v>0</v>
      </c>
      <c r="O1836" s="4">
        <v>0</v>
      </c>
    </row>
    <row r="1837" spans="1:15" x14ac:dyDescent="0.15">
      <c r="A1837" s="4">
        <v>1834</v>
      </c>
      <c r="B1837" s="4">
        <v>34</v>
      </c>
      <c r="C1837" s="4">
        <v>9</v>
      </c>
      <c r="D1837" s="4">
        <v>178</v>
      </c>
      <c r="E1837" s="4">
        <v>1</v>
      </c>
      <c r="F1837" s="8">
        <v>0.8</v>
      </c>
      <c r="G1837" s="4">
        <v>3</v>
      </c>
      <c r="H1837" s="4">
        <f t="shared" si="56"/>
        <v>0</v>
      </c>
      <c r="I1837" s="4">
        <f t="shared" si="57"/>
        <v>0</v>
      </c>
      <c r="J1837" s="4">
        <v>0</v>
      </c>
      <c r="K1837" s="4">
        <v>0</v>
      </c>
      <c r="L1837" s="4">
        <v>0</v>
      </c>
      <c r="M1837" s="4">
        <v>0</v>
      </c>
      <c r="N1837" s="4">
        <v>0</v>
      </c>
      <c r="O1837" s="4">
        <v>1</v>
      </c>
    </row>
    <row r="1838" spans="1:15" x14ac:dyDescent="0.15">
      <c r="A1838" s="4">
        <v>1835</v>
      </c>
      <c r="B1838" s="4">
        <v>41</v>
      </c>
      <c r="C1838" s="4">
        <v>16</v>
      </c>
      <c r="D1838" s="4">
        <v>23</v>
      </c>
      <c r="E1838" s="4">
        <v>2</v>
      </c>
      <c r="F1838" s="8">
        <v>0.3</v>
      </c>
      <c r="G1838" s="4">
        <v>2</v>
      </c>
      <c r="H1838" s="4">
        <f t="shared" si="56"/>
        <v>0</v>
      </c>
      <c r="I1838" s="4">
        <f t="shared" si="57"/>
        <v>1</v>
      </c>
      <c r="J1838" s="4">
        <v>118</v>
      </c>
      <c r="K1838" s="4">
        <v>0</v>
      </c>
      <c r="L1838" s="4">
        <v>0</v>
      </c>
      <c r="M1838" s="4">
        <v>0</v>
      </c>
      <c r="N1838" s="4">
        <v>0</v>
      </c>
      <c r="O1838" s="4">
        <v>0</v>
      </c>
    </row>
    <row r="1839" spans="1:15" x14ac:dyDescent="0.15">
      <c r="A1839" s="4">
        <v>1836</v>
      </c>
      <c r="B1839" s="4">
        <v>47</v>
      </c>
      <c r="C1839" s="4">
        <v>23</v>
      </c>
      <c r="D1839" s="4">
        <v>171</v>
      </c>
      <c r="E1839" s="4">
        <v>2</v>
      </c>
      <c r="F1839" s="8">
        <v>1.4</v>
      </c>
      <c r="G1839" s="4">
        <v>1</v>
      </c>
      <c r="H1839" s="4">
        <f t="shared" si="56"/>
        <v>1</v>
      </c>
      <c r="I1839" s="4">
        <f t="shared" si="57"/>
        <v>0</v>
      </c>
      <c r="J1839" s="4">
        <v>284</v>
      </c>
      <c r="K1839" s="4">
        <v>0</v>
      </c>
      <c r="L1839" s="4">
        <v>0</v>
      </c>
      <c r="M1839" s="4">
        <v>1</v>
      </c>
      <c r="N1839" s="4">
        <v>1</v>
      </c>
      <c r="O1839" s="4">
        <v>0</v>
      </c>
    </row>
    <row r="1840" spans="1:15" x14ac:dyDescent="0.15">
      <c r="A1840" s="4">
        <v>1837</v>
      </c>
      <c r="B1840" s="4">
        <v>44</v>
      </c>
      <c r="C1840" s="4">
        <v>19</v>
      </c>
      <c r="D1840" s="4">
        <v>74</v>
      </c>
      <c r="E1840" s="4">
        <v>4</v>
      </c>
      <c r="F1840" s="8">
        <v>1.9</v>
      </c>
      <c r="G1840" s="4">
        <v>3</v>
      </c>
      <c r="H1840" s="4">
        <f t="shared" si="56"/>
        <v>0</v>
      </c>
      <c r="I1840" s="4">
        <f t="shared" si="57"/>
        <v>0</v>
      </c>
      <c r="J1840" s="4">
        <v>0</v>
      </c>
      <c r="K1840" s="4">
        <v>0</v>
      </c>
      <c r="L1840" s="4">
        <v>0</v>
      </c>
      <c r="M1840" s="4">
        <v>0</v>
      </c>
      <c r="N1840" s="4">
        <v>0</v>
      </c>
      <c r="O1840" s="4">
        <v>0</v>
      </c>
    </row>
    <row r="1841" spans="1:15" x14ac:dyDescent="0.15">
      <c r="A1841" s="4">
        <v>1838</v>
      </c>
      <c r="B1841" s="4">
        <v>43</v>
      </c>
      <c r="C1841" s="4">
        <v>18</v>
      </c>
      <c r="D1841" s="4">
        <v>103</v>
      </c>
      <c r="E1841" s="4">
        <v>3</v>
      </c>
      <c r="F1841" s="8">
        <v>1</v>
      </c>
      <c r="G1841" s="4">
        <v>1</v>
      </c>
      <c r="H1841" s="4">
        <f t="shared" si="56"/>
        <v>1</v>
      </c>
      <c r="I1841" s="4">
        <f t="shared" si="57"/>
        <v>0</v>
      </c>
      <c r="J1841" s="4">
        <v>180</v>
      </c>
      <c r="K1841" s="4">
        <v>0</v>
      </c>
      <c r="L1841" s="4">
        <v>0</v>
      </c>
      <c r="M1841" s="4">
        <v>1</v>
      </c>
      <c r="N1841" s="4">
        <v>1</v>
      </c>
      <c r="O1841" s="4">
        <v>0</v>
      </c>
    </row>
    <row r="1842" spans="1:15" x14ac:dyDescent="0.15">
      <c r="A1842" s="4">
        <v>1839</v>
      </c>
      <c r="B1842" s="4">
        <v>31</v>
      </c>
      <c r="C1842" s="4">
        <v>7</v>
      </c>
      <c r="D1842" s="4">
        <v>99</v>
      </c>
      <c r="E1842" s="4">
        <v>1</v>
      </c>
      <c r="F1842" s="8">
        <v>4</v>
      </c>
      <c r="G1842" s="4">
        <v>1</v>
      </c>
      <c r="H1842" s="4">
        <f t="shared" si="56"/>
        <v>1</v>
      </c>
      <c r="I1842" s="4">
        <f t="shared" si="57"/>
        <v>0</v>
      </c>
      <c r="J1842" s="4">
        <v>0</v>
      </c>
      <c r="K1842" s="4">
        <v>0</v>
      </c>
      <c r="L1842" s="4">
        <v>0</v>
      </c>
      <c r="M1842" s="4">
        <v>1</v>
      </c>
      <c r="N1842" s="4">
        <v>0</v>
      </c>
      <c r="O1842" s="4">
        <v>0</v>
      </c>
    </row>
    <row r="1843" spans="1:15" x14ac:dyDescent="0.15">
      <c r="A1843" s="4">
        <v>1840</v>
      </c>
      <c r="B1843" s="4">
        <v>28</v>
      </c>
      <c r="C1843" s="4">
        <v>2</v>
      </c>
      <c r="D1843" s="4">
        <v>43</v>
      </c>
      <c r="E1843" s="4">
        <v>4</v>
      </c>
      <c r="F1843" s="8">
        <v>1.3</v>
      </c>
      <c r="G1843" s="4">
        <v>3</v>
      </c>
      <c r="H1843" s="4">
        <f t="shared" si="56"/>
        <v>0</v>
      </c>
      <c r="I1843" s="4">
        <f t="shared" si="57"/>
        <v>0</v>
      </c>
      <c r="J1843" s="4">
        <v>0</v>
      </c>
      <c r="K1843" s="4">
        <v>0</v>
      </c>
      <c r="L1843" s="4">
        <v>0</v>
      </c>
      <c r="M1843" s="4">
        <v>1</v>
      </c>
      <c r="N1843" s="4">
        <v>1</v>
      </c>
      <c r="O1843" s="4">
        <v>0</v>
      </c>
    </row>
    <row r="1844" spans="1:15" x14ac:dyDescent="0.15">
      <c r="A1844" s="4">
        <v>1841</v>
      </c>
      <c r="B1844" s="4">
        <v>55</v>
      </c>
      <c r="C1844" s="4">
        <v>25</v>
      </c>
      <c r="D1844" s="4">
        <v>23</v>
      </c>
      <c r="E1844" s="4">
        <v>4</v>
      </c>
      <c r="F1844" s="8">
        <v>0.4</v>
      </c>
      <c r="G1844" s="4">
        <v>3</v>
      </c>
      <c r="H1844" s="4">
        <f t="shared" si="56"/>
        <v>0</v>
      </c>
      <c r="I1844" s="4">
        <f t="shared" si="57"/>
        <v>0</v>
      </c>
      <c r="J1844" s="4">
        <v>88</v>
      </c>
      <c r="K1844" s="4">
        <v>0</v>
      </c>
      <c r="L1844" s="4">
        <v>0</v>
      </c>
      <c r="M1844" s="4">
        <v>0</v>
      </c>
      <c r="N1844" s="4">
        <v>0</v>
      </c>
      <c r="O1844" s="4">
        <v>0</v>
      </c>
    </row>
    <row r="1845" spans="1:15" x14ac:dyDescent="0.15">
      <c r="A1845" s="4">
        <v>1842</v>
      </c>
      <c r="B1845" s="4">
        <v>42</v>
      </c>
      <c r="C1845" s="4">
        <v>17</v>
      </c>
      <c r="D1845" s="4">
        <v>91</v>
      </c>
      <c r="E1845" s="4">
        <v>1</v>
      </c>
      <c r="F1845" s="8">
        <v>0.1</v>
      </c>
      <c r="G1845" s="4">
        <v>2</v>
      </c>
      <c r="H1845" s="4">
        <f t="shared" si="56"/>
        <v>0</v>
      </c>
      <c r="I1845" s="4">
        <f t="shared" si="57"/>
        <v>1</v>
      </c>
      <c r="J1845" s="4">
        <v>199</v>
      </c>
      <c r="K1845" s="4">
        <v>0</v>
      </c>
      <c r="L1845" s="4">
        <v>0</v>
      </c>
      <c r="M1845" s="4">
        <v>1</v>
      </c>
      <c r="N1845" s="4">
        <v>1</v>
      </c>
      <c r="O1845" s="4">
        <v>0</v>
      </c>
    </row>
    <row r="1846" spans="1:15" x14ac:dyDescent="0.15">
      <c r="A1846" s="4">
        <v>1843</v>
      </c>
      <c r="B1846" s="4">
        <v>53</v>
      </c>
      <c r="C1846" s="4">
        <v>29</v>
      </c>
      <c r="D1846" s="4">
        <v>93</v>
      </c>
      <c r="E1846" s="4">
        <v>1</v>
      </c>
      <c r="F1846" s="8">
        <v>2.7</v>
      </c>
      <c r="G1846" s="4">
        <v>2</v>
      </c>
      <c r="H1846" s="4">
        <f t="shared" si="56"/>
        <v>0</v>
      </c>
      <c r="I1846" s="4">
        <f t="shared" si="57"/>
        <v>1</v>
      </c>
      <c r="J1846" s="4">
        <v>256</v>
      </c>
      <c r="K1846" s="4">
        <v>0</v>
      </c>
      <c r="L1846" s="4">
        <v>0</v>
      </c>
      <c r="M1846" s="4">
        <v>1</v>
      </c>
      <c r="N1846" s="4">
        <v>0</v>
      </c>
      <c r="O1846" s="4">
        <v>0</v>
      </c>
    </row>
    <row r="1847" spans="1:15" x14ac:dyDescent="0.15">
      <c r="A1847" s="4">
        <v>1844</v>
      </c>
      <c r="B1847" s="4">
        <v>30</v>
      </c>
      <c r="C1847" s="4">
        <v>6</v>
      </c>
      <c r="D1847" s="4">
        <v>154</v>
      </c>
      <c r="E1847" s="4">
        <v>1</v>
      </c>
      <c r="F1847" s="8">
        <v>6</v>
      </c>
      <c r="G1847" s="4">
        <v>1</v>
      </c>
      <c r="H1847" s="4">
        <f t="shared" si="56"/>
        <v>1</v>
      </c>
      <c r="I1847" s="4">
        <f t="shared" si="57"/>
        <v>0</v>
      </c>
      <c r="J1847" s="4">
        <v>0</v>
      </c>
      <c r="K1847" s="4">
        <v>0</v>
      </c>
      <c r="L1847" s="4">
        <v>0</v>
      </c>
      <c r="M1847" s="4">
        <v>0</v>
      </c>
      <c r="N1847" s="4">
        <v>0</v>
      </c>
      <c r="O1847" s="4">
        <v>0</v>
      </c>
    </row>
    <row r="1848" spans="1:15" x14ac:dyDescent="0.15">
      <c r="A1848" s="4">
        <v>1845</v>
      </c>
      <c r="B1848" s="4">
        <v>65</v>
      </c>
      <c r="C1848" s="4">
        <v>40</v>
      </c>
      <c r="D1848" s="4">
        <v>21</v>
      </c>
      <c r="E1848" s="4">
        <v>3</v>
      </c>
      <c r="F1848" s="8">
        <v>0.1</v>
      </c>
      <c r="G1848" s="4">
        <v>3</v>
      </c>
      <c r="H1848" s="4">
        <f t="shared" si="56"/>
        <v>0</v>
      </c>
      <c r="I1848" s="4">
        <f t="shared" si="57"/>
        <v>0</v>
      </c>
      <c r="J1848" s="4">
        <v>0</v>
      </c>
      <c r="K1848" s="4">
        <v>0</v>
      </c>
      <c r="L1848" s="4">
        <v>0</v>
      </c>
      <c r="M1848" s="4">
        <v>0</v>
      </c>
      <c r="N1848" s="4">
        <v>1</v>
      </c>
      <c r="O1848" s="4">
        <v>0</v>
      </c>
    </row>
    <row r="1849" spans="1:15" x14ac:dyDescent="0.15">
      <c r="A1849" s="4">
        <v>1846</v>
      </c>
      <c r="B1849" s="4">
        <v>43</v>
      </c>
      <c r="C1849" s="4">
        <v>18</v>
      </c>
      <c r="D1849" s="4">
        <v>65</v>
      </c>
      <c r="E1849" s="4">
        <v>2</v>
      </c>
      <c r="F1849" s="8">
        <v>2.2000000000000002</v>
      </c>
      <c r="G1849" s="4">
        <v>3</v>
      </c>
      <c r="H1849" s="4">
        <f t="shared" si="56"/>
        <v>0</v>
      </c>
      <c r="I1849" s="4">
        <f t="shared" si="57"/>
        <v>0</v>
      </c>
      <c r="J1849" s="4">
        <v>0</v>
      </c>
      <c r="K1849" s="4">
        <v>0</v>
      </c>
      <c r="L1849" s="4">
        <v>0</v>
      </c>
      <c r="M1849" s="4">
        <v>1</v>
      </c>
      <c r="N1849" s="4">
        <v>0</v>
      </c>
      <c r="O1849" s="4">
        <v>0</v>
      </c>
    </row>
    <row r="1850" spans="1:15" x14ac:dyDescent="0.15">
      <c r="A1850" s="4">
        <v>1847</v>
      </c>
      <c r="B1850" s="4">
        <v>56</v>
      </c>
      <c r="C1850" s="4">
        <v>32</v>
      </c>
      <c r="D1850" s="4">
        <v>15</v>
      </c>
      <c r="E1850" s="4">
        <v>1</v>
      </c>
      <c r="F1850" s="8">
        <v>0.1</v>
      </c>
      <c r="G1850" s="4">
        <v>2</v>
      </c>
      <c r="H1850" s="4">
        <f t="shared" si="56"/>
        <v>0</v>
      </c>
      <c r="I1850" s="4">
        <f t="shared" si="57"/>
        <v>1</v>
      </c>
      <c r="J1850" s="4">
        <v>0</v>
      </c>
      <c r="K1850" s="4">
        <v>0</v>
      </c>
      <c r="L1850" s="4">
        <v>0</v>
      </c>
      <c r="M1850" s="4">
        <v>1</v>
      </c>
      <c r="N1850" s="4">
        <v>0</v>
      </c>
      <c r="O1850" s="4">
        <v>0</v>
      </c>
    </row>
    <row r="1851" spans="1:15" x14ac:dyDescent="0.15">
      <c r="A1851" s="4">
        <v>1848</v>
      </c>
      <c r="B1851" s="4">
        <v>25</v>
      </c>
      <c r="C1851" s="4">
        <v>0</v>
      </c>
      <c r="D1851" s="4">
        <v>52</v>
      </c>
      <c r="E1851" s="4">
        <v>3</v>
      </c>
      <c r="F1851" s="8">
        <v>2.6</v>
      </c>
      <c r="G1851" s="4">
        <v>3</v>
      </c>
      <c r="H1851" s="4">
        <f t="shared" si="56"/>
        <v>0</v>
      </c>
      <c r="I1851" s="4">
        <f t="shared" si="57"/>
        <v>0</v>
      </c>
      <c r="J1851" s="4">
        <v>159</v>
      </c>
      <c r="K1851" s="4">
        <v>0</v>
      </c>
      <c r="L1851" s="4">
        <v>0</v>
      </c>
      <c r="M1851" s="4">
        <v>0</v>
      </c>
      <c r="N1851" s="4">
        <v>0</v>
      </c>
      <c r="O1851" s="4">
        <v>0</v>
      </c>
    </row>
    <row r="1852" spans="1:15" x14ac:dyDescent="0.15">
      <c r="A1852" s="4">
        <v>1849</v>
      </c>
      <c r="B1852" s="4">
        <v>35</v>
      </c>
      <c r="C1852" s="4">
        <v>10</v>
      </c>
      <c r="D1852" s="4">
        <v>30</v>
      </c>
      <c r="E1852" s="4">
        <v>3</v>
      </c>
      <c r="F1852" s="8">
        <v>1.3</v>
      </c>
      <c r="G1852" s="4">
        <v>1</v>
      </c>
      <c r="H1852" s="4">
        <f t="shared" si="56"/>
        <v>1</v>
      </c>
      <c r="I1852" s="4">
        <f t="shared" si="57"/>
        <v>0</v>
      </c>
      <c r="J1852" s="4">
        <v>0</v>
      </c>
      <c r="K1852" s="4">
        <v>1</v>
      </c>
      <c r="L1852" s="4">
        <v>1</v>
      </c>
      <c r="M1852" s="4">
        <v>1</v>
      </c>
      <c r="N1852" s="4">
        <v>1</v>
      </c>
      <c r="O1852" s="4">
        <v>0</v>
      </c>
    </row>
    <row r="1853" spans="1:15" x14ac:dyDescent="0.15">
      <c r="A1853" s="4">
        <v>1850</v>
      </c>
      <c r="B1853" s="4">
        <v>50</v>
      </c>
      <c r="C1853" s="4">
        <v>26</v>
      </c>
      <c r="D1853" s="4">
        <v>42</v>
      </c>
      <c r="E1853" s="4">
        <v>1</v>
      </c>
      <c r="F1853" s="8">
        <v>1.6</v>
      </c>
      <c r="G1853" s="4">
        <v>2</v>
      </c>
      <c r="H1853" s="4">
        <f t="shared" si="56"/>
        <v>0</v>
      </c>
      <c r="I1853" s="4">
        <f t="shared" si="57"/>
        <v>1</v>
      </c>
      <c r="J1853" s="4">
        <v>0</v>
      </c>
      <c r="K1853" s="4">
        <v>0</v>
      </c>
      <c r="L1853" s="4">
        <v>0</v>
      </c>
      <c r="M1853" s="4">
        <v>1</v>
      </c>
      <c r="N1853" s="4">
        <v>0</v>
      </c>
      <c r="O1853" s="4">
        <v>0</v>
      </c>
    </row>
    <row r="1854" spans="1:15" x14ac:dyDescent="0.15">
      <c r="A1854" s="4">
        <v>1851</v>
      </c>
      <c r="B1854" s="4">
        <v>36</v>
      </c>
      <c r="C1854" s="4">
        <v>10</v>
      </c>
      <c r="D1854" s="4">
        <v>20</v>
      </c>
      <c r="E1854" s="4">
        <v>4</v>
      </c>
      <c r="F1854" s="8">
        <v>0.3</v>
      </c>
      <c r="G1854" s="4">
        <v>1</v>
      </c>
      <c r="H1854" s="4">
        <f t="shared" si="56"/>
        <v>1</v>
      </c>
      <c r="I1854" s="4">
        <f t="shared" si="57"/>
        <v>0</v>
      </c>
      <c r="J1854" s="4">
        <v>97</v>
      </c>
      <c r="K1854" s="4">
        <v>0</v>
      </c>
      <c r="L1854" s="4">
        <v>0</v>
      </c>
      <c r="M1854" s="4">
        <v>1</v>
      </c>
      <c r="N1854" s="4">
        <v>0</v>
      </c>
      <c r="O1854" s="4">
        <v>0</v>
      </c>
    </row>
    <row r="1855" spans="1:15" x14ac:dyDescent="0.15">
      <c r="A1855" s="4">
        <v>1852</v>
      </c>
      <c r="B1855" s="4">
        <v>34</v>
      </c>
      <c r="C1855" s="4">
        <v>8</v>
      </c>
      <c r="D1855" s="4">
        <v>60</v>
      </c>
      <c r="E1855" s="4">
        <v>4</v>
      </c>
      <c r="F1855" s="8">
        <v>2.2000000000000002</v>
      </c>
      <c r="G1855" s="4">
        <v>2</v>
      </c>
      <c r="H1855" s="4">
        <f t="shared" si="56"/>
        <v>0</v>
      </c>
      <c r="I1855" s="4">
        <f t="shared" si="57"/>
        <v>1</v>
      </c>
      <c r="J1855" s="4">
        <v>0</v>
      </c>
      <c r="K1855" s="4">
        <v>0</v>
      </c>
      <c r="L1855" s="4">
        <v>0</v>
      </c>
      <c r="M1855" s="4">
        <v>0</v>
      </c>
      <c r="N1855" s="4">
        <v>1</v>
      </c>
      <c r="O1855" s="4">
        <v>0</v>
      </c>
    </row>
    <row r="1856" spans="1:15" x14ac:dyDescent="0.15">
      <c r="A1856" s="4">
        <v>1853</v>
      </c>
      <c r="B1856" s="4">
        <v>32</v>
      </c>
      <c r="C1856" s="4">
        <v>6</v>
      </c>
      <c r="D1856" s="4">
        <v>54</v>
      </c>
      <c r="E1856" s="4">
        <v>4</v>
      </c>
      <c r="F1856" s="8">
        <v>1.8</v>
      </c>
      <c r="G1856" s="4">
        <v>3</v>
      </c>
      <c r="H1856" s="4">
        <f t="shared" si="56"/>
        <v>0</v>
      </c>
      <c r="I1856" s="4">
        <f t="shared" si="57"/>
        <v>0</v>
      </c>
      <c r="J1856" s="4">
        <v>167</v>
      </c>
      <c r="K1856" s="4">
        <v>0</v>
      </c>
      <c r="L1856" s="4">
        <v>0</v>
      </c>
      <c r="M1856" s="4">
        <v>0</v>
      </c>
      <c r="N1856" s="4">
        <v>0</v>
      </c>
      <c r="O1856" s="4">
        <v>0</v>
      </c>
    </row>
    <row r="1857" spans="1:15" x14ac:dyDescent="0.15">
      <c r="A1857" s="4">
        <v>1854</v>
      </c>
      <c r="B1857" s="4">
        <v>51</v>
      </c>
      <c r="C1857" s="4">
        <v>25</v>
      </c>
      <c r="D1857" s="4">
        <v>60</v>
      </c>
      <c r="E1857" s="4">
        <v>4</v>
      </c>
      <c r="F1857" s="8">
        <v>2.6</v>
      </c>
      <c r="G1857" s="4">
        <v>1</v>
      </c>
      <c r="H1857" s="4">
        <f t="shared" si="56"/>
        <v>1</v>
      </c>
      <c r="I1857" s="4">
        <f t="shared" si="57"/>
        <v>0</v>
      </c>
      <c r="J1857" s="4">
        <v>97</v>
      </c>
      <c r="K1857" s="4">
        <v>0</v>
      </c>
      <c r="L1857" s="4">
        <v>0</v>
      </c>
      <c r="M1857" s="4">
        <v>1</v>
      </c>
      <c r="N1857" s="4">
        <v>0</v>
      </c>
      <c r="O1857" s="4">
        <v>0</v>
      </c>
    </row>
    <row r="1858" spans="1:15" x14ac:dyDescent="0.15">
      <c r="A1858" s="4">
        <v>1855</v>
      </c>
      <c r="B1858" s="4">
        <v>52</v>
      </c>
      <c r="C1858" s="4">
        <v>25</v>
      </c>
      <c r="D1858" s="4">
        <v>41</v>
      </c>
      <c r="E1858" s="4">
        <v>3</v>
      </c>
      <c r="F1858" s="8">
        <v>1</v>
      </c>
      <c r="G1858" s="4">
        <v>2</v>
      </c>
      <c r="H1858" s="4">
        <f t="shared" si="56"/>
        <v>0</v>
      </c>
      <c r="I1858" s="4">
        <f t="shared" si="57"/>
        <v>1</v>
      </c>
      <c r="J1858" s="4">
        <v>0</v>
      </c>
      <c r="K1858" s="4">
        <v>0</v>
      </c>
      <c r="L1858" s="4">
        <v>0</v>
      </c>
      <c r="M1858" s="4">
        <v>1</v>
      </c>
      <c r="N1858" s="4">
        <v>0</v>
      </c>
      <c r="O1858" s="4">
        <v>0</v>
      </c>
    </row>
    <row r="1859" spans="1:15" x14ac:dyDescent="0.15">
      <c r="A1859" s="4">
        <v>1856</v>
      </c>
      <c r="B1859" s="4">
        <v>65</v>
      </c>
      <c r="C1859" s="4">
        <v>39</v>
      </c>
      <c r="D1859" s="4">
        <v>30</v>
      </c>
      <c r="E1859" s="4">
        <v>3</v>
      </c>
      <c r="F1859" s="8">
        <v>0.7</v>
      </c>
      <c r="G1859" s="4">
        <v>2</v>
      </c>
      <c r="H1859" s="4">
        <f t="shared" si="56"/>
        <v>0</v>
      </c>
      <c r="I1859" s="4">
        <f t="shared" si="57"/>
        <v>1</v>
      </c>
      <c r="J1859" s="4">
        <v>0</v>
      </c>
      <c r="K1859" s="4">
        <v>0</v>
      </c>
      <c r="L1859" s="4">
        <v>0</v>
      </c>
      <c r="M1859" s="4">
        <v>1</v>
      </c>
      <c r="N1859" s="4">
        <v>1</v>
      </c>
      <c r="O1859" s="4">
        <v>0</v>
      </c>
    </row>
    <row r="1860" spans="1:15" x14ac:dyDescent="0.15">
      <c r="A1860" s="4">
        <v>1857</v>
      </c>
      <c r="B1860" s="4">
        <v>51</v>
      </c>
      <c r="C1860" s="4">
        <v>24</v>
      </c>
      <c r="D1860" s="4">
        <v>21</v>
      </c>
      <c r="E1860" s="4">
        <v>2</v>
      </c>
      <c r="F1860" s="8">
        <v>1</v>
      </c>
      <c r="G1860" s="4">
        <v>2</v>
      </c>
      <c r="H1860" s="4">
        <f t="shared" si="56"/>
        <v>0</v>
      </c>
      <c r="I1860" s="4">
        <f t="shared" si="57"/>
        <v>1</v>
      </c>
      <c r="J1860" s="4">
        <v>0</v>
      </c>
      <c r="K1860" s="4">
        <v>0</v>
      </c>
      <c r="L1860" s="4">
        <v>0</v>
      </c>
      <c r="M1860" s="4">
        <v>1</v>
      </c>
      <c r="N1860" s="4">
        <v>0</v>
      </c>
      <c r="O1860" s="4">
        <v>0</v>
      </c>
    </row>
    <row r="1861" spans="1:15" x14ac:dyDescent="0.15">
      <c r="A1861" s="4">
        <v>1858</v>
      </c>
      <c r="B1861" s="4">
        <v>37</v>
      </c>
      <c r="C1861" s="4">
        <v>13</v>
      </c>
      <c r="D1861" s="4">
        <v>105</v>
      </c>
      <c r="E1861" s="4">
        <v>1</v>
      </c>
      <c r="F1861" s="8">
        <v>0.8</v>
      </c>
      <c r="G1861" s="4">
        <v>2</v>
      </c>
      <c r="H1861" s="4">
        <f t="shared" ref="H1861:H1924" si="58">IF(G1861=1,1,0)</f>
        <v>0</v>
      </c>
      <c r="I1861" s="4">
        <f t="shared" ref="I1861:I1924" si="59">IF(G1861=2,1,0)</f>
        <v>1</v>
      </c>
      <c r="J1861" s="4">
        <v>0</v>
      </c>
      <c r="K1861" s="4">
        <v>0</v>
      </c>
      <c r="L1861" s="4">
        <v>0</v>
      </c>
      <c r="M1861" s="4">
        <v>0</v>
      </c>
      <c r="N1861" s="4">
        <v>1</v>
      </c>
      <c r="O1861" s="4">
        <v>0</v>
      </c>
    </row>
    <row r="1862" spans="1:15" x14ac:dyDescent="0.15">
      <c r="A1862" s="4">
        <v>1859</v>
      </c>
      <c r="B1862" s="4">
        <v>35</v>
      </c>
      <c r="C1862" s="4">
        <v>11</v>
      </c>
      <c r="D1862" s="4">
        <v>65</v>
      </c>
      <c r="E1862" s="4">
        <v>3</v>
      </c>
      <c r="F1862" s="8">
        <v>2.8</v>
      </c>
      <c r="G1862" s="4">
        <v>1</v>
      </c>
      <c r="H1862" s="4">
        <f t="shared" si="58"/>
        <v>1</v>
      </c>
      <c r="I1862" s="4">
        <f t="shared" si="59"/>
        <v>0</v>
      </c>
      <c r="J1862" s="4">
        <v>240</v>
      </c>
      <c r="K1862" s="4">
        <v>0</v>
      </c>
      <c r="L1862" s="4">
        <v>0</v>
      </c>
      <c r="M1862" s="4">
        <v>1</v>
      </c>
      <c r="N1862" s="4">
        <v>0</v>
      </c>
      <c r="O1862" s="4">
        <v>0</v>
      </c>
    </row>
    <row r="1863" spans="1:15" x14ac:dyDescent="0.15">
      <c r="A1863" s="4">
        <v>1860</v>
      </c>
      <c r="B1863" s="4">
        <v>67</v>
      </c>
      <c r="C1863" s="4">
        <v>41</v>
      </c>
      <c r="D1863" s="4">
        <v>20</v>
      </c>
      <c r="E1863" s="4">
        <v>2</v>
      </c>
      <c r="F1863" s="8">
        <v>0.4</v>
      </c>
      <c r="G1863" s="4">
        <v>1</v>
      </c>
      <c r="H1863" s="4">
        <f t="shared" si="58"/>
        <v>1</v>
      </c>
      <c r="I1863" s="4">
        <f t="shared" si="59"/>
        <v>0</v>
      </c>
      <c r="J1863" s="4">
        <v>80</v>
      </c>
      <c r="K1863" s="4">
        <v>0</v>
      </c>
      <c r="L1863" s="4">
        <v>0</v>
      </c>
      <c r="M1863" s="4">
        <v>0</v>
      </c>
      <c r="N1863" s="4">
        <v>0</v>
      </c>
      <c r="O1863" s="4">
        <v>0</v>
      </c>
    </row>
    <row r="1864" spans="1:15" x14ac:dyDescent="0.15">
      <c r="A1864" s="4">
        <v>1861</v>
      </c>
      <c r="B1864" s="4">
        <v>30</v>
      </c>
      <c r="C1864" s="4">
        <v>6</v>
      </c>
      <c r="D1864" s="4">
        <v>179</v>
      </c>
      <c r="E1864" s="4">
        <v>3</v>
      </c>
      <c r="F1864" s="8">
        <v>4.9000000000000004</v>
      </c>
      <c r="G1864" s="4">
        <v>1</v>
      </c>
      <c r="H1864" s="4">
        <f t="shared" si="58"/>
        <v>1</v>
      </c>
      <c r="I1864" s="4">
        <f t="shared" si="59"/>
        <v>0</v>
      </c>
      <c r="J1864" s="4">
        <v>142</v>
      </c>
      <c r="K1864" s="4">
        <v>0</v>
      </c>
      <c r="L1864" s="4">
        <v>0</v>
      </c>
      <c r="M1864" s="4">
        <v>1</v>
      </c>
      <c r="N1864" s="4">
        <v>0</v>
      </c>
      <c r="O1864" s="4">
        <v>1</v>
      </c>
    </row>
    <row r="1865" spans="1:15" x14ac:dyDescent="0.15">
      <c r="A1865" s="4">
        <v>1862</v>
      </c>
      <c r="B1865" s="4">
        <v>62</v>
      </c>
      <c r="C1865" s="4">
        <v>38</v>
      </c>
      <c r="D1865" s="4">
        <v>161</v>
      </c>
      <c r="E1865" s="4">
        <v>1</v>
      </c>
      <c r="F1865" s="8">
        <v>2.9</v>
      </c>
      <c r="G1865" s="4">
        <v>1</v>
      </c>
      <c r="H1865" s="4">
        <f t="shared" si="58"/>
        <v>1</v>
      </c>
      <c r="I1865" s="4">
        <f t="shared" si="59"/>
        <v>0</v>
      </c>
      <c r="J1865" s="4">
        <v>0</v>
      </c>
      <c r="K1865" s="4">
        <v>1</v>
      </c>
      <c r="L1865" s="4">
        <v>1</v>
      </c>
      <c r="M1865" s="4">
        <v>1</v>
      </c>
      <c r="N1865" s="4">
        <v>1</v>
      </c>
      <c r="O1865" s="4">
        <v>0</v>
      </c>
    </row>
    <row r="1866" spans="1:15" x14ac:dyDescent="0.15">
      <c r="A1866" s="4">
        <v>1863</v>
      </c>
      <c r="B1866" s="4">
        <v>42</v>
      </c>
      <c r="C1866" s="4">
        <v>17</v>
      </c>
      <c r="D1866" s="4">
        <v>82</v>
      </c>
      <c r="E1866" s="4">
        <v>1</v>
      </c>
      <c r="F1866" s="8">
        <v>3.7</v>
      </c>
      <c r="G1866" s="4">
        <v>3</v>
      </c>
      <c r="H1866" s="4">
        <f t="shared" si="58"/>
        <v>0</v>
      </c>
      <c r="I1866" s="4">
        <f t="shared" si="59"/>
        <v>0</v>
      </c>
      <c r="J1866" s="4">
        <v>0</v>
      </c>
      <c r="K1866" s="4">
        <v>0</v>
      </c>
      <c r="L1866" s="4">
        <v>0</v>
      </c>
      <c r="M1866" s="4">
        <v>1</v>
      </c>
      <c r="N1866" s="4">
        <v>0</v>
      </c>
      <c r="O1866" s="4">
        <v>0</v>
      </c>
    </row>
    <row r="1867" spans="1:15" x14ac:dyDescent="0.15">
      <c r="A1867" s="4">
        <v>1864</v>
      </c>
      <c r="B1867" s="4">
        <v>48</v>
      </c>
      <c r="C1867" s="4">
        <v>22</v>
      </c>
      <c r="D1867" s="4">
        <v>43</v>
      </c>
      <c r="E1867" s="4">
        <v>1</v>
      </c>
      <c r="F1867" s="8">
        <v>1.2</v>
      </c>
      <c r="G1867" s="4">
        <v>2</v>
      </c>
      <c r="H1867" s="4">
        <f t="shared" si="58"/>
        <v>0</v>
      </c>
      <c r="I1867" s="4">
        <f t="shared" si="59"/>
        <v>1</v>
      </c>
      <c r="J1867" s="4">
        <v>112</v>
      </c>
      <c r="K1867" s="4">
        <v>0</v>
      </c>
      <c r="L1867" s="4">
        <v>0</v>
      </c>
      <c r="M1867" s="4">
        <v>1</v>
      </c>
      <c r="N1867" s="4">
        <v>0</v>
      </c>
      <c r="O1867" s="4">
        <v>0</v>
      </c>
    </row>
    <row r="1868" spans="1:15" x14ac:dyDescent="0.15">
      <c r="A1868" s="4">
        <v>1865</v>
      </c>
      <c r="B1868" s="4">
        <v>61</v>
      </c>
      <c r="C1868" s="4">
        <v>36</v>
      </c>
      <c r="D1868" s="4">
        <v>61</v>
      </c>
      <c r="E1868" s="4">
        <v>2</v>
      </c>
      <c r="F1868" s="8">
        <v>2.8</v>
      </c>
      <c r="G1868" s="4">
        <v>1</v>
      </c>
      <c r="H1868" s="4">
        <f t="shared" si="58"/>
        <v>1</v>
      </c>
      <c r="I1868" s="4">
        <f t="shared" si="59"/>
        <v>0</v>
      </c>
      <c r="J1868" s="4">
        <v>0</v>
      </c>
      <c r="K1868" s="4">
        <v>0</v>
      </c>
      <c r="L1868" s="4">
        <v>0</v>
      </c>
      <c r="M1868" s="4">
        <v>0</v>
      </c>
      <c r="N1868" s="4">
        <v>0</v>
      </c>
      <c r="O1868" s="4">
        <v>0</v>
      </c>
    </row>
    <row r="1869" spans="1:15" x14ac:dyDescent="0.15">
      <c r="A1869" s="4">
        <v>1866</v>
      </c>
      <c r="B1869" s="4">
        <v>36</v>
      </c>
      <c r="C1869" s="4">
        <v>6</v>
      </c>
      <c r="D1869" s="4">
        <v>90</v>
      </c>
      <c r="E1869" s="4">
        <v>4</v>
      </c>
      <c r="F1869" s="8">
        <v>1.8</v>
      </c>
      <c r="G1869" s="4">
        <v>3</v>
      </c>
      <c r="H1869" s="4">
        <f t="shared" si="58"/>
        <v>0</v>
      </c>
      <c r="I1869" s="4">
        <f t="shared" si="59"/>
        <v>0</v>
      </c>
      <c r="J1869" s="4">
        <v>0</v>
      </c>
      <c r="K1869" s="4">
        <v>1</v>
      </c>
      <c r="L1869" s="4">
        <v>0</v>
      </c>
      <c r="M1869" s="4">
        <v>0</v>
      </c>
      <c r="N1869" s="4">
        <v>0</v>
      </c>
      <c r="O1869" s="4">
        <v>0</v>
      </c>
    </row>
    <row r="1870" spans="1:15" x14ac:dyDescent="0.15">
      <c r="A1870" s="4">
        <v>1867</v>
      </c>
      <c r="B1870" s="4">
        <v>48</v>
      </c>
      <c r="C1870" s="4">
        <v>24</v>
      </c>
      <c r="D1870" s="4">
        <v>90</v>
      </c>
      <c r="E1870" s="4">
        <v>1</v>
      </c>
      <c r="F1870" s="8">
        <v>2.6</v>
      </c>
      <c r="G1870" s="4">
        <v>2</v>
      </c>
      <c r="H1870" s="4">
        <f t="shared" si="58"/>
        <v>0</v>
      </c>
      <c r="I1870" s="4">
        <f t="shared" si="59"/>
        <v>1</v>
      </c>
      <c r="J1870" s="4">
        <v>334</v>
      </c>
      <c r="K1870" s="4">
        <v>0</v>
      </c>
      <c r="L1870" s="4">
        <v>0</v>
      </c>
      <c r="M1870" s="4">
        <v>1</v>
      </c>
      <c r="N1870" s="4">
        <v>0</v>
      </c>
      <c r="O1870" s="4">
        <v>0</v>
      </c>
    </row>
    <row r="1871" spans="1:15" x14ac:dyDescent="0.15">
      <c r="A1871" s="4">
        <v>1868</v>
      </c>
      <c r="B1871" s="4">
        <v>65</v>
      </c>
      <c r="C1871" s="4">
        <v>39</v>
      </c>
      <c r="D1871" s="4">
        <v>21</v>
      </c>
      <c r="E1871" s="4">
        <v>2</v>
      </c>
      <c r="F1871" s="8">
        <v>0.4</v>
      </c>
      <c r="G1871" s="4">
        <v>1</v>
      </c>
      <c r="H1871" s="4">
        <f t="shared" si="58"/>
        <v>1</v>
      </c>
      <c r="I1871" s="4">
        <f t="shared" si="59"/>
        <v>0</v>
      </c>
      <c r="J1871" s="4">
        <v>0</v>
      </c>
      <c r="K1871" s="4">
        <v>0</v>
      </c>
      <c r="L1871" s="4">
        <v>0</v>
      </c>
      <c r="M1871" s="4">
        <v>0</v>
      </c>
      <c r="N1871" s="4">
        <v>0</v>
      </c>
      <c r="O1871" s="4">
        <v>0</v>
      </c>
    </row>
    <row r="1872" spans="1:15" x14ac:dyDescent="0.15">
      <c r="A1872" s="4">
        <v>1869</v>
      </c>
      <c r="B1872" s="4">
        <v>25</v>
      </c>
      <c r="C1872" s="4">
        <v>1</v>
      </c>
      <c r="D1872" s="4">
        <v>118</v>
      </c>
      <c r="E1872" s="4">
        <v>1</v>
      </c>
      <c r="F1872" s="8">
        <v>5.4</v>
      </c>
      <c r="G1872" s="4">
        <v>1</v>
      </c>
      <c r="H1872" s="4">
        <f t="shared" si="58"/>
        <v>1</v>
      </c>
      <c r="I1872" s="4">
        <f t="shared" si="59"/>
        <v>0</v>
      </c>
      <c r="J1872" s="4">
        <v>0</v>
      </c>
      <c r="K1872" s="4">
        <v>0</v>
      </c>
      <c r="L1872" s="4">
        <v>0</v>
      </c>
      <c r="M1872" s="4">
        <v>1</v>
      </c>
      <c r="N1872" s="4">
        <v>1</v>
      </c>
      <c r="O1872" s="4">
        <v>0</v>
      </c>
    </row>
    <row r="1873" spans="1:15" x14ac:dyDescent="0.15">
      <c r="A1873" s="4">
        <v>1870</v>
      </c>
      <c r="B1873" s="4">
        <v>55</v>
      </c>
      <c r="C1873" s="4">
        <v>30</v>
      </c>
      <c r="D1873" s="4">
        <v>44</v>
      </c>
      <c r="E1873" s="4">
        <v>2</v>
      </c>
      <c r="F1873" s="8">
        <v>2</v>
      </c>
      <c r="G1873" s="4">
        <v>2</v>
      </c>
      <c r="H1873" s="4">
        <f t="shared" si="58"/>
        <v>0</v>
      </c>
      <c r="I1873" s="4">
        <f t="shared" si="59"/>
        <v>1</v>
      </c>
      <c r="J1873" s="4">
        <v>0</v>
      </c>
      <c r="K1873" s="4">
        <v>0</v>
      </c>
      <c r="L1873" s="4">
        <v>0</v>
      </c>
      <c r="M1873" s="4">
        <v>1</v>
      </c>
      <c r="N1873" s="4">
        <v>0</v>
      </c>
      <c r="O1873" s="4">
        <v>0</v>
      </c>
    </row>
    <row r="1874" spans="1:15" x14ac:dyDescent="0.15">
      <c r="A1874" s="4">
        <v>1871</v>
      </c>
      <c r="B1874" s="4">
        <v>63</v>
      </c>
      <c r="C1874" s="4">
        <v>37</v>
      </c>
      <c r="D1874" s="4">
        <v>110</v>
      </c>
      <c r="E1874" s="4">
        <v>1</v>
      </c>
      <c r="F1874" s="8">
        <v>4.0999999999999996</v>
      </c>
      <c r="G1874" s="4">
        <v>3</v>
      </c>
      <c r="H1874" s="4">
        <f t="shared" si="58"/>
        <v>0</v>
      </c>
      <c r="I1874" s="4">
        <f t="shared" si="59"/>
        <v>0</v>
      </c>
      <c r="J1874" s="4">
        <v>0</v>
      </c>
      <c r="K1874" s="4">
        <v>0</v>
      </c>
      <c r="L1874" s="4">
        <v>0</v>
      </c>
      <c r="M1874" s="4">
        <v>0</v>
      </c>
      <c r="N1874" s="4">
        <v>0</v>
      </c>
      <c r="O1874" s="4">
        <v>1</v>
      </c>
    </row>
    <row r="1875" spans="1:15" x14ac:dyDescent="0.15">
      <c r="A1875" s="4">
        <v>1872</v>
      </c>
      <c r="B1875" s="4">
        <v>31</v>
      </c>
      <c r="C1875" s="4">
        <v>5</v>
      </c>
      <c r="D1875" s="4">
        <v>99</v>
      </c>
      <c r="E1875" s="4">
        <v>4</v>
      </c>
      <c r="F1875" s="8">
        <v>1.8</v>
      </c>
      <c r="G1875" s="4">
        <v>2</v>
      </c>
      <c r="H1875" s="4">
        <f t="shared" si="58"/>
        <v>0</v>
      </c>
      <c r="I1875" s="4">
        <f t="shared" si="59"/>
        <v>1</v>
      </c>
      <c r="J1875" s="4">
        <v>268</v>
      </c>
      <c r="K1875" s="4">
        <v>0</v>
      </c>
      <c r="L1875" s="4">
        <v>0</v>
      </c>
      <c r="M1875" s="4">
        <v>0</v>
      </c>
      <c r="N1875" s="4">
        <v>0</v>
      </c>
      <c r="O1875" s="4">
        <v>0</v>
      </c>
    </row>
    <row r="1876" spans="1:15" x14ac:dyDescent="0.15">
      <c r="A1876" s="4">
        <v>1873</v>
      </c>
      <c r="B1876" s="4">
        <v>43</v>
      </c>
      <c r="C1876" s="4">
        <v>17</v>
      </c>
      <c r="D1876" s="4">
        <v>98</v>
      </c>
      <c r="E1876" s="4">
        <v>3</v>
      </c>
      <c r="F1876" s="8">
        <v>1.1000000000000001</v>
      </c>
      <c r="G1876" s="4">
        <v>1</v>
      </c>
      <c r="H1876" s="4">
        <f t="shared" si="58"/>
        <v>1</v>
      </c>
      <c r="I1876" s="4">
        <f t="shared" si="59"/>
        <v>0</v>
      </c>
      <c r="J1876" s="4">
        <v>0</v>
      </c>
      <c r="K1876" s="4">
        <v>0</v>
      </c>
      <c r="L1876" s="4">
        <v>0</v>
      </c>
      <c r="M1876" s="4">
        <v>0</v>
      </c>
      <c r="N1876" s="4">
        <v>0</v>
      </c>
      <c r="O1876" s="4">
        <v>0</v>
      </c>
    </row>
    <row r="1877" spans="1:15" x14ac:dyDescent="0.15">
      <c r="A1877" s="4">
        <v>1874</v>
      </c>
      <c r="B1877" s="4">
        <v>28</v>
      </c>
      <c r="C1877" s="4">
        <v>4</v>
      </c>
      <c r="D1877" s="4">
        <v>69</v>
      </c>
      <c r="E1877" s="4">
        <v>3</v>
      </c>
      <c r="F1877" s="8">
        <v>0.7</v>
      </c>
      <c r="G1877" s="4">
        <v>2</v>
      </c>
      <c r="H1877" s="4">
        <f t="shared" si="58"/>
        <v>0</v>
      </c>
      <c r="I1877" s="4">
        <f t="shared" si="59"/>
        <v>1</v>
      </c>
      <c r="J1877" s="4">
        <v>80</v>
      </c>
      <c r="K1877" s="4">
        <v>0</v>
      </c>
      <c r="L1877" s="4">
        <v>0</v>
      </c>
      <c r="M1877" s="4">
        <v>1</v>
      </c>
      <c r="N1877" s="4">
        <v>0</v>
      </c>
      <c r="O1877" s="4">
        <v>0</v>
      </c>
    </row>
    <row r="1878" spans="1:15" x14ac:dyDescent="0.15">
      <c r="A1878" s="4">
        <v>1875</v>
      </c>
      <c r="B1878" s="4">
        <v>37</v>
      </c>
      <c r="C1878" s="4">
        <v>11</v>
      </c>
      <c r="D1878" s="4">
        <v>82</v>
      </c>
      <c r="E1878" s="4">
        <v>3</v>
      </c>
      <c r="F1878" s="8">
        <v>0.9</v>
      </c>
      <c r="G1878" s="4">
        <v>2</v>
      </c>
      <c r="H1878" s="4">
        <f t="shared" si="58"/>
        <v>0</v>
      </c>
      <c r="I1878" s="4">
        <f t="shared" si="59"/>
        <v>1</v>
      </c>
      <c r="J1878" s="4">
        <v>218</v>
      </c>
      <c r="K1878" s="4">
        <v>0</v>
      </c>
      <c r="L1878" s="4">
        <v>0</v>
      </c>
      <c r="M1878" s="4">
        <v>1</v>
      </c>
      <c r="N1878" s="4">
        <v>1</v>
      </c>
      <c r="O1878" s="4">
        <v>0</v>
      </c>
    </row>
    <row r="1879" spans="1:15" x14ac:dyDescent="0.15">
      <c r="A1879" s="4">
        <v>1876</v>
      </c>
      <c r="B1879" s="4">
        <v>27</v>
      </c>
      <c r="C1879" s="4">
        <v>3</v>
      </c>
      <c r="D1879" s="4">
        <v>112</v>
      </c>
      <c r="E1879" s="4">
        <v>3</v>
      </c>
      <c r="F1879" s="8">
        <v>2.5</v>
      </c>
      <c r="G1879" s="4">
        <v>1</v>
      </c>
      <c r="H1879" s="4">
        <f t="shared" si="58"/>
        <v>1</v>
      </c>
      <c r="I1879" s="4">
        <f t="shared" si="59"/>
        <v>0</v>
      </c>
      <c r="J1879" s="4">
        <v>389</v>
      </c>
      <c r="K1879" s="4">
        <v>1</v>
      </c>
      <c r="L1879" s="4">
        <v>0</v>
      </c>
      <c r="M1879" s="4">
        <v>1</v>
      </c>
      <c r="N1879" s="4">
        <v>0</v>
      </c>
      <c r="O1879" s="4">
        <v>0</v>
      </c>
    </row>
    <row r="1880" spans="1:15" x14ac:dyDescent="0.15">
      <c r="A1880" s="4">
        <v>1877</v>
      </c>
      <c r="B1880" s="4">
        <v>62</v>
      </c>
      <c r="C1880" s="4">
        <v>38</v>
      </c>
      <c r="D1880" s="4">
        <v>123</v>
      </c>
      <c r="E1880" s="4">
        <v>1</v>
      </c>
      <c r="F1880" s="8">
        <v>2.9</v>
      </c>
      <c r="G1880" s="4">
        <v>1</v>
      </c>
      <c r="H1880" s="4">
        <f t="shared" si="58"/>
        <v>1</v>
      </c>
      <c r="I1880" s="4">
        <f t="shared" si="59"/>
        <v>0</v>
      </c>
      <c r="J1880" s="4">
        <v>0</v>
      </c>
      <c r="K1880" s="4">
        <v>0</v>
      </c>
      <c r="L1880" s="4">
        <v>0</v>
      </c>
      <c r="M1880" s="4">
        <v>0</v>
      </c>
      <c r="N1880" s="4">
        <v>0</v>
      </c>
      <c r="O1880" s="4">
        <v>0</v>
      </c>
    </row>
    <row r="1881" spans="1:15" x14ac:dyDescent="0.15">
      <c r="A1881" s="4">
        <v>1878</v>
      </c>
      <c r="B1881" s="4">
        <v>51</v>
      </c>
      <c r="C1881" s="4">
        <v>24</v>
      </c>
      <c r="D1881" s="4">
        <v>78</v>
      </c>
      <c r="E1881" s="4">
        <v>1</v>
      </c>
      <c r="F1881" s="8">
        <v>2.6666666666666665</v>
      </c>
      <c r="G1881" s="4">
        <v>2</v>
      </c>
      <c r="H1881" s="4">
        <f t="shared" si="58"/>
        <v>0</v>
      </c>
      <c r="I1881" s="4">
        <f t="shared" si="59"/>
        <v>1</v>
      </c>
      <c r="J1881" s="4">
        <v>0</v>
      </c>
      <c r="K1881" s="4">
        <v>0</v>
      </c>
      <c r="L1881" s="4">
        <v>0</v>
      </c>
      <c r="M1881" s="4">
        <v>1</v>
      </c>
      <c r="N1881" s="4">
        <v>0</v>
      </c>
      <c r="O1881" s="4">
        <v>0</v>
      </c>
    </row>
    <row r="1882" spans="1:15" x14ac:dyDescent="0.15">
      <c r="A1882" s="4">
        <v>1879</v>
      </c>
      <c r="B1882" s="4">
        <v>56</v>
      </c>
      <c r="C1882" s="4">
        <v>30</v>
      </c>
      <c r="D1882" s="4">
        <v>59</v>
      </c>
      <c r="E1882" s="4">
        <v>3</v>
      </c>
      <c r="F1882" s="8">
        <v>0.8</v>
      </c>
      <c r="G1882" s="4">
        <v>1</v>
      </c>
      <c r="H1882" s="4">
        <f t="shared" si="58"/>
        <v>1</v>
      </c>
      <c r="I1882" s="4">
        <f t="shared" si="59"/>
        <v>0</v>
      </c>
      <c r="J1882" s="4">
        <v>159</v>
      </c>
      <c r="K1882" s="4">
        <v>1</v>
      </c>
      <c r="L1882" s="4">
        <v>0</v>
      </c>
      <c r="M1882" s="4">
        <v>1</v>
      </c>
      <c r="N1882" s="4">
        <v>0</v>
      </c>
      <c r="O1882" s="4">
        <v>0</v>
      </c>
    </row>
    <row r="1883" spans="1:15" x14ac:dyDescent="0.15">
      <c r="A1883" s="4">
        <v>1880</v>
      </c>
      <c r="B1883" s="4">
        <v>56</v>
      </c>
      <c r="C1883" s="4">
        <v>30</v>
      </c>
      <c r="D1883" s="4">
        <v>78</v>
      </c>
      <c r="E1883" s="4">
        <v>3</v>
      </c>
      <c r="F1883" s="8">
        <v>1.7</v>
      </c>
      <c r="G1883" s="4">
        <v>2</v>
      </c>
      <c r="H1883" s="4">
        <f t="shared" si="58"/>
        <v>0</v>
      </c>
      <c r="I1883" s="4">
        <f t="shared" si="59"/>
        <v>1</v>
      </c>
      <c r="J1883" s="4">
        <v>0</v>
      </c>
      <c r="K1883" s="4">
        <v>0</v>
      </c>
      <c r="L1883" s="4">
        <v>0</v>
      </c>
      <c r="M1883" s="4">
        <v>0</v>
      </c>
      <c r="N1883" s="4">
        <v>0</v>
      </c>
      <c r="O1883" s="4">
        <v>0</v>
      </c>
    </row>
    <row r="1884" spans="1:15" x14ac:dyDescent="0.15">
      <c r="A1884" s="4">
        <v>1881</v>
      </c>
      <c r="B1884" s="4">
        <v>44</v>
      </c>
      <c r="C1884" s="4">
        <v>19</v>
      </c>
      <c r="D1884" s="4">
        <v>49</v>
      </c>
      <c r="E1884" s="4">
        <v>4</v>
      </c>
      <c r="F1884" s="8">
        <v>1.9</v>
      </c>
      <c r="G1884" s="4">
        <v>3</v>
      </c>
      <c r="H1884" s="4">
        <f t="shared" si="58"/>
        <v>0</v>
      </c>
      <c r="I1884" s="4">
        <f t="shared" si="59"/>
        <v>0</v>
      </c>
      <c r="J1884" s="4">
        <v>89</v>
      </c>
      <c r="K1884" s="4">
        <v>0</v>
      </c>
      <c r="L1884" s="4">
        <v>0</v>
      </c>
      <c r="M1884" s="4">
        <v>1</v>
      </c>
      <c r="N1884" s="4">
        <v>0</v>
      </c>
      <c r="O1884" s="4">
        <v>0</v>
      </c>
    </row>
    <row r="1885" spans="1:15" x14ac:dyDescent="0.15">
      <c r="A1885" s="4">
        <v>1882</v>
      </c>
      <c r="B1885" s="4">
        <v>46</v>
      </c>
      <c r="C1885" s="4">
        <v>19</v>
      </c>
      <c r="D1885" s="4">
        <v>82</v>
      </c>
      <c r="E1885" s="4">
        <v>3</v>
      </c>
      <c r="F1885" s="8">
        <v>2.6666666666666665</v>
      </c>
      <c r="G1885" s="4">
        <v>2</v>
      </c>
      <c r="H1885" s="4">
        <f t="shared" si="58"/>
        <v>0</v>
      </c>
      <c r="I1885" s="4">
        <f t="shared" si="59"/>
        <v>1</v>
      </c>
      <c r="J1885" s="4">
        <v>0</v>
      </c>
      <c r="K1885" s="4">
        <v>0</v>
      </c>
      <c r="L1885" s="4">
        <v>0</v>
      </c>
      <c r="M1885" s="4">
        <v>0</v>
      </c>
      <c r="N1885" s="4">
        <v>0</v>
      </c>
      <c r="O1885" s="4">
        <v>0</v>
      </c>
    </row>
    <row r="1886" spans="1:15" x14ac:dyDescent="0.15">
      <c r="A1886" s="4">
        <v>1883</v>
      </c>
      <c r="B1886" s="4">
        <v>56</v>
      </c>
      <c r="C1886" s="4">
        <v>32</v>
      </c>
      <c r="D1886" s="4">
        <v>125</v>
      </c>
      <c r="E1886" s="4">
        <v>3</v>
      </c>
      <c r="F1886" s="8">
        <v>0.6</v>
      </c>
      <c r="G1886" s="4">
        <v>1</v>
      </c>
      <c r="H1886" s="4">
        <f t="shared" si="58"/>
        <v>1</v>
      </c>
      <c r="I1886" s="4">
        <f t="shared" si="59"/>
        <v>0</v>
      </c>
      <c r="J1886" s="4">
        <v>342</v>
      </c>
      <c r="K1886" s="4">
        <v>0</v>
      </c>
      <c r="L1886" s="4">
        <v>1</v>
      </c>
      <c r="M1886" s="4">
        <v>1</v>
      </c>
      <c r="N1886" s="4">
        <v>1</v>
      </c>
      <c r="O1886" s="4">
        <v>1</v>
      </c>
    </row>
    <row r="1887" spans="1:15" x14ac:dyDescent="0.15">
      <c r="A1887" s="4">
        <v>1884</v>
      </c>
      <c r="B1887" s="4">
        <v>56</v>
      </c>
      <c r="C1887" s="4">
        <v>30</v>
      </c>
      <c r="D1887" s="4">
        <v>185</v>
      </c>
      <c r="E1887" s="4">
        <v>1</v>
      </c>
      <c r="F1887" s="8">
        <v>2.9</v>
      </c>
      <c r="G1887" s="4">
        <v>1</v>
      </c>
      <c r="H1887" s="4">
        <f t="shared" si="58"/>
        <v>1</v>
      </c>
      <c r="I1887" s="4">
        <f t="shared" si="59"/>
        <v>0</v>
      </c>
      <c r="J1887" s="4">
        <v>0</v>
      </c>
      <c r="K1887" s="4">
        <v>0</v>
      </c>
      <c r="L1887" s="4">
        <v>0</v>
      </c>
      <c r="M1887" s="4">
        <v>0</v>
      </c>
      <c r="N1887" s="4">
        <v>0</v>
      </c>
      <c r="O1887" s="4">
        <v>0</v>
      </c>
    </row>
    <row r="1888" spans="1:15" x14ac:dyDescent="0.15">
      <c r="A1888" s="4">
        <v>1885</v>
      </c>
      <c r="B1888" s="4">
        <v>57</v>
      </c>
      <c r="C1888" s="4">
        <v>33</v>
      </c>
      <c r="D1888" s="4">
        <v>163</v>
      </c>
      <c r="E1888" s="4">
        <v>1</v>
      </c>
      <c r="F1888" s="8">
        <v>7.4</v>
      </c>
      <c r="G1888" s="4">
        <v>1</v>
      </c>
      <c r="H1888" s="4">
        <f t="shared" si="58"/>
        <v>1</v>
      </c>
      <c r="I1888" s="4">
        <f t="shared" si="59"/>
        <v>0</v>
      </c>
      <c r="J1888" s="4">
        <v>0</v>
      </c>
      <c r="K1888" s="4">
        <v>0</v>
      </c>
      <c r="L1888" s="4">
        <v>0</v>
      </c>
      <c r="M1888" s="4">
        <v>1</v>
      </c>
      <c r="N1888" s="4">
        <v>0</v>
      </c>
      <c r="O1888" s="4">
        <v>0</v>
      </c>
    </row>
    <row r="1889" spans="1:15" x14ac:dyDescent="0.15">
      <c r="A1889" s="4">
        <v>1886</v>
      </c>
      <c r="B1889" s="4">
        <v>31</v>
      </c>
      <c r="C1889" s="4">
        <v>6</v>
      </c>
      <c r="D1889" s="4">
        <v>19</v>
      </c>
      <c r="E1889" s="4">
        <v>4</v>
      </c>
      <c r="F1889" s="8">
        <v>1.1000000000000001</v>
      </c>
      <c r="G1889" s="4">
        <v>3</v>
      </c>
      <c r="H1889" s="4">
        <f t="shared" si="58"/>
        <v>0</v>
      </c>
      <c r="I1889" s="4">
        <f t="shared" si="59"/>
        <v>0</v>
      </c>
      <c r="J1889" s="4">
        <v>104</v>
      </c>
      <c r="K1889" s="4">
        <v>0</v>
      </c>
      <c r="L1889" s="4">
        <v>1</v>
      </c>
      <c r="M1889" s="4">
        <v>1</v>
      </c>
      <c r="N1889" s="4">
        <v>1</v>
      </c>
      <c r="O1889" s="4">
        <v>0</v>
      </c>
    </row>
    <row r="1890" spans="1:15" x14ac:dyDescent="0.15">
      <c r="A1890" s="4">
        <v>1887</v>
      </c>
      <c r="B1890" s="4">
        <v>65</v>
      </c>
      <c r="C1890" s="4">
        <v>41</v>
      </c>
      <c r="D1890" s="4">
        <v>115</v>
      </c>
      <c r="E1890" s="4">
        <v>4</v>
      </c>
      <c r="F1890" s="8">
        <v>1.7</v>
      </c>
      <c r="G1890" s="4">
        <v>2</v>
      </c>
      <c r="H1890" s="4">
        <f t="shared" si="58"/>
        <v>0</v>
      </c>
      <c r="I1890" s="4">
        <f t="shared" si="59"/>
        <v>1</v>
      </c>
      <c r="J1890" s="4">
        <v>0</v>
      </c>
      <c r="K1890" s="4">
        <v>0</v>
      </c>
      <c r="L1890" s="4">
        <v>0</v>
      </c>
      <c r="M1890" s="4">
        <v>0</v>
      </c>
      <c r="N1890" s="4">
        <v>0</v>
      </c>
      <c r="O1890" s="4">
        <v>0</v>
      </c>
    </row>
    <row r="1891" spans="1:15" x14ac:dyDescent="0.15">
      <c r="A1891" s="4">
        <v>1888</v>
      </c>
      <c r="B1891" s="4">
        <v>31</v>
      </c>
      <c r="C1891" s="4">
        <v>7</v>
      </c>
      <c r="D1891" s="4">
        <v>81</v>
      </c>
      <c r="E1891" s="4">
        <v>2</v>
      </c>
      <c r="F1891" s="8">
        <v>2</v>
      </c>
      <c r="G1891" s="4">
        <v>2</v>
      </c>
      <c r="H1891" s="4">
        <f t="shared" si="58"/>
        <v>0</v>
      </c>
      <c r="I1891" s="4">
        <f t="shared" si="59"/>
        <v>1</v>
      </c>
      <c r="J1891" s="4">
        <v>0</v>
      </c>
      <c r="K1891" s="4">
        <v>0</v>
      </c>
      <c r="L1891" s="4">
        <v>1</v>
      </c>
      <c r="M1891" s="4">
        <v>1</v>
      </c>
      <c r="N1891" s="4">
        <v>1</v>
      </c>
      <c r="O1891" s="4">
        <v>0</v>
      </c>
    </row>
    <row r="1892" spans="1:15" x14ac:dyDescent="0.15">
      <c r="A1892" s="4">
        <v>1889</v>
      </c>
      <c r="B1892" s="4">
        <v>36</v>
      </c>
      <c r="C1892" s="4">
        <v>10</v>
      </c>
      <c r="D1892" s="4">
        <v>93</v>
      </c>
      <c r="E1892" s="4">
        <v>1</v>
      </c>
      <c r="F1892" s="8">
        <v>2.8</v>
      </c>
      <c r="G1892" s="4">
        <v>3</v>
      </c>
      <c r="H1892" s="4">
        <f t="shared" si="58"/>
        <v>0</v>
      </c>
      <c r="I1892" s="4">
        <f t="shared" si="59"/>
        <v>0</v>
      </c>
      <c r="J1892" s="4">
        <v>0</v>
      </c>
      <c r="K1892" s="4">
        <v>0</v>
      </c>
      <c r="L1892" s="4">
        <v>0</v>
      </c>
      <c r="M1892" s="4">
        <v>1</v>
      </c>
      <c r="N1892" s="4">
        <v>0</v>
      </c>
      <c r="O1892" s="4">
        <v>0</v>
      </c>
    </row>
    <row r="1893" spans="1:15" x14ac:dyDescent="0.15">
      <c r="A1893" s="4">
        <v>1890</v>
      </c>
      <c r="B1893" s="4">
        <v>56</v>
      </c>
      <c r="C1893" s="4">
        <v>30</v>
      </c>
      <c r="D1893" s="4">
        <v>111</v>
      </c>
      <c r="E1893" s="4">
        <v>4</v>
      </c>
      <c r="F1893" s="8">
        <v>0.3</v>
      </c>
      <c r="G1893" s="4">
        <v>1</v>
      </c>
      <c r="H1893" s="4">
        <f t="shared" si="58"/>
        <v>1</v>
      </c>
      <c r="I1893" s="4">
        <f t="shared" si="59"/>
        <v>0</v>
      </c>
      <c r="J1893" s="4">
        <v>372</v>
      </c>
      <c r="K1893" s="4">
        <v>1</v>
      </c>
      <c r="L1893" s="4">
        <v>1</v>
      </c>
      <c r="M1893" s="4">
        <v>1</v>
      </c>
      <c r="N1893" s="4">
        <v>0</v>
      </c>
      <c r="O1893" s="4">
        <v>1</v>
      </c>
    </row>
    <row r="1894" spans="1:15" x14ac:dyDescent="0.15">
      <c r="A1894" s="4">
        <v>1891</v>
      </c>
      <c r="B1894" s="4">
        <v>52</v>
      </c>
      <c r="C1894" s="4">
        <v>27</v>
      </c>
      <c r="D1894" s="4">
        <v>184</v>
      </c>
      <c r="E1894" s="4">
        <v>1</v>
      </c>
      <c r="F1894" s="8">
        <v>8.1</v>
      </c>
      <c r="G1894" s="4">
        <v>1</v>
      </c>
      <c r="H1894" s="4">
        <f t="shared" si="58"/>
        <v>1</v>
      </c>
      <c r="I1894" s="4">
        <f t="shared" si="59"/>
        <v>0</v>
      </c>
      <c r="J1894" s="4">
        <v>0</v>
      </c>
      <c r="K1894" s="4">
        <v>0</v>
      </c>
      <c r="L1894" s="4">
        <v>0</v>
      </c>
      <c r="M1894" s="4">
        <v>0</v>
      </c>
      <c r="N1894" s="4">
        <v>0</v>
      </c>
      <c r="O1894" s="4">
        <v>0</v>
      </c>
    </row>
    <row r="1895" spans="1:15" x14ac:dyDescent="0.15">
      <c r="A1895" s="4">
        <v>1892</v>
      </c>
      <c r="B1895" s="4">
        <v>42</v>
      </c>
      <c r="C1895" s="4">
        <v>18</v>
      </c>
      <c r="D1895" s="4">
        <v>50</v>
      </c>
      <c r="E1895" s="4">
        <v>4</v>
      </c>
      <c r="F1895" s="8">
        <v>2.2000000000000002</v>
      </c>
      <c r="G1895" s="4">
        <v>2</v>
      </c>
      <c r="H1895" s="4">
        <f t="shared" si="58"/>
        <v>0</v>
      </c>
      <c r="I1895" s="4">
        <f t="shared" si="59"/>
        <v>1</v>
      </c>
      <c r="J1895" s="4">
        <v>0</v>
      </c>
      <c r="K1895" s="4">
        <v>0</v>
      </c>
      <c r="L1895" s="4">
        <v>0</v>
      </c>
      <c r="M1895" s="4">
        <v>0</v>
      </c>
      <c r="N1895" s="4">
        <v>0</v>
      </c>
      <c r="O1895" s="4">
        <v>0</v>
      </c>
    </row>
    <row r="1896" spans="1:15" x14ac:dyDescent="0.15">
      <c r="A1896" s="4">
        <v>1893</v>
      </c>
      <c r="B1896" s="4">
        <v>55</v>
      </c>
      <c r="C1896" s="4">
        <v>30</v>
      </c>
      <c r="D1896" s="4">
        <v>55</v>
      </c>
      <c r="E1896" s="4">
        <v>3</v>
      </c>
      <c r="F1896" s="8">
        <v>1.7</v>
      </c>
      <c r="G1896" s="4">
        <v>1</v>
      </c>
      <c r="H1896" s="4">
        <f t="shared" si="58"/>
        <v>1</v>
      </c>
      <c r="I1896" s="4">
        <f t="shared" si="59"/>
        <v>0</v>
      </c>
      <c r="J1896" s="4">
        <v>0</v>
      </c>
      <c r="K1896" s="4">
        <v>0</v>
      </c>
      <c r="L1896" s="4">
        <v>0</v>
      </c>
      <c r="M1896" s="4">
        <v>0</v>
      </c>
      <c r="N1896" s="4">
        <v>1</v>
      </c>
      <c r="O1896" s="4">
        <v>0</v>
      </c>
    </row>
    <row r="1897" spans="1:15" x14ac:dyDescent="0.15">
      <c r="A1897" s="4">
        <v>1894</v>
      </c>
      <c r="B1897" s="4">
        <v>49</v>
      </c>
      <c r="C1897" s="4">
        <v>24</v>
      </c>
      <c r="D1897" s="4">
        <v>13</v>
      </c>
      <c r="E1897" s="4">
        <v>1</v>
      </c>
      <c r="F1897" s="8">
        <v>0.4</v>
      </c>
      <c r="G1897" s="4">
        <v>3</v>
      </c>
      <c r="H1897" s="4">
        <f t="shared" si="58"/>
        <v>0</v>
      </c>
      <c r="I1897" s="4">
        <f t="shared" si="59"/>
        <v>0</v>
      </c>
      <c r="J1897" s="4">
        <v>101</v>
      </c>
      <c r="K1897" s="4">
        <v>1</v>
      </c>
      <c r="L1897" s="4">
        <v>0</v>
      </c>
      <c r="M1897" s="4">
        <v>0</v>
      </c>
      <c r="N1897" s="4">
        <v>0</v>
      </c>
      <c r="O1897" s="4">
        <v>0</v>
      </c>
    </row>
    <row r="1898" spans="1:15" x14ac:dyDescent="0.15">
      <c r="A1898" s="4">
        <v>1895</v>
      </c>
      <c r="B1898" s="4">
        <v>51</v>
      </c>
      <c r="C1898" s="4">
        <v>25</v>
      </c>
      <c r="D1898" s="4">
        <v>29</v>
      </c>
      <c r="E1898" s="4">
        <v>4</v>
      </c>
      <c r="F1898" s="8">
        <v>0.1</v>
      </c>
      <c r="G1898" s="4">
        <v>1</v>
      </c>
      <c r="H1898" s="4">
        <f t="shared" si="58"/>
        <v>1</v>
      </c>
      <c r="I1898" s="4">
        <f t="shared" si="59"/>
        <v>0</v>
      </c>
      <c r="J1898" s="4">
        <v>0</v>
      </c>
      <c r="K1898" s="4">
        <v>0</v>
      </c>
      <c r="L1898" s="4">
        <v>0</v>
      </c>
      <c r="M1898" s="4">
        <v>1</v>
      </c>
      <c r="N1898" s="4">
        <v>1</v>
      </c>
      <c r="O1898" s="4">
        <v>0</v>
      </c>
    </row>
    <row r="1899" spans="1:15" x14ac:dyDescent="0.15">
      <c r="A1899" s="4">
        <v>1896</v>
      </c>
      <c r="B1899" s="4">
        <v>26</v>
      </c>
      <c r="C1899" s="4">
        <v>2</v>
      </c>
      <c r="D1899" s="4">
        <v>72</v>
      </c>
      <c r="E1899" s="4">
        <v>4</v>
      </c>
      <c r="F1899" s="8">
        <v>2.6</v>
      </c>
      <c r="G1899" s="4">
        <v>1</v>
      </c>
      <c r="H1899" s="4">
        <f t="shared" si="58"/>
        <v>1</v>
      </c>
      <c r="I1899" s="4">
        <f t="shared" si="59"/>
        <v>0</v>
      </c>
      <c r="J1899" s="4">
        <v>0</v>
      </c>
      <c r="K1899" s="4">
        <v>0</v>
      </c>
      <c r="L1899" s="4">
        <v>0</v>
      </c>
      <c r="M1899" s="4">
        <v>1</v>
      </c>
      <c r="N1899" s="4">
        <v>0</v>
      </c>
      <c r="O1899" s="4">
        <v>0</v>
      </c>
    </row>
    <row r="1900" spans="1:15" x14ac:dyDescent="0.15">
      <c r="A1900" s="4">
        <v>1897</v>
      </c>
      <c r="B1900" s="4">
        <v>32</v>
      </c>
      <c r="C1900" s="4">
        <v>7</v>
      </c>
      <c r="D1900" s="4">
        <v>83</v>
      </c>
      <c r="E1900" s="4">
        <v>1</v>
      </c>
      <c r="F1900" s="8">
        <v>2.6</v>
      </c>
      <c r="G1900" s="4">
        <v>2</v>
      </c>
      <c r="H1900" s="4">
        <f t="shared" si="58"/>
        <v>0</v>
      </c>
      <c r="I1900" s="4">
        <f t="shared" si="59"/>
        <v>1</v>
      </c>
      <c r="J1900" s="4">
        <v>0</v>
      </c>
      <c r="K1900" s="4">
        <v>1</v>
      </c>
      <c r="L1900" s="4">
        <v>0</v>
      </c>
      <c r="M1900" s="4">
        <v>0</v>
      </c>
      <c r="N1900" s="4">
        <v>1</v>
      </c>
      <c r="O1900" s="4">
        <v>0</v>
      </c>
    </row>
    <row r="1901" spans="1:15" x14ac:dyDescent="0.15">
      <c r="A1901" s="4">
        <v>1898</v>
      </c>
      <c r="B1901" s="4">
        <v>54</v>
      </c>
      <c r="C1901" s="4">
        <v>29</v>
      </c>
      <c r="D1901" s="4">
        <v>98</v>
      </c>
      <c r="E1901" s="4">
        <v>1</v>
      </c>
      <c r="F1901" s="8">
        <v>0.1</v>
      </c>
      <c r="G1901" s="4">
        <v>3</v>
      </c>
      <c r="H1901" s="4">
        <f t="shared" si="58"/>
        <v>0</v>
      </c>
      <c r="I1901" s="4">
        <f t="shared" si="59"/>
        <v>0</v>
      </c>
      <c r="J1901" s="4">
        <v>0</v>
      </c>
      <c r="K1901" s="4">
        <v>0</v>
      </c>
      <c r="L1901" s="4">
        <v>0</v>
      </c>
      <c r="M1901" s="4">
        <v>0</v>
      </c>
      <c r="N1901" s="4">
        <v>0</v>
      </c>
      <c r="O1901" s="4">
        <v>0</v>
      </c>
    </row>
    <row r="1902" spans="1:15" x14ac:dyDescent="0.15">
      <c r="A1902" s="4">
        <v>1899</v>
      </c>
      <c r="B1902" s="4">
        <v>50</v>
      </c>
      <c r="C1902" s="4">
        <v>24</v>
      </c>
      <c r="D1902" s="4">
        <v>43</v>
      </c>
      <c r="E1902" s="4">
        <v>4</v>
      </c>
      <c r="F1902" s="8">
        <v>0.1</v>
      </c>
      <c r="G1902" s="4">
        <v>1</v>
      </c>
      <c r="H1902" s="4">
        <f t="shared" si="58"/>
        <v>1</v>
      </c>
      <c r="I1902" s="4">
        <f t="shared" si="59"/>
        <v>0</v>
      </c>
      <c r="J1902" s="4">
        <v>0</v>
      </c>
      <c r="K1902" s="4">
        <v>0</v>
      </c>
      <c r="L1902" s="4">
        <v>0</v>
      </c>
      <c r="M1902" s="4">
        <v>1</v>
      </c>
      <c r="N1902" s="4">
        <v>0</v>
      </c>
      <c r="O1902" s="4">
        <v>0</v>
      </c>
    </row>
    <row r="1903" spans="1:15" x14ac:dyDescent="0.15">
      <c r="A1903" s="4">
        <v>1900</v>
      </c>
      <c r="B1903" s="4">
        <v>59</v>
      </c>
      <c r="C1903" s="4">
        <v>33</v>
      </c>
      <c r="D1903" s="4">
        <v>34</v>
      </c>
      <c r="E1903" s="4">
        <v>1</v>
      </c>
      <c r="F1903" s="8">
        <v>0.2</v>
      </c>
      <c r="G1903" s="4">
        <v>1</v>
      </c>
      <c r="H1903" s="4">
        <f t="shared" si="58"/>
        <v>1</v>
      </c>
      <c r="I1903" s="4">
        <f t="shared" si="59"/>
        <v>0</v>
      </c>
      <c r="J1903" s="4">
        <v>0</v>
      </c>
      <c r="K1903" s="4">
        <v>0</v>
      </c>
      <c r="L1903" s="4">
        <v>0</v>
      </c>
      <c r="M1903" s="4">
        <v>1</v>
      </c>
      <c r="N1903" s="4">
        <v>0</v>
      </c>
      <c r="O1903" s="4">
        <v>0</v>
      </c>
    </row>
    <row r="1904" spans="1:15" x14ac:dyDescent="0.15">
      <c r="A1904" s="4">
        <v>1901</v>
      </c>
      <c r="B1904" s="4">
        <v>61</v>
      </c>
      <c r="C1904" s="4">
        <v>36</v>
      </c>
      <c r="D1904" s="4">
        <v>10</v>
      </c>
      <c r="E1904" s="4">
        <v>4</v>
      </c>
      <c r="F1904" s="8">
        <v>0.4</v>
      </c>
      <c r="G1904" s="4">
        <v>2</v>
      </c>
      <c r="H1904" s="4">
        <f t="shared" si="58"/>
        <v>0</v>
      </c>
      <c r="I1904" s="4">
        <f t="shared" si="59"/>
        <v>1</v>
      </c>
      <c r="J1904" s="4">
        <v>0</v>
      </c>
      <c r="K1904" s="4">
        <v>0</v>
      </c>
      <c r="L1904" s="4">
        <v>0</v>
      </c>
      <c r="M1904" s="4">
        <v>1</v>
      </c>
      <c r="N1904" s="4">
        <v>0</v>
      </c>
      <c r="O1904" s="4">
        <v>0</v>
      </c>
    </row>
    <row r="1905" spans="1:15" x14ac:dyDescent="0.15">
      <c r="A1905" s="4">
        <v>1902</v>
      </c>
      <c r="B1905" s="4">
        <v>43</v>
      </c>
      <c r="C1905" s="4">
        <v>19</v>
      </c>
      <c r="D1905" s="4">
        <v>201</v>
      </c>
      <c r="E1905" s="4">
        <v>2</v>
      </c>
      <c r="F1905" s="8">
        <v>6.666666666666667</v>
      </c>
      <c r="G1905" s="4">
        <v>1</v>
      </c>
      <c r="H1905" s="4">
        <f t="shared" si="58"/>
        <v>1</v>
      </c>
      <c r="I1905" s="4">
        <f t="shared" si="59"/>
        <v>0</v>
      </c>
      <c r="J1905" s="4">
        <v>0</v>
      </c>
      <c r="K1905" s="4">
        <v>1</v>
      </c>
      <c r="L1905" s="4">
        <v>0</v>
      </c>
      <c r="M1905" s="4">
        <v>1</v>
      </c>
      <c r="N1905" s="4">
        <v>0</v>
      </c>
      <c r="O1905" s="4">
        <v>0</v>
      </c>
    </row>
    <row r="1906" spans="1:15" x14ac:dyDescent="0.15">
      <c r="A1906" s="4">
        <v>1903</v>
      </c>
      <c r="B1906" s="4">
        <v>39</v>
      </c>
      <c r="C1906" s="4">
        <v>14</v>
      </c>
      <c r="D1906" s="4">
        <v>85</v>
      </c>
      <c r="E1906" s="4">
        <v>3</v>
      </c>
      <c r="F1906" s="8">
        <v>1.2</v>
      </c>
      <c r="G1906" s="4">
        <v>3</v>
      </c>
      <c r="H1906" s="4">
        <f t="shared" si="58"/>
        <v>0</v>
      </c>
      <c r="I1906" s="4">
        <f t="shared" si="59"/>
        <v>0</v>
      </c>
      <c r="J1906" s="4">
        <v>107</v>
      </c>
      <c r="K1906" s="4">
        <v>0</v>
      </c>
      <c r="L1906" s="4">
        <v>0</v>
      </c>
      <c r="M1906" s="4">
        <v>1</v>
      </c>
      <c r="N1906" s="4">
        <v>1</v>
      </c>
      <c r="O1906" s="4">
        <v>0</v>
      </c>
    </row>
    <row r="1907" spans="1:15" x14ac:dyDescent="0.15">
      <c r="A1907" s="4">
        <v>1904</v>
      </c>
      <c r="B1907" s="4">
        <v>56</v>
      </c>
      <c r="C1907" s="4">
        <v>26</v>
      </c>
      <c r="D1907" s="4">
        <v>50</v>
      </c>
      <c r="E1907" s="4">
        <v>3</v>
      </c>
      <c r="F1907" s="8">
        <v>1.4</v>
      </c>
      <c r="G1907" s="4">
        <v>3</v>
      </c>
      <c r="H1907" s="4">
        <f t="shared" si="58"/>
        <v>0</v>
      </c>
      <c r="I1907" s="4">
        <f t="shared" si="59"/>
        <v>0</v>
      </c>
      <c r="J1907" s="4">
        <v>0</v>
      </c>
      <c r="K1907" s="4">
        <v>0</v>
      </c>
      <c r="L1907" s="4">
        <v>0</v>
      </c>
      <c r="M1907" s="4">
        <v>0</v>
      </c>
      <c r="N1907" s="4">
        <v>0</v>
      </c>
      <c r="O1907" s="4">
        <v>0</v>
      </c>
    </row>
    <row r="1908" spans="1:15" x14ac:dyDescent="0.15">
      <c r="A1908" s="4">
        <v>1905</v>
      </c>
      <c r="B1908" s="4">
        <v>38</v>
      </c>
      <c r="C1908" s="4">
        <v>14</v>
      </c>
      <c r="D1908" s="4">
        <v>91</v>
      </c>
      <c r="E1908" s="4">
        <v>2</v>
      </c>
      <c r="F1908" s="8">
        <v>0</v>
      </c>
      <c r="G1908" s="4">
        <v>1</v>
      </c>
      <c r="H1908" s="4">
        <f t="shared" si="58"/>
        <v>1</v>
      </c>
      <c r="I1908" s="4">
        <f t="shared" si="59"/>
        <v>0</v>
      </c>
      <c r="J1908" s="4">
        <v>0</v>
      </c>
      <c r="K1908" s="4">
        <v>0</v>
      </c>
      <c r="L1908" s="4">
        <v>0</v>
      </c>
      <c r="M1908" s="4">
        <v>1</v>
      </c>
      <c r="N1908" s="4">
        <v>0</v>
      </c>
      <c r="O1908" s="4">
        <v>0</v>
      </c>
    </row>
    <row r="1909" spans="1:15" x14ac:dyDescent="0.15">
      <c r="A1909" s="4">
        <v>1906</v>
      </c>
      <c r="B1909" s="4">
        <v>25</v>
      </c>
      <c r="C1909" s="4">
        <v>0</v>
      </c>
      <c r="D1909" s="4">
        <v>112</v>
      </c>
      <c r="E1909" s="4">
        <v>2</v>
      </c>
      <c r="F1909" s="8">
        <v>2</v>
      </c>
      <c r="G1909" s="4">
        <v>1</v>
      </c>
      <c r="H1909" s="4">
        <f t="shared" si="58"/>
        <v>1</v>
      </c>
      <c r="I1909" s="4">
        <f t="shared" si="59"/>
        <v>0</v>
      </c>
      <c r="J1909" s="4">
        <v>241</v>
      </c>
      <c r="K1909" s="4">
        <v>0</v>
      </c>
      <c r="L1909" s="4">
        <v>0</v>
      </c>
      <c r="M1909" s="4">
        <v>1</v>
      </c>
      <c r="N1909" s="4">
        <v>0</v>
      </c>
      <c r="O1909" s="4">
        <v>0</v>
      </c>
    </row>
    <row r="1910" spans="1:15" x14ac:dyDescent="0.15">
      <c r="A1910" s="4">
        <v>1907</v>
      </c>
      <c r="B1910" s="4">
        <v>42</v>
      </c>
      <c r="C1910" s="4">
        <v>17</v>
      </c>
      <c r="D1910" s="4">
        <v>98</v>
      </c>
      <c r="E1910" s="4">
        <v>2</v>
      </c>
      <c r="F1910" s="8">
        <v>0.4</v>
      </c>
      <c r="G1910" s="4">
        <v>1</v>
      </c>
      <c r="H1910" s="4">
        <f t="shared" si="58"/>
        <v>1</v>
      </c>
      <c r="I1910" s="4">
        <f t="shared" si="59"/>
        <v>0</v>
      </c>
      <c r="J1910" s="4">
        <v>275</v>
      </c>
      <c r="K1910" s="4">
        <v>0</v>
      </c>
      <c r="L1910" s="4">
        <v>0</v>
      </c>
      <c r="M1910" s="4">
        <v>1</v>
      </c>
      <c r="N1910" s="4">
        <v>0</v>
      </c>
      <c r="O1910" s="4">
        <v>0</v>
      </c>
    </row>
    <row r="1911" spans="1:15" x14ac:dyDescent="0.15">
      <c r="A1911" s="4">
        <v>1908</v>
      </c>
      <c r="B1911" s="4">
        <v>42</v>
      </c>
      <c r="C1911" s="4">
        <v>18</v>
      </c>
      <c r="D1911" s="4">
        <v>115</v>
      </c>
      <c r="E1911" s="4">
        <v>1</v>
      </c>
      <c r="F1911" s="8">
        <v>0.3</v>
      </c>
      <c r="G1911" s="4">
        <v>1</v>
      </c>
      <c r="H1911" s="4">
        <f t="shared" si="58"/>
        <v>1</v>
      </c>
      <c r="I1911" s="4">
        <f t="shared" si="59"/>
        <v>0</v>
      </c>
      <c r="J1911" s="4">
        <v>0</v>
      </c>
      <c r="K1911" s="4">
        <v>0</v>
      </c>
      <c r="L1911" s="4">
        <v>0</v>
      </c>
      <c r="M1911" s="4">
        <v>0</v>
      </c>
      <c r="N1911" s="4">
        <v>0</v>
      </c>
      <c r="O1911" s="4">
        <v>0</v>
      </c>
    </row>
    <row r="1912" spans="1:15" x14ac:dyDescent="0.15">
      <c r="A1912" s="4">
        <v>1909</v>
      </c>
      <c r="B1912" s="4">
        <v>50</v>
      </c>
      <c r="C1912" s="4">
        <v>26</v>
      </c>
      <c r="D1912" s="4">
        <v>22</v>
      </c>
      <c r="E1912" s="4">
        <v>4</v>
      </c>
      <c r="F1912" s="8">
        <v>0.5</v>
      </c>
      <c r="G1912" s="4">
        <v>2</v>
      </c>
      <c r="H1912" s="4">
        <f t="shared" si="58"/>
        <v>0</v>
      </c>
      <c r="I1912" s="4">
        <f t="shared" si="59"/>
        <v>1</v>
      </c>
      <c r="J1912" s="4">
        <v>112</v>
      </c>
      <c r="K1912" s="4">
        <v>0</v>
      </c>
      <c r="L1912" s="4">
        <v>0</v>
      </c>
      <c r="M1912" s="4">
        <v>1</v>
      </c>
      <c r="N1912" s="4">
        <v>0</v>
      </c>
      <c r="O1912" s="4">
        <v>0</v>
      </c>
    </row>
    <row r="1913" spans="1:15" x14ac:dyDescent="0.15">
      <c r="A1913" s="4">
        <v>1910</v>
      </c>
      <c r="B1913" s="4">
        <v>56</v>
      </c>
      <c r="C1913" s="4">
        <v>30</v>
      </c>
      <c r="D1913" s="4">
        <v>101</v>
      </c>
      <c r="E1913" s="4">
        <v>3</v>
      </c>
      <c r="F1913" s="8">
        <v>1.7</v>
      </c>
      <c r="G1913" s="4">
        <v>2</v>
      </c>
      <c r="H1913" s="4">
        <f t="shared" si="58"/>
        <v>0</v>
      </c>
      <c r="I1913" s="4">
        <f t="shared" si="59"/>
        <v>1</v>
      </c>
      <c r="J1913" s="4">
        <v>0</v>
      </c>
      <c r="K1913" s="4">
        <v>0</v>
      </c>
      <c r="L1913" s="4">
        <v>0</v>
      </c>
      <c r="M1913" s="4">
        <v>0</v>
      </c>
      <c r="N1913" s="4">
        <v>1</v>
      </c>
      <c r="O1913" s="4">
        <v>0</v>
      </c>
    </row>
    <row r="1914" spans="1:15" x14ac:dyDescent="0.15">
      <c r="A1914" s="4">
        <v>1911</v>
      </c>
      <c r="B1914" s="4">
        <v>43</v>
      </c>
      <c r="C1914" s="4">
        <v>18</v>
      </c>
      <c r="D1914" s="4">
        <v>83</v>
      </c>
      <c r="E1914" s="4">
        <v>2</v>
      </c>
      <c r="F1914" s="8">
        <v>3.8</v>
      </c>
      <c r="G1914" s="4">
        <v>3</v>
      </c>
      <c r="H1914" s="4">
        <f t="shared" si="58"/>
        <v>0</v>
      </c>
      <c r="I1914" s="4">
        <f t="shared" si="59"/>
        <v>0</v>
      </c>
      <c r="J1914" s="4">
        <v>112</v>
      </c>
      <c r="K1914" s="4">
        <v>0</v>
      </c>
      <c r="L1914" s="4">
        <v>0</v>
      </c>
      <c r="M1914" s="4">
        <v>0</v>
      </c>
      <c r="N1914" s="4">
        <v>0</v>
      </c>
      <c r="O1914" s="4">
        <v>0</v>
      </c>
    </row>
    <row r="1915" spans="1:15" x14ac:dyDescent="0.15">
      <c r="A1915" s="4">
        <v>1912</v>
      </c>
      <c r="B1915" s="4">
        <v>60</v>
      </c>
      <c r="C1915" s="4">
        <v>35</v>
      </c>
      <c r="D1915" s="4">
        <v>52</v>
      </c>
      <c r="E1915" s="4">
        <v>3</v>
      </c>
      <c r="F1915" s="8">
        <v>0.5</v>
      </c>
      <c r="G1915" s="4">
        <v>2</v>
      </c>
      <c r="H1915" s="4">
        <f t="shared" si="58"/>
        <v>0</v>
      </c>
      <c r="I1915" s="4">
        <f t="shared" si="59"/>
        <v>1</v>
      </c>
      <c r="J1915" s="4">
        <v>0</v>
      </c>
      <c r="K1915" s="4">
        <v>0</v>
      </c>
      <c r="L1915" s="4">
        <v>0</v>
      </c>
      <c r="M1915" s="4">
        <v>0</v>
      </c>
      <c r="N1915" s="4">
        <v>0</v>
      </c>
      <c r="O1915" s="4">
        <v>0</v>
      </c>
    </row>
    <row r="1916" spans="1:15" x14ac:dyDescent="0.15">
      <c r="A1916" s="4">
        <v>1913</v>
      </c>
      <c r="B1916" s="4">
        <v>42</v>
      </c>
      <c r="C1916" s="4">
        <v>16</v>
      </c>
      <c r="D1916" s="4">
        <v>191</v>
      </c>
      <c r="E1916" s="4">
        <v>3</v>
      </c>
      <c r="F1916" s="8">
        <v>4.8</v>
      </c>
      <c r="G1916" s="4">
        <v>2</v>
      </c>
      <c r="H1916" s="4">
        <f t="shared" si="58"/>
        <v>0</v>
      </c>
      <c r="I1916" s="4">
        <f t="shared" si="59"/>
        <v>1</v>
      </c>
      <c r="J1916" s="4">
        <v>0</v>
      </c>
      <c r="K1916" s="4">
        <v>1</v>
      </c>
      <c r="L1916" s="4">
        <v>1</v>
      </c>
      <c r="M1916" s="4">
        <v>1</v>
      </c>
      <c r="N1916" s="4">
        <v>0</v>
      </c>
      <c r="O1916" s="4">
        <v>1</v>
      </c>
    </row>
    <row r="1917" spans="1:15" x14ac:dyDescent="0.15">
      <c r="A1917" s="4">
        <v>1914</v>
      </c>
      <c r="B1917" s="4">
        <v>57</v>
      </c>
      <c r="C1917" s="4">
        <v>33</v>
      </c>
      <c r="D1917" s="4">
        <v>134</v>
      </c>
      <c r="E1917" s="4">
        <v>4</v>
      </c>
      <c r="F1917" s="8">
        <v>0.9</v>
      </c>
      <c r="G1917" s="4">
        <v>1</v>
      </c>
      <c r="H1917" s="4">
        <f t="shared" si="58"/>
        <v>1</v>
      </c>
      <c r="I1917" s="4">
        <f t="shared" si="59"/>
        <v>0</v>
      </c>
      <c r="J1917" s="4">
        <v>198</v>
      </c>
      <c r="K1917" s="4">
        <v>0</v>
      </c>
      <c r="L1917" s="4">
        <v>0</v>
      </c>
      <c r="M1917" s="4">
        <v>1</v>
      </c>
      <c r="N1917" s="4">
        <v>0</v>
      </c>
      <c r="O1917" s="4">
        <v>1</v>
      </c>
    </row>
    <row r="1918" spans="1:15" x14ac:dyDescent="0.15">
      <c r="A1918" s="4">
        <v>1915</v>
      </c>
      <c r="B1918" s="4">
        <v>48</v>
      </c>
      <c r="C1918" s="4">
        <v>24</v>
      </c>
      <c r="D1918" s="4">
        <v>54</v>
      </c>
      <c r="E1918" s="4">
        <v>1</v>
      </c>
      <c r="F1918" s="8">
        <v>1.6</v>
      </c>
      <c r="G1918" s="4">
        <v>2</v>
      </c>
      <c r="H1918" s="4">
        <f t="shared" si="58"/>
        <v>0</v>
      </c>
      <c r="I1918" s="4">
        <f t="shared" si="59"/>
        <v>1</v>
      </c>
      <c r="J1918" s="4">
        <v>186</v>
      </c>
      <c r="K1918" s="4">
        <v>0</v>
      </c>
      <c r="L1918" s="4">
        <v>0</v>
      </c>
      <c r="M1918" s="4">
        <v>1</v>
      </c>
      <c r="N1918" s="4">
        <v>0</v>
      </c>
      <c r="O1918" s="4">
        <v>0</v>
      </c>
    </row>
    <row r="1919" spans="1:15" x14ac:dyDescent="0.15">
      <c r="A1919" s="4">
        <v>1916</v>
      </c>
      <c r="B1919" s="4">
        <v>37</v>
      </c>
      <c r="C1919" s="4">
        <v>11</v>
      </c>
      <c r="D1919" s="4">
        <v>69</v>
      </c>
      <c r="E1919" s="4">
        <v>3</v>
      </c>
      <c r="F1919" s="8">
        <v>2.1</v>
      </c>
      <c r="G1919" s="4">
        <v>1</v>
      </c>
      <c r="H1919" s="4">
        <f t="shared" si="58"/>
        <v>1</v>
      </c>
      <c r="I1919" s="4">
        <f t="shared" si="59"/>
        <v>0</v>
      </c>
      <c r="J1919" s="4">
        <v>0</v>
      </c>
      <c r="K1919" s="4">
        <v>1</v>
      </c>
      <c r="L1919" s="4">
        <v>0</v>
      </c>
      <c r="M1919" s="4">
        <v>0</v>
      </c>
      <c r="N1919" s="4">
        <v>0</v>
      </c>
      <c r="O1919" s="4">
        <v>0</v>
      </c>
    </row>
    <row r="1920" spans="1:15" x14ac:dyDescent="0.15">
      <c r="A1920" s="4">
        <v>1917</v>
      </c>
      <c r="B1920" s="4">
        <v>57</v>
      </c>
      <c r="C1920" s="4">
        <v>32</v>
      </c>
      <c r="D1920" s="4">
        <v>64</v>
      </c>
      <c r="E1920" s="4">
        <v>3</v>
      </c>
      <c r="F1920" s="8">
        <v>1.6</v>
      </c>
      <c r="G1920" s="4">
        <v>3</v>
      </c>
      <c r="H1920" s="4">
        <f t="shared" si="58"/>
        <v>0</v>
      </c>
      <c r="I1920" s="4">
        <f t="shared" si="59"/>
        <v>0</v>
      </c>
      <c r="J1920" s="4">
        <v>0</v>
      </c>
      <c r="K1920" s="4">
        <v>0</v>
      </c>
      <c r="L1920" s="4">
        <v>0</v>
      </c>
      <c r="M1920" s="4">
        <v>1</v>
      </c>
      <c r="N1920" s="4">
        <v>0</v>
      </c>
      <c r="O1920" s="4">
        <v>0</v>
      </c>
    </row>
    <row r="1921" spans="1:15" x14ac:dyDescent="0.15">
      <c r="A1921" s="4">
        <v>1918</v>
      </c>
      <c r="B1921" s="4">
        <v>62</v>
      </c>
      <c r="C1921" s="4">
        <v>32</v>
      </c>
      <c r="D1921" s="4">
        <v>53</v>
      </c>
      <c r="E1921" s="4">
        <v>4</v>
      </c>
      <c r="F1921" s="8">
        <v>1.6666666666666667</v>
      </c>
      <c r="G1921" s="4">
        <v>3</v>
      </c>
      <c r="H1921" s="4">
        <f t="shared" si="58"/>
        <v>0</v>
      </c>
      <c r="I1921" s="4">
        <f t="shared" si="59"/>
        <v>0</v>
      </c>
      <c r="J1921" s="4">
        <v>142</v>
      </c>
      <c r="K1921" s="4">
        <v>0</v>
      </c>
      <c r="L1921" s="4">
        <v>0</v>
      </c>
      <c r="M1921" s="4">
        <v>0</v>
      </c>
      <c r="N1921" s="4">
        <v>0</v>
      </c>
      <c r="O1921" s="4">
        <v>0</v>
      </c>
    </row>
    <row r="1922" spans="1:15" x14ac:dyDescent="0.15">
      <c r="A1922" s="4">
        <v>1919</v>
      </c>
      <c r="B1922" s="4">
        <v>39</v>
      </c>
      <c r="C1922" s="4">
        <v>9</v>
      </c>
      <c r="D1922" s="4">
        <v>118</v>
      </c>
      <c r="E1922" s="4">
        <v>2</v>
      </c>
      <c r="F1922" s="8">
        <v>6</v>
      </c>
      <c r="G1922" s="4">
        <v>3</v>
      </c>
      <c r="H1922" s="4">
        <f t="shared" si="58"/>
        <v>0</v>
      </c>
      <c r="I1922" s="4">
        <f t="shared" si="59"/>
        <v>0</v>
      </c>
      <c r="J1922" s="4">
        <v>246</v>
      </c>
      <c r="K1922" s="4">
        <v>0</v>
      </c>
      <c r="L1922" s="4">
        <v>1</v>
      </c>
      <c r="M1922" s="4">
        <v>1</v>
      </c>
      <c r="N1922" s="4">
        <v>1</v>
      </c>
      <c r="O1922" s="4">
        <v>1</v>
      </c>
    </row>
    <row r="1923" spans="1:15" x14ac:dyDescent="0.15">
      <c r="A1923" s="4">
        <v>1920</v>
      </c>
      <c r="B1923" s="4">
        <v>38</v>
      </c>
      <c r="C1923" s="4">
        <v>13</v>
      </c>
      <c r="D1923" s="4">
        <v>19</v>
      </c>
      <c r="E1923" s="4">
        <v>2</v>
      </c>
      <c r="F1923" s="8">
        <v>1.4</v>
      </c>
      <c r="G1923" s="4">
        <v>2</v>
      </c>
      <c r="H1923" s="4">
        <f t="shared" si="58"/>
        <v>0</v>
      </c>
      <c r="I1923" s="4">
        <f t="shared" si="59"/>
        <v>1</v>
      </c>
      <c r="J1923" s="4">
        <v>120</v>
      </c>
      <c r="K1923" s="4">
        <v>0</v>
      </c>
      <c r="L1923" s="4">
        <v>0</v>
      </c>
      <c r="M1923" s="4">
        <v>0</v>
      </c>
      <c r="N1923" s="4">
        <v>1</v>
      </c>
      <c r="O1923" s="4">
        <v>0</v>
      </c>
    </row>
    <row r="1924" spans="1:15" x14ac:dyDescent="0.15">
      <c r="A1924" s="4">
        <v>1921</v>
      </c>
      <c r="B1924" s="4">
        <v>54</v>
      </c>
      <c r="C1924" s="4">
        <v>28</v>
      </c>
      <c r="D1924" s="4">
        <v>31</v>
      </c>
      <c r="E1924" s="4">
        <v>2</v>
      </c>
      <c r="F1924" s="8">
        <v>0.4</v>
      </c>
      <c r="G1924" s="4">
        <v>3</v>
      </c>
      <c r="H1924" s="4">
        <f t="shared" si="58"/>
        <v>0</v>
      </c>
      <c r="I1924" s="4">
        <f t="shared" si="59"/>
        <v>0</v>
      </c>
      <c r="J1924" s="4">
        <v>0</v>
      </c>
      <c r="K1924" s="4">
        <v>0</v>
      </c>
      <c r="L1924" s="4">
        <v>0</v>
      </c>
      <c r="M1924" s="4">
        <v>0</v>
      </c>
      <c r="N1924" s="4">
        <v>0</v>
      </c>
      <c r="O1924" s="4">
        <v>0</v>
      </c>
    </row>
    <row r="1925" spans="1:15" x14ac:dyDescent="0.15">
      <c r="A1925" s="4">
        <v>1922</v>
      </c>
      <c r="B1925" s="4">
        <v>45</v>
      </c>
      <c r="C1925" s="4">
        <v>21</v>
      </c>
      <c r="D1925" s="4">
        <v>63</v>
      </c>
      <c r="E1925" s="4">
        <v>1</v>
      </c>
      <c r="F1925" s="8">
        <v>0.8</v>
      </c>
      <c r="G1925" s="4">
        <v>3</v>
      </c>
      <c r="H1925" s="4">
        <f t="shared" ref="H1925:H1988" si="60">IF(G1925=1,1,0)</f>
        <v>0</v>
      </c>
      <c r="I1925" s="4">
        <f t="shared" ref="I1925:I1988" si="61">IF(G1925=2,1,0)</f>
        <v>0</v>
      </c>
      <c r="J1925" s="4">
        <v>245</v>
      </c>
      <c r="K1925" s="4">
        <v>0</v>
      </c>
      <c r="L1925" s="4">
        <v>0</v>
      </c>
      <c r="M1925" s="4">
        <v>1</v>
      </c>
      <c r="N1925" s="4">
        <v>1</v>
      </c>
      <c r="O1925" s="4">
        <v>0</v>
      </c>
    </row>
    <row r="1926" spans="1:15" x14ac:dyDescent="0.15">
      <c r="A1926" s="4">
        <v>1923</v>
      </c>
      <c r="B1926" s="4">
        <v>39</v>
      </c>
      <c r="C1926" s="4">
        <v>15</v>
      </c>
      <c r="D1926" s="4">
        <v>25</v>
      </c>
      <c r="E1926" s="4">
        <v>1</v>
      </c>
      <c r="F1926" s="8">
        <v>1.4</v>
      </c>
      <c r="G1926" s="4">
        <v>3</v>
      </c>
      <c r="H1926" s="4">
        <f t="shared" si="60"/>
        <v>0</v>
      </c>
      <c r="I1926" s="4">
        <f t="shared" si="61"/>
        <v>0</v>
      </c>
      <c r="J1926" s="4">
        <v>0</v>
      </c>
      <c r="K1926" s="4">
        <v>0</v>
      </c>
      <c r="L1926" s="4">
        <v>0</v>
      </c>
      <c r="M1926" s="4">
        <v>0</v>
      </c>
      <c r="N1926" s="4">
        <v>0</v>
      </c>
      <c r="O1926" s="4">
        <v>0</v>
      </c>
    </row>
    <row r="1927" spans="1:15" x14ac:dyDescent="0.15">
      <c r="A1927" s="4">
        <v>1924</v>
      </c>
      <c r="B1927" s="4">
        <v>45</v>
      </c>
      <c r="C1927" s="4">
        <v>19</v>
      </c>
      <c r="D1927" s="4">
        <v>22</v>
      </c>
      <c r="E1927" s="4">
        <v>1</v>
      </c>
      <c r="F1927" s="8">
        <v>0.2</v>
      </c>
      <c r="G1927" s="4">
        <v>1</v>
      </c>
      <c r="H1927" s="4">
        <f t="shared" si="60"/>
        <v>1</v>
      </c>
      <c r="I1927" s="4">
        <f t="shared" si="61"/>
        <v>0</v>
      </c>
      <c r="J1927" s="4">
        <v>0</v>
      </c>
      <c r="K1927" s="4">
        <v>0</v>
      </c>
      <c r="L1927" s="4">
        <v>0</v>
      </c>
      <c r="M1927" s="4">
        <v>1</v>
      </c>
      <c r="N1927" s="4">
        <v>0</v>
      </c>
      <c r="O1927" s="4">
        <v>0</v>
      </c>
    </row>
    <row r="1928" spans="1:15" x14ac:dyDescent="0.15">
      <c r="A1928" s="4">
        <v>1925</v>
      </c>
      <c r="B1928" s="4">
        <v>62</v>
      </c>
      <c r="C1928" s="4">
        <v>38</v>
      </c>
      <c r="D1928" s="4">
        <v>78</v>
      </c>
      <c r="E1928" s="4">
        <v>1</v>
      </c>
      <c r="F1928" s="8">
        <v>1.8</v>
      </c>
      <c r="G1928" s="4">
        <v>3</v>
      </c>
      <c r="H1928" s="4">
        <f t="shared" si="60"/>
        <v>0</v>
      </c>
      <c r="I1928" s="4">
        <f t="shared" si="61"/>
        <v>0</v>
      </c>
      <c r="J1928" s="4">
        <v>0</v>
      </c>
      <c r="K1928" s="4">
        <v>0</v>
      </c>
      <c r="L1928" s="4">
        <v>0</v>
      </c>
      <c r="M1928" s="4">
        <v>0</v>
      </c>
      <c r="N1928" s="4">
        <v>0</v>
      </c>
      <c r="O1928" s="4">
        <v>0</v>
      </c>
    </row>
    <row r="1929" spans="1:15" x14ac:dyDescent="0.15">
      <c r="A1929" s="4">
        <v>1926</v>
      </c>
      <c r="B1929" s="4">
        <v>43</v>
      </c>
      <c r="C1929" s="4">
        <v>19</v>
      </c>
      <c r="D1929" s="4">
        <v>81</v>
      </c>
      <c r="E1929" s="4">
        <v>1</v>
      </c>
      <c r="F1929" s="8">
        <v>0.3</v>
      </c>
      <c r="G1929" s="4">
        <v>1</v>
      </c>
      <c r="H1929" s="4">
        <f t="shared" si="60"/>
        <v>1</v>
      </c>
      <c r="I1929" s="4">
        <f t="shared" si="61"/>
        <v>0</v>
      </c>
      <c r="J1929" s="4">
        <v>218</v>
      </c>
      <c r="K1929" s="4">
        <v>0</v>
      </c>
      <c r="L1929" s="4">
        <v>0</v>
      </c>
      <c r="M1929" s="4">
        <v>1</v>
      </c>
      <c r="N1929" s="4">
        <v>0</v>
      </c>
      <c r="O1929" s="4">
        <v>0</v>
      </c>
    </row>
    <row r="1930" spans="1:15" x14ac:dyDescent="0.15">
      <c r="A1930" s="4">
        <v>1927</v>
      </c>
      <c r="B1930" s="4">
        <v>30</v>
      </c>
      <c r="C1930" s="4">
        <v>6</v>
      </c>
      <c r="D1930" s="4">
        <v>41</v>
      </c>
      <c r="E1930" s="4">
        <v>1</v>
      </c>
      <c r="F1930" s="8">
        <v>2.4</v>
      </c>
      <c r="G1930" s="4">
        <v>2</v>
      </c>
      <c r="H1930" s="4">
        <f t="shared" si="60"/>
        <v>0</v>
      </c>
      <c r="I1930" s="4">
        <f t="shared" si="61"/>
        <v>1</v>
      </c>
      <c r="J1930" s="4">
        <v>0</v>
      </c>
      <c r="K1930" s="4">
        <v>0</v>
      </c>
      <c r="L1930" s="4">
        <v>0</v>
      </c>
      <c r="M1930" s="4">
        <v>1</v>
      </c>
      <c r="N1930" s="4">
        <v>0</v>
      </c>
      <c r="O1930" s="4">
        <v>0</v>
      </c>
    </row>
    <row r="1931" spans="1:15" x14ac:dyDescent="0.15">
      <c r="A1931" s="4">
        <v>1928</v>
      </c>
      <c r="B1931" s="4">
        <v>35</v>
      </c>
      <c r="C1931" s="4">
        <v>10</v>
      </c>
      <c r="D1931" s="4">
        <v>62</v>
      </c>
      <c r="E1931" s="4">
        <v>3</v>
      </c>
      <c r="F1931" s="8">
        <v>2.2999999999999998</v>
      </c>
      <c r="G1931" s="4">
        <v>1</v>
      </c>
      <c r="H1931" s="4">
        <f t="shared" si="60"/>
        <v>1</v>
      </c>
      <c r="I1931" s="4">
        <f t="shared" si="61"/>
        <v>0</v>
      </c>
      <c r="J1931" s="4">
        <v>0</v>
      </c>
      <c r="K1931" s="4">
        <v>0</v>
      </c>
      <c r="L1931" s="4">
        <v>0</v>
      </c>
      <c r="M1931" s="4">
        <v>0</v>
      </c>
      <c r="N1931" s="4">
        <v>0</v>
      </c>
      <c r="O1931" s="4">
        <v>0</v>
      </c>
    </row>
    <row r="1932" spans="1:15" x14ac:dyDescent="0.15">
      <c r="A1932" s="4">
        <v>1929</v>
      </c>
      <c r="B1932" s="4">
        <v>58</v>
      </c>
      <c r="C1932" s="4">
        <v>34</v>
      </c>
      <c r="D1932" s="4">
        <v>35</v>
      </c>
      <c r="E1932" s="4">
        <v>1</v>
      </c>
      <c r="F1932" s="8">
        <v>1.2</v>
      </c>
      <c r="G1932" s="4">
        <v>3</v>
      </c>
      <c r="H1932" s="4">
        <f t="shared" si="60"/>
        <v>0</v>
      </c>
      <c r="I1932" s="4">
        <f t="shared" si="61"/>
        <v>0</v>
      </c>
      <c r="J1932" s="4">
        <v>0</v>
      </c>
      <c r="K1932" s="4">
        <v>0</v>
      </c>
      <c r="L1932" s="4">
        <v>0</v>
      </c>
      <c r="M1932" s="4">
        <v>1</v>
      </c>
      <c r="N1932" s="4">
        <v>0</v>
      </c>
      <c r="O1932" s="4">
        <v>0</v>
      </c>
    </row>
    <row r="1933" spans="1:15" x14ac:dyDescent="0.15">
      <c r="A1933" s="4">
        <v>1930</v>
      </c>
      <c r="B1933" s="4">
        <v>44</v>
      </c>
      <c r="C1933" s="4">
        <v>19</v>
      </c>
      <c r="D1933" s="4">
        <v>30</v>
      </c>
      <c r="E1933" s="4">
        <v>1</v>
      </c>
      <c r="F1933" s="8">
        <v>0.6</v>
      </c>
      <c r="G1933" s="4">
        <v>3</v>
      </c>
      <c r="H1933" s="4">
        <f t="shared" si="60"/>
        <v>0</v>
      </c>
      <c r="I1933" s="4">
        <f t="shared" si="61"/>
        <v>0</v>
      </c>
      <c r="J1933" s="4">
        <v>0</v>
      </c>
      <c r="K1933" s="4">
        <v>0</v>
      </c>
      <c r="L1933" s="4">
        <v>0</v>
      </c>
      <c r="M1933" s="4">
        <v>1</v>
      </c>
      <c r="N1933" s="4">
        <v>0</v>
      </c>
      <c r="O1933" s="4">
        <v>0</v>
      </c>
    </row>
    <row r="1934" spans="1:15" x14ac:dyDescent="0.15">
      <c r="A1934" s="4">
        <v>1931</v>
      </c>
      <c r="B1934" s="4">
        <v>56</v>
      </c>
      <c r="C1934" s="4">
        <v>29</v>
      </c>
      <c r="D1934" s="4">
        <v>51</v>
      </c>
      <c r="E1934" s="4">
        <v>3</v>
      </c>
      <c r="F1934" s="8">
        <v>1</v>
      </c>
      <c r="G1934" s="4">
        <v>2</v>
      </c>
      <c r="H1934" s="4">
        <f t="shared" si="60"/>
        <v>0</v>
      </c>
      <c r="I1934" s="4">
        <f t="shared" si="61"/>
        <v>1</v>
      </c>
      <c r="J1934" s="4">
        <v>0</v>
      </c>
      <c r="K1934" s="4">
        <v>0</v>
      </c>
      <c r="L1934" s="4">
        <v>0</v>
      </c>
      <c r="M1934" s="4">
        <v>1</v>
      </c>
      <c r="N1934" s="4">
        <v>0</v>
      </c>
      <c r="O1934" s="4">
        <v>0</v>
      </c>
    </row>
    <row r="1935" spans="1:15" x14ac:dyDescent="0.15">
      <c r="A1935" s="4">
        <v>1932</v>
      </c>
      <c r="B1935" s="4">
        <v>28</v>
      </c>
      <c r="C1935" s="4">
        <v>2</v>
      </c>
      <c r="D1935" s="4">
        <v>140</v>
      </c>
      <c r="E1935" s="4">
        <v>2</v>
      </c>
      <c r="F1935" s="8">
        <v>2</v>
      </c>
      <c r="G1935" s="4">
        <v>1</v>
      </c>
      <c r="H1935" s="4">
        <f t="shared" si="60"/>
        <v>1</v>
      </c>
      <c r="I1935" s="4">
        <f t="shared" si="61"/>
        <v>0</v>
      </c>
      <c r="J1935" s="4">
        <v>0</v>
      </c>
      <c r="K1935" s="4">
        <v>0</v>
      </c>
      <c r="L1935" s="4">
        <v>0</v>
      </c>
      <c r="M1935" s="4">
        <v>1</v>
      </c>
      <c r="N1935" s="4">
        <v>0</v>
      </c>
      <c r="O1935" s="4">
        <v>0</v>
      </c>
    </row>
    <row r="1936" spans="1:15" x14ac:dyDescent="0.15">
      <c r="A1936" s="4">
        <v>1933</v>
      </c>
      <c r="B1936" s="4">
        <v>64</v>
      </c>
      <c r="C1936" s="4">
        <v>39</v>
      </c>
      <c r="D1936" s="4">
        <v>73</v>
      </c>
      <c r="E1936" s="4">
        <v>3</v>
      </c>
      <c r="F1936" s="8">
        <v>2.4</v>
      </c>
      <c r="G1936" s="4">
        <v>1</v>
      </c>
      <c r="H1936" s="4">
        <f t="shared" si="60"/>
        <v>1</v>
      </c>
      <c r="I1936" s="4">
        <f t="shared" si="61"/>
        <v>0</v>
      </c>
      <c r="J1936" s="4">
        <v>185</v>
      </c>
      <c r="K1936" s="4">
        <v>0</v>
      </c>
      <c r="L1936" s="4">
        <v>0</v>
      </c>
      <c r="M1936" s="4">
        <v>0</v>
      </c>
      <c r="N1936" s="4">
        <v>0</v>
      </c>
      <c r="O1936" s="4">
        <v>0</v>
      </c>
    </row>
    <row r="1937" spans="1:15" x14ac:dyDescent="0.15">
      <c r="A1937" s="4">
        <v>1934</v>
      </c>
      <c r="B1937" s="4">
        <v>63</v>
      </c>
      <c r="C1937" s="4">
        <v>39</v>
      </c>
      <c r="D1937" s="4">
        <v>40</v>
      </c>
      <c r="E1937" s="4">
        <v>4</v>
      </c>
      <c r="F1937" s="8">
        <v>1.2</v>
      </c>
      <c r="G1937" s="4">
        <v>2</v>
      </c>
      <c r="H1937" s="4">
        <f t="shared" si="60"/>
        <v>0</v>
      </c>
      <c r="I1937" s="4">
        <f t="shared" si="61"/>
        <v>1</v>
      </c>
      <c r="J1937" s="4">
        <v>0</v>
      </c>
      <c r="K1937" s="4">
        <v>0</v>
      </c>
      <c r="L1937" s="4">
        <v>0</v>
      </c>
      <c r="M1937" s="4">
        <v>1</v>
      </c>
      <c r="N1937" s="4">
        <v>0</v>
      </c>
      <c r="O1937" s="4">
        <v>0</v>
      </c>
    </row>
    <row r="1938" spans="1:15" x14ac:dyDescent="0.15">
      <c r="A1938" s="4">
        <v>1935</v>
      </c>
      <c r="B1938" s="4">
        <v>44</v>
      </c>
      <c r="C1938" s="4">
        <v>20</v>
      </c>
      <c r="D1938" s="4">
        <v>69</v>
      </c>
      <c r="E1938" s="4">
        <v>1</v>
      </c>
      <c r="F1938" s="8">
        <v>0.8</v>
      </c>
      <c r="G1938" s="4">
        <v>3</v>
      </c>
      <c r="H1938" s="4">
        <f t="shared" si="60"/>
        <v>0</v>
      </c>
      <c r="I1938" s="4">
        <f t="shared" si="61"/>
        <v>0</v>
      </c>
      <c r="J1938" s="4">
        <v>0</v>
      </c>
      <c r="K1938" s="4">
        <v>0</v>
      </c>
      <c r="L1938" s="4">
        <v>0</v>
      </c>
      <c r="M1938" s="4">
        <v>1</v>
      </c>
      <c r="N1938" s="4">
        <v>1</v>
      </c>
      <c r="O1938" s="4">
        <v>0</v>
      </c>
    </row>
    <row r="1939" spans="1:15" x14ac:dyDescent="0.15">
      <c r="A1939" s="4">
        <v>1936</v>
      </c>
      <c r="B1939" s="4">
        <v>34</v>
      </c>
      <c r="C1939" s="4">
        <v>9</v>
      </c>
      <c r="D1939" s="4">
        <v>191</v>
      </c>
      <c r="E1939" s="4">
        <v>1</v>
      </c>
      <c r="F1939" s="8">
        <v>4.8</v>
      </c>
      <c r="G1939" s="4">
        <v>3</v>
      </c>
      <c r="H1939" s="4">
        <f t="shared" si="60"/>
        <v>0</v>
      </c>
      <c r="I1939" s="4">
        <f t="shared" si="61"/>
        <v>0</v>
      </c>
      <c r="J1939" s="4">
        <v>0</v>
      </c>
      <c r="K1939" s="4">
        <v>0</v>
      </c>
      <c r="L1939" s="4">
        <v>1</v>
      </c>
      <c r="M1939" s="4">
        <v>1</v>
      </c>
      <c r="N1939" s="4">
        <v>1</v>
      </c>
      <c r="O1939" s="4">
        <v>1</v>
      </c>
    </row>
    <row r="1940" spans="1:15" x14ac:dyDescent="0.15">
      <c r="A1940" s="4">
        <v>1937</v>
      </c>
      <c r="B1940" s="4">
        <v>50</v>
      </c>
      <c r="C1940" s="4">
        <v>24</v>
      </c>
      <c r="D1940" s="4">
        <v>82</v>
      </c>
      <c r="E1940" s="4">
        <v>3</v>
      </c>
      <c r="F1940" s="8">
        <v>3</v>
      </c>
      <c r="G1940" s="4">
        <v>2</v>
      </c>
      <c r="H1940" s="4">
        <f t="shared" si="60"/>
        <v>0</v>
      </c>
      <c r="I1940" s="4">
        <f t="shared" si="61"/>
        <v>1</v>
      </c>
      <c r="J1940" s="4">
        <v>0</v>
      </c>
      <c r="K1940" s="4">
        <v>0</v>
      </c>
      <c r="L1940" s="4">
        <v>0</v>
      </c>
      <c r="M1940" s="4">
        <v>1</v>
      </c>
      <c r="N1940" s="4">
        <v>0</v>
      </c>
      <c r="O1940" s="4">
        <v>0</v>
      </c>
    </row>
    <row r="1941" spans="1:15" x14ac:dyDescent="0.15">
      <c r="A1941" s="4">
        <v>1938</v>
      </c>
      <c r="B1941" s="4">
        <v>51</v>
      </c>
      <c r="C1941" s="4">
        <v>25</v>
      </c>
      <c r="D1941" s="4">
        <v>181</v>
      </c>
      <c r="E1941" s="4">
        <v>1</v>
      </c>
      <c r="F1941" s="8">
        <v>3.3</v>
      </c>
      <c r="G1941" s="4">
        <v>3</v>
      </c>
      <c r="H1941" s="4">
        <f t="shared" si="60"/>
        <v>0</v>
      </c>
      <c r="I1941" s="4">
        <f t="shared" si="61"/>
        <v>0</v>
      </c>
      <c r="J1941" s="4">
        <v>589</v>
      </c>
      <c r="K1941" s="4">
        <v>1</v>
      </c>
      <c r="L1941" s="4">
        <v>1</v>
      </c>
      <c r="M1941" s="4">
        <v>1</v>
      </c>
      <c r="N1941" s="4">
        <v>0</v>
      </c>
      <c r="O1941" s="4">
        <v>1</v>
      </c>
    </row>
    <row r="1942" spans="1:15" x14ac:dyDescent="0.15">
      <c r="A1942" s="4">
        <v>1939</v>
      </c>
      <c r="B1942" s="4">
        <v>30</v>
      </c>
      <c r="C1942" s="4">
        <v>4</v>
      </c>
      <c r="D1942" s="4">
        <v>38</v>
      </c>
      <c r="E1942" s="4">
        <v>1</v>
      </c>
      <c r="F1942" s="8">
        <v>1.9</v>
      </c>
      <c r="G1942" s="4">
        <v>3</v>
      </c>
      <c r="H1942" s="4">
        <f t="shared" si="60"/>
        <v>0</v>
      </c>
      <c r="I1942" s="4">
        <f t="shared" si="61"/>
        <v>0</v>
      </c>
      <c r="J1942" s="4">
        <v>0</v>
      </c>
      <c r="K1942" s="4">
        <v>0</v>
      </c>
      <c r="L1942" s="4">
        <v>0</v>
      </c>
      <c r="M1942" s="4">
        <v>1</v>
      </c>
      <c r="N1942" s="4">
        <v>0</v>
      </c>
      <c r="O1942" s="4">
        <v>0</v>
      </c>
    </row>
    <row r="1943" spans="1:15" x14ac:dyDescent="0.15">
      <c r="A1943" s="4">
        <v>1940</v>
      </c>
      <c r="B1943" s="4">
        <v>55</v>
      </c>
      <c r="C1943" s="4">
        <v>31</v>
      </c>
      <c r="D1943" s="4">
        <v>23</v>
      </c>
      <c r="E1943" s="4">
        <v>2</v>
      </c>
      <c r="F1943" s="8">
        <v>0.2</v>
      </c>
      <c r="G1943" s="4">
        <v>1</v>
      </c>
      <c r="H1943" s="4">
        <f t="shared" si="60"/>
        <v>1</v>
      </c>
      <c r="I1943" s="4">
        <f t="shared" si="61"/>
        <v>0</v>
      </c>
      <c r="J1943" s="4">
        <v>0</v>
      </c>
      <c r="K1943" s="4">
        <v>0</v>
      </c>
      <c r="L1943" s="4">
        <v>0</v>
      </c>
      <c r="M1943" s="4">
        <v>1</v>
      </c>
      <c r="N1943" s="4">
        <v>0</v>
      </c>
      <c r="O1943" s="4">
        <v>0</v>
      </c>
    </row>
    <row r="1944" spans="1:15" x14ac:dyDescent="0.15">
      <c r="A1944" s="4">
        <v>1941</v>
      </c>
      <c r="B1944" s="4">
        <v>57</v>
      </c>
      <c r="C1944" s="4">
        <v>33</v>
      </c>
      <c r="D1944" s="4">
        <v>55</v>
      </c>
      <c r="E1944" s="4">
        <v>1</v>
      </c>
      <c r="F1944" s="8">
        <v>1.8</v>
      </c>
      <c r="G1944" s="4">
        <v>3</v>
      </c>
      <c r="H1944" s="4">
        <f t="shared" si="60"/>
        <v>0</v>
      </c>
      <c r="I1944" s="4">
        <f t="shared" si="61"/>
        <v>0</v>
      </c>
      <c r="J1944" s="4">
        <v>0</v>
      </c>
      <c r="K1944" s="4">
        <v>0</v>
      </c>
      <c r="L1944" s="4">
        <v>0</v>
      </c>
      <c r="M1944" s="4">
        <v>1</v>
      </c>
      <c r="N1944" s="4">
        <v>0</v>
      </c>
      <c r="O1944" s="4">
        <v>0</v>
      </c>
    </row>
    <row r="1945" spans="1:15" x14ac:dyDescent="0.15">
      <c r="A1945" s="4">
        <v>1942</v>
      </c>
      <c r="B1945" s="4">
        <v>43</v>
      </c>
      <c r="C1945" s="4">
        <v>19</v>
      </c>
      <c r="D1945" s="4">
        <v>58</v>
      </c>
      <c r="E1945" s="4">
        <v>2</v>
      </c>
      <c r="F1945" s="8">
        <v>3.2</v>
      </c>
      <c r="G1945" s="4">
        <v>1</v>
      </c>
      <c r="H1945" s="4">
        <f t="shared" si="60"/>
        <v>1</v>
      </c>
      <c r="I1945" s="4">
        <f t="shared" si="61"/>
        <v>0</v>
      </c>
      <c r="J1945" s="4">
        <v>0</v>
      </c>
      <c r="K1945" s="4">
        <v>0</v>
      </c>
      <c r="L1945" s="4">
        <v>0</v>
      </c>
      <c r="M1945" s="4">
        <v>1</v>
      </c>
      <c r="N1945" s="4">
        <v>0</v>
      </c>
      <c r="O1945" s="4">
        <v>0</v>
      </c>
    </row>
    <row r="1946" spans="1:15" x14ac:dyDescent="0.15">
      <c r="A1946" s="4">
        <v>1943</v>
      </c>
      <c r="B1946" s="4">
        <v>61</v>
      </c>
      <c r="C1946" s="4">
        <v>36</v>
      </c>
      <c r="D1946" s="4">
        <v>29</v>
      </c>
      <c r="E1946" s="4">
        <v>2</v>
      </c>
      <c r="F1946" s="8">
        <v>0.5</v>
      </c>
      <c r="G1946" s="4">
        <v>2</v>
      </c>
      <c r="H1946" s="4">
        <f t="shared" si="60"/>
        <v>0</v>
      </c>
      <c r="I1946" s="4">
        <f t="shared" si="61"/>
        <v>1</v>
      </c>
      <c r="J1946" s="4">
        <v>0</v>
      </c>
      <c r="K1946" s="4">
        <v>0</v>
      </c>
      <c r="L1946" s="4">
        <v>0</v>
      </c>
      <c r="M1946" s="4">
        <v>1</v>
      </c>
      <c r="N1946" s="4">
        <v>0</v>
      </c>
      <c r="O1946" s="4">
        <v>0</v>
      </c>
    </row>
    <row r="1947" spans="1:15" x14ac:dyDescent="0.15">
      <c r="A1947" s="4">
        <v>1944</v>
      </c>
      <c r="B1947" s="4">
        <v>49</v>
      </c>
      <c r="C1947" s="4">
        <v>23</v>
      </c>
      <c r="D1947" s="4">
        <v>39</v>
      </c>
      <c r="E1947" s="4">
        <v>4</v>
      </c>
      <c r="F1947" s="8">
        <v>2.6</v>
      </c>
      <c r="G1947" s="4">
        <v>1</v>
      </c>
      <c r="H1947" s="4">
        <f t="shared" si="60"/>
        <v>1</v>
      </c>
      <c r="I1947" s="4">
        <f t="shared" si="61"/>
        <v>0</v>
      </c>
      <c r="J1947" s="4">
        <v>0</v>
      </c>
      <c r="K1947" s="4">
        <v>0</v>
      </c>
      <c r="L1947" s="4">
        <v>0</v>
      </c>
      <c r="M1947" s="4">
        <v>0</v>
      </c>
      <c r="N1947" s="4">
        <v>0</v>
      </c>
      <c r="O1947" s="4">
        <v>0</v>
      </c>
    </row>
    <row r="1948" spans="1:15" x14ac:dyDescent="0.15">
      <c r="A1948" s="4">
        <v>1945</v>
      </c>
      <c r="B1948" s="4">
        <v>52</v>
      </c>
      <c r="C1948" s="4">
        <v>28</v>
      </c>
      <c r="D1948" s="4">
        <v>39</v>
      </c>
      <c r="E1948" s="4">
        <v>3</v>
      </c>
      <c r="F1948" s="8">
        <v>1.9</v>
      </c>
      <c r="G1948" s="4">
        <v>2</v>
      </c>
      <c r="H1948" s="4">
        <f t="shared" si="60"/>
        <v>0</v>
      </c>
      <c r="I1948" s="4">
        <f t="shared" si="61"/>
        <v>1</v>
      </c>
      <c r="J1948" s="4">
        <v>83</v>
      </c>
      <c r="K1948" s="4">
        <v>0</v>
      </c>
      <c r="L1948" s="4">
        <v>1</v>
      </c>
      <c r="M1948" s="4">
        <v>1</v>
      </c>
      <c r="N1948" s="4">
        <v>1</v>
      </c>
      <c r="O1948" s="4">
        <v>0</v>
      </c>
    </row>
    <row r="1949" spans="1:15" x14ac:dyDescent="0.15">
      <c r="A1949" s="4">
        <v>1946</v>
      </c>
      <c r="B1949" s="4">
        <v>57</v>
      </c>
      <c r="C1949" s="4">
        <v>33</v>
      </c>
      <c r="D1949" s="4">
        <v>30</v>
      </c>
      <c r="E1949" s="4">
        <v>3</v>
      </c>
      <c r="F1949" s="8">
        <v>1.5</v>
      </c>
      <c r="G1949" s="4">
        <v>1</v>
      </c>
      <c r="H1949" s="4">
        <f t="shared" si="60"/>
        <v>1</v>
      </c>
      <c r="I1949" s="4">
        <f t="shared" si="61"/>
        <v>0</v>
      </c>
      <c r="J1949" s="4">
        <v>151</v>
      </c>
      <c r="K1949" s="4">
        <v>1</v>
      </c>
      <c r="L1949" s="4">
        <v>0</v>
      </c>
      <c r="M1949" s="4">
        <v>1</v>
      </c>
      <c r="N1949" s="4">
        <v>0</v>
      </c>
      <c r="O1949" s="4">
        <v>0</v>
      </c>
    </row>
    <row r="1950" spans="1:15" x14ac:dyDescent="0.15">
      <c r="A1950" s="4">
        <v>1947</v>
      </c>
      <c r="B1950" s="4">
        <v>53</v>
      </c>
      <c r="C1950" s="4">
        <v>23</v>
      </c>
      <c r="D1950" s="4">
        <v>58</v>
      </c>
      <c r="E1950" s="4">
        <v>4</v>
      </c>
      <c r="F1950" s="8">
        <v>2</v>
      </c>
      <c r="G1950" s="4">
        <v>3</v>
      </c>
      <c r="H1950" s="4">
        <f t="shared" si="60"/>
        <v>0</v>
      </c>
      <c r="I1950" s="4">
        <f t="shared" si="61"/>
        <v>0</v>
      </c>
      <c r="J1950" s="4">
        <v>0</v>
      </c>
      <c r="K1950" s="4">
        <v>0</v>
      </c>
      <c r="L1950" s="4">
        <v>0</v>
      </c>
      <c r="M1950" s="4">
        <v>1</v>
      </c>
      <c r="N1950" s="4">
        <v>1</v>
      </c>
      <c r="O1950" s="4">
        <v>0</v>
      </c>
    </row>
    <row r="1951" spans="1:15" x14ac:dyDescent="0.15">
      <c r="A1951" s="4">
        <v>1948</v>
      </c>
      <c r="B1951" s="4">
        <v>52</v>
      </c>
      <c r="C1951" s="4">
        <v>28</v>
      </c>
      <c r="D1951" s="4">
        <v>62</v>
      </c>
      <c r="E1951" s="4">
        <v>1</v>
      </c>
      <c r="F1951" s="8">
        <v>1.8</v>
      </c>
      <c r="G1951" s="4">
        <v>3</v>
      </c>
      <c r="H1951" s="4">
        <f t="shared" si="60"/>
        <v>0</v>
      </c>
      <c r="I1951" s="4">
        <f t="shared" si="61"/>
        <v>0</v>
      </c>
      <c r="J1951" s="4">
        <v>231</v>
      </c>
      <c r="K1951" s="4">
        <v>0</v>
      </c>
      <c r="L1951" s="4">
        <v>0</v>
      </c>
      <c r="M1951" s="4">
        <v>1</v>
      </c>
      <c r="N1951" s="4">
        <v>0</v>
      </c>
      <c r="O1951" s="4">
        <v>0</v>
      </c>
    </row>
    <row r="1952" spans="1:15" x14ac:dyDescent="0.15">
      <c r="A1952" s="4">
        <v>1949</v>
      </c>
      <c r="B1952" s="4">
        <v>39</v>
      </c>
      <c r="C1952" s="4">
        <v>15</v>
      </c>
      <c r="D1952" s="4">
        <v>62</v>
      </c>
      <c r="E1952" s="4">
        <v>4</v>
      </c>
      <c r="F1952" s="8">
        <v>2.4</v>
      </c>
      <c r="G1952" s="4">
        <v>1</v>
      </c>
      <c r="H1952" s="4">
        <f t="shared" si="60"/>
        <v>1</v>
      </c>
      <c r="I1952" s="4">
        <f t="shared" si="61"/>
        <v>0</v>
      </c>
      <c r="J1952" s="4">
        <v>86</v>
      </c>
      <c r="K1952" s="4">
        <v>0</v>
      </c>
      <c r="L1952" s="4">
        <v>0</v>
      </c>
      <c r="M1952" s="4">
        <v>0</v>
      </c>
      <c r="N1952" s="4">
        <v>0</v>
      </c>
      <c r="O1952" s="4">
        <v>0</v>
      </c>
    </row>
    <row r="1953" spans="1:15" x14ac:dyDescent="0.15">
      <c r="A1953" s="4">
        <v>1950</v>
      </c>
      <c r="B1953" s="4">
        <v>58</v>
      </c>
      <c r="C1953" s="4">
        <v>34</v>
      </c>
      <c r="D1953" s="4">
        <v>19</v>
      </c>
      <c r="E1953" s="4">
        <v>1</v>
      </c>
      <c r="F1953" s="8">
        <v>1.2</v>
      </c>
      <c r="G1953" s="4">
        <v>3</v>
      </c>
      <c r="H1953" s="4">
        <f t="shared" si="60"/>
        <v>0</v>
      </c>
      <c r="I1953" s="4">
        <f t="shared" si="61"/>
        <v>0</v>
      </c>
      <c r="J1953" s="4">
        <v>0</v>
      </c>
      <c r="K1953" s="4">
        <v>0</v>
      </c>
      <c r="L1953" s="4">
        <v>0</v>
      </c>
      <c r="M1953" s="4">
        <v>0</v>
      </c>
      <c r="N1953" s="4">
        <v>0</v>
      </c>
      <c r="O1953" s="4">
        <v>0</v>
      </c>
    </row>
    <row r="1954" spans="1:15" x14ac:dyDescent="0.15">
      <c r="A1954" s="4">
        <v>1951</v>
      </c>
      <c r="B1954" s="4">
        <v>36</v>
      </c>
      <c r="C1954" s="4">
        <v>12</v>
      </c>
      <c r="D1954" s="4">
        <v>38</v>
      </c>
      <c r="E1954" s="4">
        <v>1</v>
      </c>
      <c r="F1954" s="8">
        <v>1.5</v>
      </c>
      <c r="G1954" s="4">
        <v>2</v>
      </c>
      <c r="H1954" s="4">
        <f t="shared" si="60"/>
        <v>0</v>
      </c>
      <c r="I1954" s="4">
        <f t="shared" si="61"/>
        <v>1</v>
      </c>
      <c r="J1954" s="4">
        <v>0</v>
      </c>
      <c r="K1954" s="4">
        <v>0</v>
      </c>
      <c r="L1954" s="4">
        <v>0</v>
      </c>
      <c r="M1954" s="4">
        <v>0</v>
      </c>
      <c r="N1954" s="4">
        <v>0</v>
      </c>
      <c r="O1954" s="4">
        <v>0</v>
      </c>
    </row>
    <row r="1955" spans="1:15" x14ac:dyDescent="0.15">
      <c r="A1955" s="4">
        <v>1952</v>
      </c>
      <c r="B1955" s="4">
        <v>45</v>
      </c>
      <c r="C1955" s="4">
        <v>21</v>
      </c>
      <c r="D1955" s="4">
        <v>84</v>
      </c>
      <c r="E1955" s="4">
        <v>4</v>
      </c>
      <c r="F1955" s="8">
        <v>2</v>
      </c>
      <c r="G1955" s="4">
        <v>3</v>
      </c>
      <c r="H1955" s="4">
        <f t="shared" si="60"/>
        <v>0</v>
      </c>
      <c r="I1955" s="4">
        <f t="shared" si="61"/>
        <v>0</v>
      </c>
      <c r="J1955" s="4">
        <v>0</v>
      </c>
      <c r="K1955" s="4">
        <v>0</v>
      </c>
      <c r="L1955" s="4">
        <v>0</v>
      </c>
      <c r="M1955" s="4">
        <v>1</v>
      </c>
      <c r="N1955" s="4">
        <v>1</v>
      </c>
      <c r="O1955" s="4">
        <v>0</v>
      </c>
    </row>
    <row r="1956" spans="1:15" x14ac:dyDescent="0.15">
      <c r="A1956" s="4">
        <v>1953</v>
      </c>
      <c r="B1956" s="4">
        <v>30</v>
      </c>
      <c r="C1956" s="4">
        <v>5</v>
      </c>
      <c r="D1956" s="4">
        <v>78</v>
      </c>
      <c r="E1956" s="4">
        <v>1</v>
      </c>
      <c r="F1956" s="8">
        <v>2.6</v>
      </c>
      <c r="G1956" s="4">
        <v>2</v>
      </c>
      <c r="H1956" s="4">
        <f t="shared" si="60"/>
        <v>0</v>
      </c>
      <c r="I1956" s="4">
        <f t="shared" si="61"/>
        <v>1</v>
      </c>
      <c r="J1956" s="4">
        <v>0</v>
      </c>
      <c r="K1956" s="4">
        <v>0</v>
      </c>
      <c r="L1956" s="4">
        <v>0</v>
      </c>
      <c r="M1956" s="4">
        <v>1</v>
      </c>
      <c r="N1956" s="4">
        <v>0</v>
      </c>
      <c r="O1956" s="4">
        <v>0</v>
      </c>
    </row>
    <row r="1957" spans="1:15" x14ac:dyDescent="0.15">
      <c r="A1957" s="4">
        <v>1954</v>
      </c>
      <c r="B1957" s="4">
        <v>49</v>
      </c>
      <c r="C1957" s="4">
        <v>25</v>
      </c>
      <c r="D1957" s="4">
        <v>22</v>
      </c>
      <c r="E1957" s="4">
        <v>4</v>
      </c>
      <c r="F1957" s="8">
        <v>0.2</v>
      </c>
      <c r="G1957" s="4">
        <v>1</v>
      </c>
      <c r="H1957" s="4">
        <f t="shared" si="60"/>
        <v>1</v>
      </c>
      <c r="I1957" s="4">
        <f t="shared" si="61"/>
        <v>0</v>
      </c>
      <c r="J1957" s="4">
        <v>83</v>
      </c>
      <c r="K1957" s="4">
        <v>0</v>
      </c>
      <c r="L1957" s="4">
        <v>0</v>
      </c>
      <c r="M1957" s="4">
        <v>1</v>
      </c>
      <c r="N1957" s="4">
        <v>0</v>
      </c>
      <c r="O1957" s="4">
        <v>0</v>
      </c>
    </row>
    <row r="1958" spans="1:15" x14ac:dyDescent="0.15">
      <c r="A1958" s="4">
        <v>1955</v>
      </c>
      <c r="B1958" s="4">
        <v>44</v>
      </c>
      <c r="C1958" s="4">
        <v>20</v>
      </c>
      <c r="D1958" s="4">
        <v>81</v>
      </c>
      <c r="E1958" s="4">
        <v>4</v>
      </c>
      <c r="F1958" s="8">
        <v>2</v>
      </c>
      <c r="G1958" s="4">
        <v>3</v>
      </c>
      <c r="H1958" s="4">
        <f t="shared" si="60"/>
        <v>0</v>
      </c>
      <c r="I1958" s="4">
        <f t="shared" si="61"/>
        <v>0</v>
      </c>
      <c r="J1958" s="4">
        <v>277</v>
      </c>
      <c r="K1958" s="4">
        <v>0</v>
      </c>
      <c r="L1958" s="4">
        <v>0</v>
      </c>
      <c r="M1958" s="4">
        <v>1</v>
      </c>
      <c r="N1958" s="4">
        <v>0</v>
      </c>
      <c r="O1958" s="4">
        <v>0</v>
      </c>
    </row>
    <row r="1959" spans="1:15" x14ac:dyDescent="0.15">
      <c r="A1959" s="4">
        <v>1956</v>
      </c>
      <c r="B1959" s="4">
        <v>43</v>
      </c>
      <c r="C1959" s="4">
        <v>17</v>
      </c>
      <c r="D1959" s="4">
        <v>32</v>
      </c>
      <c r="E1959" s="4">
        <v>3</v>
      </c>
      <c r="F1959" s="8">
        <v>0.5</v>
      </c>
      <c r="G1959" s="4">
        <v>2</v>
      </c>
      <c r="H1959" s="4">
        <f t="shared" si="60"/>
        <v>0</v>
      </c>
      <c r="I1959" s="4">
        <f t="shared" si="61"/>
        <v>1</v>
      </c>
      <c r="J1959" s="4">
        <v>0</v>
      </c>
      <c r="K1959" s="4">
        <v>0</v>
      </c>
      <c r="L1959" s="4">
        <v>0</v>
      </c>
      <c r="M1959" s="4">
        <v>1</v>
      </c>
      <c r="N1959" s="4">
        <v>0</v>
      </c>
      <c r="O1959" s="4">
        <v>0</v>
      </c>
    </row>
    <row r="1960" spans="1:15" x14ac:dyDescent="0.15">
      <c r="A1960" s="4">
        <v>1957</v>
      </c>
      <c r="B1960" s="4">
        <v>42</v>
      </c>
      <c r="C1960" s="4">
        <v>18</v>
      </c>
      <c r="D1960" s="4">
        <v>89</v>
      </c>
      <c r="E1960" s="4">
        <v>4</v>
      </c>
      <c r="F1960" s="8">
        <v>0.8</v>
      </c>
      <c r="G1960" s="4">
        <v>1</v>
      </c>
      <c r="H1960" s="4">
        <f t="shared" si="60"/>
        <v>1</v>
      </c>
      <c r="I1960" s="4">
        <f t="shared" si="61"/>
        <v>0</v>
      </c>
      <c r="J1960" s="4">
        <v>184</v>
      </c>
      <c r="K1960" s="4">
        <v>0</v>
      </c>
      <c r="L1960" s="4">
        <v>0</v>
      </c>
      <c r="M1960" s="4">
        <v>0</v>
      </c>
      <c r="N1960" s="4">
        <v>0</v>
      </c>
      <c r="O1960" s="4">
        <v>0</v>
      </c>
    </row>
    <row r="1961" spans="1:15" x14ac:dyDescent="0.15">
      <c r="A1961" s="4">
        <v>1958</v>
      </c>
      <c r="B1961" s="4">
        <v>29</v>
      </c>
      <c r="C1961" s="4">
        <v>4</v>
      </c>
      <c r="D1961" s="4">
        <v>121</v>
      </c>
      <c r="E1961" s="4">
        <v>2</v>
      </c>
      <c r="F1961" s="8">
        <v>3.3</v>
      </c>
      <c r="G1961" s="4">
        <v>1</v>
      </c>
      <c r="H1961" s="4">
        <f t="shared" si="60"/>
        <v>1</v>
      </c>
      <c r="I1961" s="4">
        <f t="shared" si="61"/>
        <v>0</v>
      </c>
      <c r="J1961" s="4">
        <v>0</v>
      </c>
      <c r="K1961" s="4">
        <v>0</v>
      </c>
      <c r="L1961" s="4">
        <v>0</v>
      </c>
      <c r="M1961" s="4">
        <v>1</v>
      </c>
      <c r="N1961" s="4">
        <v>0</v>
      </c>
      <c r="O1961" s="4">
        <v>0</v>
      </c>
    </row>
    <row r="1962" spans="1:15" x14ac:dyDescent="0.15">
      <c r="A1962" s="4">
        <v>1959</v>
      </c>
      <c r="B1962" s="4">
        <v>28</v>
      </c>
      <c r="C1962" s="4">
        <v>2</v>
      </c>
      <c r="D1962" s="4">
        <v>42</v>
      </c>
      <c r="E1962" s="4">
        <v>1</v>
      </c>
      <c r="F1962" s="8">
        <v>1.5</v>
      </c>
      <c r="G1962" s="4">
        <v>1</v>
      </c>
      <c r="H1962" s="4">
        <f t="shared" si="60"/>
        <v>1</v>
      </c>
      <c r="I1962" s="4">
        <f t="shared" si="61"/>
        <v>0</v>
      </c>
      <c r="J1962" s="4">
        <v>0</v>
      </c>
      <c r="K1962" s="4">
        <v>0</v>
      </c>
      <c r="L1962" s="4">
        <v>0</v>
      </c>
      <c r="M1962" s="4">
        <v>1</v>
      </c>
      <c r="N1962" s="4">
        <v>1</v>
      </c>
      <c r="O1962" s="4">
        <v>0</v>
      </c>
    </row>
    <row r="1963" spans="1:15" x14ac:dyDescent="0.15">
      <c r="A1963" s="4">
        <v>1960</v>
      </c>
      <c r="B1963" s="4">
        <v>50</v>
      </c>
      <c r="C1963" s="4">
        <v>24</v>
      </c>
      <c r="D1963" s="4">
        <v>130</v>
      </c>
      <c r="E1963" s="4">
        <v>1</v>
      </c>
      <c r="F1963" s="8">
        <v>1</v>
      </c>
      <c r="G1963" s="4">
        <v>1</v>
      </c>
      <c r="H1963" s="4">
        <f t="shared" si="60"/>
        <v>1</v>
      </c>
      <c r="I1963" s="4">
        <f t="shared" si="61"/>
        <v>0</v>
      </c>
      <c r="J1963" s="4">
        <v>0</v>
      </c>
      <c r="K1963" s="4">
        <v>0</v>
      </c>
      <c r="L1963" s="4">
        <v>0</v>
      </c>
      <c r="M1963" s="4">
        <v>0</v>
      </c>
      <c r="N1963" s="4">
        <v>0</v>
      </c>
      <c r="O1963" s="4">
        <v>0</v>
      </c>
    </row>
    <row r="1964" spans="1:15" x14ac:dyDescent="0.15">
      <c r="A1964" s="4">
        <v>1961</v>
      </c>
      <c r="B1964" s="4">
        <v>44</v>
      </c>
      <c r="C1964" s="4">
        <v>19</v>
      </c>
      <c r="D1964" s="4">
        <v>30</v>
      </c>
      <c r="E1964" s="4">
        <v>4</v>
      </c>
      <c r="F1964" s="8">
        <v>0</v>
      </c>
      <c r="G1964" s="4">
        <v>2</v>
      </c>
      <c r="H1964" s="4">
        <f t="shared" si="60"/>
        <v>0</v>
      </c>
      <c r="I1964" s="4">
        <f t="shared" si="61"/>
        <v>1</v>
      </c>
      <c r="J1964" s="4">
        <v>0</v>
      </c>
      <c r="K1964" s="4">
        <v>0</v>
      </c>
      <c r="L1964" s="4">
        <v>0</v>
      </c>
      <c r="M1964" s="4">
        <v>1</v>
      </c>
      <c r="N1964" s="4">
        <v>0</v>
      </c>
      <c r="O1964" s="4">
        <v>0</v>
      </c>
    </row>
    <row r="1965" spans="1:15" x14ac:dyDescent="0.15">
      <c r="A1965" s="4">
        <v>1962</v>
      </c>
      <c r="B1965" s="4">
        <v>52</v>
      </c>
      <c r="C1965" s="4">
        <v>26</v>
      </c>
      <c r="D1965" s="4">
        <v>114</v>
      </c>
      <c r="E1965" s="4">
        <v>1</v>
      </c>
      <c r="F1965" s="8">
        <v>4.9000000000000004</v>
      </c>
      <c r="G1965" s="4">
        <v>1</v>
      </c>
      <c r="H1965" s="4">
        <f t="shared" si="60"/>
        <v>1</v>
      </c>
      <c r="I1965" s="4">
        <f t="shared" si="61"/>
        <v>0</v>
      </c>
      <c r="J1965" s="4">
        <v>0</v>
      </c>
      <c r="K1965" s="4">
        <v>0</v>
      </c>
      <c r="L1965" s="4">
        <v>0</v>
      </c>
      <c r="M1965" s="4">
        <v>0</v>
      </c>
      <c r="N1965" s="4">
        <v>0</v>
      </c>
      <c r="O1965" s="4">
        <v>0</v>
      </c>
    </row>
    <row r="1966" spans="1:15" x14ac:dyDescent="0.15">
      <c r="A1966" s="4">
        <v>1963</v>
      </c>
      <c r="B1966" s="4">
        <v>28</v>
      </c>
      <c r="C1966" s="4">
        <v>4</v>
      </c>
      <c r="D1966" s="4">
        <v>155</v>
      </c>
      <c r="E1966" s="4">
        <v>1</v>
      </c>
      <c r="F1966" s="8">
        <v>6.333333333333333</v>
      </c>
      <c r="G1966" s="4">
        <v>1</v>
      </c>
      <c r="H1966" s="4">
        <f t="shared" si="60"/>
        <v>1</v>
      </c>
      <c r="I1966" s="4">
        <f t="shared" si="61"/>
        <v>0</v>
      </c>
      <c r="J1966" s="4">
        <v>0</v>
      </c>
      <c r="K1966" s="4">
        <v>0</v>
      </c>
      <c r="L1966" s="4">
        <v>0</v>
      </c>
      <c r="M1966" s="4">
        <v>0</v>
      </c>
      <c r="N1966" s="4">
        <v>0</v>
      </c>
      <c r="O1966" s="4">
        <v>0</v>
      </c>
    </row>
    <row r="1967" spans="1:15" x14ac:dyDescent="0.15">
      <c r="A1967" s="4">
        <v>1964</v>
      </c>
      <c r="B1967" s="4">
        <v>62</v>
      </c>
      <c r="C1967" s="4">
        <v>38</v>
      </c>
      <c r="D1967" s="4">
        <v>50</v>
      </c>
      <c r="E1967" s="4">
        <v>2</v>
      </c>
      <c r="F1967" s="8">
        <v>1.1000000000000001</v>
      </c>
      <c r="G1967" s="4">
        <v>1</v>
      </c>
      <c r="H1967" s="4">
        <f t="shared" si="60"/>
        <v>1</v>
      </c>
      <c r="I1967" s="4">
        <f t="shared" si="61"/>
        <v>0</v>
      </c>
      <c r="J1967" s="4">
        <v>0</v>
      </c>
      <c r="K1967" s="4">
        <v>0</v>
      </c>
      <c r="L1967" s="4">
        <v>0</v>
      </c>
      <c r="M1967" s="4">
        <v>0</v>
      </c>
      <c r="N1967" s="4">
        <v>1</v>
      </c>
      <c r="O1967" s="4">
        <v>0</v>
      </c>
    </row>
    <row r="1968" spans="1:15" x14ac:dyDescent="0.15">
      <c r="A1968" s="4">
        <v>1965</v>
      </c>
      <c r="B1968" s="4">
        <v>34</v>
      </c>
      <c r="C1968" s="4">
        <v>10</v>
      </c>
      <c r="D1968" s="4">
        <v>34</v>
      </c>
      <c r="E1968" s="4">
        <v>1</v>
      </c>
      <c r="F1968" s="8">
        <v>1.5</v>
      </c>
      <c r="G1968" s="4">
        <v>2</v>
      </c>
      <c r="H1968" s="4">
        <f t="shared" si="60"/>
        <v>0</v>
      </c>
      <c r="I1968" s="4">
        <f t="shared" si="61"/>
        <v>1</v>
      </c>
      <c r="J1968" s="4">
        <v>111</v>
      </c>
      <c r="K1968" s="4">
        <v>0</v>
      </c>
      <c r="L1968" s="4">
        <v>0</v>
      </c>
      <c r="M1968" s="4">
        <v>0</v>
      </c>
      <c r="N1968" s="4">
        <v>1</v>
      </c>
      <c r="O1968" s="4">
        <v>0</v>
      </c>
    </row>
    <row r="1969" spans="1:15" x14ac:dyDescent="0.15">
      <c r="A1969" s="4">
        <v>1966</v>
      </c>
      <c r="B1969" s="4">
        <v>45</v>
      </c>
      <c r="C1969" s="4">
        <v>20</v>
      </c>
      <c r="D1969" s="4">
        <v>94</v>
      </c>
      <c r="E1969" s="4">
        <v>3</v>
      </c>
      <c r="F1969" s="8">
        <v>0.5</v>
      </c>
      <c r="G1969" s="4">
        <v>3</v>
      </c>
      <c r="H1969" s="4">
        <f t="shared" si="60"/>
        <v>0</v>
      </c>
      <c r="I1969" s="4">
        <f t="shared" si="61"/>
        <v>0</v>
      </c>
      <c r="J1969" s="4">
        <v>0</v>
      </c>
      <c r="K1969" s="4">
        <v>0</v>
      </c>
      <c r="L1969" s="4">
        <v>0</v>
      </c>
      <c r="M1969" s="4">
        <v>1</v>
      </c>
      <c r="N1969" s="4">
        <v>0</v>
      </c>
      <c r="O1969" s="4">
        <v>0</v>
      </c>
    </row>
    <row r="1970" spans="1:15" x14ac:dyDescent="0.15">
      <c r="A1970" s="4">
        <v>1967</v>
      </c>
      <c r="B1970" s="4">
        <v>52</v>
      </c>
      <c r="C1970" s="4">
        <v>26</v>
      </c>
      <c r="D1970" s="4">
        <v>114</v>
      </c>
      <c r="E1970" s="4">
        <v>2</v>
      </c>
      <c r="F1970" s="8">
        <v>2.4</v>
      </c>
      <c r="G1970" s="4">
        <v>2</v>
      </c>
      <c r="H1970" s="4">
        <f t="shared" si="60"/>
        <v>0</v>
      </c>
      <c r="I1970" s="4">
        <f t="shared" si="61"/>
        <v>1</v>
      </c>
      <c r="J1970" s="4">
        <v>0</v>
      </c>
      <c r="K1970" s="4">
        <v>0</v>
      </c>
      <c r="L1970" s="4">
        <v>0</v>
      </c>
      <c r="M1970" s="4">
        <v>0</v>
      </c>
      <c r="N1970" s="4">
        <v>0</v>
      </c>
      <c r="O1970" s="4">
        <v>0</v>
      </c>
    </row>
    <row r="1971" spans="1:15" x14ac:dyDescent="0.15">
      <c r="A1971" s="4">
        <v>1968</v>
      </c>
      <c r="B1971" s="4">
        <v>43</v>
      </c>
      <c r="C1971" s="4">
        <v>18</v>
      </c>
      <c r="D1971" s="4">
        <v>89</v>
      </c>
      <c r="E1971" s="4">
        <v>3</v>
      </c>
      <c r="F1971" s="8">
        <v>0.5</v>
      </c>
      <c r="G1971" s="4">
        <v>3</v>
      </c>
      <c r="H1971" s="4">
        <f t="shared" si="60"/>
        <v>0</v>
      </c>
      <c r="I1971" s="4">
        <f t="shared" si="61"/>
        <v>0</v>
      </c>
      <c r="J1971" s="4">
        <v>108</v>
      </c>
      <c r="K1971" s="4">
        <v>0</v>
      </c>
      <c r="L1971" s="4">
        <v>0</v>
      </c>
      <c r="M1971" s="4">
        <v>0</v>
      </c>
      <c r="N1971" s="4">
        <v>1</v>
      </c>
      <c r="O1971" s="4">
        <v>0</v>
      </c>
    </row>
    <row r="1972" spans="1:15" x14ac:dyDescent="0.15">
      <c r="A1972" s="4">
        <v>1969</v>
      </c>
      <c r="B1972" s="4">
        <v>54</v>
      </c>
      <c r="C1972" s="4">
        <v>24</v>
      </c>
      <c r="D1972" s="4">
        <v>49</v>
      </c>
      <c r="E1972" s="4">
        <v>1</v>
      </c>
      <c r="F1972" s="8">
        <v>1.4</v>
      </c>
      <c r="G1972" s="4">
        <v>3</v>
      </c>
      <c r="H1972" s="4">
        <f t="shared" si="60"/>
        <v>0</v>
      </c>
      <c r="I1972" s="4">
        <f t="shared" si="61"/>
        <v>0</v>
      </c>
      <c r="J1972" s="4">
        <v>0</v>
      </c>
      <c r="K1972" s="4">
        <v>0</v>
      </c>
      <c r="L1972" s="4">
        <v>0</v>
      </c>
      <c r="M1972" s="4">
        <v>1</v>
      </c>
      <c r="N1972" s="4">
        <v>0</v>
      </c>
      <c r="O1972" s="4">
        <v>0</v>
      </c>
    </row>
    <row r="1973" spans="1:15" x14ac:dyDescent="0.15">
      <c r="A1973" s="4">
        <v>1970</v>
      </c>
      <c r="B1973" s="4">
        <v>64</v>
      </c>
      <c r="C1973" s="4">
        <v>38</v>
      </c>
      <c r="D1973" s="4">
        <v>115</v>
      </c>
      <c r="E1973" s="4">
        <v>1</v>
      </c>
      <c r="F1973" s="8">
        <v>2</v>
      </c>
      <c r="G1973" s="4">
        <v>1</v>
      </c>
      <c r="H1973" s="4">
        <f t="shared" si="60"/>
        <v>1</v>
      </c>
      <c r="I1973" s="4">
        <f t="shared" si="61"/>
        <v>0</v>
      </c>
      <c r="J1973" s="4">
        <v>0</v>
      </c>
      <c r="K1973" s="4">
        <v>0</v>
      </c>
      <c r="L1973" s="4">
        <v>0</v>
      </c>
      <c r="M1973" s="4">
        <v>1</v>
      </c>
      <c r="N1973" s="4">
        <v>1</v>
      </c>
      <c r="O1973" s="4">
        <v>0</v>
      </c>
    </row>
    <row r="1974" spans="1:15" x14ac:dyDescent="0.15">
      <c r="A1974" s="4">
        <v>1971</v>
      </c>
      <c r="B1974" s="4">
        <v>27</v>
      </c>
      <c r="C1974" s="4">
        <v>3</v>
      </c>
      <c r="D1974" s="4">
        <v>148</v>
      </c>
      <c r="E1974" s="4">
        <v>1</v>
      </c>
      <c r="F1974" s="8">
        <v>1.5</v>
      </c>
      <c r="G1974" s="4">
        <v>1</v>
      </c>
      <c r="H1974" s="4">
        <f t="shared" si="60"/>
        <v>1</v>
      </c>
      <c r="I1974" s="4">
        <f t="shared" si="61"/>
        <v>0</v>
      </c>
      <c r="J1974" s="4">
        <v>397</v>
      </c>
      <c r="K1974" s="4">
        <v>0</v>
      </c>
      <c r="L1974" s="4">
        <v>0</v>
      </c>
      <c r="M1974" s="4">
        <v>1</v>
      </c>
      <c r="N1974" s="4">
        <v>1</v>
      </c>
      <c r="O1974" s="4">
        <v>0</v>
      </c>
    </row>
    <row r="1975" spans="1:15" x14ac:dyDescent="0.15">
      <c r="A1975" s="4">
        <v>1972</v>
      </c>
      <c r="B1975" s="4">
        <v>42</v>
      </c>
      <c r="C1975" s="4">
        <v>17</v>
      </c>
      <c r="D1975" s="4">
        <v>72</v>
      </c>
      <c r="E1975" s="4">
        <v>4</v>
      </c>
      <c r="F1975" s="8">
        <v>1.1000000000000001</v>
      </c>
      <c r="G1975" s="4">
        <v>2</v>
      </c>
      <c r="H1975" s="4">
        <f t="shared" si="60"/>
        <v>0</v>
      </c>
      <c r="I1975" s="4">
        <f t="shared" si="61"/>
        <v>1</v>
      </c>
      <c r="J1975" s="4">
        <v>203</v>
      </c>
      <c r="K1975" s="4">
        <v>0</v>
      </c>
      <c r="L1975" s="4">
        <v>0</v>
      </c>
      <c r="M1975" s="4">
        <v>0</v>
      </c>
      <c r="N1975" s="4">
        <v>1</v>
      </c>
      <c r="O1975" s="4">
        <v>0</v>
      </c>
    </row>
    <row r="1976" spans="1:15" x14ac:dyDescent="0.15">
      <c r="A1976" s="4">
        <v>1973</v>
      </c>
      <c r="B1976" s="4">
        <v>28</v>
      </c>
      <c r="C1976" s="4">
        <v>2</v>
      </c>
      <c r="D1976" s="4">
        <v>114</v>
      </c>
      <c r="E1976" s="4">
        <v>4</v>
      </c>
      <c r="F1976" s="8">
        <v>2.1</v>
      </c>
      <c r="G1976" s="4">
        <v>3</v>
      </c>
      <c r="H1976" s="4">
        <f t="shared" si="60"/>
        <v>0</v>
      </c>
      <c r="I1976" s="4">
        <f t="shared" si="61"/>
        <v>0</v>
      </c>
      <c r="J1976" s="4">
        <v>0</v>
      </c>
      <c r="K1976" s="4">
        <v>0</v>
      </c>
      <c r="L1976" s="4">
        <v>0</v>
      </c>
      <c r="M1976" s="4">
        <v>1</v>
      </c>
      <c r="N1976" s="4">
        <v>0</v>
      </c>
      <c r="O1976" s="4">
        <v>0</v>
      </c>
    </row>
    <row r="1977" spans="1:15" x14ac:dyDescent="0.15">
      <c r="A1977" s="4">
        <v>1974</v>
      </c>
      <c r="B1977" s="4">
        <v>47</v>
      </c>
      <c r="C1977" s="4">
        <v>22</v>
      </c>
      <c r="D1977" s="4">
        <v>11</v>
      </c>
      <c r="E1977" s="4">
        <v>2</v>
      </c>
      <c r="F1977" s="8">
        <v>0</v>
      </c>
      <c r="G1977" s="4">
        <v>1</v>
      </c>
      <c r="H1977" s="4">
        <f t="shared" si="60"/>
        <v>1</v>
      </c>
      <c r="I1977" s="4">
        <f t="shared" si="61"/>
        <v>0</v>
      </c>
      <c r="J1977" s="4">
        <v>78</v>
      </c>
      <c r="K1977" s="4">
        <v>0</v>
      </c>
      <c r="L1977" s="4">
        <v>0</v>
      </c>
      <c r="M1977" s="4">
        <v>0</v>
      </c>
      <c r="N1977" s="4">
        <v>0</v>
      </c>
      <c r="O1977" s="4">
        <v>0</v>
      </c>
    </row>
    <row r="1978" spans="1:15" x14ac:dyDescent="0.15">
      <c r="A1978" s="4">
        <v>1975</v>
      </c>
      <c r="B1978" s="4">
        <v>39</v>
      </c>
      <c r="C1978" s="4">
        <v>13</v>
      </c>
      <c r="D1978" s="4">
        <v>63</v>
      </c>
      <c r="E1978" s="4">
        <v>4</v>
      </c>
      <c r="F1978" s="8">
        <v>0.2</v>
      </c>
      <c r="G1978" s="4">
        <v>3</v>
      </c>
      <c r="H1978" s="4">
        <f t="shared" si="60"/>
        <v>0</v>
      </c>
      <c r="I1978" s="4">
        <f t="shared" si="61"/>
        <v>0</v>
      </c>
      <c r="J1978" s="4">
        <v>242</v>
      </c>
      <c r="K1978" s="4">
        <v>0</v>
      </c>
      <c r="L1978" s="4">
        <v>0</v>
      </c>
      <c r="M1978" s="4">
        <v>0</v>
      </c>
      <c r="N1978" s="4">
        <v>0</v>
      </c>
      <c r="O1978" s="4">
        <v>0</v>
      </c>
    </row>
    <row r="1979" spans="1:15" x14ac:dyDescent="0.15">
      <c r="A1979" s="4">
        <v>1976</v>
      </c>
      <c r="B1979" s="4">
        <v>29</v>
      </c>
      <c r="C1979" s="4">
        <v>3</v>
      </c>
      <c r="D1979" s="4">
        <v>113</v>
      </c>
      <c r="E1979" s="4">
        <v>2</v>
      </c>
      <c r="F1979" s="8">
        <v>0.2</v>
      </c>
      <c r="G1979" s="4">
        <v>1</v>
      </c>
      <c r="H1979" s="4">
        <f t="shared" si="60"/>
        <v>1</v>
      </c>
      <c r="I1979" s="4">
        <f t="shared" si="61"/>
        <v>0</v>
      </c>
      <c r="J1979" s="4">
        <v>0</v>
      </c>
      <c r="K1979" s="4">
        <v>0</v>
      </c>
      <c r="L1979" s="4">
        <v>0</v>
      </c>
      <c r="M1979" s="4">
        <v>1</v>
      </c>
      <c r="N1979" s="4">
        <v>1</v>
      </c>
      <c r="O1979" s="4">
        <v>0</v>
      </c>
    </row>
    <row r="1980" spans="1:15" x14ac:dyDescent="0.15">
      <c r="A1980" s="4">
        <v>1977</v>
      </c>
      <c r="B1980" s="4">
        <v>39</v>
      </c>
      <c r="C1980" s="4">
        <v>13</v>
      </c>
      <c r="D1980" s="4">
        <v>80</v>
      </c>
      <c r="E1980" s="4">
        <v>2</v>
      </c>
      <c r="F1980" s="8">
        <v>1.8</v>
      </c>
      <c r="G1980" s="4">
        <v>1</v>
      </c>
      <c r="H1980" s="4">
        <f t="shared" si="60"/>
        <v>1</v>
      </c>
      <c r="I1980" s="4">
        <f t="shared" si="61"/>
        <v>0</v>
      </c>
      <c r="J1980" s="4">
        <v>0</v>
      </c>
      <c r="K1980" s="4">
        <v>0</v>
      </c>
      <c r="L1980" s="4">
        <v>0</v>
      </c>
      <c r="M1980" s="4">
        <v>1</v>
      </c>
      <c r="N1980" s="4">
        <v>0</v>
      </c>
      <c r="O1980" s="4">
        <v>0</v>
      </c>
    </row>
    <row r="1981" spans="1:15" x14ac:dyDescent="0.15">
      <c r="A1981" s="4">
        <v>1978</v>
      </c>
      <c r="B1981" s="4">
        <v>41</v>
      </c>
      <c r="C1981" s="4">
        <v>15</v>
      </c>
      <c r="D1981" s="4">
        <v>54</v>
      </c>
      <c r="E1981" s="4">
        <v>3</v>
      </c>
      <c r="F1981" s="8">
        <v>0.5</v>
      </c>
      <c r="G1981" s="4">
        <v>3</v>
      </c>
      <c r="H1981" s="4">
        <f t="shared" si="60"/>
        <v>0</v>
      </c>
      <c r="I1981" s="4">
        <f t="shared" si="61"/>
        <v>0</v>
      </c>
      <c r="J1981" s="4">
        <v>0</v>
      </c>
      <c r="K1981" s="4">
        <v>0</v>
      </c>
      <c r="L1981" s="4">
        <v>0</v>
      </c>
      <c r="M1981" s="4">
        <v>1</v>
      </c>
      <c r="N1981" s="4">
        <v>1</v>
      </c>
      <c r="O1981" s="4">
        <v>0</v>
      </c>
    </row>
    <row r="1982" spans="1:15" x14ac:dyDescent="0.15">
      <c r="A1982" s="4">
        <v>1979</v>
      </c>
      <c r="B1982" s="4">
        <v>37</v>
      </c>
      <c r="C1982" s="4">
        <v>11</v>
      </c>
      <c r="D1982" s="4">
        <v>32</v>
      </c>
      <c r="E1982" s="4">
        <v>2</v>
      </c>
      <c r="F1982" s="8">
        <v>1.4</v>
      </c>
      <c r="G1982" s="4">
        <v>3</v>
      </c>
      <c r="H1982" s="4">
        <f t="shared" si="60"/>
        <v>0</v>
      </c>
      <c r="I1982" s="4">
        <f t="shared" si="61"/>
        <v>0</v>
      </c>
      <c r="J1982" s="4">
        <v>0</v>
      </c>
      <c r="K1982" s="4">
        <v>1</v>
      </c>
      <c r="L1982" s="4">
        <v>0</v>
      </c>
      <c r="M1982" s="4">
        <v>1</v>
      </c>
      <c r="N1982" s="4">
        <v>0</v>
      </c>
      <c r="O1982" s="4">
        <v>0</v>
      </c>
    </row>
    <row r="1983" spans="1:15" x14ac:dyDescent="0.15">
      <c r="A1983" s="4">
        <v>1980</v>
      </c>
      <c r="B1983" s="4">
        <v>41</v>
      </c>
      <c r="C1983" s="4">
        <v>17</v>
      </c>
      <c r="D1983" s="4">
        <v>11</v>
      </c>
      <c r="E1983" s="4">
        <v>1</v>
      </c>
      <c r="F1983" s="8">
        <v>1</v>
      </c>
      <c r="G1983" s="4">
        <v>1</v>
      </c>
      <c r="H1983" s="4">
        <f t="shared" si="60"/>
        <v>1</v>
      </c>
      <c r="I1983" s="4">
        <f t="shared" si="61"/>
        <v>0</v>
      </c>
      <c r="J1983" s="4">
        <v>0</v>
      </c>
      <c r="K1983" s="4">
        <v>0</v>
      </c>
      <c r="L1983" s="4">
        <v>0</v>
      </c>
      <c r="M1983" s="4">
        <v>0</v>
      </c>
      <c r="N1983" s="4">
        <v>0</v>
      </c>
      <c r="O1983" s="4">
        <v>0</v>
      </c>
    </row>
    <row r="1984" spans="1:15" x14ac:dyDescent="0.15">
      <c r="A1984" s="4">
        <v>1981</v>
      </c>
      <c r="B1984" s="4">
        <v>45</v>
      </c>
      <c r="C1984" s="4">
        <v>19</v>
      </c>
      <c r="D1984" s="4">
        <v>141</v>
      </c>
      <c r="E1984" s="4">
        <v>1</v>
      </c>
      <c r="F1984" s="8">
        <v>2.4</v>
      </c>
      <c r="G1984" s="4">
        <v>1</v>
      </c>
      <c r="H1984" s="4">
        <f t="shared" si="60"/>
        <v>1</v>
      </c>
      <c r="I1984" s="4">
        <f t="shared" si="61"/>
        <v>0</v>
      </c>
      <c r="J1984" s="4">
        <v>0</v>
      </c>
      <c r="K1984" s="4">
        <v>0</v>
      </c>
      <c r="L1984" s="4">
        <v>0</v>
      </c>
      <c r="M1984" s="4">
        <v>1</v>
      </c>
      <c r="N1984" s="4">
        <v>0</v>
      </c>
      <c r="O1984" s="4">
        <v>0</v>
      </c>
    </row>
    <row r="1985" spans="1:15" x14ac:dyDescent="0.15">
      <c r="A1985" s="4">
        <v>1982</v>
      </c>
      <c r="B1985" s="4">
        <v>52</v>
      </c>
      <c r="C1985" s="4">
        <v>26</v>
      </c>
      <c r="D1985" s="4">
        <v>84</v>
      </c>
      <c r="E1985" s="4">
        <v>3</v>
      </c>
      <c r="F1985" s="8">
        <v>3</v>
      </c>
      <c r="G1985" s="4">
        <v>2</v>
      </c>
      <c r="H1985" s="4">
        <f t="shared" si="60"/>
        <v>0</v>
      </c>
      <c r="I1985" s="4">
        <f t="shared" si="61"/>
        <v>1</v>
      </c>
      <c r="J1985" s="4">
        <v>0</v>
      </c>
      <c r="K1985" s="4">
        <v>0</v>
      </c>
      <c r="L1985" s="4">
        <v>0</v>
      </c>
      <c r="M1985" s="4">
        <v>1</v>
      </c>
      <c r="N1985" s="4">
        <v>0</v>
      </c>
      <c r="O1985" s="4">
        <v>0</v>
      </c>
    </row>
    <row r="1986" spans="1:15" x14ac:dyDescent="0.15">
      <c r="A1986" s="4">
        <v>1983</v>
      </c>
      <c r="B1986" s="4">
        <v>58</v>
      </c>
      <c r="C1986" s="4">
        <v>33</v>
      </c>
      <c r="D1986" s="4">
        <v>18</v>
      </c>
      <c r="E1986" s="4">
        <v>3</v>
      </c>
      <c r="F1986" s="8">
        <v>0.1</v>
      </c>
      <c r="G1986" s="4">
        <v>2</v>
      </c>
      <c r="H1986" s="4">
        <f t="shared" si="60"/>
        <v>0</v>
      </c>
      <c r="I1986" s="4">
        <f t="shared" si="61"/>
        <v>1</v>
      </c>
      <c r="J1986" s="4">
        <v>110</v>
      </c>
      <c r="K1986" s="4">
        <v>0</v>
      </c>
      <c r="L1986" s="4">
        <v>0</v>
      </c>
      <c r="M1986" s="4">
        <v>1</v>
      </c>
      <c r="N1986" s="4">
        <v>0</v>
      </c>
      <c r="O1986" s="4">
        <v>0</v>
      </c>
    </row>
    <row r="1987" spans="1:15" x14ac:dyDescent="0.15">
      <c r="A1987" s="4">
        <v>1984</v>
      </c>
      <c r="B1987" s="4">
        <v>31</v>
      </c>
      <c r="C1987" s="4">
        <v>5</v>
      </c>
      <c r="D1987" s="4">
        <v>20</v>
      </c>
      <c r="E1987" s="4">
        <v>2</v>
      </c>
      <c r="F1987" s="8">
        <v>0.3</v>
      </c>
      <c r="G1987" s="4">
        <v>1</v>
      </c>
      <c r="H1987" s="4">
        <f t="shared" si="60"/>
        <v>1</v>
      </c>
      <c r="I1987" s="4">
        <f t="shared" si="61"/>
        <v>0</v>
      </c>
      <c r="J1987" s="4">
        <v>0</v>
      </c>
      <c r="K1987" s="4">
        <v>0</v>
      </c>
      <c r="L1987" s="4">
        <v>0</v>
      </c>
      <c r="M1987" s="4">
        <v>0</v>
      </c>
      <c r="N1987" s="4">
        <v>0</v>
      </c>
      <c r="O1987" s="4">
        <v>0</v>
      </c>
    </row>
    <row r="1988" spans="1:15" x14ac:dyDescent="0.15">
      <c r="A1988" s="4">
        <v>1985</v>
      </c>
      <c r="B1988" s="4">
        <v>26</v>
      </c>
      <c r="C1988" s="4">
        <v>1</v>
      </c>
      <c r="D1988" s="4">
        <v>55</v>
      </c>
      <c r="E1988" s="4">
        <v>4</v>
      </c>
      <c r="F1988" s="8">
        <v>1.7</v>
      </c>
      <c r="G1988" s="4">
        <v>2</v>
      </c>
      <c r="H1988" s="4">
        <f t="shared" si="60"/>
        <v>0</v>
      </c>
      <c r="I1988" s="4">
        <f t="shared" si="61"/>
        <v>1</v>
      </c>
      <c r="J1988" s="4">
        <v>175</v>
      </c>
      <c r="K1988" s="4">
        <v>0</v>
      </c>
      <c r="L1988" s="4">
        <v>0</v>
      </c>
      <c r="M1988" s="4">
        <v>1</v>
      </c>
      <c r="N1988" s="4">
        <v>0</v>
      </c>
      <c r="O1988" s="4">
        <v>0</v>
      </c>
    </row>
    <row r="1989" spans="1:15" x14ac:dyDescent="0.15">
      <c r="A1989" s="4">
        <v>1986</v>
      </c>
      <c r="B1989" s="4">
        <v>31</v>
      </c>
      <c r="C1989" s="4">
        <v>7</v>
      </c>
      <c r="D1989" s="4">
        <v>31</v>
      </c>
      <c r="E1989" s="4">
        <v>4</v>
      </c>
      <c r="F1989" s="8">
        <v>0.4</v>
      </c>
      <c r="G1989" s="4">
        <v>2</v>
      </c>
      <c r="H1989" s="4">
        <f t="shared" ref="H1989:H2052" si="62">IF(G1989=1,1,0)</f>
        <v>0</v>
      </c>
      <c r="I1989" s="4">
        <f t="shared" ref="I1989:I2052" si="63">IF(G1989=2,1,0)</f>
        <v>1</v>
      </c>
      <c r="J1989" s="4">
        <v>79</v>
      </c>
      <c r="K1989" s="4">
        <v>0</v>
      </c>
      <c r="L1989" s="4">
        <v>0</v>
      </c>
      <c r="M1989" s="4">
        <v>0</v>
      </c>
      <c r="N1989" s="4">
        <v>0</v>
      </c>
      <c r="O1989" s="4">
        <v>0</v>
      </c>
    </row>
    <row r="1990" spans="1:15" x14ac:dyDescent="0.15">
      <c r="A1990" s="4">
        <v>1987</v>
      </c>
      <c r="B1990" s="4">
        <v>42</v>
      </c>
      <c r="C1990" s="4">
        <v>17</v>
      </c>
      <c r="D1990" s="4">
        <v>114</v>
      </c>
      <c r="E1990" s="4">
        <v>2</v>
      </c>
      <c r="F1990" s="8">
        <v>0.4</v>
      </c>
      <c r="G1990" s="4">
        <v>1</v>
      </c>
      <c r="H1990" s="4">
        <f t="shared" si="62"/>
        <v>1</v>
      </c>
      <c r="I1990" s="4">
        <f t="shared" si="63"/>
        <v>0</v>
      </c>
      <c r="J1990" s="4">
        <v>0</v>
      </c>
      <c r="K1990" s="4">
        <v>0</v>
      </c>
      <c r="L1990" s="4">
        <v>0</v>
      </c>
      <c r="M1990" s="4">
        <v>0</v>
      </c>
      <c r="N1990" s="4">
        <v>0</v>
      </c>
      <c r="O1990" s="4">
        <v>0</v>
      </c>
    </row>
    <row r="1991" spans="1:15" x14ac:dyDescent="0.15">
      <c r="A1991" s="4">
        <v>1988</v>
      </c>
      <c r="B1991" s="4">
        <v>56</v>
      </c>
      <c r="C1991" s="4">
        <v>31</v>
      </c>
      <c r="D1991" s="4">
        <v>52</v>
      </c>
      <c r="E1991" s="4">
        <v>3</v>
      </c>
      <c r="F1991" s="8">
        <v>2</v>
      </c>
      <c r="G1991" s="4">
        <v>2</v>
      </c>
      <c r="H1991" s="4">
        <f t="shared" si="62"/>
        <v>0</v>
      </c>
      <c r="I1991" s="4">
        <f t="shared" si="63"/>
        <v>1</v>
      </c>
      <c r="J1991" s="4">
        <v>0</v>
      </c>
      <c r="K1991" s="4">
        <v>1</v>
      </c>
      <c r="L1991" s="4">
        <v>1</v>
      </c>
      <c r="M1991" s="4">
        <v>1</v>
      </c>
      <c r="N1991" s="4">
        <v>1</v>
      </c>
      <c r="O1991" s="4">
        <v>0</v>
      </c>
    </row>
    <row r="1992" spans="1:15" x14ac:dyDescent="0.15">
      <c r="A1992" s="4">
        <v>1989</v>
      </c>
      <c r="B1992" s="4">
        <v>52</v>
      </c>
      <c r="C1992" s="4">
        <v>28</v>
      </c>
      <c r="D1992" s="4">
        <v>18</v>
      </c>
      <c r="E1992" s="4">
        <v>1</v>
      </c>
      <c r="F1992" s="8">
        <v>0.3</v>
      </c>
      <c r="G1992" s="4">
        <v>1</v>
      </c>
      <c r="H1992" s="4">
        <f t="shared" si="62"/>
        <v>1</v>
      </c>
      <c r="I1992" s="4">
        <f t="shared" si="63"/>
        <v>0</v>
      </c>
      <c r="J1992" s="4">
        <v>120</v>
      </c>
      <c r="K1992" s="4">
        <v>0</v>
      </c>
      <c r="L1992" s="4">
        <v>0</v>
      </c>
      <c r="M1992" s="4">
        <v>1</v>
      </c>
      <c r="N1992" s="4">
        <v>0</v>
      </c>
      <c r="O1992" s="4">
        <v>0</v>
      </c>
    </row>
    <row r="1993" spans="1:15" x14ac:dyDescent="0.15">
      <c r="A1993" s="4">
        <v>1990</v>
      </c>
      <c r="B1993" s="4">
        <v>59</v>
      </c>
      <c r="C1993" s="4">
        <v>35</v>
      </c>
      <c r="D1993" s="4">
        <v>55</v>
      </c>
      <c r="E1993" s="4">
        <v>1</v>
      </c>
      <c r="F1993" s="8">
        <v>1.8</v>
      </c>
      <c r="G1993" s="4">
        <v>3</v>
      </c>
      <c r="H1993" s="4">
        <f t="shared" si="62"/>
        <v>0</v>
      </c>
      <c r="I1993" s="4">
        <f t="shared" si="63"/>
        <v>0</v>
      </c>
      <c r="J1993" s="4">
        <v>0</v>
      </c>
      <c r="K1993" s="4">
        <v>1</v>
      </c>
      <c r="L1993" s="4">
        <v>0</v>
      </c>
      <c r="M1993" s="4">
        <v>0</v>
      </c>
      <c r="N1993" s="4">
        <v>0</v>
      </c>
      <c r="O1993" s="4">
        <v>0</v>
      </c>
    </row>
    <row r="1994" spans="1:15" x14ac:dyDescent="0.15">
      <c r="A1994" s="4">
        <v>1991</v>
      </c>
      <c r="B1994" s="4">
        <v>32</v>
      </c>
      <c r="C1994" s="4">
        <v>8</v>
      </c>
      <c r="D1994" s="4">
        <v>29</v>
      </c>
      <c r="E1994" s="4">
        <v>1</v>
      </c>
      <c r="F1994" s="8">
        <v>0.2</v>
      </c>
      <c r="G1994" s="4">
        <v>3</v>
      </c>
      <c r="H1994" s="4">
        <f t="shared" si="62"/>
        <v>0</v>
      </c>
      <c r="I1994" s="4">
        <f t="shared" si="63"/>
        <v>0</v>
      </c>
      <c r="J1994" s="4">
        <v>76</v>
      </c>
      <c r="K1994" s="4">
        <v>0</v>
      </c>
      <c r="L1994" s="4">
        <v>0</v>
      </c>
      <c r="M1994" s="4">
        <v>1</v>
      </c>
      <c r="N1994" s="4">
        <v>1</v>
      </c>
      <c r="O1994" s="4">
        <v>0</v>
      </c>
    </row>
    <row r="1995" spans="1:15" x14ac:dyDescent="0.15">
      <c r="A1995" s="4">
        <v>1992</v>
      </c>
      <c r="B1995" s="4">
        <v>46</v>
      </c>
      <c r="C1995" s="4">
        <v>22</v>
      </c>
      <c r="D1995" s="4">
        <v>30</v>
      </c>
      <c r="E1995" s="4">
        <v>3</v>
      </c>
      <c r="F1995" s="8">
        <v>0.5</v>
      </c>
      <c r="G1995" s="4">
        <v>1</v>
      </c>
      <c r="H1995" s="4">
        <f t="shared" si="62"/>
        <v>1</v>
      </c>
      <c r="I1995" s="4">
        <f t="shared" si="63"/>
        <v>0</v>
      </c>
      <c r="J1995" s="4">
        <v>0</v>
      </c>
      <c r="K1995" s="4">
        <v>0</v>
      </c>
      <c r="L1995" s="4">
        <v>0</v>
      </c>
      <c r="M1995" s="4">
        <v>0</v>
      </c>
      <c r="N1995" s="4">
        <v>0</v>
      </c>
      <c r="O1995" s="4">
        <v>0</v>
      </c>
    </row>
    <row r="1996" spans="1:15" x14ac:dyDescent="0.15">
      <c r="A1996" s="4">
        <v>1993</v>
      </c>
      <c r="B1996" s="4">
        <v>52</v>
      </c>
      <c r="C1996" s="4">
        <v>28</v>
      </c>
      <c r="D1996" s="4">
        <v>38</v>
      </c>
      <c r="E1996" s="4">
        <v>2</v>
      </c>
      <c r="F1996" s="8">
        <v>0.8</v>
      </c>
      <c r="G1996" s="4">
        <v>1</v>
      </c>
      <c r="H1996" s="4">
        <f t="shared" si="62"/>
        <v>1</v>
      </c>
      <c r="I1996" s="4">
        <f t="shared" si="63"/>
        <v>0</v>
      </c>
      <c r="J1996" s="4">
        <v>0</v>
      </c>
      <c r="K1996" s="4">
        <v>0</v>
      </c>
      <c r="L1996" s="4">
        <v>0</v>
      </c>
      <c r="M1996" s="4">
        <v>0</v>
      </c>
      <c r="N1996" s="4">
        <v>1</v>
      </c>
      <c r="O1996" s="4">
        <v>0</v>
      </c>
    </row>
    <row r="1997" spans="1:15" x14ac:dyDescent="0.15">
      <c r="A1997" s="4">
        <v>1994</v>
      </c>
      <c r="B1997" s="4">
        <v>30</v>
      </c>
      <c r="C1997" s="4">
        <v>5</v>
      </c>
      <c r="D1997" s="4">
        <v>122</v>
      </c>
      <c r="E1997" s="4">
        <v>2</v>
      </c>
      <c r="F1997" s="8">
        <v>3.1</v>
      </c>
      <c r="G1997" s="4">
        <v>1</v>
      </c>
      <c r="H1997" s="4">
        <f t="shared" si="62"/>
        <v>1</v>
      </c>
      <c r="I1997" s="4">
        <f t="shared" si="63"/>
        <v>0</v>
      </c>
      <c r="J1997" s="4">
        <v>0</v>
      </c>
      <c r="K1997" s="4">
        <v>0</v>
      </c>
      <c r="L1997" s="4">
        <v>0</v>
      </c>
      <c r="M1997" s="4">
        <v>0</v>
      </c>
      <c r="N1997" s="4">
        <v>0</v>
      </c>
      <c r="O1997" s="4">
        <v>0</v>
      </c>
    </row>
    <row r="1998" spans="1:15" x14ac:dyDescent="0.15">
      <c r="A1998" s="4">
        <v>1995</v>
      </c>
      <c r="B1998" s="4">
        <v>32</v>
      </c>
      <c r="C1998" s="4">
        <v>8</v>
      </c>
      <c r="D1998" s="4">
        <v>183</v>
      </c>
      <c r="E1998" s="4">
        <v>1</v>
      </c>
      <c r="F1998" s="8">
        <v>6</v>
      </c>
      <c r="G1998" s="4">
        <v>1</v>
      </c>
      <c r="H1998" s="4">
        <f t="shared" si="62"/>
        <v>1</v>
      </c>
      <c r="I1998" s="4">
        <f t="shared" si="63"/>
        <v>0</v>
      </c>
      <c r="J1998" s="4">
        <v>0</v>
      </c>
      <c r="K1998" s="4">
        <v>0</v>
      </c>
      <c r="L1998" s="4">
        <v>0</v>
      </c>
      <c r="M1998" s="4">
        <v>0</v>
      </c>
      <c r="N1998" s="4">
        <v>0</v>
      </c>
      <c r="O1998" s="4">
        <v>0</v>
      </c>
    </row>
    <row r="1999" spans="1:15" x14ac:dyDescent="0.15">
      <c r="A1999" s="4">
        <v>1996</v>
      </c>
      <c r="B1999" s="4">
        <v>35</v>
      </c>
      <c r="C1999" s="4">
        <v>11</v>
      </c>
      <c r="D1999" s="4">
        <v>41</v>
      </c>
      <c r="E1999" s="4">
        <v>1</v>
      </c>
      <c r="F1999" s="8">
        <v>2.4</v>
      </c>
      <c r="G1999" s="4">
        <v>2</v>
      </c>
      <c r="H1999" s="4">
        <f t="shared" si="62"/>
        <v>0</v>
      </c>
      <c r="I1999" s="4">
        <f t="shared" si="63"/>
        <v>1</v>
      </c>
      <c r="J1999" s="4">
        <v>0</v>
      </c>
      <c r="K1999" s="4">
        <v>0</v>
      </c>
      <c r="L1999" s="4">
        <v>0</v>
      </c>
      <c r="M1999" s="4">
        <v>0</v>
      </c>
      <c r="N1999" s="4">
        <v>0</v>
      </c>
      <c r="O1999" s="4">
        <v>0</v>
      </c>
    </row>
    <row r="2000" spans="1:15" x14ac:dyDescent="0.15">
      <c r="A2000" s="4">
        <v>1997</v>
      </c>
      <c r="B2000" s="4">
        <v>49</v>
      </c>
      <c r="C2000" s="4">
        <v>24</v>
      </c>
      <c r="D2000" s="4">
        <v>38</v>
      </c>
      <c r="E2000" s="4">
        <v>1</v>
      </c>
      <c r="F2000" s="8">
        <v>1.4</v>
      </c>
      <c r="G2000" s="4">
        <v>3</v>
      </c>
      <c r="H2000" s="4">
        <f t="shared" si="62"/>
        <v>0</v>
      </c>
      <c r="I2000" s="4">
        <f t="shared" si="63"/>
        <v>0</v>
      </c>
      <c r="J2000" s="4">
        <v>0</v>
      </c>
      <c r="K2000" s="4">
        <v>0</v>
      </c>
      <c r="L2000" s="4">
        <v>0</v>
      </c>
      <c r="M2000" s="4">
        <v>0</v>
      </c>
      <c r="N2000" s="4">
        <v>0</v>
      </c>
      <c r="O2000" s="4">
        <v>0</v>
      </c>
    </row>
    <row r="2001" spans="1:15" x14ac:dyDescent="0.15">
      <c r="A2001" s="4">
        <v>1998</v>
      </c>
      <c r="B2001" s="4">
        <v>54</v>
      </c>
      <c r="C2001" s="4">
        <v>30</v>
      </c>
      <c r="D2001" s="4">
        <v>61</v>
      </c>
      <c r="E2001" s="4">
        <v>1</v>
      </c>
      <c r="F2001" s="8">
        <v>1.8</v>
      </c>
      <c r="G2001" s="4">
        <v>3</v>
      </c>
      <c r="H2001" s="4">
        <f t="shared" si="62"/>
        <v>0</v>
      </c>
      <c r="I2001" s="4">
        <f t="shared" si="63"/>
        <v>0</v>
      </c>
      <c r="J2001" s="4">
        <v>0</v>
      </c>
      <c r="K2001" s="4">
        <v>0</v>
      </c>
      <c r="L2001" s="4">
        <v>0</v>
      </c>
      <c r="M2001" s="4">
        <v>1</v>
      </c>
      <c r="N2001" s="4">
        <v>0</v>
      </c>
      <c r="O2001" s="4">
        <v>0</v>
      </c>
    </row>
    <row r="2002" spans="1:15" x14ac:dyDescent="0.15">
      <c r="A2002" s="4">
        <v>1999</v>
      </c>
      <c r="B2002" s="4">
        <v>56</v>
      </c>
      <c r="C2002" s="4">
        <v>32</v>
      </c>
      <c r="D2002" s="4">
        <v>103</v>
      </c>
      <c r="E2002" s="4">
        <v>3</v>
      </c>
      <c r="F2002" s="8">
        <v>4</v>
      </c>
      <c r="G2002" s="4">
        <v>3</v>
      </c>
      <c r="H2002" s="4">
        <f t="shared" si="62"/>
        <v>0</v>
      </c>
      <c r="I2002" s="4">
        <f t="shared" si="63"/>
        <v>0</v>
      </c>
      <c r="J2002" s="4">
        <v>0</v>
      </c>
      <c r="K2002" s="4">
        <v>0</v>
      </c>
      <c r="L2002" s="4">
        <v>0</v>
      </c>
      <c r="M2002" s="4">
        <v>0</v>
      </c>
      <c r="N2002" s="4">
        <v>0</v>
      </c>
      <c r="O2002" s="4">
        <v>1</v>
      </c>
    </row>
    <row r="2003" spans="1:15" x14ac:dyDescent="0.15">
      <c r="A2003" s="4">
        <v>2000</v>
      </c>
      <c r="B2003" s="4">
        <v>48</v>
      </c>
      <c r="C2003" s="4">
        <v>22</v>
      </c>
      <c r="D2003" s="4">
        <v>80</v>
      </c>
      <c r="E2003" s="4">
        <v>2</v>
      </c>
      <c r="F2003" s="8">
        <v>2.4</v>
      </c>
      <c r="G2003" s="4">
        <v>2</v>
      </c>
      <c r="H2003" s="4">
        <f t="shared" si="62"/>
        <v>0</v>
      </c>
      <c r="I2003" s="4">
        <f t="shared" si="63"/>
        <v>1</v>
      </c>
      <c r="J2003" s="4">
        <v>0</v>
      </c>
      <c r="K2003" s="4">
        <v>0</v>
      </c>
      <c r="L2003" s="4">
        <v>0</v>
      </c>
      <c r="M2003" s="4">
        <v>1</v>
      </c>
      <c r="N2003" s="4">
        <v>0</v>
      </c>
      <c r="O2003" s="4">
        <v>0</v>
      </c>
    </row>
    <row r="2004" spans="1:15" x14ac:dyDescent="0.15">
      <c r="A2004" s="4">
        <v>2001</v>
      </c>
      <c r="B2004" s="4">
        <v>28</v>
      </c>
      <c r="C2004" s="4">
        <v>2</v>
      </c>
      <c r="D2004" s="4">
        <v>22</v>
      </c>
      <c r="E2004" s="4">
        <v>1</v>
      </c>
      <c r="F2004" s="8">
        <v>0.1</v>
      </c>
      <c r="G2004" s="4">
        <v>2</v>
      </c>
      <c r="H2004" s="4">
        <f t="shared" si="62"/>
        <v>0</v>
      </c>
      <c r="I2004" s="4">
        <f t="shared" si="63"/>
        <v>1</v>
      </c>
      <c r="J2004" s="4">
        <v>0</v>
      </c>
      <c r="K2004" s="4">
        <v>0</v>
      </c>
      <c r="L2004" s="4">
        <v>0</v>
      </c>
      <c r="M2004" s="4">
        <v>1</v>
      </c>
      <c r="N2004" s="4">
        <v>0</v>
      </c>
      <c r="O2004" s="4">
        <v>0</v>
      </c>
    </row>
    <row r="2005" spans="1:15" x14ac:dyDescent="0.15">
      <c r="A2005" s="4">
        <v>2002</v>
      </c>
      <c r="B2005" s="4">
        <v>44</v>
      </c>
      <c r="C2005" s="4">
        <v>17</v>
      </c>
      <c r="D2005" s="4">
        <v>128</v>
      </c>
      <c r="E2005" s="4">
        <v>2</v>
      </c>
      <c r="F2005" s="8">
        <v>3.25</v>
      </c>
      <c r="G2005" s="4">
        <v>2</v>
      </c>
      <c r="H2005" s="4">
        <f t="shared" si="62"/>
        <v>0</v>
      </c>
      <c r="I2005" s="4">
        <f t="shared" si="63"/>
        <v>1</v>
      </c>
      <c r="J2005" s="4">
        <v>0</v>
      </c>
      <c r="K2005" s="4">
        <v>0</v>
      </c>
      <c r="L2005" s="4">
        <v>0</v>
      </c>
      <c r="M2005" s="4">
        <v>0</v>
      </c>
      <c r="N2005" s="4">
        <v>1</v>
      </c>
      <c r="O2005" s="4">
        <v>1</v>
      </c>
    </row>
    <row r="2006" spans="1:15" x14ac:dyDescent="0.15">
      <c r="A2006" s="4">
        <v>2003</v>
      </c>
      <c r="B2006" s="4">
        <v>30</v>
      </c>
      <c r="C2006" s="4">
        <v>4</v>
      </c>
      <c r="D2006" s="4">
        <v>142</v>
      </c>
      <c r="E2006" s="4">
        <v>3</v>
      </c>
      <c r="F2006" s="8">
        <v>4.2</v>
      </c>
      <c r="G2006" s="4">
        <v>1</v>
      </c>
      <c r="H2006" s="4">
        <f t="shared" si="62"/>
        <v>1</v>
      </c>
      <c r="I2006" s="4">
        <f t="shared" si="63"/>
        <v>0</v>
      </c>
      <c r="J2006" s="4">
        <v>359</v>
      </c>
      <c r="K2006" s="4">
        <v>0</v>
      </c>
      <c r="L2006" s="4">
        <v>0</v>
      </c>
      <c r="M2006" s="4">
        <v>0</v>
      </c>
      <c r="N2006" s="4">
        <v>0</v>
      </c>
      <c r="O2006" s="4">
        <v>1</v>
      </c>
    </row>
    <row r="2007" spans="1:15" x14ac:dyDescent="0.15">
      <c r="A2007" s="4">
        <v>2004</v>
      </c>
      <c r="B2007" s="4">
        <v>44</v>
      </c>
      <c r="C2007" s="4">
        <v>20</v>
      </c>
      <c r="D2007" s="4">
        <v>124</v>
      </c>
      <c r="E2007" s="4">
        <v>1</v>
      </c>
      <c r="F2007" s="8">
        <v>4.7</v>
      </c>
      <c r="G2007" s="4">
        <v>1</v>
      </c>
      <c r="H2007" s="4">
        <f t="shared" si="62"/>
        <v>1</v>
      </c>
      <c r="I2007" s="4">
        <f t="shared" si="63"/>
        <v>0</v>
      </c>
      <c r="J2007" s="4">
        <v>0</v>
      </c>
      <c r="K2007" s="4">
        <v>0</v>
      </c>
      <c r="L2007" s="4">
        <v>0</v>
      </c>
      <c r="M2007" s="4">
        <v>1</v>
      </c>
      <c r="N2007" s="4">
        <v>1</v>
      </c>
      <c r="O2007" s="4">
        <v>0</v>
      </c>
    </row>
    <row r="2008" spans="1:15" x14ac:dyDescent="0.15">
      <c r="A2008" s="4">
        <v>2005</v>
      </c>
      <c r="B2008" s="4">
        <v>30</v>
      </c>
      <c r="C2008" s="4">
        <v>4</v>
      </c>
      <c r="D2008" s="4">
        <v>44</v>
      </c>
      <c r="E2008" s="4">
        <v>1</v>
      </c>
      <c r="F2008" s="8">
        <v>1.9</v>
      </c>
      <c r="G2008" s="4">
        <v>3</v>
      </c>
      <c r="H2008" s="4">
        <f t="shared" si="62"/>
        <v>0</v>
      </c>
      <c r="I2008" s="4">
        <f t="shared" si="63"/>
        <v>0</v>
      </c>
      <c r="J2008" s="4">
        <v>143</v>
      </c>
      <c r="K2008" s="4">
        <v>0</v>
      </c>
      <c r="L2008" s="4">
        <v>0</v>
      </c>
      <c r="M2008" s="4">
        <v>0</v>
      </c>
      <c r="N2008" s="4">
        <v>0</v>
      </c>
      <c r="O2008" s="4">
        <v>0</v>
      </c>
    </row>
    <row r="2009" spans="1:15" x14ac:dyDescent="0.15">
      <c r="A2009" s="4">
        <v>2006</v>
      </c>
      <c r="B2009" s="4">
        <v>47</v>
      </c>
      <c r="C2009" s="4">
        <v>23</v>
      </c>
      <c r="D2009" s="4">
        <v>170</v>
      </c>
      <c r="E2009" s="4">
        <v>2</v>
      </c>
      <c r="F2009" s="8">
        <v>6.5</v>
      </c>
      <c r="G2009" s="4">
        <v>2</v>
      </c>
      <c r="H2009" s="4">
        <f t="shared" si="62"/>
        <v>0</v>
      </c>
      <c r="I2009" s="4">
        <f t="shared" si="63"/>
        <v>1</v>
      </c>
      <c r="J2009" s="4">
        <v>0</v>
      </c>
      <c r="K2009" s="4">
        <v>0</v>
      </c>
      <c r="L2009" s="4">
        <v>1</v>
      </c>
      <c r="M2009" s="4">
        <v>1</v>
      </c>
      <c r="N2009" s="4">
        <v>1</v>
      </c>
      <c r="O2009" s="4">
        <v>1</v>
      </c>
    </row>
    <row r="2010" spans="1:15" x14ac:dyDescent="0.15">
      <c r="A2010" s="4">
        <v>2007</v>
      </c>
      <c r="B2010" s="4">
        <v>64</v>
      </c>
      <c r="C2010" s="4">
        <v>39</v>
      </c>
      <c r="D2010" s="4">
        <v>75</v>
      </c>
      <c r="E2010" s="4">
        <v>4</v>
      </c>
      <c r="F2010" s="8">
        <v>0.1</v>
      </c>
      <c r="G2010" s="4">
        <v>2</v>
      </c>
      <c r="H2010" s="4">
        <f t="shared" si="62"/>
        <v>0</v>
      </c>
      <c r="I2010" s="4">
        <f t="shared" si="63"/>
        <v>1</v>
      </c>
      <c r="J2010" s="4">
        <v>0</v>
      </c>
      <c r="K2010" s="4">
        <v>0</v>
      </c>
      <c r="L2010" s="4">
        <v>1</v>
      </c>
      <c r="M2010" s="4">
        <v>1</v>
      </c>
      <c r="N2010" s="4">
        <v>1</v>
      </c>
      <c r="O2010" s="4">
        <v>0</v>
      </c>
    </row>
    <row r="2011" spans="1:15" x14ac:dyDescent="0.15">
      <c r="A2011" s="4">
        <v>2008</v>
      </c>
      <c r="B2011" s="4">
        <v>48</v>
      </c>
      <c r="C2011" s="4">
        <v>21</v>
      </c>
      <c r="D2011" s="4">
        <v>78</v>
      </c>
      <c r="E2011" s="4">
        <v>3</v>
      </c>
      <c r="F2011" s="8">
        <v>2</v>
      </c>
      <c r="G2011" s="4">
        <v>2</v>
      </c>
      <c r="H2011" s="4">
        <f t="shared" si="62"/>
        <v>0</v>
      </c>
      <c r="I2011" s="4">
        <f t="shared" si="63"/>
        <v>1</v>
      </c>
      <c r="J2011" s="4">
        <v>0</v>
      </c>
      <c r="K2011" s="4">
        <v>0</v>
      </c>
      <c r="L2011" s="4">
        <v>0</v>
      </c>
      <c r="M2011" s="4">
        <v>1</v>
      </c>
      <c r="N2011" s="4">
        <v>1</v>
      </c>
      <c r="O2011" s="4">
        <v>0</v>
      </c>
    </row>
    <row r="2012" spans="1:15" x14ac:dyDescent="0.15">
      <c r="A2012" s="4">
        <v>2009</v>
      </c>
      <c r="B2012" s="4">
        <v>63</v>
      </c>
      <c r="C2012" s="4">
        <v>38</v>
      </c>
      <c r="D2012" s="4">
        <v>31</v>
      </c>
      <c r="E2012" s="4">
        <v>1</v>
      </c>
      <c r="F2012" s="8">
        <v>1.1000000000000001</v>
      </c>
      <c r="G2012" s="4">
        <v>3</v>
      </c>
      <c r="H2012" s="4">
        <f t="shared" si="62"/>
        <v>0</v>
      </c>
      <c r="I2012" s="4">
        <f t="shared" si="63"/>
        <v>0</v>
      </c>
      <c r="J2012" s="4">
        <v>125</v>
      </c>
      <c r="K2012" s="4">
        <v>0</v>
      </c>
      <c r="L2012" s="4">
        <v>0</v>
      </c>
      <c r="M2012" s="4">
        <v>1</v>
      </c>
      <c r="N2012" s="4">
        <v>0</v>
      </c>
      <c r="O2012" s="4">
        <v>0</v>
      </c>
    </row>
    <row r="2013" spans="1:15" x14ac:dyDescent="0.15">
      <c r="A2013" s="4">
        <v>2010</v>
      </c>
      <c r="B2013" s="4">
        <v>25</v>
      </c>
      <c r="C2013" s="4">
        <v>0</v>
      </c>
      <c r="D2013" s="4">
        <v>99</v>
      </c>
      <c r="E2013" s="4">
        <v>1</v>
      </c>
      <c r="F2013" s="8">
        <v>1.9</v>
      </c>
      <c r="G2013" s="4">
        <v>1</v>
      </c>
      <c r="H2013" s="4">
        <f t="shared" si="62"/>
        <v>1</v>
      </c>
      <c r="I2013" s="4">
        <f t="shared" si="63"/>
        <v>0</v>
      </c>
      <c r="J2013" s="4">
        <v>323</v>
      </c>
      <c r="K2013" s="4">
        <v>0</v>
      </c>
      <c r="L2013" s="4">
        <v>0</v>
      </c>
      <c r="M2013" s="4">
        <v>0</v>
      </c>
      <c r="N2013" s="4">
        <v>0</v>
      </c>
      <c r="O2013" s="4">
        <v>0</v>
      </c>
    </row>
    <row r="2014" spans="1:15" x14ac:dyDescent="0.15">
      <c r="A2014" s="4">
        <v>2011</v>
      </c>
      <c r="B2014" s="4">
        <v>61</v>
      </c>
      <c r="C2014" s="4">
        <v>36</v>
      </c>
      <c r="D2014" s="4">
        <v>41</v>
      </c>
      <c r="E2014" s="4">
        <v>2</v>
      </c>
      <c r="F2014" s="8">
        <v>1.5</v>
      </c>
      <c r="G2014" s="4">
        <v>1</v>
      </c>
      <c r="H2014" s="4">
        <f t="shared" si="62"/>
        <v>1</v>
      </c>
      <c r="I2014" s="4">
        <f t="shared" si="63"/>
        <v>0</v>
      </c>
      <c r="J2014" s="4">
        <v>0</v>
      </c>
      <c r="K2014" s="4">
        <v>0</v>
      </c>
      <c r="L2014" s="4">
        <v>0</v>
      </c>
      <c r="M2014" s="4">
        <v>0</v>
      </c>
      <c r="N2014" s="4">
        <v>0</v>
      </c>
      <c r="O2014" s="4">
        <v>0</v>
      </c>
    </row>
    <row r="2015" spans="1:15" x14ac:dyDescent="0.15">
      <c r="A2015" s="4">
        <v>2012</v>
      </c>
      <c r="B2015" s="4">
        <v>46</v>
      </c>
      <c r="C2015" s="4">
        <v>21</v>
      </c>
      <c r="D2015" s="4">
        <v>39</v>
      </c>
      <c r="E2015" s="4">
        <v>4</v>
      </c>
      <c r="F2015" s="8">
        <v>0</v>
      </c>
      <c r="G2015" s="4">
        <v>2</v>
      </c>
      <c r="H2015" s="4">
        <f t="shared" si="62"/>
        <v>0</v>
      </c>
      <c r="I2015" s="4">
        <f t="shared" si="63"/>
        <v>1</v>
      </c>
      <c r="J2015" s="4">
        <v>0</v>
      </c>
      <c r="K2015" s="4">
        <v>0</v>
      </c>
      <c r="L2015" s="4">
        <v>0</v>
      </c>
      <c r="M2015" s="4">
        <v>1</v>
      </c>
      <c r="N2015" s="4">
        <v>0</v>
      </c>
      <c r="O2015" s="4">
        <v>0</v>
      </c>
    </row>
    <row r="2016" spans="1:15" x14ac:dyDescent="0.15">
      <c r="A2016" s="4">
        <v>2013</v>
      </c>
      <c r="B2016" s="4">
        <v>57</v>
      </c>
      <c r="C2016" s="4">
        <v>31</v>
      </c>
      <c r="D2016" s="4">
        <v>51</v>
      </c>
      <c r="E2016" s="4">
        <v>1</v>
      </c>
      <c r="F2016" s="8">
        <v>1.4</v>
      </c>
      <c r="G2016" s="4">
        <v>1</v>
      </c>
      <c r="H2016" s="4">
        <f t="shared" si="62"/>
        <v>1</v>
      </c>
      <c r="I2016" s="4">
        <f t="shared" si="63"/>
        <v>0</v>
      </c>
      <c r="J2016" s="4">
        <v>0</v>
      </c>
      <c r="K2016" s="4">
        <v>0</v>
      </c>
      <c r="L2016" s="4">
        <v>0</v>
      </c>
      <c r="M2016" s="4">
        <v>1</v>
      </c>
      <c r="N2016" s="4">
        <v>1</v>
      </c>
      <c r="O2016" s="4">
        <v>0</v>
      </c>
    </row>
    <row r="2017" spans="1:15" x14ac:dyDescent="0.15">
      <c r="A2017" s="4">
        <v>2014</v>
      </c>
      <c r="B2017" s="4">
        <v>40</v>
      </c>
      <c r="C2017" s="4">
        <v>15</v>
      </c>
      <c r="D2017" s="4">
        <v>52</v>
      </c>
      <c r="E2017" s="4">
        <v>3</v>
      </c>
      <c r="F2017" s="8">
        <v>0.8</v>
      </c>
      <c r="G2017" s="4">
        <v>3</v>
      </c>
      <c r="H2017" s="4">
        <f t="shared" si="62"/>
        <v>0</v>
      </c>
      <c r="I2017" s="4">
        <f t="shared" si="63"/>
        <v>0</v>
      </c>
      <c r="J2017" s="4">
        <v>113</v>
      </c>
      <c r="K2017" s="4">
        <v>0</v>
      </c>
      <c r="L2017" s="4">
        <v>0</v>
      </c>
      <c r="M2017" s="4">
        <v>1</v>
      </c>
      <c r="N2017" s="4">
        <v>0</v>
      </c>
      <c r="O2017" s="4">
        <v>0</v>
      </c>
    </row>
    <row r="2018" spans="1:15" x14ac:dyDescent="0.15">
      <c r="A2018" s="4">
        <v>2015</v>
      </c>
      <c r="B2018" s="4">
        <v>49</v>
      </c>
      <c r="C2018" s="4">
        <v>19</v>
      </c>
      <c r="D2018" s="4">
        <v>169</v>
      </c>
      <c r="E2018" s="4">
        <v>3</v>
      </c>
      <c r="F2018" s="8">
        <v>5.666666666666667</v>
      </c>
      <c r="G2018" s="4">
        <v>3</v>
      </c>
      <c r="H2018" s="4">
        <f t="shared" si="62"/>
        <v>0</v>
      </c>
      <c r="I2018" s="4">
        <f t="shared" si="63"/>
        <v>0</v>
      </c>
      <c r="J2018" s="4">
        <v>167</v>
      </c>
      <c r="K2018" s="4">
        <v>0</v>
      </c>
      <c r="L2018" s="4">
        <v>1</v>
      </c>
      <c r="M2018" s="4">
        <v>0</v>
      </c>
      <c r="N2018" s="4">
        <v>1</v>
      </c>
      <c r="O2018" s="4">
        <v>1</v>
      </c>
    </row>
    <row r="2019" spans="1:15" x14ac:dyDescent="0.15">
      <c r="A2019" s="4">
        <v>2016</v>
      </c>
      <c r="B2019" s="4">
        <v>30</v>
      </c>
      <c r="C2019" s="4">
        <v>5</v>
      </c>
      <c r="D2019" s="4">
        <v>141</v>
      </c>
      <c r="E2019" s="4">
        <v>1</v>
      </c>
      <c r="F2019" s="8">
        <v>0.8</v>
      </c>
      <c r="G2019" s="4">
        <v>1</v>
      </c>
      <c r="H2019" s="4">
        <f t="shared" si="62"/>
        <v>1</v>
      </c>
      <c r="I2019" s="4">
        <f t="shared" si="63"/>
        <v>0</v>
      </c>
      <c r="J2019" s="4">
        <v>0</v>
      </c>
      <c r="K2019" s="4">
        <v>0</v>
      </c>
      <c r="L2019" s="4">
        <v>0</v>
      </c>
      <c r="M2019" s="4">
        <v>1</v>
      </c>
      <c r="N2019" s="4">
        <v>0</v>
      </c>
      <c r="O2019" s="4">
        <v>0</v>
      </c>
    </row>
    <row r="2020" spans="1:15" x14ac:dyDescent="0.15">
      <c r="A2020" s="4">
        <v>2017</v>
      </c>
      <c r="B2020" s="4">
        <v>41</v>
      </c>
      <c r="C2020" s="4">
        <v>17</v>
      </c>
      <c r="D2020" s="4">
        <v>93</v>
      </c>
      <c r="E2020" s="4">
        <v>4</v>
      </c>
      <c r="F2020" s="8">
        <v>0.8</v>
      </c>
      <c r="G2020" s="4">
        <v>1</v>
      </c>
      <c r="H2020" s="4">
        <f t="shared" si="62"/>
        <v>1</v>
      </c>
      <c r="I2020" s="4">
        <f t="shared" si="63"/>
        <v>0</v>
      </c>
      <c r="J2020" s="4">
        <v>218</v>
      </c>
      <c r="K2020" s="4">
        <v>0</v>
      </c>
      <c r="L2020" s="4">
        <v>0</v>
      </c>
      <c r="M2020" s="4">
        <v>0</v>
      </c>
      <c r="N2020" s="4">
        <v>0</v>
      </c>
      <c r="O2020" s="4">
        <v>0</v>
      </c>
    </row>
    <row r="2021" spans="1:15" x14ac:dyDescent="0.15">
      <c r="A2021" s="4">
        <v>2018</v>
      </c>
      <c r="B2021" s="4">
        <v>42</v>
      </c>
      <c r="C2021" s="4">
        <v>15</v>
      </c>
      <c r="D2021" s="4">
        <v>14</v>
      </c>
      <c r="E2021" s="4">
        <v>3</v>
      </c>
      <c r="F2021" s="8">
        <v>1</v>
      </c>
      <c r="G2021" s="4">
        <v>2</v>
      </c>
      <c r="H2021" s="4">
        <f t="shared" si="62"/>
        <v>0</v>
      </c>
      <c r="I2021" s="4">
        <f t="shared" si="63"/>
        <v>1</v>
      </c>
      <c r="J2021" s="4">
        <v>0</v>
      </c>
      <c r="K2021" s="4">
        <v>1</v>
      </c>
      <c r="L2021" s="4">
        <v>0</v>
      </c>
      <c r="M2021" s="4">
        <v>0</v>
      </c>
      <c r="N2021" s="4">
        <v>0</v>
      </c>
      <c r="O2021" s="4">
        <v>0</v>
      </c>
    </row>
    <row r="2022" spans="1:15" x14ac:dyDescent="0.15">
      <c r="A2022" s="4">
        <v>2019</v>
      </c>
      <c r="B2022" s="4">
        <v>63</v>
      </c>
      <c r="C2022" s="4">
        <v>39</v>
      </c>
      <c r="D2022" s="4">
        <v>160</v>
      </c>
      <c r="E2022" s="4">
        <v>2</v>
      </c>
      <c r="F2022" s="8">
        <v>2.1</v>
      </c>
      <c r="G2022" s="4">
        <v>1</v>
      </c>
      <c r="H2022" s="4">
        <f t="shared" si="62"/>
        <v>1</v>
      </c>
      <c r="I2022" s="4">
        <f t="shared" si="63"/>
        <v>0</v>
      </c>
      <c r="J2022" s="4">
        <v>0</v>
      </c>
      <c r="K2022" s="4">
        <v>0</v>
      </c>
      <c r="L2022" s="4">
        <v>0</v>
      </c>
      <c r="M2022" s="4">
        <v>1</v>
      </c>
      <c r="N2022" s="4">
        <v>1</v>
      </c>
      <c r="O2022" s="4">
        <v>0</v>
      </c>
    </row>
    <row r="2023" spans="1:15" x14ac:dyDescent="0.15">
      <c r="A2023" s="4">
        <v>2020</v>
      </c>
      <c r="B2023" s="4">
        <v>43</v>
      </c>
      <c r="C2023" s="4">
        <v>17</v>
      </c>
      <c r="D2023" s="4">
        <v>44</v>
      </c>
      <c r="E2023" s="4">
        <v>1</v>
      </c>
      <c r="F2023" s="8">
        <v>0.2</v>
      </c>
      <c r="G2023" s="4">
        <v>1</v>
      </c>
      <c r="H2023" s="4">
        <f t="shared" si="62"/>
        <v>1</v>
      </c>
      <c r="I2023" s="4">
        <f t="shared" si="63"/>
        <v>0</v>
      </c>
      <c r="J2023" s="4">
        <v>0</v>
      </c>
      <c r="K2023" s="4">
        <v>1</v>
      </c>
      <c r="L2023" s="4">
        <v>1</v>
      </c>
      <c r="M2023" s="4">
        <v>1</v>
      </c>
      <c r="N2023" s="4">
        <v>0</v>
      </c>
      <c r="O2023" s="4">
        <v>0</v>
      </c>
    </row>
    <row r="2024" spans="1:15" x14ac:dyDescent="0.15">
      <c r="A2024" s="4">
        <v>2021</v>
      </c>
      <c r="B2024" s="4">
        <v>59</v>
      </c>
      <c r="C2024" s="4">
        <v>34</v>
      </c>
      <c r="D2024" s="4">
        <v>33</v>
      </c>
      <c r="E2024" s="4">
        <v>3</v>
      </c>
      <c r="F2024" s="8">
        <v>0.2</v>
      </c>
      <c r="G2024" s="4">
        <v>1</v>
      </c>
      <c r="H2024" s="4">
        <f t="shared" si="62"/>
        <v>1</v>
      </c>
      <c r="I2024" s="4">
        <f t="shared" si="63"/>
        <v>0</v>
      </c>
      <c r="J2024" s="4">
        <v>0</v>
      </c>
      <c r="K2024" s="4">
        <v>1</v>
      </c>
      <c r="L2024" s="4">
        <v>0</v>
      </c>
      <c r="M2024" s="4">
        <v>0</v>
      </c>
      <c r="N2024" s="4">
        <v>0</v>
      </c>
      <c r="O2024" s="4">
        <v>0</v>
      </c>
    </row>
    <row r="2025" spans="1:15" x14ac:dyDescent="0.15">
      <c r="A2025" s="4">
        <v>2022</v>
      </c>
      <c r="B2025" s="4">
        <v>46</v>
      </c>
      <c r="C2025" s="4">
        <v>20</v>
      </c>
      <c r="D2025" s="4">
        <v>103</v>
      </c>
      <c r="E2025" s="4">
        <v>4</v>
      </c>
      <c r="F2025" s="8">
        <v>4.8</v>
      </c>
      <c r="G2025" s="4">
        <v>3</v>
      </c>
      <c r="H2025" s="4">
        <f t="shared" si="62"/>
        <v>0</v>
      </c>
      <c r="I2025" s="4">
        <f t="shared" si="63"/>
        <v>0</v>
      </c>
      <c r="J2025" s="4">
        <v>0</v>
      </c>
      <c r="K2025" s="4">
        <v>0</v>
      </c>
      <c r="L2025" s="4">
        <v>0</v>
      </c>
      <c r="M2025" s="4">
        <v>1</v>
      </c>
      <c r="N2025" s="4">
        <v>0</v>
      </c>
      <c r="O2025" s="4">
        <v>1</v>
      </c>
    </row>
    <row r="2026" spans="1:15" x14ac:dyDescent="0.15">
      <c r="A2026" s="4">
        <v>2023</v>
      </c>
      <c r="B2026" s="4">
        <v>33</v>
      </c>
      <c r="C2026" s="4">
        <v>3</v>
      </c>
      <c r="D2026" s="4">
        <v>71</v>
      </c>
      <c r="E2026" s="4">
        <v>4</v>
      </c>
      <c r="F2026" s="8">
        <v>1.8</v>
      </c>
      <c r="G2026" s="4">
        <v>3</v>
      </c>
      <c r="H2026" s="4">
        <f t="shared" si="62"/>
        <v>0</v>
      </c>
      <c r="I2026" s="4">
        <f t="shared" si="63"/>
        <v>0</v>
      </c>
      <c r="J2026" s="4">
        <v>236</v>
      </c>
      <c r="K2026" s="4">
        <v>0</v>
      </c>
      <c r="L2026" s="4">
        <v>0</v>
      </c>
      <c r="M2026" s="4">
        <v>0</v>
      </c>
      <c r="N2026" s="4">
        <v>0</v>
      </c>
      <c r="O2026" s="4">
        <v>0</v>
      </c>
    </row>
    <row r="2027" spans="1:15" x14ac:dyDescent="0.15">
      <c r="A2027" s="4">
        <v>2024</v>
      </c>
      <c r="B2027" s="4">
        <v>55</v>
      </c>
      <c r="C2027" s="4">
        <v>29</v>
      </c>
      <c r="D2027" s="4">
        <v>55</v>
      </c>
      <c r="E2027" s="4">
        <v>1</v>
      </c>
      <c r="F2027" s="8">
        <v>0.2</v>
      </c>
      <c r="G2027" s="4">
        <v>1</v>
      </c>
      <c r="H2027" s="4">
        <f t="shared" si="62"/>
        <v>1</v>
      </c>
      <c r="I2027" s="4">
        <f t="shared" si="63"/>
        <v>0</v>
      </c>
      <c r="J2027" s="4">
        <v>151</v>
      </c>
      <c r="K2027" s="4">
        <v>0</v>
      </c>
      <c r="L2027" s="4">
        <v>0</v>
      </c>
      <c r="M2027" s="4">
        <v>1</v>
      </c>
      <c r="N2027" s="4">
        <v>0</v>
      </c>
      <c r="O2027" s="4">
        <v>0</v>
      </c>
    </row>
    <row r="2028" spans="1:15" x14ac:dyDescent="0.15">
      <c r="A2028" s="4">
        <v>2025</v>
      </c>
      <c r="B2028" s="4">
        <v>36</v>
      </c>
      <c r="C2028" s="4">
        <v>12</v>
      </c>
      <c r="D2028" s="4">
        <v>113</v>
      </c>
      <c r="E2028" s="4">
        <v>4</v>
      </c>
      <c r="F2028" s="8">
        <v>0.2</v>
      </c>
      <c r="G2028" s="4">
        <v>1</v>
      </c>
      <c r="H2028" s="4">
        <f t="shared" si="62"/>
        <v>1</v>
      </c>
      <c r="I2028" s="4">
        <f t="shared" si="63"/>
        <v>0</v>
      </c>
      <c r="J2028" s="4">
        <v>0</v>
      </c>
      <c r="K2028" s="4">
        <v>0</v>
      </c>
      <c r="L2028" s="4">
        <v>0</v>
      </c>
      <c r="M2028" s="4">
        <v>0</v>
      </c>
      <c r="N2028" s="4">
        <v>0</v>
      </c>
      <c r="O2028" s="4">
        <v>1</v>
      </c>
    </row>
    <row r="2029" spans="1:15" x14ac:dyDescent="0.15">
      <c r="A2029" s="4">
        <v>2026</v>
      </c>
      <c r="B2029" s="4">
        <v>47</v>
      </c>
      <c r="C2029" s="4">
        <v>20</v>
      </c>
      <c r="D2029" s="4">
        <v>79</v>
      </c>
      <c r="E2029" s="4">
        <v>3</v>
      </c>
      <c r="F2029" s="8">
        <v>2</v>
      </c>
      <c r="G2029" s="4">
        <v>2</v>
      </c>
      <c r="H2029" s="4">
        <f t="shared" si="62"/>
        <v>0</v>
      </c>
      <c r="I2029" s="4">
        <f t="shared" si="63"/>
        <v>1</v>
      </c>
      <c r="J2029" s="4">
        <v>185</v>
      </c>
      <c r="K2029" s="4">
        <v>1</v>
      </c>
      <c r="L2029" s="4">
        <v>0</v>
      </c>
      <c r="M2029" s="4">
        <v>0</v>
      </c>
      <c r="N2029" s="4">
        <v>0</v>
      </c>
      <c r="O2029" s="4">
        <v>0</v>
      </c>
    </row>
    <row r="2030" spans="1:15" x14ac:dyDescent="0.15">
      <c r="A2030" s="4">
        <v>2027</v>
      </c>
      <c r="B2030" s="4">
        <v>59</v>
      </c>
      <c r="C2030" s="4">
        <v>33</v>
      </c>
      <c r="D2030" s="4">
        <v>80</v>
      </c>
      <c r="E2030" s="4">
        <v>2</v>
      </c>
      <c r="F2030" s="8">
        <v>0.7</v>
      </c>
      <c r="G2030" s="4">
        <v>2</v>
      </c>
      <c r="H2030" s="4">
        <f t="shared" si="62"/>
        <v>0</v>
      </c>
      <c r="I2030" s="4">
        <f t="shared" si="63"/>
        <v>1</v>
      </c>
      <c r="J2030" s="4">
        <v>0</v>
      </c>
      <c r="K2030" s="4">
        <v>0</v>
      </c>
      <c r="L2030" s="4">
        <v>0</v>
      </c>
      <c r="M2030" s="4">
        <v>1</v>
      </c>
      <c r="N2030" s="4">
        <v>0</v>
      </c>
      <c r="O2030" s="4">
        <v>0</v>
      </c>
    </row>
    <row r="2031" spans="1:15" x14ac:dyDescent="0.15">
      <c r="A2031" s="4">
        <v>2028</v>
      </c>
      <c r="B2031" s="4">
        <v>38</v>
      </c>
      <c r="C2031" s="4">
        <v>12</v>
      </c>
      <c r="D2031" s="4">
        <v>179</v>
      </c>
      <c r="E2031" s="4">
        <v>2</v>
      </c>
      <c r="F2031" s="8">
        <v>0</v>
      </c>
      <c r="G2031" s="4">
        <v>1</v>
      </c>
      <c r="H2031" s="4">
        <f t="shared" si="62"/>
        <v>1</v>
      </c>
      <c r="I2031" s="4">
        <f t="shared" si="63"/>
        <v>0</v>
      </c>
      <c r="J2031" s="4">
        <v>380</v>
      </c>
      <c r="K2031" s="4">
        <v>0</v>
      </c>
      <c r="L2031" s="4">
        <v>0</v>
      </c>
      <c r="M2031" s="4">
        <v>0</v>
      </c>
      <c r="N2031" s="4">
        <v>0</v>
      </c>
      <c r="O2031" s="4">
        <v>0</v>
      </c>
    </row>
    <row r="2032" spans="1:15" x14ac:dyDescent="0.15">
      <c r="A2032" s="4">
        <v>2029</v>
      </c>
      <c r="B2032" s="4">
        <v>42</v>
      </c>
      <c r="C2032" s="4">
        <v>17</v>
      </c>
      <c r="D2032" s="4">
        <v>9</v>
      </c>
      <c r="E2032" s="4">
        <v>2</v>
      </c>
      <c r="F2032" s="8">
        <v>0</v>
      </c>
      <c r="G2032" s="4">
        <v>3</v>
      </c>
      <c r="H2032" s="4">
        <f t="shared" si="62"/>
        <v>0</v>
      </c>
      <c r="I2032" s="4">
        <f t="shared" si="63"/>
        <v>0</v>
      </c>
      <c r="J2032" s="4">
        <v>0</v>
      </c>
      <c r="K2032" s="4">
        <v>0</v>
      </c>
      <c r="L2032" s="4">
        <v>0</v>
      </c>
      <c r="M2032" s="4">
        <v>0</v>
      </c>
      <c r="N2032" s="4">
        <v>0</v>
      </c>
      <c r="O2032" s="4">
        <v>0</v>
      </c>
    </row>
    <row r="2033" spans="1:15" x14ac:dyDescent="0.15">
      <c r="A2033" s="4">
        <v>2030</v>
      </c>
      <c r="B2033" s="4">
        <v>30</v>
      </c>
      <c r="C2033" s="4">
        <v>3</v>
      </c>
      <c r="D2033" s="4">
        <v>61</v>
      </c>
      <c r="E2033" s="4">
        <v>4</v>
      </c>
      <c r="F2033" s="8">
        <v>2</v>
      </c>
      <c r="G2033" s="4">
        <v>2</v>
      </c>
      <c r="H2033" s="4">
        <f t="shared" si="62"/>
        <v>0</v>
      </c>
      <c r="I2033" s="4">
        <f t="shared" si="63"/>
        <v>1</v>
      </c>
      <c r="J2033" s="4">
        <v>0</v>
      </c>
      <c r="K2033" s="4">
        <v>0</v>
      </c>
      <c r="L2033" s="4">
        <v>0</v>
      </c>
      <c r="M2033" s="4">
        <v>1</v>
      </c>
      <c r="N2033" s="4">
        <v>0</v>
      </c>
      <c r="O2033" s="4">
        <v>0</v>
      </c>
    </row>
    <row r="2034" spans="1:15" x14ac:dyDescent="0.15">
      <c r="A2034" s="4">
        <v>2031</v>
      </c>
      <c r="B2034" s="4">
        <v>63</v>
      </c>
      <c r="C2034" s="4">
        <v>38</v>
      </c>
      <c r="D2034" s="4">
        <v>111</v>
      </c>
      <c r="E2034" s="4">
        <v>2</v>
      </c>
      <c r="F2034" s="8">
        <v>3.9</v>
      </c>
      <c r="G2034" s="4">
        <v>1</v>
      </c>
      <c r="H2034" s="4">
        <f t="shared" si="62"/>
        <v>1</v>
      </c>
      <c r="I2034" s="4">
        <f t="shared" si="63"/>
        <v>0</v>
      </c>
      <c r="J2034" s="4">
        <v>207</v>
      </c>
      <c r="K2034" s="4">
        <v>1</v>
      </c>
      <c r="L2034" s="4">
        <v>1</v>
      </c>
      <c r="M2034" s="4">
        <v>1</v>
      </c>
      <c r="N2034" s="4">
        <v>1</v>
      </c>
      <c r="O2034" s="4">
        <v>0</v>
      </c>
    </row>
    <row r="2035" spans="1:15" x14ac:dyDescent="0.15">
      <c r="A2035" s="4">
        <v>2032</v>
      </c>
      <c r="B2035" s="4">
        <v>60</v>
      </c>
      <c r="C2035" s="4">
        <v>35</v>
      </c>
      <c r="D2035" s="4">
        <v>80</v>
      </c>
      <c r="E2035" s="4">
        <v>3</v>
      </c>
      <c r="F2035" s="8">
        <v>0.5</v>
      </c>
      <c r="G2035" s="4">
        <v>1</v>
      </c>
      <c r="H2035" s="4">
        <f t="shared" si="62"/>
        <v>1</v>
      </c>
      <c r="I2035" s="4">
        <f t="shared" si="63"/>
        <v>0</v>
      </c>
      <c r="J2035" s="4">
        <v>0</v>
      </c>
      <c r="K2035" s="4">
        <v>0</v>
      </c>
      <c r="L2035" s="4">
        <v>0</v>
      </c>
      <c r="M2035" s="4">
        <v>1</v>
      </c>
      <c r="N2035" s="4">
        <v>0</v>
      </c>
      <c r="O2035" s="4">
        <v>0</v>
      </c>
    </row>
    <row r="2036" spans="1:15" x14ac:dyDescent="0.15">
      <c r="A2036" s="4">
        <v>2033</v>
      </c>
      <c r="B2036" s="4">
        <v>62</v>
      </c>
      <c r="C2036" s="4">
        <v>37</v>
      </c>
      <c r="D2036" s="4">
        <v>32</v>
      </c>
      <c r="E2036" s="4">
        <v>3</v>
      </c>
      <c r="F2036" s="8">
        <v>0.2</v>
      </c>
      <c r="G2036" s="4">
        <v>1</v>
      </c>
      <c r="H2036" s="4">
        <f t="shared" si="62"/>
        <v>1</v>
      </c>
      <c r="I2036" s="4">
        <f t="shared" si="63"/>
        <v>0</v>
      </c>
      <c r="J2036" s="4">
        <v>0</v>
      </c>
      <c r="K2036" s="4">
        <v>1</v>
      </c>
      <c r="L2036" s="4">
        <v>0</v>
      </c>
      <c r="M2036" s="4">
        <v>0</v>
      </c>
      <c r="N2036" s="4">
        <v>1</v>
      </c>
      <c r="O2036" s="4">
        <v>0</v>
      </c>
    </row>
    <row r="2037" spans="1:15" x14ac:dyDescent="0.15">
      <c r="A2037" s="4">
        <v>2034</v>
      </c>
      <c r="B2037" s="4">
        <v>49</v>
      </c>
      <c r="C2037" s="4">
        <v>23</v>
      </c>
      <c r="D2037" s="4">
        <v>83</v>
      </c>
      <c r="E2037" s="4">
        <v>1</v>
      </c>
      <c r="F2037" s="8">
        <v>0.3</v>
      </c>
      <c r="G2037" s="4">
        <v>1</v>
      </c>
      <c r="H2037" s="4">
        <f t="shared" si="62"/>
        <v>1</v>
      </c>
      <c r="I2037" s="4">
        <f t="shared" si="63"/>
        <v>0</v>
      </c>
      <c r="J2037" s="4">
        <v>0</v>
      </c>
      <c r="K2037" s="4">
        <v>0</v>
      </c>
      <c r="L2037" s="4">
        <v>0</v>
      </c>
      <c r="M2037" s="4">
        <v>1</v>
      </c>
      <c r="N2037" s="4">
        <v>1</v>
      </c>
      <c r="O2037" s="4">
        <v>0</v>
      </c>
    </row>
    <row r="2038" spans="1:15" x14ac:dyDescent="0.15">
      <c r="A2038" s="4">
        <v>2035</v>
      </c>
      <c r="B2038" s="4">
        <v>59</v>
      </c>
      <c r="C2038" s="4">
        <v>33</v>
      </c>
      <c r="D2038" s="4">
        <v>91</v>
      </c>
      <c r="E2038" s="4">
        <v>4</v>
      </c>
      <c r="F2038" s="8">
        <v>1.9</v>
      </c>
      <c r="G2038" s="4">
        <v>2</v>
      </c>
      <c r="H2038" s="4">
        <f t="shared" si="62"/>
        <v>0</v>
      </c>
      <c r="I2038" s="4">
        <f t="shared" si="63"/>
        <v>1</v>
      </c>
      <c r="J2038" s="4">
        <v>329</v>
      </c>
      <c r="K2038" s="4">
        <v>0</v>
      </c>
      <c r="L2038" s="4">
        <v>0</v>
      </c>
      <c r="M2038" s="4">
        <v>0</v>
      </c>
      <c r="N2038" s="4">
        <v>0</v>
      </c>
      <c r="O2038" s="4">
        <v>0</v>
      </c>
    </row>
    <row r="2039" spans="1:15" x14ac:dyDescent="0.15">
      <c r="A2039" s="4">
        <v>2036</v>
      </c>
      <c r="B2039" s="4">
        <v>36</v>
      </c>
      <c r="C2039" s="4">
        <v>10</v>
      </c>
      <c r="D2039" s="4">
        <v>29</v>
      </c>
      <c r="E2039" s="4">
        <v>4</v>
      </c>
      <c r="F2039" s="8">
        <v>1</v>
      </c>
      <c r="G2039" s="4">
        <v>1</v>
      </c>
      <c r="H2039" s="4">
        <f t="shared" si="62"/>
        <v>1</v>
      </c>
      <c r="I2039" s="4">
        <f t="shared" si="63"/>
        <v>0</v>
      </c>
      <c r="J2039" s="4">
        <v>0</v>
      </c>
      <c r="K2039" s="4">
        <v>0</v>
      </c>
      <c r="L2039" s="4">
        <v>0</v>
      </c>
      <c r="M2039" s="4">
        <v>1</v>
      </c>
      <c r="N2039" s="4">
        <v>1</v>
      </c>
      <c r="O2039" s="4">
        <v>0</v>
      </c>
    </row>
    <row r="2040" spans="1:15" x14ac:dyDescent="0.15">
      <c r="A2040" s="4">
        <v>2037</v>
      </c>
      <c r="B2040" s="4">
        <v>46</v>
      </c>
      <c r="C2040" s="4">
        <v>19</v>
      </c>
      <c r="D2040" s="4">
        <v>19</v>
      </c>
      <c r="E2040" s="4">
        <v>3</v>
      </c>
      <c r="F2040" s="8">
        <v>0.66666666666666663</v>
      </c>
      <c r="G2040" s="4">
        <v>2</v>
      </c>
      <c r="H2040" s="4">
        <f t="shared" si="62"/>
        <v>0</v>
      </c>
      <c r="I2040" s="4">
        <f t="shared" si="63"/>
        <v>1</v>
      </c>
      <c r="J2040" s="4">
        <v>0</v>
      </c>
      <c r="K2040" s="4">
        <v>0</v>
      </c>
      <c r="L2040" s="4">
        <v>0</v>
      </c>
      <c r="M2040" s="4">
        <v>1</v>
      </c>
      <c r="N2040" s="4">
        <v>0</v>
      </c>
      <c r="O2040" s="4">
        <v>0</v>
      </c>
    </row>
    <row r="2041" spans="1:15" x14ac:dyDescent="0.15">
      <c r="A2041" s="4">
        <v>2038</v>
      </c>
      <c r="B2041" s="4">
        <v>35</v>
      </c>
      <c r="C2041" s="4">
        <v>8</v>
      </c>
      <c r="D2041" s="4">
        <v>52</v>
      </c>
      <c r="E2041" s="4">
        <v>2</v>
      </c>
      <c r="F2041" s="8">
        <v>1</v>
      </c>
      <c r="G2041" s="4">
        <v>2</v>
      </c>
      <c r="H2041" s="4">
        <f t="shared" si="62"/>
        <v>0</v>
      </c>
      <c r="I2041" s="4">
        <f t="shared" si="63"/>
        <v>1</v>
      </c>
      <c r="J2041" s="4">
        <v>0</v>
      </c>
      <c r="K2041" s="4">
        <v>0</v>
      </c>
      <c r="L2041" s="4">
        <v>0</v>
      </c>
      <c r="M2041" s="4">
        <v>0</v>
      </c>
      <c r="N2041" s="4">
        <v>1</v>
      </c>
      <c r="O2041" s="4">
        <v>0</v>
      </c>
    </row>
    <row r="2042" spans="1:15" x14ac:dyDescent="0.15">
      <c r="A2042" s="4">
        <v>2039</v>
      </c>
      <c r="B2042" s="4">
        <v>50</v>
      </c>
      <c r="C2042" s="4">
        <v>24</v>
      </c>
      <c r="D2042" s="4">
        <v>150</v>
      </c>
      <c r="E2042" s="4">
        <v>1</v>
      </c>
      <c r="F2042" s="8">
        <v>7.3</v>
      </c>
      <c r="G2042" s="4">
        <v>1</v>
      </c>
      <c r="H2042" s="4">
        <f t="shared" si="62"/>
        <v>1</v>
      </c>
      <c r="I2042" s="4">
        <f t="shared" si="63"/>
        <v>0</v>
      </c>
      <c r="J2042" s="4">
        <v>0</v>
      </c>
      <c r="K2042" s="4">
        <v>0</v>
      </c>
      <c r="L2042" s="4">
        <v>0</v>
      </c>
      <c r="M2042" s="4">
        <v>1</v>
      </c>
      <c r="N2042" s="4">
        <v>1</v>
      </c>
      <c r="O2042" s="4">
        <v>0</v>
      </c>
    </row>
    <row r="2043" spans="1:15" x14ac:dyDescent="0.15">
      <c r="A2043" s="4">
        <v>2040</v>
      </c>
      <c r="B2043" s="4">
        <v>51</v>
      </c>
      <c r="C2043" s="4">
        <v>25</v>
      </c>
      <c r="D2043" s="4">
        <v>32</v>
      </c>
      <c r="E2043" s="4">
        <v>2</v>
      </c>
      <c r="F2043" s="8">
        <v>0.4</v>
      </c>
      <c r="G2043" s="4">
        <v>3</v>
      </c>
      <c r="H2043" s="4">
        <f t="shared" si="62"/>
        <v>0</v>
      </c>
      <c r="I2043" s="4">
        <f t="shared" si="63"/>
        <v>0</v>
      </c>
      <c r="J2043" s="4">
        <v>0</v>
      </c>
      <c r="K2043" s="4">
        <v>0</v>
      </c>
      <c r="L2043" s="4">
        <v>0</v>
      </c>
      <c r="M2043" s="4">
        <v>1</v>
      </c>
      <c r="N2043" s="4">
        <v>0</v>
      </c>
      <c r="O2043" s="4">
        <v>0</v>
      </c>
    </row>
    <row r="2044" spans="1:15" x14ac:dyDescent="0.15">
      <c r="A2044" s="4">
        <v>2041</v>
      </c>
      <c r="B2044" s="4">
        <v>41</v>
      </c>
      <c r="C2044" s="4">
        <v>16</v>
      </c>
      <c r="D2044" s="4">
        <v>91</v>
      </c>
      <c r="E2044" s="4">
        <v>3</v>
      </c>
      <c r="F2044" s="8">
        <v>0.5</v>
      </c>
      <c r="G2044" s="4">
        <v>3</v>
      </c>
      <c r="H2044" s="4">
        <f t="shared" si="62"/>
        <v>0</v>
      </c>
      <c r="I2044" s="4">
        <f t="shared" si="63"/>
        <v>0</v>
      </c>
      <c r="J2044" s="4">
        <v>0</v>
      </c>
      <c r="K2044" s="4">
        <v>0</v>
      </c>
      <c r="L2044" s="4">
        <v>0</v>
      </c>
      <c r="M2044" s="4">
        <v>0</v>
      </c>
      <c r="N2044" s="4">
        <v>0</v>
      </c>
      <c r="O2044" s="4">
        <v>0</v>
      </c>
    </row>
    <row r="2045" spans="1:15" x14ac:dyDescent="0.15">
      <c r="A2045" s="4">
        <v>2042</v>
      </c>
      <c r="B2045" s="4">
        <v>45</v>
      </c>
      <c r="C2045" s="4">
        <v>20</v>
      </c>
      <c r="D2045" s="4">
        <v>180</v>
      </c>
      <c r="E2045" s="4">
        <v>3</v>
      </c>
      <c r="F2045" s="8">
        <v>8.5</v>
      </c>
      <c r="G2045" s="4">
        <v>2</v>
      </c>
      <c r="H2045" s="4">
        <f t="shared" si="62"/>
        <v>0</v>
      </c>
      <c r="I2045" s="4">
        <f t="shared" si="63"/>
        <v>1</v>
      </c>
      <c r="J2045" s="4">
        <v>535</v>
      </c>
      <c r="K2045" s="4">
        <v>0</v>
      </c>
      <c r="L2045" s="4">
        <v>0</v>
      </c>
      <c r="M2045" s="4">
        <v>0</v>
      </c>
      <c r="N2045" s="4">
        <v>0</v>
      </c>
      <c r="O2045" s="4">
        <v>1</v>
      </c>
    </row>
    <row r="2046" spans="1:15" x14ac:dyDescent="0.15">
      <c r="A2046" s="4">
        <v>2043</v>
      </c>
      <c r="B2046" s="4">
        <v>41</v>
      </c>
      <c r="C2046" s="4">
        <v>17</v>
      </c>
      <c r="D2046" s="4">
        <v>121</v>
      </c>
      <c r="E2046" s="4">
        <v>1</v>
      </c>
      <c r="F2046" s="8">
        <v>0.3</v>
      </c>
      <c r="G2046" s="4">
        <v>1</v>
      </c>
      <c r="H2046" s="4">
        <f t="shared" si="62"/>
        <v>1</v>
      </c>
      <c r="I2046" s="4">
        <f t="shared" si="63"/>
        <v>0</v>
      </c>
      <c r="J2046" s="4">
        <v>0</v>
      </c>
      <c r="K2046" s="4">
        <v>0</v>
      </c>
      <c r="L2046" s="4">
        <v>0</v>
      </c>
      <c r="M2046" s="4">
        <v>1</v>
      </c>
      <c r="N2046" s="4">
        <v>0</v>
      </c>
      <c r="O2046" s="4">
        <v>0</v>
      </c>
    </row>
    <row r="2047" spans="1:15" x14ac:dyDescent="0.15">
      <c r="A2047" s="4">
        <v>2044</v>
      </c>
      <c r="B2047" s="4">
        <v>57</v>
      </c>
      <c r="C2047" s="4">
        <v>32</v>
      </c>
      <c r="D2047" s="4">
        <v>25</v>
      </c>
      <c r="E2047" s="4">
        <v>2</v>
      </c>
      <c r="F2047" s="8">
        <v>0.2</v>
      </c>
      <c r="G2047" s="4">
        <v>3</v>
      </c>
      <c r="H2047" s="4">
        <f t="shared" si="62"/>
        <v>0</v>
      </c>
      <c r="I2047" s="4">
        <f t="shared" si="63"/>
        <v>0</v>
      </c>
      <c r="J2047" s="4">
        <v>0</v>
      </c>
      <c r="K2047" s="4">
        <v>0</v>
      </c>
      <c r="L2047" s="4">
        <v>0</v>
      </c>
      <c r="M2047" s="4">
        <v>1</v>
      </c>
      <c r="N2047" s="4">
        <v>1</v>
      </c>
      <c r="O2047" s="4">
        <v>0</v>
      </c>
    </row>
    <row r="2048" spans="1:15" x14ac:dyDescent="0.15">
      <c r="A2048" s="4">
        <v>2045</v>
      </c>
      <c r="B2048" s="4">
        <v>51</v>
      </c>
      <c r="C2048" s="4">
        <v>25</v>
      </c>
      <c r="D2048" s="4">
        <v>102</v>
      </c>
      <c r="E2048" s="4">
        <v>1</v>
      </c>
      <c r="F2048" s="8">
        <v>0.3</v>
      </c>
      <c r="G2048" s="4">
        <v>1</v>
      </c>
      <c r="H2048" s="4">
        <f t="shared" si="62"/>
        <v>1</v>
      </c>
      <c r="I2048" s="4">
        <f t="shared" si="63"/>
        <v>0</v>
      </c>
      <c r="J2048" s="4">
        <v>0</v>
      </c>
      <c r="K2048" s="4">
        <v>0</v>
      </c>
      <c r="L2048" s="4">
        <v>0</v>
      </c>
      <c r="M2048" s="4">
        <v>1</v>
      </c>
      <c r="N2048" s="4">
        <v>0</v>
      </c>
      <c r="O2048" s="4">
        <v>0</v>
      </c>
    </row>
    <row r="2049" spans="1:15" x14ac:dyDescent="0.15">
      <c r="A2049" s="4">
        <v>2046</v>
      </c>
      <c r="B2049" s="4">
        <v>52</v>
      </c>
      <c r="C2049" s="4">
        <v>28</v>
      </c>
      <c r="D2049" s="4">
        <v>44</v>
      </c>
      <c r="E2049" s="4">
        <v>4</v>
      </c>
      <c r="F2049" s="8">
        <v>0.9</v>
      </c>
      <c r="G2049" s="4">
        <v>2</v>
      </c>
      <c r="H2049" s="4">
        <f t="shared" si="62"/>
        <v>0</v>
      </c>
      <c r="I2049" s="4">
        <f t="shared" si="63"/>
        <v>1</v>
      </c>
      <c r="J2049" s="4">
        <v>107</v>
      </c>
      <c r="K2049" s="4">
        <v>0</v>
      </c>
      <c r="L2049" s="4">
        <v>0</v>
      </c>
      <c r="M2049" s="4">
        <v>1</v>
      </c>
      <c r="N2049" s="4">
        <v>0</v>
      </c>
      <c r="O2049" s="4">
        <v>0</v>
      </c>
    </row>
    <row r="2050" spans="1:15" x14ac:dyDescent="0.15">
      <c r="A2050" s="4">
        <v>2047</v>
      </c>
      <c r="B2050" s="4">
        <v>43</v>
      </c>
      <c r="C2050" s="4">
        <v>16</v>
      </c>
      <c r="D2050" s="4">
        <v>161</v>
      </c>
      <c r="E2050" s="4">
        <v>3</v>
      </c>
      <c r="F2050" s="8">
        <v>8</v>
      </c>
      <c r="G2050" s="4">
        <v>2</v>
      </c>
      <c r="H2050" s="4">
        <f t="shared" si="62"/>
        <v>0</v>
      </c>
      <c r="I2050" s="4">
        <f t="shared" si="63"/>
        <v>1</v>
      </c>
      <c r="J2050" s="4">
        <v>0</v>
      </c>
      <c r="K2050" s="4">
        <v>0</v>
      </c>
      <c r="L2050" s="4">
        <v>1</v>
      </c>
      <c r="M2050" s="4">
        <v>1</v>
      </c>
      <c r="N2050" s="4">
        <v>1</v>
      </c>
      <c r="O2050" s="4">
        <v>1</v>
      </c>
    </row>
    <row r="2051" spans="1:15" x14ac:dyDescent="0.15">
      <c r="A2051" s="4">
        <v>2048</v>
      </c>
      <c r="B2051" s="4">
        <v>63</v>
      </c>
      <c r="C2051" s="4">
        <v>38</v>
      </c>
      <c r="D2051" s="4">
        <v>134</v>
      </c>
      <c r="E2051" s="4">
        <v>3</v>
      </c>
      <c r="F2051" s="8">
        <v>4</v>
      </c>
      <c r="G2051" s="4">
        <v>2</v>
      </c>
      <c r="H2051" s="4">
        <f t="shared" si="62"/>
        <v>0</v>
      </c>
      <c r="I2051" s="4">
        <f t="shared" si="63"/>
        <v>1</v>
      </c>
      <c r="J2051" s="4">
        <v>0</v>
      </c>
      <c r="K2051" s="4">
        <v>0</v>
      </c>
      <c r="L2051" s="4">
        <v>0</v>
      </c>
      <c r="M2051" s="4">
        <v>0</v>
      </c>
      <c r="N2051" s="4">
        <v>1</v>
      </c>
      <c r="O2051" s="4">
        <v>1</v>
      </c>
    </row>
    <row r="2052" spans="1:15" x14ac:dyDescent="0.15">
      <c r="A2052" s="4">
        <v>2049</v>
      </c>
      <c r="B2052" s="4">
        <v>28</v>
      </c>
      <c r="C2052" s="4">
        <v>4</v>
      </c>
      <c r="D2052" s="4">
        <v>43</v>
      </c>
      <c r="E2052" s="4">
        <v>1</v>
      </c>
      <c r="F2052" s="8">
        <v>1.8</v>
      </c>
      <c r="G2052" s="4">
        <v>2</v>
      </c>
      <c r="H2052" s="4">
        <f t="shared" si="62"/>
        <v>0</v>
      </c>
      <c r="I2052" s="4">
        <f t="shared" si="63"/>
        <v>1</v>
      </c>
      <c r="J2052" s="4">
        <v>0</v>
      </c>
      <c r="K2052" s="4">
        <v>0</v>
      </c>
      <c r="L2052" s="4">
        <v>0</v>
      </c>
      <c r="M2052" s="4">
        <v>1</v>
      </c>
      <c r="N2052" s="4">
        <v>1</v>
      </c>
      <c r="O2052" s="4">
        <v>0</v>
      </c>
    </row>
    <row r="2053" spans="1:15" x14ac:dyDescent="0.15">
      <c r="A2053" s="4">
        <v>2050</v>
      </c>
      <c r="B2053" s="4">
        <v>43</v>
      </c>
      <c r="C2053" s="4">
        <v>18</v>
      </c>
      <c r="D2053" s="4">
        <v>94</v>
      </c>
      <c r="E2053" s="4">
        <v>4</v>
      </c>
      <c r="F2053" s="8">
        <v>1.1000000000000001</v>
      </c>
      <c r="G2053" s="4">
        <v>2</v>
      </c>
      <c r="H2053" s="4">
        <f t="shared" ref="H2053:H2116" si="64">IF(G2053=1,1,0)</f>
        <v>0</v>
      </c>
      <c r="I2053" s="4">
        <f t="shared" ref="I2053:I2116" si="65">IF(G2053=2,1,0)</f>
        <v>1</v>
      </c>
      <c r="J2053" s="4">
        <v>0</v>
      </c>
      <c r="K2053" s="4">
        <v>0</v>
      </c>
      <c r="L2053" s="4">
        <v>0</v>
      </c>
      <c r="M2053" s="4">
        <v>1</v>
      </c>
      <c r="N2053" s="4">
        <v>0</v>
      </c>
      <c r="O2053" s="4">
        <v>0</v>
      </c>
    </row>
    <row r="2054" spans="1:15" x14ac:dyDescent="0.15">
      <c r="A2054" s="4">
        <v>2051</v>
      </c>
      <c r="B2054" s="4">
        <v>41</v>
      </c>
      <c r="C2054" s="4">
        <v>15</v>
      </c>
      <c r="D2054" s="4">
        <v>29</v>
      </c>
      <c r="E2054" s="4">
        <v>2</v>
      </c>
      <c r="F2054" s="8">
        <v>0.8</v>
      </c>
      <c r="G2054" s="4">
        <v>3</v>
      </c>
      <c r="H2054" s="4">
        <f t="shared" si="64"/>
        <v>0</v>
      </c>
      <c r="I2054" s="4">
        <f t="shared" si="65"/>
        <v>0</v>
      </c>
      <c r="J2054" s="4">
        <v>98</v>
      </c>
      <c r="K2054" s="4">
        <v>0</v>
      </c>
      <c r="L2054" s="4">
        <v>0</v>
      </c>
      <c r="M2054" s="4">
        <v>0</v>
      </c>
      <c r="N2054" s="4">
        <v>0</v>
      </c>
      <c r="O2054" s="4">
        <v>0</v>
      </c>
    </row>
    <row r="2055" spans="1:15" x14ac:dyDescent="0.15">
      <c r="A2055" s="4">
        <v>2052</v>
      </c>
      <c r="B2055" s="4">
        <v>34</v>
      </c>
      <c r="C2055" s="4">
        <v>8</v>
      </c>
      <c r="D2055" s="4">
        <v>38</v>
      </c>
      <c r="E2055" s="4">
        <v>4</v>
      </c>
      <c r="F2055" s="8">
        <v>0.2</v>
      </c>
      <c r="G2055" s="4">
        <v>1</v>
      </c>
      <c r="H2055" s="4">
        <f t="shared" si="64"/>
        <v>1</v>
      </c>
      <c r="I2055" s="4">
        <f t="shared" si="65"/>
        <v>0</v>
      </c>
      <c r="J2055" s="4">
        <v>0</v>
      </c>
      <c r="K2055" s="4">
        <v>0</v>
      </c>
      <c r="L2055" s="4">
        <v>0</v>
      </c>
      <c r="M2055" s="4">
        <v>0</v>
      </c>
      <c r="N2055" s="4">
        <v>0</v>
      </c>
      <c r="O2055" s="4">
        <v>0</v>
      </c>
    </row>
    <row r="2056" spans="1:15" x14ac:dyDescent="0.15">
      <c r="A2056" s="4">
        <v>2053</v>
      </c>
      <c r="B2056" s="4">
        <v>28</v>
      </c>
      <c r="C2056" s="4">
        <v>3</v>
      </c>
      <c r="D2056" s="4">
        <v>120</v>
      </c>
      <c r="E2056" s="4">
        <v>1</v>
      </c>
      <c r="F2056" s="8">
        <v>0.8</v>
      </c>
      <c r="G2056" s="4">
        <v>1</v>
      </c>
      <c r="H2056" s="4">
        <f t="shared" si="64"/>
        <v>1</v>
      </c>
      <c r="I2056" s="4">
        <f t="shared" si="65"/>
        <v>0</v>
      </c>
      <c r="J2056" s="4">
        <v>170</v>
      </c>
      <c r="K2056" s="4">
        <v>0</v>
      </c>
      <c r="L2056" s="4">
        <v>0</v>
      </c>
      <c r="M2056" s="4">
        <v>0</v>
      </c>
      <c r="N2056" s="4">
        <v>0</v>
      </c>
      <c r="O2056" s="4">
        <v>0</v>
      </c>
    </row>
    <row r="2057" spans="1:15" x14ac:dyDescent="0.15">
      <c r="A2057" s="4">
        <v>2054</v>
      </c>
      <c r="B2057" s="4">
        <v>58</v>
      </c>
      <c r="C2057" s="4">
        <v>32</v>
      </c>
      <c r="D2057" s="4">
        <v>85</v>
      </c>
      <c r="E2057" s="4">
        <v>2</v>
      </c>
      <c r="F2057" s="8">
        <v>2</v>
      </c>
      <c r="G2057" s="4">
        <v>1</v>
      </c>
      <c r="H2057" s="4">
        <f t="shared" si="64"/>
        <v>1</v>
      </c>
      <c r="I2057" s="4">
        <f t="shared" si="65"/>
        <v>0</v>
      </c>
      <c r="J2057" s="4">
        <v>161</v>
      </c>
      <c r="K2057" s="4">
        <v>1</v>
      </c>
      <c r="L2057" s="4">
        <v>1</v>
      </c>
      <c r="M2057" s="4">
        <v>1</v>
      </c>
      <c r="N2057" s="4">
        <v>1</v>
      </c>
      <c r="O2057" s="4">
        <v>0</v>
      </c>
    </row>
    <row r="2058" spans="1:15" x14ac:dyDescent="0.15">
      <c r="A2058" s="4">
        <v>2055</v>
      </c>
      <c r="B2058" s="4">
        <v>39</v>
      </c>
      <c r="C2058" s="4">
        <v>15</v>
      </c>
      <c r="D2058" s="4">
        <v>89</v>
      </c>
      <c r="E2058" s="4">
        <v>2</v>
      </c>
      <c r="F2058" s="8">
        <v>1.9</v>
      </c>
      <c r="G2058" s="4">
        <v>1</v>
      </c>
      <c r="H2058" s="4">
        <f t="shared" si="64"/>
        <v>1</v>
      </c>
      <c r="I2058" s="4">
        <f t="shared" si="65"/>
        <v>0</v>
      </c>
      <c r="J2058" s="4">
        <v>0</v>
      </c>
      <c r="K2058" s="4">
        <v>0</v>
      </c>
      <c r="L2058" s="4">
        <v>0</v>
      </c>
      <c r="M2058" s="4">
        <v>0</v>
      </c>
      <c r="N2058" s="4">
        <v>0</v>
      </c>
      <c r="O2058" s="4">
        <v>0</v>
      </c>
    </row>
    <row r="2059" spans="1:15" x14ac:dyDescent="0.15">
      <c r="A2059" s="4">
        <v>2056</v>
      </c>
      <c r="B2059" s="4">
        <v>49</v>
      </c>
      <c r="C2059" s="4">
        <v>23</v>
      </c>
      <c r="D2059" s="4">
        <v>25</v>
      </c>
      <c r="E2059" s="4">
        <v>1</v>
      </c>
      <c r="F2059" s="8">
        <v>1.4</v>
      </c>
      <c r="G2059" s="4">
        <v>3</v>
      </c>
      <c r="H2059" s="4">
        <f t="shared" si="64"/>
        <v>0</v>
      </c>
      <c r="I2059" s="4">
        <f t="shared" si="65"/>
        <v>0</v>
      </c>
      <c r="J2059" s="4">
        <v>0</v>
      </c>
      <c r="K2059" s="4">
        <v>0</v>
      </c>
      <c r="L2059" s="4">
        <v>0</v>
      </c>
      <c r="M2059" s="4">
        <v>1</v>
      </c>
      <c r="N2059" s="4">
        <v>0</v>
      </c>
      <c r="O2059" s="4">
        <v>0</v>
      </c>
    </row>
    <row r="2060" spans="1:15" x14ac:dyDescent="0.15">
      <c r="A2060" s="4">
        <v>2057</v>
      </c>
      <c r="B2060" s="4">
        <v>33</v>
      </c>
      <c r="C2060" s="4">
        <v>8</v>
      </c>
      <c r="D2060" s="4">
        <v>20</v>
      </c>
      <c r="E2060" s="4">
        <v>3</v>
      </c>
      <c r="F2060" s="8">
        <v>1.3</v>
      </c>
      <c r="G2060" s="4">
        <v>1</v>
      </c>
      <c r="H2060" s="4">
        <f t="shared" si="64"/>
        <v>1</v>
      </c>
      <c r="I2060" s="4">
        <f t="shared" si="65"/>
        <v>0</v>
      </c>
      <c r="J2060" s="4">
        <v>83</v>
      </c>
      <c r="K2060" s="4">
        <v>0</v>
      </c>
      <c r="L2060" s="4">
        <v>0</v>
      </c>
      <c r="M2060" s="4">
        <v>0</v>
      </c>
      <c r="N2060" s="4">
        <v>1</v>
      </c>
      <c r="O2060" s="4">
        <v>0</v>
      </c>
    </row>
    <row r="2061" spans="1:15" x14ac:dyDescent="0.15">
      <c r="A2061" s="4">
        <v>2058</v>
      </c>
      <c r="B2061" s="4">
        <v>37</v>
      </c>
      <c r="C2061" s="4">
        <v>12</v>
      </c>
      <c r="D2061" s="4">
        <v>125</v>
      </c>
      <c r="E2061" s="4">
        <v>2</v>
      </c>
      <c r="F2061" s="8">
        <v>3.9</v>
      </c>
      <c r="G2061" s="4">
        <v>1</v>
      </c>
      <c r="H2061" s="4">
        <f t="shared" si="64"/>
        <v>1</v>
      </c>
      <c r="I2061" s="4">
        <f t="shared" si="65"/>
        <v>0</v>
      </c>
      <c r="J2061" s="4">
        <v>0</v>
      </c>
      <c r="K2061" s="4">
        <v>0</v>
      </c>
      <c r="L2061" s="4">
        <v>0</v>
      </c>
      <c r="M2061" s="4">
        <v>1</v>
      </c>
      <c r="N2061" s="4">
        <v>1</v>
      </c>
      <c r="O2061" s="4">
        <v>0</v>
      </c>
    </row>
    <row r="2062" spans="1:15" x14ac:dyDescent="0.15">
      <c r="A2062" s="4">
        <v>2059</v>
      </c>
      <c r="B2062" s="4">
        <v>33</v>
      </c>
      <c r="C2062" s="4">
        <v>7</v>
      </c>
      <c r="D2062" s="4">
        <v>18</v>
      </c>
      <c r="E2062" s="4">
        <v>1</v>
      </c>
      <c r="F2062" s="8">
        <v>0.6</v>
      </c>
      <c r="G2062" s="4">
        <v>3</v>
      </c>
      <c r="H2062" s="4">
        <f t="shared" si="64"/>
        <v>0</v>
      </c>
      <c r="I2062" s="4">
        <f t="shared" si="65"/>
        <v>0</v>
      </c>
      <c r="J2062" s="4">
        <v>0</v>
      </c>
      <c r="K2062" s="4">
        <v>0</v>
      </c>
      <c r="L2062" s="4">
        <v>0</v>
      </c>
      <c r="M2062" s="4">
        <v>0</v>
      </c>
      <c r="N2062" s="4">
        <v>0</v>
      </c>
      <c r="O2062" s="4">
        <v>0</v>
      </c>
    </row>
    <row r="2063" spans="1:15" x14ac:dyDescent="0.15">
      <c r="A2063" s="4">
        <v>2060</v>
      </c>
      <c r="B2063" s="4">
        <v>28</v>
      </c>
      <c r="C2063" s="4">
        <v>3</v>
      </c>
      <c r="D2063" s="4">
        <v>173</v>
      </c>
      <c r="E2063" s="4">
        <v>2</v>
      </c>
      <c r="F2063" s="8">
        <v>6.7</v>
      </c>
      <c r="G2063" s="4">
        <v>1</v>
      </c>
      <c r="H2063" s="4">
        <f t="shared" si="64"/>
        <v>1</v>
      </c>
      <c r="I2063" s="4">
        <f t="shared" si="65"/>
        <v>0</v>
      </c>
      <c r="J2063" s="4">
        <v>222</v>
      </c>
      <c r="K2063" s="4">
        <v>0</v>
      </c>
      <c r="L2063" s="4">
        <v>0</v>
      </c>
      <c r="M2063" s="4">
        <v>1</v>
      </c>
      <c r="N2063" s="4">
        <v>0</v>
      </c>
      <c r="O2063" s="4">
        <v>0</v>
      </c>
    </row>
    <row r="2064" spans="1:15" x14ac:dyDescent="0.15">
      <c r="A2064" s="4">
        <v>2061</v>
      </c>
      <c r="B2064" s="4">
        <v>54</v>
      </c>
      <c r="C2064" s="4">
        <v>29</v>
      </c>
      <c r="D2064" s="4">
        <v>34</v>
      </c>
      <c r="E2064" s="4">
        <v>4</v>
      </c>
      <c r="F2064" s="8">
        <v>0.1</v>
      </c>
      <c r="G2064" s="4">
        <v>3</v>
      </c>
      <c r="H2064" s="4">
        <f t="shared" si="64"/>
        <v>0</v>
      </c>
      <c r="I2064" s="4">
        <f t="shared" si="65"/>
        <v>0</v>
      </c>
      <c r="J2064" s="4">
        <v>0</v>
      </c>
      <c r="K2064" s="4">
        <v>0</v>
      </c>
      <c r="L2064" s="4">
        <v>0</v>
      </c>
      <c r="M2064" s="4">
        <v>1</v>
      </c>
      <c r="N2064" s="4">
        <v>1</v>
      </c>
      <c r="O2064" s="4">
        <v>0</v>
      </c>
    </row>
    <row r="2065" spans="1:15" x14ac:dyDescent="0.15">
      <c r="A2065" s="4">
        <v>2062</v>
      </c>
      <c r="B2065" s="4">
        <v>63</v>
      </c>
      <c r="C2065" s="4">
        <v>38</v>
      </c>
      <c r="D2065" s="4">
        <v>159</v>
      </c>
      <c r="E2065" s="4">
        <v>4</v>
      </c>
      <c r="F2065" s="8">
        <v>4.9000000000000004</v>
      </c>
      <c r="G2065" s="4">
        <v>2</v>
      </c>
      <c r="H2065" s="4">
        <f t="shared" si="64"/>
        <v>0</v>
      </c>
      <c r="I2065" s="4">
        <f t="shared" si="65"/>
        <v>1</v>
      </c>
      <c r="J2065" s="4">
        <v>111</v>
      </c>
      <c r="K2065" s="4">
        <v>0</v>
      </c>
      <c r="L2065" s="4">
        <v>0</v>
      </c>
      <c r="M2065" s="4">
        <v>0</v>
      </c>
      <c r="N2065" s="4">
        <v>0</v>
      </c>
      <c r="O2065" s="4">
        <v>1</v>
      </c>
    </row>
    <row r="2066" spans="1:15" x14ac:dyDescent="0.15">
      <c r="A2066" s="4">
        <v>2063</v>
      </c>
      <c r="B2066" s="4">
        <v>57</v>
      </c>
      <c r="C2066" s="4">
        <v>31</v>
      </c>
      <c r="D2066" s="4">
        <v>55</v>
      </c>
      <c r="E2066" s="4">
        <v>3</v>
      </c>
      <c r="F2066" s="8">
        <v>2.5</v>
      </c>
      <c r="G2066" s="4">
        <v>1</v>
      </c>
      <c r="H2066" s="4">
        <f t="shared" si="64"/>
        <v>1</v>
      </c>
      <c r="I2066" s="4">
        <f t="shared" si="65"/>
        <v>0</v>
      </c>
      <c r="J2066" s="4">
        <v>219</v>
      </c>
      <c r="K2066" s="4">
        <v>0</v>
      </c>
      <c r="L2066" s="4">
        <v>1</v>
      </c>
      <c r="M2066" s="4">
        <v>1</v>
      </c>
      <c r="N2066" s="4">
        <v>1</v>
      </c>
      <c r="O2066" s="4">
        <v>0</v>
      </c>
    </row>
    <row r="2067" spans="1:15" x14ac:dyDescent="0.15">
      <c r="A2067" s="4">
        <v>2064</v>
      </c>
      <c r="B2067" s="4">
        <v>56</v>
      </c>
      <c r="C2067" s="4">
        <v>30</v>
      </c>
      <c r="D2067" s="4">
        <v>32</v>
      </c>
      <c r="E2067" s="4">
        <v>2</v>
      </c>
      <c r="F2067" s="8">
        <v>0.4</v>
      </c>
      <c r="G2067" s="4">
        <v>3</v>
      </c>
      <c r="H2067" s="4">
        <f t="shared" si="64"/>
        <v>0</v>
      </c>
      <c r="I2067" s="4">
        <f t="shared" si="65"/>
        <v>0</v>
      </c>
      <c r="J2067" s="4">
        <v>0</v>
      </c>
      <c r="K2067" s="4">
        <v>0</v>
      </c>
      <c r="L2067" s="4">
        <v>0</v>
      </c>
      <c r="M2067" s="4">
        <v>1</v>
      </c>
      <c r="N2067" s="4">
        <v>0</v>
      </c>
      <c r="O2067" s="4">
        <v>0</v>
      </c>
    </row>
    <row r="2068" spans="1:15" x14ac:dyDescent="0.15">
      <c r="A2068" s="4">
        <v>2065</v>
      </c>
      <c r="B2068" s="4">
        <v>54</v>
      </c>
      <c r="C2068" s="4">
        <v>29</v>
      </c>
      <c r="D2068" s="4">
        <v>65</v>
      </c>
      <c r="E2068" s="4">
        <v>4</v>
      </c>
      <c r="F2068" s="8">
        <v>1.8</v>
      </c>
      <c r="G2068" s="4">
        <v>3</v>
      </c>
      <c r="H2068" s="4">
        <f t="shared" si="64"/>
        <v>0</v>
      </c>
      <c r="I2068" s="4">
        <f t="shared" si="65"/>
        <v>0</v>
      </c>
      <c r="J2068" s="4">
        <v>0</v>
      </c>
      <c r="K2068" s="4">
        <v>0</v>
      </c>
      <c r="L2068" s="4">
        <v>0</v>
      </c>
      <c r="M2068" s="4">
        <v>0</v>
      </c>
      <c r="N2068" s="4">
        <v>1</v>
      </c>
      <c r="O2068" s="4">
        <v>0</v>
      </c>
    </row>
    <row r="2069" spans="1:15" x14ac:dyDescent="0.15">
      <c r="A2069" s="4">
        <v>2066</v>
      </c>
      <c r="B2069" s="4">
        <v>29</v>
      </c>
      <c r="C2069" s="4">
        <v>5</v>
      </c>
      <c r="D2069" s="4">
        <v>83</v>
      </c>
      <c r="E2069" s="4">
        <v>3</v>
      </c>
      <c r="F2069" s="8">
        <v>1.5</v>
      </c>
      <c r="G2069" s="4">
        <v>1</v>
      </c>
      <c r="H2069" s="4">
        <f t="shared" si="64"/>
        <v>1</v>
      </c>
      <c r="I2069" s="4">
        <f t="shared" si="65"/>
        <v>0</v>
      </c>
      <c r="J2069" s="4">
        <v>0</v>
      </c>
      <c r="K2069" s="4">
        <v>0</v>
      </c>
      <c r="L2069" s="4">
        <v>0</v>
      </c>
      <c r="M2069" s="4">
        <v>1</v>
      </c>
      <c r="N2069" s="4">
        <v>1</v>
      </c>
      <c r="O2069" s="4">
        <v>0</v>
      </c>
    </row>
    <row r="2070" spans="1:15" x14ac:dyDescent="0.15">
      <c r="A2070" s="4">
        <v>2067</v>
      </c>
      <c r="B2070" s="4">
        <v>41</v>
      </c>
      <c r="C2070" s="4">
        <v>16</v>
      </c>
      <c r="D2070" s="4">
        <v>30</v>
      </c>
      <c r="E2070" s="4">
        <v>2</v>
      </c>
      <c r="F2070" s="8">
        <v>1.4</v>
      </c>
      <c r="G2070" s="4">
        <v>2</v>
      </c>
      <c r="H2070" s="4">
        <f t="shared" si="64"/>
        <v>0</v>
      </c>
      <c r="I2070" s="4">
        <f t="shared" si="65"/>
        <v>1</v>
      </c>
      <c r="J2070" s="4">
        <v>0</v>
      </c>
      <c r="K2070" s="4">
        <v>0</v>
      </c>
      <c r="L2070" s="4">
        <v>0</v>
      </c>
      <c r="M2070" s="4">
        <v>0</v>
      </c>
      <c r="N2070" s="4">
        <v>1</v>
      </c>
      <c r="O2070" s="4">
        <v>0</v>
      </c>
    </row>
    <row r="2071" spans="1:15" x14ac:dyDescent="0.15">
      <c r="A2071" s="4">
        <v>2068</v>
      </c>
      <c r="B2071" s="4">
        <v>58</v>
      </c>
      <c r="C2071" s="4">
        <v>32</v>
      </c>
      <c r="D2071" s="4">
        <v>180</v>
      </c>
      <c r="E2071" s="4">
        <v>1</v>
      </c>
      <c r="F2071" s="8">
        <v>2.9</v>
      </c>
      <c r="G2071" s="4">
        <v>1</v>
      </c>
      <c r="H2071" s="4">
        <f t="shared" si="64"/>
        <v>1</v>
      </c>
      <c r="I2071" s="4">
        <f t="shared" si="65"/>
        <v>0</v>
      </c>
      <c r="J2071" s="4">
        <v>0</v>
      </c>
      <c r="K2071" s="4">
        <v>0</v>
      </c>
      <c r="L2071" s="4">
        <v>0</v>
      </c>
      <c r="M2071" s="4">
        <v>0</v>
      </c>
      <c r="N2071" s="4">
        <v>1</v>
      </c>
      <c r="O2071" s="4">
        <v>0</v>
      </c>
    </row>
    <row r="2072" spans="1:15" x14ac:dyDescent="0.15">
      <c r="A2072" s="4">
        <v>2069</v>
      </c>
      <c r="B2072" s="4">
        <v>61</v>
      </c>
      <c r="C2072" s="4">
        <v>37</v>
      </c>
      <c r="D2072" s="4">
        <v>13</v>
      </c>
      <c r="E2072" s="4">
        <v>2</v>
      </c>
      <c r="F2072" s="8">
        <v>0.3</v>
      </c>
      <c r="G2072" s="4">
        <v>3</v>
      </c>
      <c r="H2072" s="4">
        <f t="shared" si="64"/>
        <v>0</v>
      </c>
      <c r="I2072" s="4">
        <f t="shared" si="65"/>
        <v>0</v>
      </c>
      <c r="J2072" s="4">
        <v>0</v>
      </c>
      <c r="K2072" s="4">
        <v>0</v>
      </c>
      <c r="L2072" s="4">
        <v>0</v>
      </c>
      <c r="M2072" s="4">
        <v>1</v>
      </c>
      <c r="N2072" s="4">
        <v>0</v>
      </c>
      <c r="O2072" s="4">
        <v>0</v>
      </c>
    </row>
    <row r="2073" spans="1:15" x14ac:dyDescent="0.15">
      <c r="A2073" s="4">
        <v>2070</v>
      </c>
      <c r="B2073" s="4">
        <v>30</v>
      </c>
      <c r="C2073" s="4">
        <v>4</v>
      </c>
      <c r="D2073" s="4">
        <v>35</v>
      </c>
      <c r="E2073" s="4">
        <v>4</v>
      </c>
      <c r="F2073" s="8">
        <v>0.8</v>
      </c>
      <c r="G2073" s="4">
        <v>1</v>
      </c>
      <c r="H2073" s="4">
        <f t="shared" si="64"/>
        <v>1</v>
      </c>
      <c r="I2073" s="4">
        <f t="shared" si="65"/>
        <v>0</v>
      </c>
      <c r="J2073" s="4">
        <v>0</v>
      </c>
      <c r="K2073" s="4">
        <v>0</v>
      </c>
      <c r="L2073" s="4">
        <v>0</v>
      </c>
      <c r="M2073" s="4">
        <v>1</v>
      </c>
      <c r="N2073" s="4">
        <v>1</v>
      </c>
      <c r="O2073" s="4">
        <v>0</v>
      </c>
    </row>
    <row r="2074" spans="1:15" x14ac:dyDescent="0.15">
      <c r="A2074" s="4">
        <v>2071</v>
      </c>
      <c r="B2074" s="4">
        <v>62</v>
      </c>
      <c r="C2074" s="4">
        <v>37</v>
      </c>
      <c r="D2074" s="4">
        <v>95</v>
      </c>
      <c r="E2074" s="4">
        <v>3</v>
      </c>
      <c r="F2074" s="8">
        <v>0.5</v>
      </c>
      <c r="G2074" s="4">
        <v>1</v>
      </c>
      <c r="H2074" s="4">
        <f t="shared" si="64"/>
        <v>1</v>
      </c>
      <c r="I2074" s="4">
        <f t="shared" si="65"/>
        <v>0</v>
      </c>
      <c r="J2074" s="4">
        <v>0</v>
      </c>
      <c r="K2074" s="4">
        <v>0</v>
      </c>
      <c r="L2074" s="4">
        <v>0</v>
      </c>
      <c r="M2074" s="4">
        <v>0</v>
      </c>
      <c r="N2074" s="4">
        <v>0</v>
      </c>
      <c r="O2074" s="4">
        <v>0</v>
      </c>
    </row>
    <row r="2075" spans="1:15" x14ac:dyDescent="0.15">
      <c r="A2075" s="4">
        <v>2072</v>
      </c>
      <c r="B2075" s="4">
        <v>52</v>
      </c>
      <c r="C2075" s="4">
        <v>28</v>
      </c>
      <c r="D2075" s="4">
        <v>83</v>
      </c>
      <c r="E2075" s="4">
        <v>1</v>
      </c>
      <c r="F2075" s="8">
        <v>0</v>
      </c>
      <c r="G2075" s="4">
        <v>1</v>
      </c>
      <c r="H2075" s="4">
        <f t="shared" si="64"/>
        <v>1</v>
      </c>
      <c r="I2075" s="4">
        <f t="shared" si="65"/>
        <v>0</v>
      </c>
      <c r="J2075" s="4">
        <v>0</v>
      </c>
      <c r="K2075" s="4">
        <v>0</v>
      </c>
      <c r="L2075" s="4">
        <v>0</v>
      </c>
      <c r="M2075" s="4">
        <v>1</v>
      </c>
      <c r="N2075" s="4">
        <v>0</v>
      </c>
      <c r="O2075" s="4">
        <v>0</v>
      </c>
    </row>
    <row r="2076" spans="1:15" x14ac:dyDescent="0.15">
      <c r="A2076" s="4">
        <v>2073</v>
      </c>
      <c r="B2076" s="4">
        <v>29</v>
      </c>
      <c r="C2076" s="4">
        <v>3</v>
      </c>
      <c r="D2076" s="4">
        <v>39</v>
      </c>
      <c r="E2076" s="4">
        <v>4</v>
      </c>
      <c r="F2076" s="8">
        <v>0.2</v>
      </c>
      <c r="G2076" s="4">
        <v>1</v>
      </c>
      <c r="H2076" s="4">
        <f t="shared" si="64"/>
        <v>1</v>
      </c>
      <c r="I2076" s="4">
        <f t="shared" si="65"/>
        <v>0</v>
      </c>
      <c r="J2076" s="4">
        <v>137</v>
      </c>
      <c r="K2076" s="4">
        <v>0</v>
      </c>
      <c r="L2076" s="4">
        <v>0</v>
      </c>
      <c r="M2076" s="4">
        <v>1</v>
      </c>
      <c r="N2076" s="4">
        <v>1</v>
      </c>
      <c r="O2076" s="4">
        <v>0</v>
      </c>
    </row>
    <row r="2077" spans="1:15" x14ac:dyDescent="0.15">
      <c r="A2077" s="4">
        <v>2074</v>
      </c>
      <c r="B2077" s="4">
        <v>46</v>
      </c>
      <c r="C2077" s="4">
        <v>20</v>
      </c>
      <c r="D2077" s="4">
        <v>54</v>
      </c>
      <c r="E2077" s="4">
        <v>1</v>
      </c>
      <c r="F2077" s="8">
        <v>0.7</v>
      </c>
      <c r="G2077" s="4">
        <v>3</v>
      </c>
      <c r="H2077" s="4">
        <f t="shared" si="64"/>
        <v>0</v>
      </c>
      <c r="I2077" s="4">
        <f t="shared" si="65"/>
        <v>0</v>
      </c>
      <c r="J2077" s="4">
        <v>154</v>
      </c>
      <c r="K2077" s="4">
        <v>0</v>
      </c>
      <c r="L2077" s="4">
        <v>0</v>
      </c>
      <c r="M2077" s="4">
        <v>1</v>
      </c>
      <c r="N2077" s="4">
        <v>1</v>
      </c>
      <c r="O2077" s="4">
        <v>0</v>
      </c>
    </row>
    <row r="2078" spans="1:15" x14ac:dyDescent="0.15">
      <c r="A2078" s="4">
        <v>2075</v>
      </c>
      <c r="B2078" s="4">
        <v>52</v>
      </c>
      <c r="C2078" s="4">
        <v>27</v>
      </c>
      <c r="D2078" s="4">
        <v>81</v>
      </c>
      <c r="E2078" s="4">
        <v>1</v>
      </c>
      <c r="F2078" s="8">
        <v>1.3</v>
      </c>
      <c r="G2078" s="4">
        <v>3</v>
      </c>
      <c r="H2078" s="4">
        <f t="shared" si="64"/>
        <v>0</v>
      </c>
      <c r="I2078" s="4">
        <f t="shared" si="65"/>
        <v>0</v>
      </c>
      <c r="J2078" s="4">
        <v>293</v>
      </c>
      <c r="K2078" s="4">
        <v>0</v>
      </c>
      <c r="L2078" s="4">
        <v>0</v>
      </c>
      <c r="M2078" s="4">
        <v>0</v>
      </c>
      <c r="N2078" s="4">
        <v>1</v>
      </c>
      <c r="O2078" s="4">
        <v>0</v>
      </c>
    </row>
    <row r="2079" spans="1:15" x14ac:dyDescent="0.15">
      <c r="A2079" s="4">
        <v>2076</v>
      </c>
      <c r="B2079" s="4">
        <v>40</v>
      </c>
      <c r="C2079" s="4">
        <v>16</v>
      </c>
      <c r="D2079" s="4">
        <v>53</v>
      </c>
      <c r="E2079" s="4">
        <v>4</v>
      </c>
      <c r="F2079" s="8">
        <v>2</v>
      </c>
      <c r="G2079" s="4">
        <v>3</v>
      </c>
      <c r="H2079" s="4">
        <f t="shared" si="64"/>
        <v>0</v>
      </c>
      <c r="I2079" s="4">
        <f t="shared" si="65"/>
        <v>0</v>
      </c>
      <c r="J2079" s="4">
        <v>0</v>
      </c>
      <c r="K2079" s="4">
        <v>0</v>
      </c>
      <c r="L2079" s="4">
        <v>0</v>
      </c>
      <c r="M2079" s="4">
        <v>0</v>
      </c>
      <c r="N2079" s="4">
        <v>0</v>
      </c>
      <c r="O2079" s="4">
        <v>0</v>
      </c>
    </row>
    <row r="2080" spans="1:15" x14ac:dyDescent="0.15">
      <c r="A2080" s="4">
        <v>2077</v>
      </c>
      <c r="B2080" s="4">
        <v>49</v>
      </c>
      <c r="C2080" s="4">
        <v>23</v>
      </c>
      <c r="D2080" s="4">
        <v>119</v>
      </c>
      <c r="E2080" s="4">
        <v>1</v>
      </c>
      <c r="F2080" s="8">
        <v>7.3</v>
      </c>
      <c r="G2080" s="4">
        <v>1</v>
      </c>
      <c r="H2080" s="4">
        <f t="shared" si="64"/>
        <v>1</v>
      </c>
      <c r="I2080" s="4">
        <f t="shared" si="65"/>
        <v>0</v>
      </c>
      <c r="J2080" s="4">
        <v>398</v>
      </c>
      <c r="K2080" s="4">
        <v>0</v>
      </c>
      <c r="L2080" s="4">
        <v>0</v>
      </c>
      <c r="M2080" s="4">
        <v>0</v>
      </c>
      <c r="N2080" s="4">
        <v>0</v>
      </c>
      <c r="O2080" s="4">
        <v>0</v>
      </c>
    </row>
    <row r="2081" spans="1:15" x14ac:dyDescent="0.15">
      <c r="A2081" s="4">
        <v>2078</v>
      </c>
      <c r="B2081" s="4">
        <v>34</v>
      </c>
      <c r="C2081" s="4">
        <v>9</v>
      </c>
      <c r="D2081" s="4">
        <v>160</v>
      </c>
      <c r="E2081" s="4">
        <v>4</v>
      </c>
      <c r="F2081" s="8">
        <v>8</v>
      </c>
      <c r="G2081" s="4">
        <v>3</v>
      </c>
      <c r="H2081" s="4">
        <f t="shared" si="64"/>
        <v>0</v>
      </c>
      <c r="I2081" s="4">
        <f t="shared" si="65"/>
        <v>0</v>
      </c>
      <c r="J2081" s="4">
        <v>0</v>
      </c>
      <c r="K2081" s="4">
        <v>0</v>
      </c>
      <c r="L2081" s="4">
        <v>0</v>
      </c>
      <c r="M2081" s="4">
        <v>0</v>
      </c>
      <c r="N2081" s="4">
        <v>1</v>
      </c>
      <c r="O2081" s="4">
        <v>1</v>
      </c>
    </row>
    <row r="2082" spans="1:15" x14ac:dyDescent="0.15">
      <c r="A2082" s="4">
        <v>2079</v>
      </c>
      <c r="B2082" s="4">
        <v>35</v>
      </c>
      <c r="C2082" s="4">
        <v>11</v>
      </c>
      <c r="D2082" s="4">
        <v>21</v>
      </c>
      <c r="E2082" s="4">
        <v>2</v>
      </c>
      <c r="F2082" s="8">
        <v>1</v>
      </c>
      <c r="G2082" s="4">
        <v>2</v>
      </c>
      <c r="H2082" s="4">
        <f t="shared" si="64"/>
        <v>0</v>
      </c>
      <c r="I2082" s="4">
        <f t="shared" si="65"/>
        <v>1</v>
      </c>
      <c r="J2082" s="4">
        <v>0</v>
      </c>
      <c r="K2082" s="4">
        <v>0</v>
      </c>
      <c r="L2082" s="4">
        <v>0</v>
      </c>
      <c r="M2082" s="4">
        <v>0</v>
      </c>
      <c r="N2082" s="4">
        <v>0</v>
      </c>
      <c r="O2082" s="4">
        <v>0</v>
      </c>
    </row>
    <row r="2083" spans="1:15" x14ac:dyDescent="0.15">
      <c r="A2083" s="4">
        <v>2080</v>
      </c>
      <c r="B2083" s="4">
        <v>26</v>
      </c>
      <c r="C2083" s="4">
        <v>2</v>
      </c>
      <c r="D2083" s="4">
        <v>40</v>
      </c>
      <c r="E2083" s="4">
        <v>1</v>
      </c>
      <c r="F2083" s="8">
        <v>1</v>
      </c>
      <c r="G2083" s="4">
        <v>3</v>
      </c>
      <c r="H2083" s="4">
        <f t="shared" si="64"/>
        <v>0</v>
      </c>
      <c r="I2083" s="4">
        <f t="shared" si="65"/>
        <v>0</v>
      </c>
      <c r="J2083" s="4">
        <v>0</v>
      </c>
      <c r="K2083" s="4">
        <v>0</v>
      </c>
      <c r="L2083" s="4">
        <v>0</v>
      </c>
      <c r="M2083" s="4">
        <v>1</v>
      </c>
      <c r="N2083" s="4">
        <v>0</v>
      </c>
      <c r="O2083" s="4">
        <v>0</v>
      </c>
    </row>
    <row r="2084" spans="1:15" x14ac:dyDescent="0.15">
      <c r="A2084" s="4">
        <v>2081</v>
      </c>
      <c r="B2084" s="4">
        <v>65</v>
      </c>
      <c r="C2084" s="4">
        <v>40</v>
      </c>
      <c r="D2084" s="4">
        <v>69</v>
      </c>
      <c r="E2084" s="4">
        <v>4</v>
      </c>
      <c r="F2084" s="8">
        <v>0.1</v>
      </c>
      <c r="G2084" s="4">
        <v>2</v>
      </c>
      <c r="H2084" s="4">
        <f t="shared" si="64"/>
        <v>0</v>
      </c>
      <c r="I2084" s="4">
        <f t="shared" si="65"/>
        <v>1</v>
      </c>
      <c r="J2084" s="4">
        <v>0</v>
      </c>
      <c r="K2084" s="4">
        <v>0</v>
      </c>
      <c r="L2084" s="4">
        <v>0</v>
      </c>
      <c r="M2084" s="4">
        <v>1</v>
      </c>
      <c r="N2084" s="4">
        <v>0</v>
      </c>
      <c r="O2084" s="4">
        <v>0</v>
      </c>
    </row>
    <row r="2085" spans="1:15" x14ac:dyDescent="0.15">
      <c r="A2085" s="4">
        <v>2082</v>
      </c>
      <c r="B2085" s="4">
        <v>52</v>
      </c>
      <c r="C2085" s="4">
        <v>27</v>
      </c>
      <c r="D2085" s="4">
        <v>45</v>
      </c>
      <c r="E2085" s="4">
        <v>1</v>
      </c>
      <c r="F2085" s="8">
        <v>1.3</v>
      </c>
      <c r="G2085" s="4">
        <v>2</v>
      </c>
      <c r="H2085" s="4">
        <f t="shared" si="64"/>
        <v>0</v>
      </c>
      <c r="I2085" s="4">
        <f t="shared" si="65"/>
        <v>1</v>
      </c>
      <c r="J2085" s="4">
        <v>0</v>
      </c>
      <c r="K2085" s="4">
        <v>0</v>
      </c>
      <c r="L2085" s="4">
        <v>0</v>
      </c>
      <c r="M2085" s="4">
        <v>0</v>
      </c>
      <c r="N2085" s="4">
        <v>0</v>
      </c>
      <c r="O2085" s="4">
        <v>0</v>
      </c>
    </row>
    <row r="2086" spans="1:15" x14ac:dyDescent="0.15">
      <c r="A2086" s="4">
        <v>2083</v>
      </c>
      <c r="B2086" s="4">
        <v>32</v>
      </c>
      <c r="C2086" s="4">
        <v>7</v>
      </c>
      <c r="D2086" s="4">
        <v>55</v>
      </c>
      <c r="E2086" s="4">
        <v>4</v>
      </c>
      <c r="F2086" s="8">
        <v>2</v>
      </c>
      <c r="G2086" s="4">
        <v>2</v>
      </c>
      <c r="H2086" s="4">
        <f t="shared" si="64"/>
        <v>0</v>
      </c>
      <c r="I2086" s="4">
        <f t="shared" si="65"/>
        <v>1</v>
      </c>
      <c r="J2086" s="4">
        <v>0</v>
      </c>
      <c r="K2086" s="4">
        <v>0</v>
      </c>
      <c r="L2086" s="4">
        <v>0</v>
      </c>
      <c r="M2086" s="4">
        <v>1</v>
      </c>
      <c r="N2086" s="4">
        <v>0</v>
      </c>
      <c r="O2086" s="4">
        <v>0</v>
      </c>
    </row>
    <row r="2087" spans="1:15" x14ac:dyDescent="0.15">
      <c r="A2087" s="4">
        <v>2084</v>
      </c>
      <c r="B2087" s="4">
        <v>31</v>
      </c>
      <c r="C2087" s="4">
        <v>7</v>
      </c>
      <c r="D2087" s="4">
        <v>38</v>
      </c>
      <c r="E2087" s="4">
        <v>1</v>
      </c>
      <c r="F2087" s="8">
        <v>0.2</v>
      </c>
      <c r="G2087" s="4">
        <v>3</v>
      </c>
      <c r="H2087" s="4">
        <f t="shared" si="64"/>
        <v>0</v>
      </c>
      <c r="I2087" s="4">
        <f t="shared" si="65"/>
        <v>0</v>
      </c>
      <c r="J2087" s="4">
        <v>0</v>
      </c>
      <c r="K2087" s="4">
        <v>0</v>
      </c>
      <c r="L2087" s="4">
        <v>0</v>
      </c>
      <c r="M2087" s="4">
        <v>1</v>
      </c>
      <c r="N2087" s="4">
        <v>0</v>
      </c>
      <c r="O2087" s="4">
        <v>0</v>
      </c>
    </row>
    <row r="2088" spans="1:15" x14ac:dyDescent="0.15">
      <c r="A2088" s="4">
        <v>2085</v>
      </c>
      <c r="B2088" s="4">
        <v>36</v>
      </c>
      <c r="C2088" s="4">
        <v>9</v>
      </c>
      <c r="D2088" s="4">
        <v>44</v>
      </c>
      <c r="E2088" s="4">
        <v>4</v>
      </c>
      <c r="F2088" s="8">
        <v>1</v>
      </c>
      <c r="G2088" s="4">
        <v>2</v>
      </c>
      <c r="H2088" s="4">
        <f t="shared" si="64"/>
        <v>0</v>
      </c>
      <c r="I2088" s="4">
        <f t="shared" si="65"/>
        <v>1</v>
      </c>
      <c r="J2088" s="4">
        <v>101</v>
      </c>
      <c r="K2088" s="4">
        <v>1</v>
      </c>
      <c r="L2088" s="4">
        <v>0</v>
      </c>
      <c r="M2088" s="4">
        <v>1</v>
      </c>
      <c r="N2088" s="4">
        <v>0</v>
      </c>
      <c r="O2088" s="4">
        <v>0</v>
      </c>
    </row>
    <row r="2089" spans="1:15" x14ac:dyDescent="0.15">
      <c r="A2089" s="4">
        <v>2086</v>
      </c>
      <c r="B2089" s="4">
        <v>50</v>
      </c>
      <c r="C2089" s="4">
        <v>24</v>
      </c>
      <c r="D2089" s="4">
        <v>45</v>
      </c>
      <c r="E2089" s="4">
        <v>3</v>
      </c>
      <c r="F2089" s="8">
        <v>0.6</v>
      </c>
      <c r="G2089" s="4">
        <v>2</v>
      </c>
      <c r="H2089" s="4">
        <f t="shared" si="64"/>
        <v>0</v>
      </c>
      <c r="I2089" s="4">
        <f t="shared" si="65"/>
        <v>1</v>
      </c>
      <c r="J2089" s="4">
        <v>117</v>
      </c>
      <c r="K2089" s="4">
        <v>0</v>
      </c>
      <c r="L2089" s="4">
        <v>0</v>
      </c>
      <c r="M2089" s="4">
        <v>1</v>
      </c>
      <c r="N2089" s="4">
        <v>0</v>
      </c>
      <c r="O2089" s="4">
        <v>0</v>
      </c>
    </row>
    <row r="2090" spans="1:15" x14ac:dyDescent="0.15">
      <c r="A2090" s="4">
        <v>2087</v>
      </c>
      <c r="B2090" s="4">
        <v>36</v>
      </c>
      <c r="C2090" s="4">
        <v>12</v>
      </c>
      <c r="D2090" s="4">
        <v>84</v>
      </c>
      <c r="E2090" s="4">
        <v>1</v>
      </c>
      <c r="F2090" s="8">
        <v>0.8</v>
      </c>
      <c r="G2090" s="4">
        <v>2</v>
      </c>
      <c r="H2090" s="4">
        <f t="shared" si="64"/>
        <v>0</v>
      </c>
      <c r="I2090" s="4">
        <f t="shared" si="65"/>
        <v>1</v>
      </c>
      <c r="J2090" s="4">
        <v>0</v>
      </c>
      <c r="K2090" s="4">
        <v>0</v>
      </c>
      <c r="L2090" s="4">
        <v>0</v>
      </c>
      <c r="M2090" s="4">
        <v>1</v>
      </c>
      <c r="N2090" s="4">
        <v>1</v>
      </c>
      <c r="O2090" s="4">
        <v>0</v>
      </c>
    </row>
    <row r="2091" spans="1:15" x14ac:dyDescent="0.15">
      <c r="A2091" s="4">
        <v>2088</v>
      </c>
      <c r="B2091" s="4">
        <v>51</v>
      </c>
      <c r="C2091" s="4">
        <v>27</v>
      </c>
      <c r="D2091" s="4">
        <v>188</v>
      </c>
      <c r="E2091" s="4">
        <v>2</v>
      </c>
      <c r="F2091" s="8">
        <v>6.9</v>
      </c>
      <c r="G2091" s="4">
        <v>2</v>
      </c>
      <c r="H2091" s="4">
        <f t="shared" si="64"/>
        <v>0</v>
      </c>
      <c r="I2091" s="4">
        <f t="shared" si="65"/>
        <v>1</v>
      </c>
      <c r="J2091" s="4">
        <v>343</v>
      </c>
      <c r="K2091" s="4">
        <v>0</v>
      </c>
      <c r="L2091" s="4">
        <v>0</v>
      </c>
      <c r="M2091" s="4">
        <v>1</v>
      </c>
      <c r="N2091" s="4">
        <v>0</v>
      </c>
      <c r="O2091" s="4">
        <v>1</v>
      </c>
    </row>
    <row r="2092" spans="1:15" x14ac:dyDescent="0.15">
      <c r="A2092" s="4">
        <v>2089</v>
      </c>
      <c r="B2092" s="4">
        <v>39</v>
      </c>
      <c r="C2092" s="4">
        <v>9</v>
      </c>
      <c r="D2092" s="4">
        <v>29</v>
      </c>
      <c r="E2092" s="4">
        <v>3</v>
      </c>
      <c r="F2092" s="8">
        <v>2</v>
      </c>
      <c r="G2092" s="4">
        <v>3</v>
      </c>
      <c r="H2092" s="4">
        <f t="shared" si="64"/>
        <v>0</v>
      </c>
      <c r="I2092" s="4">
        <f t="shared" si="65"/>
        <v>0</v>
      </c>
      <c r="J2092" s="4">
        <v>151</v>
      </c>
      <c r="K2092" s="4">
        <v>1</v>
      </c>
      <c r="L2092" s="4">
        <v>0</v>
      </c>
      <c r="M2092" s="4">
        <v>0</v>
      </c>
      <c r="N2092" s="4">
        <v>0</v>
      </c>
      <c r="O2092" s="4">
        <v>0</v>
      </c>
    </row>
    <row r="2093" spans="1:15" x14ac:dyDescent="0.15">
      <c r="A2093" s="4">
        <v>2090</v>
      </c>
      <c r="B2093" s="4">
        <v>53</v>
      </c>
      <c r="C2093" s="4">
        <v>29</v>
      </c>
      <c r="D2093" s="4">
        <v>95</v>
      </c>
      <c r="E2093" s="4">
        <v>1</v>
      </c>
      <c r="F2093" s="8">
        <v>2.7</v>
      </c>
      <c r="G2093" s="4">
        <v>2</v>
      </c>
      <c r="H2093" s="4">
        <f t="shared" si="64"/>
        <v>0</v>
      </c>
      <c r="I2093" s="4">
        <f t="shared" si="65"/>
        <v>1</v>
      </c>
      <c r="J2093" s="4">
        <v>0</v>
      </c>
      <c r="K2093" s="4">
        <v>0</v>
      </c>
      <c r="L2093" s="4">
        <v>0</v>
      </c>
      <c r="M2093" s="4">
        <v>1</v>
      </c>
      <c r="N2093" s="4">
        <v>0</v>
      </c>
      <c r="O2093" s="4">
        <v>0</v>
      </c>
    </row>
    <row r="2094" spans="1:15" x14ac:dyDescent="0.15">
      <c r="A2094" s="4">
        <v>2091</v>
      </c>
      <c r="B2094" s="4">
        <v>50</v>
      </c>
      <c r="C2094" s="4">
        <v>25</v>
      </c>
      <c r="D2094" s="4">
        <v>79</v>
      </c>
      <c r="E2094" s="4">
        <v>1</v>
      </c>
      <c r="F2094" s="8">
        <v>2.9</v>
      </c>
      <c r="G2094" s="4">
        <v>1</v>
      </c>
      <c r="H2094" s="4">
        <f t="shared" si="64"/>
        <v>1</v>
      </c>
      <c r="I2094" s="4">
        <f t="shared" si="65"/>
        <v>0</v>
      </c>
      <c r="J2094" s="4">
        <v>307</v>
      </c>
      <c r="K2094" s="4">
        <v>0</v>
      </c>
      <c r="L2094" s="4">
        <v>0</v>
      </c>
      <c r="M2094" s="4">
        <v>0</v>
      </c>
      <c r="N2094" s="4">
        <v>1</v>
      </c>
      <c r="O2094" s="4">
        <v>0</v>
      </c>
    </row>
    <row r="2095" spans="1:15" x14ac:dyDescent="0.15">
      <c r="A2095" s="4">
        <v>2092</v>
      </c>
      <c r="B2095" s="4">
        <v>31</v>
      </c>
      <c r="C2095" s="4">
        <v>4</v>
      </c>
      <c r="D2095" s="4">
        <v>41</v>
      </c>
      <c r="E2095" s="4">
        <v>1</v>
      </c>
      <c r="F2095" s="8">
        <v>2</v>
      </c>
      <c r="G2095" s="4">
        <v>2</v>
      </c>
      <c r="H2095" s="4">
        <f t="shared" si="64"/>
        <v>0</v>
      </c>
      <c r="I2095" s="4">
        <f t="shared" si="65"/>
        <v>1</v>
      </c>
      <c r="J2095" s="4">
        <v>0</v>
      </c>
      <c r="K2095" s="4">
        <v>1</v>
      </c>
      <c r="L2095" s="4">
        <v>0</v>
      </c>
      <c r="M2095" s="4">
        <v>1</v>
      </c>
      <c r="N2095" s="4">
        <v>0</v>
      </c>
      <c r="O2095" s="4">
        <v>0</v>
      </c>
    </row>
    <row r="2096" spans="1:15" x14ac:dyDescent="0.15">
      <c r="A2096" s="4">
        <v>2093</v>
      </c>
      <c r="B2096" s="4">
        <v>53</v>
      </c>
      <c r="C2096" s="4">
        <v>23</v>
      </c>
      <c r="D2096" s="4">
        <v>19</v>
      </c>
      <c r="E2096" s="4">
        <v>4</v>
      </c>
      <c r="F2096" s="8">
        <v>0.4</v>
      </c>
      <c r="G2096" s="4">
        <v>3</v>
      </c>
      <c r="H2096" s="4">
        <f t="shared" si="64"/>
        <v>0</v>
      </c>
      <c r="I2096" s="4">
        <f t="shared" si="65"/>
        <v>0</v>
      </c>
      <c r="J2096" s="4">
        <v>84</v>
      </c>
      <c r="K2096" s="4">
        <v>0</v>
      </c>
      <c r="L2096" s="4">
        <v>0</v>
      </c>
      <c r="M2096" s="4">
        <v>1</v>
      </c>
      <c r="N2096" s="4">
        <v>0</v>
      </c>
      <c r="O2096" s="4">
        <v>0</v>
      </c>
    </row>
    <row r="2097" spans="1:15" x14ac:dyDescent="0.15">
      <c r="A2097" s="4">
        <v>2094</v>
      </c>
      <c r="B2097" s="4">
        <v>48</v>
      </c>
      <c r="C2097" s="4">
        <v>23</v>
      </c>
      <c r="D2097" s="4">
        <v>75</v>
      </c>
      <c r="E2097" s="4">
        <v>4</v>
      </c>
      <c r="F2097" s="8">
        <v>3.6</v>
      </c>
      <c r="G2097" s="4">
        <v>3</v>
      </c>
      <c r="H2097" s="4">
        <f t="shared" si="64"/>
        <v>0</v>
      </c>
      <c r="I2097" s="4">
        <f t="shared" si="65"/>
        <v>0</v>
      </c>
      <c r="J2097" s="4">
        <v>0</v>
      </c>
      <c r="K2097" s="4">
        <v>0</v>
      </c>
      <c r="L2097" s="4">
        <v>0</v>
      </c>
      <c r="M2097" s="4">
        <v>1</v>
      </c>
      <c r="N2097" s="4">
        <v>1</v>
      </c>
      <c r="O2097" s="4">
        <v>0</v>
      </c>
    </row>
    <row r="2098" spans="1:15" x14ac:dyDescent="0.15">
      <c r="A2098" s="4">
        <v>2095</v>
      </c>
      <c r="B2098" s="4">
        <v>57</v>
      </c>
      <c r="C2098" s="4">
        <v>31</v>
      </c>
      <c r="D2098" s="4">
        <v>64</v>
      </c>
      <c r="E2098" s="4">
        <v>3</v>
      </c>
      <c r="F2098" s="8">
        <v>2.5</v>
      </c>
      <c r="G2098" s="4">
        <v>1</v>
      </c>
      <c r="H2098" s="4">
        <f t="shared" si="64"/>
        <v>1</v>
      </c>
      <c r="I2098" s="4">
        <f t="shared" si="65"/>
        <v>0</v>
      </c>
      <c r="J2098" s="4">
        <v>208</v>
      </c>
      <c r="K2098" s="4">
        <v>0</v>
      </c>
      <c r="L2098" s="4">
        <v>0</v>
      </c>
      <c r="M2098" s="4">
        <v>0</v>
      </c>
      <c r="N2098" s="4">
        <v>1</v>
      </c>
      <c r="O2098" s="4">
        <v>0</v>
      </c>
    </row>
    <row r="2099" spans="1:15" x14ac:dyDescent="0.15">
      <c r="A2099" s="4">
        <v>2096</v>
      </c>
      <c r="B2099" s="4">
        <v>47</v>
      </c>
      <c r="C2099" s="4">
        <v>21</v>
      </c>
      <c r="D2099" s="4">
        <v>174</v>
      </c>
      <c r="E2099" s="4">
        <v>4</v>
      </c>
      <c r="F2099" s="8">
        <v>3.2</v>
      </c>
      <c r="G2099" s="4">
        <v>3</v>
      </c>
      <c r="H2099" s="4">
        <f t="shared" si="64"/>
        <v>0</v>
      </c>
      <c r="I2099" s="4">
        <f t="shared" si="65"/>
        <v>0</v>
      </c>
      <c r="J2099" s="4">
        <v>0</v>
      </c>
      <c r="K2099" s="4">
        <v>0</v>
      </c>
      <c r="L2099" s="4">
        <v>0</v>
      </c>
      <c r="M2099" s="4">
        <v>0</v>
      </c>
      <c r="N2099" s="4">
        <v>0</v>
      </c>
      <c r="O2099" s="4">
        <v>1</v>
      </c>
    </row>
    <row r="2100" spans="1:15" x14ac:dyDescent="0.15">
      <c r="A2100" s="4">
        <v>2097</v>
      </c>
      <c r="B2100" s="4">
        <v>55</v>
      </c>
      <c r="C2100" s="4">
        <v>29</v>
      </c>
      <c r="D2100" s="4">
        <v>54</v>
      </c>
      <c r="E2100" s="4">
        <v>2</v>
      </c>
      <c r="F2100" s="8">
        <v>2.2999999999999998</v>
      </c>
      <c r="G2100" s="4">
        <v>3</v>
      </c>
      <c r="H2100" s="4">
        <f t="shared" si="64"/>
        <v>0</v>
      </c>
      <c r="I2100" s="4">
        <f t="shared" si="65"/>
        <v>0</v>
      </c>
      <c r="J2100" s="4">
        <v>93</v>
      </c>
      <c r="K2100" s="4">
        <v>0</v>
      </c>
      <c r="L2100" s="4">
        <v>0</v>
      </c>
      <c r="M2100" s="4">
        <v>0</v>
      </c>
      <c r="N2100" s="4">
        <v>0</v>
      </c>
      <c r="O2100" s="4">
        <v>0</v>
      </c>
    </row>
    <row r="2101" spans="1:15" x14ac:dyDescent="0.15">
      <c r="A2101" s="4">
        <v>2098</v>
      </c>
      <c r="B2101" s="4">
        <v>37</v>
      </c>
      <c r="C2101" s="4">
        <v>11</v>
      </c>
      <c r="D2101" s="4">
        <v>14</v>
      </c>
      <c r="E2101" s="4">
        <v>3</v>
      </c>
      <c r="F2101" s="8">
        <v>0.1</v>
      </c>
      <c r="G2101" s="4">
        <v>2</v>
      </c>
      <c r="H2101" s="4">
        <f t="shared" si="64"/>
        <v>0</v>
      </c>
      <c r="I2101" s="4">
        <f t="shared" si="65"/>
        <v>1</v>
      </c>
      <c r="J2101" s="4">
        <v>113</v>
      </c>
      <c r="K2101" s="4">
        <v>0</v>
      </c>
      <c r="L2101" s="4">
        <v>0</v>
      </c>
      <c r="M2101" s="4">
        <v>1</v>
      </c>
      <c r="N2101" s="4">
        <v>0</v>
      </c>
      <c r="O2101" s="4">
        <v>0</v>
      </c>
    </row>
    <row r="2102" spans="1:15" x14ac:dyDescent="0.15">
      <c r="A2102" s="4">
        <v>2099</v>
      </c>
      <c r="B2102" s="4">
        <v>59</v>
      </c>
      <c r="C2102" s="4">
        <v>35</v>
      </c>
      <c r="D2102" s="4">
        <v>94</v>
      </c>
      <c r="E2102" s="4">
        <v>1</v>
      </c>
      <c r="F2102" s="8">
        <v>3.8</v>
      </c>
      <c r="G2102" s="4">
        <v>1</v>
      </c>
      <c r="H2102" s="4">
        <f t="shared" si="64"/>
        <v>1</v>
      </c>
      <c r="I2102" s="4">
        <f t="shared" si="65"/>
        <v>0</v>
      </c>
      <c r="J2102" s="4">
        <v>272</v>
      </c>
      <c r="K2102" s="4">
        <v>0</v>
      </c>
      <c r="L2102" s="4">
        <v>0</v>
      </c>
      <c r="M2102" s="4">
        <v>0</v>
      </c>
      <c r="N2102" s="4">
        <v>0</v>
      </c>
      <c r="O2102" s="4">
        <v>0</v>
      </c>
    </row>
    <row r="2103" spans="1:15" x14ac:dyDescent="0.15">
      <c r="A2103" s="4">
        <v>2100</v>
      </c>
      <c r="B2103" s="4">
        <v>53</v>
      </c>
      <c r="C2103" s="4">
        <v>29</v>
      </c>
      <c r="D2103" s="4">
        <v>10</v>
      </c>
      <c r="E2103" s="4">
        <v>2</v>
      </c>
      <c r="F2103" s="8">
        <v>0.4</v>
      </c>
      <c r="G2103" s="4">
        <v>1</v>
      </c>
      <c r="H2103" s="4">
        <f t="shared" si="64"/>
        <v>1</v>
      </c>
      <c r="I2103" s="4">
        <f t="shared" si="65"/>
        <v>0</v>
      </c>
      <c r="J2103" s="4">
        <v>0</v>
      </c>
      <c r="K2103" s="4">
        <v>0</v>
      </c>
      <c r="L2103" s="4">
        <v>0</v>
      </c>
      <c r="M2103" s="4">
        <v>0</v>
      </c>
      <c r="N2103" s="4">
        <v>0</v>
      </c>
      <c r="O2103" s="4">
        <v>0</v>
      </c>
    </row>
    <row r="2104" spans="1:15" x14ac:dyDescent="0.15">
      <c r="A2104" s="4">
        <v>2101</v>
      </c>
      <c r="B2104" s="4">
        <v>31</v>
      </c>
      <c r="C2104" s="4">
        <v>6</v>
      </c>
      <c r="D2104" s="4">
        <v>145</v>
      </c>
      <c r="E2104" s="4">
        <v>1</v>
      </c>
      <c r="F2104" s="8">
        <v>0.8</v>
      </c>
      <c r="G2104" s="4">
        <v>1</v>
      </c>
      <c r="H2104" s="4">
        <f t="shared" si="64"/>
        <v>1</v>
      </c>
      <c r="I2104" s="4">
        <f t="shared" si="65"/>
        <v>0</v>
      </c>
      <c r="J2104" s="4">
        <v>84</v>
      </c>
      <c r="K2104" s="4">
        <v>0</v>
      </c>
      <c r="L2104" s="4">
        <v>0</v>
      </c>
      <c r="M2104" s="4">
        <v>1</v>
      </c>
      <c r="N2104" s="4">
        <v>0</v>
      </c>
      <c r="O2104" s="4">
        <v>0</v>
      </c>
    </row>
    <row r="2105" spans="1:15" x14ac:dyDescent="0.15">
      <c r="A2105" s="4">
        <v>2102</v>
      </c>
      <c r="B2105" s="4">
        <v>35</v>
      </c>
      <c r="C2105" s="4">
        <v>5</v>
      </c>
      <c r="D2105" s="4">
        <v>203</v>
      </c>
      <c r="E2105" s="4">
        <v>1</v>
      </c>
      <c r="F2105" s="8">
        <v>10</v>
      </c>
      <c r="G2105" s="4">
        <v>3</v>
      </c>
      <c r="H2105" s="4">
        <f t="shared" si="64"/>
        <v>0</v>
      </c>
      <c r="I2105" s="4">
        <f t="shared" si="65"/>
        <v>0</v>
      </c>
      <c r="J2105" s="4">
        <v>0</v>
      </c>
      <c r="K2105" s="4">
        <v>0</v>
      </c>
      <c r="L2105" s="4">
        <v>0</v>
      </c>
      <c r="M2105" s="4">
        <v>0</v>
      </c>
      <c r="N2105" s="4">
        <v>0</v>
      </c>
      <c r="O2105" s="4">
        <v>1</v>
      </c>
    </row>
    <row r="2106" spans="1:15" x14ac:dyDescent="0.15">
      <c r="A2106" s="4">
        <v>2103</v>
      </c>
      <c r="B2106" s="4">
        <v>25</v>
      </c>
      <c r="C2106" s="4">
        <v>0</v>
      </c>
      <c r="D2106" s="4">
        <v>81</v>
      </c>
      <c r="E2106" s="4">
        <v>2</v>
      </c>
      <c r="F2106" s="8">
        <v>1.6</v>
      </c>
      <c r="G2106" s="4">
        <v>3</v>
      </c>
      <c r="H2106" s="4">
        <f t="shared" si="64"/>
        <v>0</v>
      </c>
      <c r="I2106" s="4">
        <f t="shared" si="65"/>
        <v>0</v>
      </c>
      <c r="J2106" s="4">
        <v>0</v>
      </c>
      <c r="K2106" s="4">
        <v>0</v>
      </c>
      <c r="L2106" s="4">
        <v>0</v>
      </c>
      <c r="M2106" s="4">
        <v>1</v>
      </c>
      <c r="N2106" s="4">
        <v>1</v>
      </c>
      <c r="O2106" s="4">
        <v>0</v>
      </c>
    </row>
    <row r="2107" spans="1:15" x14ac:dyDescent="0.15">
      <c r="A2107" s="4">
        <v>2104</v>
      </c>
      <c r="B2107" s="4">
        <v>37</v>
      </c>
      <c r="C2107" s="4">
        <v>13</v>
      </c>
      <c r="D2107" s="4">
        <v>153</v>
      </c>
      <c r="E2107" s="4">
        <v>2</v>
      </c>
      <c r="F2107" s="8">
        <v>6.5</v>
      </c>
      <c r="G2107" s="4">
        <v>1</v>
      </c>
      <c r="H2107" s="4">
        <f t="shared" si="64"/>
        <v>1</v>
      </c>
      <c r="I2107" s="4">
        <f t="shared" si="65"/>
        <v>0</v>
      </c>
      <c r="J2107" s="4">
        <v>0</v>
      </c>
      <c r="K2107" s="4">
        <v>0</v>
      </c>
      <c r="L2107" s="4">
        <v>0</v>
      </c>
      <c r="M2107" s="4">
        <v>1</v>
      </c>
      <c r="N2107" s="4">
        <v>1</v>
      </c>
      <c r="O2107" s="4">
        <v>0</v>
      </c>
    </row>
    <row r="2108" spans="1:15" x14ac:dyDescent="0.15">
      <c r="A2108" s="4">
        <v>2105</v>
      </c>
      <c r="B2108" s="4">
        <v>40</v>
      </c>
      <c r="C2108" s="4">
        <v>14</v>
      </c>
      <c r="D2108" s="4">
        <v>58</v>
      </c>
      <c r="E2108" s="4">
        <v>4</v>
      </c>
      <c r="F2108" s="8">
        <v>0.2</v>
      </c>
      <c r="G2108" s="4">
        <v>3</v>
      </c>
      <c r="H2108" s="4">
        <f t="shared" si="64"/>
        <v>0</v>
      </c>
      <c r="I2108" s="4">
        <f t="shared" si="65"/>
        <v>0</v>
      </c>
      <c r="J2108" s="4">
        <v>0</v>
      </c>
      <c r="K2108" s="4">
        <v>0</v>
      </c>
      <c r="L2108" s="4">
        <v>0</v>
      </c>
      <c r="M2108" s="4">
        <v>1</v>
      </c>
      <c r="N2108" s="4">
        <v>0</v>
      </c>
      <c r="O2108" s="4">
        <v>0</v>
      </c>
    </row>
    <row r="2109" spans="1:15" x14ac:dyDescent="0.15">
      <c r="A2109" s="4">
        <v>2106</v>
      </c>
      <c r="B2109" s="4">
        <v>31</v>
      </c>
      <c r="C2109" s="4">
        <v>5</v>
      </c>
      <c r="D2109" s="4">
        <v>49</v>
      </c>
      <c r="E2109" s="4">
        <v>4</v>
      </c>
      <c r="F2109" s="8">
        <v>1.8</v>
      </c>
      <c r="G2109" s="4">
        <v>3</v>
      </c>
      <c r="H2109" s="4">
        <f t="shared" si="64"/>
        <v>0</v>
      </c>
      <c r="I2109" s="4">
        <f t="shared" si="65"/>
        <v>0</v>
      </c>
      <c r="J2109" s="4">
        <v>0</v>
      </c>
      <c r="K2109" s="4">
        <v>0</v>
      </c>
      <c r="L2109" s="4">
        <v>0</v>
      </c>
      <c r="M2109" s="4">
        <v>1</v>
      </c>
      <c r="N2109" s="4">
        <v>1</v>
      </c>
      <c r="O2109" s="4">
        <v>0</v>
      </c>
    </row>
    <row r="2110" spans="1:15" x14ac:dyDescent="0.15">
      <c r="A2110" s="4">
        <v>2107</v>
      </c>
      <c r="B2110" s="4">
        <v>62</v>
      </c>
      <c r="C2110" s="4">
        <v>38</v>
      </c>
      <c r="D2110" s="4">
        <v>132</v>
      </c>
      <c r="E2110" s="4">
        <v>1</v>
      </c>
      <c r="F2110" s="8">
        <v>2.9</v>
      </c>
      <c r="G2110" s="4">
        <v>1</v>
      </c>
      <c r="H2110" s="4">
        <f t="shared" si="64"/>
        <v>1</v>
      </c>
      <c r="I2110" s="4">
        <f t="shared" si="65"/>
        <v>0</v>
      </c>
      <c r="J2110" s="4">
        <v>0</v>
      </c>
      <c r="K2110" s="4">
        <v>0</v>
      </c>
      <c r="L2110" s="4">
        <v>0</v>
      </c>
      <c r="M2110" s="4">
        <v>0</v>
      </c>
      <c r="N2110" s="4">
        <v>0</v>
      </c>
      <c r="O2110" s="4">
        <v>0</v>
      </c>
    </row>
    <row r="2111" spans="1:15" x14ac:dyDescent="0.15">
      <c r="A2111" s="4">
        <v>2108</v>
      </c>
      <c r="B2111" s="4">
        <v>41</v>
      </c>
      <c r="C2111" s="4">
        <v>17</v>
      </c>
      <c r="D2111" s="4">
        <v>85</v>
      </c>
      <c r="E2111" s="4">
        <v>4</v>
      </c>
      <c r="F2111" s="8">
        <v>0.2</v>
      </c>
      <c r="G2111" s="4">
        <v>3</v>
      </c>
      <c r="H2111" s="4">
        <f t="shared" si="64"/>
        <v>0</v>
      </c>
      <c r="I2111" s="4">
        <f t="shared" si="65"/>
        <v>0</v>
      </c>
      <c r="J2111" s="4">
        <v>229</v>
      </c>
      <c r="K2111" s="4">
        <v>0</v>
      </c>
      <c r="L2111" s="4">
        <v>0</v>
      </c>
      <c r="M2111" s="4">
        <v>0</v>
      </c>
      <c r="N2111" s="4">
        <v>0</v>
      </c>
      <c r="O2111" s="4">
        <v>0</v>
      </c>
    </row>
    <row r="2112" spans="1:15" x14ac:dyDescent="0.15">
      <c r="A2112" s="4">
        <v>2109</v>
      </c>
      <c r="B2112" s="4">
        <v>56</v>
      </c>
      <c r="C2112" s="4">
        <v>32</v>
      </c>
      <c r="D2112" s="4">
        <v>85</v>
      </c>
      <c r="E2112" s="4">
        <v>3</v>
      </c>
      <c r="F2112" s="8">
        <v>2.6666666666666665</v>
      </c>
      <c r="G2112" s="4">
        <v>1</v>
      </c>
      <c r="H2112" s="4">
        <f t="shared" si="64"/>
        <v>1</v>
      </c>
      <c r="I2112" s="4">
        <f t="shared" si="65"/>
        <v>0</v>
      </c>
      <c r="J2112" s="4">
        <v>0</v>
      </c>
      <c r="K2112" s="4">
        <v>1</v>
      </c>
      <c r="L2112" s="4">
        <v>0</v>
      </c>
      <c r="M2112" s="4">
        <v>1</v>
      </c>
      <c r="N2112" s="4">
        <v>0</v>
      </c>
      <c r="O2112" s="4">
        <v>0</v>
      </c>
    </row>
    <row r="2113" spans="1:15" x14ac:dyDescent="0.15">
      <c r="A2113" s="4">
        <v>2110</v>
      </c>
      <c r="B2113" s="4">
        <v>47</v>
      </c>
      <c r="C2113" s="4">
        <v>23</v>
      </c>
      <c r="D2113" s="4">
        <v>178</v>
      </c>
      <c r="E2113" s="4">
        <v>1</v>
      </c>
      <c r="F2113" s="8">
        <v>6.5</v>
      </c>
      <c r="G2113" s="4">
        <v>3</v>
      </c>
      <c r="H2113" s="4">
        <f t="shared" si="64"/>
        <v>0</v>
      </c>
      <c r="I2113" s="4">
        <f t="shared" si="65"/>
        <v>0</v>
      </c>
      <c r="J2113" s="4">
        <v>0</v>
      </c>
      <c r="K2113" s="4">
        <v>0</v>
      </c>
      <c r="L2113" s="4">
        <v>0</v>
      </c>
      <c r="M2113" s="4">
        <v>0</v>
      </c>
      <c r="N2113" s="4">
        <v>0</v>
      </c>
      <c r="O2113" s="4">
        <v>1</v>
      </c>
    </row>
    <row r="2114" spans="1:15" x14ac:dyDescent="0.15">
      <c r="A2114" s="4">
        <v>2111</v>
      </c>
      <c r="B2114" s="4">
        <v>28</v>
      </c>
      <c r="C2114" s="4">
        <v>4</v>
      </c>
      <c r="D2114" s="4">
        <v>104</v>
      </c>
      <c r="E2114" s="4">
        <v>3</v>
      </c>
      <c r="F2114" s="8">
        <v>2.5</v>
      </c>
      <c r="G2114" s="4">
        <v>1</v>
      </c>
      <c r="H2114" s="4">
        <f t="shared" si="64"/>
        <v>1</v>
      </c>
      <c r="I2114" s="4">
        <f t="shared" si="65"/>
        <v>0</v>
      </c>
      <c r="J2114" s="4">
        <v>0</v>
      </c>
      <c r="K2114" s="4">
        <v>0</v>
      </c>
      <c r="L2114" s="4">
        <v>0</v>
      </c>
      <c r="M2114" s="4">
        <v>0</v>
      </c>
      <c r="N2114" s="4">
        <v>0</v>
      </c>
      <c r="O2114" s="4">
        <v>0</v>
      </c>
    </row>
    <row r="2115" spans="1:15" x14ac:dyDescent="0.15">
      <c r="A2115" s="4">
        <v>2112</v>
      </c>
      <c r="B2115" s="4">
        <v>60</v>
      </c>
      <c r="C2115" s="4">
        <v>34</v>
      </c>
      <c r="D2115" s="4">
        <v>40</v>
      </c>
      <c r="E2115" s="4">
        <v>1</v>
      </c>
      <c r="F2115" s="8">
        <v>1.6</v>
      </c>
      <c r="G2115" s="4">
        <v>1</v>
      </c>
      <c r="H2115" s="4">
        <f t="shared" si="64"/>
        <v>1</v>
      </c>
      <c r="I2115" s="4">
        <f t="shared" si="65"/>
        <v>0</v>
      </c>
      <c r="J2115" s="4">
        <v>0</v>
      </c>
      <c r="K2115" s="4">
        <v>0</v>
      </c>
      <c r="L2115" s="4">
        <v>0</v>
      </c>
      <c r="M2115" s="4">
        <v>1</v>
      </c>
      <c r="N2115" s="4">
        <v>0</v>
      </c>
      <c r="O2115" s="4">
        <v>0</v>
      </c>
    </row>
    <row r="2116" spans="1:15" x14ac:dyDescent="0.15">
      <c r="A2116" s="4">
        <v>2113</v>
      </c>
      <c r="B2116" s="4">
        <v>27</v>
      </c>
      <c r="C2116" s="4">
        <v>2</v>
      </c>
      <c r="D2116" s="4">
        <v>103</v>
      </c>
      <c r="E2116" s="4">
        <v>1</v>
      </c>
      <c r="F2116" s="8">
        <v>1.9</v>
      </c>
      <c r="G2116" s="4">
        <v>1</v>
      </c>
      <c r="H2116" s="4">
        <f t="shared" si="64"/>
        <v>1</v>
      </c>
      <c r="I2116" s="4">
        <f t="shared" si="65"/>
        <v>0</v>
      </c>
      <c r="J2116" s="4">
        <v>120</v>
      </c>
      <c r="K2116" s="4">
        <v>0</v>
      </c>
      <c r="L2116" s="4">
        <v>0</v>
      </c>
      <c r="M2116" s="4">
        <v>1</v>
      </c>
      <c r="N2116" s="4">
        <v>0</v>
      </c>
      <c r="O2116" s="4">
        <v>0</v>
      </c>
    </row>
    <row r="2117" spans="1:15" x14ac:dyDescent="0.15">
      <c r="A2117" s="4">
        <v>2114</v>
      </c>
      <c r="B2117" s="4">
        <v>57</v>
      </c>
      <c r="C2117" s="4">
        <v>33</v>
      </c>
      <c r="D2117" s="4">
        <v>25</v>
      </c>
      <c r="E2117" s="4">
        <v>2</v>
      </c>
      <c r="F2117" s="8">
        <v>1</v>
      </c>
      <c r="G2117" s="4">
        <v>1</v>
      </c>
      <c r="H2117" s="4">
        <f t="shared" ref="H2117:H2180" si="66">IF(G2117=1,1,0)</f>
        <v>1</v>
      </c>
      <c r="I2117" s="4">
        <f t="shared" ref="I2117:I2180" si="67">IF(G2117=2,1,0)</f>
        <v>0</v>
      </c>
      <c r="J2117" s="4">
        <v>0</v>
      </c>
      <c r="K2117" s="4">
        <v>0</v>
      </c>
      <c r="L2117" s="4">
        <v>0</v>
      </c>
      <c r="M2117" s="4">
        <v>1</v>
      </c>
      <c r="N2117" s="4">
        <v>0</v>
      </c>
      <c r="O2117" s="4">
        <v>0</v>
      </c>
    </row>
    <row r="2118" spans="1:15" x14ac:dyDescent="0.15">
      <c r="A2118" s="4">
        <v>2115</v>
      </c>
      <c r="B2118" s="4">
        <v>62</v>
      </c>
      <c r="C2118" s="4">
        <v>36</v>
      </c>
      <c r="D2118" s="4">
        <v>69</v>
      </c>
      <c r="E2118" s="4">
        <v>2</v>
      </c>
      <c r="F2118" s="8">
        <v>1.7</v>
      </c>
      <c r="G2118" s="4">
        <v>3</v>
      </c>
      <c r="H2118" s="4">
        <f t="shared" si="66"/>
        <v>0</v>
      </c>
      <c r="I2118" s="4">
        <f t="shared" si="67"/>
        <v>0</v>
      </c>
      <c r="J2118" s="4">
        <v>0</v>
      </c>
      <c r="K2118" s="4">
        <v>0</v>
      </c>
      <c r="L2118" s="4">
        <v>0</v>
      </c>
      <c r="M2118" s="4">
        <v>1</v>
      </c>
      <c r="N2118" s="4">
        <v>0</v>
      </c>
      <c r="O2118" s="4">
        <v>0</v>
      </c>
    </row>
    <row r="2119" spans="1:15" x14ac:dyDescent="0.15">
      <c r="A2119" s="4">
        <v>2116</v>
      </c>
      <c r="B2119" s="4">
        <v>57</v>
      </c>
      <c r="C2119" s="4">
        <v>31</v>
      </c>
      <c r="D2119" s="4">
        <v>30</v>
      </c>
      <c r="E2119" s="4">
        <v>3</v>
      </c>
      <c r="F2119" s="8">
        <v>1.4</v>
      </c>
      <c r="G2119" s="4">
        <v>1</v>
      </c>
      <c r="H2119" s="4">
        <f t="shared" si="66"/>
        <v>1</v>
      </c>
      <c r="I2119" s="4">
        <f t="shared" si="67"/>
        <v>0</v>
      </c>
      <c r="J2119" s="4">
        <v>0</v>
      </c>
      <c r="K2119" s="4">
        <v>0</v>
      </c>
      <c r="L2119" s="4">
        <v>0</v>
      </c>
      <c r="M2119" s="4">
        <v>0</v>
      </c>
      <c r="N2119" s="4">
        <v>0</v>
      </c>
      <c r="O2119" s="4">
        <v>0</v>
      </c>
    </row>
    <row r="2120" spans="1:15" x14ac:dyDescent="0.15">
      <c r="A2120" s="4">
        <v>2117</v>
      </c>
      <c r="B2120" s="4">
        <v>44</v>
      </c>
      <c r="C2120" s="4">
        <v>17</v>
      </c>
      <c r="D2120" s="4">
        <v>70</v>
      </c>
      <c r="E2120" s="4">
        <v>3</v>
      </c>
      <c r="F2120" s="8">
        <v>2.6666666666666665</v>
      </c>
      <c r="G2120" s="4">
        <v>2</v>
      </c>
      <c r="H2120" s="4">
        <f t="shared" si="66"/>
        <v>0</v>
      </c>
      <c r="I2120" s="4">
        <f t="shared" si="67"/>
        <v>1</v>
      </c>
      <c r="J2120" s="4">
        <v>0</v>
      </c>
      <c r="K2120" s="4">
        <v>0</v>
      </c>
      <c r="L2120" s="4">
        <v>0</v>
      </c>
      <c r="M2120" s="4">
        <v>0</v>
      </c>
      <c r="N2120" s="4">
        <v>0</v>
      </c>
      <c r="O2120" s="4">
        <v>0</v>
      </c>
    </row>
    <row r="2121" spans="1:15" x14ac:dyDescent="0.15">
      <c r="A2121" s="4">
        <v>2118</v>
      </c>
      <c r="B2121" s="4">
        <v>31</v>
      </c>
      <c r="C2121" s="4">
        <v>7</v>
      </c>
      <c r="D2121" s="4">
        <v>15</v>
      </c>
      <c r="E2121" s="4">
        <v>3</v>
      </c>
      <c r="F2121" s="8">
        <v>0.9</v>
      </c>
      <c r="G2121" s="4">
        <v>3</v>
      </c>
      <c r="H2121" s="4">
        <f t="shared" si="66"/>
        <v>0</v>
      </c>
      <c r="I2121" s="4">
        <f t="shared" si="67"/>
        <v>0</v>
      </c>
      <c r="J2121" s="4">
        <v>0</v>
      </c>
      <c r="K2121" s="4">
        <v>0</v>
      </c>
      <c r="L2121" s="4">
        <v>0</v>
      </c>
      <c r="M2121" s="4">
        <v>1</v>
      </c>
      <c r="N2121" s="4">
        <v>0</v>
      </c>
      <c r="O2121" s="4">
        <v>0</v>
      </c>
    </row>
    <row r="2122" spans="1:15" x14ac:dyDescent="0.15">
      <c r="A2122" s="4">
        <v>2119</v>
      </c>
      <c r="B2122" s="4">
        <v>31</v>
      </c>
      <c r="C2122" s="4">
        <v>5</v>
      </c>
      <c r="D2122" s="4">
        <v>125</v>
      </c>
      <c r="E2122" s="4">
        <v>2</v>
      </c>
      <c r="F2122" s="8">
        <v>1.3</v>
      </c>
      <c r="G2122" s="4">
        <v>1</v>
      </c>
      <c r="H2122" s="4">
        <f t="shared" si="66"/>
        <v>1</v>
      </c>
      <c r="I2122" s="4">
        <f t="shared" si="67"/>
        <v>0</v>
      </c>
      <c r="J2122" s="4">
        <v>0</v>
      </c>
      <c r="K2122" s="4">
        <v>0</v>
      </c>
      <c r="L2122" s="4">
        <v>0</v>
      </c>
      <c r="M2122" s="4">
        <v>1</v>
      </c>
      <c r="N2122" s="4">
        <v>1</v>
      </c>
      <c r="O2122" s="4">
        <v>0</v>
      </c>
    </row>
    <row r="2123" spans="1:15" x14ac:dyDescent="0.15">
      <c r="A2123" s="4">
        <v>2120</v>
      </c>
      <c r="B2123" s="4">
        <v>39</v>
      </c>
      <c r="C2123" s="4">
        <v>13</v>
      </c>
      <c r="D2123" s="4">
        <v>50</v>
      </c>
      <c r="E2123" s="4">
        <v>3</v>
      </c>
      <c r="F2123" s="8">
        <v>0.5</v>
      </c>
      <c r="G2123" s="4">
        <v>3</v>
      </c>
      <c r="H2123" s="4">
        <f t="shared" si="66"/>
        <v>0</v>
      </c>
      <c r="I2123" s="4">
        <f t="shared" si="67"/>
        <v>0</v>
      </c>
      <c r="J2123" s="4">
        <v>0</v>
      </c>
      <c r="K2123" s="4">
        <v>0</v>
      </c>
      <c r="L2123" s="4">
        <v>0</v>
      </c>
      <c r="M2123" s="4">
        <v>0</v>
      </c>
      <c r="N2123" s="4">
        <v>0</v>
      </c>
      <c r="O2123" s="4">
        <v>0</v>
      </c>
    </row>
    <row r="2124" spans="1:15" x14ac:dyDescent="0.15">
      <c r="A2124" s="4">
        <v>2121</v>
      </c>
      <c r="B2124" s="4">
        <v>41</v>
      </c>
      <c r="C2124" s="4">
        <v>17</v>
      </c>
      <c r="D2124" s="4">
        <v>44</v>
      </c>
      <c r="E2124" s="4">
        <v>1</v>
      </c>
      <c r="F2124" s="8">
        <v>0.3</v>
      </c>
      <c r="G2124" s="4">
        <v>3</v>
      </c>
      <c r="H2124" s="4">
        <f t="shared" si="66"/>
        <v>0</v>
      </c>
      <c r="I2124" s="4">
        <f t="shared" si="67"/>
        <v>0</v>
      </c>
      <c r="J2124" s="4">
        <v>0</v>
      </c>
      <c r="K2124" s="4">
        <v>0</v>
      </c>
      <c r="L2124" s="4">
        <v>0</v>
      </c>
      <c r="M2124" s="4">
        <v>1</v>
      </c>
      <c r="N2124" s="4">
        <v>0</v>
      </c>
      <c r="O2124" s="4">
        <v>0</v>
      </c>
    </row>
    <row r="2125" spans="1:15" x14ac:dyDescent="0.15">
      <c r="A2125" s="4">
        <v>2122</v>
      </c>
      <c r="B2125" s="4">
        <v>41</v>
      </c>
      <c r="C2125" s="4">
        <v>17</v>
      </c>
      <c r="D2125" s="4">
        <v>38</v>
      </c>
      <c r="E2125" s="4">
        <v>4</v>
      </c>
      <c r="F2125" s="8">
        <v>2.2000000000000002</v>
      </c>
      <c r="G2125" s="4">
        <v>2</v>
      </c>
      <c r="H2125" s="4">
        <f t="shared" si="66"/>
        <v>0</v>
      </c>
      <c r="I2125" s="4">
        <f t="shared" si="67"/>
        <v>1</v>
      </c>
      <c r="J2125" s="4">
        <v>180</v>
      </c>
      <c r="K2125" s="4">
        <v>0</v>
      </c>
      <c r="L2125" s="4">
        <v>0</v>
      </c>
      <c r="M2125" s="4">
        <v>0</v>
      </c>
      <c r="N2125" s="4">
        <v>1</v>
      </c>
      <c r="O2125" s="4">
        <v>0</v>
      </c>
    </row>
    <row r="2126" spans="1:15" x14ac:dyDescent="0.15">
      <c r="A2126" s="4">
        <v>2123</v>
      </c>
      <c r="B2126" s="4">
        <v>55</v>
      </c>
      <c r="C2126" s="4">
        <v>29</v>
      </c>
      <c r="D2126" s="4">
        <v>64</v>
      </c>
      <c r="E2126" s="4">
        <v>3</v>
      </c>
      <c r="F2126" s="8">
        <v>0.8</v>
      </c>
      <c r="G2126" s="4">
        <v>1</v>
      </c>
      <c r="H2126" s="4">
        <f t="shared" si="66"/>
        <v>1</v>
      </c>
      <c r="I2126" s="4">
        <f t="shared" si="67"/>
        <v>0</v>
      </c>
      <c r="J2126" s="4">
        <v>119</v>
      </c>
      <c r="K2126" s="4">
        <v>0</v>
      </c>
      <c r="L2126" s="4">
        <v>0</v>
      </c>
      <c r="M2126" s="4">
        <v>0</v>
      </c>
      <c r="N2126" s="4">
        <v>1</v>
      </c>
      <c r="O2126" s="4">
        <v>0</v>
      </c>
    </row>
    <row r="2127" spans="1:15" x14ac:dyDescent="0.15">
      <c r="A2127" s="4">
        <v>2124</v>
      </c>
      <c r="B2127" s="4">
        <v>28</v>
      </c>
      <c r="C2127" s="4">
        <v>2</v>
      </c>
      <c r="D2127" s="4">
        <v>9</v>
      </c>
      <c r="E2127" s="4">
        <v>1</v>
      </c>
      <c r="F2127" s="8">
        <v>0.1</v>
      </c>
      <c r="G2127" s="4">
        <v>2</v>
      </c>
      <c r="H2127" s="4">
        <f t="shared" si="66"/>
        <v>0</v>
      </c>
      <c r="I2127" s="4">
        <f t="shared" si="67"/>
        <v>1</v>
      </c>
      <c r="J2127" s="4">
        <v>0</v>
      </c>
      <c r="K2127" s="4">
        <v>0</v>
      </c>
      <c r="L2127" s="4">
        <v>0</v>
      </c>
      <c r="M2127" s="4">
        <v>1</v>
      </c>
      <c r="N2127" s="4">
        <v>0</v>
      </c>
      <c r="O2127" s="4">
        <v>0</v>
      </c>
    </row>
    <row r="2128" spans="1:15" x14ac:dyDescent="0.15">
      <c r="A2128" s="4">
        <v>2125</v>
      </c>
      <c r="B2128" s="4">
        <v>35</v>
      </c>
      <c r="C2128" s="4">
        <v>9</v>
      </c>
      <c r="D2128" s="4">
        <v>44</v>
      </c>
      <c r="E2128" s="4">
        <v>3</v>
      </c>
      <c r="F2128" s="8">
        <v>0.9</v>
      </c>
      <c r="G2128" s="4">
        <v>1</v>
      </c>
      <c r="H2128" s="4">
        <f t="shared" si="66"/>
        <v>1</v>
      </c>
      <c r="I2128" s="4">
        <f t="shared" si="67"/>
        <v>0</v>
      </c>
      <c r="J2128" s="4">
        <v>89</v>
      </c>
      <c r="K2128" s="4">
        <v>0</v>
      </c>
      <c r="L2128" s="4">
        <v>0</v>
      </c>
      <c r="M2128" s="4">
        <v>0</v>
      </c>
      <c r="N2128" s="4">
        <v>0</v>
      </c>
      <c r="O2128" s="4">
        <v>0</v>
      </c>
    </row>
    <row r="2129" spans="1:15" x14ac:dyDescent="0.15">
      <c r="A2129" s="4">
        <v>2126</v>
      </c>
      <c r="B2129" s="4">
        <v>44</v>
      </c>
      <c r="C2129" s="4">
        <v>20</v>
      </c>
      <c r="D2129" s="4">
        <v>93</v>
      </c>
      <c r="E2129" s="4">
        <v>4</v>
      </c>
      <c r="F2129" s="8">
        <v>0.8</v>
      </c>
      <c r="G2129" s="4">
        <v>1</v>
      </c>
      <c r="H2129" s="4">
        <f t="shared" si="66"/>
        <v>1</v>
      </c>
      <c r="I2129" s="4">
        <f t="shared" si="67"/>
        <v>0</v>
      </c>
      <c r="J2129" s="4">
        <v>101</v>
      </c>
      <c r="K2129" s="4">
        <v>0</v>
      </c>
      <c r="L2129" s="4">
        <v>0</v>
      </c>
      <c r="M2129" s="4">
        <v>1</v>
      </c>
      <c r="N2129" s="4">
        <v>0</v>
      </c>
      <c r="O2129" s="4">
        <v>0</v>
      </c>
    </row>
    <row r="2130" spans="1:15" x14ac:dyDescent="0.15">
      <c r="A2130" s="4">
        <v>2127</v>
      </c>
      <c r="B2130" s="4">
        <v>44</v>
      </c>
      <c r="C2130" s="4">
        <v>19</v>
      </c>
      <c r="D2130" s="4">
        <v>83</v>
      </c>
      <c r="E2130" s="4">
        <v>4</v>
      </c>
      <c r="F2130" s="8">
        <v>0.4</v>
      </c>
      <c r="G2130" s="4">
        <v>1</v>
      </c>
      <c r="H2130" s="4">
        <f t="shared" si="66"/>
        <v>1</v>
      </c>
      <c r="I2130" s="4">
        <f t="shared" si="67"/>
        <v>0</v>
      </c>
      <c r="J2130" s="4">
        <v>141</v>
      </c>
      <c r="K2130" s="4">
        <v>0</v>
      </c>
      <c r="L2130" s="4">
        <v>0</v>
      </c>
      <c r="M2130" s="4">
        <v>0</v>
      </c>
      <c r="N2130" s="4">
        <v>0</v>
      </c>
      <c r="O2130" s="4">
        <v>0</v>
      </c>
    </row>
    <row r="2131" spans="1:15" x14ac:dyDescent="0.15">
      <c r="A2131" s="4">
        <v>2128</v>
      </c>
      <c r="B2131" s="4">
        <v>40</v>
      </c>
      <c r="C2131" s="4">
        <v>14</v>
      </c>
      <c r="D2131" s="4">
        <v>179</v>
      </c>
      <c r="E2131" s="4">
        <v>2</v>
      </c>
      <c r="F2131" s="8">
        <v>0</v>
      </c>
      <c r="G2131" s="4">
        <v>1</v>
      </c>
      <c r="H2131" s="4">
        <f t="shared" si="66"/>
        <v>1</v>
      </c>
      <c r="I2131" s="4">
        <f t="shared" si="67"/>
        <v>0</v>
      </c>
      <c r="J2131" s="4">
        <v>0</v>
      </c>
      <c r="K2131" s="4">
        <v>0</v>
      </c>
      <c r="L2131" s="4">
        <v>0</v>
      </c>
      <c r="M2131" s="4">
        <v>0</v>
      </c>
      <c r="N2131" s="4">
        <v>0</v>
      </c>
      <c r="O2131" s="4">
        <v>0</v>
      </c>
    </row>
    <row r="2132" spans="1:15" x14ac:dyDescent="0.15">
      <c r="A2132" s="4">
        <v>2129</v>
      </c>
      <c r="B2132" s="4">
        <v>65</v>
      </c>
      <c r="C2132" s="4">
        <v>40</v>
      </c>
      <c r="D2132" s="4">
        <v>40</v>
      </c>
      <c r="E2132" s="4">
        <v>1</v>
      </c>
      <c r="F2132" s="8">
        <v>1.1000000000000001</v>
      </c>
      <c r="G2132" s="4">
        <v>3</v>
      </c>
      <c r="H2132" s="4">
        <f t="shared" si="66"/>
        <v>0</v>
      </c>
      <c r="I2132" s="4">
        <f t="shared" si="67"/>
        <v>0</v>
      </c>
      <c r="J2132" s="4">
        <v>0</v>
      </c>
      <c r="K2132" s="4">
        <v>0</v>
      </c>
      <c r="L2132" s="4">
        <v>0</v>
      </c>
      <c r="M2132" s="4">
        <v>0</v>
      </c>
      <c r="N2132" s="4">
        <v>0</v>
      </c>
      <c r="O2132" s="4">
        <v>0</v>
      </c>
    </row>
    <row r="2133" spans="1:15" x14ac:dyDescent="0.15">
      <c r="A2133" s="4">
        <v>2130</v>
      </c>
      <c r="B2133" s="4">
        <v>35</v>
      </c>
      <c r="C2133" s="4">
        <v>10</v>
      </c>
      <c r="D2133" s="4">
        <v>58</v>
      </c>
      <c r="E2133" s="4">
        <v>4</v>
      </c>
      <c r="F2133" s="8">
        <v>0.7</v>
      </c>
      <c r="G2133" s="4">
        <v>3</v>
      </c>
      <c r="H2133" s="4">
        <f t="shared" si="66"/>
        <v>0</v>
      </c>
      <c r="I2133" s="4">
        <f t="shared" si="67"/>
        <v>0</v>
      </c>
      <c r="J2133" s="4">
        <v>232</v>
      </c>
      <c r="K2133" s="4">
        <v>0</v>
      </c>
      <c r="L2133" s="4">
        <v>0</v>
      </c>
      <c r="M2133" s="4">
        <v>0</v>
      </c>
      <c r="N2133" s="4">
        <v>0</v>
      </c>
      <c r="O2133" s="4">
        <v>0</v>
      </c>
    </row>
    <row r="2134" spans="1:15" x14ac:dyDescent="0.15">
      <c r="A2134" s="4">
        <v>2131</v>
      </c>
      <c r="B2134" s="4">
        <v>55</v>
      </c>
      <c r="C2134" s="4">
        <v>31</v>
      </c>
      <c r="D2134" s="4">
        <v>74</v>
      </c>
      <c r="E2134" s="4">
        <v>3</v>
      </c>
      <c r="F2134" s="8">
        <v>2.6666666666666665</v>
      </c>
      <c r="G2134" s="4">
        <v>1</v>
      </c>
      <c r="H2134" s="4">
        <f t="shared" si="66"/>
        <v>1</v>
      </c>
      <c r="I2134" s="4">
        <f t="shared" si="67"/>
        <v>0</v>
      </c>
      <c r="J2134" s="4">
        <v>0</v>
      </c>
      <c r="K2134" s="4">
        <v>0</v>
      </c>
      <c r="L2134" s="4">
        <v>0</v>
      </c>
      <c r="M2134" s="4">
        <v>0</v>
      </c>
      <c r="N2134" s="4">
        <v>1</v>
      </c>
      <c r="O2134" s="4">
        <v>0</v>
      </c>
    </row>
    <row r="2135" spans="1:15" x14ac:dyDescent="0.15">
      <c r="A2135" s="4">
        <v>2132</v>
      </c>
      <c r="B2135" s="4">
        <v>55</v>
      </c>
      <c r="C2135" s="4">
        <v>31</v>
      </c>
      <c r="D2135" s="4">
        <v>15</v>
      </c>
      <c r="E2135" s="4">
        <v>1</v>
      </c>
      <c r="F2135" s="8">
        <v>0.2</v>
      </c>
      <c r="G2135" s="4">
        <v>1</v>
      </c>
      <c r="H2135" s="4">
        <f t="shared" si="66"/>
        <v>1</v>
      </c>
      <c r="I2135" s="4">
        <f t="shared" si="67"/>
        <v>0</v>
      </c>
      <c r="J2135" s="4">
        <v>0</v>
      </c>
      <c r="K2135" s="4">
        <v>0</v>
      </c>
      <c r="L2135" s="4">
        <v>0</v>
      </c>
      <c r="M2135" s="4">
        <v>0</v>
      </c>
      <c r="N2135" s="4">
        <v>0</v>
      </c>
      <c r="O2135" s="4">
        <v>0</v>
      </c>
    </row>
    <row r="2136" spans="1:15" x14ac:dyDescent="0.15">
      <c r="A2136" s="4">
        <v>2133</v>
      </c>
      <c r="B2136" s="4">
        <v>59</v>
      </c>
      <c r="C2136" s="4">
        <v>35</v>
      </c>
      <c r="D2136" s="4">
        <v>11</v>
      </c>
      <c r="E2136" s="4">
        <v>2</v>
      </c>
      <c r="F2136" s="8">
        <v>1</v>
      </c>
      <c r="G2136" s="4">
        <v>1</v>
      </c>
      <c r="H2136" s="4">
        <f t="shared" si="66"/>
        <v>1</v>
      </c>
      <c r="I2136" s="4">
        <f t="shared" si="67"/>
        <v>0</v>
      </c>
      <c r="J2136" s="4">
        <v>0</v>
      </c>
      <c r="K2136" s="4">
        <v>0</v>
      </c>
      <c r="L2136" s="4">
        <v>0</v>
      </c>
      <c r="M2136" s="4">
        <v>0</v>
      </c>
      <c r="N2136" s="4">
        <v>1</v>
      </c>
      <c r="O2136" s="4">
        <v>0</v>
      </c>
    </row>
    <row r="2137" spans="1:15" x14ac:dyDescent="0.15">
      <c r="A2137" s="4">
        <v>2134</v>
      </c>
      <c r="B2137" s="4">
        <v>39</v>
      </c>
      <c r="C2137" s="4">
        <v>15</v>
      </c>
      <c r="D2137" s="4">
        <v>41</v>
      </c>
      <c r="E2137" s="4">
        <v>1</v>
      </c>
      <c r="F2137" s="8">
        <v>2</v>
      </c>
      <c r="G2137" s="4">
        <v>2</v>
      </c>
      <c r="H2137" s="4">
        <f t="shared" si="66"/>
        <v>0</v>
      </c>
      <c r="I2137" s="4">
        <f t="shared" si="67"/>
        <v>1</v>
      </c>
      <c r="J2137" s="4">
        <v>176</v>
      </c>
      <c r="K2137" s="4">
        <v>0</v>
      </c>
      <c r="L2137" s="4">
        <v>0</v>
      </c>
      <c r="M2137" s="4">
        <v>1</v>
      </c>
      <c r="N2137" s="4">
        <v>0</v>
      </c>
      <c r="O2137" s="4">
        <v>0</v>
      </c>
    </row>
    <row r="2138" spans="1:15" x14ac:dyDescent="0.15">
      <c r="A2138" s="4">
        <v>2135</v>
      </c>
      <c r="B2138" s="4">
        <v>50</v>
      </c>
      <c r="C2138" s="4">
        <v>24</v>
      </c>
      <c r="D2138" s="4">
        <v>68</v>
      </c>
      <c r="E2138" s="4">
        <v>1</v>
      </c>
      <c r="F2138" s="8">
        <v>1.5</v>
      </c>
      <c r="G2138" s="4">
        <v>2</v>
      </c>
      <c r="H2138" s="4">
        <f t="shared" si="66"/>
        <v>0</v>
      </c>
      <c r="I2138" s="4">
        <f t="shared" si="67"/>
        <v>1</v>
      </c>
      <c r="J2138" s="4">
        <v>120</v>
      </c>
      <c r="K2138" s="4">
        <v>0</v>
      </c>
      <c r="L2138" s="4">
        <v>0</v>
      </c>
      <c r="M2138" s="4">
        <v>1</v>
      </c>
      <c r="N2138" s="4">
        <v>1</v>
      </c>
      <c r="O2138" s="4">
        <v>0</v>
      </c>
    </row>
    <row r="2139" spans="1:15" x14ac:dyDescent="0.15">
      <c r="A2139" s="4">
        <v>2136</v>
      </c>
      <c r="B2139" s="4">
        <v>45</v>
      </c>
      <c r="C2139" s="4">
        <v>15</v>
      </c>
      <c r="D2139" s="4">
        <v>28</v>
      </c>
      <c r="E2139" s="4">
        <v>1</v>
      </c>
      <c r="F2139" s="8">
        <v>0.75</v>
      </c>
      <c r="G2139" s="4">
        <v>3</v>
      </c>
      <c r="H2139" s="4">
        <f t="shared" si="66"/>
        <v>0</v>
      </c>
      <c r="I2139" s="4">
        <f t="shared" si="67"/>
        <v>0</v>
      </c>
      <c r="J2139" s="4">
        <v>0</v>
      </c>
      <c r="K2139" s="4">
        <v>1</v>
      </c>
      <c r="L2139" s="4">
        <v>0</v>
      </c>
      <c r="M2139" s="4">
        <v>0</v>
      </c>
      <c r="N2139" s="4">
        <v>0</v>
      </c>
      <c r="O2139" s="4">
        <v>0</v>
      </c>
    </row>
    <row r="2140" spans="1:15" x14ac:dyDescent="0.15">
      <c r="A2140" s="4">
        <v>2137</v>
      </c>
      <c r="B2140" s="4">
        <v>50</v>
      </c>
      <c r="C2140" s="4">
        <v>26</v>
      </c>
      <c r="D2140" s="4">
        <v>115</v>
      </c>
      <c r="E2140" s="4">
        <v>1</v>
      </c>
      <c r="F2140" s="8">
        <v>1.2</v>
      </c>
      <c r="G2140" s="4">
        <v>3</v>
      </c>
      <c r="H2140" s="4">
        <f t="shared" si="66"/>
        <v>0</v>
      </c>
      <c r="I2140" s="4">
        <f t="shared" si="67"/>
        <v>0</v>
      </c>
      <c r="J2140" s="4">
        <v>0</v>
      </c>
      <c r="K2140" s="4">
        <v>0</v>
      </c>
      <c r="L2140" s="4">
        <v>0</v>
      </c>
      <c r="M2140" s="4">
        <v>0</v>
      </c>
      <c r="N2140" s="4">
        <v>1</v>
      </c>
      <c r="O2140" s="4">
        <v>1</v>
      </c>
    </row>
    <row r="2141" spans="1:15" x14ac:dyDescent="0.15">
      <c r="A2141" s="4">
        <v>2138</v>
      </c>
      <c r="B2141" s="4">
        <v>65</v>
      </c>
      <c r="C2141" s="4">
        <v>40</v>
      </c>
      <c r="D2141" s="4">
        <v>83</v>
      </c>
      <c r="E2141" s="4">
        <v>4</v>
      </c>
      <c r="F2141" s="8">
        <v>0.1</v>
      </c>
      <c r="G2141" s="4">
        <v>2</v>
      </c>
      <c r="H2141" s="4">
        <f t="shared" si="66"/>
        <v>0</v>
      </c>
      <c r="I2141" s="4">
        <f t="shared" si="67"/>
        <v>1</v>
      </c>
      <c r="J2141" s="4">
        <v>247</v>
      </c>
      <c r="K2141" s="4">
        <v>0</v>
      </c>
      <c r="L2141" s="4">
        <v>0</v>
      </c>
      <c r="M2141" s="4">
        <v>1</v>
      </c>
      <c r="N2141" s="4">
        <v>0</v>
      </c>
      <c r="O2141" s="4">
        <v>0</v>
      </c>
    </row>
    <row r="2142" spans="1:15" x14ac:dyDescent="0.15">
      <c r="A2142" s="4">
        <v>2139</v>
      </c>
      <c r="B2142" s="4">
        <v>36</v>
      </c>
      <c r="C2142" s="4">
        <v>11</v>
      </c>
      <c r="D2142" s="4">
        <v>40</v>
      </c>
      <c r="E2142" s="4">
        <v>2</v>
      </c>
      <c r="F2142" s="8">
        <v>1.1000000000000001</v>
      </c>
      <c r="G2142" s="4">
        <v>2</v>
      </c>
      <c r="H2142" s="4">
        <f t="shared" si="66"/>
        <v>0</v>
      </c>
      <c r="I2142" s="4">
        <f t="shared" si="67"/>
        <v>1</v>
      </c>
      <c r="J2142" s="4">
        <v>166</v>
      </c>
      <c r="K2142" s="4">
        <v>1</v>
      </c>
      <c r="L2142" s="4">
        <v>0</v>
      </c>
      <c r="M2142" s="4">
        <v>0</v>
      </c>
      <c r="N2142" s="4">
        <v>0</v>
      </c>
      <c r="O2142" s="4">
        <v>0</v>
      </c>
    </row>
    <row r="2143" spans="1:15" x14ac:dyDescent="0.15">
      <c r="A2143" s="4">
        <v>2140</v>
      </c>
      <c r="B2143" s="4">
        <v>57</v>
      </c>
      <c r="C2143" s="4">
        <v>32</v>
      </c>
      <c r="D2143" s="4">
        <v>113</v>
      </c>
      <c r="E2143" s="4">
        <v>1</v>
      </c>
      <c r="F2143" s="8">
        <v>0.1</v>
      </c>
      <c r="G2143" s="4">
        <v>3</v>
      </c>
      <c r="H2143" s="4">
        <f t="shared" si="66"/>
        <v>0</v>
      </c>
      <c r="I2143" s="4">
        <f t="shared" si="67"/>
        <v>0</v>
      </c>
      <c r="J2143" s="4">
        <v>0</v>
      </c>
      <c r="K2143" s="4">
        <v>0</v>
      </c>
      <c r="L2143" s="4">
        <v>0</v>
      </c>
      <c r="M2143" s="4">
        <v>1</v>
      </c>
      <c r="N2143" s="4">
        <v>0</v>
      </c>
      <c r="O2143" s="4">
        <v>0</v>
      </c>
    </row>
    <row r="2144" spans="1:15" x14ac:dyDescent="0.15">
      <c r="A2144" s="4">
        <v>2141</v>
      </c>
      <c r="B2144" s="4">
        <v>53</v>
      </c>
      <c r="C2144" s="4">
        <v>27</v>
      </c>
      <c r="D2144" s="4">
        <v>89</v>
      </c>
      <c r="E2144" s="4">
        <v>1</v>
      </c>
      <c r="F2144" s="8">
        <v>0.8</v>
      </c>
      <c r="G2144" s="4">
        <v>3</v>
      </c>
      <c r="H2144" s="4">
        <f t="shared" si="66"/>
        <v>0</v>
      </c>
      <c r="I2144" s="4">
        <f t="shared" si="67"/>
        <v>0</v>
      </c>
      <c r="J2144" s="4">
        <v>0</v>
      </c>
      <c r="K2144" s="4">
        <v>1</v>
      </c>
      <c r="L2144" s="4">
        <v>0</v>
      </c>
      <c r="M2144" s="4">
        <v>1</v>
      </c>
      <c r="N2144" s="4">
        <v>0</v>
      </c>
      <c r="O2144" s="4">
        <v>0</v>
      </c>
    </row>
    <row r="2145" spans="1:15" x14ac:dyDescent="0.15">
      <c r="A2145" s="4">
        <v>2142</v>
      </c>
      <c r="B2145" s="4">
        <v>28</v>
      </c>
      <c r="C2145" s="4">
        <v>4</v>
      </c>
      <c r="D2145" s="4">
        <v>38</v>
      </c>
      <c r="E2145" s="4">
        <v>4</v>
      </c>
      <c r="F2145" s="8">
        <v>1.6</v>
      </c>
      <c r="G2145" s="4">
        <v>1</v>
      </c>
      <c r="H2145" s="4">
        <f t="shared" si="66"/>
        <v>1</v>
      </c>
      <c r="I2145" s="4">
        <f t="shared" si="67"/>
        <v>0</v>
      </c>
      <c r="J2145" s="4">
        <v>0</v>
      </c>
      <c r="K2145" s="4">
        <v>0</v>
      </c>
      <c r="L2145" s="4">
        <v>0</v>
      </c>
      <c r="M2145" s="4">
        <v>0</v>
      </c>
      <c r="N2145" s="4">
        <v>0</v>
      </c>
      <c r="O2145" s="4">
        <v>0</v>
      </c>
    </row>
    <row r="2146" spans="1:15" x14ac:dyDescent="0.15">
      <c r="A2146" s="4">
        <v>2143</v>
      </c>
      <c r="B2146" s="4">
        <v>55</v>
      </c>
      <c r="C2146" s="4">
        <v>31</v>
      </c>
      <c r="D2146" s="4">
        <v>62</v>
      </c>
      <c r="E2146" s="4">
        <v>4</v>
      </c>
      <c r="F2146" s="8">
        <v>1.5</v>
      </c>
      <c r="G2146" s="4">
        <v>1</v>
      </c>
      <c r="H2146" s="4">
        <f t="shared" si="66"/>
        <v>1</v>
      </c>
      <c r="I2146" s="4">
        <f t="shared" si="67"/>
        <v>0</v>
      </c>
      <c r="J2146" s="4">
        <v>0</v>
      </c>
      <c r="K2146" s="4">
        <v>0</v>
      </c>
      <c r="L2146" s="4">
        <v>0</v>
      </c>
      <c r="M2146" s="4">
        <v>1</v>
      </c>
      <c r="N2146" s="4">
        <v>0</v>
      </c>
      <c r="O2146" s="4">
        <v>0</v>
      </c>
    </row>
    <row r="2147" spans="1:15" x14ac:dyDescent="0.15">
      <c r="A2147" s="4">
        <v>2144</v>
      </c>
      <c r="B2147" s="4">
        <v>56</v>
      </c>
      <c r="C2147" s="4">
        <v>31</v>
      </c>
      <c r="D2147" s="4">
        <v>65</v>
      </c>
      <c r="E2147" s="4">
        <v>3</v>
      </c>
      <c r="F2147" s="8">
        <v>1.7</v>
      </c>
      <c r="G2147" s="4">
        <v>1</v>
      </c>
      <c r="H2147" s="4">
        <f t="shared" si="66"/>
        <v>1</v>
      </c>
      <c r="I2147" s="4">
        <f t="shared" si="67"/>
        <v>0</v>
      </c>
      <c r="J2147" s="4">
        <v>109</v>
      </c>
      <c r="K2147" s="4">
        <v>0</v>
      </c>
      <c r="L2147" s="4">
        <v>0</v>
      </c>
      <c r="M2147" s="4">
        <v>0</v>
      </c>
      <c r="N2147" s="4">
        <v>0</v>
      </c>
      <c r="O2147" s="4">
        <v>0</v>
      </c>
    </row>
    <row r="2148" spans="1:15" x14ac:dyDescent="0.15">
      <c r="A2148" s="4">
        <v>2145</v>
      </c>
      <c r="B2148" s="4">
        <v>33</v>
      </c>
      <c r="C2148" s="4">
        <v>6</v>
      </c>
      <c r="D2148" s="4">
        <v>168</v>
      </c>
      <c r="E2148" s="4">
        <v>3</v>
      </c>
      <c r="F2148" s="8">
        <v>5.666666666666667</v>
      </c>
      <c r="G2148" s="4">
        <v>2</v>
      </c>
      <c r="H2148" s="4">
        <f t="shared" si="66"/>
        <v>0</v>
      </c>
      <c r="I2148" s="4">
        <f t="shared" si="67"/>
        <v>1</v>
      </c>
      <c r="J2148" s="4">
        <v>0</v>
      </c>
      <c r="K2148" s="4">
        <v>1</v>
      </c>
      <c r="L2148" s="4">
        <v>1</v>
      </c>
      <c r="M2148" s="4">
        <v>1</v>
      </c>
      <c r="N2148" s="4">
        <v>0</v>
      </c>
      <c r="O2148" s="4">
        <v>1</v>
      </c>
    </row>
    <row r="2149" spans="1:15" x14ac:dyDescent="0.15">
      <c r="A2149" s="4">
        <v>2146</v>
      </c>
      <c r="B2149" s="4">
        <v>57</v>
      </c>
      <c r="C2149" s="4">
        <v>32</v>
      </c>
      <c r="D2149" s="4">
        <v>40</v>
      </c>
      <c r="E2149" s="4">
        <v>3</v>
      </c>
      <c r="F2149" s="8">
        <v>1.7</v>
      </c>
      <c r="G2149" s="4">
        <v>1</v>
      </c>
      <c r="H2149" s="4">
        <f t="shared" si="66"/>
        <v>1</v>
      </c>
      <c r="I2149" s="4">
        <f t="shared" si="67"/>
        <v>0</v>
      </c>
      <c r="J2149" s="4">
        <v>0</v>
      </c>
      <c r="K2149" s="4">
        <v>0</v>
      </c>
      <c r="L2149" s="4">
        <v>0</v>
      </c>
      <c r="M2149" s="4">
        <v>1</v>
      </c>
      <c r="N2149" s="4">
        <v>1</v>
      </c>
      <c r="O2149" s="4">
        <v>0</v>
      </c>
    </row>
    <row r="2150" spans="1:15" x14ac:dyDescent="0.15">
      <c r="A2150" s="4">
        <v>2147</v>
      </c>
      <c r="B2150" s="4">
        <v>27</v>
      </c>
      <c r="C2150" s="4">
        <v>3</v>
      </c>
      <c r="D2150" s="4">
        <v>30</v>
      </c>
      <c r="E2150" s="4">
        <v>1</v>
      </c>
      <c r="F2150" s="8">
        <v>1</v>
      </c>
      <c r="G2150" s="4">
        <v>3</v>
      </c>
      <c r="H2150" s="4">
        <f t="shared" si="66"/>
        <v>0</v>
      </c>
      <c r="I2150" s="4">
        <f t="shared" si="67"/>
        <v>0</v>
      </c>
      <c r="J2150" s="4">
        <v>80</v>
      </c>
      <c r="K2150" s="4">
        <v>0</v>
      </c>
      <c r="L2150" s="4">
        <v>0</v>
      </c>
      <c r="M2150" s="4">
        <v>0</v>
      </c>
      <c r="N2150" s="4">
        <v>0</v>
      </c>
      <c r="O2150" s="4">
        <v>0</v>
      </c>
    </row>
    <row r="2151" spans="1:15" x14ac:dyDescent="0.15">
      <c r="A2151" s="4">
        <v>2148</v>
      </c>
      <c r="B2151" s="4">
        <v>27</v>
      </c>
      <c r="C2151" s="4">
        <v>3</v>
      </c>
      <c r="D2151" s="4">
        <v>20</v>
      </c>
      <c r="E2151" s="4">
        <v>4</v>
      </c>
      <c r="F2151" s="8">
        <v>1</v>
      </c>
      <c r="G2151" s="4">
        <v>1</v>
      </c>
      <c r="H2151" s="4">
        <f t="shared" si="66"/>
        <v>1</v>
      </c>
      <c r="I2151" s="4">
        <f t="shared" si="67"/>
        <v>0</v>
      </c>
      <c r="J2151" s="4">
        <v>0</v>
      </c>
      <c r="K2151" s="4">
        <v>0</v>
      </c>
      <c r="L2151" s="4">
        <v>0</v>
      </c>
      <c r="M2151" s="4">
        <v>0</v>
      </c>
      <c r="N2151" s="4">
        <v>0</v>
      </c>
      <c r="O2151" s="4">
        <v>0</v>
      </c>
    </row>
    <row r="2152" spans="1:15" x14ac:dyDescent="0.15">
      <c r="A2152" s="4">
        <v>2149</v>
      </c>
      <c r="B2152" s="4">
        <v>54</v>
      </c>
      <c r="C2152" s="4">
        <v>30</v>
      </c>
      <c r="D2152" s="4">
        <v>58</v>
      </c>
      <c r="E2152" s="4">
        <v>2</v>
      </c>
      <c r="F2152" s="8">
        <v>3.2</v>
      </c>
      <c r="G2152" s="4">
        <v>3</v>
      </c>
      <c r="H2152" s="4">
        <f t="shared" si="66"/>
        <v>0</v>
      </c>
      <c r="I2152" s="4">
        <f t="shared" si="67"/>
        <v>0</v>
      </c>
      <c r="J2152" s="4">
        <v>0</v>
      </c>
      <c r="K2152" s="4">
        <v>0</v>
      </c>
      <c r="L2152" s="4">
        <v>0</v>
      </c>
      <c r="M2152" s="4">
        <v>0</v>
      </c>
      <c r="N2152" s="4">
        <v>0</v>
      </c>
      <c r="O2152" s="4">
        <v>0</v>
      </c>
    </row>
    <row r="2153" spans="1:15" x14ac:dyDescent="0.15">
      <c r="A2153" s="4">
        <v>2150</v>
      </c>
      <c r="B2153" s="4">
        <v>48</v>
      </c>
      <c r="C2153" s="4">
        <v>22</v>
      </c>
      <c r="D2153" s="4">
        <v>150</v>
      </c>
      <c r="E2153" s="4">
        <v>1</v>
      </c>
      <c r="F2153" s="8">
        <v>7.3</v>
      </c>
      <c r="G2153" s="4">
        <v>1</v>
      </c>
      <c r="H2153" s="4">
        <f t="shared" si="66"/>
        <v>1</v>
      </c>
      <c r="I2153" s="4">
        <f t="shared" si="67"/>
        <v>0</v>
      </c>
      <c r="J2153" s="4">
        <v>193</v>
      </c>
      <c r="K2153" s="4">
        <v>0</v>
      </c>
      <c r="L2153" s="4">
        <v>0</v>
      </c>
      <c r="M2153" s="4">
        <v>0</v>
      </c>
      <c r="N2153" s="4">
        <v>0</v>
      </c>
      <c r="O2153" s="4">
        <v>0</v>
      </c>
    </row>
    <row r="2154" spans="1:15" x14ac:dyDescent="0.15">
      <c r="A2154" s="4">
        <v>2151</v>
      </c>
      <c r="B2154" s="4">
        <v>62</v>
      </c>
      <c r="C2154" s="4">
        <v>38</v>
      </c>
      <c r="D2154" s="4">
        <v>54</v>
      </c>
      <c r="E2154" s="4">
        <v>1</v>
      </c>
      <c r="F2154" s="8">
        <v>0.8</v>
      </c>
      <c r="G2154" s="4">
        <v>1</v>
      </c>
      <c r="H2154" s="4">
        <f t="shared" si="66"/>
        <v>1</v>
      </c>
      <c r="I2154" s="4">
        <f t="shared" si="67"/>
        <v>0</v>
      </c>
      <c r="J2154" s="4">
        <v>0</v>
      </c>
      <c r="K2154" s="4">
        <v>1</v>
      </c>
      <c r="L2154" s="4">
        <v>0</v>
      </c>
      <c r="M2154" s="4">
        <v>0</v>
      </c>
      <c r="N2154" s="4">
        <v>1</v>
      </c>
      <c r="O2154" s="4">
        <v>0</v>
      </c>
    </row>
    <row r="2155" spans="1:15" x14ac:dyDescent="0.15">
      <c r="A2155" s="4">
        <v>2152</v>
      </c>
      <c r="B2155" s="4">
        <v>41</v>
      </c>
      <c r="C2155" s="4">
        <v>16</v>
      </c>
      <c r="D2155" s="4">
        <v>19</v>
      </c>
      <c r="E2155" s="4">
        <v>2</v>
      </c>
      <c r="F2155" s="8">
        <v>0.3</v>
      </c>
      <c r="G2155" s="4">
        <v>2</v>
      </c>
      <c r="H2155" s="4">
        <f t="shared" si="66"/>
        <v>0</v>
      </c>
      <c r="I2155" s="4">
        <f t="shared" si="67"/>
        <v>1</v>
      </c>
      <c r="J2155" s="4">
        <v>105</v>
      </c>
      <c r="K2155" s="4">
        <v>0</v>
      </c>
      <c r="L2155" s="4">
        <v>0</v>
      </c>
      <c r="M2155" s="4">
        <v>0</v>
      </c>
      <c r="N2155" s="4">
        <v>0</v>
      </c>
      <c r="O2155" s="4">
        <v>0</v>
      </c>
    </row>
    <row r="2156" spans="1:15" x14ac:dyDescent="0.15">
      <c r="A2156" s="4">
        <v>2153</v>
      </c>
      <c r="B2156" s="4">
        <v>62</v>
      </c>
      <c r="C2156" s="4">
        <v>38</v>
      </c>
      <c r="D2156" s="4">
        <v>30</v>
      </c>
      <c r="E2156" s="4">
        <v>3</v>
      </c>
      <c r="F2156" s="8">
        <v>0.1</v>
      </c>
      <c r="G2156" s="4">
        <v>3</v>
      </c>
      <c r="H2156" s="4">
        <f t="shared" si="66"/>
        <v>0</v>
      </c>
      <c r="I2156" s="4">
        <f t="shared" si="67"/>
        <v>0</v>
      </c>
      <c r="J2156" s="4">
        <v>128</v>
      </c>
      <c r="K2156" s="4">
        <v>0</v>
      </c>
      <c r="L2156" s="4">
        <v>0</v>
      </c>
      <c r="M2156" s="4">
        <v>1</v>
      </c>
      <c r="N2156" s="4">
        <v>0</v>
      </c>
      <c r="O2156" s="4">
        <v>0</v>
      </c>
    </row>
    <row r="2157" spans="1:15" x14ac:dyDescent="0.15">
      <c r="A2157" s="4">
        <v>2154</v>
      </c>
      <c r="B2157" s="4">
        <v>40</v>
      </c>
      <c r="C2157" s="4">
        <v>14</v>
      </c>
      <c r="D2157" s="4">
        <v>123</v>
      </c>
      <c r="E2157" s="4">
        <v>1</v>
      </c>
      <c r="F2157" s="8">
        <v>5.2</v>
      </c>
      <c r="G2157" s="4">
        <v>1</v>
      </c>
      <c r="H2157" s="4">
        <f t="shared" si="66"/>
        <v>1</v>
      </c>
      <c r="I2157" s="4">
        <f t="shared" si="67"/>
        <v>0</v>
      </c>
      <c r="J2157" s="4">
        <v>0</v>
      </c>
      <c r="K2157" s="4">
        <v>0</v>
      </c>
      <c r="L2157" s="4">
        <v>0</v>
      </c>
      <c r="M2157" s="4">
        <v>1</v>
      </c>
      <c r="N2157" s="4">
        <v>0</v>
      </c>
      <c r="O2157" s="4">
        <v>0</v>
      </c>
    </row>
    <row r="2158" spans="1:15" x14ac:dyDescent="0.15">
      <c r="A2158" s="4">
        <v>2155</v>
      </c>
      <c r="B2158" s="4">
        <v>32</v>
      </c>
      <c r="C2158" s="4">
        <v>8</v>
      </c>
      <c r="D2158" s="4">
        <v>45</v>
      </c>
      <c r="E2158" s="4">
        <v>1</v>
      </c>
      <c r="F2158" s="8">
        <v>2.4</v>
      </c>
      <c r="G2158" s="4">
        <v>2</v>
      </c>
      <c r="H2158" s="4">
        <f t="shared" si="66"/>
        <v>0</v>
      </c>
      <c r="I2158" s="4">
        <f t="shared" si="67"/>
        <v>1</v>
      </c>
      <c r="J2158" s="4">
        <v>0</v>
      </c>
      <c r="K2158" s="4">
        <v>0</v>
      </c>
      <c r="L2158" s="4">
        <v>0</v>
      </c>
      <c r="M2158" s="4">
        <v>0</v>
      </c>
      <c r="N2158" s="4">
        <v>0</v>
      </c>
      <c r="O2158" s="4">
        <v>0</v>
      </c>
    </row>
    <row r="2159" spans="1:15" x14ac:dyDescent="0.15">
      <c r="A2159" s="4">
        <v>2156</v>
      </c>
      <c r="B2159" s="4">
        <v>62</v>
      </c>
      <c r="C2159" s="4">
        <v>38</v>
      </c>
      <c r="D2159" s="4">
        <v>154</v>
      </c>
      <c r="E2159" s="4">
        <v>1</v>
      </c>
      <c r="F2159" s="8">
        <v>2.9</v>
      </c>
      <c r="G2159" s="4">
        <v>1</v>
      </c>
      <c r="H2159" s="4">
        <f t="shared" si="66"/>
        <v>1</v>
      </c>
      <c r="I2159" s="4">
        <f t="shared" si="67"/>
        <v>0</v>
      </c>
      <c r="J2159" s="4">
        <v>0</v>
      </c>
      <c r="K2159" s="4">
        <v>0</v>
      </c>
      <c r="L2159" s="4">
        <v>0</v>
      </c>
      <c r="M2159" s="4">
        <v>1</v>
      </c>
      <c r="N2159" s="4">
        <v>0</v>
      </c>
      <c r="O2159" s="4">
        <v>0</v>
      </c>
    </row>
    <row r="2160" spans="1:15" x14ac:dyDescent="0.15">
      <c r="A2160" s="4">
        <v>2157</v>
      </c>
      <c r="B2160" s="4">
        <v>35</v>
      </c>
      <c r="C2160" s="4">
        <v>11</v>
      </c>
      <c r="D2160" s="4">
        <v>93</v>
      </c>
      <c r="E2160" s="4">
        <v>2</v>
      </c>
      <c r="F2160" s="8">
        <v>2.7</v>
      </c>
      <c r="G2160" s="4">
        <v>1</v>
      </c>
      <c r="H2160" s="4">
        <f t="shared" si="66"/>
        <v>1</v>
      </c>
      <c r="I2160" s="4">
        <f t="shared" si="67"/>
        <v>0</v>
      </c>
      <c r="J2160" s="4">
        <v>0</v>
      </c>
      <c r="K2160" s="4">
        <v>0</v>
      </c>
      <c r="L2160" s="4">
        <v>0</v>
      </c>
      <c r="M2160" s="4">
        <v>1</v>
      </c>
      <c r="N2160" s="4">
        <v>1</v>
      </c>
      <c r="O2160" s="4">
        <v>0</v>
      </c>
    </row>
    <row r="2161" spans="1:15" x14ac:dyDescent="0.15">
      <c r="A2161" s="4">
        <v>2158</v>
      </c>
      <c r="B2161" s="4">
        <v>25</v>
      </c>
      <c r="C2161" s="4">
        <v>0</v>
      </c>
      <c r="D2161" s="4">
        <v>71</v>
      </c>
      <c r="E2161" s="4">
        <v>4</v>
      </c>
      <c r="F2161" s="8">
        <v>0.2</v>
      </c>
      <c r="G2161" s="4">
        <v>1</v>
      </c>
      <c r="H2161" s="4">
        <f t="shared" si="66"/>
        <v>1</v>
      </c>
      <c r="I2161" s="4">
        <f t="shared" si="67"/>
        <v>0</v>
      </c>
      <c r="J2161" s="4">
        <v>78</v>
      </c>
      <c r="K2161" s="4">
        <v>1</v>
      </c>
      <c r="L2161" s="4">
        <v>0</v>
      </c>
      <c r="M2161" s="4">
        <v>0</v>
      </c>
      <c r="N2161" s="4">
        <v>0</v>
      </c>
      <c r="O2161" s="4">
        <v>0</v>
      </c>
    </row>
    <row r="2162" spans="1:15" x14ac:dyDescent="0.15">
      <c r="A2162" s="4">
        <v>2159</v>
      </c>
      <c r="B2162" s="4">
        <v>50</v>
      </c>
      <c r="C2162" s="4">
        <v>25</v>
      </c>
      <c r="D2162" s="4">
        <v>83</v>
      </c>
      <c r="E2162" s="4">
        <v>4</v>
      </c>
      <c r="F2162" s="8">
        <v>3.1</v>
      </c>
      <c r="G2162" s="4">
        <v>1</v>
      </c>
      <c r="H2162" s="4">
        <f t="shared" si="66"/>
        <v>1</v>
      </c>
      <c r="I2162" s="4">
        <f t="shared" si="67"/>
        <v>0</v>
      </c>
      <c r="J2162" s="4">
        <v>0</v>
      </c>
      <c r="K2162" s="4">
        <v>0</v>
      </c>
      <c r="L2162" s="4">
        <v>0</v>
      </c>
      <c r="M2162" s="4">
        <v>0</v>
      </c>
      <c r="N2162" s="4">
        <v>1</v>
      </c>
      <c r="O2162" s="4">
        <v>1</v>
      </c>
    </row>
    <row r="2163" spans="1:15" x14ac:dyDescent="0.15">
      <c r="A2163" s="4">
        <v>2160</v>
      </c>
      <c r="B2163" s="4">
        <v>61</v>
      </c>
      <c r="C2163" s="4">
        <v>35</v>
      </c>
      <c r="D2163" s="4">
        <v>99</v>
      </c>
      <c r="E2163" s="4">
        <v>1</v>
      </c>
      <c r="F2163" s="8">
        <v>4.8</v>
      </c>
      <c r="G2163" s="4">
        <v>3</v>
      </c>
      <c r="H2163" s="4">
        <f t="shared" si="66"/>
        <v>0</v>
      </c>
      <c r="I2163" s="4">
        <f t="shared" si="67"/>
        <v>0</v>
      </c>
      <c r="J2163" s="4">
        <v>255</v>
      </c>
      <c r="K2163" s="4">
        <v>0</v>
      </c>
      <c r="L2163" s="4">
        <v>0</v>
      </c>
      <c r="M2163" s="4">
        <v>0</v>
      </c>
      <c r="N2163" s="4">
        <v>1</v>
      </c>
      <c r="O2163" s="4">
        <v>1</v>
      </c>
    </row>
    <row r="2164" spans="1:15" x14ac:dyDescent="0.15">
      <c r="A2164" s="4">
        <v>2161</v>
      </c>
      <c r="B2164" s="4">
        <v>43</v>
      </c>
      <c r="C2164" s="4">
        <v>17</v>
      </c>
      <c r="D2164" s="4">
        <v>55</v>
      </c>
      <c r="E2164" s="4">
        <v>3</v>
      </c>
      <c r="F2164" s="8">
        <v>2.2000000000000002</v>
      </c>
      <c r="G2164" s="4">
        <v>2</v>
      </c>
      <c r="H2164" s="4">
        <f t="shared" si="66"/>
        <v>0</v>
      </c>
      <c r="I2164" s="4">
        <f t="shared" si="67"/>
        <v>1</v>
      </c>
      <c r="J2164" s="4">
        <v>0</v>
      </c>
      <c r="K2164" s="4">
        <v>0</v>
      </c>
      <c r="L2164" s="4">
        <v>0</v>
      </c>
      <c r="M2164" s="4">
        <v>0</v>
      </c>
      <c r="N2164" s="4">
        <v>0</v>
      </c>
      <c r="O2164" s="4">
        <v>0</v>
      </c>
    </row>
    <row r="2165" spans="1:15" x14ac:dyDescent="0.15">
      <c r="A2165" s="4">
        <v>2162</v>
      </c>
      <c r="B2165" s="4">
        <v>52</v>
      </c>
      <c r="C2165" s="4">
        <v>28</v>
      </c>
      <c r="D2165" s="4">
        <v>38</v>
      </c>
      <c r="E2165" s="4">
        <v>4</v>
      </c>
      <c r="F2165" s="8">
        <v>0.9</v>
      </c>
      <c r="G2165" s="4">
        <v>2</v>
      </c>
      <c r="H2165" s="4">
        <f t="shared" si="66"/>
        <v>0</v>
      </c>
      <c r="I2165" s="4">
        <f t="shared" si="67"/>
        <v>1</v>
      </c>
      <c r="J2165" s="4">
        <v>95</v>
      </c>
      <c r="K2165" s="4">
        <v>0</v>
      </c>
      <c r="L2165" s="4">
        <v>0</v>
      </c>
      <c r="M2165" s="4">
        <v>1</v>
      </c>
      <c r="N2165" s="4">
        <v>1</v>
      </c>
      <c r="O2165" s="4">
        <v>0</v>
      </c>
    </row>
    <row r="2166" spans="1:15" x14ac:dyDescent="0.15">
      <c r="A2166" s="4">
        <v>2163</v>
      </c>
      <c r="B2166" s="4">
        <v>39</v>
      </c>
      <c r="C2166" s="4">
        <v>13</v>
      </c>
      <c r="D2166" s="4">
        <v>74</v>
      </c>
      <c r="E2166" s="4">
        <v>3</v>
      </c>
      <c r="F2166" s="8">
        <v>0.9</v>
      </c>
      <c r="G2166" s="4">
        <v>2</v>
      </c>
      <c r="H2166" s="4">
        <f t="shared" si="66"/>
        <v>0</v>
      </c>
      <c r="I2166" s="4">
        <f t="shared" si="67"/>
        <v>1</v>
      </c>
      <c r="J2166" s="4">
        <v>155</v>
      </c>
      <c r="K2166" s="4">
        <v>0</v>
      </c>
      <c r="L2166" s="4">
        <v>0</v>
      </c>
      <c r="M2166" s="4">
        <v>1</v>
      </c>
      <c r="N2166" s="4">
        <v>0</v>
      </c>
      <c r="O2166" s="4">
        <v>0</v>
      </c>
    </row>
    <row r="2167" spans="1:15" x14ac:dyDescent="0.15">
      <c r="A2167" s="4">
        <v>2164</v>
      </c>
      <c r="B2167" s="4">
        <v>33</v>
      </c>
      <c r="C2167" s="4">
        <v>3</v>
      </c>
      <c r="D2167" s="4">
        <v>69</v>
      </c>
      <c r="E2167" s="4">
        <v>4</v>
      </c>
      <c r="F2167" s="8">
        <v>1.8</v>
      </c>
      <c r="G2167" s="4">
        <v>3</v>
      </c>
      <c r="H2167" s="4">
        <f t="shared" si="66"/>
        <v>0</v>
      </c>
      <c r="I2167" s="4">
        <f t="shared" si="67"/>
        <v>0</v>
      </c>
      <c r="J2167" s="4">
        <v>0</v>
      </c>
      <c r="K2167" s="4">
        <v>0</v>
      </c>
      <c r="L2167" s="4">
        <v>0</v>
      </c>
      <c r="M2167" s="4">
        <v>1</v>
      </c>
      <c r="N2167" s="4">
        <v>0</v>
      </c>
      <c r="O2167" s="4">
        <v>0</v>
      </c>
    </row>
    <row r="2168" spans="1:15" x14ac:dyDescent="0.15">
      <c r="A2168" s="4">
        <v>2165</v>
      </c>
      <c r="B2168" s="4">
        <v>27</v>
      </c>
      <c r="C2168" s="4">
        <v>3</v>
      </c>
      <c r="D2168" s="4">
        <v>104</v>
      </c>
      <c r="E2168" s="4">
        <v>2</v>
      </c>
      <c r="F2168" s="8">
        <v>2.5</v>
      </c>
      <c r="G2168" s="4">
        <v>1</v>
      </c>
      <c r="H2168" s="4">
        <f t="shared" si="66"/>
        <v>1</v>
      </c>
      <c r="I2168" s="4">
        <f t="shared" si="67"/>
        <v>0</v>
      </c>
      <c r="J2168" s="4">
        <v>184</v>
      </c>
      <c r="K2168" s="4">
        <v>1</v>
      </c>
      <c r="L2168" s="4">
        <v>0</v>
      </c>
      <c r="M2168" s="4">
        <v>1</v>
      </c>
      <c r="N2168" s="4">
        <v>0</v>
      </c>
      <c r="O2168" s="4">
        <v>0</v>
      </c>
    </row>
    <row r="2169" spans="1:15" x14ac:dyDescent="0.15">
      <c r="A2169" s="4">
        <v>2166</v>
      </c>
      <c r="B2169" s="4">
        <v>27</v>
      </c>
      <c r="C2169" s="4">
        <v>0</v>
      </c>
      <c r="D2169" s="4">
        <v>38</v>
      </c>
      <c r="E2169" s="4">
        <v>4</v>
      </c>
      <c r="F2169" s="8">
        <v>1</v>
      </c>
      <c r="G2169" s="4">
        <v>3</v>
      </c>
      <c r="H2169" s="4">
        <f t="shared" si="66"/>
        <v>0</v>
      </c>
      <c r="I2169" s="4">
        <f t="shared" si="67"/>
        <v>0</v>
      </c>
      <c r="J2169" s="4">
        <v>154</v>
      </c>
      <c r="K2169" s="4">
        <v>0</v>
      </c>
      <c r="L2169" s="4">
        <v>0</v>
      </c>
      <c r="M2169" s="4">
        <v>1</v>
      </c>
      <c r="N2169" s="4">
        <v>0</v>
      </c>
      <c r="O2169" s="4">
        <v>0</v>
      </c>
    </row>
    <row r="2170" spans="1:15" x14ac:dyDescent="0.15">
      <c r="A2170" s="4">
        <v>2167</v>
      </c>
      <c r="B2170" s="4">
        <v>32</v>
      </c>
      <c r="C2170" s="4">
        <v>8</v>
      </c>
      <c r="D2170" s="4">
        <v>25</v>
      </c>
      <c r="E2170" s="4">
        <v>3</v>
      </c>
      <c r="F2170" s="8">
        <v>0.9</v>
      </c>
      <c r="G2170" s="4">
        <v>3</v>
      </c>
      <c r="H2170" s="4">
        <f t="shared" si="66"/>
        <v>0</v>
      </c>
      <c r="I2170" s="4">
        <f t="shared" si="67"/>
        <v>0</v>
      </c>
      <c r="J2170" s="4">
        <v>0</v>
      </c>
      <c r="K2170" s="4">
        <v>0</v>
      </c>
      <c r="L2170" s="4">
        <v>0</v>
      </c>
      <c r="M2170" s="4">
        <v>1</v>
      </c>
      <c r="N2170" s="4">
        <v>1</v>
      </c>
      <c r="O2170" s="4">
        <v>0</v>
      </c>
    </row>
    <row r="2171" spans="1:15" x14ac:dyDescent="0.15">
      <c r="A2171" s="4">
        <v>2168</v>
      </c>
      <c r="B2171" s="4">
        <v>65</v>
      </c>
      <c r="C2171" s="4">
        <v>40</v>
      </c>
      <c r="D2171" s="4">
        <v>162</v>
      </c>
      <c r="E2171" s="4">
        <v>1</v>
      </c>
      <c r="F2171" s="8">
        <v>1.3</v>
      </c>
      <c r="G2171" s="4">
        <v>1</v>
      </c>
      <c r="H2171" s="4">
        <f t="shared" si="66"/>
        <v>1</v>
      </c>
      <c r="I2171" s="4">
        <f t="shared" si="67"/>
        <v>0</v>
      </c>
      <c r="J2171" s="4">
        <v>0</v>
      </c>
      <c r="K2171" s="4">
        <v>0</v>
      </c>
      <c r="L2171" s="4">
        <v>0</v>
      </c>
      <c r="M2171" s="4">
        <v>1</v>
      </c>
      <c r="N2171" s="4">
        <v>0</v>
      </c>
      <c r="O2171" s="4">
        <v>0</v>
      </c>
    </row>
    <row r="2172" spans="1:15" x14ac:dyDescent="0.15">
      <c r="A2172" s="4">
        <v>2169</v>
      </c>
      <c r="B2172" s="4">
        <v>55</v>
      </c>
      <c r="C2172" s="4">
        <v>29</v>
      </c>
      <c r="D2172" s="4">
        <v>64</v>
      </c>
      <c r="E2172" s="4">
        <v>4</v>
      </c>
      <c r="F2172" s="8">
        <v>2.6</v>
      </c>
      <c r="G2172" s="4">
        <v>3</v>
      </c>
      <c r="H2172" s="4">
        <f t="shared" si="66"/>
        <v>0</v>
      </c>
      <c r="I2172" s="4">
        <f t="shared" si="67"/>
        <v>0</v>
      </c>
      <c r="J2172" s="4">
        <v>0</v>
      </c>
      <c r="K2172" s="4">
        <v>0</v>
      </c>
      <c r="L2172" s="4">
        <v>0</v>
      </c>
      <c r="M2172" s="4">
        <v>1</v>
      </c>
      <c r="N2172" s="4">
        <v>0</v>
      </c>
      <c r="O2172" s="4">
        <v>0</v>
      </c>
    </row>
    <row r="2173" spans="1:15" x14ac:dyDescent="0.15">
      <c r="A2173" s="4">
        <v>2170</v>
      </c>
      <c r="B2173" s="4">
        <v>52</v>
      </c>
      <c r="C2173" s="4">
        <v>27</v>
      </c>
      <c r="D2173" s="4">
        <v>30</v>
      </c>
      <c r="E2173" s="4">
        <v>2</v>
      </c>
      <c r="F2173" s="8">
        <v>0.7</v>
      </c>
      <c r="G2173" s="4">
        <v>2</v>
      </c>
      <c r="H2173" s="4">
        <f t="shared" si="66"/>
        <v>0</v>
      </c>
      <c r="I2173" s="4">
        <f t="shared" si="67"/>
        <v>1</v>
      </c>
      <c r="J2173" s="4">
        <v>0</v>
      </c>
      <c r="K2173" s="4">
        <v>0</v>
      </c>
      <c r="L2173" s="4">
        <v>0</v>
      </c>
      <c r="M2173" s="4">
        <v>1</v>
      </c>
      <c r="N2173" s="4">
        <v>1</v>
      </c>
      <c r="O2173" s="4">
        <v>0</v>
      </c>
    </row>
    <row r="2174" spans="1:15" x14ac:dyDescent="0.15">
      <c r="A2174" s="4">
        <v>2171</v>
      </c>
      <c r="B2174" s="4">
        <v>39</v>
      </c>
      <c r="C2174" s="4">
        <v>13</v>
      </c>
      <c r="D2174" s="4">
        <v>52</v>
      </c>
      <c r="E2174" s="4">
        <v>3</v>
      </c>
      <c r="F2174" s="8">
        <v>0.5</v>
      </c>
      <c r="G2174" s="4">
        <v>3</v>
      </c>
      <c r="H2174" s="4">
        <f t="shared" si="66"/>
        <v>0</v>
      </c>
      <c r="I2174" s="4">
        <f t="shared" si="67"/>
        <v>0</v>
      </c>
      <c r="J2174" s="4">
        <v>0</v>
      </c>
      <c r="K2174" s="4">
        <v>1</v>
      </c>
      <c r="L2174" s="4">
        <v>0</v>
      </c>
      <c r="M2174" s="4">
        <v>0</v>
      </c>
      <c r="N2174" s="4">
        <v>1</v>
      </c>
      <c r="O2174" s="4">
        <v>0</v>
      </c>
    </row>
    <row r="2175" spans="1:15" x14ac:dyDescent="0.15">
      <c r="A2175" s="4">
        <v>2172</v>
      </c>
      <c r="B2175" s="4">
        <v>35</v>
      </c>
      <c r="C2175" s="4">
        <v>11</v>
      </c>
      <c r="D2175" s="4">
        <v>42</v>
      </c>
      <c r="E2175" s="4">
        <v>1</v>
      </c>
      <c r="F2175" s="8">
        <v>1.5</v>
      </c>
      <c r="G2175" s="4">
        <v>3</v>
      </c>
      <c r="H2175" s="4">
        <f t="shared" si="66"/>
        <v>0</v>
      </c>
      <c r="I2175" s="4">
        <f t="shared" si="67"/>
        <v>0</v>
      </c>
      <c r="J2175" s="4">
        <v>0</v>
      </c>
      <c r="K2175" s="4">
        <v>0</v>
      </c>
      <c r="L2175" s="4">
        <v>0</v>
      </c>
      <c r="M2175" s="4">
        <v>1</v>
      </c>
      <c r="N2175" s="4">
        <v>0</v>
      </c>
      <c r="O2175" s="4">
        <v>0</v>
      </c>
    </row>
    <row r="2176" spans="1:15" x14ac:dyDescent="0.15">
      <c r="A2176" s="4">
        <v>2173</v>
      </c>
      <c r="B2176" s="4">
        <v>39</v>
      </c>
      <c r="C2176" s="4">
        <v>15</v>
      </c>
      <c r="D2176" s="4">
        <v>79</v>
      </c>
      <c r="E2176" s="4">
        <v>2</v>
      </c>
      <c r="F2176" s="8">
        <v>1.8</v>
      </c>
      <c r="G2176" s="4">
        <v>2</v>
      </c>
      <c r="H2176" s="4">
        <f t="shared" si="66"/>
        <v>0</v>
      </c>
      <c r="I2176" s="4">
        <f t="shared" si="67"/>
        <v>1</v>
      </c>
      <c r="J2176" s="4">
        <v>219</v>
      </c>
      <c r="K2176" s="4">
        <v>0</v>
      </c>
      <c r="L2176" s="4">
        <v>0</v>
      </c>
      <c r="M2176" s="4">
        <v>0</v>
      </c>
      <c r="N2176" s="4">
        <v>0</v>
      </c>
      <c r="O2176" s="4">
        <v>0</v>
      </c>
    </row>
    <row r="2177" spans="1:15" x14ac:dyDescent="0.15">
      <c r="A2177" s="4">
        <v>2174</v>
      </c>
      <c r="B2177" s="4">
        <v>34</v>
      </c>
      <c r="C2177" s="4">
        <v>10</v>
      </c>
      <c r="D2177" s="4">
        <v>34</v>
      </c>
      <c r="E2177" s="4">
        <v>1</v>
      </c>
      <c r="F2177" s="8">
        <v>1.7</v>
      </c>
      <c r="G2177" s="4">
        <v>1</v>
      </c>
      <c r="H2177" s="4">
        <f t="shared" si="66"/>
        <v>1</v>
      </c>
      <c r="I2177" s="4">
        <f t="shared" si="67"/>
        <v>0</v>
      </c>
      <c r="J2177" s="4">
        <v>164</v>
      </c>
      <c r="K2177" s="4">
        <v>0</v>
      </c>
      <c r="L2177" s="4">
        <v>0</v>
      </c>
      <c r="M2177" s="4">
        <v>0</v>
      </c>
      <c r="N2177" s="4">
        <v>0</v>
      </c>
      <c r="O2177" s="4">
        <v>0</v>
      </c>
    </row>
    <row r="2178" spans="1:15" x14ac:dyDescent="0.15">
      <c r="A2178" s="4">
        <v>2175</v>
      </c>
      <c r="B2178" s="4">
        <v>30</v>
      </c>
      <c r="C2178" s="4">
        <v>5</v>
      </c>
      <c r="D2178" s="4">
        <v>123</v>
      </c>
      <c r="E2178" s="4">
        <v>2</v>
      </c>
      <c r="F2178" s="8">
        <v>3.1</v>
      </c>
      <c r="G2178" s="4">
        <v>1</v>
      </c>
      <c r="H2178" s="4">
        <f t="shared" si="66"/>
        <v>1</v>
      </c>
      <c r="I2178" s="4">
        <f t="shared" si="67"/>
        <v>0</v>
      </c>
      <c r="J2178" s="4">
        <v>0</v>
      </c>
      <c r="K2178" s="4">
        <v>0</v>
      </c>
      <c r="L2178" s="4">
        <v>0</v>
      </c>
      <c r="M2178" s="4">
        <v>1</v>
      </c>
      <c r="N2178" s="4">
        <v>0</v>
      </c>
      <c r="O2178" s="4">
        <v>0</v>
      </c>
    </row>
    <row r="2179" spans="1:15" x14ac:dyDescent="0.15">
      <c r="A2179" s="4">
        <v>2176</v>
      </c>
      <c r="B2179" s="4">
        <v>37</v>
      </c>
      <c r="C2179" s="4">
        <v>12</v>
      </c>
      <c r="D2179" s="4">
        <v>160</v>
      </c>
      <c r="E2179" s="4">
        <v>2</v>
      </c>
      <c r="F2179" s="8">
        <v>3.3</v>
      </c>
      <c r="G2179" s="4">
        <v>1</v>
      </c>
      <c r="H2179" s="4">
        <f t="shared" si="66"/>
        <v>1</v>
      </c>
      <c r="I2179" s="4">
        <f t="shared" si="67"/>
        <v>0</v>
      </c>
      <c r="J2179" s="4">
        <v>0</v>
      </c>
      <c r="K2179" s="4">
        <v>0</v>
      </c>
      <c r="L2179" s="4">
        <v>0</v>
      </c>
      <c r="M2179" s="4">
        <v>0</v>
      </c>
      <c r="N2179" s="4">
        <v>0</v>
      </c>
      <c r="O2179" s="4">
        <v>0</v>
      </c>
    </row>
    <row r="2180" spans="1:15" x14ac:dyDescent="0.15">
      <c r="A2180" s="4">
        <v>2177</v>
      </c>
      <c r="B2180" s="4">
        <v>41</v>
      </c>
      <c r="C2180" s="4">
        <v>14</v>
      </c>
      <c r="D2180" s="4">
        <v>51</v>
      </c>
      <c r="E2180" s="4">
        <v>3</v>
      </c>
      <c r="F2180" s="8">
        <v>2.3333333333333335</v>
      </c>
      <c r="G2180" s="4">
        <v>2</v>
      </c>
      <c r="H2180" s="4">
        <f t="shared" si="66"/>
        <v>0</v>
      </c>
      <c r="I2180" s="4">
        <f t="shared" si="67"/>
        <v>1</v>
      </c>
      <c r="J2180" s="4">
        <v>0</v>
      </c>
      <c r="K2180" s="4">
        <v>0</v>
      </c>
      <c r="L2180" s="4">
        <v>0</v>
      </c>
      <c r="M2180" s="4">
        <v>1</v>
      </c>
      <c r="N2180" s="4">
        <v>0</v>
      </c>
      <c r="O2180" s="4">
        <v>0</v>
      </c>
    </row>
    <row r="2181" spans="1:15" x14ac:dyDescent="0.15">
      <c r="A2181" s="4">
        <v>2178</v>
      </c>
      <c r="B2181" s="4">
        <v>31</v>
      </c>
      <c r="C2181" s="4">
        <v>7</v>
      </c>
      <c r="D2181" s="4">
        <v>108</v>
      </c>
      <c r="E2181" s="4">
        <v>1</v>
      </c>
      <c r="F2181" s="8">
        <v>4</v>
      </c>
      <c r="G2181" s="4">
        <v>1</v>
      </c>
      <c r="H2181" s="4">
        <f t="shared" ref="H2181:H2244" si="68">IF(G2181=1,1,0)</f>
        <v>1</v>
      </c>
      <c r="I2181" s="4">
        <f t="shared" ref="I2181:I2244" si="69">IF(G2181=2,1,0)</f>
        <v>0</v>
      </c>
      <c r="J2181" s="4">
        <v>0</v>
      </c>
      <c r="K2181" s="4">
        <v>0</v>
      </c>
      <c r="L2181" s="4">
        <v>0</v>
      </c>
      <c r="M2181" s="4">
        <v>1</v>
      </c>
      <c r="N2181" s="4">
        <v>0</v>
      </c>
      <c r="O2181" s="4">
        <v>0</v>
      </c>
    </row>
    <row r="2182" spans="1:15" x14ac:dyDescent="0.15">
      <c r="A2182" s="4">
        <v>2179</v>
      </c>
      <c r="B2182" s="4">
        <v>37</v>
      </c>
      <c r="C2182" s="4">
        <v>13</v>
      </c>
      <c r="D2182" s="4">
        <v>158</v>
      </c>
      <c r="E2182" s="4">
        <v>2</v>
      </c>
      <c r="F2182" s="8">
        <v>2.2999999999999998</v>
      </c>
      <c r="G2182" s="4">
        <v>2</v>
      </c>
      <c r="H2182" s="4">
        <f t="shared" si="68"/>
        <v>0</v>
      </c>
      <c r="I2182" s="4">
        <f t="shared" si="69"/>
        <v>1</v>
      </c>
      <c r="J2182" s="4">
        <v>0</v>
      </c>
      <c r="K2182" s="4">
        <v>0</v>
      </c>
      <c r="L2182" s="4">
        <v>1</v>
      </c>
      <c r="M2182" s="4">
        <v>1</v>
      </c>
      <c r="N2182" s="4">
        <v>1</v>
      </c>
      <c r="O2182" s="4">
        <v>1</v>
      </c>
    </row>
    <row r="2183" spans="1:15" x14ac:dyDescent="0.15">
      <c r="A2183" s="4">
        <v>2180</v>
      </c>
      <c r="B2183" s="4">
        <v>49</v>
      </c>
      <c r="C2183" s="4">
        <v>23</v>
      </c>
      <c r="D2183" s="4">
        <v>68</v>
      </c>
      <c r="E2183" s="4">
        <v>1</v>
      </c>
      <c r="F2183" s="8">
        <v>1.5</v>
      </c>
      <c r="G2183" s="4">
        <v>2</v>
      </c>
      <c r="H2183" s="4">
        <f t="shared" si="68"/>
        <v>0</v>
      </c>
      <c r="I2183" s="4">
        <f t="shared" si="69"/>
        <v>1</v>
      </c>
      <c r="J2183" s="4">
        <v>0</v>
      </c>
      <c r="K2183" s="4">
        <v>0</v>
      </c>
      <c r="L2183" s="4">
        <v>0</v>
      </c>
      <c r="M2183" s="4">
        <v>0</v>
      </c>
      <c r="N2183" s="4">
        <v>0</v>
      </c>
      <c r="O2183" s="4">
        <v>0</v>
      </c>
    </row>
    <row r="2184" spans="1:15" x14ac:dyDescent="0.15">
      <c r="A2184" s="4">
        <v>2181</v>
      </c>
      <c r="B2184" s="4">
        <v>58</v>
      </c>
      <c r="C2184" s="4">
        <v>33</v>
      </c>
      <c r="D2184" s="4">
        <v>42</v>
      </c>
      <c r="E2184" s="4">
        <v>2</v>
      </c>
      <c r="F2184" s="8">
        <v>1.6</v>
      </c>
      <c r="G2184" s="4">
        <v>3</v>
      </c>
      <c r="H2184" s="4">
        <f t="shared" si="68"/>
        <v>0</v>
      </c>
      <c r="I2184" s="4">
        <f t="shared" si="69"/>
        <v>0</v>
      </c>
      <c r="J2184" s="4">
        <v>0</v>
      </c>
      <c r="K2184" s="4">
        <v>0</v>
      </c>
      <c r="L2184" s="4">
        <v>0</v>
      </c>
      <c r="M2184" s="4">
        <v>1</v>
      </c>
      <c r="N2184" s="4">
        <v>0</v>
      </c>
      <c r="O2184" s="4">
        <v>0</v>
      </c>
    </row>
    <row r="2185" spans="1:15" x14ac:dyDescent="0.15">
      <c r="A2185" s="4">
        <v>2182</v>
      </c>
      <c r="B2185" s="4">
        <v>45</v>
      </c>
      <c r="C2185" s="4">
        <v>15</v>
      </c>
      <c r="D2185" s="4">
        <v>32</v>
      </c>
      <c r="E2185" s="4">
        <v>1</v>
      </c>
      <c r="F2185" s="8">
        <v>0.75</v>
      </c>
      <c r="G2185" s="4">
        <v>3</v>
      </c>
      <c r="H2185" s="4">
        <f t="shared" si="68"/>
        <v>0</v>
      </c>
      <c r="I2185" s="4">
        <f t="shared" si="69"/>
        <v>0</v>
      </c>
      <c r="J2185" s="4">
        <v>105</v>
      </c>
      <c r="K2185" s="4">
        <v>0</v>
      </c>
      <c r="L2185" s="4">
        <v>0</v>
      </c>
      <c r="M2185" s="4">
        <v>1</v>
      </c>
      <c r="N2185" s="4">
        <v>0</v>
      </c>
      <c r="O2185" s="4">
        <v>0</v>
      </c>
    </row>
    <row r="2186" spans="1:15" x14ac:dyDescent="0.15">
      <c r="A2186" s="4">
        <v>2183</v>
      </c>
      <c r="B2186" s="4">
        <v>40</v>
      </c>
      <c r="C2186" s="4">
        <v>14</v>
      </c>
      <c r="D2186" s="4">
        <v>22</v>
      </c>
      <c r="E2186" s="4">
        <v>2</v>
      </c>
      <c r="F2186" s="8">
        <v>1.4</v>
      </c>
      <c r="G2186" s="4">
        <v>3</v>
      </c>
      <c r="H2186" s="4">
        <f t="shared" si="68"/>
        <v>0</v>
      </c>
      <c r="I2186" s="4">
        <f t="shared" si="69"/>
        <v>0</v>
      </c>
      <c r="J2186" s="4">
        <v>0</v>
      </c>
      <c r="K2186" s="4">
        <v>0</v>
      </c>
      <c r="L2186" s="4">
        <v>0</v>
      </c>
      <c r="M2186" s="4">
        <v>0</v>
      </c>
      <c r="N2186" s="4">
        <v>0</v>
      </c>
      <c r="O2186" s="4">
        <v>0</v>
      </c>
    </row>
    <row r="2187" spans="1:15" x14ac:dyDescent="0.15">
      <c r="A2187" s="4">
        <v>2184</v>
      </c>
      <c r="B2187" s="4">
        <v>34</v>
      </c>
      <c r="C2187" s="4">
        <v>8</v>
      </c>
      <c r="D2187" s="4">
        <v>29</v>
      </c>
      <c r="E2187" s="4">
        <v>2</v>
      </c>
      <c r="F2187" s="8">
        <v>2</v>
      </c>
      <c r="G2187" s="4">
        <v>3</v>
      </c>
      <c r="H2187" s="4">
        <f t="shared" si="68"/>
        <v>0</v>
      </c>
      <c r="I2187" s="4">
        <f t="shared" si="69"/>
        <v>0</v>
      </c>
      <c r="J2187" s="4">
        <v>0</v>
      </c>
      <c r="K2187" s="4">
        <v>0</v>
      </c>
      <c r="L2187" s="4">
        <v>0</v>
      </c>
      <c r="M2187" s="4">
        <v>1</v>
      </c>
      <c r="N2187" s="4">
        <v>1</v>
      </c>
      <c r="O2187" s="4">
        <v>0</v>
      </c>
    </row>
    <row r="2188" spans="1:15" x14ac:dyDescent="0.15">
      <c r="A2188" s="4">
        <v>2185</v>
      </c>
      <c r="B2188" s="4">
        <v>62</v>
      </c>
      <c r="C2188" s="4">
        <v>36</v>
      </c>
      <c r="D2188" s="4">
        <v>183</v>
      </c>
      <c r="E2188" s="4">
        <v>2</v>
      </c>
      <c r="F2188" s="8">
        <v>3.4</v>
      </c>
      <c r="G2188" s="4">
        <v>3</v>
      </c>
      <c r="H2188" s="4">
        <f t="shared" si="68"/>
        <v>0</v>
      </c>
      <c r="I2188" s="4">
        <f t="shared" si="69"/>
        <v>0</v>
      </c>
      <c r="J2188" s="4">
        <v>0</v>
      </c>
      <c r="K2188" s="4">
        <v>0</v>
      </c>
      <c r="L2188" s="4">
        <v>0</v>
      </c>
      <c r="M2188" s="4">
        <v>0</v>
      </c>
      <c r="N2188" s="4">
        <v>0</v>
      </c>
      <c r="O2188" s="4">
        <v>1</v>
      </c>
    </row>
    <row r="2189" spans="1:15" x14ac:dyDescent="0.15">
      <c r="A2189" s="4">
        <v>2186</v>
      </c>
      <c r="B2189" s="4">
        <v>54</v>
      </c>
      <c r="C2189" s="4">
        <v>30</v>
      </c>
      <c r="D2189" s="4">
        <v>69</v>
      </c>
      <c r="E2189" s="4">
        <v>1</v>
      </c>
      <c r="F2189" s="8">
        <v>1.6</v>
      </c>
      <c r="G2189" s="4">
        <v>3</v>
      </c>
      <c r="H2189" s="4">
        <f t="shared" si="68"/>
        <v>0</v>
      </c>
      <c r="I2189" s="4">
        <f t="shared" si="69"/>
        <v>0</v>
      </c>
      <c r="J2189" s="4">
        <v>0</v>
      </c>
      <c r="K2189" s="4">
        <v>0</v>
      </c>
      <c r="L2189" s="4">
        <v>0</v>
      </c>
      <c r="M2189" s="4">
        <v>1</v>
      </c>
      <c r="N2189" s="4">
        <v>1</v>
      </c>
      <c r="O2189" s="4">
        <v>0</v>
      </c>
    </row>
    <row r="2190" spans="1:15" x14ac:dyDescent="0.15">
      <c r="A2190" s="4">
        <v>2187</v>
      </c>
      <c r="B2190" s="4">
        <v>26</v>
      </c>
      <c r="C2190" s="4">
        <v>2</v>
      </c>
      <c r="D2190" s="4">
        <v>92</v>
      </c>
      <c r="E2190" s="4">
        <v>2</v>
      </c>
      <c r="F2190" s="8">
        <v>0.2</v>
      </c>
      <c r="G2190" s="4">
        <v>1</v>
      </c>
      <c r="H2190" s="4">
        <f t="shared" si="68"/>
        <v>1</v>
      </c>
      <c r="I2190" s="4">
        <f t="shared" si="69"/>
        <v>0</v>
      </c>
      <c r="J2190" s="4">
        <v>0</v>
      </c>
      <c r="K2190" s="4">
        <v>0</v>
      </c>
      <c r="L2190" s="4">
        <v>0</v>
      </c>
      <c r="M2190" s="4">
        <v>1</v>
      </c>
      <c r="N2190" s="4">
        <v>0</v>
      </c>
      <c r="O2190" s="4">
        <v>0</v>
      </c>
    </row>
    <row r="2191" spans="1:15" x14ac:dyDescent="0.15">
      <c r="A2191" s="4">
        <v>2188</v>
      </c>
      <c r="B2191" s="4">
        <v>54</v>
      </c>
      <c r="C2191" s="4">
        <v>30</v>
      </c>
      <c r="D2191" s="4">
        <v>40</v>
      </c>
      <c r="E2191" s="4">
        <v>2</v>
      </c>
      <c r="F2191" s="8">
        <v>1</v>
      </c>
      <c r="G2191" s="4">
        <v>3</v>
      </c>
      <c r="H2191" s="4">
        <f t="shared" si="68"/>
        <v>0</v>
      </c>
      <c r="I2191" s="4">
        <f t="shared" si="69"/>
        <v>0</v>
      </c>
      <c r="J2191" s="4">
        <v>0</v>
      </c>
      <c r="K2191" s="4">
        <v>0</v>
      </c>
      <c r="L2191" s="4">
        <v>0</v>
      </c>
      <c r="M2191" s="4">
        <v>0</v>
      </c>
      <c r="N2191" s="4">
        <v>0</v>
      </c>
      <c r="O2191" s="4">
        <v>0</v>
      </c>
    </row>
    <row r="2192" spans="1:15" x14ac:dyDescent="0.15">
      <c r="A2192" s="4">
        <v>2189</v>
      </c>
      <c r="B2192" s="4">
        <v>29</v>
      </c>
      <c r="C2192" s="4">
        <v>4</v>
      </c>
      <c r="D2192" s="4">
        <v>9</v>
      </c>
      <c r="E2192" s="4">
        <v>4</v>
      </c>
      <c r="F2192" s="8">
        <v>0.5</v>
      </c>
      <c r="G2192" s="4">
        <v>3</v>
      </c>
      <c r="H2192" s="4">
        <f t="shared" si="68"/>
        <v>0</v>
      </c>
      <c r="I2192" s="4">
        <f t="shared" si="69"/>
        <v>0</v>
      </c>
      <c r="J2192" s="4">
        <v>86</v>
      </c>
      <c r="K2192" s="4">
        <v>0</v>
      </c>
      <c r="L2192" s="4">
        <v>0</v>
      </c>
      <c r="M2192" s="4">
        <v>1</v>
      </c>
      <c r="N2192" s="4">
        <v>1</v>
      </c>
      <c r="O2192" s="4">
        <v>0</v>
      </c>
    </row>
    <row r="2193" spans="1:15" x14ac:dyDescent="0.15">
      <c r="A2193" s="4">
        <v>2190</v>
      </c>
      <c r="B2193" s="4">
        <v>48</v>
      </c>
      <c r="C2193" s="4">
        <v>23</v>
      </c>
      <c r="D2193" s="4">
        <v>128</v>
      </c>
      <c r="E2193" s="4">
        <v>1</v>
      </c>
      <c r="F2193" s="8">
        <v>0.6</v>
      </c>
      <c r="G2193" s="4">
        <v>1</v>
      </c>
      <c r="H2193" s="4">
        <f t="shared" si="68"/>
        <v>1</v>
      </c>
      <c r="I2193" s="4">
        <f t="shared" si="69"/>
        <v>0</v>
      </c>
      <c r="J2193" s="4">
        <v>0</v>
      </c>
      <c r="K2193" s="4">
        <v>0</v>
      </c>
      <c r="L2193" s="4">
        <v>0</v>
      </c>
      <c r="M2193" s="4">
        <v>1</v>
      </c>
      <c r="N2193" s="4">
        <v>1</v>
      </c>
      <c r="O2193" s="4">
        <v>0</v>
      </c>
    </row>
    <row r="2194" spans="1:15" x14ac:dyDescent="0.15">
      <c r="A2194" s="4">
        <v>2191</v>
      </c>
      <c r="B2194" s="4">
        <v>27</v>
      </c>
      <c r="C2194" s="4">
        <v>3</v>
      </c>
      <c r="D2194" s="4">
        <v>110</v>
      </c>
      <c r="E2194" s="4">
        <v>2</v>
      </c>
      <c r="F2194" s="8">
        <v>0.2</v>
      </c>
      <c r="G2194" s="4">
        <v>1</v>
      </c>
      <c r="H2194" s="4">
        <f t="shared" si="68"/>
        <v>1</v>
      </c>
      <c r="I2194" s="4">
        <f t="shared" si="69"/>
        <v>0</v>
      </c>
      <c r="J2194" s="4">
        <v>294</v>
      </c>
      <c r="K2194" s="4">
        <v>1</v>
      </c>
      <c r="L2194" s="4">
        <v>0</v>
      </c>
      <c r="M2194" s="4">
        <v>0</v>
      </c>
      <c r="N2194" s="4">
        <v>1</v>
      </c>
      <c r="O2194" s="4">
        <v>0</v>
      </c>
    </row>
    <row r="2195" spans="1:15" x14ac:dyDescent="0.15">
      <c r="A2195" s="4">
        <v>2192</v>
      </c>
      <c r="B2195" s="4">
        <v>42</v>
      </c>
      <c r="C2195" s="4">
        <v>18</v>
      </c>
      <c r="D2195" s="4">
        <v>171</v>
      </c>
      <c r="E2195" s="4">
        <v>2</v>
      </c>
      <c r="F2195" s="8">
        <v>8</v>
      </c>
      <c r="G2195" s="4">
        <v>1</v>
      </c>
      <c r="H2195" s="4">
        <f t="shared" si="68"/>
        <v>1</v>
      </c>
      <c r="I2195" s="4">
        <f t="shared" si="69"/>
        <v>0</v>
      </c>
      <c r="J2195" s="4">
        <v>0</v>
      </c>
      <c r="K2195" s="4">
        <v>0</v>
      </c>
      <c r="L2195" s="4">
        <v>0</v>
      </c>
      <c r="M2195" s="4">
        <v>1</v>
      </c>
      <c r="N2195" s="4">
        <v>0</v>
      </c>
      <c r="O2195" s="4">
        <v>0</v>
      </c>
    </row>
    <row r="2196" spans="1:15" x14ac:dyDescent="0.15">
      <c r="A2196" s="4">
        <v>2193</v>
      </c>
      <c r="B2196" s="4">
        <v>25</v>
      </c>
      <c r="C2196" s="4">
        <v>1</v>
      </c>
      <c r="D2196" s="4">
        <v>13</v>
      </c>
      <c r="E2196" s="4">
        <v>4</v>
      </c>
      <c r="F2196" s="8">
        <v>1</v>
      </c>
      <c r="G2196" s="4">
        <v>1</v>
      </c>
      <c r="H2196" s="4">
        <f t="shared" si="68"/>
        <v>1</v>
      </c>
      <c r="I2196" s="4">
        <f t="shared" si="69"/>
        <v>0</v>
      </c>
      <c r="J2196" s="4">
        <v>95</v>
      </c>
      <c r="K2196" s="4">
        <v>0</v>
      </c>
      <c r="L2196" s="4">
        <v>0</v>
      </c>
      <c r="M2196" s="4">
        <v>0</v>
      </c>
      <c r="N2196" s="4">
        <v>1</v>
      </c>
      <c r="O2196" s="4">
        <v>0</v>
      </c>
    </row>
    <row r="2197" spans="1:15" x14ac:dyDescent="0.15">
      <c r="A2197" s="4">
        <v>2194</v>
      </c>
      <c r="B2197" s="4">
        <v>45</v>
      </c>
      <c r="C2197" s="4">
        <v>19</v>
      </c>
      <c r="D2197" s="4">
        <v>25</v>
      </c>
      <c r="E2197" s="4">
        <v>2</v>
      </c>
      <c r="F2197" s="8">
        <v>0.1</v>
      </c>
      <c r="G2197" s="4">
        <v>3</v>
      </c>
      <c r="H2197" s="4">
        <f t="shared" si="68"/>
        <v>0</v>
      </c>
      <c r="I2197" s="4">
        <f t="shared" si="69"/>
        <v>0</v>
      </c>
      <c r="J2197" s="4">
        <v>102</v>
      </c>
      <c r="K2197" s="4">
        <v>0</v>
      </c>
      <c r="L2197" s="4">
        <v>0</v>
      </c>
      <c r="M2197" s="4">
        <v>1</v>
      </c>
      <c r="N2197" s="4">
        <v>0</v>
      </c>
      <c r="O2197" s="4">
        <v>0</v>
      </c>
    </row>
    <row r="2198" spans="1:15" x14ac:dyDescent="0.15">
      <c r="A2198" s="4">
        <v>2195</v>
      </c>
      <c r="B2198" s="4">
        <v>34</v>
      </c>
      <c r="C2198" s="4">
        <v>9</v>
      </c>
      <c r="D2198" s="4">
        <v>123</v>
      </c>
      <c r="E2198" s="4">
        <v>1</v>
      </c>
      <c r="F2198" s="8">
        <v>1.6</v>
      </c>
      <c r="G2198" s="4">
        <v>2</v>
      </c>
      <c r="H2198" s="4">
        <f t="shared" si="68"/>
        <v>0</v>
      </c>
      <c r="I2198" s="4">
        <f t="shared" si="69"/>
        <v>1</v>
      </c>
      <c r="J2198" s="4">
        <v>0</v>
      </c>
      <c r="K2198" s="4">
        <v>0</v>
      </c>
      <c r="L2198" s="4">
        <v>0</v>
      </c>
      <c r="M2198" s="4">
        <v>1</v>
      </c>
      <c r="N2198" s="4">
        <v>0</v>
      </c>
      <c r="O2198" s="4">
        <v>1</v>
      </c>
    </row>
    <row r="2199" spans="1:15" x14ac:dyDescent="0.15">
      <c r="A2199" s="4">
        <v>2196</v>
      </c>
      <c r="B2199" s="4">
        <v>51</v>
      </c>
      <c r="C2199" s="4">
        <v>27</v>
      </c>
      <c r="D2199" s="4">
        <v>33</v>
      </c>
      <c r="E2199" s="4">
        <v>4</v>
      </c>
      <c r="F2199" s="8">
        <v>0.2</v>
      </c>
      <c r="G2199" s="4">
        <v>1</v>
      </c>
      <c r="H2199" s="4">
        <f t="shared" si="68"/>
        <v>1</v>
      </c>
      <c r="I2199" s="4">
        <f t="shared" si="69"/>
        <v>0</v>
      </c>
      <c r="J2199" s="4">
        <v>83</v>
      </c>
      <c r="K2199" s="4">
        <v>0</v>
      </c>
      <c r="L2199" s="4">
        <v>0</v>
      </c>
      <c r="M2199" s="4">
        <v>1</v>
      </c>
      <c r="N2199" s="4">
        <v>0</v>
      </c>
      <c r="O2199" s="4">
        <v>0</v>
      </c>
    </row>
    <row r="2200" spans="1:15" x14ac:dyDescent="0.15">
      <c r="A2200" s="4">
        <v>2197</v>
      </c>
      <c r="B2200" s="4">
        <v>51</v>
      </c>
      <c r="C2200" s="4">
        <v>24</v>
      </c>
      <c r="D2200" s="4">
        <v>189</v>
      </c>
      <c r="E2200" s="4">
        <v>4</v>
      </c>
      <c r="F2200" s="8">
        <v>4.75</v>
      </c>
      <c r="G2200" s="4">
        <v>2</v>
      </c>
      <c r="H2200" s="4">
        <f t="shared" si="68"/>
        <v>0</v>
      </c>
      <c r="I2200" s="4">
        <f t="shared" si="69"/>
        <v>1</v>
      </c>
      <c r="J2200" s="4">
        <v>0</v>
      </c>
      <c r="K2200" s="4">
        <v>0</v>
      </c>
      <c r="L2200" s="4">
        <v>0</v>
      </c>
      <c r="M2200" s="4">
        <v>1</v>
      </c>
      <c r="N2200" s="4">
        <v>0</v>
      </c>
      <c r="O2200" s="4">
        <v>1</v>
      </c>
    </row>
    <row r="2201" spans="1:15" x14ac:dyDescent="0.15">
      <c r="A2201" s="4">
        <v>2198</v>
      </c>
      <c r="B2201" s="4">
        <v>60</v>
      </c>
      <c r="C2201" s="4">
        <v>35</v>
      </c>
      <c r="D2201" s="4">
        <v>34</v>
      </c>
      <c r="E2201" s="4">
        <v>1</v>
      </c>
      <c r="F2201" s="8">
        <v>0.3</v>
      </c>
      <c r="G2201" s="4">
        <v>3</v>
      </c>
      <c r="H2201" s="4">
        <f t="shared" si="68"/>
        <v>0</v>
      </c>
      <c r="I2201" s="4">
        <f t="shared" si="69"/>
        <v>0</v>
      </c>
      <c r="J2201" s="4">
        <v>0</v>
      </c>
      <c r="K2201" s="4">
        <v>0</v>
      </c>
      <c r="L2201" s="4">
        <v>0</v>
      </c>
      <c r="M2201" s="4">
        <v>1</v>
      </c>
      <c r="N2201" s="4">
        <v>0</v>
      </c>
      <c r="O2201" s="4">
        <v>0</v>
      </c>
    </row>
    <row r="2202" spans="1:15" x14ac:dyDescent="0.15">
      <c r="A2202" s="4">
        <v>2199</v>
      </c>
      <c r="B2202" s="4">
        <v>59</v>
      </c>
      <c r="C2202" s="4">
        <v>35</v>
      </c>
      <c r="D2202" s="4">
        <v>58</v>
      </c>
      <c r="E2202" s="4">
        <v>1</v>
      </c>
      <c r="F2202" s="8">
        <v>0</v>
      </c>
      <c r="G2202" s="4">
        <v>2</v>
      </c>
      <c r="H2202" s="4">
        <f t="shared" si="68"/>
        <v>0</v>
      </c>
      <c r="I2202" s="4">
        <f t="shared" si="69"/>
        <v>1</v>
      </c>
      <c r="J2202" s="4">
        <v>0</v>
      </c>
      <c r="K2202" s="4">
        <v>0</v>
      </c>
      <c r="L2202" s="4">
        <v>0</v>
      </c>
      <c r="M2202" s="4">
        <v>1</v>
      </c>
      <c r="N2202" s="4">
        <v>0</v>
      </c>
      <c r="O2202" s="4">
        <v>0</v>
      </c>
    </row>
    <row r="2203" spans="1:15" x14ac:dyDescent="0.15">
      <c r="A2203" s="4">
        <v>2200</v>
      </c>
      <c r="B2203" s="4">
        <v>49</v>
      </c>
      <c r="C2203" s="4">
        <v>24</v>
      </c>
      <c r="D2203" s="4">
        <v>51</v>
      </c>
      <c r="E2203" s="4">
        <v>1</v>
      </c>
      <c r="F2203" s="8">
        <v>1.3</v>
      </c>
      <c r="G2203" s="4">
        <v>2</v>
      </c>
      <c r="H2203" s="4">
        <f t="shared" si="68"/>
        <v>0</v>
      </c>
      <c r="I2203" s="4">
        <f t="shared" si="69"/>
        <v>1</v>
      </c>
      <c r="J2203" s="4">
        <v>98</v>
      </c>
      <c r="K2203" s="4">
        <v>0</v>
      </c>
      <c r="L2203" s="4">
        <v>0</v>
      </c>
      <c r="M2203" s="4">
        <v>0</v>
      </c>
      <c r="N2203" s="4">
        <v>1</v>
      </c>
      <c r="O2203" s="4">
        <v>0</v>
      </c>
    </row>
    <row r="2204" spans="1:15" x14ac:dyDescent="0.15">
      <c r="A2204" s="4">
        <v>2201</v>
      </c>
      <c r="B2204" s="4">
        <v>50</v>
      </c>
      <c r="C2204" s="4">
        <v>25</v>
      </c>
      <c r="D2204" s="4">
        <v>29</v>
      </c>
      <c r="E2204" s="4">
        <v>2</v>
      </c>
      <c r="F2204" s="8">
        <v>1.3</v>
      </c>
      <c r="G2204" s="4">
        <v>1</v>
      </c>
      <c r="H2204" s="4">
        <f t="shared" si="68"/>
        <v>1</v>
      </c>
      <c r="I2204" s="4">
        <f t="shared" si="69"/>
        <v>0</v>
      </c>
      <c r="J2204" s="4">
        <v>0</v>
      </c>
      <c r="K2204" s="4">
        <v>0</v>
      </c>
      <c r="L2204" s="4">
        <v>0</v>
      </c>
      <c r="M2204" s="4">
        <v>0</v>
      </c>
      <c r="N2204" s="4">
        <v>0</v>
      </c>
      <c r="O2204" s="4">
        <v>0</v>
      </c>
    </row>
    <row r="2205" spans="1:15" x14ac:dyDescent="0.15">
      <c r="A2205" s="4">
        <v>2202</v>
      </c>
      <c r="B2205" s="4">
        <v>41</v>
      </c>
      <c r="C2205" s="4">
        <v>16</v>
      </c>
      <c r="D2205" s="4">
        <v>111</v>
      </c>
      <c r="E2205" s="4">
        <v>2</v>
      </c>
      <c r="F2205" s="8">
        <v>0.4</v>
      </c>
      <c r="G2205" s="4">
        <v>1</v>
      </c>
      <c r="H2205" s="4">
        <f t="shared" si="68"/>
        <v>1</v>
      </c>
      <c r="I2205" s="4">
        <f t="shared" si="69"/>
        <v>0</v>
      </c>
      <c r="J2205" s="4">
        <v>0</v>
      </c>
      <c r="K2205" s="4">
        <v>0</v>
      </c>
      <c r="L2205" s="4">
        <v>0</v>
      </c>
      <c r="M2205" s="4">
        <v>0</v>
      </c>
      <c r="N2205" s="4">
        <v>0</v>
      </c>
      <c r="O2205" s="4">
        <v>0</v>
      </c>
    </row>
    <row r="2206" spans="1:15" x14ac:dyDescent="0.15">
      <c r="A2206" s="4">
        <v>2203</v>
      </c>
      <c r="B2206" s="4">
        <v>49</v>
      </c>
      <c r="C2206" s="4">
        <v>24</v>
      </c>
      <c r="D2206" s="4">
        <v>43</v>
      </c>
      <c r="E2206" s="4">
        <v>4</v>
      </c>
      <c r="F2206" s="8">
        <v>1.9</v>
      </c>
      <c r="G2206" s="4">
        <v>3</v>
      </c>
      <c r="H2206" s="4">
        <f t="shared" si="68"/>
        <v>0</v>
      </c>
      <c r="I2206" s="4">
        <f t="shared" si="69"/>
        <v>0</v>
      </c>
      <c r="J2206" s="4">
        <v>0</v>
      </c>
      <c r="K2206" s="4">
        <v>0</v>
      </c>
      <c r="L2206" s="4">
        <v>0</v>
      </c>
      <c r="M2206" s="4">
        <v>1</v>
      </c>
      <c r="N2206" s="4">
        <v>0</v>
      </c>
      <c r="O2206" s="4">
        <v>0</v>
      </c>
    </row>
    <row r="2207" spans="1:15" x14ac:dyDescent="0.15">
      <c r="A2207" s="4">
        <v>2204</v>
      </c>
      <c r="B2207" s="4">
        <v>50</v>
      </c>
      <c r="C2207" s="4">
        <v>25</v>
      </c>
      <c r="D2207" s="4">
        <v>130</v>
      </c>
      <c r="E2207" s="4">
        <v>1</v>
      </c>
      <c r="F2207" s="8">
        <v>0.6</v>
      </c>
      <c r="G2207" s="4">
        <v>1</v>
      </c>
      <c r="H2207" s="4">
        <f t="shared" si="68"/>
        <v>1</v>
      </c>
      <c r="I2207" s="4">
        <f t="shared" si="69"/>
        <v>0</v>
      </c>
      <c r="J2207" s="4">
        <v>311</v>
      </c>
      <c r="K2207" s="4">
        <v>0</v>
      </c>
      <c r="L2207" s="4">
        <v>0</v>
      </c>
      <c r="M2207" s="4">
        <v>0</v>
      </c>
      <c r="N2207" s="4">
        <v>0</v>
      </c>
      <c r="O2207" s="4">
        <v>0</v>
      </c>
    </row>
    <row r="2208" spans="1:15" x14ac:dyDescent="0.15">
      <c r="A2208" s="4">
        <v>2205</v>
      </c>
      <c r="B2208" s="4">
        <v>63</v>
      </c>
      <c r="C2208" s="4">
        <v>37</v>
      </c>
      <c r="D2208" s="4">
        <v>20</v>
      </c>
      <c r="E2208" s="4">
        <v>2</v>
      </c>
      <c r="F2208" s="8">
        <v>0.4</v>
      </c>
      <c r="G2208" s="4">
        <v>1</v>
      </c>
      <c r="H2208" s="4">
        <f t="shared" si="68"/>
        <v>1</v>
      </c>
      <c r="I2208" s="4">
        <f t="shared" si="69"/>
        <v>0</v>
      </c>
      <c r="J2208" s="4">
        <v>76</v>
      </c>
      <c r="K2208" s="4">
        <v>0</v>
      </c>
      <c r="L2208" s="4">
        <v>0</v>
      </c>
      <c r="M2208" s="4">
        <v>0</v>
      </c>
      <c r="N2208" s="4">
        <v>0</v>
      </c>
      <c r="O2208" s="4">
        <v>0</v>
      </c>
    </row>
    <row r="2209" spans="1:15" x14ac:dyDescent="0.15">
      <c r="A2209" s="4">
        <v>2206</v>
      </c>
      <c r="B2209" s="4">
        <v>63</v>
      </c>
      <c r="C2209" s="4">
        <v>37</v>
      </c>
      <c r="D2209" s="4">
        <v>101</v>
      </c>
      <c r="E2209" s="4">
        <v>2</v>
      </c>
      <c r="F2209" s="8">
        <v>2.8</v>
      </c>
      <c r="G2209" s="4">
        <v>1</v>
      </c>
      <c r="H2209" s="4">
        <f t="shared" si="68"/>
        <v>1</v>
      </c>
      <c r="I2209" s="4">
        <f t="shared" si="69"/>
        <v>0</v>
      </c>
      <c r="J2209" s="4">
        <v>0</v>
      </c>
      <c r="K2209" s="4">
        <v>0</v>
      </c>
      <c r="L2209" s="4">
        <v>0</v>
      </c>
      <c r="M2209" s="4">
        <v>0</v>
      </c>
      <c r="N2209" s="4">
        <v>0</v>
      </c>
      <c r="O2209" s="4">
        <v>0</v>
      </c>
    </row>
    <row r="2210" spans="1:15" x14ac:dyDescent="0.15">
      <c r="A2210" s="4">
        <v>2207</v>
      </c>
      <c r="B2210" s="4">
        <v>33</v>
      </c>
      <c r="C2210" s="4">
        <v>7</v>
      </c>
      <c r="D2210" s="4">
        <v>48</v>
      </c>
      <c r="E2210" s="4">
        <v>4</v>
      </c>
      <c r="F2210" s="8">
        <v>2.2000000000000002</v>
      </c>
      <c r="G2210" s="4">
        <v>2</v>
      </c>
      <c r="H2210" s="4">
        <f t="shared" si="68"/>
        <v>0</v>
      </c>
      <c r="I2210" s="4">
        <f t="shared" si="69"/>
        <v>1</v>
      </c>
      <c r="J2210" s="4">
        <v>207</v>
      </c>
      <c r="K2210" s="4">
        <v>0</v>
      </c>
      <c r="L2210" s="4">
        <v>0</v>
      </c>
      <c r="M2210" s="4">
        <v>0</v>
      </c>
      <c r="N2210" s="4">
        <v>0</v>
      </c>
      <c r="O2210" s="4">
        <v>0</v>
      </c>
    </row>
    <row r="2211" spans="1:15" x14ac:dyDescent="0.15">
      <c r="A2211" s="4">
        <v>2208</v>
      </c>
      <c r="B2211" s="4">
        <v>38</v>
      </c>
      <c r="C2211" s="4">
        <v>12</v>
      </c>
      <c r="D2211" s="4">
        <v>180</v>
      </c>
      <c r="E2211" s="4">
        <v>1</v>
      </c>
      <c r="F2211" s="8">
        <v>2.8</v>
      </c>
      <c r="G2211" s="4">
        <v>3</v>
      </c>
      <c r="H2211" s="4">
        <f t="shared" si="68"/>
        <v>0</v>
      </c>
      <c r="I2211" s="4">
        <f t="shared" si="69"/>
        <v>0</v>
      </c>
      <c r="J2211" s="4">
        <v>158</v>
      </c>
      <c r="K2211" s="4">
        <v>0</v>
      </c>
      <c r="L2211" s="4">
        <v>0</v>
      </c>
      <c r="M2211" s="4">
        <v>1</v>
      </c>
      <c r="N2211" s="4">
        <v>0</v>
      </c>
      <c r="O2211" s="4">
        <v>1</v>
      </c>
    </row>
    <row r="2212" spans="1:15" x14ac:dyDescent="0.15">
      <c r="A2212" s="4">
        <v>2209</v>
      </c>
      <c r="B2212" s="4">
        <v>64</v>
      </c>
      <c r="C2212" s="4">
        <v>40</v>
      </c>
      <c r="D2212" s="4">
        <v>92</v>
      </c>
      <c r="E2212" s="4">
        <v>2</v>
      </c>
      <c r="F2212" s="8">
        <v>0</v>
      </c>
      <c r="G2212" s="4">
        <v>3</v>
      </c>
      <c r="H2212" s="4">
        <f t="shared" si="68"/>
        <v>0</v>
      </c>
      <c r="I2212" s="4">
        <f t="shared" si="69"/>
        <v>0</v>
      </c>
      <c r="J2212" s="4">
        <v>185</v>
      </c>
      <c r="K2212" s="4">
        <v>1</v>
      </c>
      <c r="L2212" s="4">
        <v>0</v>
      </c>
      <c r="M2212" s="4">
        <v>1</v>
      </c>
      <c r="N2212" s="4">
        <v>0</v>
      </c>
      <c r="O2212" s="4">
        <v>0</v>
      </c>
    </row>
    <row r="2213" spans="1:15" x14ac:dyDescent="0.15">
      <c r="A2213" s="4">
        <v>2210</v>
      </c>
      <c r="B2213" s="4">
        <v>36</v>
      </c>
      <c r="C2213" s="4">
        <v>10</v>
      </c>
      <c r="D2213" s="4">
        <v>33</v>
      </c>
      <c r="E2213" s="4">
        <v>3</v>
      </c>
      <c r="F2213" s="8">
        <v>0.9</v>
      </c>
      <c r="G2213" s="4">
        <v>1</v>
      </c>
      <c r="H2213" s="4">
        <f t="shared" si="68"/>
        <v>1</v>
      </c>
      <c r="I2213" s="4">
        <f t="shared" si="69"/>
        <v>0</v>
      </c>
      <c r="J2213" s="4">
        <v>0</v>
      </c>
      <c r="K2213" s="4">
        <v>0</v>
      </c>
      <c r="L2213" s="4">
        <v>0</v>
      </c>
      <c r="M2213" s="4">
        <v>0</v>
      </c>
      <c r="N2213" s="4">
        <v>0</v>
      </c>
      <c r="O2213" s="4">
        <v>0</v>
      </c>
    </row>
    <row r="2214" spans="1:15" x14ac:dyDescent="0.15">
      <c r="A2214" s="4">
        <v>2211</v>
      </c>
      <c r="B2214" s="4">
        <v>58</v>
      </c>
      <c r="C2214" s="4">
        <v>33</v>
      </c>
      <c r="D2214" s="4">
        <v>51</v>
      </c>
      <c r="E2214" s="4">
        <v>2</v>
      </c>
      <c r="F2214" s="8">
        <v>1.9</v>
      </c>
      <c r="G2214" s="4">
        <v>2</v>
      </c>
      <c r="H2214" s="4">
        <f t="shared" si="68"/>
        <v>0</v>
      </c>
      <c r="I2214" s="4">
        <f t="shared" si="69"/>
        <v>1</v>
      </c>
      <c r="J2214" s="4">
        <v>0</v>
      </c>
      <c r="K2214" s="4">
        <v>0</v>
      </c>
      <c r="L2214" s="4">
        <v>0</v>
      </c>
      <c r="M2214" s="4">
        <v>0</v>
      </c>
      <c r="N2214" s="4">
        <v>0</v>
      </c>
      <c r="O2214" s="4">
        <v>0</v>
      </c>
    </row>
    <row r="2215" spans="1:15" x14ac:dyDescent="0.15">
      <c r="A2215" s="4">
        <v>2212</v>
      </c>
      <c r="B2215" s="4">
        <v>39</v>
      </c>
      <c r="C2215" s="4">
        <v>14</v>
      </c>
      <c r="D2215" s="4">
        <v>31</v>
      </c>
      <c r="E2215" s="4">
        <v>2</v>
      </c>
      <c r="F2215" s="8">
        <v>1.4</v>
      </c>
      <c r="G2215" s="4">
        <v>2</v>
      </c>
      <c r="H2215" s="4">
        <f t="shared" si="68"/>
        <v>0</v>
      </c>
      <c r="I2215" s="4">
        <f t="shared" si="69"/>
        <v>1</v>
      </c>
      <c r="J2215" s="4">
        <v>94</v>
      </c>
      <c r="K2215" s="4">
        <v>0</v>
      </c>
      <c r="L2215" s="4">
        <v>0</v>
      </c>
      <c r="M2215" s="4">
        <v>1</v>
      </c>
      <c r="N2215" s="4">
        <v>1</v>
      </c>
      <c r="O2215" s="4">
        <v>0</v>
      </c>
    </row>
    <row r="2216" spans="1:15" x14ac:dyDescent="0.15">
      <c r="A2216" s="4">
        <v>2213</v>
      </c>
      <c r="B2216" s="4">
        <v>46</v>
      </c>
      <c r="C2216" s="4">
        <v>22</v>
      </c>
      <c r="D2216" s="4">
        <v>83</v>
      </c>
      <c r="E2216" s="4">
        <v>1</v>
      </c>
      <c r="F2216" s="8">
        <v>2.7</v>
      </c>
      <c r="G2216" s="4">
        <v>1</v>
      </c>
      <c r="H2216" s="4">
        <f t="shared" si="68"/>
        <v>1</v>
      </c>
      <c r="I2216" s="4">
        <f t="shared" si="69"/>
        <v>0</v>
      </c>
      <c r="J2216" s="4">
        <v>0</v>
      </c>
      <c r="K2216" s="4">
        <v>0</v>
      </c>
      <c r="L2216" s="4">
        <v>0</v>
      </c>
      <c r="M2216" s="4">
        <v>1</v>
      </c>
      <c r="N2216" s="4">
        <v>0</v>
      </c>
      <c r="O2216" s="4">
        <v>0</v>
      </c>
    </row>
    <row r="2217" spans="1:15" x14ac:dyDescent="0.15">
      <c r="A2217" s="4">
        <v>2214</v>
      </c>
      <c r="B2217" s="4">
        <v>61</v>
      </c>
      <c r="C2217" s="4">
        <v>37</v>
      </c>
      <c r="D2217" s="4">
        <v>45</v>
      </c>
      <c r="E2217" s="4">
        <v>1</v>
      </c>
      <c r="F2217" s="8">
        <v>0.8</v>
      </c>
      <c r="G2217" s="4">
        <v>1</v>
      </c>
      <c r="H2217" s="4">
        <f t="shared" si="68"/>
        <v>1</v>
      </c>
      <c r="I2217" s="4">
        <f t="shared" si="69"/>
        <v>0</v>
      </c>
      <c r="J2217" s="4">
        <v>0</v>
      </c>
      <c r="K2217" s="4">
        <v>0</v>
      </c>
      <c r="L2217" s="4">
        <v>0</v>
      </c>
      <c r="M2217" s="4">
        <v>0</v>
      </c>
      <c r="N2217" s="4">
        <v>0</v>
      </c>
      <c r="O2217" s="4">
        <v>0</v>
      </c>
    </row>
    <row r="2218" spans="1:15" x14ac:dyDescent="0.15">
      <c r="A2218" s="4">
        <v>2215</v>
      </c>
      <c r="B2218" s="4">
        <v>53</v>
      </c>
      <c r="C2218" s="4">
        <v>27</v>
      </c>
      <c r="D2218" s="4">
        <v>89</v>
      </c>
      <c r="E2218" s="4">
        <v>1</v>
      </c>
      <c r="F2218" s="8">
        <v>0.8</v>
      </c>
      <c r="G2218" s="4">
        <v>3</v>
      </c>
      <c r="H2218" s="4">
        <f t="shared" si="68"/>
        <v>0</v>
      </c>
      <c r="I2218" s="4">
        <f t="shared" si="69"/>
        <v>0</v>
      </c>
      <c r="J2218" s="4">
        <v>146</v>
      </c>
      <c r="K2218" s="4">
        <v>0</v>
      </c>
      <c r="L2218" s="4">
        <v>0</v>
      </c>
      <c r="M2218" s="4">
        <v>1</v>
      </c>
      <c r="N2218" s="4">
        <v>1</v>
      </c>
      <c r="O2218" s="4">
        <v>0</v>
      </c>
    </row>
    <row r="2219" spans="1:15" x14ac:dyDescent="0.15">
      <c r="A2219" s="4">
        <v>2216</v>
      </c>
      <c r="B2219" s="4">
        <v>28</v>
      </c>
      <c r="C2219" s="4">
        <v>3</v>
      </c>
      <c r="D2219" s="4">
        <v>193</v>
      </c>
      <c r="E2219" s="4">
        <v>3</v>
      </c>
      <c r="F2219" s="8">
        <v>4</v>
      </c>
      <c r="G2219" s="4">
        <v>2</v>
      </c>
      <c r="H2219" s="4">
        <f t="shared" si="68"/>
        <v>0</v>
      </c>
      <c r="I2219" s="4">
        <f t="shared" si="69"/>
        <v>1</v>
      </c>
      <c r="J2219" s="4">
        <v>0</v>
      </c>
      <c r="K2219" s="4">
        <v>0</v>
      </c>
      <c r="L2219" s="4">
        <v>0</v>
      </c>
      <c r="M2219" s="4">
        <v>1</v>
      </c>
      <c r="N2219" s="4">
        <v>0</v>
      </c>
      <c r="O2219" s="4">
        <v>1</v>
      </c>
    </row>
    <row r="2220" spans="1:15" x14ac:dyDescent="0.15">
      <c r="A2220" s="4">
        <v>2217</v>
      </c>
      <c r="B2220" s="4">
        <v>64</v>
      </c>
      <c r="C2220" s="4">
        <v>40</v>
      </c>
      <c r="D2220" s="4">
        <v>89</v>
      </c>
      <c r="E2220" s="4">
        <v>1</v>
      </c>
      <c r="F2220" s="8">
        <v>3.8</v>
      </c>
      <c r="G2220" s="4">
        <v>1</v>
      </c>
      <c r="H2220" s="4">
        <f t="shared" si="68"/>
        <v>1</v>
      </c>
      <c r="I2220" s="4">
        <f t="shared" si="69"/>
        <v>0</v>
      </c>
      <c r="J2220" s="4">
        <v>0</v>
      </c>
      <c r="K2220" s="4">
        <v>0</v>
      </c>
      <c r="L2220" s="4">
        <v>0</v>
      </c>
      <c r="M2220" s="4">
        <v>0</v>
      </c>
      <c r="N2220" s="4">
        <v>0</v>
      </c>
      <c r="O2220" s="4">
        <v>0</v>
      </c>
    </row>
    <row r="2221" spans="1:15" x14ac:dyDescent="0.15">
      <c r="A2221" s="4">
        <v>2218</v>
      </c>
      <c r="B2221" s="4">
        <v>48</v>
      </c>
      <c r="C2221" s="4">
        <v>24</v>
      </c>
      <c r="D2221" s="4">
        <v>162</v>
      </c>
      <c r="E2221" s="4">
        <v>4</v>
      </c>
      <c r="F2221" s="8">
        <v>3.3</v>
      </c>
      <c r="G2221" s="4">
        <v>2</v>
      </c>
      <c r="H2221" s="4">
        <f t="shared" si="68"/>
        <v>0</v>
      </c>
      <c r="I2221" s="4">
        <f t="shared" si="69"/>
        <v>1</v>
      </c>
      <c r="J2221" s="4">
        <v>446</v>
      </c>
      <c r="K2221" s="4">
        <v>0</v>
      </c>
      <c r="L2221" s="4">
        <v>1</v>
      </c>
      <c r="M2221" s="4">
        <v>1</v>
      </c>
      <c r="N2221" s="4">
        <v>0</v>
      </c>
      <c r="O2221" s="4">
        <v>1</v>
      </c>
    </row>
    <row r="2222" spans="1:15" x14ac:dyDescent="0.15">
      <c r="A2222" s="4">
        <v>2219</v>
      </c>
      <c r="B2222" s="4">
        <v>38</v>
      </c>
      <c r="C2222" s="4">
        <v>13</v>
      </c>
      <c r="D2222" s="4">
        <v>9</v>
      </c>
      <c r="E2222" s="4">
        <v>2</v>
      </c>
      <c r="F2222" s="8">
        <v>0.3</v>
      </c>
      <c r="G2222" s="4">
        <v>2</v>
      </c>
      <c r="H2222" s="4">
        <f t="shared" si="68"/>
        <v>0</v>
      </c>
      <c r="I2222" s="4">
        <f t="shared" si="69"/>
        <v>1</v>
      </c>
      <c r="J2222" s="4">
        <v>0</v>
      </c>
      <c r="K2222" s="4">
        <v>0</v>
      </c>
      <c r="L2222" s="4">
        <v>0</v>
      </c>
      <c r="M2222" s="4">
        <v>0</v>
      </c>
      <c r="N2222" s="4">
        <v>0</v>
      </c>
      <c r="O2222" s="4">
        <v>0</v>
      </c>
    </row>
    <row r="2223" spans="1:15" x14ac:dyDescent="0.15">
      <c r="A2223" s="4">
        <v>2220</v>
      </c>
      <c r="B2223" s="4">
        <v>52</v>
      </c>
      <c r="C2223" s="4">
        <v>22</v>
      </c>
      <c r="D2223" s="4">
        <v>58</v>
      </c>
      <c r="E2223" s="4">
        <v>4</v>
      </c>
      <c r="F2223" s="8">
        <v>2</v>
      </c>
      <c r="G2223" s="4">
        <v>3</v>
      </c>
      <c r="H2223" s="4">
        <f t="shared" si="68"/>
        <v>0</v>
      </c>
      <c r="I2223" s="4">
        <f t="shared" si="69"/>
        <v>0</v>
      </c>
      <c r="J2223" s="4">
        <v>223</v>
      </c>
      <c r="K2223" s="4">
        <v>0</v>
      </c>
      <c r="L2223" s="4">
        <v>0</v>
      </c>
      <c r="M2223" s="4">
        <v>1</v>
      </c>
      <c r="N2223" s="4">
        <v>0</v>
      </c>
      <c r="O2223" s="4">
        <v>0</v>
      </c>
    </row>
    <row r="2224" spans="1:15" x14ac:dyDescent="0.15">
      <c r="A2224" s="4">
        <v>2221</v>
      </c>
      <c r="B2224" s="4">
        <v>65</v>
      </c>
      <c r="C2224" s="4">
        <v>40</v>
      </c>
      <c r="D2224" s="4">
        <v>80</v>
      </c>
      <c r="E2224" s="4">
        <v>1</v>
      </c>
      <c r="F2224" s="8">
        <v>0.8</v>
      </c>
      <c r="G2224" s="4">
        <v>3</v>
      </c>
      <c r="H2224" s="4">
        <f t="shared" si="68"/>
        <v>0</v>
      </c>
      <c r="I2224" s="4">
        <f t="shared" si="69"/>
        <v>0</v>
      </c>
      <c r="J2224" s="4">
        <v>0</v>
      </c>
      <c r="K2224" s="4">
        <v>0</v>
      </c>
      <c r="L2224" s="4">
        <v>0</v>
      </c>
      <c r="M2224" s="4">
        <v>1</v>
      </c>
      <c r="N2224" s="4">
        <v>0</v>
      </c>
      <c r="O2224" s="4">
        <v>0</v>
      </c>
    </row>
    <row r="2225" spans="1:15" x14ac:dyDescent="0.15">
      <c r="A2225" s="4">
        <v>2222</v>
      </c>
      <c r="B2225" s="4">
        <v>59</v>
      </c>
      <c r="C2225" s="4">
        <v>33</v>
      </c>
      <c r="D2225" s="4">
        <v>73</v>
      </c>
      <c r="E2225" s="4">
        <v>2</v>
      </c>
      <c r="F2225" s="8">
        <v>1.7</v>
      </c>
      <c r="G2225" s="4">
        <v>3</v>
      </c>
      <c r="H2225" s="4">
        <f t="shared" si="68"/>
        <v>0</v>
      </c>
      <c r="I2225" s="4">
        <f t="shared" si="69"/>
        <v>0</v>
      </c>
      <c r="J2225" s="4">
        <v>0</v>
      </c>
      <c r="K2225" s="4">
        <v>0</v>
      </c>
      <c r="L2225" s="4">
        <v>0</v>
      </c>
      <c r="M2225" s="4">
        <v>1</v>
      </c>
      <c r="N2225" s="4">
        <v>1</v>
      </c>
      <c r="O2225" s="4">
        <v>0</v>
      </c>
    </row>
    <row r="2226" spans="1:15" x14ac:dyDescent="0.15">
      <c r="A2226" s="4">
        <v>2223</v>
      </c>
      <c r="B2226" s="4">
        <v>45</v>
      </c>
      <c r="C2226" s="4">
        <v>20</v>
      </c>
      <c r="D2226" s="4">
        <v>41</v>
      </c>
      <c r="E2226" s="4">
        <v>1</v>
      </c>
      <c r="F2226" s="8">
        <v>0.3</v>
      </c>
      <c r="G2226" s="4">
        <v>1</v>
      </c>
      <c r="H2226" s="4">
        <f t="shared" si="68"/>
        <v>1</v>
      </c>
      <c r="I2226" s="4">
        <f t="shared" si="69"/>
        <v>0</v>
      </c>
      <c r="J2226" s="4">
        <v>0</v>
      </c>
      <c r="K2226" s="4">
        <v>0</v>
      </c>
      <c r="L2226" s="4">
        <v>0</v>
      </c>
      <c r="M2226" s="4">
        <v>1</v>
      </c>
      <c r="N2226" s="4">
        <v>0</v>
      </c>
      <c r="O2226" s="4">
        <v>0</v>
      </c>
    </row>
    <row r="2227" spans="1:15" x14ac:dyDescent="0.15">
      <c r="A2227" s="4">
        <v>2224</v>
      </c>
      <c r="B2227" s="4">
        <v>53</v>
      </c>
      <c r="C2227" s="4">
        <v>28</v>
      </c>
      <c r="D2227" s="4">
        <v>74</v>
      </c>
      <c r="E2227" s="4">
        <v>3</v>
      </c>
      <c r="F2227" s="8">
        <v>2</v>
      </c>
      <c r="G2227" s="4">
        <v>2</v>
      </c>
      <c r="H2227" s="4">
        <f t="shared" si="68"/>
        <v>0</v>
      </c>
      <c r="I2227" s="4">
        <f t="shared" si="69"/>
        <v>1</v>
      </c>
      <c r="J2227" s="4">
        <v>0</v>
      </c>
      <c r="K2227" s="4">
        <v>1</v>
      </c>
      <c r="L2227" s="4">
        <v>0</v>
      </c>
      <c r="M2227" s="4">
        <v>0</v>
      </c>
      <c r="N2227" s="4">
        <v>0</v>
      </c>
      <c r="O2227" s="4">
        <v>0</v>
      </c>
    </row>
    <row r="2228" spans="1:15" x14ac:dyDescent="0.15">
      <c r="A2228" s="4">
        <v>2225</v>
      </c>
      <c r="B2228" s="4">
        <v>38</v>
      </c>
      <c r="C2228" s="4">
        <v>12</v>
      </c>
      <c r="D2228" s="4">
        <v>29</v>
      </c>
      <c r="E2228" s="4">
        <v>2</v>
      </c>
      <c r="F2228" s="8">
        <v>1.4</v>
      </c>
      <c r="G2228" s="4">
        <v>3</v>
      </c>
      <c r="H2228" s="4">
        <f t="shared" si="68"/>
        <v>0</v>
      </c>
      <c r="I2228" s="4">
        <f t="shared" si="69"/>
        <v>0</v>
      </c>
      <c r="J2228" s="4">
        <v>0</v>
      </c>
      <c r="K2228" s="4">
        <v>0</v>
      </c>
      <c r="L2228" s="4">
        <v>0</v>
      </c>
      <c r="M2228" s="4">
        <v>1</v>
      </c>
      <c r="N2228" s="4">
        <v>0</v>
      </c>
      <c r="O2228" s="4">
        <v>0</v>
      </c>
    </row>
    <row r="2229" spans="1:15" x14ac:dyDescent="0.15">
      <c r="A2229" s="4">
        <v>2226</v>
      </c>
      <c r="B2229" s="4">
        <v>54</v>
      </c>
      <c r="C2229" s="4">
        <v>24</v>
      </c>
      <c r="D2229" s="4">
        <v>25</v>
      </c>
      <c r="E2229" s="4">
        <v>4</v>
      </c>
      <c r="F2229" s="8">
        <v>0.4</v>
      </c>
      <c r="G2229" s="4">
        <v>3</v>
      </c>
      <c r="H2229" s="4">
        <f t="shared" si="68"/>
        <v>0</v>
      </c>
      <c r="I2229" s="4">
        <f t="shared" si="69"/>
        <v>0</v>
      </c>
      <c r="J2229" s="4">
        <v>115</v>
      </c>
      <c r="K2229" s="4">
        <v>0</v>
      </c>
      <c r="L2229" s="4">
        <v>0</v>
      </c>
      <c r="M2229" s="4">
        <v>0</v>
      </c>
      <c r="N2229" s="4">
        <v>0</v>
      </c>
      <c r="O2229" s="4">
        <v>0</v>
      </c>
    </row>
    <row r="2230" spans="1:15" x14ac:dyDescent="0.15">
      <c r="A2230" s="4">
        <v>2227</v>
      </c>
      <c r="B2230" s="4">
        <v>25</v>
      </c>
      <c r="C2230" s="4">
        <v>1</v>
      </c>
      <c r="D2230" s="4">
        <v>98</v>
      </c>
      <c r="E2230" s="4">
        <v>1</v>
      </c>
      <c r="F2230" s="8">
        <v>5.4</v>
      </c>
      <c r="G2230" s="4">
        <v>1</v>
      </c>
      <c r="H2230" s="4">
        <f t="shared" si="68"/>
        <v>1</v>
      </c>
      <c r="I2230" s="4">
        <f t="shared" si="69"/>
        <v>0</v>
      </c>
      <c r="J2230" s="4">
        <v>0</v>
      </c>
      <c r="K2230" s="4">
        <v>0</v>
      </c>
      <c r="L2230" s="4">
        <v>0</v>
      </c>
      <c r="M2230" s="4">
        <v>1</v>
      </c>
      <c r="N2230" s="4">
        <v>0</v>
      </c>
      <c r="O2230" s="4">
        <v>0</v>
      </c>
    </row>
    <row r="2231" spans="1:15" x14ac:dyDescent="0.15">
      <c r="A2231" s="4">
        <v>2228</v>
      </c>
      <c r="B2231" s="4">
        <v>61</v>
      </c>
      <c r="C2231" s="4">
        <v>35</v>
      </c>
      <c r="D2231" s="4">
        <v>59</v>
      </c>
      <c r="E2231" s="4">
        <v>4</v>
      </c>
      <c r="F2231" s="8">
        <v>1.7</v>
      </c>
      <c r="G2231" s="4">
        <v>2</v>
      </c>
      <c r="H2231" s="4">
        <f t="shared" si="68"/>
        <v>0</v>
      </c>
      <c r="I2231" s="4">
        <f t="shared" si="69"/>
        <v>1</v>
      </c>
      <c r="J2231" s="4">
        <v>0</v>
      </c>
      <c r="K2231" s="4">
        <v>0</v>
      </c>
      <c r="L2231" s="4">
        <v>0</v>
      </c>
      <c r="M2231" s="4">
        <v>1</v>
      </c>
      <c r="N2231" s="4">
        <v>1</v>
      </c>
      <c r="O2231" s="4">
        <v>0</v>
      </c>
    </row>
    <row r="2232" spans="1:15" x14ac:dyDescent="0.15">
      <c r="A2232" s="4">
        <v>2229</v>
      </c>
      <c r="B2232" s="4">
        <v>48</v>
      </c>
      <c r="C2232" s="4">
        <v>23</v>
      </c>
      <c r="D2232" s="4">
        <v>43</v>
      </c>
      <c r="E2232" s="4">
        <v>4</v>
      </c>
      <c r="F2232" s="8">
        <v>1.9</v>
      </c>
      <c r="G2232" s="4">
        <v>3</v>
      </c>
      <c r="H2232" s="4">
        <f t="shared" si="68"/>
        <v>0</v>
      </c>
      <c r="I2232" s="4">
        <f t="shared" si="69"/>
        <v>0</v>
      </c>
      <c r="J2232" s="4">
        <v>0</v>
      </c>
      <c r="K2232" s="4">
        <v>0</v>
      </c>
      <c r="L2232" s="4">
        <v>0</v>
      </c>
      <c r="M2232" s="4">
        <v>1</v>
      </c>
      <c r="N2232" s="4">
        <v>0</v>
      </c>
      <c r="O2232" s="4">
        <v>0</v>
      </c>
    </row>
    <row r="2233" spans="1:15" x14ac:dyDescent="0.15">
      <c r="A2233" s="4">
        <v>2230</v>
      </c>
      <c r="B2233" s="4">
        <v>46</v>
      </c>
      <c r="C2233" s="4">
        <v>22</v>
      </c>
      <c r="D2233" s="4">
        <v>72</v>
      </c>
      <c r="E2233" s="4">
        <v>4</v>
      </c>
      <c r="F2233" s="8">
        <v>1.4</v>
      </c>
      <c r="G2233" s="4">
        <v>2</v>
      </c>
      <c r="H2233" s="4">
        <f t="shared" si="68"/>
        <v>0</v>
      </c>
      <c r="I2233" s="4">
        <f t="shared" si="69"/>
        <v>1</v>
      </c>
      <c r="J2233" s="4">
        <v>149</v>
      </c>
      <c r="K2233" s="4">
        <v>0</v>
      </c>
      <c r="L2233" s="4">
        <v>0</v>
      </c>
      <c r="M2233" s="4">
        <v>1</v>
      </c>
      <c r="N2233" s="4">
        <v>1</v>
      </c>
      <c r="O2233" s="4">
        <v>0</v>
      </c>
    </row>
    <row r="2234" spans="1:15" x14ac:dyDescent="0.15">
      <c r="A2234" s="4">
        <v>2231</v>
      </c>
      <c r="B2234" s="4">
        <v>36</v>
      </c>
      <c r="C2234" s="4">
        <v>11</v>
      </c>
      <c r="D2234" s="4">
        <v>183</v>
      </c>
      <c r="E2234" s="4">
        <v>1</v>
      </c>
      <c r="F2234" s="8">
        <v>3</v>
      </c>
      <c r="G2234" s="4">
        <v>3</v>
      </c>
      <c r="H2234" s="4">
        <f t="shared" si="68"/>
        <v>0</v>
      </c>
      <c r="I2234" s="4">
        <f t="shared" si="69"/>
        <v>0</v>
      </c>
      <c r="J2234" s="4">
        <v>0</v>
      </c>
      <c r="K2234" s="4">
        <v>0</v>
      </c>
      <c r="L2234" s="4">
        <v>1</v>
      </c>
      <c r="M2234" s="4">
        <v>1</v>
      </c>
      <c r="N2234" s="4">
        <v>1</v>
      </c>
      <c r="O2234" s="4">
        <v>1</v>
      </c>
    </row>
    <row r="2235" spans="1:15" x14ac:dyDescent="0.15">
      <c r="A2235" s="4">
        <v>2232</v>
      </c>
      <c r="B2235" s="4">
        <v>46</v>
      </c>
      <c r="C2235" s="4">
        <v>20</v>
      </c>
      <c r="D2235" s="4">
        <v>134</v>
      </c>
      <c r="E2235" s="4">
        <v>1</v>
      </c>
      <c r="F2235" s="8">
        <v>5.7</v>
      </c>
      <c r="G2235" s="4">
        <v>1</v>
      </c>
      <c r="H2235" s="4">
        <f t="shared" si="68"/>
        <v>1</v>
      </c>
      <c r="I2235" s="4">
        <f t="shared" si="69"/>
        <v>0</v>
      </c>
      <c r="J2235" s="4">
        <v>146</v>
      </c>
      <c r="K2235" s="4">
        <v>1</v>
      </c>
      <c r="L2235" s="4">
        <v>0</v>
      </c>
      <c r="M2235" s="4">
        <v>1</v>
      </c>
      <c r="N2235" s="4">
        <v>0</v>
      </c>
      <c r="O2235" s="4">
        <v>0</v>
      </c>
    </row>
    <row r="2236" spans="1:15" x14ac:dyDescent="0.15">
      <c r="A2236" s="4">
        <v>2233</v>
      </c>
      <c r="B2236" s="4">
        <v>59</v>
      </c>
      <c r="C2236" s="4">
        <v>33</v>
      </c>
      <c r="D2236" s="4">
        <v>140</v>
      </c>
      <c r="E2236" s="4">
        <v>2</v>
      </c>
      <c r="F2236" s="8">
        <v>0.5</v>
      </c>
      <c r="G2236" s="4">
        <v>1</v>
      </c>
      <c r="H2236" s="4">
        <f t="shared" si="68"/>
        <v>1</v>
      </c>
      <c r="I2236" s="4">
        <f t="shared" si="69"/>
        <v>0</v>
      </c>
      <c r="J2236" s="4">
        <v>262</v>
      </c>
      <c r="K2236" s="4">
        <v>0</v>
      </c>
      <c r="L2236" s="4">
        <v>0</v>
      </c>
      <c r="M2236" s="4">
        <v>1</v>
      </c>
      <c r="N2236" s="4">
        <v>0</v>
      </c>
      <c r="O2236" s="4">
        <v>0</v>
      </c>
    </row>
    <row r="2237" spans="1:15" x14ac:dyDescent="0.15">
      <c r="A2237" s="4">
        <v>2234</v>
      </c>
      <c r="B2237" s="4">
        <v>59</v>
      </c>
      <c r="C2237" s="4">
        <v>35</v>
      </c>
      <c r="D2237" s="4">
        <v>39</v>
      </c>
      <c r="E2237" s="4">
        <v>1</v>
      </c>
      <c r="F2237" s="8">
        <v>1.8</v>
      </c>
      <c r="G2237" s="4">
        <v>3</v>
      </c>
      <c r="H2237" s="4">
        <f t="shared" si="68"/>
        <v>0</v>
      </c>
      <c r="I2237" s="4">
        <f t="shared" si="69"/>
        <v>0</v>
      </c>
      <c r="J2237" s="4">
        <v>0</v>
      </c>
      <c r="K2237" s="4">
        <v>0</v>
      </c>
      <c r="L2237" s="4">
        <v>0</v>
      </c>
      <c r="M2237" s="4">
        <v>1</v>
      </c>
      <c r="N2237" s="4">
        <v>0</v>
      </c>
      <c r="O2237" s="4">
        <v>0</v>
      </c>
    </row>
    <row r="2238" spans="1:15" x14ac:dyDescent="0.15">
      <c r="A2238" s="4">
        <v>2235</v>
      </c>
      <c r="B2238" s="4">
        <v>36</v>
      </c>
      <c r="C2238" s="4">
        <v>12</v>
      </c>
      <c r="D2238" s="4">
        <v>35</v>
      </c>
      <c r="E2238" s="4">
        <v>4</v>
      </c>
      <c r="F2238" s="8">
        <v>0.4</v>
      </c>
      <c r="G2238" s="4">
        <v>2</v>
      </c>
      <c r="H2238" s="4">
        <f t="shared" si="68"/>
        <v>0</v>
      </c>
      <c r="I2238" s="4">
        <f t="shared" si="69"/>
        <v>1</v>
      </c>
      <c r="J2238" s="4">
        <v>0</v>
      </c>
      <c r="K2238" s="4">
        <v>0</v>
      </c>
      <c r="L2238" s="4">
        <v>0</v>
      </c>
      <c r="M2238" s="4">
        <v>1</v>
      </c>
      <c r="N2238" s="4">
        <v>0</v>
      </c>
      <c r="O2238" s="4">
        <v>0</v>
      </c>
    </row>
    <row r="2239" spans="1:15" x14ac:dyDescent="0.15">
      <c r="A2239" s="4">
        <v>2236</v>
      </c>
      <c r="B2239" s="4">
        <v>63</v>
      </c>
      <c r="C2239" s="4">
        <v>37</v>
      </c>
      <c r="D2239" s="4">
        <v>141</v>
      </c>
      <c r="E2239" s="4">
        <v>2</v>
      </c>
      <c r="F2239" s="8">
        <v>6.9</v>
      </c>
      <c r="G2239" s="4">
        <v>1</v>
      </c>
      <c r="H2239" s="4">
        <f t="shared" si="68"/>
        <v>1</v>
      </c>
      <c r="I2239" s="4">
        <f t="shared" si="69"/>
        <v>0</v>
      </c>
      <c r="J2239" s="4">
        <v>0</v>
      </c>
      <c r="K2239" s="4">
        <v>0</v>
      </c>
      <c r="L2239" s="4">
        <v>0</v>
      </c>
      <c r="M2239" s="4">
        <v>1</v>
      </c>
      <c r="N2239" s="4">
        <v>1</v>
      </c>
      <c r="O2239" s="4">
        <v>0</v>
      </c>
    </row>
    <row r="2240" spans="1:15" x14ac:dyDescent="0.15">
      <c r="A2240" s="4">
        <v>2237</v>
      </c>
      <c r="B2240" s="4">
        <v>51</v>
      </c>
      <c r="C2240" s="4">
        <v>24</v>
      </c>
      <c r="D2240" s="4">
        <v>23</v>
      </c>
      <c r="E2240" s="4">
        <v>1</v>
      </c>
      <c r="F2240" s="8">
        <v>0.5</v>
      </c>
      <c r="G2240" s="4">
        <v>2</v>
      </c>
      <c r="H2240" s="4">
        <f t="shared" si="68"/>
        <v>0</v>
      </c>
      <c r="I2240" s="4">
        <f t="shared" si="69"/>
        <v>1</v>
      </c>
      <c r="J2240" s="4">
        <v>0</v>
      </c>
      <c r="K2240" s="4">
        <v>0</v>
      </c>
      <c r="L2240" s="4">
        <v>0</v>
      </c>
      <c r="M2240" s="4">
        <v>1</v>
      </c>
      <c r="N2240" s="4">
        <v>0</v>
      </c>
      <c r="O2240" s="4">
        <v>0</v>
      </c>
    </row>
    <row r="2241" spans="1:15" x14ac:dyDescent="0.15">
      <c r="A2241" s="4">
        <v>2238</v>
      </c>
      <c r="B2241" s="4">
        <v>30</v>
      </c>
      <c r="C2241" s="4">
        <v>5</v>
      </c>
      <c r="D2241" s="4">
        <v>134</v>
      </c>
      <c r="E2241" s="4">
        <v>1</v>
      </c>
      <c r="F2241" s="8">
        <v>0</v>
      </c>
      <c r="G2241" s="4">
        <v>1</v>
      </c>
      <c r="H2241" s="4">
        <f t="shared" si="68"/>
        <v>1</v>
      </c>
      <c r="I2241" s="4">
        <f t="shared" si="69"/>
        <v>0</v>
      </c>
      <c r="J2241" s="4">
        <v>0</v>
      </c>
      <c r="K2241" s="4">
        <v>0</v>
      </c>
      <c r="L2241" s="4">
        <v>0</v>
      </c>
      <c r="M2241" s="4">
        <v>1</v>
      </c>
      <c r="N2241" s="4">
        <v>1</v>
      </c>
      <c r="O2241" s="4">
        <v>0</v>
      </c>
    </row>
    <row r="2242" spans="1:15" x14ac:dyDescent="0.15">
      <c r="A2242" s="4">
        <v>2239</v>
      </c>
      <c r="B2242" s="4">
        <v>48</v>
      </c>
      <c r="C2242" s="4">
        <v>22</v>
      </c>
      <c r="D2242" s="4">
        <v>35</v>
      </c>
      <c r="E2242" s="4">
        <v>1</v>
      </c>
      <c r="F2242" s="8">
        <v>1.4</v>
      </c>
      <c r="G2242" s="4">
        <v>3</v>
      </c>
      <c r="H2242" s="4">
        <f t="shared" si="68"/>
        <v>0</v>
      </c>
      <c r="I2242" s="4">
        <f t="shared" si="69"/>
        <v>0</v>
      </c>
      <c r="J2242" s="4">
        <v>0</v>
      </c>
      <c r="K2242" s="4">
        <v>0</v>
      </c>
      <c r="L2242" s="4">
        <v>0</v>
      </c>
      <c r="M2242" s="4">
        <v>1</v>
      </c>
      <c r="N2242" s="4">
        <v>0</v>
      </c>
      <c r="O2242" s="4">
        <v>0</v>
      </c>
    </row>
    <row r="2243" spans="1:15" x14ac:dyDescent="0.15">
      <c r="A2243" s="4">
        <v>2240</v>
      </c>
      <c r="B2243" s="4">
        <v>55</v>
      </c>
      <c r="C2243" s="4">
        <v>29</v>
      </c>
      <c r="D2243" s="4">
        <v>42</v>
      </c>
      <c r="E2243" s="4">
        <v>4</v>
      </c>
      <c r="F2243" s="8">
        <v>2.5</v>
      </c>
      <c r="G2243" s="4">
        <v>1</v>
      </c>
      <c r="H2243" s="4">
        <f t="shared" si="68"/>
        <v>1</v>
      </c>
      <c r="I2243" s="4">
        <f t="shared" si="69"/>
        <v>0</v>
      </c>
      <c r="J2243" s="4">
        <v>0</v>
      </c>
      <c r="K2243" s="4">
        <v>1</v>
      </c>
      <c r="L2243" s="4">
        <v>0</v>
      </c>
      <c r="M2243" s="4">
        <v>0</v>
      </c>
      <c r="N2243" s="4">
        <v>0</v>
      </c>
      <c r="O2243" s="4">
        <v>0</v>
      </c>
    </row>
    <row r="2244" spans="1:15" x14ac:dyDescent="0.15">
      <c r="A2244" s="4">
        <v>2241</v>
      </c>
      <c r="B2244" s="4">
        <v>41</v>
      </c>
      <c r="C2244" s="4">
        <v>17</v>
      </c>
      <c r="D2244" s="4">
        <v>81</v>
      </c>
      <c r="E2244" s="4">
        <v>4</v>
      </c>
      <c r="F2244" s="8">
        <v>0.2</v>
      </c>
      <c r="G2244" s="4">
        <v>3</v>
      </c>
      <c r="H2244" s="4">
        <f t="shared" si="68"/>
        <v>0</v>
      </c>
      <c r="I2244" s="4">
        <f t="shared" si="69"/>
        <v>0</v>
      </c>
      <c r="J2244" s="4">
        <v>167</v>
      </c>
      <c r="K2244" s="4">
        <v>1</v>
      </c>
      <c r="L2244" s="4">
        <v>0</v>
      </c>
      <c r="M2244" s="4">
        <v>0</v>
      </c>
      <c r="N2244" s="4">
        <v>0</v>
      </c>
      <c r="O2244" s="4">
        <v>0</v>
      </c>
    </row>
    <row r="2245" spans="1:15" x14ac:dyDescent="0.15">
      <c r="A2245" s="4">
        <v>2242</v>
      </c>
      <c r="B2245" s="4">
        <v>26</v>
      </c>
      <c r="C2245" s="4">
        <v>0</v>
      </c>
      <c r="D2245" s="4">
        <v>14</v>
      </c>
      <c r="E2245" s="4">
        <v>4</v>
      </c>
      <c r="F2245" s="8">
        <v>0.4</v>
      </c>
      <c r="G2245" s="4">
        <v>1</v>
      </c>
      <c r="H2245" s="4">
        <f t="shared" ref="H2245:H2308" si="70">IF(G2245=1,1,0)</f>
        <v>1</v>
      </c>
      <c r="I2245" s="4">
        <f t="shared" ref="I2245:I2308" si="71">IF(G2245=2,1,0)</f>
        <v>0</v>
      </c>
      <c r="J2245" s="4">
        <v>94</v>
      </c>
      <c r="K2245" s="4">
        <v>0</v>
      </c>
      <c r="L2245" s="4">
        <v>0</v>
      </c>
      <c r="M2245" s="4">
        <v>1</v>
      </c>
      <c r="N2245" s="4">
        <v>0</v>
      </c>
      <c r="O2245" s="4">
        <v>0</v>
      </c>
    </row>
    <row r="2246" spans="1:15" x14ac:dyDescent="0.15">
      <c r="A2246" s="4">
        <v>2243</v>
      </c>
      <c r="B2246" s="4">
        <v>41</v>
      </c>
      <c r="C2246" s="4">
        <v>17</v>
      </c>
      <c r="D2246" s="4">
        <v>45</v>
      </c>
      <c r="E2246" s="4">
        <v>1</v>
      </c>
      <c r="F2246" s="8">
        <v>1.8</v>
      </c>
      <c r="G2246" s="4">
        <v>1</v>
      </c>
      <c r="H2246" s="4">
        <f t="shared" si="70"/>
        <v>1</v>
      </c>
      <c r="I2246" s="4">
        <f t="shared" si="71"/>
        <v>0</v>
      </c>
      <c r="J2246" s="4">
        <v>172</v>
      </c>
      <c r="K2246" s="4">
        <v>1</v>
      </c>
      <c r="L2246" s="4">
        <v>0</v>
      </c>
      <c r="M2246" s="4">
        <v>1</v>
      </c>
      <c r="N2246" s="4">
        <v>0</v>
      </c>
      <c r="O2246" s="4">
        <v>0</v>
      </c>
    </row>
    <row r="2247" spans="1:15" x14ac:dyDescent="0.15">
      <c r="A2247" s="4">
        <v>2244</v>
      </c>
      <c r="B2247" s="4">
        <v>54</v>
      </c>
      <c r="C2247" s="4">
        <v>28</v>
      </c>
      <c r="D2247" s="4">
        <v>79</v>
      </c>
      <c r="E2247" s="4">
        <v>3</v>
      </c>
      <c r="F2247" s="8">
        <v>1.7</v>
      </c>
      <c r="G2247" s="4">
        <v>2</v>
      </c>
      <c r="H2247" s="4">
        <f t="shared" si="70"/>
        <v>0</v>
      </c>
      <c r="I2247" s="4">
        <f t="shared" si="71"/>
        <v>1</v>
      </c>
      <c r="J2247" s="4">
        <v>150</v>
      </c>
      <c r="K2247" s="4">
        <v>0</v>
      </c>
      <c r="L2247" s="4">
        <v>0</v>
      </c>
      <c r="M2247" s="4">
        <v>1</v>
      </c>
      <c r="N2247" s="4">
        <v>1</v>
      </c>
      <c r="O2247" s="4">
        <v>0</v>
      </c>
    </row>
    <row r="2248" spans="1:15" x14ac:dyDescent="0.15">
      <c r="A2248" s="4">
        <v>2245</v>
      </c>
      <c r="B2248" s="4">
        <v>57</v>
      </c>
      <c r="C2248" s="4">
        <v>31</v>
      </c>
      <c r="D2248" s="4">
        <v>53</v>
      </c>
      <c r="E2248" s="4">
        <v>1</v>
      </c>
      <c r="F2248" s="8">
        <v>0.8</v>
      </c>
      <c r="G2248" s="4">
        <v>2</v>
      </c>
      <c r="H2248" s="4">
        <f t="shared" si="70"/>
        <v>0</v>
      </c>
      <c r="I2248" s="4">
        <f t="shared" si="71"/>
        <v>1</v>
      </c>
      <c r="J2248" s="4">
        <v>120</v>
      </c>
      <c r="K2248" s="4">
        <v>0</v>
      </c>
      <c r="L2248" s="4">
        <v>0</v>
      </c>
      <c r="M2248" s="4">
        <v>0</v>
      </c>
      <c r="N2248" s="4">
        <v>0</v>
      </c>
      <c r="O2248" s="4">
        <v>0</v>
      </c>
    </row>
    <row r="2249" spans="1:15" x14ac:dyDescent="0.15">
      <c r="A2249" s="4">
        <v>2246</v>
      </c>
      <c r="B2249" s="4">
        <v>54</v>
      </c>
      <c r="C2249" s="4">
        <v>28</v>
      </c>
      <c r="D2249" s="4">
        <v>33</v>
      </c>
      <c r="E2249" s="4">
        <v>2</v>
      </c>
      <c r="F2249" s="8">
        <v>0.7</v>
      </c>
      <c r="G2249" s="4">
        <v>2</v>
      </c>
      <c r="H2249" s="4">
        <f t="shared" si="70"/>
        <v>0</v>
      </c>
      <c r="I2249" s="4">
        <f t="shared" si="71"/>
        <v>1</v>
      </c>
      <c r="J2249" s="4">
        <v>0</v>
      </c>
      <c r="K2249" s="4">
        <v>0</v>
      </c>
      <c r="L2249" s="4">
        <v>0</v>
      </c>
      <c r="M2249" s="4">
        <v>0</v>
      </c>
      <c r="N2249" s="4">
        <v>1</v>
      </c>
      <c r="O2249" s="4">
        <v>0</v>
      </c>
    </row>
    <row r="2250" spans="1:15" x14ac:dyDescent="0.15">
      <c r="A2250" s="4">
        <v>2247</v>
      </c>
      <c r="B2250" s="4">
        <v>35</v>
      </c>
      <c r="C2250" s="4">
        <v>11</v>
      </c>
      <c r="D2250" s="4">
        <v>190</v>
      </c>
      <c r="E2250" s="4">
        <v>3</v>
      </c>
      <c r="F2250" s="8">
        <v>3.1</v>
      </c>
      <c r="G2250" s="4">
        <v>2</v>
      </c>
      <c r="H2250" s="4">
        <f t="shared" si="70"/>
        <v>0</v>
      </c>
      <c r="I2250" s="4">
        <f t="shared" si="71"/>
        <v>1</v>
      </c>
      <c r="J2250" s="4">
        <v>266</v>
      </c>
      <c r="K2250" s="4">
        <v>0</v>
      </c>
      <c r="L2250" s="4">
        <v>0</v>
      </c>
      <c r="M2250" s="4">
        <v>0</v>
      </c>
      <c r="N2250" s="4">
        <v>0</v>
      </c>
      <c r="O2250" s="4">
        <v>1</v>
      </c>
    </row>
    <row r="2251" spans="1:15" x14ac:dyDescent="0.15">
      <c r="A2251" s="4">
        <v>2248</v>
      </c>
      <c r="B2251" s="4">
        <v>60</v>
      </c>
      <c r="C2251" s="4">
        <v>34</v>
      </c>
      <c r="D2251" s="4">
        <v>60</v>
      </c>
      <c r="E2251" s="4">
        <v>1</v>
      </c>
      <c r="F2251" s="8">
        <v>2.5</v>
      </c>
      <c r="G2251" s="4">
        <v>3</v>
      </c>
      <c r="H2251" s="4">
        <f t="shared" si="70"/>
        <v>0</v>
      </c>
      <c r="I2251" s="4">
        <f t="shared" si="71"/>
        <v>0</v>
      </c>
      <c r="J2251" s="4">
        <v>103</v>
      </c>
      <c r="K2251" s="4">
        <v>0</v>
      </c>
      <c r="L2251" s="4">
        <v>0</v>
      </c>
      <c r="M2251" s="4">
        <v>0</v>
      </c>
      <c r="N2251" s="4">
        <v>0</v>
      </c>
      <c r="O2251" s="4">
        <v>0</v>
      </c>
    </row>
    <row r="2252" spans="1:15" x14ac:dyDescent="0.15">
      <c r="A2252" s="4">
        <v>2249</v>
      </c>
      <c r="B2252" s="4">
        <v>63</v>
      </c>
      <c r="C2252" s="4">
        <v>37</v>
      </c>
      <c r="D2252" s="4">
        <v>8</v>
      </c>
      <c r="E2252" s="4">
        <v>1</v>
      </c>
      <c r="F2252" s="8">
        <v>0.8</v>
      </c>
      <c r="G2252" s="4">
        <v>2</v>
      </c>
      <c r="H2252" s="4">
        <f t="shared" si="70"/>
        <v>0</v>
      </c>
      <c r="I2252" s="4">
        <f t="shared" si="71"/>
        <v>1</v>
      </c>
      <c r="J2252" s="4">
        <v>97</v>
      </c>
      <c r="K2252" s="4">
        <v>0</v>
      </c>
      <c r="L2252" s="4">
        <v>0</v>
      </c>
      <c r="M2252" s="4">
        <v>1</v>
      </c>
      <c r="N2252" s="4">
        <v>0</v>
      </c>
      <c r="O2252" s="4">
        <v>0</v>
      </c>
    </row>
    <row r="2253" spans="1:15" x14ac:dyDescent="0.15">
      <c r="A2253" s="4">
        <v>2250</v>
      </c>
      <c r="B2253" s="4">
        <v>41</v>
      </c>
      <c r="C2253" s="4">
        <v>14</v>
      </c>
      <c r="D2253" s="4">
        <v>38</v>
      </c>
      <c r="E2253" s="4">
        <v>3</v>
      </c>
      <c r="F2253" s="8">
        <v>1</v>
      </c>
      <c r="G2253" s="4">
        <v>2</v>
      </c>
      <c r="H2253" s="4">
        <f t="shared" si="70"/>
        <v>0</v>
      </c>
      <c r="I2253" s="4">
        <f t="shared" si="71"/>
        <v>1</v>
      </c>
      <c r="J2253" s="4">
        <v>150</v>
      </c>
      <c r="K2253" s="4">
        <v>0</v>
      </c>
      <c r="L2253" s="4">
        <v>0</v>
      </c>
      <c r="M2253" s="4">
        <v>1</v>
      </c>
      <c r="N2253" s="4">
        <v>0</v>
      </c>
      <c r="O2253" s="4">
        <v>0</v>
      </c>
    </row>
    <row r="2254" spans="1:15" x14ac:dyDescent="0.15">
      <c r="A2254" s="4">
        <v>2251</v>
      </c>
      <c r="B2254" s="4">
        <v>46</v>
      </c>
      <c r="C2254" s="4">
        <v>22</v>
      </c>
      <c r="D2254" s="4">
        <v>154</v>
      </c>
      <c r="E2254" s="4">
        <v>1</v>
      </c>
      <c r="F2254" s="8">
        <v>5</v>
      </c>
      <c r="G2254" s="4">
        <v>1</v>
      </c>
      <c r="H2254" s="4">
        <f t="shared" si="70"/>
        <v>1</v>
      </c>
      <c r="I2254" s="4">
        <f t="shared" si="71"/>
        <v>0</v>
      </c>
      <c r="J2254" s="4">
        <v>0</v>
      </c>
      <c r="K2254" s="4">
        <v>0</v>
      </c>
      <c r="L2254" s="4">
        <v>0</v>
      </c>
      <c r="M2254" s="4">
        <v>1</v>
      </c>
      <c r="N2254" s="4">
        <v>0</v>
      </c>
      <c r="O2254" s="4">
        <v>0</v>
      </c>
    </row>
    <row r="2255" spans="1:15" x14ac:dyDescent="0.15">
      <c r="A2255" s="4">
        <v>2252</v>
      </c>
      <c r="B2255" s="4">
        <v>31</v>
      </c>
      <c r="C2255" s="4">
        <v>5</v>
      </c>
      <c r="D2255" s="4">
        <v>54</v>
      </c>
      <c r="E2255" s="4">
        <v>4</v>
      </c>
      <c r="F2255" s="8">
        <v>2.2000000000000002</v>
      </c>
      <c r="G2255" s="4">
        <v>2</v>
      </c>
      <c r="H2255" s="4">
        <f t="shared" si="70"/>
        <v>0</v>
      </c>
      <c r="I2255" s="4">
        <f t="shared" si="71"/>
        <v>1</v>
      </c>
      <c r="J2255" s="4">
        <v>0</v>
      </c>
      <c r="K2255" s="4">
        <v>0</v>
      </c>
      <c r="L2255" s="4">
        <v>0</v>
      </c>
      <c r="M2255" s="4">
        <v>0</v>
      </c>
      <c r="N2255" s="4">
        <v>0</v>
      </c>
      <c r="O2255" s="4">
        <v>0</v>
      </c>
    </row>
    <row r="2256" spans="1:15" x14ac:dyDescent="0.15">
      <c r="A2256" s="4">
        <v>2253</v>
      </c>
      <c r="B2256" s="4">
        <v>58</v>
      </c>
      <c r="C2256" s="4">
        <v>32</v>
      </c>
      <c r="D2256" s="4">
        <v>41</v>
      </c>
      <c r="E2256" s="4">
        <v>3</v>
      </c>
      <c r="F2256" s="8">
        <v>1.4</v>
      </c>
      <c r="G2256" s="4">
        <v>1</v>
      </c>
      <c r="H2256" s="4">
        <f t="shared" si="70"/>
        <v>1</v>
      </c>
      <c r="I2256" s="4">
        <f t="shared" si="71"/>
        <v>0</v>
      </c>
      <c r="J2256" s="4">
        <v>0</v>
      </c>
      <c r="K2256" s="4">
        <v>0</v>
      </c>
      <c r="L2256" s="4">
        <v>0</v>
      </c>
      <c r="M2256" s="4">
        <v>1</v>
      </c>
      <c r="N2256" s="4">
        <v>0</v>
      </c>
      <c r="O2256" s="4">
        <v>0</v>
      </c>
    </row>
    <row r="2257" spans="1:15" x14ac:dyDescent="0.15">
      <c r="A2257" s="4">
        <v>2254</v>
      </c>
      <c r="B2257" s="4">
        <v>59</v>
      </c>
      <c r="C2257" s="4">
        <v>35</v>
      </c>
      <c r="D2257" s="4">
        <v>25</v>
      </c>
      <c r="E2257" s="4">
        <v>2</v>
      </c>
      <c r="F2257" s="8">
        <v>0.3</v>
      </c>
      <c r="G2257" s="4">
        <v>1</v>
      </c>
      <c r="H2257" s="4">
        <f t="shared" si="70"/>
        <v>1</v>
      </c>
      <c r="I2257" s="4">
        <f t="shared" si="71"/>
        <v>0</v>
      </c>
      <c r="J2257" s="4">
        <v>75</v>
      </c>
      <c r="K2257" s="4">
        <v>0</v>
      </c>
      <c r="L2257" s="4">
        <v>0</v>
      </c>
      <c r="M2257" s="4">
        <v>1</v>
      </c>
      <c r="N2257" s="4">
        <v>0</v>
      </c>
      <c r="O2257" s="4">
        <v>0</v>
      </c>
    </row>
    <row r="2258" spans="1:15" x14ac:dyDescent="0.15">
      <c r="A2258" s="4">
        <v>2255</v>
      </c>
      <c r="B2258" s="4">
        <v>46</v>
      </c>
      <c r="C2258" s="4">
        <v>22</v>
      </c>
      <c r="D2258" s="4">
        <v>53</v>
      </c>
      <c r="E2258" s="4">
        <v>2</v>
      </c>
      <c r="F2258" s="8">
        <v>1.7</v>
      </c>
      <c r="G2258" s="4">
        <v>1</v>
      </c>
      <c r="H2258" s="4">
        <f t="shared" si="70"/>
        <v>1</v>
      </c>
      <c r="I2258" s="4">
        <f t="shared" si="71"/>
        <v>0</v>
      </c>
      <c r="J2258" s="4">
        <v>109</v>
      </c>
      <c r="K2258" s="4">
        <v>0</v>
      </c>
      <c r="L2258" s="4">
        <v>0</v>
      </c>
      <c r="M2258" s="4">
        <v>0</v>
      </c>
      <c r="N2258" s="4">
        <v>0</v>
      </c>
      <c r="O2258" s="4">
        <v>0</v>
      </c>
    </row>
    <row r="2259" spans="1:15" x14ac:dyDescent="0.15">
      <c r="A2259" s="4">
        <v>2256</v>
      </c>
      <c r="B2259" s="4">
        <v>33</v>
      </c>
      <c r="C2259" s="4">
        <v>9</v>
      </c>
      <c r="D2259" s="4">
        <v>79</v>
      </c>
      <c r="E2259" s="4">
        <v>1</v>
      </c>
      <c r="F2259" s="8">
        <v>0.1</v>
      </c>
      <c r="G2259" s="4">
        <v>1</v>
      </c>
      <c r="H2259" s="4">
        <f t="shared" si="70"/>
        <v>1</v>
      </c>
      <c r="I2259" s="4">
        <f t="shared" si="71"/>
        <v>0</v>
      </c>
      <c r="J2259" s="4">
        <v>0</v>
      </c>
      <c r="K2259" s="4">
        <v>0</v>
      </c>
      <c r="L2259" s="4">
        <v>0</v>
      </c>
      <c r="M2259" s="4">
        <v>1</v>
      </c>
      <c r="N2259" s="4">
        <v>0</v>
      </c>
      <c r="O2259" s="4">
        <v>0</v>
      </c>
    </row>
    <row r="2260" spans="1:15" x14ac:dyDescent="0.15">
      <c r="A2260" s="4">
        <v>2257</v>
      </c>
      <c r="B2260" s="4">
        <v>56</v>
      </c>
      <c r="C2260" s="4">
        <v>31</v>
      </c>
      <c r="D2260" s="4">
        <v>13</v>
      </c>
      <c r="E2260" s="4">
        <v>4</v>
      </c>
      <c r="F2260" s="8">
        <v>0.9</v>
      </c>
      <c r="G2260" s="4">
        <v>2</v>
      </c>
      <c r="H2260" s="4">
        <f t="shared" si="70"/>
        <v>0</v>
      </c>
      <c r="I2260" s="4">
        <f t="shared" si="71"/>
        <v>1</v>
      </c>
      <c r="J2260" s="4">
        <v>76</v>
      </c>
      <c r="K2260" s="4">
        <v>0</v>
      </c>
      <c r="L2260" s="4">
        <v>1</v>
      </c>
      <c r="M2260" s="4">
        <v>1</v>
      </c>
      <c r="N2260" s="4">
        <v>1</v>
      </c>
      <c r="O2260" s="4">
        <v>0</v>
      </c>
    </row>
    <row r="2261" spans="1:15" x14ac:dyDescent="0.15">
      <c r="A2261" s="4">
        <v>2258</v>
      </c>
      <c r="B2261" s="4">
        <v>47</v>
      </c>
      <c r="C2261" s="4">
        <v>23</v>
      </c>
      <c r="D2261" s="4">
        <v>130</v>
      </c>
      <c r="E2261" s="4">
        <v>2</v>
      </c>
      <c r="F2261" s="8">
        <v>1.4</v>
      </c>
      <c r="G2261" s="4">
        <v>1</v>
      </c>
      <c r="H2261" s="4">
        <f t="shared" si="70"/>
        <v>1</v>
      </c>
      <c r="I2261" s="4">
        <f t="shared" si="71"/>
        <v>0</v>
      </c>
      <c r="J2261" s="4">
        <v>0</v>
      </c>
      <c r="K2261" s="4">
        <v>0</v>
      </c>
      <c r="L2261" s="4">
        <v>0</v>
      </c>
      <c r="M2261" s="4">
        <v>0</v>
      </c>
      <c r="N2261" s="4">
        <v>0</v>
      </c>
      <c r="O2261" s="4">
        <v>0</v>
      </c>
    </row>
    <row r="2262" spans="1:15" x14ac:dyDescent="0.15">
      <c r="A2262" s="4">
        <v>2259</v>
      </c>
      <c r="B2262" s="4">
        <v>59</v>
      </c>
      <c r="C2262" s="4">
        <v>33</v>
      </c>
      <c r="D2262" s="4">
        <v>93</v>
      </c>
      <c r="E2262" s="4">
        <v>2</v>
      </c>
      <c r="F2262" s="8">
        <v>0.7</v>
      </c>
      <c r="G2262" s="4">
        <v>2</v>
      </c>
      <c r="H2262" s="4">
        <f t="shared" si="70"/>
        <v>0</v>
      </c>
      <c r="I2262" s="4">
        <f t="shared" si="71"/>
        <v>1</v>
      </c>
      <c r="J2262" s="4">
        <v>0</v>
      </c>
      <c r="K2262" s="4">
        <v>0</v>
      </c>
      <c r="L2262" s="4">
        <v>0</v>
      </c>
      <c r="M2262" s="4">
        <v>0</v>
      </c>
      <c r="N2262" s="4">
        <v>0</v>
      </c>
      <c r="O2262" s="4">
        <v>0</v>
      </c>
    </row>
    <row r="2263" spans="1:15" x14ac:dyDescent="0.15">
      <c r="A2263" s="4">
        <v>2260</v>
      </c>
      <c r="B2263" s="4">
        <v>24</v>
      </c>
      <c r="C2263" s="4">
        <v>0</v>
      </c>
      <c r="D2263" s="4">
        <v>82</v>
      </c>
      <c r="E2263" s="4">
        <v>3</v>
      </c>
      <c r="F2263" s="8">
        <v>0.8</v>
      </c>
      <c r="G2263" s="4">
        <v>1</v>
      </c>
      <c r="H2263" s="4">
        <f t="shared" si="70"/>
        <v>1</v>
      </c>
      <c r="I2263" s="4">
        <f t="shared" si="71"/>
        <v>0</v>
      </c>
      <c r="J2263" s="4">
        <v>0</v>
      </c>
      <c r="K2263" s="4">
        <v>0</v>
      </c>
      <c r="L2263" s="4">
        <v>0</v>
      </c>
      <c r="M2263" s="4">
        <v>1</v>
      </c>
      <c r="N2263" s="4">
        <v>0</v>
      </c>
      <c r="O2263" s="4">
        <v>0</v>
      </c>
    </row>
    <row r="2264" spans="1:15" x14ac:dyDescent="0.15">
      <c r="A2264" s="4">
        <v>2261</v>
      </c>
      <c r="B2264" s="4">
        <v>39</v>
      </c>
      <c r="C2264" s="4">
        <v>14</v>
      </c>
      <c r="D2264" s="4">
        <v>15</v>
      </c>
      <c r="E2264" s="4">
        <v>2</v>
      </c>
      <c r="F2264" s="8">
        <v>0.3</v>
      </c>
      <c r="G2264" s="4">
        <v>2</v>
      </c>
      <c r="H2264" s="4">
        <f t="shared" si="70"/>
        <v>0</v>
      </c>
      <c r="I2264" s="4">
        <f t="shared" si="71"/>
        <v>1</v>
      </c>
      <c r="J2264" s="4">
        <v>92</v>
      </c>
      <c r="K2264" s="4">
        <v>0</v>
      </c>
      <c r="L2264" s="4">
        <v>0</v>
      </c>
      <c r="M2264" s="4">
        <v>0</v>
      </c>
      <c r="N2264" s="4">
        <v>0</v>
      </c>
      <c r="O2264" s="4">
        <v>0</v>
      </c>
    </row>
    <row r="2265" spans="1:15" x14ac:dyDescent="0.15">
      <c r="A2265" s="4">
        <v>2262</v>
      </c>
      <c r="B2265" s="4">
        <v>30</v>
      </c>
      <c r="C2265" s="4">
        <v>3</v>
      </c>
      <c r="D2265" s="4">
        <v>150</v>
      </c>
      <c r="E2265" s="4">
        <v>4</v>
      </c>
      <c r="F2265" s="8">
        <v>5</v>
      </c>
      <c r="G2265" s="4">
        <v>2</v>
      </c>
      <c r="H2265" s="4">
        <f t="shared" si="70"/>
        <v>0</v>
      </c>
      <c r="I2265" s="4">
        <f t="shared" si="71"/>
        <v>1</v>
      </c>
      <c r="J2265" s="4">
        <v>0</v>
      </c>
      <c r="K2265" s="4">
        <v>0</v>
      </c>
      <c r="L2265" s="4">
        <v>0</v>
      </c>
      <c r="M2265" s="4">
        <v>1</v>
      </c>
      <c r="N2265" s="4">
        <v>0</v>
      </c>
      <c r="O2265" s="4">
        <v>1</v>
      </c>
    </row>
    <row r="2266" spans="1:15" x14ac:dyDescent="0.15">
      <c r="A2266" s="4">
        <v>2263</v>
      </c>
      <c r="B2266" s="4">
        <v>55</v>
      </c>
      <c r="C2266" s="4">
        <v>29</v>
      </c>
      <c r="D2266" s="4">
        <v>131</v>
      </c>
      <c r="E2266" s="4">
        <v>2</v>
      </c>
      <c r="F2266" s="8">
        <v>0.7</v>
      </c>
      <c r="G2266" s="4">
        <v>2</v>
      </c>
      <c r="H2266" s="4">
        <f t="shared" si="70"/>
        <v>0</v>
      </c>
      <c r="I2266" s="4">
        <f t="shared" si="71"/>
        <v>1</v>
      </c>
      <c r="J2266" s="4">
        <v>0</v>
      </c>
      <c r="K2266" s="4">
        <v>0</v>
      </c>
      <c r="L2266" s="4">
        <v>0</v>
      </c>
      <c r="M2266" s="4">
        <v>0</v>
      </c>
      <c r="N2266" s="4">
        <v>1</v>
      </c>
      <c r="O2266" s="4">
        <v>1</v>
      </c>
    </row>
    <row r="2267" spans="1:15" x14ac:dyDescent="0.15">
      <c r="A2267" s="4">
        <v>2264</v>
      </c>
      <c r="B2267" s="4">
        <v>47</v>
      </c>
      <c r="C2267" s="4">
        <v>21</v>
      </c>
      <c r="D2267" s="4">
        <v>28</v>
      </c>
      <c r="E2267" s="4">
        <v>3</v>
      </c>
      <c r="F2267" s="8">
        <v>1.5</v>
      </c>
      <c r="G2267" s="4">
        <v>1</v>
      </c>
      <c r="H2267" s="4">
        <f t="shared" si="70"/>
        <v>1</v>
      </c>
      <c r="I2267" s="4">
        <f t="shared" si="71"/>
        <v>0</v>
      </c>
      <c r="J2267" s="4">
        <v>0</v>
      </c>
      <c r="K2267" s="4">
        <v>0</v>
      </c>
      <c r="L2267" s="4">
        <v>0</v>
      </c>
      <c r="M2267" s="4">
        <v>1</v>
      </c>
      <c r="N2267" s="4">
        <v>0</v>
      </c>
      <c r="O2267" s="4">
        <v>0</v>
      </c>
    </row>
    <row r="2268" spans="1:15" x14ac:dyDescent="0.15">
      <c r="A2268" s="4">
        <v>2265</v>
      </c>
      <c r="B2268" s="4">
        <v>35</v>
      </c>
      <c r="C2268" s="4">
        <v>11</v>
      </c>
      <c r="D2268" s="4">
        <v>9</v>
      </c>
      <c r="E2268" s="4">
        <v>4</v>
      </c>
      <c r="F2268" s="8">
        <v>0.7</v>
      </c>
      <c r="G2268" s="4">
        <v>2</v>
      </c>
      <c r="H2268" s="4">
        <f t="shared" si="70"/>
        <v>0</v>
      </c>
      <c r="I2268" s="4">
        <f t="shared" si="71"/>
        <v>1</v>
      </c>
      <c r="J2268" s="4">
        <v>0</v>
      </c>
      <c r="K2268" s="4">
        <v>0</v>
      </c>
      <c r="L2268" s="4">
        <v>0</v>
      </c>
      <c r="M2268" s="4">
        <v>1</v>
      </c>
      <c r="N2268" s="4">
        <v>0</v>
      </c>
      <c r="O2268" s="4">
        <v>0</v>
      </c>
    </row>
    <row r="2269" spans="1:15" x14ac:dyDescent="0.15">
      <c r="A2269" s="4">
        <v>2266</v>
      </c>
      <c r="B2269" s="4">
        <v>47</v>
      </c>
      <c r="C2269" s="4">
        <v>23</v>
      </c>
      <c r="D2269" s="4">
        <v>88</v>
      </c>
      <c r="E2269" s="4">
        <v>4</v>
      </c>
      <c r="F2269" s="8">
        <v>1.4</v>
      </c>
      <c r="G2269" s="4">
        <v>2</v>
      </c>
      <c r="H2269" s="4">
        <f t="shared" si="70"/>
        <v>0</v>
      </c>
      <c r="I2269" s="4">
        <f t="shared" si="71"/>
        <v>1</v>
      </c>
      <c r="J2269" s="4">
        <v>0</v>
      </c>
      <c r="K2269" s="4">
        <v>0</v>
      </c>
      <c r="L2269" s="4">
        <v>0</v>
      </c>
      <c r="M2269" s="4">
        <v>0</v>
      </c>
      <c r="N2269" s="4">
        <v>0</v>
      </c>
      <c r="O2269" s="4">
        <v>0</v>
      </c>
    </row>
    <row r="2270" spans="1:15" x14ac:dyDescent="0.15">
      <c r="A2270" s="4">
        <v>2267</v>
      </c>
      <c r="B2270" s="4">
        <v>38</v>
      </c>
      <c r="C2270" s="4">
        <v>13</v>
      </c>
      <c r="D2270" s="4">
        <v>143</v>
      </c>
      <c r="E2270" s="4">
        <v>1</v>
      </c>
      <c r="F2270" s="8">
        <v>4.0999999999999996</v>
      </c>
      <c r="G2270" s="4">
        <v>1</v>
      </c>
      <c r="H2270" s="4">
        <f t="shared" si="70"/>
        <v>1</v>
      </c>
      <c r="I2270" s="4">
        <f t="shared" si="71"/>
        <v>0</v>
      </c>
      <c r="J2270" s="4">
        <v>0</v>
      </c>
      <c r="K2270" s="4">
        <v>0</v>
      </c>
      <c r="L2270" s="4">
        <v>0</v>
      </c>
      <c r="M2270" s="4">
        <v>0</v>
      </c>
      <c r="N2270" s="4">
        <v>0</v>
      </c>
      <c r="O2270" s="4">
        <v>0</v>
      </c>
    </row>
    <row r="2271" spans="1:15" x14ac:dyDescent="0.15">
      <c r="A2271" s="4">
        <v>2268</v>
      </c>
      <c r="B2271" s="4">
        <v>38</v>
      </c>
      <c r="C2271" s="4">
        <v>13</v>
      </c>
      <c r="D2271" s="4">
        <v>168</v>
      </c>
      <c r="E2271" s="4">
        <v>2</v>
      </c>
      <c r="F2271" s="8">
        <v>1.3</v>
      </c>
      <c r="G2271" s="4">
        <v>3</v>
      </c>
      <c r="H2271" s="4">
        <f t="shared" si="70"/>
        <v>0</v>
      </c>
      <c r="I2271" s="4">
        <f t="shared" si="71"/>
        <v>0</v>
      </c>
      <c r="J2271" s="4">
        <v>0</v>
      </c>
      <c r="K2271" s="4">
        <v>0</v>
      </c>
      <c r="L2271" s="4">
        <v>0</v>
      </c>
      <c r="M2271" s="4">
        <v>0</v>
      </c>
      <c r="N2271" s="4">
        <v>0</v>
      </c>
      <c r="O2271" s="4">
        <v>1</v>
      </c>
    </row>
    <row r="2272" spans="1:15" x14ac:dyDescent="0.15">
      <c r="A2272" s="4">
        <v>2269</v>
      </c>
      <c r="B2272" s="4">
        <v>27</v>
      </c>
      <c r="C2272" s="4">
        <v>3</v>
      </c>
      <c r="D2272" s="4">
        <v>105</v>
      </c>
      <c r="E2272" s="4">
        <v>1</v>
      </c>
      <c r="F2272" s="8">
        <v>3</v>
      </c>
      <c r="G2272" s="4">
        <v>2</v>
      </c>
      <c r="H2272" s="4">
        <f t="shared" si="70"/>
        <v>0</v>
      </c>
      <c r="I2272" s="4">
        <f t="shared" si="71"/>
        <v>1</v>
      </c>
      <c r="J2272" s="4">
        <v>0</v>
      </c>
      <c r="K2272" s="4">
        <v>1</v>
      </c>
      <c r="L2272" s="4">
        <v>0</v>
      </c>
      <c r="M2272" s="4">
        <v>0</v>
      </c>
      <c r="N2272" s="4">
        <v>0</v>
      </c>
      <c r="O2272" s="4">
        <v>1</v>
      </c>
    </row>
    <row r="2273" spans="1:15" x14ac:dyDescent="0.15">
      <c r="A2273" s="4">
        <v>2270</v>
      </c>
      <c r="B2273" s="4">
        <v>42</v>
      </c>
      <c r="C2273" s="4">
        <v>18</v>
      </c>
      <c r="D2273" s="4">
        <v>62</v>
      </c>
      <c r="E2273" s="4">
        <v>3</v>
      </c>
      <c r="F2273" s="8">
        <v>2.1</v>
      </c>
      <c r="G2273" s="4">
        <v>3</v>
      </c>
      <c r="H2273" s="4">
        <f t="shared" si="70"/>
        <v>0</v>
      </c>
      <c r="I2273" s="4">
        <f t="shared" si="71"/>
        <v>0</v>
      </c>
      <c r="J2273" s="4">
        <v>0</v>
      </c>
      <c r="K2273" s="4">
        <v>0</v>
      </c>
      <c r="L2273" s="4">
        <v>0</v>
      </c>
      <c r="M2273" s="4">
        <v>1</v>
      </c>
      <c r="N2273" s="4">
        <v>0</v>
      </c>
      <c r="O2273" s="4">
        <v>0</v>
      </c>
    </row>
    <row r="2274" spans="1:15" x14ac:dyDescent="0.15">
      <c r="A2274" s="4">
        <v>2271</v>
      </c>
      <c r="B2274" s="4">
        <v>26</v>
      </c>
      <c r="C2274" s="4">
        <v>2</v>
      </c>
      <c r="D2274" s="4">
        <v>51</v>
      </c>
      <c r="E2274" s="4">
        <v>4</v>
      </c>
      <c r="F2274" s="8">
        <v>2.6</v>
      </c>
      <c r="G2274" s="4">
        <v>1</v>
      </c>
      <c r="H2274" s="4">
        <f t="shared" si="70"/>
        <v>1</v>
      </c>
      <c r="I2274" s="4">
        <f t="shared" si="71"/>
        <v>0</v>
      </c>
      <c r="J2274" s="4">
        <v>0</v>
      </c>
      <c r="K2274" s="4">
        <v>0</v>
      </c>
      <c r="L2274" s="4">
        <v>0</v>
      </c>
      <c r="M2274" s="4">
        <v>1</v>
      </c>
      <c r="N2274" s="4">
        <v>0</v>
      </c>
      <c r="O2274" s="4">
        <v>0</v>
      </c>
    </row>
    <row r="2275" spans="1:15" x14ac:dyDescent="0.15">
      <c r="A2275" s="4">
        <v>2272</v>
      </c>
      <c r="B2275" s="4">
        <v>60</v>
      </c>
      <c r="C2275" s="4">
        <v>34</v>
      </c>
      <c r="D2275" s="4">
        <v>101</v>
      </c>
      <c r="E2275" s="4">
        <v>3</v>
      </c>
      <c r="F2275" s="8">
        <v>4.4000000000000004</v>
      </c>
      <c r="G2275" s="4">
        <v>1</v>
      </c>
      <c r="H2275" s="4">
        <f t="shared" si="70"/>
        <v>1</v>
      </c>
      <c r="I2275" s="4">
        <f t="shared" si="71"/>
        <v>0</v>
      </c>
      <c r="J2275" s="4">
        <v>0</v>
      </c>
      <c r="K2275" s="4">
        <v>0</v>
      </c>
      <c r="L2275" s="4">
        <v>0</v>
      </c>
      <c r="M2275" s="4">
        <v>1</v>
      </c>
      <c r="N2275" s="4">
        <v>1</v>
      </c>
      <c r="O2275" s="4">
        <v>0</v>
      </c>
    </row>
    <row r="2276" spans="1:15" x14ac:dyDescent="0.15">
      <c r="A2276" s="4">
        <v>2273</v>
      </c>
      <c r="B2276" s="4">
        <v>27</v>
      </c>
      <c r="C2276" s="4">
        <v>3</v>
      </c>
      <c r="D2276" s="4">
        <v>90</v>
      </c>
      <c r="E2276" s="4">
        <v>3</v>
      </c>
      <c r="F2276" s="8">
        <v>0.8</v>
      </c>
      <c r="G2276" s="4">
        <v>1</v>
      </c>
      <c r="H2276" s="4">
        <f t="shared" si="70"/>
        <v>1</v>
      </c>
      <c r="I2276" s="4">
        <f t="shared" si="71"/>
        <v>0</v>
      </c>
      <c r="J2276" s="4">
        <v>0</v>
      </c>
      <c r="K2276" s="4">
        <v>0</v>
      </c>
      <c r="L2276" s="4">
        <v>0</v>
      </c>
      <c r="M2276" s="4">
        <v>1</v>
      </c>
      <c r="N2276" s="4">
        <v>0</v>
      </c>
      <c r="O2276" s="4">
        <v>0</v>
      </c>
    </row>
    <row r="2277" spans="1:15" x14ac:dyDescent="0.15">
      <c r="A2277" s="4">
        <v>2274</v>
      </c>
      <c r="B2277" s="4">
        <v>27</v>
      </c>
      <c r="C2277" s="4">
        <v>1</v>
      </c>
      <c r="D2277" s="4">
        <v>83</v>
      </c>
      <c r="E2277" s="4">
        <v>4</v>
      </c>
      <c r="F2277" s="8">
        <v>2.1</v>
      </c>
      <c r="G2277" s="4">
        <v>3</v>
      </c>
      <c r="H2277" s="4">
        <f t="shared" si="70"/>
        <v>0</v>
      </c>
      <c r="I2277" s="4">
        <f t="shared" si="71"/>
        <v>0</v>
      </c>
      <c r="J2277" s="4">
        <v>0</v>
      </c>
      <c r="K2277" s="4">
        <v>0</v>
      </c>
      <c r="L2277" s="4">
        <v>0</v>
      </c>
      <c r="M2277" s="4">
        <v>1</v>
      </c>
      <c r="N2277" s="4">
        <v>1</v>
      </c>
      <c r="O2277" s="4">
        <v>0</v>
      </c>
    </row>
    <row r="2278" spans="1:15" x14ac:dyDescent="0.15">
      <c r="A2278" s="4">
        <v>2275</v>
      </c>
      <c r="B2278" s="4">
        <v>40</v>
      </c>
      <c r="C2278" s="4">
        <v>15</v>
      </c>
      <c r="D2278" s="4">
        <v>21</v>
      </c>
      <c r="E2278" s="4">
        <v>2</v>
      </c>
      <c r="F2278" s="8">
        <v>0</v>
      </c>
      <c r="G2278" s="4">
        <v>3</v>
      </c>
      <c r="H2278" s="4">
        <f t="shared" si="70"/>
        <v>0</v>
      </c>
      <c r="I2278" s="4">
        <f t="shared" si="71"/>
        <v>0</v>
      </c>
      <c r="J2278" s="4">
        <v>0</v>
      </c>
      <c r="K2278" s="4">
        <v>0</v>
      </c>
      <c r="L2278" s="4">
        <v>0</v>
      </c>
      <c r="M2278" s="4">
        <v>1</v>
      </c>
      <c r="N2278" s="4">
        <v>0</v>
      </c>
      <c r="O2278" s="4">
        <v>0</v>
      </c>
    </row>
    <row r="2279" spans="1:15" x14ac:dyDescent="0.15">
      <c r="A2279" s="4">
        <v>2276</v>
      </c>
      <c r="B2279" s="4">
        <v>40</v>
      </c>
      <c r="C2279" s="4">
        <v>16</v>
      </c>
      <c r="D2279" s="4">
        <v>115</v>
      </c>
      <c r="E2279" s="4">
        <v>1</v>
      </c>
      <c r="F2279" s="8">
        <v>3.4</v>
      </c>
      <c r="G2279" s="4">
        <v>1</v>
      </c>
      <c r="H2279" s="4">
        <f t="shared" si="70"/>
        <v>1</v>
      </c>
      <c r="I2279" s="4">
        <f t="shared" si="71"/>
        <v>0</v>
      </c>
      <c r="J2279" s="4">
        <v>0</v>
      </c>
      <c r="K2279" s="4">
        <v>0</v>
      </c>
      <c r="L2279" s="4">
        <v>0</v>
      </c>
      <c r="M2279" s="4">
        <v>1</v>
      </c>
      <c r="N2279" s="4">
        <v>0</v>
      </c>
      <c r="O2279" s="4">
        <v>0</v>
      </c>
    </row>
    <row r="2280" spans="1:15" x14ac:dyDescent="0.15">
      <c r="A2280" s="4">
        <v>2277</v>
      </c>
      <c r="B2280" s="4">
        <v>29</v>
      </c>
      <c r="C2280" s="4">
        <v>3</v>
      </c>
      <c r="D2280" s="4">
        <v>172</v>
      </c>
      <c r="E2280" s="4">
        <v>4</v>
      </c>
      <c r="F2280" s="8">
        <v>4.4000000000000004</v>
      </c>
      <c r="G2280" s="4">
        <v>1</v>
      </c>
      <c r="H2280" s="4">
        <f t="shared" si="70"/>
        <v>1</v>
      </c>
      <c r="I2280" s="4">
        <f t="shared" si="71"/>
        <v>0</v>
      </c>
      <c r="J2280" s="4">
        <v>0</v>
      </c>
      <c r="K2280" s="4">
        <v>0</v>
      </c>
      <c r="L2280" s="4">
        <v>0</v>
      </c>
      <c r="M2280" s="4">
        <v>0</v>
      </c>
      <c r="N2280" s="4">
        <v>0</v>
      </c>
      <c r="O2280" s="4">
        <v>1</v>
      </c>
    </row>
    <row r="2281" spans="1:15" x14ac:dyDescent="0.15">
      <c r="A2281" s="4">
        <v>2278</v>
      </c>
      <c r="B2281" s="4">
        <v>30</v>
      </c>
      <c r="C2281" s="4">
        <v>6</v>
      </c>
      <c r="D2281" s="4">
        <v>32</v>
      </c>
      <c r="E2281" s="4">
        <v>2</v>
      </c>
      <c r="F2281" s="8">
        <v>1</v>
      </c>
      <c r="G2281" s="4">
        <v>2</v>
      </c>
      <c r="H2281" s="4">
        <f t="shared" si="70"/>
        <v>0</v>
      </c>
      <c r="I2281" s="4">
        <f t="shared" si="71"/>
        <v>1</v>
      </c>
      <c r="J2281" s="4">
        <v>0</v>
      </c>
      <c r="K2281" s="4">
        <v>0</v>
      </c>
      <c r="L2281" s="4">
        <v>0</v>
      </c>
      <c r="M2281" s="4">
        <v>0</v>
      </c>
      <c r="N2281" s="4">
        <v>0</v>
      </c>
      <c r="O2281" s="4">
        <v>0</v>
      </c>
    </row>
    <row r="2282" spans="1:15" x14ac:dyDescent="0.15">
      <c r="A2282" s="4">
        <v>2279</v>
      </c>
      <c r="B2282" s="4">
        <v>30</v>
      </c>
      <c r="C2282" s="4">
        <v>4</v>
      </c>
      <c r="D2282" s="4">
        <v>204</v>
      </c>
      <c r="E2282" s="4">
        <v>2</v>
      </c>
      <c r="F2282" s="8">
        <v>4.5</v>
      </c>
      <c r="G2282" s="4">
        <v>1</v>
      </c>
      <c r="H2282" s="4">
        <f t="shared" si="70"/>
        <v>1</v>
      </c>
      <c r="I2282" s="4">
        <f t="shared" si="71"/>
        <v>0</v>
      </c>
      <c r="J2282" s="4">
        <v>0</v>
      </c>
      <c r="K2282" s="4">
        <v>0</v>
      </c>
      <c r="L2282" s="4">
        <v>0</v>
      </c>
      <c r="M2282" s="4">
        <v>1</v>
      </c>
      <c r="N2282" s="4">
        <v>0</v>
      </c>
      <c r="O2282" s="4">
        <v>0</v>
      </c>
    </row>
    <row r="2283" spans="1:15" x14ac:dyDescent="0.15">
      <c r="A2283" s="4">
        <v>2280</v>
      </c>
      <c r="B2283" s="4">
        <v>47</v>
      </c>
      <c r="C2283" s="4">
        <v>23</v>
      </c>
      <c r="D2283" s="4">
        <v>34</v>
      </c>
      <c r="E2283" s="4">
        <v>4</v>
      </c>
      <c r="F2283" s="8">
        <v>0.6</v>
      </c>
      <c r="G2283" s="4">
        <v>1</v>
      </c>
      <c r="H2283" s="4">
        <f t="shared" si="70"/>
        <v>1</v>
      </c>
      <c r="I2283" s="4">
        <f t="shared" si="71"/>
        <v>0</v>
      </c>
      <c r="J2283" s="4">
        <v>0</v>
      </c>
      <c r="K2283" s="4">
        <v>0</v>
      </c>
      <c r="L2283" s="4">
        <v>1</v>
      </c>
      <c r="M2283" s="4">
        <v>1</v>
      </c>
      <c r="N2283" s="4">
        <v>1</v>
      </c>
      <c r="O2283" s="4">
        <v>0</v>
      </c>
    </row>
    <row r="2284" spans="1:15" x14ac:dyDescent="0.15">
      <c r="A2284" s="4">
        <v>2281</v>
      </c>
      <c r="B2284" s="4">
        <v>33</v>
      </c>
      <c r="C2284" s="4">
        <v>7</v>
      </c>
      <c r="D2284" s="4">
        <v>30</v>
      </c>
      <c r="E2284" s="4">
        <v>2</v>
      </c>
      <c r="F2284" s="8">
        <v>2</v>
      </c>
      <c r="G2284" s="4">
        <v>3</v>
      </c>
      <c r="H2284" s="4">
        <f t="shared" si="70"/>
        <v>0</v>
      </c>
      <c r="I2284" s="4">
        <f t="shared" si="71"/>
        <v>0</v>
      </c>
      <c r="J2284" s="4">
        <v>132</v>
      </c>
      <c r="K2284" s="4">
        <v>0</v>
      </c>
      <c r="L2284" s="4">
        <v>0</v>
      </c>
      <c r="M2284" s="4">
        <v>0</v>
      </c>
      <c r="N2284" s="4">
        <v>0</v>
      </c>
      <c r="O2284" s="4">
        <v>0</v>
      </c>
    </row>
    <row r="2285" spans="1:15" x14ac:dyDescent="0.15">
      <c r="A2285" s="4">
        <v>2282</v>
      </c>
      <c r="B2285" s="4">
        <v>57</v>
      </c>
      <c r="C2285" s="4">
        <v>32</v>
      </c>
      <c r="D2285" s="4">
        <v>31</v>
      </c>
      <c r="E2285" s="4">
        <v>3</v>
      </c>
      <c r="F2285" s="8">
        <v>1.3</v>
      </c>
      <c r="G2285" s="4">
        <v>2</v>
      </c>
      <c r="H2285" s="4">
        <f t="shared" si="70"/>
        <v>0</v>
      </c>
      <c r="I2285" s="4">
        <f t="shared" si="71"/>
        <v>1</v>
      </c>
      <c r="J2285" s="4">
        <v>0</v>
      </c>
      <c r="K2285" s="4">
        <v>0</v>
      </c>
      <c r="L2285" s="4">
        <v>0</v>
      </c>
      <c r="M2285" s="4">
        <v>1</v>
      </c>
      <c r="N2285" s="4">
        <v>1</v>
      </c>
      <c r="O2285" s="4">
        <v>0</v>
      </c>
    </row>
    <row r="2286" spans="1:15" x14ac:dyDescent="0.15">
      <c r="A2286" s="4">
        <v>2283</v>
      </c>
      <c r="B2286" s="4">
        <v>38</v>
      </c>
      <c r="C2286" s="4">
        <v>14</v>
      </c>
      <c r="D2286" s="4">
        <v>90</v>
      </c>
      <c r="E2286" s="4">
        <v>2</v>
      </c>
      <c r="F2286" s="8">
        <v>2.7</v>
      </c>
      <c r="G2286" s="4">
        <v>1</v>
      </c>
      <c r="H2286" s="4">
        <f t="shared" si="70"/>
        <v>1</v>
      </c>
      <c r="I2286" s="4">
        <f t="shared" si="71"/>
        <v>0</v>
      </c>
      <c r="J2286" s="4">
        <v>0</v>
      </c>
      <c r="K2286" s="4">
        <v>0</v>
      </c>
      <c r="L2286" s="4">
        <v>0</v>
      </c>
      <c r="M2286" s="4">
        <v>1</v>
      </c>
      <c r="N2286" s="4">
        <v>1</v>
      </c>
      <c r="O2286" s="4">
        <v>0</v>
      </c>
    </row>
    <row r="2287" spans="1:15" x14ac:dyDescent="0.15">
      <c r="A2287" s="4">
        <v>2284</v>
      </c>
      <c r="B2287" s="4">
        <v>54</v>
      </c>
      <c r="C2287" s="4">
        <v>28</v>
      </c>
      <c r="D2287" s="4">
        <v>79</v>
      </c>
      <c r="E2287" s="4">
        <v>4</v>
      </c>
      <c r="F2287" s="8">
        <v>2.6</v>
      </c>
      <c r="G2287" s="4">
        <v>3</v>
      </c>
      <c r="H2287" s="4">
        <f t="shared" si="70"/>
        <v>0</v>
      </c>
      <c r="I2287" s="4">
        <f t="shared" si="71"/>
        <v>0</v>
      </c>
      <c r="J2287" s="4">
        <v>0</v>
      </c>
      <c r="K2287" s="4">
        <v>0</v>
      </c>
      <c r="L2287" s="4">
        <v>0</v>
      </c>
      <c r="M2287" s="4">
        <v>0</v>
      </c>
      <c r="N2287" s="4">
        <v>0</v>
      </c>
      <c r="O2287" s="4">
        <v>0</v>
      </c>
    </row>
    <row r="2288" spans="1:15" x14ac:dyDescent="0.15">
      <c r="A2288" s="4">
        <v>2285</v>
      </c>
      <c r="B2288" s="4">
        <v>47</v>
      </c>
      <c r="C2288" s="4">
        <v>23</v>
      </c>
      <c r="D2288" s="4">
        <v>22</v>
      </c>
      <c r="E2288" s="4">
        <v>4</v>
      </c>
      <c r="F2288" s="8">
        <v>0.6</v>
      </c>
      <c r="G2288" s="4">
        <v>1</v>
      </c>
      <c r="H2288" s="4">
        <f t="shared" si="70"/>
        <v>1</v>
      </c>
      <c r="I2288" s="4">
        <f t="shared" si="71"/>
        <v>0</v>
      </c>
      <c r="J2288" s="4">
        <v>0</v>
      </c>
      <c r="K2288" s="4">
        <v>0</v>
      </c>
      <c r="L2288" s="4">
        <v>0</v>
      </c>
      <c r="M2288" s="4">
        <v>1</v>
      </c>
      <c r="N2288" s="4">
        <v>1</v>
      </c>
      <c r="O2288" s="4">
        <v>0</v>
      </c>
    </row>
    <row r="2289" spans="1:15" x14ac:dyDescent="0.15">
      <c r="A2289" s="4">
        <v>2286</v>
      </c>
      <c r="B2289" s="4">
        <v>48</v>
      </c>
      <c r="C2289" s="4">
        <v>22</v>
      </c>
      <c r="D2289" s="4">
        <v>114</v>
      </c>
      <c r="E2289" s="4">
        <v>1</v>
      </c>
      <c r="F2289" s="8">
        <v>2.4</v>
      </c>
      <c r="G2289" s="4">
        <v>3</v>
      </c>
      <c r="H2289" s="4">
        <f t="shared" si="70"/>
        <v>0</v>
      </c>
      <c r="I2289" s="4">
        <f t="shared" si="71"/>
        <v>0</v>
      </c>
      <c r="J2289" s="4">
        <v>0</v>
      </c>
      <c r="K2289" s="4">
        <v>0</v>
      </c>
      <c r="L2289" s="4">
        <v>0</v>
      </c>
      <c r="M2289" s="4">
        <v>1</v>
      </c>
      <c r="N2289" s="4">
        <v>0</v>
      </c>
      <c r="O2289" s="4">
        <v>1</v>
      </c>
    </row>
    <row r="2290" spans="1:15" x14ac:dyDescent="0.15">
      <c r="A2290" s="4">
        <v>2287</v>
      </c>
      <c r="B2290" s="4">
        <v>62</v>
      </c>
      <c r="C2290" s="4">
        <v>36</v>
      </c>
      <c r="D2290" s="4">
        <v>42</v>
      </c>
      <c r="E2290" s="4">
        <v>1</v>
      </c>
      <c r="F2290" s="8">
        <v>0.5</v>
      </c>
      <c r="G2290" s="4">
        <v>3</v>
      </c>
      <c r="H2290" s="4">
        <f t="shared" si="70"/>
        <v>0</v>
      </c>
      <c r="I2290" s="4">
        <f t="shared" si="71"/>
        <v>0</v>
      </c>
      <c r="J2290" s="4">
        <v>128</v>
      </c>
      <c r="K2290" s="4">
        <v>0</v>
      </c>
      <c r="L2290" s="4">
        <v>0</v>
      </c>
      <c r="M2290" s="4">
        <v>1</v>
      </c>
      <c r="N2290" s="4">
        <v>0</v>
      </c>
      <c r="O2290" s="4">
        <v>0</v>
      </c>
    </row>
    <row r="2291" spans="1:15" x14ac:dyDescent="0.15">
      <c r="A2291" s="4">
        <v>2288</v>
      </c>
      <c r="B2291" s="4">
        <v>30</v>
      </c>
      <c r="C2291" s="4">
        <v>6</v>
      </c>
      <c r="D2291" s="4">
        <v>29</v>
      </c>
      <c r="E2291" s="4">
        <v>1</v>
      </c>
      <c r="F2291" s="8">
        <v>0.2</v>
      </c>
      <c r="G2291" s="4">
        <v>3</v>
      </c>
      <c r="H2291" s="4">
        <f t="shared" si="70"/>
        <v>0</v>
      </c>
      <c r="I2291" s="4">
        <f t="shared" si="71"/>
        <v>0</v>
      </c>
      <c r="J2291" s="4">
        <v>90</v>
      </c>
      <c r="K2291" s="4">
        <v>0</v>
      </c>
      <c r="L2291" s="4">
        <v>0</v>
      </c>
      <c r="M2291" s="4">
        <v>1</v>
      </c>
      <c r="N2291" s="4">
        <v>0</v>
      </c>
      <c r="O2291" s="4">
        <v>0</v>
      </c>
    </row>
    <row r="2292" spans="1:15" x14ac:dyDescent="0.15">
      <c r="A2292" s="4">
        <v>2289</v>
      </c>
      <c r="B2292" s="4">
        <v>35</v>
      </c>
      <c r="C2292" s="4">
        <v>11</v>
      </c>
      <c r="D2292" s="4">
        <v>72</v>
      </c>
      <c r="E2292" s="4">
        <v>3</v>
      </c>
      <c r="F2292" s="8">
        <v>2.6</v>
      </c>
      <c r="G2292" s="4">
        <v>2</v>
      </c>
      <c r="H2292" s="4">
        <f t="shared" si="70"/>
        <v>0</v>
      </c>
      <c r="I2292" s="4">
        <f t="shared" si="71"/>
        <v>1</v>
      </c>
      <c r="J2292" s="4">
        <v>0</v>
      </c>
      <c r="K2292" s="4">
        <v>0</v>
      </c>
      <c r="L2292" s="4">
        <v>0</v>
      </c>
      <c r="M2292" s="4">
        <v>1</v>
      </c>
      <c r="N2292" s="4">
        <v>0</v>
      </c>
      <c r="O2292" s="4">
        <v>0</v>
      </c>
    </row>
    <row r="2293" spans="1:15" x14ac:dyDescent="0.15">
      <c r="A2293" s="4">
        <v>2290</v>
      </c>
      <c r="B2293" s="4">
        <v>59</v>
      </c>
      <c r="C2293" s="4">
        <v>35</v>
      </c>
      <c r="D2293" s="4">
        <v>68</v>
      </c>
      <c r="E2293" s="4">
        <v>1</v>
      </c>
      <c r="F2293" s="8">
        <v>1.8</v>
      </c>
      <c r="G2293" s="4">
        <v>3</v>
      </c>
      <c r="H2293" s="4">
        <f t="shared" si="70"/>
        <v>0</v>
      </c>
      <c r="I2293" s="4">
        <f t="shared" si="71"/>
        <v>0</v>
      </c>
      <c r="J2293" s="4">
        <v>95</v>
      </c>
      <c r="K2293" s="4">
        <v>0</v>
      </c>
      <c r="L2293" s="4">
        <v>0</v>
      </c>
      <c r="M2293" s="4">
        <v>0</v>
      </c>
      <c r="N2293" s="4">
        <v>0</v>
      </c>
      <c r="O2293" s="4">
        <v>0</v>
      </c>
    </row>
    <row r="2294" spans="1:15" x14ac:dyDescent="0.15">
      <c r="A2294" s="4">
        <v>2291</v>
      </c>
      <c r="B2294" s="4">
        <v>38</v>
      </c>
      <c r="C2294" s="4">
        <v>13</v>
      </c>
      <c r="D2294" s="4">
        <v>78</v>
      </c>
      <c r="E2294" s="4">
        <v>4</v>
      </c>
      <c r="F2294" s="8">
        <v>0.7</v>
      </c>
      <c r="G2294" s="4">
        <v>3</v>
      </c>
      <c r="H2294" s="4">
        <f t="shared" si="70"/>
        <v>0</v>
      </c>
      <c r="I2294" s="4">
        <f t="shared" si="71"/>
        <v>0</v>
      </c>
      <c r="J2294" s="4">
        <v>0</v>
      </c>
      <c r="K2294" s="4">
        <v>0</v>
      </c>
      <c r="L2294" s="4">
        <v>0</v>
      </c>
      <c r="M2294" s="4">
        <v>1</v>
      </c>
      <c r="N2294" s="4">
        <v>0</v>
      </c>
      <c r="O2294" s="4">
        <v>0</v>
      </c>
    </row>
    <row r="2295" spans="1:15" x14ac:dyDescent="0.15">
      <c r="A2295" s="4">
        <v>2292</v>
      </c>
      <c r="B2295" s="4">
        <v>47</v>
      </c>
      <c r="C2295" s="4">
        <v>23</v>
      </c>
      <c r="D2295" s="4">
        <v>90</v>
      </c>
      <c r="E2295" s="4">
        <v>1</v>
      </c>
      <c r="F2295" s="8">
        <v>2.7</v>
      </c>
      <c r="G2295" s="4">
        <v>1</v>
      </c>
      <c r="H2295" s="4">
        <f t="shared" si="70"/>
        <v>1</v>
      </c>
      <c r="I2295" s="4">
        <f t="shared" si="71"/>
        <v>0</v>
      </c>
      <c r="J2295" s="4">
        <v>323</v>
      </c>
      <c r="K2295" s="4">
        <v>0</v>
      </c>
      <c r="L2295" s="4">
        <v>0</v>
      </c>
      <c r="M2295" s="4">
        <v>0</v>
      </c>
      <c r="N2295" s="4">
        <v>0</v>
      </c>
      <c r="O2295" s="4">
        <v>0</v>
      </c>
    </row>
    <row r="2296" spans="1:15" x14ac:dyDescent="0.15">
      <c r="A2296" s="4">
        <v>2293</v>
      </c>
      <c r="B2296" s="4">
        <v>57</v>
      </c>
      <c r="C2296" s="4">
        <v>33</v>
      </c>
      <c r="D2296" s="4">
        <v>170</v>
      </c>
      <c r="E2296" s="4">
        <v>2</v>
      </c>
      <c r="F2296" s="8">
        <v>2.1</v>
      </c>
      <c r="G2296" s="4">
        <v>2</v>
      </c>
      <c r="H2296" s="4">
        <f t="shared" si="70"/>
        <v>0</v>
      </c>
      <c r="I2296" s="4">
        <f t="shared" si="71"/>
        <v>1</v>
      </c>
      <c r="J2296" s="4">
        <v>0</v>
      </c>
      <c r="K2296" s="4">
        <v>0</v>
      </c>
      <c r="L2296" s="4">
        <v>0</v>
      </c>
      <c r="M2296" s="4">
        <v>0</v>
      </c>
      <c r="N2296" s="4">
        <v>0</v>
      </c>
      <c r="O2296" s="4">
        <v>1</v>
      </c>
    </row>
    <row r="2297" spans="1:15" x14ac:dyDescent="0.15">
      <c r="A2297" s="4">
        <v>2294</v>
      </c>
      <c r="B2297" s="4">
        <v>42</v>
      </c>
      <c r="C2297" s="4">
        <v>17</v>
      </c>
      <c r="D2297" s="4">
        <v>14</v>
      </c>
      <c r="E2297" s="4">
        <v>2</v>
      </c>
      <c r="F2297" s="8">
        <v>0.1</v>
      </c>
      <c r="G2297" s="4">
        <v>2</v>
      </c>
      <c r="H2297" s="4">
        <f t="shared" si="70"/>
        <v>0</v>
      </c>
      <c r="I2297" s="4">
        <f t="shared" si="71"/>
        <v>1</v>
      </c>
      <c r="J2297" s="4">
        <v>0</v>
      </c>
      <c r="K2297" s="4">
        <v>0</v>
      </c>
      <c r="L2297" s="4">
        <v>0</v>
      </c>
      <c r="M2297" s="4">
        <v>1</v>
      </c>
      <c r="N2297" s="4">
        <v>0</v>
      </c>
      <c r="O2297" s="4">
        <v>0</v>
      </c>
    </row>
    <row r="2298" spans="1:15" x14ac:dyDescent="0.15">
      <c r="A2298" s="4">
        <v>2295</v>
      </c>
      <c r="B2298" s="4">
        <v>39</v>
      </c>
      <c r="C2298" s="4">
        <v>15</v>
      </c>
      <c r="D2298" s="4">
        <v>129</v>
      </c>
      <c r="E2298" s="4">
        <v>2</v>
      </c>
      <c r="F2298" s="8">
        <v>1.9</v>
      </c>
      <c r="G2298" s="4">
        <v>1</v>
      </c>
      <c r="H2298" s="4">
        <f t="shared" si="70"/>
        <v>1</v>
      </c>
      <c r="I2298" s="4">
        <f t="shared" si="71"/>
        <v>0</v>
      </c>
      <c r="J2298" s="4">
        <v>0</v>
      </c>
      <c r="K2298" s="4">
        <v>0</v>
      </c>
      <c r="L2298" s="4">
        <v>0</v>
      </c>
      <c r="M2298" s="4">
        <v>0</v>
      </c>
      <c r="N2298" s="4">
        <v>0</v>
      </c>
      <c r="O2298" s="4">
        <v>0</v>
      </c>
    </row>
    <row r="2299" spans="1:15" x14ac:dyDescent="0.15">
      <c r="A2299" s="4">
        <v>2296</v>
      </c>
      <c r="B2299" s="4">
        <v>53</v>
      </c>
      <c r="C2299" s="4">
        <v>23</v>
      </c>
      <c r="D2299" s="4">
        <v>39</v>
      </c>
      <c r="E2299" s="4">
        <v>3</v>
      </c>
      <c r="F2299" s="8">
        <v>1</v>
      </c>
      <c r="G2299" s="4">
        <v>3</v>
      </c>
      <c r="H2299" s="4">
        <f t="shared" si="70"/>
        <v>0</v>
      </c>
      <c r="I2299" s="4">
        <f t="shared" si="71"/>
        <v>0</v>
      </c>
      <c r="J2299" s="4">
        <v>87</v>
      </c>
      <c r="K2299" s="4">
        <v>0</v>
      </c>
      <c r="L2299" s="4">
        <v>0</v>
      </c>
      <c r="M2299" s="4">
        <v>1</v>
      </c>
      <c r="N2299" s="4">
        <v>0</v>
      </c>
      <c r="O2299" s="4">
        <v>0</v>
      </c>
    </row>
    <row r="2300" spans="1:15" x14ac:dyDescent="0.15">
      <c r="A2300" s="4">
        <v>2297</v>
      </c>
      <c r="B2300" s="4">
        <v>27</v>
      </c>
      <c r="C2300" s="4">
        <v>3</v>
      </c>
      <c r="D2300" s="4">
        <v>82</v>
      </c>
      <c r="E2300" s="4">
        <v>2</v>
      </c>
      <c r="F2300" s="8">
        <v>0.2</v>
      </c>
      <c r="G2300" s="4">
        <v>1</v>
      </c>
      <c r="H2300" s="4">
        <f t="shared" si="70"/>
        <v>1</v>
      </c>
      <c r="I2300" s="4">
        <f t="shared" si="71"/>
        <v>0</v>
      </c>
      <c r="J2300" s="4">
        <v>0</v>
      </c>
      <c r="K2300" s="4">
        <v>0</v>
      </c>
      <c r="L2300" s="4">
        <v>0</v>
      </c>
      <c r="M2300" s="4">
        <v>0</v>
      </c>
      <c r="N2300" s="4">
        <v>1</v>
      </c>
      <c r="O2300" s="4">
        <v>0</v>
      </c>
    </row>
    <row r="2301" spans="1:15" x14ac:dyDescent="0.15">
      <c r="A2301" s="4">
        <v>2298</v>
      </c>
      <c r="B2301" s="4">
        <v>59</v>
      </c>
      <c r="C2301" s="4">
        <v>35</v>
      </c>
      <c r="D2301" s="4">
        <v>31</v>
      </c>
      <c r="E2301" s="4">
        <v>3</v>
      </c>
      <c r="F2301" s="8">
        <v>0.4</v>
      </c>
      <c r="G2301" s="4">
        <v>2</v>
      </c>
      <c r="H2301" s="4">
        <f t="shared" si="70"/>
        <v>0</v>
      </c>
      <c r="I2301" s="4">
        <f t="shared" si="71"/>
        <v>1</v>
      </c>
      <c r="J2301" s="4">
        <v>0</v>
      </c>
      <c r="K2301" s="4">
        <v>0</v>
      </c>
      <c r="L2301" s="4">
        <v>0</v>
      </c>
      <c r="M2301" s="4">
        <v>1</v>
      </c>
      <c r="N2301" s="4">
        <v>1</v>
      </c>
      <c r="O2301" s="4">
        <v>0</v>
      </c>
    </row>
    <row r="2302" spans="1:15" x14ac:dyDescent="0.15">
      <c r="A2302" s="4">
        <v>2299</v>
      </c>
      <c r="B2302" s="4">
        <v>48</v>
      </c>
      <c r="C2302" s="4">
        <v>24</v>
      </c>
      <c r="D2302" s="4">
        <v>9</v>
      </c>
      <c r="E2302" s="4">
        <v>4</v>
      </c>
      <c r="F2302" s="8">
        <v>0.5</v>
      </c>
      <c r="G2302" s="4">
        <v>2</v>
      </c>
      <c r="H2302" s="4">
        <f t="shared" si="70"/>
        <v>0</v>
      </c>
      <c r="I2302" s="4">
        <f t="shared" si="71"/>
        <v>1</v>
      </c>
      <c r="J2302" s="4">
        <v>0</v>
      </c>
      <c r="K2302" s="4">
        <v>0</v>
      </c>
      <c r="L2302" s="4">
        <v>0</v>
      </c>
      <c r="M2302" s="4">
        <v>0</v>
      </c>
      <c r="N2302" s="4">
        <v>1</v>
      </c>
      <c r="O2302" s="4">
        <v>0</v>
      </c>
    </row>
    <row r="2303" spans="1:15" x14ac:dyDescent="0.15">
      <c r="A2303" s="4">
        <v>2300</v>
      </c>
      <c r="B2303" s="4">
        <v>62</v>
      </c>
      <c r="C2303" s="4">
        <v>37</v>
      </c>
      <c r="D2303" s="4">
        <v>15</v>
      </c>
      <c r="E2303" s="4">
        <v>3</v>
      </c>
      <c r="F2303" s="8">
        <v>0.1</v>
      </c>
      <c r="G2303" s="4">
        <v>3</v>
      </c>
      <c r="H2303" s="4">
        <f t="shared" si="70"/>
        <v>0</v>
      </c>
      <c r="I2303" s="4">
        <f t="shared" si="71"/>
        <v>0</v>
      </c>
      <c r="J2303" s="4">
        <v>91</v>
      </c>
      <c r="K2303" s="4">
        <v>0</v>
      </c>
      <c r="L2303" s="4">
        <v>0</v>
      </c>
      <c r="M2303" s="4">
        <v>0</v>
      </c>
      <c r="N2303" s="4">
        <v>0</v>
      </c>
      <c r="O2303" s="4">
        <v>0</v>
      </c>
    </row>
    <row r="2304" spans="1:15" x14ac:dyDescent="0.15">
      <c r="A2304" s="4">
        <v>2301</v>
      </c>
      <c r="B2304" s="4">
        <v>66</v>
      </c>
      <c r="C2304" s="4">
        <v>41</v>
      </c>
      <c r="D2304" s="4">
        <v>70</v>
      </c>
      <c r="E2304" s="4">
        <v>3</v>
      </c>
      <c r="F2304" s="8">
        <v>2.2000000000000002</v>
      </c>
      <c r="G2304" s="4">
        <v>1</v>
      </c>
      <c r="H2304" s="4">
        <f t="shared" si="70"/>
        <v>1</v>
      </c>
      <c r="I2304" s="4">
        <f t="shared" si="71"/>
        <v>0</v>
      </c>
      <c r="J2304" s="4">
        <v>0</v>
      </c>
      <c r="K2304" s="4">
        <v>0</v>
      </c>
      <c r="L2304" s="4">
        <v>0</v>
      </c>
      <c r="M2304" s="4">
        <v>0</v>
      </c>
      <c r="N2304" s="4">
        <v>0</v>
      </c>
      <c r="O2304" s="4">
        <v>0</v>
      </c>
    </row>
    <row r="2305" spans="1:15" x14ac:dyDescent="0.15">
      <c r="A2305" s="4">
        <v>2302</v>
      </c>
      <c r="B2305" s="4">
        <v>38</v>
      </c>
      <c r="C2305" s="4">
        <v>13</v>
      </c>
      <c r="D2305" s="4">
        <v>84</v>
      </c>
      <c r="E2305" s="4">
        <v>4</v>
      </c>
      <c r="F2305" s="8">
        <v>0.7</v>
      </c>
      <c r="G2305" s="4">
        <v>3</v>
      </c>
      <c r="H2305" s="4">
        <f t="shared" si="70"/>
        <v>0</v>
      </c>
      <c r="I2305" s="4">
        <f t="shared" si="71"/>
        <v>0</v>
      </c>
      <c r="J2305" s="4">
        <v>0</v>
      </c>
      <c r="K2305" s="4">
        <v>0</v>
      </c>
      <c r="L2305" s="4">
        <v>0</v>
      </c>
      <c r="M2305" s="4">
        <v>0</v>
      </c>
      <c r="N2305" s="4">
        <v>0</v>
      </c>
      <c r="O2305" s="4">
        <v>0</v>
      </c>
    </row>
    <row r="2306" spans="1:15" x14ac:dyDescent="0.15">
      <c r="A2306" s="4">
        <v>2303</v>
      </c>
      <c r="B2306" s="4">
        <v>42</v>
      </c>
      <c r="C2306" s="4">
        <v>17</v>
      </c>
      <c r="D2306" s="4">
        <v>155</v>
      </c>
      <c r="E2306" s="4">
        <v>1</v>
      </c>
      <c r="F2306" s="8">
        <v>7</v>
      </c>
      <c r="G2306" s="4">
        <v>1</v>
      </c>
      <c r="H2306" s="4">
        <f t="shared" si="70"/>
        <v>1</v>
      </c>
      <c r="I2306" s="4">
        <f t="shared" si="71"/>
        <v>0</v>
      </c>
      <c r="J2306" s="4">
        <v>0</v>
      </c>
      <c r="K2306" s="4">
        <v>0</v>
      </c>
      <c r="L2306" s="4">
        <v>0</v>
      </c>
      <c r="M2306" s="4">
        <v>0</v>
      </c>
      <c r="N2306" s="4">
        <v>1</v>
      </c>
      <c r="O2306" s="4">
        <v>0</v>
      </c>
    </row>
    <row r="2307" spans="1:15" x14ac:dyDescent="0.15">
      <c r="A2307" s="4">
        <v>2304</v>
      </c>
      <c r="B2307" s="4">
        <v>47</v>
      </c>
      <c r="C2307" s="4">
        <v>21</v>
      </c>
      <c r="D2307" s="4">
        <v>89</v>
      </c>
      <c r="E2307" s="4">
        <v>2</v>
      </c>
      <c r="F2307" s="8">
        <v>0.8</v>
      </c>
      <c r="G2307" s="4">
        <v>3</v>
      </c>
      <c r="H2307" s="4">
        <f t="shared" si="70"/>
        <v>0</v>
      </c>
      <c r="I2307" s="4">
        <f t="shared" si="71"/>
        <v>0</v>
      </c>
      <c r="J2307" s="4">
        <v>0</v>
      </c>
      <c r="K2307" s="4">
        <v>0</v>
      </c>
      <c r="L2307" s="4">
        <v>0</v>
      </c>
      <c r="M2307" s="4">
        <v>1</v>
      </c>
      <c r="N2307" s="4">
        <v>1</v>
      </c>
      <c r="O2307" s="4">
        <v>0</v>
      </c>
    </row>
    <row r="2308" spans="1:15" x14ac:dyDescent="0.15">
      <c r="A2308" s="4">
        <v>2305</v>
      </c>
      <c r="B2308" s="4">
        <v>27</v>
      </c>
      <c r="C2308" s="4">
        <v>2</v>
      </c>
      <c r="D2308" s="4">
        <v>170</v>
      </c>
      <c r="E2308" s="4">
        <v>3</v>
      </c>
      <c r="F2308" s="8">
        <v>4.7</v>
      </c>
      <c r="G2308" s="4">
        <v>1</v>
      </c>
      <c r="H2308" s="4">
        <f t="shared" si="70"/>
        <v>1</v>
      </c>
      <c r="I2308" s="4">
        <f t="shared" si="71"/>
        <v>0</v>
      </c>
      <c r="J2308" s="4">
        <v>0</v>
      </c>
      <c r="K2308" s="4">
        <v>0</v>
      </c>
      <c r="L2308" s="4">
        <v>0</v>
      </c>
      <c r="M2308" s="4">
        <v>1</v>
      </c>
      <c r="N2308" s="4">
        <v>0</v>
      </c>
      <c r="O2308" s="4">
        <v>1</v>
      </c>
    </row>
    <row r="2309" spans="1:15" x14ac:dyDescent="0.15">
      <c r="A2309" s="4">
        <v>2306</v>
      </c>
      <c r="B2309" s="4">
        <v>32</v>
      </c>
      <c r="C2309" s="4">
        <v>7</v>
      </c>
      <c r="D2309" s="4">
        <v>185</v>
      </c>
      <c r="E2309" s="4">
        <v>2</v>
      </c>
      <c r="F2309" s="8">
        <v>6.7</v>
      </c>
      <c r="G2309" s="4">
        <v>1</v>
      </c>
      <c r="H2309" s="4">
        <f t="shared" ref="H2309:H2372" si="72">IF(G2309=1,1,0)</f>
        <v>1</v>
      </c>
      <c r="I2309" s="4">
        <f t="shared" ref="I2309:I2372" si="73">IF(G2309=2,1,0)</f>
        <v>0</v>
      </c>
      <c r="J2309" s="4">
        <v>0</v>
      </c>
      <c r="K2309" s="4">
        <v>0</v>
      </c>
      <c r="L2309" s="4">
        <v>1</v>
      </c>
      <c r="M2309" s="4">
        <v>1</v>
      </c>
      <c r="N2309" s="4">
        <v>1</v>
      </c>
      <c r="O2309" s="4">
        <v>0</v>
      </c>
    </row>
    <row r="2310" spans="1:15" x14ac:dyDescent="0.15">
      <c r="A2310" s="4">
        <v>2307</v>
      </c>
      <c r="B2310" s="4">
        <v>37</v>
      </c>
      <c r="C2310" s="4">
        <v>13</v>
      </c>
      <c r="D2310" s="4">
        <v>82</v>
      </c>
      <c r="E2310" s="4">
        <v>2</v>
      </c>
      <c r="F2310" s="8">
        <v>2.2000000000000002</v>
      </c>
      <c r="G2310" s="4">
        <v>1</v>
      </c>
      <c r="H2310" s="4">
        <f t="shared" si="72"/>
        <v>1</v>
      </c>
      <c r="I2310" s="4">
        <f t="shared" si="73"/>
        <v>0</v>
      </c>
      <c r="J2310" s="4">
        <v>0</v>
      </c>
      <c r="K2310" s="4">
        <v>0</v>
      </c>
      <c r="L2310" s="4">
        <v>0</v>
      </c>
      <c r="M2310" s="4">
        <v>0</v>
      </c>
      <c r="N2310" s="4">
        <v>0</v>
      </c>
      <c r="O2310" s="4">
        <v>0</v>
      </c>
    </row>
    <row r="2311" spans="1:15" x14ac:dyDescent="0.15">
      <c r="A2311" s="4">
        <v>2308</v>
      </c>
      <c r="B2311" s="4">
        <v>56</v>
      </c>
      <c r="C2311" s="4">
        <v>31</v>
      </c>
      <c r="D2311" s="4">
        <v>60</v>
      </c>
      <c r="E2311" s="4">
        <v>3</v>
      </c>
      <c r="F2311" s="8">
        <v>1.7</v>
      </c>
      <c r="G2311" s="4">
        <v>1</v>
      </c>
      <c r="H2311" s="4">
        <f t="shared" si="72"/>
        <v>1</v>
      </c>
      <c r="I2311" s="4">
        <f t="shared" si="73"/>
        <v>0</v>
      </c>
      <c r="J2311" s="4">
        <v>0</v>
      </c>
      <c r="K2311" s="4">
        <v>0</v>
      </c>
      <c r="L2311" s="4">
        <v>0</v>
      </c>
      <c r="M2311" s="4">
        <v>1</v>
      </c>
      <c r="N2311" s="4">
        <v>0</v>
      </c>
      <c r="O2311" s="4">
        <v>0</v>
      </c>
    </row>
    <row r="2312" spans="1:15" x14ac:dyDescent="0.15">
      <c r="A2312" s="4">
        <v>2309</v>
      </c>
      <c r="B2312" s="4">
        <v>39</v>
      </c>
      <c r="C2312" s="4">
        <v>13</v>
      </c>
      <c r="D2312" s="4">
        <v>58</v>
      </c>
      <c r="E2312" s="4">
        <v>2</v>
      </c>
      <c r="F2312" s="8">
        <v>2.4</v>
      </c>
      <c r="G2312" s="4">
        <v>2</v>
      </c>
      <c r="H2312" s="4">
        <f t="shared" si="72"/>
        <v>0</v>
      </c>
      <c r="I2312" s="4">
        <f t="shared" si="73"/>
        <v>1</v>
      </c>
      <c r="J2312" s="4">
        <v>0</v>
      </c>
      <c r="K2312" s="4">
        <v>0</v>
      </c>
      <c r="L2312" s="4">
        <v>0</v>
      </c>
      <c r="M2312" s="4">
        <v>1</v>
      </c>
      <c r="N2312" s="4">
        <v>0</v>
      </c>
      <c r="O2312" s="4">
        <v>0</v>
      </c>
    </row>
    <row r="2313" spans="1:15" x14ac:dyDescent="0.15">
      <c r="A2313" s="4">
        <v>2310</v>
      </c>
      <c r="B2313" s="4">
        <v>36</v>
      </c>
      <c r="C2313" s="4">
        <v>12</v>
      </c>
      <c r="D2313" s="4">
        <v>29</v>
      </c>
      <c r="E2313" s="4">
        <v>1</v>
      </c>
      <c r="F2313" s="8">
        <v>1.3333333333333333</v>
      </c>
      <c r="G2313" s="4">
        <v>1</v>
      </c>
      <c r="H2313" s="4">
        <f t="shared" si="72"/>
        <v>1</v>
      </c>
      <c r="I2313" s="4">
        <f t="shared" si="73"/>
        <v>0</v>
      </c>
      <c r="J2313" s="4">
        <v>81</v>
      </c>
      <c r="K2313" s="4">
        <v>0</v>
      </c>
      <c r="L2313" s="4">
        <v>0</v>
      </c>
      <c r="M2313" s="4">
        <v>1</v>
      </c>
      <c r="N2313" s="4">
        <v>0</v>
      </c>
      <c r="O2313" s="4">
        <v>0</v>
      </c>
    </row>
    <row r="2314" spans="1:15" x14ac:dyDescent="0.15">
      <c r="A2314" s="4">
        <v>2311</v>
      </c>
      <c r="B2314" s="4">
        <v>32</v>
      </c>
      <c r="C2314" s="4">
        <v>6</v>
      </c>
      <c r="D2314" s="4">
        <v>32</v>
      </c>
      <c r="E2314" s="4">
        <v>2</v>
      </c>
      <c r="F2314" s="8">
        <v>0.3</v>
      </c>
      <c r="G2314" s="4">
        <v>1</v>
      </c>
      <c r="H2314" s="4">
        <f t="shared" si="72"/>
        <v>1</v>
      </c>
      <c r="I2314" s="4">
        <f t="shared" si="73"/>
        <v>0</v>
      </c>
      <c r="J2314" s="4">
        <v>0</v>
      </c>
      <c r="K2314" s="4">
        <v>0</v>
      </c>
      <c r="L2314" s="4">
        <v>0</v>
      </c>
      <c r="M2314" s="4">
        <v>0</v>
      </c>
      <c r="N2314" s="4">
        <v>0</v>
      </c>
      <c r="O2314" s="4">
        <v>0</v>
      </c>
    </row>
    <row r="2315" spans="1:15" x14ac:dyDescent="0.15">
      <c r="A2315" s="4">
        <v>2312</v>
      </c>
      <c r="B2315" s="4">
        <v>62</v>
      </c>
      <c r="C2315" s="4">
        <v>37</v>
      </c>
      <c r="D2315" s="4">
        <v>115</v>
      </c>
      <c r="E2315" s="4">
        <v>4</v>
      </c>
      <c r="F2315" s="8">
        <v>3.4</v>
      </c>
      <c r="G2315" s="4">
        <v>2</v>
      </c>
      <c r="H2315" s="4">
        <f t="shared" si="72"/>
        <v>0</v>
      </c>
      <c r="I2315" s="4">
        <f t="shared" si="73"/>
        <v>1</v>
      </c>
      <c r="J2315" s="4">
        <v>0</v>
      </c>
      <c r="K2315" s="4">
        <v>0</v>
      </c>
      <c r="L2315" s="4">
        <v>0</v>
      </c>
      <c r="M2315" s="4">
        <v>1</v>
      </c>
      <c r="N2315" s="4">
        <v>1</v>
      </c>
      <c r="O2315" s="4">
        <v>0</v>
      </c>
    </row>
    <row r="2316" spans="1:15" x14ac:dyDescent="0.15">
      <c r="A2316" s="4">
        <v>2313</v>
      </c>
      <c r="B2316" s="4">
        <v>48</v>
      </c>
      <c r="C2316" s="4">
        <v>22</v>
      </c>
      <c r="D2316" s="4">
        <v>83</v>
      </c>
      <c r="E2316" s="4">
        <v>2</v>
      </c>
      <c r="F2316" s="8">
        <v>2.4</v>
      </c>
      <c r="G2316" s="4">
        <v>2</v>
      </c>
      <c r="H2316" s="4">
        <f t="shared" si="72"/>
        <v>0</v>
      </c>
      <c r="I2316" s="4">
        <f t="shared" si="73"/>
        <v>1</v>
      </c>
      <c r="J2316" s="4">
        <v>0</v>
      </c>
      <c r="K2316" s="4">
        <v>0</v>
      </c>
      <c r="L2316" s="4">
        <v>0</v>
      </c>
      <c r="M2316" s="4">
        <v>1</v>
      </c>
      <c r="N2316" s="4">
        <v>0</v>
      </c>
      <c r="O2316" s="4">
        <v>0</v>
      </c>
    </row>
    <row r="2317" spans="1:15" x14ac:dyDescent="0.15">
      <c r="A2317" s="4">
        <v>2314</v>
      </c>
      <c r="B2317" s="4">
        <v>58</v>
      </c>
      <c r="C2317" s="4">
        <v>32</v>
      </c>
      <c r="D2317" s="4">
        <v>54</v>
      </c>
      <c r="E2317" s="4">
        <v>3</v>
      </c>
      <c r="F2317" s="8">
        <v>0.3</v>
      </c>
      <c r="G2317" s="4">
        <v>2</v>
      </c>
      <c r="H2317" s="4">
        <f t="shared" si="72"/>
        <v>0</v>
      </c>
      <c r="I2317" s="4">
        <f t="shared" si="73"/>
        <v>1</v>
      </c>
      <c r="J2317" s="4">
        <v>0</v>
      </c>
      <c r="K2317" s="4">
        <v>0</v>
      </c>
      <c r="L2317" s="4">
        <v>0</v>
      </c>
      <c r="M2317" s="4">
        <v>1</v>
      </c>
      <c r="N2317" s="4">
        <v>1</v>
      </c>
      <c r="O2317" s="4">
        <v>0</v>
      </c>
    </row>
    <row r="2318" spans="1:15" x14ac:dyDescent="0.15">
      <c r="A2318" s="4">
        <v>2315</v>
      </c>
      <c r="B2318" s="4">
        <v>27</v>
      </c>
      <c r="C2318" s="4">
        <v>2</v>
      </c>
      <c r="D2318" s="4">
        <v>112</v>
      </c>
      <c r="E2318" s="4">
        <v>4</v>
      </c>
      <c r="F2318" s="8">
        <v>1.8</v>
      </c>
      <c r="G2318" s="4">
        <v>3</v>
      </c>
      <c r="H2318" s="4">
        <f t="shared" si="72"/>
        <v>0</v>
      </c>
      <c r="I2318" s="4">
        <f t="shared" si="73"/>
        <v>0</v>
      </c>
      <c r="J2318" s="4">
        <v>0</v>
      </c>
      <c r="K2318" s="4">
        <v>1</v>
      </c>
      <c r="L2318" s="4">
        <v>0</v>
      </c>
      <c r="M2318" s="4">
        <v>1</v>
      </c>
      <c r="N2318" s="4">
        <v>0</v>
      </c>
      <c r="O2318" s="4">
        <v>0</v>
      </c>
    </row>
    <row r="2319" spans="1:15" x14ac:dyDescent="0.15">
      <c r="A2319" s="4">
        <v>2316</v>
      </c>
      <c r="B2319" s="4">
        <v>52</v>
      </c>
      <c r="C2319" s="4">
        <v>26</v>
      </c>
      <c r="D2319" s="4">
        <v>182</v>
      </c>
      <c r="E2319" s="4">
        <v>2</v>
      </c>
      <c r="F2319" s="8">
        <v>1.4</v>
      </c>
      <c r="G2319" s="4">
        <v>2</v>
      </c>
      <c r="H2319" s="4">
        <f t="shared" si="72"/>
        <v>0</v>
      </c>
      <c r="I2319" s="4">
        <f t="shared" si="73"/>
        <v>1</v>
      </c>
      <c r="J2319" s="4">
        <v>0</v>
      </c>
      <c r="K2319" s="4">
        <v>0</v>
      </c>
      <c r="L2319" s="4">
        <v>0</v>
      </c>
      <c r="M2319" s="4">
        <v>1</v>
      </c>
      <c r="N2319" s="4">
        <v>0</v>
      </c>
      <c r="O2319" s="4">
        <v>1</v>
      </c>
    </row>
    <row r="2320" spans="1:15" x14ac:dyDescent="0.15">
      <c r="A2320" s="4">
        <v>2317</v>
      </c>
      <c r="B2320" s="4">
        <v>54</v>
      </c>
      <c r="C2320" s="4">
        <v>30</v>
      </c>
      <c r="D2320" s="4">
        <v>112</v>
      </c>
      <c r="E2320" s="4">
        <v>2</v>
      </c>
      <c r="F2320" s="8">
        <v>6.8</v>
      </c>
      <c r="G2320" s="4">
        <v>1</v>
      </c>
      <c r="H2320" s="4">
        <f t="shared" si="72"/>
        <v>1</v>
      </c>
      <c r="I2320" s="4">
        <f t="shared" si="73"/>
        <v>0</v>
      </c>
      <c r="J2320" s="4">
        <v>0</v>
      </c>
      <c r="K2320" s="4">
        <v>0</v>
      </c>
      <c r="L2320" s="4">
        <v>0</v>
      </c>
      <c r="M2320" s="4">
        <v>1</v>
      </c>
      <c r="N2320" s="4">
        <v>0</v>
      </c>
      <c r="O2320" s="4">
        <v>0</v>
      </c>
    </row>
    <row r="2321" spans="1:15" x14ac:dyDescent="0.15">
      <c r="A2321" s="4">
        <v>2318</v>
      </c>
      <c r="B2321" s="4">
        <v>31</v>
      </c>
      <c r="C2321" s="4">
        <v>5</v>
      </c>
      <c r="D2321" s="4">
        <v>129</v>
      </c>
      <c r="E2321" s="4">
        <v>3</v>
      </c>
      <c r="F2321" s="8">
        <v>5.9</v>
      </c>
      <c r="G2321" s="4">
        <v>3</v>
      </c>
      <c r="H2321" s="4">
        <f t="shared" si="72"/>
        <v>0</v>
      </c>
      <c r="I2321" s="4">
        <f t="shared" si="73"/>
        <v>0</v>
      </c>
      <c r="J2321" s="4">
        <v>319</v>
      </c>
      <c r="K2321" s="4">
        <v>1</v>
      </c>
      <c r="L2321" s="4">
        <v>1</v>
      </c>
      <c r="M2321" s="4">
        <v>0</v>
      </c>
      <c r="N2321" s="4">
        <v>1</v>
      </c>
      <c r="O2321" s="4">
        <v>1</v>
      </c>
    </row>
    <row r="2322" spans="1:15" x14ac:dyDescent="0.15">
      <c r="A2322" s="4">
        <v>2319</v>
      </c>
      <c r="B2322" s="4">
        <v>60</v>
      </c>
      <c r="C2322" s="4">
        <v>34</v>
      </c>
      <c r="D2322" s="4">
        <v>23</v>
      </c>
      <c r="E2322" s="4">
        <v>1</v>
      </c>
      <c r="F2322" s="8">
        <v>0.8</v>
      </c>
      <c r="G2322" s="4">
        <v>2</v>
      </c>
      <c r="H2322" s="4">
        <f t="shared" si="72"/>
        <v>0</v>
      </c>
      <c r="I2322" s="4">
        <f t="shared" si="73"/>
        <v>1</v>
      </c>
      <c r="J2322" s="4">
        <v>112</v>
      </c>
      <c r="K2322" s="4">
        <v>0</v>
      </c>
      <c r="L2322" s="4">
        <v>0</v>
      </c>
      <c r="M2322" s="4">
        <v>1</v>
      </c>
      <c r="N2322" s="4">
        <v>0</v>
      </c>
      <c r="O2322" s="4">
        <v>0</v>
      </c>
    </row>
    <row r="2323" spans="1:15" x14ac:dyDescent="0.15">
      <c r="A2323" s="4">
        <v>2320</v>
      </c>
      <c r="B2323" s="4">
        <v>34</v>
      </c>
      <c r="C2323" s="4">
        <v>9</v>
      </c>
      <c r="D2323" s="4">
        <v>198</v>
      </c>
      <c r="E2323" s="4">
        <v>2</v>
      </c>
      <c r="F2323" s="8">
        <v>3</v>
      </c>
      <c r="G2323" s="4">
        <v>1</v>
      </c>
      <c r="H2323" s="4">
        <f t="shared" si="72"/>
        <v>1</v>
      </c>
      <c r="I2323" s="4">
        <f t="shared" si="73"/>
        <v>0</v>
      </c>
      <c r="J2323" s="4">
        <v>422</v>
      </c>
      <c r="K2323" s="4">
        <v>0</v>
      </c>
      <c r="L2323" s="4">
        <v>0</v>
      </c>
      <c r="M2323" s="4">
        <v>1</v>
      </c>
      <c r="N2323" s="4">
        <v>0</v>
      </c>
      <c r="O2323" s="4">
        <v>0</v>
      </c>
    </row>
    <row r="2324" spans="1:15" x14ac:dyDescent="0.15">
      <c r="A2324" s="4">
        <v>2321</v>
      </c>
      <c r="B2324" s="4">
        <v>46</v>
      </c>
      <c r="C2324" s="4">
        <v>22</v>
      </c>
      <c r="D2324" s="4">
        <v>84</v>
      </c>
      <c r="E2324" s="4">
        <v>4</v>
      </c>
      <c r="F2324" s="8">
        <v>2</v>
      </c>
      <c r="G2324" s="4">
        <v>3</v>
      </c>
      <c r="H2324" s="4">
        <f t="shared" si="72"/>
        <v>0</v>
      </c>
      <c r="I2324" s="4">
        <f t="shared" si="73"/>
        <v>0</v>
      </c>
      <c r="J2324" s="4">
        <v>0</v>
      </c>
      <c r="K2324" s="4">
        <v>0</v>
      </c>
      <c r="L2324" s="4">
        <v>0</v>
      </c>
      <c r="M2324" s="4">
        <v>1</v>
      </c>
      <c r="N2324" s="4">
        <v>0</v>
      </c>
      <c r="O2324" s="4">
        <v>0</v>
      </c>
    </row>
    <row r="2325" spans="1:15" x14ac:dyDescent="0.15">
      <c r="A2325" s="4">
        <v>2322</v>
      </c>
      <c r="B2325" s="4">
        <v>41</v>
      </c>
      <c r="C2325" s="4">
        <v>15</v>
      </c>
      <c r="D2325" s="4">
        <v>39</v>
      </c>
      <c r="E2325" s="4">
        <v>3</v>
      </c>
      <c r="F2325" s="8">
        <v>0.5</v>
      </c>
      <c r="G2325" s="4">
        <v>3</v>
      </c>
      <c r="H2325" s="4">
        <f t="shared" si="72"/>
        <v>0</v>
      </c>
      <c r="I2325" s="4">
        <f t="shared" si="73"/>
        <v>0</v>
      </c>
      <c r="J2325" s="4">
        <v>0</v>
      </c>
      <c r="K2325" s="4">
        <v>0</v>
      </c>
      <c r="L2325" s="4">
        <v>0</v>
      </c>
      <c r="M2325" s="4">
        <v>0</v>
      </c>
      <c r="N2325" s="4">
        <v>0</v>
      </c>
      <c r="O2325" s="4">
        <v>0</v>
      </c>
    </row>
    <row r="2326" spans="1:15" x14ac:dyDescent="0.15">
      <c r="A2326" s="4">
        <v>2323</v>
      </c>
      <c r="B2326" s="4">
        <v>62</v>
      </c>
      <c r="C2326" s="4">
        <v>37</v>
      </c>
      <c r="D2326" s="4">
        <v>129</v>
      </c>
      <c r="E2326" s="4">
        <v>1</v>
      </c>
      <c r="F2326" s="8">
        <v>1.3</v>
      </c>
      <c r="G2326" s="4">
        <v>1</v>
      </c>
      <c r="H2326" s="4">
        <f t="shared" si="72"/>
        <v>1</v>
      </c>
      <c r="I2326" s="4">
        <f t="shared" si="73"/>
        <v>0</v>
      </c>
      <c r="J2326" s="4">
        <v>0</v>
      </c>
      <c r="K2326" s="4">
        <v>0</v>
      </c>
      <c r="L2326" s="4">
        <v>0</v>
      </c>
      <c r="M2326" s="4">
        <v>1</v>
      </c>
      <c r="N2326" s="4">
        <v>0</v>
      </c>
      <c r="O2326" s="4">
        <v>0</v>
      </c>
    </row>
    <row r="2327" spans="1:15" x14ac:dyDescent="0.15">
      <c r="A2327" s="4">
        <v>2324</v>
      </c>
      <c r="B2327" s="4">
        <v>31</v>
      </c>
      <c r="C2327" s="4">
        <v>7</v>
      </c>
      <c r="D2327" s="4">
        <v>113</v>
      </c>
      <c r="E2327" s="4">
        <v>2</v>
      </c>
      <c r="F2327" s="8">
        <v>2</v>
      </c>
      <c r="G2327" s="4">
        <v>2</v>
      </c>
      <c r="H2327" s="4">
        <f t="shared" si="72"/>
        <v>0</v>
      </c>
      <c r="I2327" s="4">
        <f t="shared" si="73"/>
        <v>1</v>
      </c>
      <c r="J2327" s="4">
        <v>315</v>
      </c>
      <c r="K2327" s="4">
        <v>0</v>
      </c>
      <c r="L2327" s="4">
        <v>0</v>
      </c>
      <c r="M2327" s="4">
        <v>0</v>
      </c>
      <c r="N2327" s="4">
        <v>0</v>
      </c>
      <c r="O2327" s="4">
        <v>0</v>
      </c>
    </row>
    <row r="2328" spans="1:15" x14ac:dyDescent="0.15">
      <c r="A2328" s="4">
        <v>2325</v>
      </c>
      <c r="B2328" s="4">
        <v>41</v>
      </c>
      <c r="C2328" s="4">
        <v>11</v>
      </c>
      <c r="D2328" s="4">
        <v>35</v>
      </c>
      <c r="E2328" s="4">
        <v>1</v>
      </c>
      <c r="F2328" s="8">
        <v>0.75</v>
      </c>
      <c r="G2328" s="4">
        <v>3</v>
      </c>
      <c r="H2328" s="4">
        <f t="shared" si="72"/>
        <v>0</v>
      </c>
      <c r="I2328" s="4">
        <f t="shared" si="73"/>
        <v>0</v>
      </c>
      <c r="J2328" s="4">
        <v>114</v>
      </c>
      <c r="K2328" s="4">
        <v>0</v>
      </c>
      <c r="L2328" s="4">
        <v>0</v>
      </c>
      <c r="M2328" s="4">
        <v>1</v>
      </c>
      <c r="N2328" s="4">
        <v>0</v>
      </c>
      <c r="O2328" s="4">
        <v>0</v>
      </c>
    </row>
    <row r="2329" spans="1:15" x14ac:dyDescent="0.15">
      <c r="A2329" s="4">
        <v>2326</v>
      </c>
      <c r="B2329" s="4">
        <v>55</v>
      </c>
      <c r="C2329" s="4">
        <v>30</v>
      </c>
      <c r="D2329" s="4">
        <v>85</v>
      </c>
      <c r="E2329" s="4">
        <v>1</v>
      </c>
      <c r="F2329" s="8">
        <v>0.1</v>
      </c>
      <c r="G2329" s="4">
        <v>3</v>
      </c>
      <c r="H2329" s="4">
        <f t="shared" si="72"/>
        <v>0</v>
      </c>
      <c r="I2329" s="4">
        <f t="shared" si="73"/>
        <v>0</v>
      </c>
      <c r="J2329" s="4">
        <v>0</v>
      </c>
      <c r="K2329" s="4">
        <v>0</v>
      </c>
      <c r="L2329" s="4">
        <v>0</v>
      </c>
      <c r="M2329" s="4">
        <v>0</v>
      </c>
      <c r="N2329" s="4">
        <v>0</v>
      </c>
      <c r="O2329" s="4">
        <v>0</v>
      </c>
    </row>
    <row r="2330" spans="1:15" x14ac:dyDescent="0.15">
      <c r="A2330" s="4">
        <v>2327</v>
      </c>
      <c r="B2330" s="4">
        <v>45</v>
      </c>
      <c r="C2330" s="4">
        <v>19</v>
      </c>
      <c r="D2330" s="4">
        <v>73</v>
      </c>
      <c r="E2330" s="4">
        <v>4</v>
      </c>
      <c r="F2330" s="8">
        <v>2.9</v>
      </c>
      <c r="G2330" s="4">
        <v>1</v>
      </c>
      <c r="H2330" s="4">
        <f t="shared" si="72"/>
        <v>1</v>
      </c>
      <c r="I2330" s="4">
        <f t="shared" si="73"/>
        <v>0</v>
      </c>
      <c r="J2330" s="4">
        <v>0</v>
      </c>
      <c r="K2330" s="4">
        <v>0</v>
      </c>
      <c r="L2330" s="4">
        <v>0</v>
      </c>
      <c r="M2330" s="4">
        <v>0</v>
      </c>
      <c r="N2330" s="4">
        <v>0</v>
      </c>
      <c r="O2330" s="4">
        <v>0</v>
      </c>
    </row>
    <row r="2331" spans="1:15" x14ac:dyDescent="0.15">
      <c r="A2331" s="4">
        <v>2328</v>
      </c>
      <c r="B2331" s="4">
        <v>51</v>
      </c>
      <c r="C2331" s="4">
        <v>25</v>
      </c>
      <c r="D2331" s="4">
        <v>70</v>
      </c>
      <c r="E2331" s="4">
        <v>1</v>
      </c>
      <c r="F2331" s="8">
        <v>0.8</v>
      </c>
      <c r="G2331" s="4">
        <v>3</v>
      </c>
      <c r="H2331" s="4">
        <f t="shared" si="72"/>
        <v>0</v>
      </c>
      <c r="I2331" s="4">
        <f t="shared" si="73"/>
        <v>0</v>
      </c>
      <c r="J2331" s="4">
        <v>0</v>
      </c>
      <c r="K2331" s="4">
        <v>1</v>
      </c>
      <c r="L2331" s="4">
        <v>0</v>
      </c>
      <c r="M2331" s="4">
        <v>1</v>
      </c>
      <c r="N2331" s="4">
        <v>0</v>
      </c>
      <c r="O2331" s="4">
        <v>0</v>
      </c>
    </row>
    <row r="2332" spans="1:15" x14ac:dyDescent="0.15">
      <c r="A2332" s="4">
        <v>2329</v>
      </c>
      <c r="B2332" s="4">
        <v>27</v>
      </c>
      <c r="C2332" s="4">
        <v>2</v>
      </c>
      <c r="D2332" s="4">
        <v>130</v>
      </c>
      <c r="E2332" s="4">
        <v>3</v>
      </c>
      <c r="F2332" s="8">
        <v>4.4000000000000004</v>
      </c>
      <c r="G2332" s="4">
        <v>1</v>
      </c>
      <c r="H2332" s="4">
        <f t="shared" si="72"/>
        <v>1</v>
      </c>
      <c r="I2332" s="4">
        <f t="shared" si="73"/>
        <v>0</v>
      </c>
      <c r="J2332" s="4">
        <v>192</v>
      </c>
      <c r="K2332" s="4">
        <v>0</v>
      </c>
      <c r="L2332" s="4">
        <v>0</v>
      </c>
      <c r="M2332" s="4">
        <v>1</v>
      </c>
      <c r="N2332" s="4">
        <v>0</v>
      </c>
      <c r="O2332" s="4">
        <v>1</v>
      </c>
    </row>
    <row r="2333" spans="1:15" x14ac:dyDescent="0.15">
      <c r="A2333" s="4">
        <v>2330</v>
      </c>
      <c r="B2333" s="4">
        <v>30</v>
      </c>
      <c r="C2333" s="4">
        <v>4</v>
      </c>
      <c r="D2333" s="4">
        <v>39</v>
      </c>
      <c r="E2333" s="4">
        <v>1</v>
      </c>
      <c r="F2333" s="8">
        <v>1.5</v>
      </c>
      <c r="G2333" s="4">
        <v>1</v>
      </c>
      <c r="H2333" s="4">
        <f t="shared" si="72"/>
        <v>1</v>
      </c>
      <c r="I2333" s="4">
        <f t="shared" si="73"/>
        <v>0</v>
      </c>
      <c r="J2333" s="4">
        <v>0</v>
      </c>
      <c r="K2333" s="4">
        <v>0</v>
      </c>
      <c r="L2333" s="4">
        <v>0</v>
      </c>
      <c r="M2333" s="4">
        <v>1</v>
      </c>
      <c r="N2333" s="4">
        <v>0</v>
      </c>
      <c r="O2333" s="4">
        <v>0</v>
      </c>
    </row>
    <row r="2334" spans="1:15" x14ac:dyDescent="0.15">
      <c r="A2334" s="4">
        <v>2331</v>
      </c>
      <c r="B2334" s="4">
        <v>31</v>
      </c>
      <c r="C2334" s="4">
        <v>5</v>
      </c>
      <c r="D2334" s="4">
        <v>72</v>
      </c>
      <c r="E2334" s="4">
        <v>4</v>
      </c>
      <c r="F2334" s="8">
        <v>1.8</v>
      </c>
      <c r="G2334" s="4">
        <v>2</v>
      </c>
      <c r="H2334" s="4">
        <f t="shared" si="72"/>
        <v>0</v>
      </c>
      <c r="I2334" s="4">
        <f t="shared" si="73"/>
        <v>1</v>
      </c>
      <c r="J2334" s="4">
        <v>242</v>
      </c>
      <c r="K2334" s="4">
        <v>0</v>
      </c>
      <c r="L2334" s="4">
        <v>0</v>
      </c>
      <c r="M2334" s="4">
        <v>1</v>
      </c>
      <c r="N2334" s="4">
        <v>1</v>
      </c>
      <c r="O2334" s="4">
        <v>0</v>
      </c>
    </row>
    <row r="2335" spans="1:15" x14ac:dyDescent="0.15">
      <c r="A2335" s="4">
        <v>2332</v>
      </c>
      <c r="B2335" s="4">
        <v>61</v>
      </c>
      <c r="C2335" s="4">
        <v>37</v>
      </c>
      <c r="D2335" s="4">
        <v>68</v>
      </c>
      <c r="E2335" s="4">
        <v>4</v>
      </c>
      <c r="F2335" s="8">
        <v>2.2999999999999998</v>
      </c>
      <c r="G2335" s="4">
        <v>3</v>
      </c>
      <c r="H2335" s="4">
        <f t="shared" si="72"/>
        <v>0</v>
      </c>
      <c r="I2335" s="4">
        <f t="shared" si="73"/>
        <v>0</v>
      </c>
      <c r="J2335" s="4">
        <v>0</v>
      </c>
      <c r="K2335" s="4">
        <v>0</v>
      </c>
      <c r="L2335" s="4">
        <v>0</v>
      </c>
      <c r="M2335" s="4">
        <v>0</v>
      </c>
      <c r="N2335" s="4">
        <v>0</v>
      </c>
      <c r="O2335" s="4">
        <v>0</v>
      </c>
    </row>
    <row r="2336" spans="1:15" x14ac:dyDescent="0.15">
      <c r="A2336" s="4">
        <v>2333</v>
      </c>
      <c r="B2336" s="4">
        <v>40</v>
      </c>
      <c r="C2336" s="4">
        <v>16</v>
      </c>
      <c r="D2336" s="4">
        <v>35</v>
      </c>
      <c r="E2336" s="4">
        <v>1</v>
      </c>
      <c r="F2336" s="8">
        <v>1.4</v>
      </c>
      <c r="G2336" s="4">
        <v>3</v>
      </c>
      <c r="H2336" s="4">
        <f t="shared" si="72"/>
        <v>0</v>
      </c>
      <c r="I2336" s="4">
        <f t="shared" si="73"/>
        <v>0</v>
      </c>
      <c r="J2336" s="4">
        <v>0</v>
      </c>
      <c r="K2336" s="4">
        <v>0</v>
      </c>
      <c r="L2336" s="4">
        <v>0</v>
      </c>
      <c r="M2336" s="4">
        <v>1</v>
      </c>
      <c r="N2336" s="4">
        <v>1</v>
      </c>
      <c r="O2336" s="4">
        <v>0</v>
      </c>
    </row>
    <row r="2337" spans="1:15" x14ac:dyDescent="0.15">
      <c r="A2337" s="4">
        <v>2334</v>
      </c>
      <c r="B2337" s="4">
        <v>45</v>
      </c>
      <c r="C2337" s="4">
        <v>21</v>
      </c>
      <c r="D2337" s="4">
        <v>61</v>
      </c>
      <c r="E2337" s="4">
        <v>3</v>
      </c>
      <c r="F2337" s="8">
        <v>0.7</v>
      </c>
      <c r="G2337" s="4">
        <v>1</v>
      </c>
      <c r="H2337" s="4">
        <f t="shared" si="72"/>
        <v>1</v>
      </c>
      <c r="I2337" s="4">
        <f t="shared" si="73"/>
        <v>0</v>
      </c>
      <c r="J2337" s="4">
        <v>0</v>
      </c>
      <c r="K2337" s="4">
        <v>1</v>
      </c>
      <c r="L2337" s="4">
        <v>1</v>
      </c>
      <c r="M2337" s="4">
        <v>1</v>
      </c>
      <c r="N2337" s="4">
        <v>1</v>
      </c>
      <c r="O2337" s="4">
        <v>0</v>
      </c>
    </row>
    <row r="2338" spans="1:15" x14ac:dyDescent="0.15">
      <c r="A2338" s="4">
        <v>2335</v>
      </c>
      <c r="B2338" s="4">
        <v>45</v>
      </c>
      <c r="C2338" s="4">
        <v>21</v>
      </c>
      <c r="D2338" s="4">
        <v>69</v>
      </c>
      <c r="E2338" s="4">
        <v>4</v>
      </c>
      <c r="F2338" s="8">
        <v>1.9</v>
      </c>
      <c r="G2338" s="4">
        <v>1</v>
      </c>
      <c r="H2338" s="4">
        <f t="shared" si="72"/>
        <v>1</v>
      </c>
      <c r="I2338" s="4">
        <f t="shared" si="73"/>
        <v>0</v>
      </c>
      <c r="J2338" s="4">
        <v>0</v>
      </c>
      <c r="K2338" s="4">
        <v>0</v>
      </c>
      <c r="L2338" s="4">
        <v>0</v>
      </c>
      <c r="M2338" s="4">
        <v>0</v>
      </c>
      <c r="N2338" s="4">
        <v>0</v>
      </c>
      <c r="O2338" s="4">
        <v>0</v>
      </c>
    </row>
    <row r="2339" spans="1:15" x14ac:dyDescent="0.15">
      <c r="A2339" s="4">
        <v>2336</v>
      </c>
      <c r="B2339" s="4">
        <v>37</v>
      </c>
      <c r="C2339" s="4">
        <v>13</v>
      </c>
      <c r="D2339" s="4">
        <v>59</v>
      </c>
      <c r="E2339" s="4">
        <v>1</v>
      </c>
      <c r="F2339" s="8">
        <v>3.6</v>
      </c>
      <c r="G2339" s="4">
        <v>2</v>
      </c>
      <c r="H2339" s="4">
        <f t="shared" si="72"/>
        <v>0</v>
      </c>
      <c r="I2339" s="4">
        <f t="shared" si="73"/>
        <v>1</v>
      </c>
      <c r="J2339" s="4">
        <v>0</v>
      </c>
      <c r="K2339" s="4">
        <v>0</v>
      </c>
      <c r="L2339" s="4">
        <v>0</v>
      </c>
      <c r="M2339" s="4">
        <v>0</v>
      </c>
      <c r="N2339" s="4">
        <v>0</v>
      </c>
      <c r="O2339" s="4">
        <v>0</v>
      </c>
    </row>
    <row r="2340" spans="1:15" x14ac:dyDescent="0.15">
      <c r="A2340" s="4">
        <v>2337</v>
      </c>
      <c r="B2340" s="4">
        <v>34</v>
      </c>
      <c r="C2340" s="4">
        <v>8</v>
      </c>
      <c r="D2340" s="4">
        <v>99</v>
      </c>
      <c r="E2340" s="4">
        <v>2</v>
      </c>
      <c r="F2340" s="8">
        <v>4.5</v>
      </c>
      <c r="G2340" s="4">
        <v>3</v>
      </c>
      <c r="H2340" s="4">
        <f t="shared" si="72"/>
        <v>0</v>
      </c>
      <c r="I2340" s="4">
        <f t="shared" si="73"/>
        <v>0</v>
      </c>
      <c r="J2340" s="4">
        <v>217</v>
      </c>
      <c r="K2340" s="4">
        <v>0</v>
      </c>
      <c r="L2340" s="4">
        <v>0</v>
      </c>
      <c r="M2340" s="4">
        <v>0</v>
      </c>
      <c r="N2340" s="4">
        <v>0</v>
      </c>
      <c r="O2340" s="4">
        <v>0</v>
      </c>
    </row>
    <row r="2341" spans="1:15" x14ac:dyDescent="0.15">
      <c r="A2341" s="4">
        <v>2338</v>
      </c>
      <c r="B2341" s="4">
        <v>43</v>
      </c>
      <c r="C2341" s="4">
        <v>16</v>
      </c>
      <c r="D2341" s="4">
        <v>201</v>
      </c>
      <c r="E2341" s="4">
        <v>1</v>
      </c>
      <c r="F2341" s="8">
        <v>10</v>
      </c>
      <c r="G2341" s="4">
        <v>2</v>
      </c>
      <c r="H2341" s="4">
        <f t="shared" si="72"/>
        <v>0</v>
      </c>
      <c r="I2341" s="4">
        <f t="shared" si="73"/>
        <v>1</v>
      </c>
      <c r="J2341" s="4">
        <v>0</v>
      </c>
      <c r="K2341" s="4">
        <v>0</v>
      </c>
      <c r="L2341" s="4">
        <v>0</v>
      </c>
      <c r="M2341" s="4">
        <v>0</v>
      </c>
      <c r="N2341" s="4">
        <v>1</v>
      </c>
      <c r="O2341" s="4">
        <v>1</v>
      </c>
    </row>
    <row r="2342" spans="1:15" x14ac:dyDescent="0.15">
      <c r="A2342" s="4">
        <v>2339</v>
      </c>
      <c r="B2342" s="4">
        <v>42</v>
      </c>
      <c r="C2342" s="4">
        <v>18</v>
      </c>
      <c r="D2342" s="4">
        <v>130</v>
      </c>
      <c r="E2342" s="4">
        <v>2</v>
      </c>
      <c r="F2342" s="8">
        <v>7.5</v>
      </c>
      <c r="G2342" s="4">
        <v>1</v>
      </c>
      <c r="H2342" s="4">
        <f t="shared" si="72"/>
        <v>1</v>
      </c>
      <c r="I2342" s="4">
        <f t="shared" si="73"/>
        <v>0</v>
      </c>
      <c r="J2342" s="4">
        <v>0</v>
      </c>
      <c r="K2342" s="4">
        <v>0</v>
      </c>
      <c r="L2342" s="4">
        <v>0</v>
      </c>
      <c r="M2342" s="4">
        <v>0</v>
      </c>
      <c r="N2342" s="4">
        <v>1</v>
      </c>
      <c r="O2342" s="4">
        <v>0</v>
      </c>
    </row>
    <row r="2343" spans="1:15" x14ac:dyDescent="0.15">
      <c r="A2343" s="4">
        <v>2340</v>
      </c>
      <c r="B2343" s="4">
        <v>56</v>
      </c>
      <c r="C2343" s="4">
        <v>31</v>
      </c>
      <c r="D2343" s="4">
        <v>72</v>
      </c>
      <c r="E2343" s="4">
        <v>3</v>
      </c>
      <c r="F2343" s="8">
        <v>2</v>
      </c>
      <c r="G2343" s="4">
        <v>2</v>
      </c>
      <c r="H2343" s="4">
        <f t="shared" si="72"/>
        <v>0</v>
      </c>
      <c r="I2343" s="4">
        <f t="shared" si="73"/>
        <v>1</v>
      </c>
      <c r="J2343" s="4">
        <v>0</v>
      </c>
      <c r="K2343" s="4">
        <v>0</v>
      </c>
      <c r="L2343" s="4">
        <v>0</v>
      </c>
      <c r="M2343" s="4">
        <v>0</v>
      </c>
      <c r="N2343" s="4">
        <v>0</v>
      </c>
      <c r="O2343" s="4">
        <v>0</v>
      </c>
    </row>
    <row r="2344" spans="1:15" x14ac:dyDescent="0.15">
      <c r="A2344" s="4">
        <v>2341</v>
      </c>
      <c r="B2344" s="4">
        <v>33</v>
      </c>
      <c r="C2344" s="4">
        <v>9</v>
      </c>
      <c r="D2344" s="4">
        <v>44</v>
      </c>
      <c r="E2344" s="4">
        <v>1</v>
      </c>
      <c r="F2344" s="8">
        <v>1.2</v>
      </c>
      <c r="G2344" s="4">
        <v>1</v>
      </c>
      <c r="H2344" s="4">
        <f t="shared" si="72"/>
        <v>1</v>
      </c>
      <c r="I2344" s="4">
        <f t="shared" si="73"/>
        <v>0</v>
      </c>
      <c r="J2344" s="4">
        <v>0</v>
      </c>
      <c r="K2344" s="4">
        <v>0</v>
      </c>
      <c r="L2344" s="4">
        <v>0</v>
      </c>
      <c r="M2344" s="4">
        <v>0</v>
      </c>
      <c r="N2344" s="4">
        <v>0</v>
      </c>
      <c r="O2344" s="4">
        <v>0</v>
      </c>
    </row>
    <row r="2345" spans="1:15" x14ac:dyDescent="0.15">
      <c r="A2345" s="4">
        <v>2342</v>
      </c>
      <c r="B2345" s="4">
        <v>36</v>
      </c>
      <c r="C2345" s="4">
        <v>10</v>
      </c>
      <c r="D2345" s="4">
        <v>91</v>
      </c>
      <c r="E2345" s="4">
        <v>1</v>
      </c>
      <c r="F2345" s="8">
        <v>1.5</v>
      </c>
      <c r="G2345" s="4">
        <v>3</v>
      </c>
      <c r="H2345" s="4">
        <f t="shared" si="72"/>
        <v>0</v>
      </c>
      <c r="I2345" s="4">
        <f t="shared" si="73"/>
        <v>0</v>
      </c>
      <c r="J2345" s="4">
        <v>289</v>
      </c>
      <c r="K2345" s="4">
        <v>0</v>
      </c>
      <c r="L2345" s="4">
        <v>0</v>
      </c>
      <c r="M2345" s="4">
        <v>1</v>
      </c>
      <c r="N2345" s="4">
        <v>0</v>
      </c>
      <c r="O2345" s="4">
        <v>0</v>
      </c>
    </row>
    <row r="2346" spans="1:15" x14ac:dyDescent="0.15">
      <c r="A2346" s="4">
        <v>2343</v>
      </c>
      <c r="B2346" s="4">
        <v>62</v>
      </c>
      <c r="C2346" s="4">
        <v>37</v>
      </c>
      <c r="D2346" s="4">
        <v>92</v>
      </c>
      <c r="E2346" s="4">
        <v>3</v>
      </c>
      <c r="F2346" s="8">
        <v>0.5</v>
      </c>
      <c r="G2346" s="4">
        <v>1</v>
      </c>
      <c r="H2346" s="4">
        <f t="shared" si="72"/>
        <v>1</v>
      </c>
      <c r="I2346" s="4">
        <f t="shared" si="73"/>
        <v>0</v>
      </c>
      <c r="J2346" s="4">
        <v>310</v>
      </c>
      <c r="K2346" s="4">
        <v>0</v>
      </c>
      <c r="L2346" s="4">
        <v>0</v>
      </c>
      <c r="M2346" s="4">
        <v>1</v>
      </c>
      <c r="N2346" s="4">
        <v>0</v>
      </c>
      <c r="O2346" s="4">
        <v>0</v>
      </c>
    </row>
    <row r="2347" spans="1:15" x14ac:dyDescent="0.15">
      <c r="A2347" s="4">
        <v>2344</v>
      </c>
      <c r="B2347" s="4">
        <v>58</v>
      </c>
      <c r="C2347" s="4">
        <v>34</v>
      </c>
      <c r="D2347" s="4">
        <v>55</v>
      </c>
      <c r="E2347" s="4">
        <v>1</v>
      </c>
      <c r="F2347" s="8">
        <v>0.8</v>
      </c>
      <c r="G2347" s="4">
        <v>1</v>
      </c>
      <c r="H2347" s="4">
        <f t="shared" si="72"/>
        <v>1</v>
      </c>
      <c r="I2347" s="4">
        <f t="shared" si="73"/>
        <v>0</v>
      </c>
      <c r="J2347" s="4">
        <v>168</v>
      </c>
      <c r="K2347" s="4">
        <v>0</v>
      </c>
      <c r="L2347" s="4">
        <v>0</v>
      </c>
      <c r="M2347" s="4">
        <v>1</v>
      </c>
      <c r="N2347" s="4">
        <v>1</v>
      </c>
      <c r="O2347" s="4">
        <v>0</v>
      </c>
    </row>
    <row r="2348" spans="1:15" x14ac:dyDescent="0.15">
      <c r="A2348" s="4">
        <v>2345</v>
      </c>
      <c r="B2348" s="4">
        <v>65</v>
      </c>
      <c r="C2348" s="4">
        <v>40</v>
      </c>
      <c r="D2348" s="4">
        <v>20</v>
      </c>
      <c r="E2348" s="4">
        <v>3</v>
      </c>
      <c r="F2348" s="8">
        <v>0.5</v>
      </c>
      <c r="G2348" s="4">
        <v>1</v>
      </c>
      <c r="H2348" s="4">
        <f t="shared" si="72"/>
        <v>1</v>
      </c>
      <c r="I2348" s="4">
        <f t="shared" si="73"/>
        <v>0</v>
      </c>
      <c r="J2348" s="4">
        <v>102</v>
      </c>
      <c r="K2348" s="4">
        <v>0</v>
      </c>
      <c r="L2348" s="4">
        <v>0</v>
      </c>
      <c r="M2348" s="4">
        <v>1</v>
      </c>
      <c r="N2348" s="4">
        <v>1</v>
      </c>
      <c r="O2348" s="4">
        <v>0</v>
      </c>
    </row>
    <row r="2349" spans="1:15" x14ac:dyDescent="0.15">
      <c r="A2349" s="4">
        <v>2346</v>
      </c>
      <c r="B2349" s="4">
        <v>65</v>
      </c>
      <c r="C2349" s="4">
        <v>40</v>
      </c>
      <c r="D2349" s="4">
        <v>89</v>
      </c>
      <c r="E2349" s="4">
        <v>1</v>
      </c>
      <c r="F2349" s="8">
        <v>4.0999999999999996</v>
      </c>
      <c r="G2349" s="4">
        <v>1</v>
      </c>
      <c r="H2349" s="4">
        <f t="shared" si="72"/>
        <v>1</v>
      </c>
      <c r="I2349" s="4">
        <f t="shared" si="73"/>
        <v>0</v>
      </c>
      <c r="J2349" s="4">
        <v>299</v>
      </c>
      <c r="K2349" s="4">
        <v>0</v>
      </c>
      <c r="L2349" s="4">
        <v>1</v>
      </c>
      <c r="M2349" s="4">
        <v>1</v>
      </c>
      <c r="N2349" s="4">
        <v>0</v>
      </c>
      <c r="O2349" s="4">
        <v>1</v>
      </c>
    </row>
    <row r="2350" spans="1:15" x14ac:dyDescent="0.15">
      <c r="A2350" s="4">
        <v>2347</v>
      </c>
      <c r="B2350" s="4">
        <v>52</v>
      </c>
      <c r="C2350" s="4">
        <v>26</v>
      </c>
      <c r="D2350" s="4">
        <v>59</v>
      </c>
      <c r="E2350" s="4">
        <v>2</v>
      </c>
      <c r="F2350" s="8">
        <v>1.5</v>
      </c>
      <c r="G2350" s="4">
        <v>2</v>
      </c>
      <c r="H2350" s="4">
        <f t="shared" si="72"/>
        <v>0</v>
      </c>
      <c r="I2350" s="4">
        <f t="shared" si="73"/>
        <v>1</v>
      </c>
      <c r="J2350" s="4">
        <v>239</v>
      </c>
      <c r="K2350" s="4">
        <v>0</v>
      </c>
      <c r="L2350" s="4">
        <v>0</v>
      </c>
      <c r="M2350" s="4">
        <v>0</v>
      </c>
      <c r="N2350" s="4">
        <v>1</v>
      </c>
      <c r="O2350" s="4">
        <v>0</v>
      </c>
    </row>
    <row r="2351" spans="1:15" x14ac:dyDescent="0.15">
      <c r="A2351" s="4">
        <v>2348</v>
      </c>
      <c r="B2351" s="4">
        <v>64</v>
      </c>
      <c r="C2351" s="4">
        <v>39</v>
      </c>
      <c r="D2351" s="4">
        <v>8</v>
      </c>
      <c r="E2351" s="4">
        <v>3</v>
      </c>
      <c r="F2351" s="8">
        <v>0.1</v>
      </c>
      <c r="G2351" s="4">
        <v>3</v>
      </c>
      <c r="H2351" s="4">
        <f t="shared" si="72"/>
        <v>0</v>
      </c>
      <c r="I2351" s="4">
        <f t="shared" si="73"/>
        <v>0</v>
      </c>
      <c r="J2351" s="4">
        <v>87</v>
      </c>
      <c r="K2351" s="4">
        <v>0</v>
      </c>
      <c r="L2351" s="4">
        <v>0</v>
      </c>
      <c r="M2351" s="4">
        <v>0</v>
      </c>
      <c r="N2351" s="4">
        <v>1</v>
      </c>
      <c r="O2351" s="4">
        <v>0</v>
      </c>
    </row>
    <row r="2352" spans="1:15" x14ac:dyDescent="0.15">
      <c r="A2352" s="4">
        <v>2349</v>
      </c>
      <c r="B2352" s="4">
        <v>51</v>
      </c>
      <c r="C2352" s="4">
        <v>25</v>
      </c>
      <c r="D2352" s="4">
        <v>85</v>
      </c>
      <c r="E2352" s="4">
        <v>4</v>
      </c>
      <c r="F2352" s="8">
        <v>4.9000000000000004</v>
      </c>
      <c r="G2352" s="4">
        <v>1</v>
      </c>
      <c r="H2352" s="4">
        <f t="shared" si="72"/>
        <v>1</v>
      </c>
      <c r="I2352" s="4">
        <f t="shared" si="73"/>
        <v>0</v>
      </c>
      <c r="J2352" s="4">
        <v>0</v>
      </c>
      <c r="K2352" s="4">
        <v>0</v>
      </c>
      <c r="L2352" s="4">
        <v>0</v>
      </c>
      <c r="M2352" s="4">
        <v>1</v>
      </c>
      <c r="N2352" s="4">
        <v>1</v>
      </c>
      <c r="O2352" s="4">
        <v>0</v>
      </c>
    </row>
    <row r="2353" spans="1:15" x14ac:dyDescent="0.15">
      <c r="A2353" s="4">
        <v>2350</v>
      </c>
      <c r="B2353" s="4">
        <v>59</v>
      </c>
      <c r="C2353" s="4">
        <v>35</v>
      </c>
      <c r="D2353" s="4">
        <v>94</v>
      </c>
      <c r="E2353" s="4">
        <v>1</v>
      </c>
      <c r="F2353" s="8">
        <v>4.3</v>
      </c>
      <c r="G2353" s="4">
        <v>1</v>
      </c>
      <c r="H2353" s="4">
        <f t="shared" si="72"/>
        <v>1</v>
      </c>
      <c r="I2353" s="4">
        <f t="shared" si="73"/>
        <v>0</v>
      </c>
      <c r="J2353" s="4">
        <v>76</v>
      </c>
      <c r="K2353" s="4">
        <v>1</v>
      </c>
      <c r="L2353" s="4">
        <v>1</v>
      </c>
      <c r="M2353" s="4">
        <v>1</v>
      </c>
      <c r="N2353" s="4">
        <v>0</v>
      </c>
      <c r="O2353" s="4">
        <v>0</v>
      </c>
    </row>
    <row r="2354" spans="1:15" x14ac:dyDescent="0.15">
      <c r="A2354" s="4">
        <v>2351</v>
      </c>
      <c r="B2354" s="4">
        <v>52</v>
      </c>
      <c r="C2354" s="4">
        <v>28</v>
      </c>
      <c r="D2354" s="4">
        <v>22</v>
      </c>
      <c r="E2354" s="4">
        <v>2</v>
      </c>
      <c r="F2354" s="8">
        <v>0.4</v>
      </c>
      <c r="G2354" s="4">
        <v>1</v>
      </c>
      <c r="H2354" s="4">
        <f t="shared" si="72"/>
        <v>1</v>
      </c>
      <c r="I2354" s="4">
        <f t="shared" si="73"/>
        <v>0</v>
      </c>
      <c r="J2354" s="4">
        <v>0</v>
      </c>
      <c r="K2354" s="4">
        <v>0</v>
      </c>
      <c r="L2354" s="4">
        <v>0</v>
      </c>
      <c r="M2354" s="4">
        <v>1</v>
      </c>
      <c r="N2354" s="4">
        <v>1</v>
      </c>
      <c r="O2354" s="4">
        <v>0</v>
      </c>
    </row>
    <row r="2355" spans="1:15" x14ac:dyDescent="0.15">
      <c r="A2355" s="4">
        <v>2352</v>
      </c>
      <c r="B2355" s="4">
        <v>55</v>
      </c>
      <c r="C2355" s="4">
        <v>31</v>
      </c>
      <c r="D2355" s="4">
        <v>74</v>
      </c>
      <c r="E2355" s="4">
        <v>2</v>
      </c>
      <c r="F2355" s="8">
        <v>3.2</v>
      </c>
      <c r="G2355" s="4">
        <v>3</v>
      </c>
      <c r="H2355" s="4">
        <f t="shared" si="72"/>
        <v>0</v>
      </c>
      <c r="I2355" s="4">
        <f t="shared" si="73"/>
        <v>0</v>
      </c>
      <c r="J2355" s="4">
        <v>0</v>
      </c>
      <c r="K2355" s="4">
        <v>0</v>
      </c>
      <c r="L2355" s="4">
        <v>0</v>
      </c>
      <c r="M2355" s="4">
        <v>1</v>
      </c>
      <c r="N2355" s="4">
        <v>1</v>
      </c>
      <c r="O2355" s="4">
        <v>0</v>
      </c>
    </row>
    <row r="2356" spans="1:15" x14ac:dyDescent="0.15">
      <c r="A2356" s="4">
        <v>2353</v>
      </c>
      <c r="B2356" s="4">
        <v>46</v>
      </c>
      <c r="C2356" s="4">
        <v>19</v>
      </c>
      <c r="D2356" s="4">
        <v>59</v>
      </c>
      <c r="E2356" s="4">
        <v>3</v>
      </c>
      <c r="F2356" s="8">
        <v>2.6666666666666665</v>
      </c>
      <c r="G2356" s="4">
        <v>2</v>
      </c>
      <c r="H2356" s="4">
        <f t="shared" si="72"/>
        <v>0</v>
      </c>
      <c r="I2356" s="4">
        <f t="shared" si="73"/>
        <v>1</v>
      </c>
      <c r="J2356" s="4">
        <v>0</v>
      </c>
      <c r="K2356" s="4">
        <v>0</v>
      </c>
      <c r="L2356" s="4">
        <v>0</v>
      </c>
      <c r="M2356" s="4">
        <v>0</v>
      </c>
      <c r="N2356" s="4">
        <v>0</v>
      </c>
      <c r="O2356" s="4">
        <v>0</v>
      </c>
    </row>
    <row r="2357" spans="1:15" x14ac:dyDescent="0.15">
      <c r="A2357" s="4">
        <v>2354</v>
      </c>
      <c r="B2357" s="4">
        <v>61</v>
      </c>
      <c r="C2357" s="4">
        <v>36</v>
      </c>
      <c r="D2357" s="4">
        <v>12</v>
      </c>
      <c r="E2357" s="4">
        <v>4</v>
      </c>
      <c r="F2357" s="8">
        <v>0.6</v>
      </c>
      <c r="G2357" s="4">
        <v>2</v>
      </c>
      <c r="H2357" s="4">
        <f t="shared" si="72"/>
        <v>0</v>
      </c>
      <c r="I2357" s="4">
        <f t="shared" si="73"/>
        <v>1</v>
      </c>
      <c r="J2357" s="4">
        <v>0</v>
      </c>
      <c r="K2357" s="4">
        <v>0</v>
      </c>
      <c r="L2357" s="4">
        <v>0</v>
      </c>
      <c r="M2357" s="4">
        <v>1</v>
      </c>
      <c r="N2357" s="4">
        <v>1</v>
      </c>
      <c r="O2357" s="4">
        <v>0</v>
      </c>
    </row>
    <row r="2358" spans="1:15" x14ac:dyDescent="0.15">
      <c r="A2358" s="4">
        <v>2355</v>
      </c>
      <c r="B2358" s="4">
        <v>35</v>
      </c>
      <c r="C2358" s="4">
        <v>9</v>
      </c>
      <c r="D2358" s="4">
        <v>8</v>
      </c>
      <c r="E2358" s="4">
        <v>1</v>
      </c>
      <c r="F2358" s="8">
        <v>0.4</v>
      </c>
      <c r="G2358" s="4">
        <v>2</v>
      </c>
      <c r="H2358" s="4">
        <f t="shared" si="72"/>
        <v>0</v>
      </c>
      <c r="I2358" s="4">
        <f t="shared" si="73"/>
        <v>1</v>
      </c>
      <c r="J2358" s="4">
        <v>0</v>
      </c>
      <c r="K2358" s="4">
        <v>0</v>
      </c>
      <c r="L2358" s="4">
        <v>0</v>
      </c>
      <c r="M2358" s="4">
        <v>1</v>
      </c>
      <c r="N2358" s="4">
        <v>0</v>
      </c>
      <c r="O2358" s="4">
        <v>0</v>
      </c>
    </row>
    <row r="2359" spans="1:15" x14ac:dyDescent="0.15">
      <c r="A2359" s="4">
        <v>2356</v>
      </c>
      <c r="B2359" s="4">
        <v>56</v>
      </c>
      <c r="C2359" s="4">
        <v>31</v>
      </c>
      <c r="D2359" s="4">
        <v>74</v>
      </c>
      <c r="E2359" s="4">
        <v>3</v>
      </c>
      <c r="F2359" s="8">
        <v>1.6</v>
      </c>
      <c r="G2359" s="4">
        <v>3</v>
      </c>
      <c r="H2359" s="4">
        <f t="shared" si="72"/>
        <v>0</v>
      </c>
      <c r="I2359" s="4">
        <f t="shared" si="73"/>
        <v>0</v>
      </c>
      <c r="J2359" s="4">
        <v>0</v>
      </c>
      <c r="K2359" s="4">
        <v>0</v>
      </c>
      <c r="L2359" s="4">
        <v>0</v>
      </c>
      <c r="M2359" s="4">
        <v>1</v>
      </c>
      <c r="N2359" s="4">
        <v>1</v>
      </c>
      <c r="O2359" s="4">
        <v>0</v>
      </c>
    </row>
    <row r="2360" spans="1:15" x14ac:dyDescent="0.15">
      <c r="A2360" s="4">
        <v>2357</v>
      </c>
      <c r="B2360" s="4">
        <v>31</v>
      </c>
      <c r="C2360" s="4">
        <v>5</v>
      </c>
      <c r="D2360" s="4">
        <v>184</v>
      </c>
      <c r="E2360" s="4">
        <v>4</v>
      </c>
      <c r="F2360" s="8">
        <v>3.4</v>
      </c>
      <c r="G2360" s="4">
        <v>2</v>
      </c>
      <c r="H2360" s="4">
        <f t="shared" si="72"/>
        <v>0</v>
      </c>
      <c r="I2360" s="4">
        <f t="shared" si="73"/>
        <v>1</v>
      </c>
      <c r="J2360" s="4">
        <v>0</v>
      </c>
      <c r="K2360" s="4">
        <v>0</v>
      </c>
      <c r="L2360" s="4">
        <v>1</v>
      </c>
      <c r="M2360" s="4">
        <v>1</v>
      </c>
      <c r="N2360" s="4">
        <v>1</v>
      </c>
      <c r="O2360" s="4">
        <v>1</v>
      </c>
    </row>
    <row r="2361" spans="1:15" x14ac:dyDescent="0.15">
      <c r="A2361" s="4">
        <v>2358</v>
      </c>
      <c r="B2361" s="4">
        <v>44</v>
      </c>
      <c r="C2361" s="4">
        <v>19</v>
      </c>
      <c r="D2361" s="4">
        <v>34</v>
      </c>
      <c r="E2361" s="4">
        <v>4</v>
      </c>
      <c r="F2361" s="8">
        <v>0</v>
      </c>
      <c r="G2361" s="4">
        <v>2</v>
      </c>
      <c r="H2361" s="4">
        <f t="shared" si="72"/>
        <v>0</v>
      </c>
      <c r="I2361" s="4">
        <f t="shared" si="73"/>
        <v>1</v>
      </c>
      <c r="J2361" s="4">
        <v>0</v>
      </c>
      <c r="K2361" s="4">
        <v>0</v>
      </c>
      <c r="L2361" s="4">
        <v>0</v>
      </c>
      <c r="M2361" s="4">
        <v>0</v>
      </c>
      <c r="N2361" s="4">
        <v>0</v>
      </c>
      <c r="O2361" s="4">
        <v>0</v>
      </c>
    </row>
    <row r="2362" spans="1:15" x14ac:dyDescent="0.15">
      <c r="A2362" s="4">
        <v>2359</v>
      </c>
      <c r="B2362" s="4">
        <v>53</v>
      </c>
      <c r="C2362" s="4">
        <v>27</v>
      </c>
      <c r="D2362" s="4">
        <v>63</v>
      </c>
      <c r="E2362" s="4">
        <v>2</v>
      </c>
      <c r="F2362" s="8">
        <v>0.8</v>
      </c>
      <c r="G2362" s="4">
        <v>3</v>
      </c>
      <c r="H2362" s="4">
        <f t="shared" si="72"/>
        <v>0</v>
      </c>
      <c r="I2362" s="4">
        <f t="shared" si="73"/>
        <v>0</v>
      </c>
      <c r="J2362" s="4">
        <v>0</v>
      </c>
      <c r="K2362" s="4">
        <v>1</v>
      </c>
      <c r="L2362" s="4">
        <v>0</v>
      </c>
      <c r="M2362" s="4">
        <v>1</v>
      </c>
      <c r="N2362" s="4">
        <v>0</v>
      </c>
      <c r="O2362" s="4">
        <v>0</v>
      </c>
    </row>
    <row r="2363" spans="1:15" x14ac:dyDescent="0.15">
      <c r="A2363" s="4">
        <v>2360</v>
      </c>
      <c r="B2363" s="4">
        <v>36</v>
      </c>
      <c r="C2363" s="4">
        <v>12</v>
      </c>
      <c r="D2363" s="4">
        <v>123</v>
      </c>
      <c r="E2363" s="4">
        <v>2</v>
      </c>
      <c r="F2363" s="8">
        <v>5.6</v>
      </c>
      <c r="G2363" s="4">
        <v>2</v>
      </c>
      <c r="H2363" s="4">
        <f t="shared" si="72"/>
        <v>0</v>
      </c>
      <c r="I2363" s="4">
        <f t="shared" si="73"/>
        <v>1</v>
      </c>
      <c r="J2363" s="4">
        <v>0</v>
      </c>
      <c r="K2363" s="4">
        <v>0</v>
      </c>
      <c r="L2363" s="4">
        <v>1</v>
      </c>
      <c r="M2363" s="4">
        <v>1</v>
      </c>
      <c r="N2363" s="4">
        <v>1</v>
      </c>
      <c r="O2363" s="4">
        <v>1</v>
      </c>
    </row>
    <row r="2364" spans="1:15" x14ac:dyDescent="0.15">
      <c r="A2364" s="4">
        <v>2361</v>
      </c>
      <c r="B2364" s="4">
        <v>27</v>
      </c>
      <c r="C2364" s="4">
        <v>1</v>
      </c>
      <c r="D2364" s="4">
        <v>85</v>
      </c>
      <c r="E2364" s="4">
        <v>2</v>
      </c>
      <c r="F2364" s="8">
        <v>1.6</v>
      </c>
      <c r="G2364" s="4">
        <v>3</v>
      </c>
      <c r="H2364" s="4">
        <f t="shared" si="72"/>
        <v>0</v>
      </c>
      <c r="I2364" s="4">
        <f t="shared" si="73"/>
        <v>0</v>
      </c>
      <c r="J2364" s="4">
        <v>0</v>
      </c>
      <c r="K2364" s="4">
        <v>0</v>
      </c>
      <c r="L2364" s="4">
        <v>0</v>
      </c>
      <c r="M2364" s="4">
        <v>0</v>
      </c>
      <c r="N2364" s="4">
        <v>0</v>
      </c>
      <c r="O2364" s="4">
        <v>0</v>
      </c>
    </row>
    <row r="2365" spans="1:15" x14ac:dyDescent="0.15">
      <c r="A2365" s="4">
        <v>2362</v>
      </c>
      <c r="B2365" s="4">
        <v>36</v>
      </c>
      <c r="C2365" s="4">
        <v>12</v>
      </c>
      <c r="D2365" s="4">
        <v>109</v>
      </c>
      <c r="E2365" s="4">
        <v>3</v>
      </c>
      <c r="F2365" s="8">
        <v>0.5</v>
      </c>
      <c r="G2365" s="4">
        <v>3</v>
      </c>
      <c r="H2365" s="4">
        <f t="shared" si="72"/>
        <v>0</v>
      </c>
      <c r="I2365" s="4">
        <f t="shared" si="73"/>
        <v>0</v>
      </c>
      <c r="J2365" s="4">
        <v>0</v>
      </c>
      <c r="K2365" s="4">
        <v>1</v>
      </c>
      <c r="L2365" s="4">
        <v>1</v>
      </c>
      <c r="M2365" s="4">
        <v>1</v>
      </c>
      <c r="N2365" s="4">
        <v>0</v>
      </c>
      <c r="O2365" s="4">
        <v>1</v>
      </c>
    </row>
    <row r="2366" spans="1:15" x14ac:dyDescent="0.15">
      <c r="A2366" s="4">
        <v>2363</v>
      </c>
      <c r="B2366" s="4">
        <v>40</v>
      </c>
      <c r="C2366" s="4">
        <v>15</v>
      </c>
      <c r="D2366" s="4">
        <v>31</v>
      </c>
      <c r="E2366" s="4">
        <v>1</v>
      </c>
      <c r="F2366" s="8">
        <v>0.6</v>
      </c>
      <c r="G2366" s="4">
        <v>3</v>
      </c>
      <c r="H2366" s="4">
        <f t="shared" si="72"/>
        <v>0</v>
      </c>
      <c r="I2366" s="4">
        <f t="shared" si="73"/>
        <v>0</v>
      </c>
      <c r="J2366" s="4">
        <v>0</v>
      </c>
      <c r="K2366" s="4">
        <v>0</v>
      </c>
      <c r="L2366" s="4">
        <v>0</v>
      </c>
      <c r="M2366" s="4">
        <v>1</v>
      </c>
      <c r="N2366" s="4">
        <v>0</v>
      </c>
      <c r="O2366" s="4">
        <v>0</v>
      </c>
    </row>
    <row r="2367" spans="1:15" x14ac:dyDescent="0.15">
      <c r="A2367" s="4">
        <v>2364</v>
      </c>
      <c r="B2367" s="4">
        <v>39</v>
      </c>
      <c r="C2367" s="4">
        <v>13</v>
      </c>
      <c r="D2367" s="4">
        <v>61</v>
      </c>
      <c r="E2367" s="4">
        <v>2</v>
      </c>
      <c r="F2367" s="8">
        <v>2.4</v>
      </c>
      <c r="G2367" s="4">
        <v>2</v>
      </c>
      <c r="H2367" s="4">
        <f t="shared" si="72"/>
        <v>0</v>
      </c>
      <c r="I2367" s="4">
        <f t="shared" si="73"/>
        <v>1</v>
      </c>
      <c r="J2367" s="4">
        <v>90</v>
      </c>
      <c r="K2367" s="4">
        <v>0</v>
      </c>
      <c r="L2367" s="4">
        <v>0</v>
      </c>
      <c r="M2367" s="4">
        <v>1</v>
      </c>
      <c r="N2367" s="4">
        <v>0</v>
      </c>
      <c r="O2367" s="4">
        <v>0</v>
      </c>
    </row>
    <row r="2368" spans="1:15" x14ac:dyDescent="0.15">
      <c r="A2368" s="4">
        <v>2365</v>
      </c>
      <c r="B2368" s="4">
        <v>59</v>
      </c>
      <c r="C2368" s="4">
        <v>35</v>
      </c>
      <c r="D2368" s="4">
        <v>88</v>
      </c>
      <c r="E2368" s="4">
        <v>2</v>
      </c>
      <c r="F2368" s="8">
        <v>1.6</v>
      </c>
      <c r="G2368" s="4">
        <v>1</v>
      </c>
      <c r="H2368" s="4">
        <f t="shared" si="72"/>
        <v>1</v>
      </c>
      <c r="I2368" s="4">
        <f t="shared" si="73"/>
        <v>0</v>
      </c>
      <c r="J2368" s="4">
        <v>0</v>
      </c>
      <c r="K2368" s="4">
        <v>0</v>
      </c>
      <c r="L2368" s="4">
        <v>0</v>
      </c>
      <c r="M2368" s="4">
        <v>0</v>
      </c>
      <c r="N2368" s="4">
        <v>1</v>
      </c>
      <c r="O2368" s="4">
        <v>0</v>
      </c>
    </row>
    <row r="2369" spans="1:15" x14ac:dyDescent="0.15">
      <c r="A2369" s="4">
        <v>2366</v>
      </c>
      <c r="B2369" s="4">
        <v>43</v>
      </c>
      <c r="C2369" s="4">
        <v>18</v>
      </c>
      <c r="D2369" s="4">
        <v>22</v>
      </c>
      <c r="E2369" s="4">
        <v>2</v>
      </c>
      <c r="F2369" s="8">
        <v>0.3</v>
      </c>
      <c r="G2369" s="4">
        <v>2</v>
      </c>
      <c r="H2369" s="4">
        <f t="shared" si="72"/>
        <v>0</v>
      </c>
      <c r="I2369" s="4">
        <f t="shared" si="73"/>
        <v>1</v>
      </c>
      <c r="J2369" s="4">
        <v>0</v>
      </c>
      <c r="K2369" s="4">
        <v>0</v>
      </c>
      <c r="L2369" s="4">
        <v>0</v>
      </c>
      <c r="M2369" s="4">
        <v>0</v>
      </c>
      <c r="N2369" s="4">
        <v>0</v>
      </c>
      <c r="O2369" s="4">
        <v>0</v>
      </c>
    </row>
    <row r="2370" spans="1:15" x14ac:dyDescent="0.15">
      <c r="A2370" s="4">
        <v>2367</v>
      </c>
      <c r="B2370" s="4">
        <v>30</v>
      </c>
      <c r="C2370" s="4">
        <v>4</v>
      </c>
      <c r="D2370" s="4">
        <v>63</v>
      </c>
      <c r="E2370" s="4">
        <v>4</v>
      </c>
      <c r="F2370" s="8">
        <v>2.2000000000000002</v>
      </c>
      <c r="G2370" s="4">
        <v>2</v>
      </c>
      <c r="H2370" s="4">
        <f t="shared" si="72"/>
        <v>0</v>
      </c>
      <c r="I2370" s="4">
        <f t="shared" si="73"/>
        <v>1</v>
      </c>
      <c r="J2370" s="4">
        <v>0</v>
      </c>
      <c r="K2370" s="4">
        <v>1</v>
      </c>
      <c r="L2370" s="4">
        <v>0</v>
      </c>
      <c r="M2370" s="4">
        <v>1</v>
      </c>
      <c r="N2370" s="4">
        <v>0</v>
      </c>
      <c r="O2370" s="4">
        <v>0</v>
      </c>
    </row>
    <row r="2371" spans="1:15" x14ac:dyDescent="0.15">
      <c r="A2371" s="4">
        <v>2368</v>
      </c>
      <c r="B2371" s="4">
        <v>26</v>
      </c>
      <c r="C2371" s="4">
        <v>1</v>
      </c>
      <c r="D2371" s="4">
        <v>80</v>
      </c>
      <c r="E2371" s="4">
        <v>4</v>
      </c>
      <c r="F2371" s="8">
        <v>0.2</v>
      </c>
      <c r="G2371" s="4">
        <v>1</v>
      </c>
      <c r="H2371" s="4">
        <f t="shared" si="72"/>
        <v>1</v>
      </c>
      <c r="I2371" s="4">
        <f t="shared" si="73"/>
        <v>0</v>
      </c>
      <c r="J2371" s="4">
        <v>0</v>
      </c>
      <c r="K2371" s="4">
        <v>0</v>
      </c>
      <c r="L2371" s="4">
        <v>0</v>
      </c>
      <c r="M2371" s="4">
        <v>1</v>
      </c>
      <c r="N2371" s="4">
        <v>1</v>
      </c>
      <c r="O2371" s="4">
        <v>0</v>
      </c>
    </row>
    <row r="2372" spans="1:15" x14ac:dyDescent="0.15">
      <c r="A2372" s="4">
        <v>2369</v>
      </c>
      <c r="B2372" s="4">
        <v>48</v>
      </c>
      <c r="C2372" s="4">
        <v>22</v>
      </c>
      <c r="D2372" s="4">
        <v>78</v>
      </c>
      <c r="E2372" s="4">
        <v>3</v>
      </c>
      <c r="F2372" s="8">
        <v>2.1</v>
      </c>
      <c r="G2372" s="4">
        <v>1</v>
      </c>
      <c r="H2372" s="4">
        <f t="shared" si="72"/>
        <v>1</v>
      </c>
      <c r="I2372" s="4">
        <f t="shared" si="73"/>
        <v>0</v>
      </c>
      <c r="J2372" s="4">
        <v>0</v>
      </c>
      <c r="K2372" s="4">
        <v>0</v>
      </c>
      <c r="L2372" s="4">
        <v>0</v>
      </c>
      <c r="M2372" s="4">
        <v>1</v>
      </c>
      <c r="N2372" s="4">
        <v>1</v>
      </c>
      <c r="O2372" s="4">
        <v>0</v>
      </c>
    </row>
    <row r="2373" spans="1:15" x14ac:dyDescent="0.15">
      <c r="A2373" s="4">
        <v>2370</v>
      </c>
      <c r="B2373" s="4">
        <v>50</v>
      </c>
      <c r="C2373" s="4">
        <v>24</v>
      </c>
      <c r="D2373" s="4">
        <v>45</v>
      </c>
      <c r="E2373" s="4">
        <v>4</v>
      </c>
      <c r="F2373" s="8">
        <v>0.1</v>
      </c>
      <c r="G2373" s="4">
        <v>1</v>
      </c>
      <c r="H2373" s="4">
        <f t="shared" ref="H2373:H2436" si="74">IF(G2373=1,1,0)</f>
        <v>1</v>
      </c>
      <c r="I2373" s="4">
        <f t="shared" ref="I2373:I2436" si="75">IF(G2373=2,1,0)</f>
        <v>0</v>
      </c>
      <c r="J2373" s="4">
        <v>93</v>
      </c>
      <c r="K2373" s="4">
        <v>0</v>
      </c>
      <c r="L2373" s="4">
        <v>0</v>
      </c>
      <c r="M2373" s="4">
        <v>1</v>
      </c>
      <c r="N2373" s="4">
        <v>0</v>
      </c>
      <c r="O2373" s="4">
        <v>0</v>
      </c>
    </row>
    <row r="2374" spans="1:15" x14ac:dyDescent="0.15">
      <c r="A2374" s="4">
        <v>2371</v>
      </c>
      <c r="B2374" s="4">
        <v>33</v>
      </c>
      <c r="C2374" s="4">
        <v>7</v>
      </c>
      <c r="D2374" s="4">
        <v>51</v>
      </c>
      <c r="E2374" s="4">
        <v>4</v>
      </c>
      <c r="F2374" s="8">
        <v>2.1</v>
      </c>
      <c r="G2374" s="4">
        <v>3</v>
      </c>
      <c r="H2374" s="4">
        <f t="shared" si="74"/>
        <v>0</v>
      </c>
      <c r="I2374" s="4">
        <f t="shared" si="75"/>
        <v>0</v>
      </c>
      <c r="J2374" s="4">
        <v>0</v>
      </c>
      <c r="K2374" s="4">
        <v>0</v>
      </c>
      <c r="L2374" s="4">
        <v>0</v>
      </c>
      <c r="M2374" s="4">
        <v>0</v>
      </c>
      <c r="N2374" s="4">
        <v>1</v>
      </c>
      <c r="O2374" s="4">
        <v>0</v>
      </c>
    </row>
    <row r="2375" spans="1:15" x14ac:dyDescent="0.15">
      <c r="A2375" s="4">
        <v>2372</v>
      </c>
      <c r="B2375" s="4">
        <v>32</v>
      </c>
      <c r="C2375" s="4">
        <v>6</v>
      </c>
      <c r="D2375" s="4">
        <v>111</v>
      </c>
      <c r="E2375" s="4">
        <v>2</v>
      </c>
      <c r="F2375" s="8">
        <v>1.5</v>
      </c>
      <c r="G2375" s="4">
        <v>3</v>
      </c>
      <c r="H2375" s="4">
        <f t="shared" si="74"/>
        <v>0</v>
      </c>
      <c r="I2375" s="4">
        <f t="shared" si="75"/>
        <v>0</v>
      </c>
      <c r="J2375" s="4">
        <v>0</v>
      </c>
      <c r="K2375" s="4">
        <v>0</v>
      </c>
      <c r="L2375" s="4">
        <v>0</v>
      </c>
      <c r="M2375" s="4">
        <v>0</v>
      </c>
      <c r="N2375" s="4">
        <v>0</v>
      </c>
      <c r="O2375" s="4">
        <v>0</v>
      </c>
    </row>
    <row r="2376" spans="1:15" x14ac:dyDescent="0.15">
      <c r="A2376" s="4">
        <v>2373</v>
      </c>
      <c r="B2376" s="4">
        <v>34</v>
      </c>
      <c r="C2376" s="4">
        <v>10</v>
      </c>
      <c r="D2376" s="4">
        <v>45</v>
      </c>
      <c r="E2376" s="4">
        <v>3</v>
      </c>
      <c r="F2376" s="8">
        <v>2.8</v>
      </c>
      <c r="G2376" s="4">
        <v>1</v>
      </c>
      <c r="H2376" s="4">
        <f t="shared" si="74"/>
        <v>1</v>
      </c>
      <c r="I2376" s="4">
        <f t="shared" si="75"/>
        <v>0</v>
      </c>
      <c r="J2376" s="4">
        <v>153</v>
      </c>
      <c r="K2376" s="4">
        <v>0</v>
      </c>
      <c r="L2376" s="4">
        <v>0</v>
      </c>
      <c r="M2376" s="4">
        <v>1</v>
      </c>
      <c r="N2376" s="4">
        <v>1</v>
      </c>
      <c r="O2376" s="4">
        <v>0</v>
      </c>
    </row>
    <row r="2377" spans="1:15" x14ac:dyDescent="0.15">
      <c r="A2377" s="4">
        <v>2374</v>
      </c>
      <c r="B2377" s="4">
        <v>33</v>
      </c>
      <c r="C2377" s="4">
        <v>9</v>
      </c>
      <c r="D2377" s="4">
        <v>184</v>
      </c>
      <c r="E2377" s="4">
        <v>2</v>
      </c>
      <c r="F2377" s="8">
        <v>4.8</v>
      </c>
      <c r="G2377" s="4">
        <v>2</v>
      </c>
      <c r="H2377" s="4">
        <f t="shared" si="74"/>
        <v>0</v>
      </c>
      <c r="I2377" s="4">
        <f t="shared" si="75"/>
        <v>1</v>
      </c>
      <c r="J2377" s="4">
        <v>0</v>
      </c>
      <c r="K2377" s="4">
        <v>0</v>
      </c>
      <c r="L2377" s="4">
        <v>0</v>
      </c>
      <c r="M2377" s="4">
        <v>0</v>
      </c>
      <c r="N2377" s="4">
        <v>0</v>
      </c>
      <c r="O2377" s="4">
        <v>1</v>
      </c>
    </row>
    <row r="2378" spans="1:15" x14ac:dyDescent="0.15">
      <c r="A2378" s="4">
        <v>2375</v>
      </c>
      <c r="B2378" s="4">
        <v>32</v>
      </c>
      <c r="C2378" s="4">
        <v>5</v>
      </c>
      <c r="D2378" s="4">
        <v>41</v>
      </c>
      <c r="E2378" s="4">
        <v>2</v>
      </c>
      <c r="F2378" s="8">
        <v>1</v>
      </c>
      <c r="G2378" s="4">
        <v>2</v>
      </c>
      <c r="H2378" s="4">
        <f t="shared" si="74"/>
        <v>0</v>
      </c>
      <c r="I2378" s="4">
        <f t="shared" si="75"/>
        <v>1</v>
      </c>
      <c r="J2378" s="4">
        <v>112</v>
      </c>
      <c r="K2378" s="4">
        <v>1</v>
      </c>
      <c r="L2378" s="4">
        <v>0</v>
      </c>
      <c r="M2378" s="4">
        <v>1</v>
      </c>
      <c r="N2378" s="4">
        <v>0</v>
      </c>
      <c r="O2378" s="4">
        <v>0</v>
      </c>
    </row>
    <row r="2379" spans="1:15" x14ac:dyDescent="0.15">
      <c r="A2379" s="4">
        <v>2376</v>
      </c>
      <c r="B2379" s="4">
        <v>55</v>
      </c>
      <c r="C2379" s="4">
        <v>30</v>
      </c>
      <c r="D2379" s="4">
        <v>69</v>
      </c>
      <c r="E2379" s="4">
        <v>4</v>
      </c>
      <c r="F2379" s="8">
        <v>1.3</v>
      </c>
      <c r="G2379" s="4">
        <v>3</v>
      </c>
      <c r="H2379" s="4">
        <f t="shared" si="74"/>
        <v>0</v>
      </c>
      <c r="I2379" s="4">
        <f t="shared" si="75"/>
        <v>0</v>
      </c>
      <c r="J2379" s="4">
        <v>0</v>
      </c>
      <c r="K2379" s="4">
        <v>1</v>
      </c>
      <c r="L2379" s="4">
        <v>1</v>
      </c>
      <c r="M2379" s="4">
        <v>1</v>
      </c>
      <c r="N2379" s="4">
        <v>1</v>
      </c>
      <c r="O2379" s="4">
        <v>0</v>
      </c>
    </row>
    <row r="2380" spans="1:15" x14ac:dyDescent="0.15">
      <c r="A2380" s="4">
        <v>2377</v>
      </c>
      <c r="B2380" s="4">
        <v>58</v>
      </c>
      <c r="C2380" s="4">
        <v>33</v>
      </c>
      <c r="D2380" s="4">
        <v>23</v>
      </c>
      <c r="E2380" s="4">
        <v>3</v>
      </c>
      <c r="F2380" s="8">
        <v>0.2</v>
      </c>
      <c r="G2380" s="4">
        <v>1</v>
      </c>
      <c r="H2380" s="4">
        <f t="shared" si="74"/>
        <v>1</v>
      </c>
      <c r="I2380" s="4">
        <f t="shared" si="75"/>
        <v>0</v>
      </c>
      <c r="J2380" s="4">
        <v>0</v>
      </c>
      <c r="K2380" s="4">
        <v>0</v>
      </c>
      <c r="L2380" s="4">
        <v>0</v>
      </c>
      <c r="M2380" s="4">
        <v>0</v>
      </c>
      <c r="N2380" s="4">
        <v>0</v>
      </c>
      <c r="O2380" s="4">
        <v>0</v>
      </c>
    </row>
    <row r="2381" spans="1:15" x14ac:dyDescent="0.15">
      <c r="A2381" s="4">
        <v>2378</v>
      </c>
      <c r="B2381" s="4">
        <v>47</v>
      </c>
      <c r="C2381" s="4">
        <v>23</v>
      </c>
      <c r="D2381" s="4">
        <v>160</v>
      </c>
      <c r="E2381" s="4">
        <v>2</v>
      </c>
      <c r="F2381" s="8">
        <v>6.666666666666667</v>
      </c>
      <c r="G2381" s="4">
        <v>1</v>
      </c>
      <c r="H2381" s="4">
        <f t="shared" si="74"/>
        <v>1</v>
      </c>
      <c r="I2381" s="4">
        <f t="shared" si="75"/>
        <v>0</v>
      </c>
      <c r="J2381" s="4">
        <v>0</v>
      </c>
      <c r="K2381" s="4">
        <v>0</v>
      </c>
      <c r="L2381" s="4">
        <v>0</v>
      </c>
      <c r="M2381" s="4">
        <v>0</v>
      </c>
      <c r="N2381" s="4">
        <v>0</v>
      </c>
      <c r="O2381" s="4">
        <v>0</v>
      </c>
    </row>
    <row r="2382" spans="1:15" x14ac:dyDescent="0.15">
      <c r="A2382" s="4">
        <v>2379</v>
      </c>
      <c r="B2382" s="4">
        <v>30</v>
      </c>
      <c r="C2382" s="4">
        <v>5</v>
      </c>
      <c r="D2382" s="4">
        <v>61</v>
      </c>
      <c r="E2382" s="4">
        <v>1</v>
      </c>
      <c r="F2382" s="8">
        <v>0.8</v>
      </c>
      <c r="G2382" s="4">
        <v>2</v>
      </c>
      <c r="H2382" s="4">
        <f t="shared" si="74"/>
        <v>0</v>
      </c>
      <c r="I2382" s="4">
        <f t="shared" si="75"/>
        <v>1</v>
      </c>
      <c r="J2382" s="4">
        <v>251</v>
      </c>
      <c r="K2382" s="4">
        <v>1</v>
      </c>
      <c r="L2382" s="4">
        <v>1</v>
      </c>
      <c r="M2382" s="4">
        <v>1</v>
      </c>
      <c r="N2382" s="4">
        <v>0</v>
      </c>
      <c r="O2382" s="4">
        <v>0</v>
      </c>
    </row>
    <row r="2383" spans="1:15" x14ac:dyDescent="0.15">
      <c r="A2383" s="4">
        <v>2380</v>
      </c>
      <c r="B2383" s="4">
        <v>42</v>
      </c>
      <c r="C2383" s="4">
        <v>18</v>
      </c>
      <c r="D2383" s="4">
        <v>110</v>
      </c>
      <c r="E2383" s="4">
        <v>2</v>
      </c>
      <c r="F2383" s="8">
        <v>6.1</v>
      </c>
      <c r="G2383" s="4">
        <v>1</v>
      </c>
      <c r="H2383" s="4">
        <f t="shared" si="74"/>
        <v>1</v>
      </c>
      <c r="I2383" s="4">
        <f t="shared" si="75"/>
        <v>0</v>
      </c>
      <c r="J2383" s="4">
        <v>182</v>
      </c>
      <c r="K2383" s="4">
        <v>0</v>
      </c>
      <c r="L2383" s="4">
        <v>0</v>
      </c>
      <c r="M2383" s="4">
        <v>1</v>
      </c>
      <c r="N2383" s="4">
        <v>0</v>
      </c>
      <c r="O2383" s="4">
        <v>0</v>
      </c>
    </row>
    <row r="2384" spans="1:15" x14ac:dyDescent="0.15">
      <c r="A2384" s="4">
        <v>2381</v>
      </c>
      <c r="B2384" s="4">
        <v>40</v>
      </c>
      <c r="C2384" s="4">
        <v>16</v>
      </c>
      <c r="D2384" s="4">
        <v>50</v>
      </c>
      <c r="E2384" s="4">
        <v>2</v>
      </c>
      <c r="F2384" s="8">
        <v>0.6</v>
      </c>
      <c r="G2384" s="4">
        <v>3</v>
      </c>
      <c r="H2384" s="4">
        <f t="shared" si="74"/>
        <v>0</v>
      </c>
      <c r="I2384" s="4">
        <f t="shared" si="75"/>
        <v>0</v>
      </c>
      <c r="J2384" s="4">
        <v>0</v>
      </c>
      <c r="K2384" s="4">
        <v>0</v>
      </c>
      <c r="L2384" s="4">
        <v>0</v>
      </c>
      <c r="M2384" s="4">
        <v>0</v>
      </c>
      <c r="N2384" s="4">
        <v>0</v>
      </c>
      <c r="O2384" s="4">
        <v>0</v>
      </c>
    </row>
    <row r="2385" spans="1:15" x14ac:dyDescent="0.15">
      <c r="A2385" s="4">
        <v>2382</v>
      </c>
      <c r="B2385" s="4">
        <v>33</v>
      </c>
      <c r="C2385" s="4">
        <v>9</v>
      </c>
      <c r="D2385" s="4">
        <v>49</v>
      </c>
      <c r="E2385" s="4">
        <v>1</v>
      </c>
      <c r="F2385" s="8">
        <v>2.4</v>
      </c>
      <c r="G2385" s="4">
        <v>2</v>
      </c>
      <c r="H2385" s="4">
        <f t="shared" si="74"/>
        <v>0</v>
      </c>
      <c r="I2385" s="4">
        <f t="shared" si="75"/>
        <v>1</v>
      </c>
      <c r="J2385" s="4">
        <v>0</v>
      </c>
      <c r="K2385" s="4">
        <v>0</v>
      </c>
      <c r="L2385" s="4">
        <v>0</v>
      </c>
      <c r="M2385" s="4">
        <v>1</v>
      </c>
      <c r="N2385" s="4">
        <v>0</v>
      </c>
      <c r="O2385" s="4">
        <v>0</v>
      </c>
    </row>
    <row r="2386" spans="1:15" x14ac:dyDescent="0.15">
      <c r="A2386" s="4">
        <v>2383</v>
      </c>
      <c r="B2386" s="4">
        <v>46</v>
      </c>
      <c r="C2386" s="4">
        <v>20</v>
      </c>
      <c r="D2386" s="4">
        <v>185</v>
      </c>
      <c r="E2386" s="4">
        <v>4</v>
      </c>
      <c r="F2386" s="8">
        <v>7.5</v>
      </c>
      <c r="G2386" s="4">
        <v>2</v>
      </c>
      <c r="H2386" s="4">
        <f t="shared" si="74"/>
        <v>0</v>
      </c>
      <c r="I2386" s="4">
        <f t="shared" si="75"/>
        <v>1</v>
      </c>
      <c r="J2386" s="4">
        <v>428</v>
      </c>
      <c r="K2386" s="4">
        <v>0</v>
      </c>
      <c r="L2386" s="4">
        <v>0</v>
      </c>
      <c r="M2386" s="4">
        <v>0</v>
      </c>
      <c r="N2386" s="4">
        <v>1</v>
      </c>
      <c r="O2386" s="4">
        <v>1</v>
      </c>
    </row>
    <row r="2387" spans="1:15" x14ac:dyDescent="0.15">
      <c r="A2387" s="4">
        <v>2384</v>
      </c>
      <c r="B2387" s="4">
        <v>63</v>
      </c>
      <c r="C2387" s="4">
        <v>39</v>
      </c>
      <c r="D2387" s="4">
        <v>52</v>
      </c>
      <c r="E2387" s="4">
        <v>2</v>
      </c>
      <c r="F2387" s="8">
        <v>1.1000000000000001</v>
      </c>
      <c r="G2387" s="4">
        <v>1</v>
      </c>
      <c r="H2387" s="4">
        <f t="shared" si="74"/>
        <v>1</v>
      </c>
      <c r="I2387" s="4">
        <f t="shared" si="75"/>
        <v>0</v>
      </c>
      <c r="J2387" s="4">
        <v>0</v>
      </c>
      <c r="K2387" s="4">
        <v>0</v>
      </c>
      <c r="L2387" s="4">
        <v>0</v>
      </c>
      <c r="M2387" s="4">
        <v>1</v>
      </c>
      <c r="N2387" s="4">
        <v>1</v>
      </c>
      <c r="O2387" s="4">
        <v>0</v>
      </c>
    </row>
    <row r="2388" spans="1:15" x14ac:dyDescent="0.15">
      <c r="A2388" s="4">
        <v>2385</v>
      </c>
      <c r="B2388" s="4">
        <v>62</v>
      </c>
      <c r="C2388" s="4">
        <v>37</v>
      </c>
      <c r="D2388" s="4">
        <v>53</v>
      </c>
      <c r="E2388" s="4">
        <v>2</v>
      </c>
      <c r="F2388" s="8">
        <v>2.8</v>
      </c>
      <c r="G2388" s="4">
        <v>1</v>
      </c>
      <c r="H2388" s="4">
        <f t="shared" si="74"/>
        <v>1</v>
      </c>
      <c r="I2388" s="4">
        <f t="shared" si="75"/>
        <v>0</v>
      </c>
      <c r="J2388" s="4">
        <v>0</v>
      </c>
      <c r="K2388" s="4">
        <v>0</v>
      </c>
      <c r="L2388" s="4">
        <v>0</v>
      </c>
      <c r="M2388" s="4">
        <v>1</v>
      </c>
      <c r="N2388" s="4">
        <v>0</v>
      </c>
      <c r="O2388" s="4">
        <v>0</v>
      </c>
    </row>
    <row r="2389" spans="1:15" x14ac:dyDescent="0.15">
      <c r="A2389" s="4">
        <v>2386</v>
      </c>
      <c r="B2389" s="4">
        <v>43</v>
      </c>
      <c r="C2389" s="4">
        <v>17</v>
      </c>
      <c r="D2389" s="4">
        <v>125</v>
      </c>
      <c r="E2389" s="4">
        <v>4</v>
      </c>
      <c r="F2389" s="8">
        <v>3.5</v>
      </c>
      <c r="G2389" s="4">
        <v>2</v>
      </c>
      <c r="H2389" s="4">
        <f t="shared" si="74"/>
        <v>0</v>
      </c>
      <c r="I2389" s="4">
        <f t="shared" si="75"/>
        <v>1</v>
      </c>
      <c r="J2389" s="4">
        <v>0</v>
      </c>
      <c r="K2389" s="4">
        <v>0</v>
      </c>
      <c r="L2389" s="4">
        <v>0</v>
      </c>
      <c r="M2389" s="4">
        <v>0</v>
      </c>
      <c r="N2389" s="4">
        <v>0</v>
      </c>
      <c r="O2389" s="4">
        <v>1</v>
      </c>
    </row>
    <row r="2390" spans="1:15" x14ac:dyDescent="0.15">
      <c r="A2390" s="4">
        <v>2387</v>
      </c>
      <c r="B2390" s="4">
        <v>31</v>
      </c>
      <c r="C2390" s="4">
        <v>5</v>
      </c>
      <c r="D2390" s="4">
        <v>72</v>
      </c>
      <c r="E2390" s="4">
        <v>3</v>
      </c>
      <c r="F2390" s="8">
        <v>1.6</v>
      </c>
      <c r="G2390" s="4">
        <v>1</v>
      </c>
      <c r="H2390" s="4">
        <f t="shared" si="74"/>
        <v>1</v>
      </c>
      <c r="I2390" s="4">
        <f t="shared" si="75"/>
        <v>0</v>
      </c>
      <c r="J2390" s="4">
        <v>0</v>
      </c>
      <c r="K2390" s="4">
        <v>0</v>
      </c>
      <c r="L2390" s="4">
        <v>0</v>
      </c>
      <c r="M2390" s="4">
        <v>1</v>
      </c>
      <c r="N2390" s="4">
        <v>0</v>
      </c>
      <c r="O2390" s="4">
        <v>0</v>
      </c>
    </row>
    <row r="2391" spans="1:15" x14ac:dyDescent="0.15">
      <c r="A2391" s="4">
        <v>2388</v>
      </c>
      <c r="B2391" s="4">
        <v>28</v>
      </c>
      <c r="C2391" s="4">
        <v>2</v>
      </c>
      <c r="D2391" s="4">
        <v>51</v>
      </c>
      <c r="E2391" s="4">
        <v>4</v>
      </c>
      <c r="F2391" s="8">
        <v>1.8</v>
      </c>
      <c r="G2391" s="4">
        <v>3</v>
      </c>
      <c r="H2391" s="4">
        <f t="shared" si="74"/>
        <v>0</v>
      </c>
      <c r="I2391" s="4">
        <f t="shared" si="75"/>
        <v>0</v>
      </c>
      <c r="J2391" s="4">
        <v>0</v>
      </c>
      <c r="K2391" s="4">
        <v>0</v>
      </c>
      <c r="L2391" s="4">
        <v>0</v>
      </c>
      <c r="M2391" s="4">
        <v>0</v>
      </c>
      <c r="N2391" s="4">
        <v>1</v>
      </c>
      <c r="O2391" s="4">
        <v>0</v>
      </c>
    </row>
    <row r="2392" spans="1:15" x14ac:dyDescent="0.15">
      <c r="A2392" s="4">
        <v>2389</v>
      </c>
      <c r="B2392" s="4">
        <v>64</v>
      </c>
      <c r="C2392" s="4">
        <v>39</v>
      </c>
      <c r="D2392" s="4">
        <v>23</v>
      </c>
      <c r="E2392" s="4">
        <v>3</v>
      </c>
      <c r="F2392" s="8">
        <v>0.5</v>
      </c>
      <c r="G2392" s="4">
        <v>1</v>
      </c>
      <c r="H2392" s="4">
        <f t="shared" si="74"/>
        <v>1</v>
      </c>
      <c r="I2392" s="4">
        <f t="shared" si="75"/>
        <v>0</v>
      </c>
      <c r="J2392" s="4">
        <v>0</v>
      </c>
      <c r="K2392" s="4">
        <v>1</v>
      </c>
      <c r="L2392" s="4">
        <v>0</v>
      </c>
      <c r="M2392" s="4">
        <v>0</v>
      </c>
      <c r="N2392" s="4">
        <v>0</v>
      </c>
      <c r="O2392" s="4">
        <v>0</v>
      </c>
    </row>
    <row r="2393" spans="1:15" x14ac:dyDescent="0.15">
      <c r="A2393" s="4">
        <v>2390</v>
      </c>
      <c r="B2393" s="4">
        <v>27</v>
      </c>
      <c r="C2393" s="4">
        <v>1</v>
      </c>
      <c r="D2393" s="4">
        <v>41</v>
      </c>
      <c r="E2393" s="4">
        <v>1</v>
      </c>
      <c r="F2393" s="8">
        <v>1.9</v>
      </c>
      <c r="G2393" s="4">
        <v>3</v>
      </c>
      <c r="H2393" s="4">
        <f t="shared" si="74"/>
        <v>0</v>
      </c>
      <c r="I2393" s="4">
        <f t="shared" si="75"/>
        <v>0</v>
      </c>
      <c r="J2393" s="4">
        <v>0</v>
      </c>
      <c r="K2393" s="4">
        <v>0</v>
      </c>
      <c r="L2393" s="4">
        <v>0</v>
      </c>
      <c r="M2393" s="4">
        <v>0</v>
      </c>
      <c r="N2393" s="4">
        <v>1</v>
      </c>
      <c r="O2393" s="4">
        <v>0</v>
      </c>
    </row>
    <row r="2394" spans="1:15" x14ac:dyDescent="0.15">
      <c r="A2394" s="4">
        <v>2391</v>
      </c>
      <c r="B2394" s="4">
        <v>33</v>
      </c>
      <c r="C2394" s="4">
        <v>9</v>
      </c>
      <c r="D2394" s="4">
        <v>41</v>
      </c>
      <c r="E2394" s="4">
        <v>3</v>
      </c>
      <c r="F2394" s="8">
        <v>2</v>
      </c>
      <c r="G2394" s="4">
        <v>1</v>
      </c>
      <c r="H2394" s="4">
        <f t="shared" si="74"/>
        <v>1</v>
      </c>
      <c r="I2394" s="4">
        <f t="shared" si="75"/>
        <v>0</v>
      </c>
      <c r="J2394" s="4">
        <v>108</v>
      </c>
      <c r="K2394" s="4">
        <v>0</v>
      </c>
      <c r="L2394" s="4">
        <v>0</v>
      </c>
      <c r="M2394" s="4">
        <v>1</v>
      </c>
      <c r="N2394" s="4">
        <v>0</v>
      </c>
      <c r="O2394" s="4">
        <v>0</v>
      </c>
    </row>
    <row r="2395" spans="1:15" x14ac:dyDescent="0.15">
      <c r="A2395" s="4">
        <v>2392</v>
      </c>
      <c r="B2395" s="4">
        <v>39</v>
      </c>
      <c r="C2395" s="4">
        <v>12</v>
      </c>
      <c r="D2395" s="4">
        <v>138</v>
      </c>
      <c r="E2395" s="4">
        <v>1</v>
      </c>
      <c r="F2395" s="8">
        <v>4.666666666666667</v>
      </c>
      <c r="G2395" s="4">
        <v>2</v>
      </c>
      <c r="H2395" s="4">
        <f t="shared" si="74"/>
        <v>0</v>
      </c>
      <c r="I2395" s="4">
        <f t="shared" si="75"/>
        <v>1</v>
      </c>
      <c r="J2395" s="4">
        <v>0</v>
      </c>
      <c r="K2395" s="4">
        <v>0</v>
      </c>
      <c r="L2395" s="4">
        <v>0</v>
      </c>
      <c r="M2395" s="4">
        <v>1</v>
      </c>
      <c r="N2395" s="4">
        <v>0</v>
      </c>
      <c r="O2395" s="4">
        <v>1</v>
      </c>
    </row>
    <row r="2396" spans="1:15" x14ac:dyDescent="0.15">
      <c r="A2396" s="4">
        <v>2393</v>
      </c>
      <c r="B2396" s="4">
        <v>44</v>
      </c>
      <c r="C2396" s="4">
        <v>20</v>
      </c>
      <c r="D2396" s="4">
        <v>138</v>
      </c>
      <c r="E2396" s="4">
        <v>2</v>
      </c>
      <c r="F2396" s="8">
        <v>3.3</v>
      </c>
      <c r="G2396" s="4">
        <v>1</v>
      </c>
      <c r="H2396" s="4">
        <f t="shared" si="74"/>
        <v>1</v>
      </c>
      <c r="I2396" s="4">
        <f t="shared" si="75"/>
        <v>0</v>
      </c>
      <c r="J2396" s="4">
        <v>0</v>
      </c>
      <c r="K2396" s="4">
        <v>0</v>
      </c>
      <c r="L2396" s="4">
        <v>0</v>
      </c>
      <c r="M2396" s="4">
        <v>0</v>
      </c>
      <c r="N2396" s="4">
        <v>1</v>
      </c>
      <c r="O2396" s="4">
        <v>0</v>
      </c>
    </row>
    <row r="2397" spans="1:15" x14ac:dyDescent="0.15">
      <c r="A2397" s="4">
        <v>2394</v>
      </c>
      <c r="B2397" s="4">
        <v>53</v>
      </c>
      <c r="C2397" s="4">
        <v>28</v>
      </c>
      <c r="D2397" s="4">
        <v>14</v>
      </c>
      <c r="E2397" s="4">
        <v>4</v>
      </c>
      <c r="F2397" s="8">
        <v>0.8</v>
      </c>
      <c r="G2397" s="4">
        <v>1</v>
      </c>
      <c r="H2397" s="4">
        <f t="shared" si="74"/>
        <v>1</v>
      </c>
      <c r="I2397" s="4">
        <f t="shared" si="75"/>
        <v>0</v>
      </c>
      <c r="J2397" s="4">
        <v>0</v>
      </c>
      <c r="K2397" s="4">
        <v>0</v>
      </c>
      <c r="L2397" s="4">
        <v>0</v>
      </c>
      <c r="M2397" s="4">
        <v>1</v>
      </c>
      <c r="N2397" s="4">
        <v>1</v>
      </c>
      <c r="O2397" s="4">
        <v>0</v>
      </c>
    </row>
    <row r="2398" spans="1:15" x14ac:dyDescent="0.15">
      <c r="A2398" s="4">
        <v>2395</v>
      </c>
      <c r="B2398" s="4">
        <v>42</v>
      </c>
      <c r="C2398" s="4">
        <v>18</v>
      </c>
      <c r="D2398" s="4">
        <v>145</v>
      </c>
      <c r="E2398" s="4">
        <v>2</v>
      </c>
      <c r="F2398" s="8">
        <v>8</v>
      </c>
      <c r="G2398" s="4">
        <v>1</v>
      </c>
      <c r="H2398" s="4">
        <f t="shared" si="74"/>
        <v>1</v>
      </c>
      <c r="I2398" s="4">
        <f t="shared" si="75"/>
        <v>0</v>
      </c>
      <c r="J2398" s="4">
        <v>505</v>
      </c>
      <c r="K2398" s="4">
        <v>0</v>
      </c>
      <c r="L2398" s="4">
        <v>0</v>
      </c>
      <c r="M2398" s="4">
        <v>0</v>
      </c>
      <c r="N2398" s="4">
        <v>0</v>
      </c>
      <c r="O2398" s="4">
        <v>0</v>
      </c>
    </row>
    <row r="2399" spans="1:15" x14ac:dyDescent="0.15">
      <c r="A2399" s="4">
        <v>2396</v>
      </c>
      <c r="B2399" s="4">
        <v>44</v>
      </c>
      <c r="C2399" s="4">
        <v>17</v>
      </c>
      <c r="D2399" s="4">
        <v>25</v>
      </c>
      <c r="E2399" s="4">
        <v>3</v>
      </c>
      <c r="F2399" s="8">
        <v>1</v>
      </c>
      <c r="G2399" s="4">
        <v>2</v>
      </c>
      <c r="H2399" s="4">
        <f t="shared" si="74"/>
        <v>0</v>
      </c>
      <c r="I2399" s="4">
        <f t="shared" si="75"/>
        <v>1</v>
      </c>
      <c r="J2399" s="4">
        <v>0</v>
      </c>
      <c r="K2399" s="4">
        <v>0</v>
      </c>
      <c r="L2399" s="4">
        <v>0</v>
      </c>
      <c r="M2399" s="4">
        <v>0</v>
      </c>
      <c r="N2399" s="4">
        <v>1</v>
      </c>
      <c r="O2399" s="4">
        <v>0</v>
      </c>
    </row>
    <row r="2400" spans="1:15" x14ac:dyDescent="0.15">
      <c r="A2400" s="4">
        <v>2397</v>
      </c>
      <c r="B2400" s="4">
        <v>34</v>
      </c>
      <c r="C2400" s="4">
        <v>10</v>
      </c>
      <c r="D2400" s="4">
        <v>43</v>
      </c>
      <c r="E2400" s="4">
        <v>1</v>
      </c>
      <c r="F2400" s="8">
        <v>1.7</v>
      </c>
      <c r="G2400" s="4">
        <v>1</v>
      </c>
      <c r="H2400" s="4">
        <f t="shared" si="74"/>
        <v>1</v>
      </c>
      <c r="I2400" s="4">
        <f t="shared" si="75"/>
        <v>0</v>
      </c>
      <c r="J2400" s="4">
        <v>142</v>
      </c>
      <c r="K2400" s="4">
        <v>0</v>
      </c>
      <c r="L2400" s="4">
        <v>0</v>
      </c>
      <c r="M2400" s="4">
        <v>0</v>
      </c>
      <c r="N2400" s="4">
        <v>1</v>
      </c>
      <c r="O2400" s="4">
        <v>0</v>
      </c>
    </row>
    <row r="2401" spans="1:15" x14ac:dyDescent="0.15">
      <c r="A2401" s="4">
        <v>2398</v>
      </c>
      <c r="B2401" s="4">
        <v>47</v>
      </c>
      <c r="C2401" s="4">
        <v>22</v>
      </c>
      <c r="D2401" s="4">
        <v>93</v>
      </c>
      <c r="E2401" s="4">
        <v>1</v>
      </c>
      <c r="F2401" s="8">
        <v>0.2</v>
      </c>
      <c r="G2401" s="4">
        <v>2</v>
      </c>
      <c r="H2401" s="4">
        <f t="shared" si="74"/>
        <v>0</v>
      </c>
      <c r="I2401" s="4">
        <f t="shared" si="75"/>
        <v>1</v>
      </c>
      <c r="J2401" s="4">
        <v>309</v>
      </c>
      <c r="K2401" s="4">
        <v>0</v>
      </c>
      <c r="L2401" s="4">
        <v>0</v>
      </c>
      <c r="M2401" s="4">
        <v>1</v>
      </c>
      <c r="N2401" s="4">
        <v>0</v>
      </c>
      <c r="O2401" s="4">
        <v>0</v>
      </c>
    </row>
    <row r="2402" spans="1:15" x14ac:dyDescent="0.15">
      <c r="A2402" s="4">
        <v>2399</v>
      </c>
      <c r="B2402" s="4">
        <v>53</v>
      </c>
      <c r="C2402" s="4">
        <v>29</v>
      </c>
      <c r="D2402" s="4">
        <v>90</v>
      </c>
      <c r="E2402" s="4">
        <v>2</v>
      </c>
      <c r="F2402" s="8">
        <v>0.3</v>
      </c>
      <c r="G2402" s="4">
        <v>1</v>
      </c>
      <c r="H2402" s="4">
        <f t="shared" si="74"/>
        <v>1</v>
      </c>
      <c r="I2402" s="4">
        <f t="shared" si="75"/>
        <v>0</v>
      </c>
      <c r="J2402" s="4">
        <v>217</v>
      </c>
      <c r="K2402" s="4">
        <v>1</v>
      </c>
      <c r="L2402" s="4">
        <v>0</v>
      </c>
      <c r="M2402" s="4">
        <v>0</v>
      </c>
      <c r="N2402" s="4">
        <v>1</v>
      </c>
      <c r="O2402" s="4">
        <v>0</v>
      </c>
    </row>
    <row r="2403" spans="1:15" x14ac:dyDescent="0.15">
      <c r="A2403" s="4">
        <v>2400</v>
      </c>
      <c r="B2403" s="4">
        <v>62</v>
      </c>
      <c r="C2403" s="4">
        <v>36</v>
      </c>
      <c r="D2403" s="4">
        <v>41</v>
      </c>
      <c r="E2403" s="4">
        <v>2</v>
      </c>
      <c r="F2403" s="8">
        <v>1</v>
      </c>
      <c r="G2403" s="4">
        <v>3</v>
      </c>
      <c r="H2403" s="4">
        <f t="shared" si="74"/>
        <v>0</v>
      </c>
      <c r="I2403" s="4">
        <f t="shared" si="75"/>
        <v>0</v>
      </c>
      <c r="J2403" s="4">
        <v>154</v>
      </c>
      <c r="K2403" s="4">
        <v>1</v>
      </c>
      <c r="L2403" s="4">
        <v>0</v>
      </c>
      <c r="M2403" s="4">
        <v>1</v>
      </c>
      <c r="N2403" s="4">
        <v>0</v>
      </c>
      <c r="O2403" s="4">
        <v>0</v>
      </c>
    </row>
    <row r="2404" spans="1:15" x14ac:dyDescent="0.15">
      <c r="A2404" s="4">
        <v>2401</v>
      </c>
      <c r="B2404" s="4">
        <v>61</v>
      </c>
      <c r="C2404" s="4">
        <v>36</v>
      </c>
      <c r="D2404" s="4">
        <v>169</v>
      </c>
      <c r="E2404" s="4">
        <v>2</v>
      </c>
      <c r="F2404" s="8">
        <v>6.1</v>
      </c>
      <c r="G2404" s="4">
        <v>3</v>
      </c>
      <c r="H2404" s="4">
        <f t="shared" si="74"/>
        <v>0</v>
      </c>
      <c r="I2404" s="4">
        <f t="shared" si="75"/>
        <v>0</v>
      </c>
      <c r="J2404" s="4">
        <v>106</v>
      </c>
      <c r="K2404" s="4">
        <v>0</v>
      </c>
      <c r="L2404" s="4">
        <v>1</v>
      </c>
      <c r="M2404" s="4">
        <v>1</v>
      </c>
      <c r="N2404" s="4">
        <v>1</v>
      </c>
      <c r="O2404" s="4">
        <v>1</v>
      </c>
    </row>
    <row r="2405" spans="1:15" x14ac:dyDescent="0.15">
      <c r="A2405" s="4">
        <v>2402</v>
      </c>
      <c r="B2405" s="4">
        <v>42</v>
      </c>
      <c r="C2405" s="4">
        <v>17</v>
      </c>
      <c r="D2405" s="4">
        <v>63</v>
      </c>
      <c r="E2405" s="4">
        <v>2</v>
      </c>
      <c r="F2405" s="8">
        <v>2.2000000000000002</v>
      </c>
      <c r="G2405" s="4">
        <v>3</v>
      </c>
      <c r="H2405" s="4">
        <f t="shared" si="74"/>
        <v>0</v>
      </c>
      <c r="I2405" s="4">
        <f t="shared" si="75"/>
        <v>0</v>
      </c>
      <c r="J2405" s="4">
        <v>0</v>
      </c>
      <c r="K2405" s="4">
        <v>0</v>
      </c>
      <c r="L2405" s="4">
        <v>0</v>
      </c>
      <c r="M2405" s="4">
        <v>1</v>
      </c>
      <c r="N2405" s="4">
        <v>0</v>
      </c>
      <c r="O2405" s="4">
        <v>0</v>
      </c>
    </row>
    <row r="2406" spans="1:15" x14ac:dyDescent="0.15">
      <c r="A2406" s="4">
        <v>2403</v>
      </c>
      <c r="B2406" s="4">
        <v>48</v>
      </c>
      <c r="C2406" s="4">
        <v>21</v>
      </c>
      <c r="D2406" s="4">
        <v>23</v>
      </c>
      <c r="E2406" s="4">
        <v>3</v>
      </c>
      <c r="F2406" s="8">
        <v>0.66666666666666663</v>
      </c>
      <c r="G2406" s="4">
        <v>2</v>
      </c>
      <c r="H2406" s="4">
        <f t="shared" si="74"/>
        <v>0</v>
      </c>
      <c r="I2406" s="4">
        <f t="shared" si="75"/>
        <v>1</v>
      </c>
      <c r="J2406" s="4">
        <v>95</v>
      </c>
      <c r="K2406" s="4">
        <v>0</v>
      </c>
      <c r="L2406" s="4">
        <v>0</v>
      </c>
      <c r="M2406" s="4">
        <v>0</v>
      </c>
      <c r="N2406" s="4">
        <v>0</v>
      </c>
      <c r="O2406" s="4">
        <v>0</v>
      </c>
    </row>
    <row r="2407" spans="1:15" x14ac:dyDescent="0.15">
      <c r="A2407" s="4">
        <v>2404</v>
      </c>
      <c r="B2407" s="4">
        <v>38</v>
      </c>
      <c r="C2407" s="4">
        <v>13</v>
      </c>
      <c r="D2407" s="4">
        <v>140</v>
      </c>
      <c r="E2407" s="4">
        <v>4</v>
      </c>
      <c r="F2407" s="8">
        <v>0.5</v>
      </c>
      <c r="G2407" s="4">
        <v>1</v>
      </c>
      <c r="H2407" s="4">
        <f t="shared" si="74"/>
        <v>1</v>
      </c>
      <c r="I2407" s="4">
        <f t="shared" si="75"/>
        <v>0</v>
      </c>
      <c r="J2407" s="4">
        <v>0</v>
      </c>
      <c r="K2407" s="4">
        <v>0</v>
      </c>
      <c r="L2407" s="4">
        <v>0</v>
      </c>
      <c r="M2407" s="4">
        <v>0</v>
      </c>
      <c r="N2407" s="4">
        <v>0</v>
      </c>
      <c r="O2407" s="4">
        <v>1</v>
      </c>
    </row>
    <row r="2408" spans="1:15" x14ac:dyDescent="0.15">
      <c r="A2408" s="4">
        <v>2405</v>
      </c>
      <c r="B2408" s="4">
        <v>41</v>
      </c>
      <c r="C2408" s="4">
        <v>15</v>
      </c>
      <c r="D2408" s="4">
        <v>75</v>
      </c>
      <c r="E2408" s="4">
        <v>1</v>
      </c>
      <c r="F2408" s="8">
        <v>1.5</v>
      </c>
      <c r="G2408" s="4">
        <v>3</v>
      </c>
      <c r="H2408" s="4">
        <f t="shared" si="74"/>
        <v>0</v>
      </c>
      <c r="I2408" s="4">
        <f t="shared" si="75"/>
        <v>0</v>
      </c>
      <c r="J2408" s="4">
        <v>0</v>
      </c>
      <c r="K2408" s="4">
        <v>0</v>
      </c>
      <c r="L2408" s="4">
        <v>0</v>
      </c>
      <c r="M2408" s="4">
        <v>1</v>
      </c>
      <c r="N2408" s="4">
        <v>0</v>
      </c>
      <c r="O2408" s="4">
        <v>0</v>
      </c>
    </row>
    <row r="2409" spans="1:15" x14ac:dyDescent="0.15">
      <c r="A2409" s="4">
        <v>2406</v>
      </c>
      <c r="B2409" s="4">
        <v>57</v>
      </c>
      <c r="C2409" s="4">
        <v>32</v>
      </c>
      <c r="D2409" s="4">
        <v>13</v>
      </c>
      <c r="E2409" s="4">
        <v>4</v>
      </c>
      <c r="F2409" s="8">
        <v>0.9</v>
      </c>
      <c r="G2409" s="4">
        <v>2</v>
      </c>
      <c r="H2409" s="4">
        <f t="shared" si="74"/>
        <v>0</v>
      </c>
      <c r="I2409" s="4">
        <f t="shared" si="75"/>
        <v>1</v>
      </c>
      <c r="J2409" s="4">
        <v>78</v>
      </c>
      <c r="K2409" s="4">
        <v>1</v>
      </c>
      <c r="L2409" s="4">
        <v>0</v>
      </c>
      <c r="M2409" s="4">
        <v>1</v>
      </c>
      <c r="N2409" s="4">
        <v>0</v>
      </c>
      <c r="O2409" s="4">
        <v>0</v>
      </c>
    </row>
    <row r="2410" spans="1:15" x14ac:dyDescent="0.15">
      <c r="A2410" s="4">
        <v>2407</v>
      </c>
      <c r="B2410" s="4">
        <v>31</v>
      </c>
      <c r="C2410" s="4">
        <v>7</v>
      </c>
      <c r="D2410" s="4">
        <v>10</v>
      </c>
      <c r="E2410" s="4">
        <v>1</v>
      </c>
      <c r="F2410" s="8">
        <v>0.5</v>
      </c>
      <c r="G2410" s="4">
        <v>3</v>
      </c>
      <c r="H2410" s="4">
        <f t="shared" si="74"/>
        <v>0</v>
      </c>
      <c r="I2410" s="4">
        <f t="shared" si="75"/>
        <v>0</v>
      </c>
      <c r="J2410" s="4">
        <v>81</v>
      </c>
      <c r="K2410" s="4">
        <v>0</v>
      </c>
      <c r="L2410" s="4">
        <v>0</v>
      </c>
      <c r="M2410" s="4">
        <v>1</v>
      </c>
      <c r="N2410" s="4">
        <v>0</v>
      </c>
      <c r="O2410" s="4">
        <v>0</v>
      </c>
    </row>
    <row r="2411" spans="1:15" x14ac:dyDescent="0.15">
      <c r="A2411" s="4">
        <v>2408</v>
      </c>
      <c r="B2411" s="4">
        <v>39</v>
      </c>
      <c r="C2411" s="4">
        <v>15</v>
      </c>
      <c r="D2411" s="4">
        <v>100</v>
      </c>
      <c r="E2411" s="4">
        <v>1</v>
      </c>
      <c r="F2411" s="8">
        <v>0.8</v>
      </c>
      <c r="G2411" s="4">
        <v>2</v>
      </c>
      <c r="H2411" s="4">
        <f t="shared" si="74"/>
        <v>0</v>
      </c>
      <c r="I2411" s="4">
        <f t="shared" si="75"/>
        <v>1</v>
      </c>
      <c r="J2411" s="4">
        <v>0</v>
      </c>
      <c r="K2411" s="4">
        <v>0</v>
      </c>
      <c r="L2411" s="4">
        <v>0</v>
      </c>
      <c r="M2411" s="4">
        <v>1</v>
      </c>
      <c r="N2411" s="4">
        <v>0</v>
      </c>
      <c r="O2411" s="4">
        <v>0</v>
      </c>
    </row>
    <row r="2412" spans="1:15" x14ac:dyDescent="0.15">
      <c r="A2412" s="4">
        <v>2409</v>
      </c>
      <c r="B2412" s="4">
        <v>48</v>
      </c>
      <c r="C2412" s="4">
        <v>22</v>
      </c>
      <c r="D2412" s="4">
        <v>85</v>
      </c>
      <c r="E2412" s="4">
        <v>3</v>
      </c>
      <c r="F2412" s="8">
        <v>1.1000000000000001</v>
      </c>
      <c r="G2412" s="4">
        <v>1</v>
      </c>
      <c r="H2412" s="4">
        <f t="shared" si="74"/>
        <v>1</v>
      </c>
      <c r="I2412" s="4">
        <f t="shared" si="75"/>
        <v>0</v>
      </c>
      <c r="J2412" s="4">
        <v>203</v>
      </c>
      <c r="K2412" s="4">
        <v>0</v>
      </c>
      <c r="L2412" s="4">
        <v>0</v>
      </c>
      <c r="M2412" s="4">
        <v>1</v>
      </c>
      <c r="N2412" s="4">
        <v>0</v>
      </c>
      <c r="O2412" s="4">
        <v>0</v>
      </c>
    </row>
    <row r="2413" spans="1:15" x14ac:dyDescent="0.15">
      <c r="A2413" s="4">
        <v>2410</v>
      </c>
      <c r="B2413" s="4">
        <v>55</v>
      </c>
      <c r="C2413" s="4">
        <v>31</v>
      </c>
      <c r="D2413" s="4">
        <v>73</v>
      </c>
      <c r="E2413" s="4">
        <v>3</v>
      </c>
      <c r="F2413" s="8">
        <v>2.6666666666666665</v>
      </c>
      <c r="G2413" s="4">
        <v>1</v>
      </c>
      <c r="H2413" s="4">
        <f t="shared" si="74"/>
        <v>1</v>
      </c>
      <c r="I2413" s="4">
        <f t="shared" si="75"/>
        <v>0</v>
      </c>
      <c r="J2413" s="4">
        <v>219</v>
      </c>
      <c r="K2413" s="4">
        <v>0</v>
      </c>
      <c r="L2413" s="4">
        <v>0</v>
      </c>
      <c r="M2413" s="4">
        <v>1</v>
      </c>
      <c r="N2413" s="4">
        <v>0</v>
      </c>
      <c r="O2413" s="4">
        <v>0</v>
      </c>
    </row>
    <row r="2414" spans="1:15" x14ac:dyDescent="0.15">
      <c r="A2414" s="4">
        <v>2411</v>
      </c>
      <c r="B2414" s="4">
        <v>29</v>
      </c>
      <c r="C2414" s="4">
        <v>4</v>
      </c>
      <c r="D2414" s="4">
        <v>130</v>
      </c>
      <c r="E2414" s="4">
        <v>2</v>
      </c>
      <c r="F2414" s="8">
        <v>6.7</v>
      </c>
      <c r="G2414" s="4">
        <v>1</v>
      </c>
      <c r="H2414" s="4">
        <f t="shared" si="74"/>
        <v>1</v>
      </c>
      <c r="I2414" s="4">
        <f t="shared" si="75"/>
        <v>0</v>
      </c>
      <c r="J2414" s="4">
        <v>0</v>
      </c>
      <c r="K2414" s="4">
        <v>0</v>
      </c>
      <c r="L2414" s="4">
        <v>0</v>
      </c>
      <c r="M2414" s="4">
        <v>0</v>
      </c>
      <c r="N2414" s="4">
        <v>1</v>
      </c>
      <c r="O2414" s="4">
        <v>0</v>
      </c>
    </row>
    <row r="2415" spans="1:15" x14ac:dyDescent="0.15">
      <c r="A2415" s="4">
        <v>2412</v>
      </c>
      <c r="B2415" s="4">
        <v>47</v>
      </c>
      <c r="C2415" s="4">
        <v>22</v>
      </c>
      <c r="D2415" s="4">
        <v>65</v>
      </c>
      <c r="E2415" s="4">
        <v>3</v>
      </c>
      <c r="F2415" s="8">
        <v>2.7</v>
      </c>
      <c r="G2415" s="4">
        <v>2</v>
      </c>
      <c r="H2415" s="4">
        <f t="shared" si="74"/>
        <v>0</v>
      </c>
      <c r="I2415" s="4">
        <f t="shared" si="75"/>
        <v>1</v>
      </c>
      <c r="J2415" s="4">
        <v>0</v>
      </c>
      <c r="K2415" s="4">
        <v>0</v>
      </c>
      <c r="L2415" s="4">
        <v>0</v>
      </c>
      <c r="M2415" s="4">
        <v>1</v>
      </c>
      <c r="N2415" s="4">
        <v>0</v>
      </c>
      <c r="O2415" s="4">
        <v>0</v>
      </c>
    </row>
    <row r="2416" spans="1:15" x14ac:dyDescent="0.15">
      <c r="A2416" s="4">
        <v>2413</v>
      </c>
      <c r="B2416" s="4">
        <v>61</v>
      </c>
      <c r="C2416" s="4">
        <v>36</v>
      </c>
      <c r="D2416" s="4">
        <v>59</v>
      </c>
      <c r="E2416" s="4">
        <v>4</v>
      </c>
      <c r="F2416" s="8">
        <v>1.7</v>
      </c>
      <c r="G2416" s="4">
        <v>1</v>
      </c>
      <c r="H2416" s="4">
        <f t="shared" si="74"/>
        <v>1</v>
      </c>
      <c r="I2416" s="4">
        <f t="shared" si="75"/>
        <v>0</v>
      </c>
      <c r="J2416" s="4">
        <v>148</v>
      </c>
      <c r="K2416" s="4">
        <v>0</v>
      </c>
      <c r="L2416" s="4">
        <v>0</v>
      </c>
      <c r="M2416" s="4">
        <v>0</v>
      </c>
      <c r="N2416" s="4">
        <v>0</v>
      </c>
      <c r="O2416" s="4">
        <v>0</v>
      </c>
    </row>
    <row r="2417" spans="1:15" x14ac:dyDescent="0.15">
      <c r="A2417" s="4">
        <v>2414</v>
      </c>
      <c r="B2417" s="4">
        <v>60</v>
      </c>
      <c r="C2417" s="4">
        <v>34</v>
      </c>
      <c r="D2417" s="4">
        <v>31</v>
      </c>
      <c r="E2417" s="4">
        <v>2</v>
      </c>
      <c r="F2417" s="8">
        <v>1</v>
      </c>
      <c r="G2417" s="4">
        <v>3</v>
      </c>
      <c r="H2417" s="4">
        <f t="shared" si="74"/>
        <v>0</v>
      </c>
      <c r="I2417" s="4">
        <f t="shared" si="75"/>
        <v>0</v>
      </c>
      <c r="J2417" s="4">
        <v>0</v>
      </c>
      <c r="K2417" s="4">
        <v>0</v>
      </c>
      <c r="L2417" s="4">
        <v>0</v>
      </c>
      <c r="M2417" s="4">
        <v>0</v>
      </c>
      <c r="N2417" s="4">
        <v>0</v>
      </c>
      <c r="O2417" s="4">
        <v>0</v>
      </c>
    </row>
    <row r="2418" spans="1:15" x14ac:dyDescent="0.15">
      <c r="A2418" s="4">
        <v>2415</v>
      </c>
      <c r="B2418" s="4">
        <v>34</v>
      </c>
      <c r="C2418" s="4">
        <v>10</v>
      </c>
      <c r="D2418" s="4">
        <v>134</v>
      </c>
      <c r="E2418" s="4">
        <v>1</v>
      </c>
      <c r="F2418" s="8">
        <v>4</v>
      </c>
      <c r="G2418" s="4">
        <v>1</v>
      </c>
      <c r="H2418" s="4">
        <f t="shared" si="74"/>
        <v>1</v>
      </c>
      <c r="I2418" s="4">
        <f t="shared" si="75"/>
        <v>0</v>
      </c>
      <c r="J2418" s="4">
        <v>0</v>
      </c>
      <c r="K2418" s="4">
        <v>0</v>
      </c>
      <c r="L2418" s="4">
        <v>0</v>
      </c>
      <c r="M2418" s="4">
        <v>0</v>
      </c>
      <c r="N2418" s="4">
        <v>0</v>
      </c>
      <c r="O2418" s="4">
        <v>0</v>
      </c>
    </row>
    <row r="2419" spans="1:15" x14ac:dyDescent="0.15">
      <c r="A2419" s="4">
        <v>2416</v>
      </c>
      <c r="B2419" s="4">
        <v>45</v>
      </c>
      <c r="C2419" s="4">
        <v>21</v>
      </c>
      <c r="D2419" s="4">
        <v>11</v>
      </c>
      <c r="E2419" s="4">
        <v>4</v>
      </c>
      <c r="F2419" s="8">
        <v>0.2</v>
      </c>
      <c r="G2419" s="4">
        <v>1</v>
      </c>
      <c r="H2419" s="4">
        <f t="shared" si="74"/>
        <v>1</v>
      </c>
      <c r="I2419" s="4">
        <f t="shared" si="75"/>
        <v>0</v>
      </c>
      <c r="J2419" s="4">
        <v>106</v>
      </c>
      <c r="K2419" s="4">
        <v>0</v>
      </c>
      <c r="L2419" s="4">
        <v>0</v>
      </c>
      <c r="M2419" s="4">
        <v>1</v>
      </c>
      <c r="N2419" s="4">
        <v>1</v>
      </c>
      <c r="O2419" s="4">
        <v>0</v>
      </c>
    </row>
    <row r="2420" spans="1:15" x14ac:dyDescent="0.15">
      <c r="A2420" s="4">
        <v>2417</v>
      </c>
      <c r="B2420" s="4">
        <v>60</v>
      </c>
      <c r="C2420" s="4">
        <v>35</v>
      </c>
      <c r="D2420" s="4">
        <v>32</v>
      </c>
      <c r="E2420" s="4">
        <v>1</v>
      </c>
      <c r="F2420" s="8">
        <v>0.3</v>
      </c>
      <c r="G2420" s="4">
        <v>3</v>
      </c>
      <c r="H2420" s="4">
        <f t="shared" si="74"/>
        <v>0</v>
      </c>
      <c r="I2420" s="4">
        <f t="shared" si="75"/>
        <v>0</v>
      </c>
      <c r="J2420" s="4">
        <v>80</v>
      </c>
      <c r="K2420" s="4">
        <v>0</v>
      </c>
      <c r="L2420" s="4">
        <v>0</v>
      </c>
      <c r="M2420" s="4">
        <v>1</v>
      </c>
      <c r="N2420" s="4">
        <v>0</v>
      </c>
      <c r="O2420" s="4">
        <v>0</v>
      </c>
    </row>
    <row r="2421" spans="1:15" x14ac:dyDescent="0.15">
      <c r="A2421" s="4">
        <v>2418</v>
      </c>
      <c r="B2421" s="4">
        <v>25</v>
      </c>
      <c r="C2421" s="4">
        <v>0</v>
      </c>
      <c r="D2421" s="4">
        <v>53</v>
      </c>
      <c r="E2421" s="4">
        <v>2</v>
      </c>
      <c r="F2421" s="8">
        <v>1.6</v>
      </c>
      <c r="G2421" s="4">
        <v>3</v>
      </c>
      <c r="H2421" s="4">
        <f t="shared" si="74"/>
        <v>0</v>
      </c>
      <c r="I2421" s="4">
        <f t="shared" si="75"/>
        <v>0</v>
      </c>
      <c r="J2421" s="4">
        <v>0</v>
      </c>
      <c r="K2421" s="4">
        <v>0</v>
      </c>
      <c r="L2421" s="4">
        <v>0</v>
      </c>
      <c r="M2421" s="4">
        <v>1</v>
      </c>
      <c r="N2421" s="4">
        <v>1</v>
      </c>
      <c r="O2421" s="4">
        <v>0</v>
      </c>
    </row>
    <row r="2422" spans="1:15" x14ac:dyDescent="0.15">
      <c r="A2422" s="4">
        <v>2419</v>
      </c>
      <c r="B2422" s="4">
        <v>41</v>
      </c>
      <c r="C2422" s="4">
        <v>17</v>
      </c>
      <c r="D2422" s="4">
        <v>28</v>
      </c>
      <c r="E2422" s="4">
        <v>1</v>
      </c>
      <c r="F2422" s="8">
        <v>0.7</v>
      </c>
      <c r="G2422" s="4">
        <v>1</v>
      </c>
      <c r="H2422" s="4">
        <f t="shared" si="74"/>
        <v>1</v>
      </c>
      <c r="I2422" s="4">
        <f t="shared" si="75"/>
        <v>0</v>
      </c>
      <c r="J2422" s="4">
        <v>0</v>
      </c>
      <c r="K2422" s="4">
        <v>0</v>
      </c>
      <c r="L2422" s="4">
        <v>0</v>
      </c>
      <c r="M2422" s="4">
        <v>0</v>
      </c>
      <c r="N2422" s="4">
        <v>1</v>
      </c>
      <c r="O2422" s="4">
        <v>0</v>
      </c>
    </row>
    <row r="2423" spans="1:15" x14ac:dyDescent="0.15">
      <c r="A2423" s="4">
        <v>2420</v>
      </c>
      <c r="B2423" s="4">
        <v>63</v>
      </c>
      <c r="C2423" s="4">
        <v>37</v>
      </c>
      <c r="D2423" s="4">
        <v>44</v>
      </c>
      <c r="E2423" s="4">
        <v>2</v>
      </c>
      <c r="F2423" s="8">
        <v>1</v>
      </c>
      <c r="G2423" s="4">
        <v>3</v>
      </c>
      <c r="H2423" s="4">
        <f t="shared" si="74"/>
        <v>0</v>
      </c>
      <c r="I2423" s="4">
        <f t="shared" si="75"/>
        <v>0</v>
      </c>
      <c r="J2423" s="4">
        <v>0</v>
      </c>
      <c r="K2423" s="4">
        <v>0</v>
      </c>
      <c r="L2423" s="4">
        <v>0</v>
      </c>
      <c r="M2423" s="4">
        <v>1</v>
      </c>
      <c r="N2423" s="4">
        <v>0</v>
      </c>
      <c r="O2423" s="4">
        <v>0</v>
      </c>
    </row>
    <row r="2424" spans="1:15" x14ac:dyDescent="0.15">
      <c r="A2424" s="4">
        <v>2421</v>
      </c>
      <c r="B2424" s="4">
        <v>63</v>
      </c>
      <c r="C2424" s="4">
        <v>39</v>
      </c>
      <c r="D2424" s="4">
        <v>40</v>
      </c>
      <c r="E2424" s="4">
        <v>1</v>
      </c>
      <c r="F2424" s="8">
        <v>0.8</v>
      </c>
      <c r="G2424" s="4">
        <v>1</v>
      </c>
      <c r="H2424" s="4">
        <f t="shared" si="74"/>
        <v>1</v>
      </c>
      <c r="I2424" s="4">
        <f t="shared" si="75"/>
        <v>0</v>
      </c>
      <c r="J2424" s="4">
        <v>118</v>
      </c>
      <c r="K2424" s="4">
        <v>0</v>
      </c>
      <c r="L2424" s="4">
        <v>0</v>
      </c>
      <c r="M2424" s="4">
        <v>0</v>
      </c>
      <c r="N2424" s="4">
        <v>1</v>
      </c>
      <c r="O2424" s="4">
        <v>0</v>
      </c>
    </row>
    <row r="2425" spans="1:15" x14ac:dyDescent="0.15">
      <c r="A2425" s="4">
        <v>2422</v>
      </c>
      <c r="B2425" s="4">
        <v>43</v>
      </c>
      <c r="C2425" s="4">
        <v>19</v>
      </c>
      <c r="D2425" s="4">
        <v>40</v>
      </c>
      <c r="E2425" s="4">
        <v>3</v>
      </c>
      <c r="F2425" s="8">
        <v>0.6</v>
      </c>
      <c r="G2425" s="4">
        <v>2</v>
      </c>
      <c r="H2425" s="4">
        <f t="shared" si="74"/>
        <v>0</v>
      </c>
      <c r="I2425" s="4">
        <f t="shared" si="75"/>
        <v>1</v>
      </c>
      <c r="J2425" s="4">
        <v>0</v>
      </c>
      <c r="K2425" s="4">
        <v>0</v>
      </c>
      <c r="L2425" s="4">
        <v>0</v>
      </c>
      <c r="M2425" s="4">
        <v>1</v>
      </c>
      <c r="N2425" s="4">
        <v>0</v>
      </c>
      <c r="O2425" s="4">
        <v>0</v>
      </c>
    </row>
    <row r="2426" spans="1:15" x14ac:dyDescent="0.15">
      <c r="A2426" s="4">
        <v>2423</v>
      </c>
      <c r="B2426" s="4">
        <v>58</v>
      </c>
      <c r="C2426" s="4">
        <v>32</v>
      </c>
      <c r="D2426" s="4">
        <v>163</v>
      </c>
      <c r="E2426" s="4">
        <v>2</v>
      </c>
      <c r="F2426" s="8">
        <v>0.5</v>
      </c>
      <c r="G2426" s="4">
        <v>1</v>
      </c>
      <c r="H2426" s="4">
        <f t="shared" si="74"/>
        <v>1</v>
      </c>
      <c r="I2426" s="4">
        <f t="shared" si="75"/>
        <v>0</v>
      </c>
      <c r="J2426" s="4">
        <v>400</v>
      </c>
      <c r="K2426" s="4">
        <v>0</v>
      </c>
      <c r="L2426" s="4">
        <v>0</v>
      </c>
      <c r="M2426" s="4">
        <v>0</v>
      </c>
      <c r="N2426" s="4">
        <v>0</v>
      </c>
      <c r="O2426" s="4">
        <v>0</v>
      </c>
    </row>
    <row r="2427" spans="1:15" x14ac:dyDescent="0.15">
      <c r="A2427" s="4">
        <v>2424</v>
      </c>
      <c r="B2427" s="4">
        <v>50</v>
      </c>
      <c r="C2427" s="4">
        <v>25</v>
      </c>
      <c r="D2427" s="4">
        <v>82</v>
      </c>
      <c r="E2427" s="4">
        <v>1</v>
      </c>
      <c r="F2427" s="8">
        <v>1.3</v>
      </c>
      <c r="G2427" s="4">
        <v>3</v>
      </c>
      <c r="H2427" s="4">
        <f t="shared" si="74"/>
        <v>0</v>
      </c>
      <c r="I2427" s="4">
        <f t="shared" si="75"/>
        <v>0</v>
      </c>
      <c r="J2427" s="4">
        <v>0</v>
      </c>
      <c r="K2427" s="4">
        <v>0</v>
      </c>
      <c r="L2427" s="4">
        <v>0</v>
      </c>
      <c r="M2427" s="4">
        <v>1</v>
      </c>
      <c r="N2427" s="4">
        <v>0</v>
      </c>
      <c r="O2427" s="4">
        <v>0</v>
      </c>
    </row>
    <row r="2428" spans="1:15" x14ac:dyDescent="0.15">
      <c r="A2428" s="4">
        <v>2425</v>
      </c>
      <c r="B2428" s="4">
        <v>38</v>
      </c>
      <c r="C2428" s="4">
        <v>12</v>
      </c>
      <c r="D2428" s="4">
        <v>89</v>
      </c>
      <c r="E2428" s="4">
        <v>4</v>
      </c>
      <c r="F2428" s="8">
        <v>1.4</v>
      </c>
      <c r="G2428" s="4">
        <v>2</v>
      </c>
      <c r="H2428" s="4">
        <f t="shared" si="74"/>
        <v>0</v>
      </c>
      <c r="I2428" s="4">
        <f t="shared" si="75"/>
        <v>1</v>
      </c>
      <c r="J2428" s="4">
        <v>0</v>
      </c>
      <c r="K2428" s="4">
        <v>0</v>
      </c>
      <c r="L2428" s="4">
        <v>0</v>
      </c>
      <c r="M2428" s="4">
        <v>0</v>
      </c>
      <c r="N2428" s="4">
        <v>0</v>
      </c>
      <c r="O2428" s="4">
        <v>0</v>
      </c>
    </row>
    <row r="2429" spans="1:15" x14ac:dyDescent="0.15">
      <c r="A2429" s="4">
        <v>2426</v>
      </c>
      <c r="B2429" s="4">
        <v>54</v>
      </c>
      <c r="C2429" s="4">
        <v>30</v>
      </c>
      <c r="D2429" s="4">
        <v>78</v>
      </c>
      <c r="E2429" s="4">
        <v>4</v>
      </c>
      <c r="F2429" s="8">
        <v>1.6</v>
      </c>
      <c r="G2429" s="4">
        <v>2</v>
      </c>
      <c r="H2429" s="4">
        <f t="shared" si="74"/>
        <v>0</v>
      </c>
      <c r="I2429" s="4">
        <f t="shared" si="75"/>
        <v>1</v>
      </c>
      <c r="J2429" s="4">
        <v>0</v>
      </c>
      <c r="K2429" s="4">
        <v>0</v>
      </c>
      <c r="L2429" s="4">
        <v>0</v>
      </c>
      <c r="M2429" s="4">
        <v>1</v>
      </c>
      <c r="N2429" s="4">
        <v>1</v>
      </c>
      <c r="O2429" s="4">
        <v>0</v>
      </c>
    </row>
    <row r="2430" spans="1:15" x14ac:dyDescent="0.15">
      <c r="A2430" s="4">
        <v>2427</v>
      </c>
      <c r="B2430" s="4">
        <v>61</v>
      </c>
      <c r="C2430" s="4">
        <v>36</v>
      </c>
      <c r="D2430" s="4">
        <v>55</v>
      </c>
      <c r="E2430" s="4">
        <v>3</v>
      </c>
      <c r="F2430" s="8">
        <v>0.9</v>
      </c>
      <c r="G2430" s="4">
        <v>3</v>
      </c>
      <c r="H2430" s="4">
        <f t="shared" si="74"/>
        <v>0</v>
      </c>
      <c r="I2430" s="4">
        <f t="shared" si="75"/>
        <v>0</v>
      </c>
      <c r="J2430" s="4">
        <v>197</v>
      </c>
      <c r="K2430" s="4">
        <v>0</v>
      </c>
      <c r="L2430" s="4">
        <v>0</v>
      </c>
      <c r="M2430" s="4">
        <v>0</v>
      </c>
      <c r="N2430" s="4">
        <v>0</v>
      </c>
      <c r="O2430" s="4">
        <v>0</v>
      </c>
    </row>
    <row r="2431" spans="1:15" x14ac:dyDescent="0.15">
      <c r="A2431" s="4">
        <v>2428</v>
      </c>
      <c r="B2431" s="4">
        <v>29</v>
      </c>
      <c r="C2431" s="4">
        <v>5</v>
      </c>
      <c r="D2431" s="4">
        <v>34</v>
      </c>
      <c r="E2431" s="4">
        <v>4</v>
      </c>
      <c r="F2431" s="8">
        <v>0.4</v>
      </c>
      <c r="G2431" s="4">
        <v>2</v>
      </c>
      <c r="H2431" s="4">
        <f t="shared" si="74"/>
        <v>0</v>
      </c>
      <c r="I2431" s="4">
        <f t="shared" si="75"/>
        <v>1</v>
      </c>
      <c r="J2431" s="4">
        <v>0</v>
      </c>
      <c r="K2431" s="4">
        <v>0</v>
      </c>
      <c r="L2431" s="4">
        <v>0</v>
      </c>
      <c r="M2431" s="4">
        <v>1</v>
      </c>
      <c r="N2431" s="4">
        <v>0</v>
      </c>
      <c r="O2431" s="4">
        <v>0</v>
      </c>
    </row>
    <row r="2432" spans="1:15" x14ac:dyDescent="0.15">
      <c r="A2432" s="4">
        <v>2429</v>
      </c>
      <c r="B2432" s="4">
        <v>39</v>
      </c>
      <c r="C2432" s="4">
        <v>12</v>
      </c>
      <c r="D2432" s="4">
        <v>108</v>
      </c>
      <c r="E2432" s="4">
        <v>4</v>
      </c>
      <c r="F2432" s="8">
        <v>3.6666666666666665</v>
      </c>
      <c r="G2432" s="4">
        <v>2</v>
      </c>
      <c r="H2432" s="4">
        <f t="shared" si="74"/>
        <v>0</v>
      </c>
      <c r="I2432" s="4">
        <f t="shared" si="75"/>
        <v>1</v>
      </c>
      <c r="J2432" s="4">
        <v>301</v>
      </c>
      <c r="K2432" s="4">
        <v>0</v>
      </c>
      <c r="L2432" s="4">
        <v>0</v>
      </c>
      <c r="M2432" s="4">
        <v>0</v>
      </c>
      <c r="N2432" s="4">
        <v>1</v>
      </c>
      <c r="O2432" s="4">
        <v>1</v>
      </c>
    </row>
    <row r="2433" spans="1:15" x14ac:dyDescent="0.15">
      <c r="A2433" s="4">
        <v>2430</v>
      </c>
      <c r="B2433" s="4">
        <v>33</v>
      </c>
      <c r="C2433" s="4">
        <v>7</v>
      </c>
      <c r="D2433" s="4">
        <v>58</v>
      </c>
      <c r="E2433" s="4">
        <v>4</v>
      </c>
      <c r="F2433" s="8">
        <v>2.2000000000000002</v>
      </c>
      <c r="G2433" s="4">
        <v>2</v>
      </c>
      <c r="H2433" s="4">
        <f t="shared" si="74"/>
        <v>0</v>
      </c>
      <c r="I2433" s="4">
        <f t="shared" si="75"/>
        <v>1</v>
      </c>
      <c r="J2433" s="4">
        <v>0</v>
      </c>
      <c r="K2433" s="4">
        <v>0</v>
      </c>
      <c r="L2433" s="4">
        <v>0</v>
      </c>
      <c r="M2433" s="4">
        <v>1</v>
      </c>
      <c r="N2433" s="4">
        <v>1</v>
      </c>
      <c r="O2433" s="4">
        <v>0</v>
      </c>
    </row>
    <row r="2434" spans="1:15" x14ac:dyDescent="0.15">
      <c r="A2434" s="4">
        <v>2431</v>
      </c>
      <c r="B2434" s="4">
        <v>23</v>
      </c>
      <c r="C2434" s="4">
        <v>0</v>
      </c>
      <c r="D2434" s="4">
        <v>73</v>
      </c>
      <c r="E2434" s="4">
        <v>4</v>
      </c>
      <c r="F2434" s="8">
        <v>2.6</v>
      </c>
      <c r="G2434" s="4">
        <v>1</v>
      </c>
      <c r="H2434" s="4">
        <f t="shared" si="74"/>
        <v>1</v>
      </c>
      <c r="I2434" s="4">
        <f t="shared" si="75"/>
        <v>0</v>
      </c>
      <c r="J2434" s="4">
        <v>0</v>
      </c>
      <c r="K2434" s="4">
        <v>0</v>
      </c>
      <c r="L2434" s="4">
        <v>0</v>
      </c>
      <c r="M2434" s="4">
        <v>1</v>
      </c>
      <c r="N2434" s="4">
        <v>0</v>
      </c>
      <c r="O2434" s="4">
        <v>0</v>
      </c>
    </row>
    <row r="2435" spans="1:15" x14ac:dyDescent="0.15">
      <c r="A2435" s="4">
        <v>2432</v>
      </c>
      <c r="B2435" s="4">
        <v>56</v>
      </c>
      <c r="C2435" s="4">
        <v>31</v>
      </c>
      <c r="D2435" s="4">
        <v>54</v>
      </c>
      <c r="E2435" s="4">
        <v>4</v>
      </c>
      <c r="F2435" s="8">
        <v>2.1</v>
      </c>
      <c r="G2435" s="4">
        <v>1</v>
      </c>
      <c r="H2435" s="4">
        <f t="shared" si="74"/>
        <v>1</v>
      </c>
      <c r="I2435" s="4">
        <f t="shared" si="75"/>
        <v>0</v>
      </c>
      <c r="J2435" s="4">
        <v>0</v>
      </c>
      <c r="K2435" s="4">
        <v>0</v>
      </c>
      <c r="L2435" s="4">
        <v>0</v>
      </c>
      <c r="M2435" s="4">
        <v>1</v>
      </c>
      <c r="N2435" s="4">
        <v>0</v>
      </c>
      <c r="O2435" s="4">
        <v>0</v>
      </c>
    </row>
    <row r="2436" spans="1:15" x14ac:dyDescent="0.15">
      <c r="A2436" s="4">
        <v>2433</v>
      </c>
      <c r="B2436" s="4">
        <v>54</v>
      </c>
      <c r="C2436" s="4">
        <v>30</v>
      </c>
      <c r="D2436" s="4">
        <v>45</v>
      </c>
      <c r="E2436" s="4">
        <v>4</v>
      </c>
      <c r="F2436" s="8">
        <v>0.9</v>
      </c>
      <c r="G2436" s="4">
        <v>2</v>
      </c>
      <c r="H2436" s="4">
        <f t="shared" si="74"/>
        <v>0</v>
      </c>
      <c r="I2436" s="4">
        <f t="shared" si="75"/>
        <v>1</v>
      </c>
      <c r="J2436" s="4">
        <v>0</v>
      </c>
      <c r="K2436" s="4">
        <v>0</v>
      </c>
      <c r="L2436" s="4">
        <v>0</v>
      </c>
      <c r="M2436" s="4">
        <v>0</v>
      </c>
      <c r="N2436" s="4">
        <v>1</v>
      </c>
      <c r="O2436" s="4">
        <v>0</v>
      </c>
    </row>
    <row r="2437" spans="1:15" x14ac:dyDescent="0.15">
      <c r="A2437" s="4">
        <v>2434</v>
      </c>
      <c r="B2437" s="4">
        <v>37</v>
      </c>
      <c r="C2437" s="4">
        <v>11</v>
      </c>
      <c r="D2437" s="4">
        <v>123</v>
      </c>
      <c r="E2437" s="4">
        <v>1</v>
      </c>
      <c r="F2437" s="8">
        <v>2.2999999999999998</v>
      </c>
      <c r="G2437" s="4">
        <v>2</v>
      </c>
      <c r="H2437" s="4">
        <f t="shared" ref="H2437:H2500" si="76">IF(G2437=1,1,0)</f>
        <v>0</v>
      </c>
      <c r="I2437" s="4">
        <f t="shared" ref="I2437:I2500" si="77">IF(G2437=2,1,0)</f>
        <v>1</v>
      </c>
      <c r="J2437" s="4">
        <v>0</v>
      </c>
      <c r="K2437" s="4">
        <v>1</v>
      </c>
      <c r="L2437" s="4">
        <v>1</v>
      </c>
      <c r="M2437" s="4">
        <v>1</v>
      </c>
      <c r="N2437" s="4">
        <v>0</v>
      </c>
      <c r="O2437" s="4">
        <v>1</v>
      </c>
    </row>
    <row r="2438" spans="1:15" x14ac:dyDescent="0.15">
      <c r="A2438" s="4">
        <v>2435</v>
      </c>
      <c r="B2438" s="4">
        <v>38</v>
      </c>
      <c r="C2438" s="4">
        <v>12</v>
      </c>
      <c r="D2438" s="4">
        <v>93</v>
      </c>
      <c r="E2438" s="4">
        <v>1</v>
      </c>
      <c r="F2438" s="8">
        <v>5.2</v>
      </c>
      <c r="G2438" s="4">
        <v>1</v>
      </c>
      <c r="H2438" s="4">
        <f t="shared" si="76"/>
        <v>1</v>
      </c>
      <c r="I2438" s="4">
        <f t="shared" si="77"/>
        <v>0</v>
      </c>
      <c r="J2438" s="4">
        <v>267</v>
      </c>
      <c r="K2438" s="4">
        <v>0</v>
      </c>
      <c r="L2438" s="4">
        <v>0</v>
      </c>
      <c r="M2438" s="4">
        <v>1</v>
      </c>
      <c r="N2438" s="4">
        <v>0</v>
      </c>
      <c r="O2438" s="4">
        <v>0</v>
      </c>
    </row>
    <row r="2439" spans="1:15" x14ac:dyDescent="0.15">
      <c r="A2439" s="4">
        <v>2436</v>
      </c>
      <c r="B2439" s="4">
        <v>34</v>
      </c>
      <c r="C2439" s="4">
        <v>9</v>
      </c>
      <c r="D2439" s="4">
        <v>102</v>
      </c>
      <c r="E2439" s="4">
        <v>4</v>
      </c>
      <c r="F2439" s="8">
        <v>2.2000000000000002</v>
      </c>
      <c r="G2439" s="4">
        <v>2</v>
      </c>
      <c r="H2439" s="4">
        <f t="shared" si="76"/>
        <v>0</v>
      </c>
      <c r="I2439" s="4">
        <f t="shared" si="77"/>
        <v>1</v>
      </c>
      <c r="J2439" s="4">
        <v>0</v>
      </c>
      <c r="K2439" s="4">
        <v>0</v>
      </c>
      <c r="L2439" s="4">
        <v>0</v>
      </c>
      <c r="M2439" s="4">
        <v>1</v>
      </c>
      <c r="N2439" s="4">
        <v>0</v>
      </c>
      <c r="O2439" s="4">
        <v>0</v>
      </c>
    </row>
    <row r="2440" spans="1:15" x14ac:dyDescent="0.15">
      <c r="A2440" s="4">
        <v>2437</v>
      </c>
      <c r="B2440" s="4">
        <v>53</v>
      </c>
      <c r="C2440" s="4">
        <v>29</v>
      </c>
      <c r="D2440" s="4">
        <v>39</v>
      </c>
      <c r="E2440" s="4">
        <v>3</v>
      </c>
      <c r="F2440" s="8">
        <v>1.5</v>
      </c>
      <c r="G2440" s="4">
        <v>1</v>
      </c>
      <c r="H2440" s="4">
        <f t="shared" si="76"/>
        <v>1</v>
      </c>
      <c r="I2440" s="4">
        <f t="shared" si="77"/>
        <v>0</v>
      </c>
      <c r="J2440" s="4">
        <v>0</v>
      </c>
      <c r="K2440" s="4">
        <v>0</v>
      </c>
      <c r="L2440" s="4">
        <v>0</v>
      </c>
      <c r="M2440" s="4">
        <v>1</v>
      </c>
      <c r="N2440" s="4">
        <v>0</v>
      </c>
      <c r="O2440" s="4">
        <v>0</v>
      </c>
    </row>
    <row r="2441" spans="1:15" x14ac:dyDescent="0.15">
      <c r="A2441" s="4">
        <v>2438</v>
      </c>
      <c r="B2441" s="4">
        <v>65</v>
      </c>
      <c r="C2441" s="4">
        <v>40</v>
      </c>
      <c r="D2441" s="4">
        <v>114</v>
      </c>
      <c r="E2441" s="4">
        <v>4</v>
      </c>
      <c r="F2441" s="8">
        <v>3.4</v>
      </c>
      <c r="G2441" s="4">
        <v>2</v>
      </c>
      <c r="H2441" s="4">
        <f t="shared" si="76"/>
        <v>0</v>
      </c>
      <c r="I2441" s="4">
        <f t="shared" si="77"/>
        <v>1</v>
      </c>
      <c r="J2441" s="4">
        <v>0</v>
      </c>
      <c r="K2441" s="4">
        <v>0</v>
      </c>
      <c r="L2441" s="4">
        <v>0</v>
      </c>
      <c r="M2441" s="4">
        <v>0</v>
      </c>
      <c r="N2441" s="4">
        <v>1</v>
      </c>
      <c r="O2441" s="4">
        <v>0</v>
      </c>
    </row>
    <row r="2442" spans="1:15" x14ac:dyDescent="0.15">
      <c r="A2442" s="4">
        <v>2439</v>
      </c>
      <c r="B2442" s="4">
        <v>62</v>
      </c>
      <c r="C2442" s="4">
        <v>37</v>
      </c>
      <c r="D2442" s="4">
        <v>29</v>
      </c>
      <c r="E2442" s="4">
        <v>1</v>
      </c>
      <c r="F2442" s="8">
        <v>0.3</v>
      </c>
      <c r="G2442" s="4">
        <v>3</v>
      </c>
      <c r="H2442" s="4">
        <f t="shared" si="76"/>
        <v>0</v>
      </c>
      <c r="I2442" s="4">
        <f t="shared" si="77"/>
        <v>0</v>
      </c>
      <c r="J2442" s="4">
        <v>0</v>
      </c>
      <c r="K2442" s="4">
        <v>0</v>
      </c>
      <c r="L2442" s="4">
        <v>0</v>
      </c>
      <c r="M2442" s="4">
        <v>0</v>
      </c>
      <c r="N2442" s="4">
        <v>1</v>
      </c>
      <c r="O2442" s="4">
        <v>0</v>
      </c>
    </row>
    <row r="2443" spans="1:15" x14ac:dyDescent="0.15">
      <c r="A2443" s="4">
        <v>2440</v>
      </c>
      <c r="B2443" s="4">
        <v>51</v>
      </c>
      <c r="C2443" s="4">
        <v>25</v>
      </c>
      <c r="D2443" s="4">
        <v>30</v>
      </c>
      <c r="E2443" s="4">
        <v>3</v>
      </c>
      <c r="F2443" s="8">
        <v>0.6</v>
      </c>
      <c r="G2443" s="4">
        <v>2</v>
      </c>
      <c r="H2443" s="4">
        <f t="shared" si="76"/>
        <v>0</v>
      </c>
      <c r="I2443" s="4">
        <f t="shared" si="77"/>
        <v>1</v>
      </c>
      <c r="J2443" s="4">
        <v>144</v>
      </c>
      <c r="K2443" s="4">
        <v>0</v>
      </c>
      <c r="L2443" s="4">
        <v>0</v>
      </c>
      <c r="M2443" s="4">
        <v>0</v>
      </c>
      <c r="N2443" s="4">
        <v>1</v>
      </c>
      <c r="O2443" s="4">
        <v>0</v>
      </c>
    </row>
    <row r="2444" spans="1:15" x14ac:dyDescent="0.15">
      <c r="A2444" s="4">
        <v>2441</v>
      </c>
      <c r="B2444" s="4">
        <v>31</v>
      </c>
      <c r="C2444" s="4">
        <v>5</v>
      </c>
      <c r="D2444" s="4">
        <v>22</v>
      </c>
      <c r="E2444" s="4">
        <v>1</v>
      </c>
      <c r="F2444" s="8">
        <v>0.6</v>
      </c>
      <c r="G2444" s="4">
        <v>3</v>
      </c>
      <c r="H2444" s="4">
        <f t="shared" si="76"/>
        <v>0</v>
      </c>
      <c r="I2444" s="4">
        <f t="shared" si="77"/>
        <v>0</v>
      </c>
      <c r="J2444" s="4">
        <v>0</v>
      </c>
      <c r="K2444" s="4">
        <v>0</v>
      </c>
      <c r="L2444" s="4">
        <v>0</v>
      </c>
      <c r="M2444" s="4">
        <v>0</v>
      </c>
      <c r="N2444" s="4">
        <v>0</v>
      </c>
      <c r="O2444" s="4">
        <v>0</v>
      </c>
    </row>
    <row r="2445" spans="1:15" x14ac:dyDescent="0.15">
      <c r="A2445" s="4">
        <v>2442</v>
      </c>
      <c r="B2445" s="4">
        <v>64</v>
      </c>
      <c r="C2445" s="4">
        <v>38</v>
      </c>
      <c r="D2445" s="4">
        <v>38</v>
      </c>
      <c r="E2445" s="4">
        <v>2</v>
      </c>
      <c r="F2445" s="8">
        <v>0.3</v>
      </c>
      <c r="G2445" s="4">
        <v>1</v>
      </c>
      <c r="H2445" s="4">
        <f t="shared" si="76"/>
        <v>1</v>
      </c>
      <c r="I2445" s="4">
        <f t="shared" si="77"/>
        <v>0</v>
      </c>
      <c r="J2445" s="4">
        <v>186</v>
      </c>
      <c r="K2445" s="4">
        <v>0</v>
      </c>
      <c r="L2445" s="4">
        <v>0</v>
      </c>
      <c r="M2445" s="4">
        <v>1</v>
      </c>
      <c r="N2445" s="4">
        <v>1</v>
      </c>
      <c r="O2445" s="4">
        <v>0</v>
      </c>
    </row>
    <row r="2446" spans="1:15" x14ac:dyDescent="0.15">
      <c r="A2446" s="4">
        <v>2443</v>
      </c>
      <c r="B2446" s="4">
        <v>39</v>
      </c>
      <c r="C2446" s="4">
        <v>15</v>
      </c>
      <c r="D2446" s="4">
        <v>41</v>
      </c>
      <c r="E2446" s="4">
        <v>2</v>
      </c>
      <c r="F2446" s="8">
        <v>1.7</v>
      </c>
      <c r="G2446" s="4">
        <v>1</v>
      </c>
      <c r="H2446" s="4">
        <f t="shared" si="76"/>
        <v>1</v>
      </c>
      <c r="I2446" s="4">
        <f t="shared" si="77"/>
        <v>0</v>
      </c>
      <c r="J2446" s="4">
        <v>0</v>
      </c>
      <c r="K2446" s="4">
        <v>0</v>
      </c>
      <c r="L2446" s="4">
        <v>0</v>
      </c>
      <c r="M2446" s="4">
        <v>0</v>
      </c>
      <c r="N2446" s="4">
        <v>0</v>
      </c>
      <c r="O2446" s="4">
        <v>0</v>
      </c>
    </row>
    <row r="2447" spans="1:15" x14ac:dyDescent="0.15">
      <c r="A2447" s="4">
        <v>2444</v>
      </c>
      <c r="B2447" s="4">
        <v>28</v>
      </c>
      <c r="C2447" s="4">
        <v>3</v>
      </c>
      <c r="D2447" s="4">
        <v>161</v>
      </c>
      <c r="E2447" s="4">
        <v>4</v>
      </c>
      <c r="F2447" s="8">
        <v>1.7</v>
      </c>
      <c r="G2447" s="4">
        <v>3</v>
      </c>
      <c r="H2447" s="4">
        <f t="shared" si="76"/>
        <v>0</v>
      </c>
      <c r="I2447" s="4">
        <f t="shared" si="77"/>
        <v>0</v>
      </c>
      <c r="J2447" s="4">
        <v>422</v>
      </c>
      <c r="K2447" s="4">
        <v>0</v>
      </c>
      <c r="L2447" s="4">
        <v>1</v>
      </c>
      <c r="M2447" s="4">
        <v>1</v>
      </c>
      <c r="N2447" s="4">
        <v>1</v>
      </c>
      <c r="O2447" s="4">
        <v>1</v>
      </c>
    </row>
    <row r="2448" spans="1:15" x14ac:dyDescent="0.15">
      <c r="A2448" s="4">
        <v>2445</v>
      </c>
      <c r="B2448" s="4">
        <v>60</v>
      </c>
      <c r="C2448" s="4">
        <v>35</v>
      </c>
      <c r="D2448" s="4">
        <v>38</v>
      </c>
      <c r="E2448" s="4">
        <v>3</v>
      </c>
      <c r="F2448" s="8">
        <v>0.5</v>
      </c>
      <c r="G2448" s="4">
        <v>2</v>
      </c>
      <c r="H2448" s="4">
        <f t="shared" si="76"/>
        <v>0</v>
      </c>
      <c r="I2448" s="4">
        <f t="shared" si="77"/>
        <v>1</v>
      </c>
      <c r="J2448" s="4">
        <v>0</v>
      </c>
      <c r="K2448" s="4">
        <v>0</v>
      </c>
      <c r="L2448" s="4">
        <v>0</v>
      </c>
      <c r="M2448" s="4">
        <v>1</v>
      </c>
      <c r="N2448" s="4">
        <v>1</v>
      </c>
      <c r="O2448" s="4">
        <v>0</v>
      </c>
    </row>
    <row r="2449" spans="1:15" x14ac:dyDescent="0.15">
      <c r="A2449" s="4">
        <v>2446</v>
      </c>
      <c r="B2449" s="4">
        <v>47</v>
      </c>
      <c r="C2449" s="4">
        <v>23</v>
      </c>
      <c r="D2449" s="4">
        <v>25</v>
      </c>
      <c r="E2449" s="4">
        <v>1</v>
      </c>
      <c r="F2449" s="8">
        <v>0.9</v>
      </c>
      <c r="G2449" s="4">
        <v>3</v>
      </c>
      <c r="H2449" s="4">
        <f t="shared" si="76"/>
        <v>0</v>
      </c>
      <c r="I2449" s="4">
        <f t="shared" si="77"/>
        <v>0</v>
      </c>
      <c r="J2449" s="4">
        <v>0</v>
      </c>
      <c r="K2449" s="4">
        <v>0</v>
      </c>
      <c r="L2449" s="4">
        <v>0</v>
      </c>
      <c r="M2449" s="4">
        <v>1</v>
      </c>
      <c r="N2449" s="4">
        <v>0</v>
      </c>
      <c r="O2449" s="4">
        <v>0</v>
      </c>
    </row>
    <row r="2450" spans="1:15" x14ac:dyDescent="0.15">
      <c r="A2450" s="4">
        <v>2447</v>
      </c>
      <c r="B2450" s="4">
        <v>25</v>
      </c>
      <c r="C2450" s="4">
        <v>1</v>
      </c>
      <c r="D2450" s="4">
        <v>70</v>
      </c>
      <c r="E2450" s="4">
        <v>4</v>
      </c>
      <c r="F2450" s="8">
        <v>2.6</v>
      </c>
      <c r="G2450" s="4">
        <v>1</v>
      </c>
      <c r="H2450" s="4">
        <f t="shared" si="76"/>
        <v>1</v>
      </c>
      <c r="I2450" s="4">
        <f t="shared" si="77"/>
        <v>0</v>
      </c>
      <c r="J2450" s="4">
        <v>218</v>
      </c>
      <c r="K2450" s="4">
        <v>0</v>
      </c>
      <c r="L2450" s="4">
        <v>0</v>
      </c>
      <c r="M2450" s="4">
        <v>1</v>
      </c>
      <c r="N2450" s="4">
        <v>0</v>
      </c>
      <c r="O2450" s="4">
        <v>0</v>
      </c>
    </row>
    <row r="2451" spans="1:15" x14ac:dyDescent="0.15">
      <c r="A2451" s="4">
        <v>2448</v>
      </c>
      <c r="B2451" s="4">
        <v>44</v>
      </c>
      <c r="C2451" s="4">
        <v>19</v>
      </c>
      <c r="D2451" s="4">
        <v>201</v>
      </c>
      <c r="E2451" s="4">
        <v>2</v>
      </c>
      <c r="F2451" s="8">
        <v>8.8000000000000007</v>
      </c>
      <c r="G2451" s="4">
        <v>1</v>
      </c>
      <c r="H2451" s="4">
        <f t="shared" si="76"/>
        <v>1</v>
      </c>
      <c r="I2451" s="4">
        <f t="shared" si="77"/>
        <v>0</v>
      </c>
      <c r="J2451" s="4">
        <v>0</v>
      </c>
      <c r="K2451" s="4">
        <v>0</v>
      </c>
      <c r="L2451" s="4">
        <v>0</v>
      </c>
      <c r="M2451" s="4">
        <v>1</v>
      </c>
      <c r="N2451" s="4">
        <v>1</v>
      </c>
      <c r="O2451" s="4">
        <v>0</v>
      </c>
    </row>
    <row r="2452" spans="1:15" x14ac:dyDescent="0.15">
      <c r="A2452" s="4">
        <v>2449</v>
      </c>
      <c r="B2452" s="4">
        <v>51</v>
      </c>
      <c r="C2452" s="4">
        <v>26</v>
      </c>
      <c r="D2452" s="4">
        <v>42</v>
      </c>
      <c r="E2452" s="4">
        <v>2</v>
      </c>
      <c r="F2452" s="8">
        <v>0.6</v>
      </c>
      <c r="G2452" s="4">
        <v>3</v>
      </c>
      <c r="H2452" s="4">
        <f t="shared" si="76"/>
        <v>0</v>
      </c>
      <c r="I2452" s="4">
        <f t="shared" si="77"/>
        <v>0</v>
      </c>
      <c r="J2452" s="4">
        <v>0</v>
      </c>
      <c r="K2452" s="4">
        <v>0</v>
      </c>
      <c r="L2452" s="4">
        <v>0</v>
      </c>
      <c r="M2452" s="4">
        <v>1</v>
      </c>
      <c r="N2452" s="4">
        <v>1</v>
      </c>
      <c r="O2452" s="4">
        <v>0</v>
      </c>
    </row>
    <row r="2453" spans="1:15" x14ac:dyDescent="0.15">
      <c r="A2453" s="4">
        <v>2450</v>
      </c>
      <c r="B2453" s="4">
        <v>31</v>
      </c>
      <c r="C2453" s="4">
        <v>7</v>
      </c>
      <c r="D2453" s="4">
        <v>64</v>
      </c>
      <c r="E2453" s="4">
        <v>1</v>
      </c>
      <c r="F2453" s="8">
        <v>1.2</v>
      </c>
      <c r="G2453" s="4">
        <v>1</v>
      </c>
      <c r="H2453" s="4">
        <f t="shared" si="76"/>
        <v>1</v>
      </c>
      <c r="I2453" s="4">
        <f t="shared" si="77"/>
        <v>0</v>
      </c>
      <c r="J2453" s="4">
        <v>0</v>
      </c>
      <c r="K2453" s="4">
        <v>0</v>
      </c>
      <c r="L2453" s="4">
        <v>0</v>
      </c>
      <c r="M2453" s="4">
        <v>1</v>
      </c>
      <c r="N2453" s="4">
        <v>0</v>
      </c>
      <c r="O2453" s="4">
        <v>0</v>
      </c>
    </row>
    <row r="2454" spans="1:15" x14ac:dyDescent="0.15">
      <c r="A2454" s="4">
        <v>2451</v>
      </c>
      <c r="B2454" s="4">
        <v>32</v>
      </c>
      <c r="C2454" s="4">
        <v>7</v>
      </c>
      <c r="D2454" s="4">
        <v>28</v>
      </c>
      <c r="E2454" s="4">
        <v>4</v>
      </c>
      <c r="F2454" s="8">
        <v>1.1000000000000001</v>
      </c>
      <c r="G2454" s="4">
        <v>3</v>
      </c>
      <c r="H2454" s="4">
        <f t="shared" si="76"/>
        <v>0</v>
      </c>
      <c r="I2454" s="4">
        <f t="shared" si="77"/>
        <v>0</v>
      </c>
      <c r="J2454" s="4">
        <v>0</v>
      </c>
      <c r="K2454" s="4">
        <v>0</v>
      </c>
      <c r="L2454" s="4">
        <v>0</v>
      </c>
      <c r="M2454" s="4">
        <v>0</v>
      </c>
      <c r="N2454" s="4">
        <v>0</v>
      </c>
      <c r="O2454" s="4">
        <v>0</v>
      </c>
    </row>
    <row r="2455" spans="1:15" x14ac:dyDescent="0.15">
      <c r="A2455" s="4">
        <v>2452</v>
      </c>
      <c r="B2455" s="4">
        <v>51</v>
      </c>
      <c r="C2455" s="4">
        <v>25</v>
      </c>
      <c r="D2455" s="4">
        <v>119</v>
      </c>
      <c r="E2455" s="4">
        <v>1</v>
      </c>
      <c r="F2455" s="8">
        <v>4.9000000000000004</v>
      </c>
      <c r="G2455" s="4">
        <v>1</v>
      </c>
      <c r="H2455" s="4">
        <f t="shared" si="76"/>
        <v>1</v>
      </c>
      <c r="I2455" s="4">
        <f t="shared" si="77"/>
        <v>0</v>
      </c>
      <c r="J2455" s="4">
        <v>208</v>
      </c>
      <c r="K2455" s="4">
        <v>0</v>
      </c>
      <c r="L2455" s="4">
        <v>0</v>
      </c>
      <c r="M2455" s="4">
        <v>1</v>
      </c>
      <c r="N2455" s="4">
        <v>1</v>
      </c>
      <c r="O2455" s="4">
        <v>0</v>
      </c>
    </row>
    <row r="2456" spans="1:15" x14ac:dyDescent="0.15">
      <c r="A2456" s="4">
        <v>2453</v>
      </c>
      <c r="B2456" s="4">
        <v>25</v>
      </c>
      <c r="C2456" s="4">
        <v>1</v>
      </c>
      <c r="D2456" s="4">
        <v>28</v>
      </c>
      <c r="E2456" s="4">
        <v>1</v>
      </c>
      <c r="F2456" s="8">
        <v>1</v>
      </c>
      <c r="G2456" s="4">
        <v>3</v>
      </c>
      <c r="H2456" s="4">
        <f t="shared" si="76"/>
        <v>0</v>
      </c>
      <c r="I2456" s="4">
        <f t="shared" si="77"/>
        <v>0</v>
      </c>
      <c r="J2456" s="4">
        <v>0</v>
      </c>
      <c r="K2456" s="4">
        <v>0</v>
      </c>
      <c r="L2456" s="4">
        <v>0</v>
      </c>
      <c r="M2456" s="4">
        <v>1</v>
      </c>
      <c r="N2456" s="4">
        <v>0</v>
      </c>
      <c r="O2456" s="4">
        <v>0</v>
      </c>
    </row>
    <row r="2457" spans="1:15" x14ac:dyDescent="0.15">
      <c r="A2457" s="4">
        <v>2454</v>
      </c>
      <c r="B2457" s="4">
        <v>43</v>
      </c>
      <c r="C2457" s="4">
        <v>19</v>
      </c>
      <c r="D2457" s="4">
        <v>60</v>
      </c>
      <c r="E2457" s="4">
        <v>3</v>
      </c>
      <c r="F2457" s="8">
        <v>2.1</v>
      </c>
      <c r="G2457" s="4">
        <v>3</v>
      </c>
      <c r="H2457" s="4">
        <f t="shared" si="76"/>
        <v>0</v>
      </c>
      <c r="I2457" s="4">
        <f t="shared" si="77"/>
        <v>0</v>
      </c>
      <c r="J2457" s="4">
        <v>0</v>
      </c>
      <c r="K2457" s="4">
        <v>0</v>
      </c>
      <c r="L2457" s="4">
        <v>0</v>
      </c>
      <c r="M2457" s="4">
        <v>1</v>
      </c>
      <c r="N2457" s="4">
        <v>0</v>
      </c>
      <c r="O2457" s="4">
        <v>0</v>
      </c>
    </row>
    <row r="2458" spans="1:15" x14ac:dyDescent="0.15">
      <c r="A2458" s="4">
        <v>2455</v>
      </c>
      <c r="B2458" s="4">
        <v>54</v>
      </c>
      <c r="C2458" s="4">
        <v>29</v>
      </c>
      <c r="D2458" s="4">
        <v>23</v>
      </c>
      <c r="E2458" s="4">
        <v>1</v>
      </c>
      <c r="F2458" s="8">
        <v>1.5</v>
      </c>
      <c r="G2458" s="4">
        <v>2</v>
      </c>
      <c r="H2458" s="4">
        <f t="shared" si="76"/>
        <v>0</v>
      </c>
      <c r="I2458" s="4">
        <f t="shared" si="77"/>
        <v>1</v>
      </c>
      <c r="J2458" s="4">
        <v>0</v>
      </c>
      <c r="K2458" s="4">
        <v>0</v>
      </c>
      <c r="L2458" s="4">
        <v>0</v>
      </c>
      <c r="M2458" s="4">
        <v>0</v>
      </c>
      <c r="N2458" s="4">
        <v>0</v>
      </c>
      <c r="O2458" s="4">
        <v>0</v>
      </c>
    </row>
    <row r="2459" spans="1:15" x14ac:dyDescent="0.15">
      <c r="A2459" s="4">
        <v>2456</v>
      </c>
      <c r="B2459" s="4">
        <v>34</v>
      </c>
      <c r="C2459" s="4">
        <v>8</v>
      </c>
      <c r="D2459" s="4">
        <v>164</v>
      </c>
      <c r="E2459" s="4">
        <v>4</v>
      </c>
      <c r="F2459" s="8">
        <v>7.4</v>
      </c>
      <c r="G2459" s="4">
        <v>3</v>
      </c>
      <c r="H2459" s="4">
        <f t="shared" si="76"/>
        <v>0</v>
      </c>
      <c r="I2459" s="4">
        <f t="shared" si="77"/>
        <v>0</v>
      </c>
      <c r="J2459" s="4">
        <v>0</v>
      </c>
      <c r="K2459" s="4">
        <v>0</v>
      </c>
      <c r="L2459" s="4">
        <v>0</v>
      </c>
      <c r="M2459" s="4">
        <v>1</v>
      </c>
      <c r="N2459" s="4">
        <v>0</v>
      </c>
      <c r="O2459" s="4">
        <v>1</v>
      </c>
    </row>
    <row r="2460" spans="1:15" x14ac:dyDescent="0.15">
      <c r="A2460" s="4">
        <v>2457</v>
      </c>
      <c r="B2460" s="4">
        <v>54</v>
      </c>
      <c r="C2460" s="4">
        <v>30</v>
      </c>
      <c r="D2460" s="4">
        <v>39</v>
      </c>
      <c r="E2460" s="4">
        <v>2</v>
      </c>
      <c r="F2460" s="8">
        <v>0.8</v>
      </c>
      <c r="G2460" s="4">
        <v>1</v>
      </c>
      <c r="H2460" s="4">
        <f t="shared" si="76"/>
        <v>1</v>
      </c>
      <c r="I2460" s="4">
        <f t="shared" si="77"/>
        <v>0</v>
      </c>
      <c r="J2460" s="4">
        <v>0</v>
      </c>
      <c r="K2460" s="4">
        <v>0</v>
      </c>
      <c r="L2460" s="4">
        <v>0</v>
      </c>
      <c r="M2460" s="4">
        <v>0</v>
      </c>
      <c r="N2460" s="4">
        <v>1</v>
      </c>
      <c r="O2460" s="4">
        <v>0</v>
      </c>
    </row>
    <row r="2461" spans="1:15" x14ac:dyDescent="0.15">
      <c r="A2461" s="4">
        <v>2458</v>
      </c>
      <c r="B2461" s="4">
        <v>42</v>
      </c>
      <c r="C2461" s="4">
        <v>17</v>
      </c>
      <c r="D2461" s="4">
        <v>19</v>
      </c>
      <c r="E2461" s="4">
        <v>2</v>
      </c>
      <c r="F2461" s="8">
        <v>0</v>
      </c>
      <c r="G2461" s="4">
        <v>3</v>
      </c>
      <c r="H2461" s="4">
        <f t="shared" si="76"/>
        <v>0</v>
      </c>
      <c r="I2461" s="4">
        <f t="shared" si="77"/>
        <v>0</v>
      </c>
      <c r="J2461" s="4">
        <v>85</v>
      </c>
      <c r="K2461" s="4">
        <v>0</v>
      </c>
      <c r="L2461" s="4">
        <v>0</v>
      </c>
      <c r="M2461" s="4">
        <v>1</v>
      </c>
      <c r="N2461" s="4">
        <v>1</v>
      </c>
      <c r="O2461" s="4">
        <v>0</v>
      </c>
    </row>
    <row r="2462" spans="1:15" x14ac:dyDescent="0.15">
      <c r="A2462" s="4">
        <v>2459</v>
      </c>
      <c r="B2462" s="4">
        <v>46</v>
      </c>
      <c r="C2462" s="4">
        <v>20</v>
      </c>
      <c r="D2462" s="4">
        <v>72</v>
      </c>
      <c r="E2462" s="4">
        <v>2</v>
      </c>
      <c r="F2462" s="8">
        <v>0.8</v>
      </c>
      <c r="G2462" s="4">
        <v>3</v>
      </c>
      <c r="H2462" s="4">
        <f t="shared" si="76"/>
        <v>0</v>
      </c>
      <c r="I2462" s="4">
        <f t="shared" si="77"/>
        <v>0</v>
      </c>
      <c r="J2462" s="4">
        <v>0</v>
      </c>
      <c r="K2462" s="4">
        <v>0</v>
      </c>
      <c r="L2462" s="4">
        <v>0</v>
      </c>
      <c r="M2462" s="4">
        <v>1</v>
      </c>
      <c r="N2462" s="4">
        <v>1</v>
      </c>
      <c r="O2462" s="4">
        <v>0</v>
      </c>
    </row>
    <row r="2463" spans="1:15" x14ac:dyDescent="0.15">
      <c r="A2463" s="4">
        <v>2460</v>
      </c>
      <c r="B2463" s="4">
        <v>62</v>
      </c>
      <c r="C2463" s="4">
        <v>37</v>
      </c>
      <c r="D2463" s="4">
        <v>41</v>
      </c>
      <c r="E2463" s="4">
        <v>3</v>
      </c>
      <c r="F2463" s="8">
        <v>0.9</v>
      </c>
      <c r="G2463" s="4">
        <v>3</v>
      </c>
      <c r="H2463" s="4">
        <f t="shared" si="76"/>
        <v>0</v>
      </c>
      <c r="I2463" s="4">
        <f t="shared" si="77"/>
        <v>0</v>
      </c>
      <c r="J2463" s="4">
        <v>0</v>
      </c>
      <c r="K2463" s="4">
        <v>0</v>
      </c>
      <c r="L2463" s="4">
        <v>0</v>
      </c>
      <c r="M2463" s="4">
        <v>1</v>
      </c>
      <c r="N2463" s="4">
        <v>1</v>
      </c>
      <c r="O2463" s="4">
        <v>0</v>
      </c>
    </row>
    <row r="2464" spans="1:15" x14ac:dyDescent="0.15">
      <c r="A2464" s="4">
        <v>2461</v>
      </c>
      <c r="B2464" s="4">
        <v>31</v>
      </c>
      <c r="C2464" s="4">
        <v>5</v>
      </c>
      <c r="D2464" s="4">
        <v>32</v>
      </c>
      <c r="E2464" s="4">
        <v>2</v>
      </c>
      <c r="F2464" s="8">
        <v>0.3</v>
      </c>
      <c r="G2464" s="4">
        <v>2</v>
      </c>
      <c r="H2464" s="4">
        <f t="shared" si="76"/>
        <v>0</v>
      </c>
      <c r="I2464" s="4">
        <f t="shared" si="77"/>
        <v>1</v>
      </c>
      <c r="J2464" s="4">
        <v>130</v>
      </c>
      <c r="K2464" s="4">
        <v>0</v>
      </c>
      <c r="L2464" s="4">
        <v>0</v>
      </c>
      <c r="M2464" s="4">
        <v>1</v>
      </c>
      <c r="N2464" s="4">
        <v>0</v>
      </c>
      <c r="O2464" s="4">
        <v>0</v>
      </c>
    </row>
    <row r="2465" spans="1:15" x14ac:dyDescent="0.15">
      <c r="A2465" s="4">
        <v>2462</v>
      </c>
      <c r="B2465" s="4">
        <v>30</v>
      </c>
      <c r="C2465" s="4">
        <v>5</v>
      </c>
      <c r="D2465" s="4">
        <v>69</v>
      </c>
      <c r="E2465" s="4">
        <v>1</v>
      </c>
      <c r="F2465" s="8">
        <v>0.8</v>
      </c>
      <c r="G2465" s="4">
        <v>2</v>
      </c>
      <c r="H2465" s="4">
        <f t="shared" si="76"/>
        <v>0</v>
      </c>
      <c r="I2465" s="4">
        <f t="shared" si="77"/>
        <v>1</v>
      </c>
      <c r="J2465" s="4">
        <v>0</v>
      </c>
      <c r="K2465" s="4">
        <v>0</v>
      </c>
      <c r="L2465" s="4">
        <v>0</v>
      </c>
      <c r="M2465" s="4">
        <v>1</v>
      </c>
      <c r="N2465" s="4">
        <v>0</v>
      </c>
      <c r="O2465" s="4">
        <v>0</v>
      </c>
    </row>
    <row r="2466" spans="1:15" x14ac:dyDescent="0.15">
      <c r="A2466" s="4">
        <v>2463</v>
      </c>
      <c r="B2466" s="4">
        <v>52</v>
      </c>
      <c r="C2466" s="4">
        <v>28</v>
      </c>
      <c r="D2466" s="4">
        <v>23</v>
      </c>
      <c r="E2466" s="4">
        <v>3</v>
      </c>
      <c r="F2466" s="8">
        <v>0.4</v>
      </c>
      <c r="G2466" s="4">
        <v>1</v>
      </c>
      <c r="H2466" s="4">
        <f t="shared" si="76"/>
        <v>1</v>
      </c>
      <c r="I2466" s="4">
        <f t="shared" si="77"/>
        <v>0</v>
      </c>
      <c r="J2466" s="4">
        <v>0</v>
      </c>
      <c r="K2466" s="4">
        <v>0</v>
      </c>
      <c r="L2466" s="4">
        <v>0</v>
      </c>
      <c r="M2466" s="4">
        <v>1</v>
      </c>
      <c r="N2466" s="4">
        <v>0</v>
      </c>
      <c r="O2466" s="4">
        <v>0</v>
      </c>
    </row>
    <row r="2467" spans="1:15" x14ac:dyDescent="0.15">
      <c r="A2467" s="4">
        <v>2464</v>
      </c>
      <c r="B2467" s="4">
        <v>35</v>
      </c>
      <c r="C2467" s="4">
        <v>9</v>
      </c>
      <c r="D2467" s="4">
        <v>44</v>
      </c>
      <c r="E2467" s="4">
        <v>4</v>
      </c>
      <c r="F2467" s="8">
        <v>0.2</v>
      </c>
      <c r="G2467" s="4">
        <v>1</v>
      </c>
      <c r="H2467" s="4">
        <f t="shared" si="76"/>
        <v>1</v>
      </c>
      <c r="I2467" s="4">
        <f t="shared" si="77"/>
        <v>0</v>
      </c>
      <c r="J2467" s="4">
        <v>0</v>
      </c>
      <c r="K2467" s="4">
        <v>0</v>
      </c>
      <c r="L2467" s="4">
        <v>0</v>
      </c>
      <c r="M2467" s="4">
        <v>1</v>
      </c>
      <c r="N2467" s="4">
        <v>0</v>
      </c>
      <c r="O2467" s="4">
        <v>0</v>
      </c>
    </row>
    <row r="2468" spans="1:15" x14ac:dyDescent="0.15">
      <c r="A2468" s="4">
        <v>2465</v>
      </c>
      <c r="B2468" s="4">
        <v>60</v>
      </c>
      <c r="C2468" s="4">
        <v>36</v>
      </c>
      <c r="D2468" s="4">
        <v>32</v>
      </c>
      <c r="E2468" s="4">
        <v>3</v>
      </c>
      <c r="F2468" s="8">
        <v>0.4</v>
      </c>
      <c r="G2468" s="4">
        <v>2</v>
      </c>
      <c r="H2468" s="4">
        <f t="shared" si="76"/>
        <v>0</v>
      </c>
      <c r="I2468" s="4">
        <f t="shared" si="77"/>
        <v>1</v>
      </c>
      <c r="J2468" s="4">
        <v>165</v>
      </c>
      <c r="K2468" s="4">
        <v>0</v>
      </c>
      <c r="L2468" s="4">
        <v>0</v>
      </c>
      <c r="M2468" s="4">
        <v>1</v>
      </c>
      <c r="N2468" s="4">
        <v>0</v>
      </c>
      <c r="O2468" s="4">
        <v>0</v>
      </c>
    </row>
    <row r="2469" spans="1:15" x14ac:dyDescent="0.15">
      <c r="A2469" s="4">
        <v>2466</v>
      </c>
      <c r="B2469" s="4">
        <v>58</v>
      </c>
      <c r="C2469" s="4">
        <v>34</v>
      </c>
      <c r="D2469" s="4">
        <v>25</v>
      </c>
      <c r="E2469" s="4">
        <v>2</v>
      </c>
      <c r="F2469" s="8">
        <v>0.3</v>
      </c>
      <c r="G2469" s="4">
        <v>1</v>
      </c>
      <c r="H2469" s="4">
        <f t="shared" si="76"/>
        <v>1</v>
      </c>
      <c r="I2469" s="4">
        <f t="shared" si="77"/>
        <v>0</v>
      </c>
      <c r="J2469" s="4">
        <v>123</v>
      </c>
      <c r="K2469" s="4">
        <v>0</v>
      </c>
      <c r="L2469" s="4">
        <v>0</v>
      </c>
      <c r="M2469" s="4">
        <v>1</v>
      </c>
      <c r="N2469" s="4">
        <v>0</v>
      </c>
      <c r="O2469" s="4">
        <v>0</v>
      </c>
    </row>
    <row r="2470" spans="1:15" x14ac:dyDescent="0.15">
      <c r="A2470" s="4">
        <v>2467</v>
      </c>
      <c r="B2470" s="4">
        <v>24</v>
      </c>
      <c r="C2470" s="4">
        <v>0</v>
      </c>
      <c r="D2470" s="4">
        <v>80</v>
      </c>
      <c r="E2470" s="4">
        <v>2</v>
      </c>
      <c r="F2470" s="8">
        <v>1.6</v>
      </c>
      <c r="G2470" s="4">
        <v>3</v>
      </c>
      <c r="H2470" s="4">
        <f t="shared" si="76"/>
        <v>0</v>
      </c>
      <c r="I2470" s="4">
        <f t="shared" si="77"/>
        <v>0</v>
      </c>
      <c r="J2470" s="4">
        <v>0</v>
      </c>
      <c r="K2470" s="4">
        <v>0</v>
      </c>
      <c r="L2470" s="4">
        <v>0</v>
      </c>
      <c r="M2470" s="4">
        <v>1</v>
      </c>
      <c r="N2470" s="4">
        <v>0</v>
      </c>
      <c r="O2470" s="4">
        <v>0</v>
      </c>
    </row>
    <row r="2471" spans="1:15" x14ac:dyDescent="0.15">
      <c r="A2471" s="4">
        <v>2468</v>
      </c>
      <c r="B2471" s="4">
        <v>40</v>
      </c>
      <c r="C2471" s="4">
        <v>16</v>
      </c>
      <c r="D2471" s="4">
        <v>83</v>
      </c>
      <c r="E2471" s="4">
        <v>1</v>
      </c>
      <c r="F2471" s="8">
        <v>0.8</v>
      </c>
      <c r="G2471" s="4">
        <v>2</v>
      </c>
      <c r="H2471" s="4">
        <f t="shared" si="76"/>
        <v>0</v>
      </c>
      <c r="I2471" s="4">
        <f t="shared" si="77"/>
        <v>1</v>
      </c>
      <c r="J2471" s="4">
        <v>230</v>
      </c>
      <c r="K2471" s="4">
        <v>1</v>
      </c>
      <c r="L2471" s="4">
        <v>0</v>
      </c>
      <c r="M2471" s="4">
        <v>1</v>
      </c>
      <c r="N2471" s="4">
        <v>0</v>
      </c>
      <c r="O2471" s="4">
        <v>0</v>
      </c>
    </row>
    <row r="2472" spans="1:15" x14ac:dyDescent="0.15">
      <c r="A2472" s="4">
        <v>2469</v>
      </c>
      <c r="B2472" s="4">
        <v>49</v>
      </c>
      <c r="C2472" s="4">
        <v>23</v>
      </c>
      <c r="D2472" s="4">
        <v>133</v>
      </c>
      <c r="E2472" s="4">
        <v>1</v>
      </c>
      <c r="F2472" s="8">
        <v>7.3</v>
      </c>
      <c r="G2472" s="4">
        <v>1</v>
      </c>
      <c r="H2472" s="4">
        <f t="shared" si="76"/>
        <v>1</v>
      </c>
      <c r="I2472" s="4">
        <f t="shared" si="77"/>
        <v>0</v>
      </c>
      <c r="J2472" s="4">
        <v>0</v>
      </c>
      <c r="K2472" s="4">
        <v>0</v>
      </c>
      <c r="L2472" s="4">
        <v>0</v>
      </c>
      <c r="M2472" s="4">
        <v>1</v>
      </c>
      <c r="N2472" s="4">
        <v>1</v>
      </c>
      <c r="O2472" s="4">
        <v>0</v>
      </c>
    </row>
    <row r="2473" spans="1:15" x14ac:dyDescent="0.15">
      <c r="A2473" s="4">
        <v>2470</v>
      </c>
      <c r="B2473" s="4">
        <v>43</v>
      </c>
      <c r="C2473" s="4">
        <v>18</v>
      </c>
      <c r="D2473" s="4">
        <v>89</v>
      </c>
      <c r="E2473" s="4">
        <v>1</v>
      </c>
      <c r="F2473" s="8">
        <v>0.1</v>
      </c>
      <c r="G2473" s="4">
        <v>2</v>
      </c>
      <c r="H2473" s="4">
        <f t="shared" si="76"/>
        <v>0</v>
      </c>
      <c r="I2473" s="4">
        <f t="shared" si="77"/>
        <v>1</v>
      </c>
      <c r="J2473" s="4">
        <v>307</v>
      </c>
      <c r="K2473" s="4">
        <v>0</v>
      </c>
      <c r="L2473" s="4">
        <v>0</v>
      </c>
      <c r="M2473" s="4">
        <v>0</v>
      </c>
      <c r="N2473" s="4">
        <v>1</v>
      </c>
      <c r="O2473" s="4">
        <v>0</v>
      </c>
    </row>
    <row r="2474" spans="1:15" x14ac:dyDescent="0.15">
      <c r="A2474" s="4">
        <v>2471</v>
      </c>
      <c r="B2474" s="4">
        <v>33</v>
      </c>
      <c r="C2474" s="4">
        <v>7</v>
      </c>
      <c r="D2474" s="4">
        <v>81</v>
      </c>
      <c r="E2474" s="4">
        <v>2</v>
      </c>
      <c r="F2474" s="8">
        <v>4.5</v>
      </c>
      <c r="G2474" s="4">
        <v>3</v>
      </c>
      <c r="H2474" s="4">
        <f t="shared" si="76"/>
        <v>0</v>
      </c>
      <c r="I2474" s="4">
        <f t="shared" si="77"/>
        <v>0</v>
      </c>
      <c r="J2474" s="4">
        <v>187</v>
      </c>
      <c r="K2474" s="4">
        <v>0</v>
      </c>
      <c r="L2474" s="4">
        <v>1</v>
      </c>
      <c r="M2474" s="4">
        <v>1</v>
      </c>
      <c r="N2474" s="4">
        <v>1</v>
      </c>
      <c r="O2474" s="4">
        <v>0</v>
      </c>
    </row>
    <row r="2475" spans="1:15" x14ac:dyDescent="0.15">
      <c r="A2475" s="4">
        <v>2472</v>
      </c>
      <c r="B2475" s="4">
        <v>36</v>
      </c>
      <c r="C2475" s="4">
        <v>11</v>
      </c>
      <c r="D2475" s="4">
        <v>44</v>
      </c>
      <c r="E2475" s="4">
        <v>2</v>
      </c>
      <c r="F2475" s="8">
        <v>1.1000000000000001</v>
      </c>
      <c r="G2475" s="4">
        <v>2</v>
      </c>
      <c r="H2475" s="4">
        <f t="shared" si="76"/>
        <v>0</v>
      </c>
      <c r="I2475" s="4">
        <f t="shared" si="77"/>
        <v>1</v>
      </c>
      <c r="J2475" s="4">
        <v>85</v>
      </c>
      <c r="K2475" s="4">
        <v>0</v>
      </c>
      <c r="L2475" s="4">
        <v>0</v>
      </c>
      <c r="M2475" s="4">
        <v>1</v>
      </c>
      <c r="N2475" s="4">
        <v>0</v>
      </c>
      <c r="O2475" s="4">
        <v>0</v>
      </c>
    </row>
    <row r="2476" spans="1:15" x14ac:dyDescent="0.15">
      <c r="A2476" s="4">
        <v>2473</v>
      </c>
      <c r="B2476" s="4">
        <v>62</v>
      </c>
      <c r="C2476" s="4">
        <v>36</v>
      </c>
      <c r="D2476" s="4">
        <v>119</v>
      </c>
      <c r="E2476" s="4">
        <v>2</v>
      </c>
      <c r="F2476" s="8">
        <v>2</v>
      </c>
      <c r="G2476" s="4">
        <v>1</v>
      </c>
      <c r="H2476" s="4">
        <f t="shared" si="76"/>
        <v>1</v>
      </c>
      <c r="I2476" s="4">
        <f t="shared" si="77"/>
        <v>0</v>
      </c>
      <c r="J2476" s="4">
        <v>0</v>
      </c>
      <c r="K2476" s="4">
        <v>0</v>
      </c>
      <c r="L2476" s="4">
        <v>0</v>
      </c>
      <c r="M2476" s="4">
        <v>0</v>
      </c>
      <c r="N2476" s="4">
        <v>0</v>
      </c>
      <c r="O2476" s="4">
        <v>0</v>
      </c>
    </row>
    <row r="2477" spans="1:15" x14ac:dyDescent="0.15">
      <c r="A2477" s="4">
        <v>2474</v>
      </c>
      <c r="B2477" s="4">
        <v>57</v>
      </c>
      <c r="C2477" s="4">
        <v>32</v>
      </c>
      <c r="D2477" s="4">
        <v>39</v>
      </c>
      <c r="E2477" s="4">
        <v>4</v>
      </c>
      <c r="F2477" s="8">
        <v>0.9</v>
      </c>
      <c r="G2477" s="4">
        <v>1</v>
      </c>
      <c r="H2477" s="4">
        <f t="shared" si="76"/>
        <v>1</v>
      </c>
      <c r="I2477" s="4">
        <f t="shared" si="77"/>
        <v>0</v>
      </c>
      <c r="J2477" s="4">
        <v>147</v>
      </c>
      <c r="K2477" s="4">
        <v>0</v>
      </c>
      <c r="L2477" s="4">
        <v>0</v>
      </c>
      <c r="M2477" s="4">
        <v>0</v>
      </c>
      <c r="N2477" s="4">
        <v>0</v>
      </c>
      <c r="O2477" s="4">
        <v>0</v>
      </c>
    </row>
    <row r="2478" spans="1:15" x14ac:dyDescent="0.15">
      <c r="A2478" s="4">
        <v>2475</v>
      </c>
      <c r="B2478" s="4">
        <v>64</v>
      </c>
      <c r="C2478" s="4">
        <v>38</v>
      </c>
      <c r="D2478" s="4">
        <v>40</v>
      </c>
      <c r="E2478" s="4">
        <v>2</v>
      </c>
      <c r="F2478" s="8">
        <v>1</v>
      </c>
      <c r="G2478" s="4">
        <v>3</v>
      </c>
      <c r="H2478" s="4">
        <f t="shared" si="76"/>
        <v>0</v>
      </c>
      <c r="I2478" s="4">
        <f t="shared" si="77"/>
        <v>0</v>
      </c>
      <c r="J2478" s="4">
        <v>0</v>
      </c>
      <c r="K2478" s="4">
        <v>0</v>
      </c>
      <c r="L2478" s="4">
        <v>0</v>
      </c>
      <c r="M2478" s="4">
        <v>0</v>
      </c>
      <c r="N2478" s="4">
        <v>0</v>
      </c>
      <c r="O2478" s="4">
        <v>0</v>
      </c>
    </row>
    <row r="2479" spans="1:15" x14ac:dyDescent="0.15">
      <c r="A2479" s="4">
        <v>2476</v>
      </c>
      <c r="B2479" s="4">
        <v>52</v>
      </c>
      <c r="C2479" s="4">
        <v>26</v>
      </c>
      <c r="D2479" s="4">
        <v>79</v>
      </c>
      <c r="E2479" s="4">
        <v>3</v>
      </c>
      <c r="F2479" s="8">
        <v>0.8</v>
      </c>
      <c r="G2479" s="4">
        <v>1</v>
      </c>
      <c r="H2479" s="4">
        <f t="shared" si="76"/>
        <v>1</v>
      </c>
      <c r="I2479" s="4">
        <f t="shared" si="77"/>
        <v>0</v>
      </c>
      <c r="J2479" s="4">
        <v>183</v>
      </c>
      <c r="K2479" s="4">
        <v>0</v>
      </c>
      <c r="L2479" s="4">
        <v>0</v>
      </c>
      <c r="M2479" s="4">
        <v>0</v>
      </c>
      <c r="N2479" s="4">
        <v>0</v>
      </c>
      <c r="O2479" s="4">
        <v>0</v>
      </c>
    </row>
    <row r="2480" spans="1:15" x14ac:dyDescent="0.15">
      <c r="A2480" s="4">
        <v>2477</v>
      </c>
      <c r="B2480" s="4">
        <v>54</v>
      </c>
      <c r="C2480" s="4">
        <v>28</v>
      </c>
      <c r="D2480" s="4">
        <v>30</v>
      </c>
      <c r="E2480" s="4">
        <v>4</v>
      </c>
      <c r="F2480" s="8">
        <v>0.7</v>
      </c>
      <c r="G2480" s="4">
        <v>2</v>
      </c>
      <c r="H2480" s="4">
        <f t="shared" si="76"/>
        <v>0</v>
      </c>
      <c r="I2480" s="4">
        <f t="shared" si="77"/>
        <v>1</v>
      </c>
      <c r="J2480" s="4">
        <v>0</v>
      </c>
      <c r="K2480" s="4">
        <v>0</v>
      </c>
      <c r="L2480" s="4">
        <v>0</v>
      </c>
      <c r="M2480" s="4">
        <v>1</v>
      </c>
      <c r="N2480" s="4">
        <v>0</v>
      </c>
      <c r="O2480" s="4">
        <v>0</v>
      </c>
    </row>
    <row r="2481" spans="1:15" x14ac:dyDescent="0.15">
      <c r="A2481" s="4">
        <v>2478</v>
      </c>
      <c r="B2481" s="4">
        <v>40</v>
      </c>
      <c r="C2481" s="4">
        <v>14</v>
      </c>
      <c r="D2481" s="4">
        <v>179</v>
      </c>
      <c r="E2481" s="4">
        <v>1</v>
      </c>
      <c r="F2481" s="8">
        <v>2.6</v>
      </c>
      <c r="G2481" s="4">
        <v>3</v>
      </c>
      <c r="H2481" s="4">
        <f t="shared" si="76"/>
        <v>0</v>
      </c>
      <c r="I2481" s="4">
        <f t="shared" si="77"/>
        <v>0</v>
      </c>
      <c r="J2481" s="4">
        <v>0</v>
      </c>
      <c r="K2481" s="4">
        <v>0</v>
      </c>
      <c r="L2481" s="4">
        <v>0</v>
      </c>
      <c r="M2481" s="4">
        <v>1</v>
      </c>
      <c r="N2481" s="4">
        <v>0</v>
      </c>
      <c r="O2481" s="4">
        <v>1</v>
      </c>
    </row>
    <row r="2482" spans="1:15" x14ac:dyDescent="0.15">
      <c r="A2482" s="4">
        <v>2479</v>
      </c>
      <c r="B2482" s="4">
        <v>30</v>
      </c>
      <c r="C2482" s="4">
        <v>5</v>
      </c>
      <c r="D2482" s="4">
        <v>178</v>
      </c>
      <c r="E2482" s="4">
        <v>2</v>
      </c>
      <c r="F2482" s="8">
        <v>6.7</v>
      </c>
      <c r="G2482" s="4">
        <v>1</v>
      </c>
      <c r="H2482" s="4">
        <f t="shared" si="76"/>
        <v>1</v>
      </c>
      <c r="I2482" s="4">
        <f t="shared" si="77"/>
        <v>0</v>
      </c>
      <c r="J2482" s="4">
        <v>0</v>
      </c>
      <c r="K2482" s="4">
        <v>0</v>
      </c>
      <c r="L2482" s="4">
        <v>0</v>
      </c>
      <c r="M2482" s="4">
        <v>0</v>
      </c>
      <c r="N2482" s="4">
        <v>0</v>
      </c>
      <c r="O2482" s="4">
        <v>0</v>
      </c>
    </row>
    <row r="2483" spans="1:15" x14ac:dyDescent="0.15">
      <c r="A2483" s="4">
        <v>2480</v>
      </c>
      <c r="B2483" s="4">
        <v>55</v>
      </c>
      <c r="C2483" s="4">
        <v>30</v>
      </c>
      <c r="D2483" s="4">
        <v>82</v>
      </c>
      <c r="E2483" s="4">
        <v>4</v>
      </c>
      <c r="F2483" s="8">
        <v>3.8</v>
      </c>
      <c r="G2483" s="4">
        <v>2</v>
      </c>
      <c r="H2483" s="4">
        <f t="shared" si="76"/>
        <v>0</v>
      </c>
      <c r="I2483" s="4">
        <f t="shared" si="77"/>
        <v>1</v>
      </c>
      <c r="J2483" s="4">
        <v>0</v>
      </c>
      <c r="K2483" s="4">
        <v>0</v>
      </c>
      <c r="L2483" s="4">
        <v>0</v>
      </c>
      <c r="M2483" s="4">
        <v>1</v>
      </c>
      <c r="N2483" s="4">
        <v>0</v>
      </c>
      <c r="O2483" s="4">
        <v>0</v>
      </c>
    </row>
    <row r="2484" spans="1:15" x14ac:dyDescent="0.15">
      <c r="A2484" s="4">
        <v>2481</v>
      </c>
      <c r="B2484" s="4">
        <v>39</v>
      </c>
      <c r="C2484" s="4">
        <v>13</v>
      </c>
      <c r="D2484" s="4">
        <v>50</v>
      </c>
      <c r="E2484" s="4">
        <v>2</v>
      </c>
      <c r="F2484" s="8">
        <v>2.4</v>
      </c>
      <c r="G2484" s="4">
        <v>2</v>
      </c>
      <c r="H2484" s="4">
        <f t="shared" si="76"/>
        <v>0</v>
      </c>
      <c r="I2484" s="4">
        <f t="shared" si="77"/>
        <v>1</v>
      </c>
      <c r="J2484" s="4">
        <v>0</v>
      </c>
      <c r="K2484" s="4">
        <v>0</v>
      </c>
      <c r="L2484" s="4">
        <v>0</v>
      </c>
      <c r="M2484" s="4">
        <v>0</v>
      </c>
      <c r="N2484" s="4">
        <v>0</v>
      </c>
      <c r="O2484" s="4">
        <v>0</v>
      </c>
    </row>
    <row r="2485" spans="1:15" x14ac:dyDescent="0.15">
      <c r="A2485" s="4">
        <v>2482</v>
      </c>
      <c r="B2485" s="4">
        <v>55</v>
      </c>
      <c r="C2485" s="4">
        <v>30</v>
      </c>
      <c r="D2485" s="4">
        <v>64</v>
      </c>
      <c r="E2485" s="4">
        <v>2</v>
      </c>
      <c r="F2485" s="8">
        <v>1.9</v>
      </c>
      <c r="G2485" s="4">
        <v>2</v>
      </c>
      <c r="H2485" s="4">
        <f t="shared" si="76"/>
        <v>0</v>
      </c>
      <c r="I2485" s="4">
        <f t="shared" si="77"/>
        <v>1</v>
      </c>
      <c r="J2485" s="4">
        <v>0</v>
      </c>
      <c r="K2485" s="4">
        <v>0</v>
      </c>
      <c r="L2485" s="4">
        <v>0</v>
      </c>
      <c r="M2485" s="4">
        <v>0</v>
      </c>
      <c r="N2485" s="4">
        <v>0</v>
      </c>
      <c r="O2485" s="4">
        <v>0</v>
      </c>
    </row>
    <row r="2486" spans="1:15" x14ac:dyDescent="0.15">
      <c r="A2486" s="4">
        <v>2483</v>
      </c>
      <c r="B2486" s="4">
        <v>28</v>
      </c>
      <c r="C2486" s="4">
        <v>4</v>
      </c>
      <c r="D2486" s="4">
        <v>129</v>
      </c>
      <c r="E2486" s="4">
        <v>1</v>
      </c>
      <c r="F2486" s="8">
        <v>1.5</v>
      </c>
      <c r="G2486" s="4">
        <v>1</v>
      </c>
      <c r="H2486" s="4">
        <f t="shared" si="76"/>
        <v>1</v>
      </c>
      <c r="I2486" s="4">
        <f t="shared" si="77"/>
        <v>0</v>
      </c>
      <c r="J2486" s="4">
        <v>0</v>
      </c>
      <c r="K2486" s="4">
        <v>0</v>
      </c>
      <c r="L2486" s="4">
        <v>0</v>
      </c>
      <c r="M2486" s="4">
        <v>0</v>
      </c>
      <c r="N2486" s="4">
        <v>1</v>
      </c>
      <c r="O2486" s="4">
        <v>0</v>
      </c>
    </row>
    <row r="2487" spans="1:15" x14ac:dyDescent="0.15">
      <c r="A2487" s="4">
        <v>2484</v>
      </c>
      <c r="B2487" s="4">
        <v>44</v>
      </c>
      <c r="C2487" s="4">
        <v>18</v>
      </c>
      <c r="D2487" s="4">
        <v>68</v>
      </c>
      <c r="E2487" s="4">
        <v>4</v>
      </c>
      <c r="F2487" s="8">
        <v>2.9</v>
      </c>
      <c r="G2487" s="4">
        <v>1</v>
      </c>
      <c r="H2487" s="4">
        <f t="shared" si="76"/>
        <v>1</v>
      </c>
      <c r="I2487" s="4">
        <f t="shared" si="77"/>
        <v>0</v>
      </c>
      <c r="J2487" s="4">
        <v>0</v>
      </c>
      <c r="K2487" s="4">
        <v>1</v>
      </c>
      <c r="L2487" s="4">
        <v>0</v>
      </c>
      <c r="M2487" s="4">
        <v>0</v>
      </c>
      <c r="N2487" s="4">
        <v>0</v>
      </c>
      <c r="O2487" s="4">
        <v>0</v>
      </c>
    </row>
    <row r="2488" spans="1:15" x14ac:dyDescent="0.15">
      <c r="A2488" s="4">
        <v>2485</v>
      </c>
      <c r="B2488" s="4">
        <v>46</v>
      </c>
      <c r="C2488" s="4">
        <v>21</v>
      </c>
      <c r="D2488" s="4">
        <v>30</v>
      </c>
      <c r="E2488" s="4">
        <v>1</v>
      </c>
      <c r="F2488" s="8">
        <v>1.4</v>
      </c>
      <c r="G2488" s="4">
        <v>3</v>
      </c>
      <c r="H2488" s="4">
        <f t="shared" si="76"/>
        <v>0</v>
      </c>
      <c r="I2488" s="4">
        <f t="shared" si="77"/>
        <v>0</v>
      </c>
      <c r="J2488" s="4">
        <v>112</v>
      </c>
      <c r="K2488" s="4">
        <v>1</v>
      </c>
      <c r="L2488" s="4">
        <v>0</v>
      </c>
      <c r="M2488" s="4">
        <v>0</v>
      </c>
      <c r="N2488" s="4">
        <v>0</v>
      </c>
      <c r="O2488" s="4">
        <v>0</v>
      </c>
    </row>
    <row r="2489" spans="1:15" x14ac:dyDescent="0.15">
      <c r="A2489" s="4">
        <v>2486</v>
      </c>
      <c r="B2489" s="4">
        <v>61</v>
      </c>
      <c r="C2489" s="4">
        <v>36</v>
      </c>
      <c r="D2489" s="4">
        <v>48</v>
      </c>
      <c r="E2489" s="4">
        <v>3</v>
      </c>
      <c r="F2489" s="8">
        <v>1.5</v>
      </c>
      <c r="G2489" s="4">
        <v>1</v>
      </c>
      <c r="H2489" s="4">
        <f t="shared" si="76"/>
        <v>1</v>
      </c>
      <c r="I2489" s="4">
        <f t="shared" si="77"/>
        <v>0</v>
      </c>
      <c r="J2489" s="4">
        <v>0</v>
      </c>
      <c r="K2489" s="4">
        <v>0</v>
      </c>
      <c r="L2489" s="4">
        <v>0</v>
      </c>
      <c r="M2489" s="4">
        <v>0</v>
      </c>
      <c r="N2489" s="4">
        <v>1</v>
      </c>
      <c r="O2489" s="4">
        <v>0</v>
      </c>
    </row>
    <row r="2490" spans="1:15" x14ac:dyDescent="0.15">
      <c r="A2490" s="4">
        <v>2487</v>
      </c>
      <c r="B2490" s="4">
        <v>61</v>
      </c>
      <c r="C2490" s="4">
        <v>36</v>
      </c>
      <c r="D2490" s="4">
        <v>130</v>
      </c>
      <c r="E2490" s="4">
        <v>1</v>
      </c>
      <c r="F2490" s="8">
        <v>1.3</v>
      </c>
      <c r="G2490" s="4">
        <v>1</v>
      </c>
      <c r="H2490" s="4">
        <f t="shared" si="76"/>
        <v>1</v>
      </c>
      <c r="I2490" s="4">
        <f t="shared" si="77"/>
        <v>0</v>
      </c>
      <c r="J2490" s="4">
        <v>257</v>
      </c>
      <c r="K2490" s="4">
        <v>0</v>
      </c>
      <c r="L2490" s="4">
        <v>0</v>
      </c>
      <c r="M2490" s="4">
        <v>0</v>
      </c>
      <c r="N2490" s="4">
        <v>0</v>
      </c>
      <c r="O2490" s="4">
        <v>0</v>
      </c>
    </row>
    <row r="2491" spans="1:15" x14ac:dyDescent="0.15">
      <c r="A2491" s="4">
        <v>2488</v>
      </c>
      <c r="B2491" s="4">
        <v>45</v>
      </c>
      <c r="C2491" s="4">
        <v>20</v>
      </c>
      <c r="D2491" s="4">
        <v>40</v>
      </c>
      <c r="E2491" s="4">
        <v>1</v>
      </c>
      <c r="F2491" s="8">
        <v>0.5</v>
      </c>
      <c r="G2491" s="4">
        <v>3</v>
      </c>
      <c r="H2491" s="4">
        <f t="shared" si="76"/>
        <v>0</v>
      </c>
      <c r="I2491" s="4">
        <f t="shared" si="77"/>
        <v>0</v>
      </c>
      <c r="J2491" s="4">
        <v>0</v>
      </c>
      <c r="K2491" s="4">
        <v>1</v>
      </c>
      <c r="L2491" s="4">
        <v>0</v>
      </c>
      <c r="M2491" s="4">
        <v>1</v>
      </c>
      <c r="N2491" s="4">
        <v>0</v>
      </c>
      <c r="O2491" s="4">
        <v>0</v>
      </c>
    </row>
    <row r="2492" spans="1:15" x14ac:dyDescent="0.15">
      <c r="A2492" s="4">
        <v>2489</v>
      </c>
      <c r="B2492" s="4">
        <v>38</v>
      </c>
      <c r="C2492" s="4">
        <v>14</v>
      </c>
      <c r="D2492" s="4">
        <v>105</v>
      </c>
      <c r="E2492" s="4">
        <v>2</v>
      </c>
      <c r="F2492" s="8">
        <v>1.9</v>
      </c>
      <c r="G2492" s="4">
        <v>1</v>
      </c>
      <c r="H2492" s="4">
        <f t="shared" si="76"/>
        <v>1</v>
      </c>
      <c r="I2492" s="4">
        <f t="shared" si="77"/>
        <v>0</v>
      </c>
      <c r="J2492" s="4">
        <v>0</v>
      </c>
      <c r="K2492" s="4">
        <v>0</v>
      </c>
      <c r="L2492" s="4">
        <v>0</v>
      </c>
      <c r="M2492" s="4">
        <v>1</v>
      </c>
      <c r="N2492" s="4">
        <v>0</v>
      </c>
      <c r="O2492" s="4">
        <v>0</v>
      </c>
    </row>
    <row r="2493" spans="1:15" x14ac:dyDescent="0.15">
      <c r="A2493" s="4">
        <v>2490</v>
      </c>
      <c r="B2493" s="4">
        <v>29</v>
      </c>
      <c r="C2493" s="4">
        <v>3</v>
      </c>
      <c r="D2493" s="4">
        <v>41</v>
      </c>
      <c r="E2493" s="4">
        <v>4</v>
      </c>
      <c r="F2493" s="8">
        <v>0.2</v>
      </c>
      <c r="G2493" s="4">
        <v>1</v>
      </c>
      <c r="H2493" s="4">
        <f t="shared" si="76"/>
        <v>1</v>
      </c>
      <c r="I2493" s="4">
        <f t="shared" si="77"/>
        <v>0</v>
      </c>
      <c r="J2493" s="4">
        <v>0</v>
      </c>
      <c r="K2493" s="4">
        <v>0</v>
      </c>
      <c r="L2493" s="4">
        <v>0</v>
      </c>
      <c r="M2493" s="4">
        <v>1</v>
      </c>
      <c r="N2493" s="4">
        <v>0</v>
      </c>
      <c r="O2493" s="4">
        <v>0</v>
      </c>
    </row>
    <row r="2494" spans="1:15" x14ac:dyDescent="0.15">
      <c r="A2494" s="4">
        <v>2491</v>
      </c>
      <c r="B2494" s="4">
        <v>52</v>
      </c>
      <c r="C2494" s="4">
        <v>28</v>
      </c>
      <c r="D2494" s="4">
        <v>168</v>
      </c>
      <c r="E2494" s="4">
        <v>3</v>
      </c>
      <c r="F2494" s="8">
        <v>6.5</v>
      </c>
      <c r="G2494" s="4">
        <v>3</v>
      </c>
      <c r="H2494" s="4">
        <f t="shared" si="76"/>
        <v>0</v>
      </c>
      <c r="I2494" s="4">
        <f t="shared" si="77"/>
        <v>0</v>
      </c>
      <c r="J2494" s="4">
        <v>118</v>
      </c>
      <c r="K2494" s="4">
        <v>0</v>
      </c>
      <c r="L2494" s="4">
        <v>0</v>
      </c>
      <c r="M2494" s="4">
        <v>1</v>
      </c>
      <c r="N2494" s="4">
        <v>0</v>
      </c>
      <c r="O2494" s="4">
        <v>1</v>
      </c>
    </row>
    <row r="2495" spans="1:15" x14ac:dyDescent="0.15">
      <c r="A2495" s="4">
        <v>2492</v>
      </c>
      <c r="B2495" s="4">
        <v>38</v>
      </c>
      <c r="C2495" s="4">
        <v>14</v>
      </c>
      <c r="D2495" s="4">
        <v>80</v>
      </c>
      <c r="E2495" s="4">
        <v>2</v>
      </c>
      <c r="F2495" s="8">
        <v>2.7</v>
      </c>
      <c r="G2495" s="4">
        <v>1</v>
      </c>
      <c r="H2495" s="4">
        <f t="shared" si="76"/>
        <v>1</v>
      </c>
      <c r="I2495" s="4">
        <f t="shared" si="77"/>
        <v>0</v>
      </c>
      <c r="J2495" s="4">
        <v>0</v>
      </c>
      <c r="K2495" s="4">
        <v>0</v>
      </c>
      <c r="L2495" s="4">
        <v>0</v>
      </c>
      <c r="M2495" s="4">
        <v>1</v>
      </c>
      <c r="N2495" s="4">
        <v>0</v>
      </c>
      <c r="O2495" s="4">
        <v>0</v>
      </c>
    </row>
    <row r="2496" spans="1:15" x14ac:dyDescent="0.15">
      <c r="A2496" s="4">
        <v>2493</v>
      </c>
      <c r="B2496" s="4">
        <v>28</v>
      </c>
      <c r="C2496" s="4">
        <v>3</v>
      </c>
      <c r="D2496" s="4">
        <v>134</v>
      </c>
      <c r="E2496" s="4">
        <v>2</v>
      </c>
      <c r="F2496" s="8">
        <v>3.1</v>
      </c>
      <c r="G2496" s="4">
        <v>1</v>
      </c>
      <c r="H2496" s="4">
        <f t="shared" si="76"/>
        <v>1</v>
      </c>
      <c r="I2496" s="4">
        <f t="shared" si="77"/>
        <v>0</v>
      </c>
      <c r="J2496" s="4">
        <v>0</v>
      </c>
      <c r="K2496" s="4">
        <v>0</v>
      </c>
      <c r="L2496" s="4">
        <v>0</v>
      </c>
      <c r="M2496" s="4">
        <v>1</v>
      </c>
      <c r="N2496" s="4">
        <v>0</v>
      </c>
      <c r="O2496" s="4">
        <v>0</v>
      </c>
    </row>
    <row r="2497" spans="1:15" x14ac:dyDescent="0.15">
      <c r="A2497" s="4">
        <v>2494</v>
      </c>
      <c r="B2497" s="4">
        <v>34</v>
      </c>
      <c r="C2497" s="4">
        <v>9</v>
      </c>
      <c r="D2497" s="4">
        <v>49</v>
      </c>
      <c r="E2497" s="4">
        <v>1</v>
      </c>
      <c r="F2497" s="8">
        <v>2.5</v>
      </c>
      <c r="G2497" s="4">
        <v>3</v>
      </c>
      <c r="H2497" s="4">
        <f t="shared" si="76"/>
        <v>0</v>
      </c>
      <c r="I2497" s="4">
        <f t="shared" si="77"/>
        <v>0</v>
      </c>
      <c r="J2497" s="4">
        <v>0</v>
      </c>
      <c r="K2497" s="4">
        <v>0</v>
      </c>
      <c r="L2497" s="4">
        <v>0</v>
      </c>
      <c r="M2497" s="4">
        <v>0</v>
      </c>
      <c r="N2497" s="4">
        <v>0</v>
      </c>
      <c r="O2497" s="4">
        <v>0</v>
      </c>
    </row>
    <row r="2498" spans="1:15" x14ac:dyDescent="0.15">
      <c r="A2498" s="4">
        <v>2495</v>
      </c>
      <c r="B2498" s="4">
        <v>35</v>
      </c>
      <c r="C2498" s="4">
        <v>9</v>
      </c>
      <c r="D2498" s="4">
        <v>63</v>
      </c>
      <c r="E2498" s="4">
        <v>2</v>
      </c>
      <c r="F2498" s="8">
        <v>1.8</v>
      </c>
      <c r="G2498" s="4">
        <v>1</v>
      </c>
      <c r="H2498" s="4">
        <f t="shared" si="76"/>
        <v>1</v>
      </c>
      <c r="I2498" s="4">
        <f t="shared" si="77"/>
        <v>0</v>
      </c>
      <c r="J2498" s="4">
        <v>0</v>
      </c>
      <c r="K2498" s="4">
        <v>0</v>
      </c>
      <c r="L2498" s="4">
        <v>0</v>
      </c>
      <c r="M2498" s="4">
        <v>1</v>
      </c>
      <c r="N2498" s="4">
        <v>0</v>
      </c>
      <c r="O2498" s="4">
        <v>0</v>
      </c>
    </row>
    <row r="2499" spans="1:15" x14ac:dyDescent="0.15">
      <c r="A2499" s="4">
        <v>2496</v>
      </c>
      <c r="B2499" s="4">
        <v>46</v>
      </c>
      <c r="C2499" s="4">
        <v>22</v>
      </c>
      <c r="D2499" s="4">
        <v>70</v>
      </c>
      <c r="E2499" s="4">
        <v>4</v>
      </c>
      <c r="F2499" s="8">
        <v>1.9</v>
      </c>
      <c r="G2499" s="4">
        <v>1</v>
      </c>
      <c r="H2499" s="4">
        <f t="shared" si="76"/>
        <v>1</v>
      </c>
      <c r="I2499" s="4">
        <f t="shared" si="77"/>
        <v>0</v>
      </c>
      <c r="J2499" s="4">
        <v>212</v>
      </c>
      <c r="K2499" s="4">
        <v>0</v>
      </c>
      <c r="L2499" s="4">
        <v>0</v>
      </c>
      <c r="M2499" s="4">
        <v>0</v>
      </c>
      <c r="N2499" s="4">
        <v>1</v>
      </c>
      <c r="O2499" s="4">
        <v>0</v>
      </c>
    </row>
    <row r="2500" spans="1:15" x14ac:dyDescent="0.15">
      <c r="A2500" s="4">
        <v>2497</v>
      </c>
      <c r="B2500" s="4">
        <v>63</v>
      </c>
      <c r="C2500" s="4">
        <v>37</v>
      </c>
      <c r="D2500" s="4">
        <v>32</v>
      </c>
      <c r="E2500" s="4">
        <v>3</v>
      </c>
      <c r="F2500" s="8">
        <v>0.7</v>
      </c>
      <c r="G2500" s="4">
        <v>2</v>
      </c>
      <c r="H2500" s="4">
        <f t="shared" si="76"/>
        <v>0</v>
      </c>
      <c r="I2500" s="4">
        <f t="shared" si="77"/>
        <v>1</v>
      </c>
      <c r="J2500" s="4">
        <v>141</v>
      </c>
      <c r="K2500" s="4">
        <v>0</v>
      </c>
      <c r="L2500" s="4">
        <v>0</v>
      </c>
      <c r="M2500" s="4">
        <v>0</v>
      </c>
      <c r="N2500" s="4">
        <v>0</v>
      </c>
      <c r="O2500" s="4">
        <v>0</v>
      </c>
    </row>
    <row r="2501" spans="1:15" x14ac:dyDescent="0.15">
      <c r="A2501" s="4">
        <v>2498</v>
      </c>
      <c r="B2501" s="4">
        <v>33</v>
      </c>
      <c r="C2501" s="4">
        <v>9</v>
      </c>
      <c r="D2501" s="4">
        <v>14</v>
      </c>
      <c r="E2501" s="4">
        <v>3</v>
      </c>
      <c r="F2501" s="8">
        <v>0.9</v>
      </c>
      <c r="G2501" s="4">
        <v>3</v>
      </c>
      <c r="H2501" s="4">
        <f t="shared" ref="H2501:H2503" si="78">IF(G2501=1,1,0)</f>
        <v>0</v>
      </c>
      <c r="I2501" s="4">
        <f t="shared" ref="I2501:I2503" si="79">IF(G2501=2,1,0)</f>
        <v>0</v>
      </c>
      <c r="J2501" s="4">
        <v>114</v>
      </c>
      <c r="K2501" s="4">
        <v>0</v>
      </c>
      <c r="L2501" s="4">
        <v>0</v>
      </c>
      <c r="M2501" s="4">
        <v>0</v>
      </c>
      <c r="N2501" s="4">
        <v>0</v>
      </c>
      <c r="O2501" s="4">
        <v>0</v>
      </c>
    </row>
    <row r="2502" spans="1:15" x14ac:dyDescent="0.15">
      <c r="A2502" s="4">
        <v>2499</v>
      </c>
      <c r="B2502" s="4">
        <v>38</v>
      </c>
      <c r="C2502" s="4">
        <v>14</v>
      </c>
      <c r="D2502" s="4">
        <v>111</v>
      </c>
      <c r="E2502" s="4">
        <v>2</v>
      </c>
      <c r="F2502" s="8">
        <v>6.1</v>
      </c>
      <c r="G2502" s="4">
        <v>1</v>
      </c>
      <c r="H2502" s="4">
        <f t="shared" si="78"/>
        <v>1</v>
      </c>
      <c r="I2502" s="4">
        <f t="shared" si="79"/>
        <v>0</v>
      </c>
      <c r="J2502" s="4">
        <v>326</v>
      </c>
      <c r="K2502" s="4">
        <v>0</v>
      </c>
      <c r="L2502" s="4">
        <v>0</v>
      </c>
      <c r="M2502" s="4">
        <v>0</v>
      </c>
      <c r="N2502" s="4">
        <v>0</v>
      </c>
      <c r="O2502" s="4">
        <v>0</v>
      </c>
    </row>
    <row r="2503" spans="1:15" x14ac:dyDescent="0.15">
      <c r="A2503" s="4">
        <v>2500</v>
      </c>
      <c r="B2503" s="4">
        <v>53</v>
      </c>
      <c r="C2503" s="4">
        <v>27</v>
      </c>
      <c r="D2503" s="4">
        <v>38</v>
      </c>
      <c r="E2503" s="4">
        <v>4</v>
      </c>
      <c r="F2503" s="8">
        <v>2.8</v>
      </c>
      <c r="G2503" s="4">
        <v>2</v>
      </c>
      <c r="H2503" s="4">
        <f t="shared" si="78"/>
        <v>0</v>
      </c>
      <c r="I2503" s="4">
        <f t="shared" si="79"/>
        <v>1</v>
      </c>
      <c r="J2503" s="4">
        <v>144</v>
      </c>
      <c r="K2503" s="4">
        <v>1</v>
      </c>
      <c r="L2503" s="4">
        <v>0</v>
      </c>
      <c r="M2503" s="4">
        <v>1</v>
      </c>
      <c r="N2503" s="4">
        <v>0</v>
      </c>
      <c r="O2503" s="4">
        <v>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EBA3E-7EBB-5243-8A62-26D713054A73}">
  <dimension ref="B1:CV1547"/>
  <sheetViews>
    <sheetView showGridLines="0" topLeftCell="A65" workbookViewId="0"/>
  </sheetViews>
  <sheetFormatPr baseColWidth="10" defaultRowHeight="13" x14ac:dyDescent="0.15"/>
  <cols>
    <col min="3" max="3" width="11.5" customWidth="1"/>
    <col min="4" max="4" width="17.5" customWidth="1"/>
    <col min="6" max="6" width="13" customWidth="1"/>
    <col min="7" max="7" width="16.33203125" customWidth="1"/>
    <col min="8" max="9" width="11.6640625" customWidth="1"/>
    <col min="10" max="10" width="13.83203125" bestFit="1" customWidth="1"/>
    <col min="11" max="11" width="19" customWidth="1"/>
    <col min="12" max="12" width="13" customWidth="1"/>
    <col min="13" max="13" width="16" customWidth="1"/>
    <col min="14" max="14" width="12.6640625" customWidth="1"/>
    <col min="15" max="15" width="15.33203125" customWidth="1"/>
  </cols>
  <sheetData>
    <row r="1" spans="2:100" ht="19" x14ac:dyDescent="0.25">
      <c r="B1" s="40" t="s">
        <v>73</v>
      </c>
      <c r="N1" t="s">
        <v>88</v>
      </c>
      <c r="CV1" s="55" t="s">
        <v>89</v>
      </c>
    </row>
    <row r="3" spans="2:100" ht="16" x14ac:dyDescent="0.2">
      <c r="B3" s="51" t="s">
        <v>49</v>
      </c>
      <c r="C3" s="51"/>
      <c r="D3" s="51"/>
      <c r="E3" s="51"/>
      <c r="F3" s="51"/>
      <c r="G3" s="51"/>
      <c r="J3" s="54" t="s">
        <v>50</v>
      </c>
      <c r="K3" s="54"/>
      <c r="L3" s="54"/>
      <c r="M3" s="54"/>
    </row>
    <row r="4" spans="2:100" ht="14" x14ac:dyDescent="0.2">
      <c r="B4" s="49" t="s">
        <v>74</v>
      </c>
      <c r="C4" s="49"/>
      <c r="D4" s="49" t="s">
        <v>75</v>
      </c>
      <c r="E4" s="49"/>
      <c r="F4" s="49" t="s">
        <v>90</v>
      </c>
      <c r="G4" s="49"/>
      <c r="J4" s="53" t="s">
        <v>86</v>
      </c>
      <c r="K4" s="53" t="s">
        <v>87</v>
      </c>
      <c r="L4" s="53" t="s">
        <v>52</v>
      </c>
      <c r="M4" s="53" t="s">
        <v>53</v>
      </c>
    </row>
    <row r="5" spans="2:100" ht="14" x14ac:dyDescent="0.2">
      <c r="J5" s="45">
        <v>440</v>
      </c>
      <c r="K5" s="45">
        <v>379</v>
      </c>
      <c r="L5" s="45">
        <v>8</v>
      </c>
      <c r="M5" s="45">
        <v>827</v>
      </c>
    </row>
    <row r="10" spans="2:100" ht="19" x14ac:dyDescent="0.25">
      <c r="B10" s="41" t="s">
        <v>74</v>
      </c>
    </row>
    <row r="12" spans="2:100" ht="16" x14ac:dyDescent="0.2">
      <c r="C12" s="51" t="s">
        <v>54</v>
      </c>
      <c r="D12" s="51"/>
      <c r="E12" s="51"/>
      <c r="F12" s="51"/>
      <c r="G12" s="51"/>
      <c r="H12" s="51"/>
      <c r="I12" s="51"/>
      <c r="J12" s="51"/>
      <c r="K12" s="51"/>
    </row>
    <row r="13" spans="2:100" ht="14" x14ac:dyDescent="0.2">
      <c r="C13" s="52" t="s">
        <v>55</v>
      </c>
      <c r="D13" s="52"/>
      <c r="E13" s="52"/>
      <c r="F13" s="35"/>
      <c r="G13" s="44" t="s">
        <v>56</v>
      </c>
      <c r="H13" s="44"/>
      <c r="I13" s="44"/>
      <c r="J13" s="44"/>
      <c r="K13" s="44"/>
    </row>
    <row r="14" spans="2:100" ht="14" x14ac:dyDescent="0.2">
      <c r="C14" s="52" t="s">
        <v>57</v>
      </c>
      <c r="D14" s="52"/>
      <c r="E14" s="52"/>
      <c r="F14" s="35"/>
      <c r="G14" s="44" t="s">
        <v>54</v>
      </c>
      <c r="H14" s="44"/>
      <c r="I14" s="44"/>
      <c r="J14" s="44"/>
      <c r="K14" s="44"/>
    </row>
    <row r="15" spans="2:100" ht="14" x14ac:dyDescent="0.2">
      <c r="C15" s="52" t="s">
        <v>76</v>
      </c>
      <c r="D15" s="52"/>
      <c r="E15" s="52"/>
      <c r="F15" s="35"/>
      <c r="G15" s="44" t="s">
        <v>58</v>
      </c>
      <c r="H15" s="44"/>
      <c r="I15" s="44"/>
      <c r="J15" s="44"/>
      <c r="K15" s="44"/>
    </row>
    <row r="16" spans="2:100" ht="14" x14ac:dyDescent="0.2">
      <c r="C16" s="52" t="s">
        <v>77</v>
      </c>
      <c r="D16" s="52"/>
      <c r="E16" s="52"/>
      <c r="F16" s="35"/>
      <c r="G16" s="44">
        <v>2500</v>
      </c>
      <c r="H16" s="44"/>
      <c r="I16" s="44"/>
      <c r="J16" s="44"/>
      <c r="K16" s="44"/>
    </row>
    <row r="18" spans="2:16" ht="16" x14ac:dyDescent="0.2">
      <c r="C18" s="51" t="s">
        <v>78</v>
      </c>
      <c r="D18" s="51"/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</row>
    <row r="19" spans="2:16" ht="14" x14ac:dyDescent="0.2">
      <c r="C19" s="52" t="s">
        <v>79</v>
      </c>
      <c r="D19" s="35"/>
      <c r="E19" s="44">
        <v>12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</row>
    <row r="20" spans="2:16" ht="14" x14ac:dyDescent="0.2">
      <c r="C20" s="52" t="s">
        <v>80</v>
      </c>
      <c r="D20" s="35"/>
      <c r="E20" s="45" t="s">
        <v>18</v>
      </c>
      <c r="F20" s="45" t="s">
        <v>2</v>
      </c>
      <c r="G20" s="45" t="s">
        <v>22</v>
      </c>
      <c r="H20" s="45" t="s">
        <v>21</v>
      </c>
      <c r="I20" s="45" t="s">
        <v>43</v>
      </c>
      <c r="J20" s="45" t="s">
        <v>44</v>
      </c>
      <c r="K20" s="45" t="s">
        <v>7</v>
      </c>
      <c r="L20" s="45" t="s">
        <v>6</v>
      </c>
      <c r="M20" s="45" t="s">
        <v>5</v>
      </c>
      <c r="N20" s="45" t="s">
        <v>19</v>
      </c>
      <c r="O20" s="45" t="s">
        <v>20</v>
      </c>
      <c r="P20" s="45" t="s">
        <v>8</v>
      </c>
    </row>
    <row r="21" spans="2:16" ht="14" x14ac:dyDescent="0.2">
      <c r="C21" s="52" t="s">
        <v>81</v>
      </c>
      <c r="D21" s="35"/>
      <c r="E21" s="46" t="s">
        <v>8</v>
      </c>
      <c r="F21" s="46"/>
      <c r="G21" s="46"/>
      <c r="H21" s="46"/>
      <c r="I21" s="46"/>
      <c r="J21" s="46"/>
      <c r="K21" s="46"/>
      <c r="L21" s="46"/>
      <c r="M21" s="46"/>
      <c r="N21" s="46"/>
      <c r="O21" s="46"/>
      <c r="P21" s="46"/>
    </row>
    <row r="23" spans="2:16" ht="16" x14ac:dyDescent="0.2">
      <c r="C23" s="51" t="s">
        <v>82</v>
      </c>
      <c r="D23" s="51"/>
      <c r="E23" s="51"/>
      <c r="F23" s="51"/>
      <c r="G23" s="51"/>
      <c r="H23" s="51"/>
      <c r="I23" s="51"/>
    </row>
    <row r="24" spans="2:16" ht="14" x14ac:dyDescent="0.2">
      <c r="C24" s="52" t="s">
        <v>83</v>
      </c>
      <c r="D24" s="52"/>
      <c r="E24" s="35"/>
      <c r="F24" s="44">
        <v>12345</v>
      </c>
      <c r="G24" s="44"/>
      <c r="H24" s="44"/>
      <c r="I24" s="44"/>
    </row>
    <row r="25" spans="2:16" ht="14" x14ac:dyDescent="0.2">
      <c r="C25" s="52" t="s">
        <v>84</v>
      </c>
      <c r="D25" s="52"/>
      <c r="E25" s="35"/>
      <c r="F25" s="44">
        <v>50</v>
      </c>
      <c r="G25" s="44"/>
      <c r="H25" s="44"/>
      <c r="I25" s="44"/>
    </row>
    <row r="26" spans="2:16" ht="14" x14ac:dyDescent="0.2">
      <c r="C26" s="52" t="s">
        <v>68</v>
      </c>
      <c r="D26" s="52"/>
      <c r="E26" s="35"/>
      <c r="F26" s="44">
        <v>0</v>
      </c>
      <c r="G26" s="44"/>
      <c r="H26" s="44"/>
      <c r="I26" s="44"/>
    </row>
    <row r="27" spans="2:16" ht="14" x14ac:dyDescent="0.2">
      <c r="C27" s="52" t="s">
        <v>85</v>
      </c>
      <c r="D27" s="52"/>
      <c r="E27" s="35"/>
      <c r="F27" s="44">
        <v>1</v>
      </c>
      <c r="G27" s="44"/>
      <c r="H27" s="44"/>
      <c r="I27" s="44"/>
    </row>
    <row r="29" spans="2:16" ht="19" x14ac:dyDescent="0.25">
      <c r="B29" s="41" t="s">
        <v>75</v>
      </c>
    </row>
    <row r="31" spans="2:16" x14ac:dyDescent="0.15">
      <c r="C31" s="43" t="s">
        <v>91</v>
      </c>
      <c r="D31" t="s">
        <v>77</v>
      </c>
    </row>
    <row r="32" spans="2:16" x14ac:dyDescent="0.15">
      <c r="C32" s="43" t="s">
        <v>92</v>
      </c>
      <c r="D32">
        <v>256</v>
      </c>
    </row>
    <row r="33" spans="2:15" x14ac:dyDescent="0.15">
      <c r="C33" s="43" t="s">
        <v>93</v>
      </c>
      <c r="D33">
        <v>1250</v>
      </c>
    </row>
    <row r="34" spans="2:15" x14ac:dyDescent="0.15">
      <c r="C34" s="43" t="s">
        <v>94</v>
      </c>
      <c r="D34">
        <v>0</v>
      </c>
    </row>
    <row r="37" spans="2:15" x14ac:dyDescent="0.15">
      <c r="C37" s="43" t="s">
        <v>91</v>
      </c>
      <c r="D37" t="s">
        <v>95</v>
      </c>
    </row>
    <row r="38" spans="2:15" x14ac:dyDescent="0.15">
      <c r="C38" s="43" t="s">
        <v>96</v>
      </c>
      <c r="D38">
        <v>0.1024</v>
      </c>
    </row>
    <row r="39" spans="2:15" ht="19" x14ac:dyDescent="0.25">
      <c r="B39" s="41" t="s">
        <v>90</v>
      </c>
    </row>
    <row r="41" spans="2:15" x14ac:dyDescent="0.15">
      <c r="C41" s="43" t="s">
        <v>97</v>
      </c>
      <c r="D41" t="s">
        <v>18</v>
      </c>
      <c r="E41" t="s">
        <v>2</v>
      </c>
      <c r="F41" t="s">
        <v>22</v>
      </c>
      <c r="G41" t="s">
        <v>21</v>
      </c>
      <c r="H41" t="s">
        <v>43</v>
      </c>
      <c r="I41" t="s">
        <v>44</v>
      </c>
      <c r="J41" t="s">
        <v>7</v>
      </c>
      <c r="K41" t="s">
        <v>6</v>
      </c>
      <c r="L41" t="s">
        <v>5</v>
      </c>
      <c r="M41" t="s">
        <v>19</v>
      </c>
      <c r="N41" t="s">
        <v>20</v>
      </c>
      <c r="O41" t="s">
        <v>8</v>
      </c>
    </row>
    <row r="42" spans="2:15" x14ac:dyDescent="0.15">
      <c r="C42" s="43" t="s">
        <v>98</v>
      </c>
      <c r="D42" s="42">
        <v>13</v>
      </c>
      <c r="E42" s="42">
        <v>80</v>
      </c>
      <c r="F42" s="42">
        <v>2</v>
      </c>
      <c r="G42" s="42">
        <v>1.8</v>
      </c>
      <c r="H42" s="42">
        <v>1</v>
      </c>
      <c r="I42" s="42">
        <v>0</v>
      </c>
      <c r="J42" s="42">
        <v>0</v>
      </c>
      <c r="K42" s="42">
        <v>0</v>
      </c>
      <c r="L42" s="42">
        <v>0</v>
      </c>
      <c r="M42" s="42">
        <v>1</v>
      </c>
      <c r="N42" s="42">
        <v>0</v>
      </c>
      <c r="O42">
        <v>0</v>
      </c>
    </row>
    <row r="43" spans="2:15" x14ac:dyDescent="0.15">
      <c r="C43" s="43" t="s">
        <v>99</v>
      </c>
      <c r="D43" s="42">
        <v>36</v>
      </c>
      <c r="E43" s="42">
        <v>14</v>
      </c>
      <c r="F43" s="42">
        <v>2</v>
      </c>
      <c r="G43" s="42">
        <v>0.3</v>
      </c>
      <c r="H43" s="42">
        <v>1</v>
      </c>
      <c r="I43" s="42">
        <v>0</v>
      </c>
      <c r="J43" s="42">
        <v>109</v>
      </c>
      <c r="K43" s="42">
        <v>0</v>
      </c>
      <c r="L43" s="42">
        <v>0</v>
      </c>
      <c r="M43" s="42">
        <v>1</v>
      </c>
      <c r="N43" s="42">
        <v>1</v>
      </c>
      <c r="O43">
        <v>0</v>
      </c>
    </row>
    <row r="44" spans="2:15" x14ac:dyDescent="0.15">
      <c r="C44" s="43" t="s">
        <v>100</v>
      </c>
      <c r="D44" s="42">
        <v>31</v>
      </c>
      <c r="E44" s="42">
        <v>192</v>
      </c>
      <c r="F44" s="42">
        <v>1</v>
      </c>
      <c r="G44" s="42">
        <v>7</v>
      </c>
      <c r="H44" s="42">
        <v>0</v>
      </c>
      <c r="I44" s="42">
        <v>0</v>
      </c>
      <c r="J44" s="42">
        <v>0</v>
      </c>
      <c r="K44" s="42">
        <v>0</v>
      </c>
      <c r="L44" s="42">
        <v>1</v>
      </c>
      <c r="M44" s="42">
        <v>1</v>
      </c>
      <c r="N44" s="42">
        <v>0</v>
      </c>
      <c r="O44">
        <v>1</v>
      </c>
    </row>
    <row r="45" spans="2:15" x14ac:dyDescent="0.15">
      <c r="C45" s="43" t="s">
        <v>101</v>
      </c>
      <c r="D45" s="42">
        <v>35</v>
      </c>
      <c r="E45" s="42">
        <v>94</v>
      </c>
      <c r="F45" s="42">
        <v>1</v>
      </c>
      <c r="G45" s="42">
        <v>3.8</v>
      </c>
      <c r="H45" s="42">
        <v>1</v>
      </c>
      <c r="I45" s="42">
        <v>0</v>
      </c>
      <c r="J45" s="42">
        <v>272</v>
      </c>
      <c r="K45" s="42">
        <v>0</v>
      </c>
      <c r="L45" s="42">
        <v>0</v>
      </c>
      <c r="M45" s="42">
        <v>0</v>
      </c>
      <c r="N45" s="42">
        <v>0</v>
      </c>
      <c r="O45">
        <v>0</v>
      </c>
    </row>
    <row r="46" spans="2:15" x14ac:dyDescent="0.15">
      <c r="C46" s="43" t="s">
        <v>102</v>
      </c>
      <c r="D46" s="42">
        <v>5</v>
      </c>
      <c r="E46" s="42">
        <v>203</v>
      </c>
      <c r="F46" s="42">
        <v>1</v>
      </c>
      <c r="G46" s="42">
        <v>10</v>
      </c>
      <c r="H46" s="42">
        <v>0</v>
      </c>
      <c r="I46" s="42">
        <v>0</v>
      </c>
      <c r="J46" s="42">
        <v>0</v>
      </c>
      <c r="K46" s="42">
        <v>0</v>
      </c>
      <c r="L46" s="42">
        <v>0</v>
      </c>
      <c r="M46" s="42">
        <v>0</v>
      </c>
      <c r="N46" s="42">
        <v>0</v>
      </c>
      <c r="O46">
        <v>1</v>
      </c>
    </row>
    <row r="47" spans="2:15" x14ac:dyDescent="0.15">
      <c r="C47" s="43" t="s">
        <v>103</v>
      </c>
      <c r="D47" s="42">
        <v>3</v>
      </c>
      <c r="E47" s="42">
        <v>45</v>
      </c>
      <c r="F47" s="42">
        <v>2</v>
      </c>
      <c r="G47" s="42">
        <v>1.6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42">
        <v>1</v>
      </c>
      <c r="N47" s="42">
        <v>1</v>
      </c>
      <c r="O47">
        <v>0</v>
      </c>
    </row>
    <row r="48" spans="2:15" x14ac:dyDescent="0.15">
      <c r="C48" s="43" t="s">
        <v>104</v>
      </c>
      <c r="D48" s="42">
        <v>35</v>
      </c>
      <c r="E48" s="42">
        <v>191</v>
      </c>
      <c r="F48" s="42">
        <v>4</v>
      </c>
      <c r="G48" s="42">
        <v>5.6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42">
        <v>0</v>
      </c>
      <c r="N48" s="42">
        <v>0</v>
      </c>
      <c r="O48">
        <v>1</v>
      </c>
    </row>
    <row r="49" spans="3:15" x14ac:dyDescent="0.15">
      <c r="C49" s="43" t="s">
        <v>105</v>
      </c>
      <c r="D49" s="42">
        <v>33</v>
      </c>
      <c r="E49" s="42">
        <v>88</v>
      </c>
      <c r="F49" s="42">
        <v>1</v>
      </c>
      <c r="G49" s="42">
        <v>2.7</v>
      </c>
      <c r="H49" s="42">
        <v>0</v>
      </c>
      <c r="I49" s="42">
        <v>1</v>
      </c>
      <c r="J49" s="42">
        <v>0</v>
      </c>
      <c r="K49" s="42">
        <v>0</v>
      </c>
      <c r="L49" s="42">
        <v>0</v>
      </c>
      <c r="M49" s="42">
        <v>1</v>
      </c>
      <c r="N49" s="42">
        <v>0</v>
      </c>
      <c r="O49">
        <v>0</v>
      </c>
    </row>
    <row r="50" spans="3:15" x14ac:dyDescent="0.15">
      <c r="C50" s="43" t="s">
        <v>106</v>
      </c>
      <c r="D50" s="42">
        <v>17</v>
      </c>
      <c r="E50" s="42">
        <v>55</v>
      </c>
      <c r="F50" s="42">
        <v>3</v>
      </c>
      <c r="G50" s="42">
        <v>2.2000000000000002</v>
      </c>
      <c r="H50" s="42">
        <v>0</v>
      </c>
      <c r="I50" s="42">
        <v>1</v>
      </c>
      <c r="J50" s="42">
        <v>0</v>
      </c>
      <c r="K50" s="42">
        <v>0</v>
      </c>
      <c r="L50" s="42">
        <v>0</v>
      </c>
      <c r="M50" s="42">
        <v>0</v>
      </c>
      <c r="N50" s="42">
        <v>0</v>
      </c>
      <c r="O50">
        <v>0</v>
      </c>
    </row>
    <row r="51" spans="3:15" x14ac:dyDescent="0.15">
      <c r="C51" s="43" t="s">
        <v>107</v>
      </c>
      <c r="D51" s="42">
        <v>35</v>
      </c>
      <c r="E51" s="42">
        <v>34</v>
      </c>
      <c r="F51" s="42">
        <v>1</v>
      </c>
      <c r="G51" s="42">
        <v>0.3</v>
      </c>
      <c r="H51" s="42">
        <v>0</v>
      </c>
      <c r="I51" s="42">
        <v>0</v>
      </c>
      <c r="J51" s="42">
        <v>0</v>
      </c>
      <c r="K51" s="42">
        <v>0</v>
      </c>
      <c r="L51" s="42">
        <v>0</v>
      </c>
      <c r="M51" s="42">
        <v>1</v>
      </c>
      <c r="N51" s="42">
        <v>0</v>
      </c>
      <c r="O51">
        <v>0</v>
      </c>
    </row>
    <row r="52" spans="3:15" x14ac:dyDescent="0.15">
      <c r="C52" s="43" t="s">
        <v>108</v>
      </c>
      <c r="D52" s="42">
        <v>12</v>
      </c>
      <c r="E52" s="42">
        <v>180</v>
      </c>
      <c r="F52" s="42">
        <v>1</v>
      </c>
      <c r="G52" s="42">
        <v>2.8</v>
      </c>
      <c r="H52" s="42">
        <v>0</v>
      </c>
      <c r="I52" s="42">
        <v>0</v>
      </c>
      <c r="J52" s="42">
        <v>158</v>
      </c>
      <c r="K52" s="42">
        <v>0</v>
      </c>
      <c r="L52" s="42">
        <v>0</v>
      </c>
      <c r="M52" s="42">
        <v>1</v>
      </c>
      <c r="N52" s="42">
        <v>0</v>
      </c>
      <c r="O52">
        <v>1</v>
      </c>
    </row>
    <row r="53" spans="3:15" x14ac:dyDescent="0.15">
      <c r="C53" s="43" t="s">
        <v>109</v>
      </c>
      <c r="D53" s="42">
        <v>32</v>
      </c>
      <c r="E53" s="42">
        <v>98</v>
      </c>
      <c r="F53" s="42">
        <v>3</v>
      </c>
      <c r="G53" s="42">
        <v>3.9</v>
      </c>
      <c r="H53" s="42">
        <v>0</v>
      </c>
      <c r="I53" s="42">
        <v>0</v>
      </c>
      <c r="J53" s="42">
        <v>0</v>
      </c>
      <c r="K53" s="42">
        <v>0</v>
      </c>
      <c r="L53" s="42">
        <v>0</v>
      </c>
      <c r="M53" s="42">
        <v>0</v>
      </c>
      <c r="N53" s="42">
        <v>0</v>
      </c>
      <c r="O53">
        <v>1</v>
      </c>
    </row>
    <row r="54" spans="3:15" x14ac:dyDescent="0.15">
      <c r="C54" s="43" t="s">
        <v>110</v>
      </c>
      <c r="D54" s="42">
        <v>20</v>
      </c>
      <c r="E54" s="42">
        <v>180</v>
      </c>
      <c r="F54" s="42">
        <v>3</v>
      </c>
      <c r="G54" s="42">
        <v>8.5</v>
      </c>
      <c r="H54" s="42">
        <v>0</v>
      </c>
      <c r="I54" s="42">
        <v>1</v>
      </c>
      <c r="J54" s="42">
        <v>535</v>
      </c>
      <c r="K54" s="42">
        <v>0</v>
      </c>
      <c r="L54" s="42">
        <v>0</v>
      </c>
      <c r="M54" s="42">
        <v>0</v>
      </c>
      <c r="N54" s="42">
        <v>0</v>
      </c>
      <c r="O54">
        <v>1</v>
      </c>
    </row>
    <row r="55" spans="3:15" x14ac:dyDescent="0.15">
      <c r="C55" s="43" t="s">
        <v>111</v>
      </c>
      <c r="D55" s="42">
        <v>41</v>
      </c>
      <c r="E55" s="42">
        <v>195</v>
      </c>
      <c r="F55" s="42">
        <v>3</v>
      </c>
      <c r="G55" s="42">
        <v>0.4</v>
      </c>
      <c r="H55" s="42">
        <v>1</v>
      </c>
      <c r="I55" s="42">
        <v>0</v>
      </c>
      <c r="J55" s="42">
        <v>0</v>
      </c>
      <c r="K55" s="42">
        <v>1</v>
      </c>
      <c r="L55" s="42">
        <v>1</v>
      </c>
      <c r="M55" s="42">
        <v>0</v>
      </c>
      <c r="N55" s="42">
        <v>1</v>
      </c>
      <c r="O55">
        <v>1</v>
      </c>
    </row>
    <row r="56" spans="3:15" x14ac:dyDescent="0.15">
      <c r="C56" s="43" t="s">
        <v>112</v>
      </c>
      <c r="D56" s="42">
        <v>32</v>
      </c>
      <c r="E56" s="42">
        <v>41</v>
      </c>
      <c r="F56" s="42">
        <v>3</v>
      </c>
      <c r="G56" s="42">
        <v>1.4</v>
      </c>
      <c r="H56" s="42">
        <v>1</v>
      </c>
      <c r="I56" s="42">
        <v>0</v>
      </c>
      <c r="J56" s="42">
        <v>0</v>
      </c>
      <c r="K56" s="42">
        <v>0</v>
      </c>
      <c r="L56" s="42">
        <v>0</v>
      </c>
      <c r="M56" s="42">
        <v>1</v>
      </c>
      <c r="N56" s="42">
        <v>0</v>
      </c>
      <c r="O56">
        <v>0</v>
      </c>
    </row>
    <row r="57" spans="3:15" x14ac:dyDescent="0.15">
      <c r="C57" s="43" t="s">
        <v>113</v>
      </c>
      <c r="D57" s="42">
        <v>13</v>
      </c>
      <c r="E57" s="42">
        <v>78</v>
      </c>
      <c r="F57" s="42">
        <v>4</v>
      </c>
      <c r="G57" s="42">
        <v>0.7</v>
      </c>
      <c r="H57" s="42">
        <v>0</v>
      </c>
      <c r="I57" s="42">
        <v>0</v>
      </c>
      <c r="J57" s="42">
        <v>0</v>
      </c>
      <c r="K57" s="42">
        <v>0</v>
      </c>
      <c r="L57" s="42">
        <v>0</v>
      </c>
      <c r="M57" s="42">
        <v>1</v>
      </c>
      <c r="N57" s="42">
        <v>0</v>
      </c>
      <c r="O57">
        <v>0</v>
      </c>
    </row>
    <row r="58" spans="3:15" x14ac:dyDescent="0.15">
      <c r="C58" s="43" t="s">
        <v>114</v>
      </c>
      <c r="D58" s="42">
        <v>25</v>
      </c>
      <c r="E58" s="42">
        <v>161</v>
      </c>
      <c r="F58" s="42">
        <v>3</v>
      </c>
      <c r="G58" s="42">
        <v>6.5</v>
      </c>
      <c r="H58" s="42">
        <v>0</v>
      </c>
      <c r="I58" s="42">
        <v>1</v>
      </c>
      <c r="J58" s="42">
        <v>485</v>
      </c>
      <c r="K58" s="42">
        <v>1</v>
      </c>
      <c r="L58" s="42">
        <v>1</v>
      </c>
      <c r="M58" s="42">
        <v>0</v>
      </c>
      <c r="N58" s="42">
        <v>0</v>
      </c>
      <c r="O58">
        <v>1</v>
      </c>
    </row>
    <row r="59" spans="3:15" x14ac:dyDescent="0.15">
      <c r="C59" s="43" t="s">
        <v>115</v>
      </c>
      <c r="D59" s="42">
        <v>9</v>
      </c>
      <c r="E59" s="42">
        <v>44</v>
      </c>
      <c r="F59" s="42">
        <v>4</v>
      </c>
      <c r="G59" s="42">
        <v>1</v>
      </c>
      <c r="H59" s="42">
        <v>0</v>
      </c>
      <c r="I59" s="42">
        <v>1</v>
      </c>
      <c r="J59" s="42">
        <v>101</v>
      </c>
      <c r="K59" s="42">
        <v>1</v>
      </c>
      <c r="L59" s="42">
        <v>0</v>
      </c>
      <c r="M59" s="42">
        <v>1</v>
      </c>
      <c r="N59" s="42">
        <v>0</v>
      </c>
      <c r="O59">
        <v>0</v>
      </c>
    </row>
    <row r="60" spans="3:15" x14ac:dyDescent="0.15">
      <c r="C60" s="43" t="s">
        <v>116</v>
      </c>
      <c r="D60" s="42">
        <v>18</v>
      </c>
      <c r="E60" s="42">
        <v>52</v>
      </c>
      <c r="F60" s="42">
        <v>2</v>
      </c>
      <c r="G60" s="42">
        <v>2.5</v>
      </c>
      <c r="H60" s="42">
        <v>1</v>
      </c>
      <c r="I60" s="42">
        <v>0</v>
      </c>
      <c r="J60" s="42">
        <v>0</v>
      </c>
      <c r="K60" s="42">
        <v>0</v>
      </c>
      <c r="L60" s="42">
        <v>0</v>
      </c>
      <c r="M60" s="42">
        <v>0</v>
      </c>
      <c r="N60" s="42">
        <v>0</v>
      </c>
      <c r="O60">
        <v>0</v>
      </c>
    </row>
    <row r="61" spans="3:15" x14ac:dyDescent="0.15">
      <c r="C61" s="43" t="s">
        <v>117</v>
      </c>
      <c r="D61" s="42">
        <v>9</v>
      </c>
      <c r="E61" s="42">
        <v>141</v>
      </c>
      <c r="F61" s="42">
        <v>2</v>
      </c>
      <c r="G61" s="42">
        <v>4.5</v>
      </c>
      <c r="H61" s="42">
        <v>0</v>
      </c>
      <c r="I61" s="42">
        <v>1</v>
      </c>
      <c r="J61" s="42">
        <v>0</v>
      </c>
      <c r="K61" s="42">
        <v>0</v>
      </c>
      <c r="L61" s="42">
        <v>0</v>
      </c>
      <c r="M61" s="42">
        <v>0</v>
      </c>
      <c r="N61" s="42">
        <v>0</v>
      </c>
      <c r="O61">
        <v>1</v>
      </c>
    </row>
    <row r="62" spans="3:15" x14ac:dyDescent="0.15">
      <c r="C62" s="43" t="s">
        <v>118</v>
      </c>
      <c r="D62" s="42">
        <v>25</v>
      </c>
      <c r="E62" s="42">
        <v>24</v>
      </c>
      <c r="F62" s="42">
        <v>4</v>
      </c>
      <c r="G62" s="42">
        <v>0.2</v>
      </c>
      <c r="H62" s="42">
        <v>1</v>
      </c>
      <c r="I62" s="42">
        <v>0</v>
      </c>
      <c r="J62" s="42">
        <v>138</v>
      </c>
      <c r="K62" s="42">
        <v>0</v>
      </c>
      <c r="L62" s="42">
        <v>0</v>
      </c>
      <c r="M62" s="42">
        <v>1</v>
      </c>
      <c r="N62" s="42">
        <v>0</v>
      </c>
      <c r="O62">
        <v>0</v>
      </c>
    </row>
    <row r="63" spans="3:15" x14ac:dyDescent="0.15">
      <c r="C63" s="43" t="s">
        <v>119</v>
      </c>
      <c r="D63" s="42">
        <v>9</v>
      </c>
      <c r="E63" s="42">
        <v>105</v>
      </c>
      <c r="F63" s="42">
        <v>3</v>
      </c>
      <c r="G63" s="42">
        <v>1.2</v>
      </c>
      <c r="H63" s="42">
        <v>0</v>
      </c>
      <c r="I63" s="42">
        <v>0</v>
      </c>
      <c r="J63" s="42">
        <v>0</v>
      </c>
      <c r="K63" s="42">
        <v>1</v>
      </c>
      <c r="L63" s="42">
        <v>0</v>
      </c>
      <c r="M63" s="42">
        <v>0</v>
      </c>
      <c r="N63" s="42">
        <v>0</v>
      </c>
      <c r="O63">
        <v>0</v>
      </c>
    </row>
    <row r="64" spans="3:15" x14ac:dyDescent="0.15">
      <c r="C64" s="43" t="s">
        <v>120</v>
      </c>
      <c r="D64" s="42">
        <v>4</v>
      </c>
      <c r="E64" s="42">
        <v>51</v>
      </c>
      <c r="F64" s="42">
        <v>4</v>
      </c>
      <c r="G64" s="42">
        <v>0.2</v>
      </c>
      <c r="H64" s="42">
        <v>1</v>
      </c>
      <c r="I64" s="42">
        <v>0</v>
      </c>
      <c r="J64" s="42">
        <v>172</v>
      </c>
      <c r="K64" s="42">
        <v>0</v>
      </c>
      <c r="L64" s="42">
        <v>0</v>
      </c>
      <c r="M64" s="42">
        <v>0</v>
      </c>
      <c r="N64" s="42">
        <v>1</v>
      </c>
      <c r="O64">
        <v>0</v>
      </c>
    </row>
    <row r="65" spans="3:15" x14ac:dyDescent="0.15">
      <c r="C65" s="43" t="s">
        <v>121</v>
      </c>
      <c r="D65" s="42">
        <v>15</v>
      </c>
      <c r="E65" s="42">
        <v>202</v>
      </c>
      <c r="F65" s="42">
        <v>3</v>
      </c>
      <c r="G65" s="42">
        <v>10</v>
      </c>
      <c r="H65" s="42">
        <v>0</v>
      </c>
      <c r="I65" s="42">
        <v>0</v>
      </c>
      <c r="J65" s="42">
        <v>0</v>
      </c>
      <c r="K65" s="42">
        <v>0</v>
      </c>
      <c r="L65" s="42">
        <v>0</v>
      </c>
      <c r="M65" s="42">
        <v>0</v>
      </c>
      <c r="N65" s="42">
        <v>0</v>
      </c>
      <c r="O65">
        <v>1</v>
      </c>
    </row>
    <row r="66" spans="3:15" x14ac:dyDescent="0.15">
      <c r="C66" s="43" t="s">
        <v>122</v>
      </c>
      <c r="D66" s="42">
        <v>35</v>
      </c>
      <c r="E66" s="42">
        <v>32</v>
      </c>
      <c r="F66" s="42">
        <v>1</v>
      </c>
      <c r="G66" s="42">
        <v>0.3</v>
      </c>
      <c r="H66" s="42">
        <v>0</v>
      </c>
      <c r="I66" s="42">
        <v>0</v>
      </c>
      <c r="J66" s="42">
        <v>80</v>
      </c>
      <c r="K66" s="42">
        <v>0</v>
      </c>
      <c r="L66" s="42">
        <v>0</v>
      </c>
      <c r="M66" s="42">
        <v>1</v>
      </c>
      <c r="N66" s="42">
        <v>0</v>
      </c>
      <c r="O66">
        <v>0</v>
      </c>
    </row>
    <row r="67" spans="3:15" x14ac:dyDescent="0.15">
      <c r="C67" s="43" t="s">
        <v>123</v>
      </c>
      <c r="D67" s="42">
        <v>34</v>
      </c>
      <c r="E67" s="42">
        <v>88</v>
      </c>
      <c r="F67" s="42">
        <v>2</v>
      </c>
      <c r="G67" s="42">
        <v>1.6</v>
      </c>
      <c r="H67" s="42">
        <v>1</v>
      </c>
      <c r="I67" s="42">
        <v>0</v>
      </c>
      <c r="J67" s="42">
        <v>0</v>
      </c>
      <c r="K67" s="42">
        <v>0</v>
      </c>
      <c r="L67" s="42">
        <v>0</v>
      </c>
      <c r="M67" s="42">
        <v>1</v>
      </c>
      <c r="N67" s="42">
        <v>1</v>
      </c>
      <c r="O67">
        <v>0</v>
      </c>
    </row>
    <row r="68" spans="3:15" x14ac:dyDescent="0.15">
      <c r="C68" s="43" t="s">
        <v>124</v>
      </c>
      <c r="D68" s="42">
        <v>12</v>
      </c>
      <c r="E68" s="42">
        <v>108</v>
      </c>
      <c r="F68" s="42">
        <v>4</v>
      </c>
      <c r="G68" s="42">
        <v>3.6666666666666665</v>
      </c>
      <c r="H68" s="42">
        <v>0</v>
      </c>
      <c r="I68" s="42">
        <v>1</v>
      </c>
      <c r="J68" s="42">
        <v>301</v>
      </c>
      <c r="K68" s="42">
        <v>0</v>
      </c>
      <c r="L68" s="42">
        <v>0</v>
      </c>
      <c r="M68" s="42">
        <v>0</v>
      </c>
      <c r="N68" s="42">
        <v>1</v>
      </c>
      <c r="O68">
        <v>1</v>
      </c>
    </row>
    <row r="69" spans="3:15" x14ac:dyDescent="0.15">
      <c r="C69" s="43" t="s">
        <v>125</v>
      </c>
      <c r="D69" s="42">
        <v>33</v>
      </c>
      <c r="E69" s="42">
        <v>134</v>
      </c>
      <c r="F69" s="42">
        <v>4</v>
      </c>
      <c r="G69" s="42">
        <v>0.9</v>
      </c>
      <c r="H69" s="42">
        <v>1</v>
      </c>
      <c r="I69" s="42">
        <v>0</v>
      </c>
      <c r="J69" s="42">
        <v>198</v>
      </c>
      <c r="K69" s="42">
        <v>0</v>
      </c>
      <c r="L69" s="42">
        <v>0</v>
      </c>
      <c r="M69" s="42">
        <v>1</v>
      </c>
      <c r="N69" s="42">
        <v>0</v>
      </c>
      <c r="O69">
        <v>1</v>
      </c>
    </row>
    <row r="70" spans="3:15" x14ac:dyDescent="0.15">
      <c r="C70" s="43" t="s">
        <v>126</v>
      </c>
      <c r="D70" s="42">
        <v>37</v>
      </c>
      <c r="E70" s="42">
        <v>165</v>
      </c>
      <c r="F70" s="42">
        <v>4</v>
      </c>
      <c r="G70" s="42">
        <v>5.0999999999999996</v>
      </c>
      <c r="H70" s="42">
        <v>0</v>
      </c>
      <c r="I70" s="42">
        <v>0</v>
      </c>
      <c r="J70" s="42">
        <v>0</v>
      </c>
      <c r="K70" s="42">
        <v>0</v>
      </c>
      <c r="L70" s="42">
        <v>0</v>
      </c>
      <c r="M70" s="42">
        <v>0</v>
      </c>
      <c r="N70" s="42">
        <v>0</v>
      </c>
      <c r="O70">
        <v>1</v>
      </c>
    </row>
    <row r="71" spans="3:15" x14ac:dyDescent="0.15">
      <c r="C71" s="43" t="s">
        <v>127</v>
      </c>
      <c r="D71" s="42">
        <v>32</v>
      </c>
      <c r="E71" s="42">
        <v>161</v>
      </c>
      <c r="F71" s="42">
        <v>1</v>
      </c>
      <c r="G71" s="42">
        <v>5.8</v>
      </c>
      <c r="H71" s="42">
        <v>0</v>
      </c>
      <c r="I71" s="42">
        <v>0</v>
      </c>
      <c r="J71" s="42">
        <v>0</v>
      </c>
      <c r="K71" s="42">
        <v>1</v>
      </c>
      <c r="L71" s="42">
        <v>0</v>
      </c>
      <c r="M71" s="42">
        <v>0</v>
      </c>
      <c r="N71" s="42">
        <v>0</v>
      </c>
      <c r="O71">
        <v>1</v>
      </c>
    </row>
    <row r="72" spans="3:15" x14ac:dyDescent="0.15">
      <c r="C72" s="43" t="s">
        <v>128</v>
      </c>
      <c r="D72" s="42">
        <v>14</v>
      </c>
      <c r="E72" s="42">
        <v>42</v>
      </c>
      <c r="F72" s="42">
        <v>1</v>
      </c>
      <c r="G72" s="42">
        <v>2.5</v>
      </c>
      <c r="H72" s="42">
        <v>0</v>
      </c>
      <c r="I72" s="42">
        <v>0</v>
      </c>
      <c r="J72" s="42">
        <v>0</v>
      </c>
      <c r="K72" s="42">
        <v>0</v>
      </c>
      <c r="L72" s="42">
        <v>0</v>
      </c>
      <c r="M72" s="42">
        <v>1</v>
      </c>
      <c r="N72" s="42">
        <v>0</v>
      </c>
      <c r="O72">
        <v>0</v>
      </c>
    </row>
    <row r="73" spans="3:15" x14ac:dyDescent="0.15">
      <c r="C73" s="43" t="s">
        <v>129</v>
      </c>
      <c r="D73" s="42">
        <v>2</v>
      </c>
      <c r="E73" s="42">
        <v>71</v>
      </c>
      <c r="F73" s="42">
        <v>2</v>
      </c>
      <c r="G73" s="42">
        <v>1.75</v>
      </c>
      <c r="H73" s="42">
        <v>0</v>
      </c>
      <c r="I73" s="42">
        <v>0</v>
      </c>
      <c r="J73" s="42">
        <v>108</v>
      </c>
      <c r="K73" s="42">
        <v>0</v>
      </c>
      <c r="L73" s="42">
        <v>0</v>
      </c>
      <c r="M73" s="42">
        <v>0</v>
      </c>
      <c r="N73" s="42">
        <v>0</v>
      </c>
      <c r="O73">
        <v>0</v>
      </c>
    </row>
    <row r="74" spans="3:15" x14ac:dyDescent="0.15">
      <c r="C74" s="43" t="s">
        <v>130</v>
      </c>
      <c r="D74" s="42">
        <v>14</v>
      </c>
      <c r="E74" s="42">
        <v>105</v>
      </c>
      <c r="F74" s="42">
        <v>2</v>
      </c>
      <c r="G74" s="42">
        <v>1.9</v>
      </c>
      <c r="H74" s="42">
        <v>1</v>
      </c>
      <c r="I74" s="42">
        <v>0</v>
      </c>
      <c r="J74" s="42">
        <v>0</v>
      </c>
      <c r="K74" s="42">
        <v>0</v>
      </c>
      <c r="L74" s="42">
        <v>0</v>
      </c>
      <c r="M74" s="42">
        <v>1</v>
      </c>
      <c r="N74" s="42">
        <v>0</v>
      </c>
      <c r="O74">
        <v>0</v>
      </c>
    </row>
    <row r="75" spans="3:15" x14ac:dyDescent="0.15">
      <c r="C75" s="43" t="s">
        <v>131</v>
      </c>
      <c r="D75" s="42">
        <v>36</v>
      </c>
      <c r="E75" s="42">
        <v>158</v>
      </c>
      <c r="F75" s="42">
        <v>2</v>
      </c>
      <c r="G75" s="42">
        <v>6.3</v>
      </c>
      <c r="H75" s="42">
        <v>0</v>
      </c>
      <c r="I75" s="42">
        <v>0</v>
      </c>
      <c r="J75" s="42">
        <v>0</v>
      </c>
      <c r="K75" s="42">
        <v>0</v>
      </c>
      <c r="L75" s="42">
        <v>0</v>
      </c>
      <c r="M75" s="42">
        <v>1</v>
      </c>
      <c r="N75" s="42">
        <v>0</v>
      </c>
      <c r="O75">
        <v>1</v>
      </c>
    </row>
    <row r="76" spans="3:15" x14ac:dyDescent="0.15">
      <c r="C76" s="43" t="s">
        <v>132</v>
      </c>
      <c r="D76" s="42">
        <v>9</v>
      </c>
      <c r="E76" s="42">
        <v>53</v>
      </c>
      <c r="F76" s="42">
        <v>4</v>
      </c>
      <c r="G76" s="42">
        <v>2.2000000000000002</v>
      </c>
      <c r="H76" s="42">
        <v>0</v>
      </c>
      <c r="I76" s="42">
        <v>1</v>
      </c>
      <c r="J76" s="42">
        <v>0</v>
      </c>
      <c r="K76" s="42">
        <v>0</v>
      </c>
      <c r="L76" s="42">
        <v>0</v>
      </c>
      <c r="M76" s="42">
        <v>1</v>
      </c>
      <c r="N76" s="42">
        <v>0</v>
      </c>
      <c r="O76">
        <v>0</v>
      </c>
    </row>
    <row r="77" spans="3:15" x14ac:dyDescent="0.15">
      <c r="C77" s="43" t="s">
        <v>133</v>
      </c>
      <c r="D77" s="42">
        <v>10</v>
      </c>
      <c r="E77" s="42">
        <v>21</v>
      </c>
      <c r="F77" s="42">
        <v>3</v>
      </c>
      <c r="G77" s="42">
        <v>1.3</v>
      </c>
      <c r="H77" s="42">
        <v>1</v>
      </c>
      <c r="I77" s="42">
        <v>0</v>
      </c>
      <c r="J77" s="42">
        <v>115</v>
      </c>
      <c r="K77" s="42">
        <v>0</v>
      </c>
      <c r="L77" s="42">
        <v>0</v>
      </c>
      <c r="M77" s="42">
        <v>0</v>
      </c>
      <c r="N77" s="42">
        <v>0</v>
      </c>
      <c r="O77">
        <v>0</v>
      </c>
    </row>
    <row r="78" spans="3:15" x14ac:dyDescent="0.15">
      <c r="C78" s="43" t="s">
        <v>134</v>
      </c>
      <c r="D78" s="42">
        <v>13</v>
      </c>
      <c r="E78" s="42">
        <v>158</v>
      </c>
      <c r="F78" s="42">
        <v>2</v>
      </c>
      <c r="G78" s="42">
        <v>2.2999999999999998</v>
      </c>
      <c r="H78" s="42">
        <v>0</v>
      </c>
      <c r="I78" s="42">
        <v>1</v>
      </c>
      <c r="J78" s="42">
        <v>0</v>
      </c>
      <c r="K78" s="42">
        <v>0</v>
      </c>
      <c r="L78" s="42">
        <v>1</v>
      </c>
      <c r="M78" s="42">
        <v>1</v>
      </c>
      <c r="N78" s="42">
        <v>1</v>
      </c>
      <c r="O78">
        <v>1</v>
      </c>
    </row>
    <row r="79" spans="3:15" x14ac:dyDescent="0.15">
      <c r="C79" s="43" t="s">
        <v>135</v>
      </c>
      <c r="D79" s="42">
        <v>3</v>
      </c>
      <c r="E79" s="42">
        <v>108</v>
      </c>
      <c r="F79" s="42">
        <v>4</v>
      </c>
      <c r="G79" s="42">
        <v>1.8</v>
      </c>
      <c r="H79" s="42">
        <v>0</v>
      </c>
      <c r="I79" s="42">
        <v>1</v>
      </c>
      <c r="J79" s="42">
        <v>0</v>
      </c>
      <c r="K79" s="42">
        <v>0</v>
      </c>
      <c r="L79" s="42">
        <v>0</v>
      </c>
      <c r="M79" s="42">
        <v>0</v>
      </c>
      <c r="N79" s="42">
        <v>0</v>
      </c>
      <c r="O79">
        <v>0</v>
      </c>
    </row>
    <row r="80" spans="3:15" x14ac:dyDescent="0.15">
      <c r="C80" s="43" t="s">
        <v>136</v>
      </c>
      <c r="D80" s="42">
        <v>11</v>
      </c>
      <c r="E80" s="42">
        <v>9</v>
      </c>
      <c r="F80" s="42">
        <v>4</v>
      </c>
      <c r="G80" s="42">
        <v>0.7</v>
      </c>
      <c r="H80" s="42">
        <v>0</v>
      </c>
      <c r="I80" s="42">
        <v>1</v>
      </c>
      <c r="J80" s="42">
        <v>0</v>
      </c>
      <c r="K80" s="42">
        <v>0</v>
      </c>
      <c r="L80" s="42">
        <v>0</v>
      </c>
      <c r="M80" s="42">
        <v>1</v>
      </c>
      <c r="N80" s="42">
        <v>0</v>
      </c>
      <c r="O80">
        <v>0</v>
      </c>
    </row>
    <row r="81" spans="3:15" x14ac:dyDescent="0.15">
      <c r="C81" s="43" t="s">
        <v>137</v>
      </c>
      <c r="D81" s="42">
        <v>30</v>
      </c>
      <c r="E81" s="42">
        <v>39</v>
      </c>
      <c r="F81" s="42">
        <v>2</v>
      </c>
      <c r="G81" s="42">
        <v>1.9</v>
      </c>
      <c r="H81" s="42">
        <v>0</v>
      </c>
      <c r="I81" s="42">
        <v>1</v>
      </c>
      <c r="J81" s="42">
        <v>0</v>
      </c>
      <c r="K81" s="42">
        <v>0</v>
      </c>
      <c r="L81" s="42">
        <v>0</v>
      </c>
      <c r="M81" s="42">
        <v>0</v>
      </c>
      <c r="N81" s="42">
        <v>0</v>
      </c>
      <c r="O81">
        <v>0</v>
      </c>
    </row>
    <row r="82" spans="3:15" x14ac:dyDescent="0.15">
      <c r="C82" s="43" t="s">
        <v>138</v>
      </c>
      <c r="D82" s="42">
        <v>16</v>
      </c>
      <c r="E82" s="42">
        <v>201</v>
      </c>
      <c r="F82" s="42">
        <v>1</v>
      </c>
      <c r="G82" s="42">
        <v>10</v>
      </c>
      <c r="H82" s="42">
        <v>0</v>
      </c>
      <c r="I82" s="42">
        <v>1</v>
      </c>
      <c r="J82" s="42">
        <v>0</v>
      </c>
      <c r="K82" s="42">
        <v>0</v>
      </c>
      <c r="L82" s="42">
        <v>0</v>
      </c>
      <c r="M82" s="42">
        <v>0</v>
      </c>
      <c r="N82" s="42">
        <v>1</v>
      </c>
      <c r="O82">
        <v>1</v>
      </c>
    </row>
    <row r="83" spans="3:15" x14ac:dyDescent="0.15">
      <c r="C83" s="43" t="s">
        <v>139</v>
      </c>
      <c r="D83" s="42">
        <v>0</v>
      </c>
      <c r="E83" s="42">
        <v>132</v>
      </c>
      <c r="F83" s="42">
        <v>3</v>
      </c>
      <c r="G83" s="42">
        <v>6.5</v>
      </c>
      <c r="H83" s="42">
        <v>0</v>
      </c>
      <c r="I83" s="42">
        <v>0</v>
      </c>
      <c r="J83" s="42">
        <v>0</v>
      </c>
      <c r="K83" s="42">
        <v>0</v>
      </c>
      <c r="L83" s="42">
        <v>0</v>
      </c>
      <c r="M83" s="42">
        <v>0</v>
      </c>
      <c r="N83" s="42">
        <v>1</v>
      </c>
      <c r="O83">
        <v>1</v>
      </c>
    </row>
    <row r="84" spans="3:15" x14ac:dyDescent="0.15">
      <c r="C84" s="43" t="s">
        <v>140</v>
      </c>
      <c r="D84" s="42">
        <v>3</v>
      </c>
      <c r="E84" s="42">
        <v>161</v>
      </c>
      <c r="F84" s="42">
        <v>4</v>
      </c>
      <c r="G84" s="42">
        <v>1.7</v>
      </c>
      <c r="H84" s="42">
        <v>0</v>
      </c>
      <c r="I84" s="42">
        <v>0</v>
      </c>
      <c r="J84" s="42">
        <v>422</v>
      </c>
      <c r="K84" s="42">
        <v>0</v>
      </c>
      <c r="L84" s="42">
        <v>1</v>
      </c>
      <c r="M84" s="42">
        <v>1</v>
      </c>
      <c r="N84" s="42">
        <v>1</v>
      </c>
      <c r="O84">
        <v>1</v>
      </c>
    </row>
    <row r="85" spans="3:15" x14ac:dyDescent="0.15">
      <c r="C85" s="43" t="s">
        <v>141</v>
      </c>
      <c r="D85" s="42">
        <v>20</v>
      </c>
      <c r="E85" s="42">
        <v>103</v>
      </c>
      <c r="F85" s="42">
        <v>4</v>
      </c>
      <c r="G85" s="42">
        <v>4.8</v>
      </c>
      <c r="H85" s="42">
        <v>0</v>
      </c>
      <c r="I85" s="42">
        <v>0</v>
      </c>
      <c r="J85" s="42">
        <v>0</v>
      </c>
      <c r="K85" s="42">
        <v>0</v>
      </c>
      <c r="L85" s="42">
        <v>0</v>
      </c>
      <c r="M85" s="42">
        <v>1</v>
      </c>
      <c r="N85" s="42">
        <v>0</v>
      </c>
      <c r="O85">
        <v>1</v>
      </c>
    </row>
    <row r="86" spans="3:15" x14ac:dyDescent="0.15">
      <c r="C86" s="43" t="s">
        <v>142</v>
      </c>
      <c r="D86" s="42">
        <v>26</v>
      </c>
      <c r="E86" s="42">
        <v>115</v>
      </c>
      <c r="F86" s="42">
        <v>1</v>
      </c>
      <c r="G86" s="42">
        <v>1.2</v>
      </c>
      <c r="H86" s="42">
        <v>0</v>
      </c>
      <c r="I86" s="42">
        <v>0</v>
      </c>
      <c r="J86" s="42">
        <v>0</v>
      </c>
      <c r="K86" s="42">
        <v>0</v>
      </c>
      <c r="L86" s="42">
        <v>0</v>
      </c>
      <c r="M86" s="42">
        <v>0</v>
      </c>
      <c r="N86" s="42">
        <v>1</v>
      </c>
      <c r="O86">
        <v>1</v>
      </c>
    </row>
    <row r="87" spans="3:15" x14ac:dyDescent="0.15">
      <c r="C87" s="43" t="s">
        <v>143</v>
      </c>
      <c r="D87" s="42">
        <v>22</v>
      </c>
      <c r="E87" s="42">
        <v>114</v>
      </c>
      <c r="F87" s="42">
        <v>1</v>
      </c>
      <c r="G87" s="42">
        <v>2.4</v>
      </c>
      <c r="H87" s="42">
        <v>0</v>
      </c>
      <c r="I87" s="42">
        <v>0</v>
      </c>
      <c r="J87" s="42">
        <v>0</v>
      </c>
      <c r="K87" s="42">
        <v>0</v>
      </c>
      <c r="L87" s="42">
        <v>0</v>
      </c>
      <c r="M87" s="42">
        <v>1</v>
      </c>
      <c r="N87" s="42">
        <v>0</v>
      </c>
      <c r="O87">
        <v>1</v>
      </c>
    </row>
    <row r="88" spans="3:15" x14ac:dyDescent="0.15">
      <c r="C88" s="43" t="s">
        <v>144</v>
      </c>
      <c r="D88" s="42">
        <v>7</v>
      </c>
      <c r="E88" s="42">
        <v>71</v>
      </c>
      <c r="F88" s="42">
        <v>1</v>
      </c>
      <c r="G88" s="42">
        <v>0.1</v>
      </c>
      <c r="H88" s="42">
        <v>1</v>
      </c>
      <c r="I88" s="42">
        <v>0</v>
      </c>
      <c r="J88" s="42">
        <v>78</v>
      </c>
      <c r="K88" s="42">
        <v>1</v>
      </c>
      <c r="L88" s="42">
        <v>0</v>
      </c>
      <c r="M88" s="42">
        <v>0</v>
      </c>
      <c r="N88" s="42">
        <v>0</v>
      </c>
      <c r="O88">
        <v>0</v>
      </c>
    </row>
    <row r="89" spans="3:15" x14ac:dyDescent="0.15">
      <c r="C89" s="43" t="s">
        <v>145</v>
      </c>
      <c r="D89" s="42">
        <v>29</v>
      </c>
      <c r="E89" s="42">
        <v>131</v>
      </c>
      <c r="F89" s="42">
        <v>2</v>
      </c>
      <c r="G89" s="42">
        <v>0.7</v>
      </c>
      <c r="H89" s="42">
        <v>0</v>
      </c>
      <c r="I89" s="42">
        <v>1</v>
      </c>
      <c r="J89" s="42">
        <v>0</v>
      </c>
      <c r="K89" s="42">
        <v>0</v>
      </c>
      <c r="L89" s="42">
        <v>0</v>
      </c>
      <c r="M89" s="42">
        <v>0</v>
      </c>
      <c r="N89" s="42">
        <v>1</v>
      </c>
      <c r="O89">
        <v>1</v>
      </c>
    </row>
    <row r="90" spans="3:15" x14ac:dyDescent="0.15">
      <c r="C90" s="43" t="s">
        <v>146</v>
      </c>
      <c r="D90" s="42">
        <v>28</v>
      </c>
      <c r="E90" s="42">
        <v>28</v>
      </c>
      <c r="F90" s="42">
        <v>4</v>
      </c>
      <c r="G90" s="42">
        <v>1.5</v>
      </c>
      <c r="H90" s="42">
        <v>0</v>
      </c>
      <c r="I90" s="42">
        <v>0</v>
      </c>
      <c r="J90" s="42">
        <v>0</v>
      </c>
      <c r="K90" s="42">
        <v>0</v>
      </c>
      <c r="L90" s="42">
        <v>0</v>
      </c>
      <c r="M90" s="42">
        <v>1</v>
      </c>
      <c r="N90" s="42">
        <v>1</v>
      </c>
      <c r="O90">
        <v>0</v>
      </c>
    </row>
    <row r="91" spans="3:15" x14ac:dyDescent="0.15">
      <c r="C91" s="43" t="s">
        <v>147</v>
      </c>
      <c r="D91" s="42">
        <v>38</v>
      </c>
      <c r="E91" s="42">
        <v>134</v>
      </c>
      <c r="F91" s="42">
        <v>3</v>
      </c>
      <c r="G91" s="42">
        <v>4</v>
      </c>
      <c r="H91" s="42">
        <v>0</v>
      </c>
      <c r="I91" s="42">
        <v>1</v>
      </c>
      <c r="J91" s="42">
        <v>0</v>
      </c>
      <c r="K91" s="42">
        <v>0</v>
      </c>
      <c r="L91" s="42">
        <v>0</v>
      </c>
      <c r="M91" s="42">
        <v>0</v>
      </c>
      <c r="N91" s="42">
        <v>1</v>
      </c>
      <c r="O91">
        <v>1</v>
      </c>
    </row>
    <row r="92" spans="3:15" x14ac:dyDescent="0.15">
      <c r="C92" s="43" t="s">
        <v>148</v>
      </c>
      <c r="D92" s="42">
        <v>26</v>
      </c>
      <c r="E92" s="42">
        <v>50</v>
      </c>
      <c r="F92" s="42">
        <v>3</v>
      </c>
      <c r="G92" s="42">
        <v>1.4</v>
      </c>
      <c r="H92" s="42">
        <v>0</v>
      </c>
      <c r="I92" s="42">
        <v>0</v>
      </c>
      <c r="J92" s="42">
        <v>0</v>
      </c>
      <c r="K92" s="42">
        <v>0</v>
      </c>
      <c r="L92" s="42">
        <v>0</v>
      </c>
      <c r="M92" s="42">
        <v>0</v>
      </c>
      <c r="N92" s="42">
        <v>0</v>
      </c>
      <c r="O92">
        <v>0</v>
      </c>
    </row>
    <row r="93" spans="3:15" x14ac:dyDescent="0.15">
      <c r="C93" s="43" t="s">
        <v>149</v>
      </c>
      <c r="D93" s="42">
        <v>27</v>
      </c>
      <c r="E93" s="42">
        <v>63</v>
      </c>
      <c r="F93" s="42">
        <v>3</v>
      </c>
      <c r="G93" s="42">
        <v>2</v>
      </c>
      <c r="H93" s="42">
        <v>0</v>
      </c>
      <c r="I93" s="42">
        <v>0</v>
      </c>
      <c r="J93" s="42">
        <v>0</v>
      </c>
      <c r="K93" s="42">
        <v>0</v>
      </c>
      <c r="L93" s="42">
        <v>0</v>
      </c>
      <c r="M93" s="42">
        <v>1</v>
      </c>
      <c r="N93" s="42">
        <v>0</v>
      </c>
      <c r="O93">
        <v>0</v>
      </c>
    </row>
    <row r="94" spans="3:15" x14ac:dyDescent="0.15">
      <c r="C94" s="43" t="s">
        <v>150</v>
      </c>
      <c r="D94" s="42">
        <v>12</v>
      </c>
      <c r="E94" s="42">
        <v>69</v>
      </c>
      <c r="F94" s="42">
        <v>3</v>
      </c>
      <c r="G94" s="42">
        <v>3.1</v>
      </c>
      <c r="H94" s="42">
        <v>0</v>
      </c>
      <c r="I94" s="42">
        <v>1</v>
      </c>
      <c r="J94" s="42">
        <v>0</v>
      </c>
      <c r="K94" s="42">
        <v>0</v>
      </c>
      <c r="L94" s="42">
        <v>0</v>
      </c>
      <c r="M94" s="42">
        <v>1</v>
      </c>
      <c r="N94" s="42">
        <v>0</v>
      </c>
      <c r="O94">
        <v>1</v>
      </c>
    </row>
    <row r="95" spans="3:15" x14ac:dyDescent="0.15">
      <c r="C95" s="43" t="s">
        <v>151</v>
      </c>
      <c r="D95" s="42">
        <v>31</v>
      </c>
      <c r="E95" s="42">
        <v>50</v>
      </c>
      <c r="F95" s="42">
        <v>4</v>
      </c>
      <c r="G95" s="42">
        <v>1.5</v>
      </c>
      <c r="H95" s="42">
        <v>1</v>
      </c>
      <c r="I95" s="42">
        <v>0</v>
      </c>
      <c r="J95" s="42">
        <v>0</v>
      </c>
      <c r="K95" s="42">
        <v>0</v>
      </c>
      <c r="L95" s="42">
        <v>0</v>
      </c>
      <c r="M95" s="42">
        <v>1</v>
      </c>
      <c r="N95" s="42">
        <v>0</v>
      </c>
      <c r="O95">
        <v>0</v>
      </c>
    </row>
    <row r="96" spans="3:15" x14ac:dyDescent="0.15">
      <c r="C96" s="43" t="s">
        <v>152</v>
      </c>
      <c r="D96" s="42">
        <v>25</v>
      </c>
      <c r="E96" s="42">
        <v>41</v>
      </c>
      <c r="F96" s="42">
        <v>3</v>
      </c>
      <c r="G96" s="42">
        <v>1</v>
      </c>
      <c r="H96" s="42">
        <v>0</v>
      </c>
      <c r="I96" s="42">
        <v>0</v>
      </c>
      <c r="J96" s="42">
        <v>0</v>
      </c>
      <c r="K96" s="42">
        <v>0</v>
      </c>
      <c r="L96" s="42">
        <v>0</v>
      </c>
      <c r="M96" s="42">
        <v>1</v>
      </c>
      <c r="N96" s="42">
        <v>0</v>
      </c>
      <c r="O96">
        <v>0</v>
      </c>
    </row>
    <row r="97" spans="3:15" x14ac:dyDescent="0.15">
      <c r="C97" s="43" t="s">
        <v>153</v>
      </c>
      <c r="D97" s="42">
        <v>24</v>
      </c>
      <c r="E97" s="42">
        <v>130</v>
      </c>
      <c r="F97" s="42">
        <v>1</v>
      </c>
      <c r="G97" s="42">
        <v>1</v>
      </c>
      <c r="H97" s="42">
        <v>1</v>
      </c>
      <c r="I97" s="42">
        <v>0</v>
      </c>
      <c r="J97" s="42">
        <v>0</v>
      </c>
      <c r="K97" s="42">
        <v>0</v>
      </c>
      <c r="L97" s="42">
        <v>0</v>
      </c>
      <c r="M97" s="42">
        <v>0</v>
      </c>
      <c r="N97" s="42">
        <v>0</v>
      </c>
      <c r="O97">
        <v>0</v>
      </c>
    </row>
    <row r="98" spans="3:15" x14ac:dyDescent="0.15">
      <c r="C98" s="43" t="s">
        <v>154</v>
      </c>
      <c r="D98" s="42">
        <v>39</v>
      </c>
      <c r="E98" s="42">
        <v>182</v>
      </c>
      <c r="F98" s="42">
        <v>1</v>
      </c>
      <c r="G98" s="42">
        <v>1.2</v>
      </c>
      <c r="H98" s="42">
        <v>0</v>
      </c>
      <c r="I98" s="42">
        <v>1</v>
      </c>
      <c r="J98" s="42">
        <v>547</v>
      </c>
      <c r="K98" s="42">
        <v>0</v>
      </c>
      <c r="L98" s="42">
        <v>0</v>
      </c>
      <c r="M98" s="42">
        <v>1</v>
      </c>
      <c r="N98" s="42">
        <v>0</v>
      </c>
      <c r="O98">
        <v>1</v>
      </c>
    </row>
    <row r="99" spans="3:15" x14ac:dyDescent="0.15">
      <c r="C99" s="43" t="s">
        <v>155</v>
      </c>
      <c r="D99" s="42">
        <v>34</v>
      </c>
      <c r="E99" s="42">
        <v>85</v>
      </c>
      <c r="F99" s="42">
        <v>2</v>
      </c>
      <c r="G99" s="42">
        <v>2</v>
      </c>
      <c r="H99" s="42">
        <v>1</v>
      </c>
      <c r="I99" s="42">
        <v>0</v>
      </c>
      <c r="J99" s="42">
        <v>0</v>
      </c>
      <c r="K99" s="42">
        <v>0</v>
      </c>
      <c r="L99" s="42">
        <v>0</v>
      </c>
      <c r="M99" s="42">
        <v>1</v>
      </c>
      <c r="N99" s="42">
        <v>0</v>
      </c>
      <c r="O99">
        <v>0</v>
      </c>
    </row>
    <row r="100" spans="3:15" x14ac:dyDescent="0.15">
      <c r="C100" s="43" t="s">
        <v>156</v>
      </c>
      <c r="D100" s="42">
        <v>24</v>
      </c>
      <c r="E100" s="42">
        <v>82</v>
      </c>
      <c r="F100" s="42">
        <v>1</v>
      </c>
      <c r="G100" s="42">
        <v>2.9</v>
      </c>
      <c r="H100" s="42">
        <v>1</v>
      </c>
      <c r="I100" s="42">
        <v>0</v>
      </c>
      <c r="J100" s="42">
        <v>267</v>
      </c>
      <c r="K100" s="42">
        <v>0</v>
      </c>
      <c r="L100" s="42">
        <v>0</v>
      </c>
      <c r="M100" s="42">
        <v>1</v>
      </c>
      <c r="N100" s="42">
        <v>0</v>
      </c>
      <c r="O100">
        <v>0</v>
      </c>
    </row>
    <row r="101" spans="3:15" x14ac:dyDescent="0.15">
      <c r="C101" s="43" t="s">
        <v>157</v>
      </c>
      <c r="D101" s="42">
        <v>32</v>
      </c>
      <c r="E101" s="42">
        <v>73</v>
      </c>
      <c r="F101" s="42">
        <v>2</v>
      </c>
      <c r="G101" s="42">
        <v>0.7</v>
      </c>
      <c r="H101" s="42">
        <v>0</v>
      </c>
      <c r="I101" s="42">
        <v>1</v>
      </c>
      <c r="J101" s="42">
        <v>0</v>
      </c>
      <c r="K101" s="42">
        <v>0</v>
      </c>
      <c r="L101" s="42">
        <v>0</v>
      </c>
      <c r="M101" s="42">
        <v>1</v>
      </c>
      <c r="N101" s="42">
        <v>1</v>
      </c>
      <c r="O101">
        <v>0</v>
      </c>
    </row>
    <row r="102" spans="3:15" x14ac:dyDescent="0.15">
      <c r="C102" s="43" t="s">
        <v>158</v>
      </c>
      <c r="D102" s="42">
        <v>39</v>
      </c>
      <c r="E102" s="42">
        <v>160</v>
      </c>
      <c r="F102" s="42">
        <v>4</v>
      </c>
      <c r="G102" s="42">
        <v>3.8</v>
      </c>
      <c r="H102" s="42">
        <v>1</v>
      </c>
      <c r="I102" s="42">
        <v>0</v>
      </c>
      <c r="J102" s="42">
        <v>237</v>
      </c>
      <c r="K102" s="42">
        <v>0</v>
      </c>
      <c r="L102" s="42">
        <v>0</v>
      </c>
      <c r="M102" s="42">
        <v>1</v>
      </c>
      <c r="N102" s="42">
        <v>0</v>
      </c>
      <c r="O102">
        <v>1</v>
      </c>
    </row>
    <row r="103" spans="3:15" x14ac:dyDescent="0.15">
      <c r="C103" s="43" t="s">
        <v>159</v>
      </c>
      <c r="D103" s="42">
        <v>29</v>
      </c>
      <c r="E103" s="42">
        <v>132</v>
      </c>
      <c r="F103" s="42">
        <v>3</v>
      </c>
      <c r="G103" s="42">
        <v>5.9</v>
      </c>
      <c r="H103" s="42">
        <v>0</v>
      </c>
      <c r="I103" s="42">
        <v>1</v>
      </c>
      <c r="J103" s="42">
        <v>307</v>
      </c>
      <c r="K103" s="42">
        <v>0</v>
      </c>
      <c r="L103" s="42">
        <v>0</v>
      </c>
      <c r="M103" s="42">
        <v>0</v>
      </c>
      <c r="N103" s="42">
        <v>0</v>
      </c>
      <c r="O103">
        <v>1</v>
      </c>
    </row>
    <row r="104" spans="3:15" x14ac:dyDescent="0.15">
      <c r="C104" s="43" t="s">
        <v>160</v>
      </c>
      <c r="D104" s="42">
        <v>26</v>
      </c>
      <c r="E104" s="42">
        <v>134</v>
      </c>
      <c r="F104" s="42">
        <v>4</v>
      </c>
      <c r="G104" s="42">
        <v>4.5</v>
      </c>
      <c r="H104" s="42">
        <v>0</v>
      </c>
      <c r="I104" s="42">
        <v>0</v>
      </c>
      <c r="J104" s="42">
        <v>0</v>
      </c>
      <c r="K104" s="42">
        <v>1</v>
      </c>
      <c r="L104" s="42">
        <v>1</v>
      </c>
      <c r="M104" s="42">
        <v>1</v>
      </c>
      <c r="N104" s="42">
        <v>0</v>
      </c>
      <c r="O104">
        <v>1</v>
      </c>
    </row>
    <row r="105" spans="3:15" x14ac:dyDescent="0.15">
      <c r="C105" s="43" t="s">
        <v>161</v>
      </c>
      <c r="D105" s="42">
        <v>37</v>
      </c>
      <c r="E105" s="42">
        <v>45</v>
      </c>
      <c r="F105" s="42">
        <v>2</v>
      </c>
      <c r="G105" s="42">
        <v>0.7</v>
      </c>
      <c r="H105" s="42">
        <v>0</v>
      </c>
      <c r="I105" s="42">
        <v>0</v>
      </c>
      <c r="J105" s="42">
        <v>0</v>
      </c>
      <c r="K105" s="42">
        <v>0</v>
      </c>
      <c r="L105" s="42">
        <v>0</v>
      </c>
      <c r="M105" s="42">
        <v>1</v>
      </c>
      <c r="N105" s="42">
        <v>0</v>
      </c>
      <c r="O105">
        <v>0</v>
      </c>
    </row>
    <row r="106" spans="3:15" x14ac:dyDescent="0.15">
      <c r="C106" s="43" t="s">
        <v>162</v>
      </c>
      <c r="D106" s="42">
        <v>28</v>
      </c>
      <c r="E106" s="42">
        <v>122</v>
      </c>
      <c r="F106" s="42">
        <v>1</v>
      </c>
      <c r="G106" s="42">
        <v>3</v>
      </c>
      <c r="H106" s="42">
        <v>0</v>
      </c>
      <c r="I106" s="42">
        <v>0</v>
      </c>
      <c r="J106" s="42">
        <v>115</v>
      </c>
      <c r="K106" s="42">
        <v>0</v>
      </c>
      <c r="L106" s="42">
        <v>0</v>
      </c>
      <c r="M106" s="42">
        <v>1</v>
      </c>
      <c r="N106" s="42">
        <v>0</v>
      </c>
      <c r="O106">
        <v>1</v>
      </c>
    </row>
    <row r="107" spans="3:15" x14ac:dyDescent="0.15">
      <c r="C107" s="43" t="s">
        <v>163</v>
      </c>
      <c r="D107" s="42">
        <v>6</v>
      </c>
      <c r="E107" s="42">
        <v>29</v>
      </c>
      <c r="F107" s="42">
        <v>3</v>
      </c>
      <c r="G107" s="42">
        <v>1</v>
      </c>
      <c r="H107" s="42">
        <v>0</v>
      </c>
      <c r="I107" s="42">
        <v>1</v>
      </c>
      <c r="J107" s="42">
        <v>117</v>
      </c>
      <c r="K107" s="42">
        <v>0</v>
      </c>
      <c r="L107" s="42">
        <v>0</v>
      </c>
      <c r="M107" s="42">
        <v>0</v>
      </c>
      <c r="N107" s="42">
        <v>0</v>
      </c>
      <c r="O107">
        <v>0</v>
      </c>
    </row>
    <row r="108" spans="3:15" x14ac:dyDescent="0.15">
      <c r="C108" s="43" t="s">
        <v>164</v>
      </c>
      <c r="D108" s="42">
        <v>4</v>
      </c>
      <c r="E108" s="42">
        <v>142</v>
      </c>
      <c r="F108" s="42">
        <v>3</v>
      </c>
      <c r="G108" s="42">
        <v>4.2</v>
      </c>
      <c r="H108" s="42">
        <v>1</v>
      </c>
      <c r="I108" s="42">
        <v>0</v>
      </c>
      <c r="J108" s="42">
        <v>359</v>
      </c>
      <c r="K108" s="42">
        <v>0</v>
      </c>
      <c r="L108" s="42">
        <v>0</v>
      </c>
      <c r="M108" s="42">
        <v>0</v>
      </c>
      <c r="N108" s="42">
        <v>0</v>
      </c>
      <c r="O108">
        <v>1</v>
      </c>
    </row>
    <row r="109" spans="3:15" x14ac:dyDescent="0.15">
      <c r="C109" s="43" t="s">
        <v>165</v>
      </c>
      <c r="D109" s="42">
        <v>2</v>
      </c>
      <c r="E109" s="42">
        <v>171</v>
      </c>
      <c r="F109" s="42">
        <v>3</v>
      </c>
      <c r="G109" s="42">
        <v>6</v>
      </c>
      <c r="H109" s="42">
        <v>0</v>
      </c>
      <c r="I109" s="42">
        <v>1</v>
      </c>
      <c r="J109" s="42">
        <v>0</v>
      </c>
      <c r="K109" s="42">
        <v>0</v>
      </c>
      <c r="L109" s="42">
        <v>0</v>
      </c>
      <c r="M109" s="42">
        <v>1</v>
      </c>
      <c r="N109" s="42">
        <v>0</v>
      </c>
      <c r="O109">
        <v>1</v>
      </c>
    </row>
    <row r="110" spans="3:15" x14ac:dyDescent="0.15">
      <c r="C110" s="43" t="s">
        <v>166</v>
      </c>
      <c r="D110" s="42">
        <v>37</v>
      </c>
      <c r="E110" s="42">
        <v>110</v>
      </c>
      <c r="F110" s="42">
        <v>1</v>
      </c>
      <c r="G110" s="42">
        <v>4.0999999999999996</v>
      </c>
      <c r="H110" s="42">
        <v>0</v>
      </c>
      <c r="I110" s="42">
        <v>0</v>
      </c>
      <c r="J110" s="42">
        <v>0</v>
      </c>
      <c r="K110" s="42">
        <v>0</v>
      </c>
      <c r="L110" s="42">
        <v>0</v>
      </c>
      <c r="M110" s="42">
        <v>0</v>
      </c>
      <c r="N110" s="42">
        <v>0</v>
      </c>
      <c r="O110">
        <v>1</v>
      </c>
    </row>
    <row r="111" spans="3:15" x14ac:dyDescent="0.15">
      <c r="C111" s="43" t="s">
        <v>167</v>
      </c>
      <c r="D111" s="42">
        <v>22</v>
      </c>
      <c r="E111" s="42">
        <v>52</v>
      </c>
      <c r="F111" s="42">
        <v>2</v>
      </c>
      <c r="G111" s="42">
        <v>2.1</v>
      </c>
      <c r="H111" s="42">
        <v>0</v>
      </c>
      <c r="I111" s="42">
        <v>0</v>
      </c>
      <c r="J111" s="42">
        <v>221</v>
      </c>
      <c r="K111" s="42">
        <v>0</v>
      </c>
      <c r="L111" s="42">
        <v>0</v>
      </c>
      <c r="M111" s="42">
        <v>0</v>
      </c>
      <c r="N111" s="42">
        <v>0</v>
      </c>
      <c r="O111">
        <v>0</v>
      </c>
    </row>
    <row r="112" spans="3:15" x14ac:dyDescent="0.15">
      <c r="C112" s="43" t="s">
        <v>168</v>
      </c>
      <c r="D112" s="42">
        <v>39</v>
      </c>
      <c r="E112" s="42">
        <v>8</v>
      </c>
      <c r="F112" s="42">
        <v>3</v>
      </c>
      <c r="G112" s="42">
        <v>0.1</v>
      </c>
      <c r="H112" s="42">
        <v>0</v>
      </c>
      <c r="I112" s="42">
        <v>0</v>
      </c>
      <c r="J112" s="42">
        <v>87</v>
      </c>
      <c r="K112" s="42">
        <v>0</v>
      </c>
      <c r="L112" s="42">
        <v>0</v>
      </c>
      <c r="M112" s="42">
        <v>0</v>
      </c>
      <c r="N112" s="42">
        <v>1</v>
      </c>
      <c r="O112">
        <v>0</v>
      </c>
    </row>
    <row r="113" spans="3:15" x14ac:dyDescent="0.15">
      <c r="C113" s="43" t="s">
        <v>169</v>
      </c>
      <c r="D113" s="42">
        <v>35</v>
      </c>
      <c r="E113" s="42">
        <v>130</v>
      </c>
      <c r="F113" s="42">
        <v>3</v>
      </c>
      <c r="G113" s="42">
        <v>6.3</v>
      </c>
      <c r="H113" s="42">
        <v>0</v>
      </c>
      <c r="I113" s="42">
        <v>0</v>
      </c>
      <c r="J113" s="42">
        <v>437</v>
      </c>
      <c r="K113" s="42">
        <v>0</v>
      </c>
      <c r="L113" s="42">
        <v>1</v>
      </c>
      <c r="M113" s="42">
        <v>1</v>
      </c>
      <c r="N113" s="42">
        <v>1</v>
      </c>
      <c r="O113">
        <v>1</v>
      </c>
    </row>
    <row r="114" spans="3:15" x14ac:dyDescent="0.15">
      <c r="C114" s="43" t="s">
        <v>170</v>
      </c>
      <c r="D114" s="42">
        <v>7</v>
      </c>
      <c r="E114" s="42">
        <v>135</v>
      </c>
      <c r="F114" s="42">
        <v>4</v>
      </c>
      <c r="G114" s="42">
        <v>3.8</v>
      </c>
      <c r="H114" s="42">
        <v>0</v>
      </c>
      <c r="I114" s="42">
        <v>1</v>
      </c>
      <c r="J114" s="42">
        <v>0</v>
      </c>
      <c r="K114" s="42">
        <v>0</v>
      </c>
      <c r="L114" s="42">
        <v>1</v>
      </c>
      <c r="M114" s="42">
        <v>1</v>
      </c>
      <c r="N114" s="42">
        <v>1</v>
      </c>
      <c r="O114">
        <v>1</v>
      </c>
    </row>
    <row r="115" spans="3:15" x14ac:dyDescent="0.15">
      <c r="C115" s="43" t="s">
        <v>171</v>
      </c>
      <c r="D115" s="42">
        <v>4</v>
      </c>
      <c r="E115" s="42">
        <v>155</v>
      </c>
      <c r="F115" s="42">
        <v>4</v>
      </c>
      <c r="G115" s="42">
        <v>5.3</v>
      </c>
      <c r="H115" s="42">
        <v>0</v>
      </c>
      <c r="I115" s="42">
        <v>1</v>
      </c>
      <c r="J115" s="42">
        <v>0</v>
      </c>
      <c r="K115" s="42">
        <v>0</v>
      </c>
      <c r="L115" s="42">
        <v>0</v>
      </c>
      <c r="M115" s="42">
        <v>1</v>
      </c>
      <c r="N115" s="42">
        <v>0</v>
      </c>
      <c r="O115">
        <v>1</v>
      </c>
    </row>
    <row r="116" spans="3:15" x14ac:dyDescent="0.15">
      <c r="C116" s="43" t="s">
        <v>172</v>
      </c>
      <c r="D116" s="42">
        <v>2</v>
      </c>
      <c r="E116" s="42">
        <v>172</v>
      </c>
      <c r="F116" s="42">
        <v>2</v>
      </c>
      <c r="G116" s="42">
        <v>6.9</v>
      </c>
      <c r="H116" s="42">
        <v>0</v>
      </c>
      <c r="I116" s="42">
        <v>1</v>
      </c>
      <c r="J116" s="42">
        <v>0</v>
      </c>
      <c r="K116" s="42">
        <v>0</v>
      </c>
      <c r="L116" s="42">
        <v>0</v>
      </c>
      <c r="M116" s="42">
        <v>1</v>
      </c>
      <c r="N116" s="42">
        <v>0</v>
      </c>
      <c r="O116">
        <v>1</v>
      </c>
    </row>
    <row r="117" spans="3:15" x14ac:dyDescent="0.15">
      <c r="C117" s="43" t="s">
        <v>173</v>
      </c>
      <c r="D117" s="42">
        <v>29</v>
      </c>
      <c r="E117" s="42">
        <v>19</v>
      </c>
      <c r="F117" s="42">
        <v>4</v>
      </c>
      <c r="G117" s="42">
        <v>0.7</v>
      </c>
      <c r="H117" s="42">
        <v>0</v>
      </c>
      <c r="I117" s="42">
        <v>0</v>
      </c>
      <c r="J117" s="42">
        <v>121</v>
      </c>
      <c r="K117" s="42">
        <v>1</v>
      </c>
      <c r="L117" s="42">
        <v>0</v>
      </c>
      <c r="M117" s="42">
        <v>0</v>
      </c>
      <c r="N117" s="42">
        <v>1</v>
      </c>
      <c r="O117">
        <v>0</v>
      </c>
    </row>
    <row r="118" spans="3:15" x14ac:dyDescent="0.15">
      <c r="C118" s="43" t="s">
        <v>174</v>
      </c>
      <c r="D118" s="42">
        <v>21</v>
      </c>
      <c r="E118" s="42">
        <v>28</v>
      </c>
      <c r="F118" s="42">
        <v>3</v>
      </c>
      <c r="G118" s="42">
        <v>1.5</v>
      </c>
      <c r="H118" s="42">
        <v>1</v>
      </c>
      <c r="I118" s="42">
        <v>0</v>
      </c>
      <c r="J118" s="42">
        <v>0</v>
      </c>
      <c r="K118" s="42">
        <v>0</v>
      </c>
      <c r="L118" s="42">
        <v>0</v>
      </c>
      <c r="M118" s="42">
        <v>1</v>
      </c>
      <c r="N118" s="42">
        <v>0</v>
      </c>
      <c r="O118">
        <v>0</v>
      </c>
    </row>
    <row r="119" spans="3:15" x14ac:dyDescent="0.15">
      <c r="C119" s="43" t="s">
        <v>175</v>
      </c>
      <c r="D119" s="42">
        <v>32</v>
      </c>
      <c r="E119" s="42">
        <v>63</v>
      </c>
      <c r="F119" s="42">
        <v>1</v>
      </c>
      <c r="G119" s="42">
        <v>1.6</v>
      </c>
      <c r="H119" s="42">
        <v>1</v>
      </c>
      <c r="I119" s="42">
        <v>0</v>
      </c>
      <c r="J119" s="42">
        <v>0</v>
      </c>
      <c r="K119" s="42">
        <v>1</v>
      </c>
      <c r="L119" s="42">
        <v>0</v>
      </c>
      <c r="M119" s="42">
        <v>1</v>
      </c>
      <c r="N119" s="42">
        <v>0</v>
      </c>
      <c r="O119">
        <v>0</v>
      </c>
    </row>
    <row r="120" spans="3:15" x14ac:dyDescent="0.15">
      <c r="C120" s="43" t="s">
        <v>176</v>
      </c>
      <c r="D120" s="42">
        <v>39</v>
      </c>
      <c r="E120" s="42">
        <v>79</v>
      </c>
      <c r="F120" s="42">
        <v>4</v>
      </c>
      <c r="G120" s="42">
        <v>1.7</v>
      </c>
      <c r="H120" s="42">
        <v>0</v>
      </c>
      <c r="I120" s="42">
        <v>1</v>
      </c>
      <c r="J120" s="42">
        <v>0</v>
      </c>
      <c r="K120" s="42">
        <v>0</v>
      </c>
      <c r="L120" s="42">
        <v>0</v>
      </c>
      <c r="M120" s="42">
        <v>1</v>
      </c>
      <c r="N120" s="42">
        <v>1</v>
      </c>
      <c r="O120">
        <v>0</v>
      </c>
    </row>
    <row r="121" spans="3:15" x14ac:dyDescent="0.15">
      <c r="C121" s="43" t="s">
        <v>177</v>
      </c>
      <c r="D121" s="42">
        <v>20</v>
      </c>
      <c r="E121" s="42">
        <v>185</v>
      </c>
      <c r="F121" s="42">
        <v>4</v>
      </c>
      <c r="G121" s="42">
        <v>7.5</v>
      </c>
      <c r="H121" s="42">
        <v>0</v>
      </c>
      <c r="I121" s="42">
        <v>1</v>
      </c>
      <c r="J121" s="42">
        <v>428</v>
      </c>
      <c r="K121" s="42">
        <v>0</v>
      </c>
      <c r="L121" s="42">
        <v>0</v>
      </c>
      <c r="M121" s="42">
        <v>0</v>
      </c>
      <c r="N121" s="42">
        <v>1</v>
      </c>
      <c r="O121">
        <v>1</v>
      </c>
    </row>
    <row r="122" spans="3:15" x14ac:dyDescent="0.15">
      <c r="C122" s="43" t="s">
        <v>178</v>
      </c>
      <c r="D122" s="42">
        <v>26</v>
      </c>
      <c r="E122" s="42">
        <v>182</v>
      </c>
      <c r="F122" s="42">
        <v>2</v>
      </c>
      <c r="G122" s="42">
        <v>1.4</v>
      </c>
      <c r="H122" s="42">
        <v>0</v>
      </c>
      <c r="I122" s="42">
        <v>1</v>
      </c>
      <c r="J122" s="42">
        <v>0</v>
      </c>
      <c r="K122" s="42">
        <v>0</v>
      </c>
      <c r="L122" s="42">
        <v>0</v>
      </c>
      <c r="M122" s="42">
        <v>1</v>
      </c>
      <c r="N122" s="42">
        <v>0</v>
      </c>
      <c r="O122">
        <v>1</v>
      </c>
    </row>
    <row r="123" spans="3:15" x14ac:dyDescent="0.15">
      <c r="C123" s="43" t="s">
        <v>179</v>
      </c>
      <c r="D123" s="42">
        <v>35</v>
      </c>
      <c r="E123" s="42">
        <v>59</v>
      </c>
      <c r="F123" s="42">
        <v>4</v>
      </c>
      <c r="G123" s="42">
        <v>1.7</v>
      </c>
      <c r="H123" s="42">
        <v>0</v>
      </c>
      <c r="I123" s="42">
        <v>1</v>
      </c>
      <c r="J123" s="42">
        <v>0</v>
      </c>
      <c r="K123" s="42">
        <v>0</v>
      </c>
      <c r="L123" s="42">
        <v>0</v>
      </c>
      <c r="M123" s="42">
        <v>1</v>
      </c>
      <c r="N123" s="42">
        <v>1</v>
      </c>
      <c r="O123">
        <v>0</v>
      </c>
    </row>
    <row r="124" spans="3:15" x14ac:dyDescent="0.15">
      <c r="C124" s="43" t="s">
        <v>180</v>
      </c>
      <c r="D124" s="42">
        <v>1</v>
      </c>
      <c r="E124" s="42">
        <v>190</v>
      </c>
      <c r="F124" s="42">
        <v>4</v>
      </c>
      <c r="G124" s="42">
        <v>1.3</v>
      </c>
      <c r="H124" s="42">
        <v>0</v>
      </c>
      <c r="I124" s="42">
        <v>1</v>
      </c>
      <c r="J124" s="42">
        <v>197</v>
      </c>
      <c r="K124" s="42">
        <v>0</v>
      </c>
      <c r="L124" s="42">
        <v>0</v>
      </c>
      <c r="M124" s="42">
        <v>1</v>
      </c>
      <c r="N124" s="42">
        <v>0</v>
      </c>
      <c r="O124">
        <v>1</v>
      </c>
    </row>
    <row r="125" spans="3:15" x14ac:dyDescent="0.15">
      <c r="C125" s="43" t="s">
        <v>181</v>
      </c>
      <c r="D125" s="42">
        <v>26</v>
      </c>
      <c r="E125" s="42">
        <v>55</v>
      </c>
      <c r="F125" s="42">
        <v>1</v>
      </c>
      <c r="G125" s="42">
        <v>1.3</v>
      </c>
      <c r="H125" s="42">
        <v>0</v>
      </c>
      <c r="I125" s="42">
        <v>1</v>
      </c>
      <c r="J125" s="42">
        <v>236</v>
      </c>
      <c r="K125" s="42">
        <v>0</v>
      </c>
      <c r="L125" s="42">
        <v>0</v>
      </c>
      <c r="M125" s="42">
        <v>0</v>
      </c>
      <c r="N125" s="42">
        <v>1</v>
      </c>
      <c r="O125">
        <v>0</v>
      </c>
    </row>
    <row r="126" spans="3:15" x14ac:dyDescent="0.15">
      <c r="C126" s="43" t="s">
        <v>182</v>
      </c>
      <c r="D126" s="42">
        <v>16</v>
      </c>
      <c r="E126" s="42">
        <v>118</v>
      </c>
      <c r="F126" s="42">
        <v>2</v>
      </c>
      <c r="G126" s="42">
        <v>3.3</v>
      </c>
      <c r="H126" s="42">
        <v>1</v>
      </c>
      <c r="I126" s="42">
        <v>0</v>
      </c>
      <c r="J126" s="42">
        <v>0</v>
      </c>
      <c r="K126" s="42">
        <v>0</v>
      </c>
      <c r="L126" s="42">
        <v>0</v>
      </c>
      <c r="M126" s="42">
        <v>1</v>
      </c>
      <c r="N126" s="42">
        <v>0</v>
      </c>
      <c r="O126">
        <v>0</v>
      </c>
    </row>
    <row r="127" spans="3:15" x14ac:dyDescent="0.15">
      <c r="C127" s="43" t="s">
        <v>183</v>
      </c>
      <c r="D127" s="42">
        <v>28</v>
      </c>
      <c r="E127" s="42">
        <v>165</v>
      </c>
      <c r="F127" s="42">
        <v>1</v>
      </c>
      <c r="G127" s="42">
        <v>4.0999999999999996</v>
      </c>
      <c r="H127" s="42">
        <v>0</v>
      </c>
      <c r="I127" s="42">
        <v>0</v>
      </c>
      <c r="J127" s="42">
        <v>0</v>
      </c>
      <c r="K127" s="42">
        <v>0</v>
      </c>
      <c r="L127" s="42">
        <v>1</v>
      </c>
      <c r="M127" s="42">
        <v>1</v>
      </c>
      <c r="N127" s="42">
        <v>1</v>
      </c>
      <c r="O127">
        <v>1</v>
      </c>
    </row>
    <row r="128" spans="3:15" x14ac:dyDescent="0.15">
      <c r="C128" s="43" t="s">
        <v>184</v>
      </c>
      <c r="D128" s="42">
        <v>30</v>
      </c>
      <c r="E128" s="42">
        <v>111</v>
      </c>
      <c r="F128" s="42">
        <v>4</v>
      </c>
      <c r="G128" s="42">
        <v>0.3</v>
      </c>
      <c r="H128" s="42">
        <v>1</v>
      </c>
      <c r="I128" s="42">
        <v>0</v>
      </c>
      <c r="J128" s="42">
        <v>372</v>
      </c>
      <c r="K128" s="42">
        <v>1</v>
      </c>
      <c r="L128" s="42">
        <v>1</v>
      </c>
      <c r="M128" s="42">
        <v>1</v>
      </c>
      <c r="N128" s="42">
        <v>0</v>
      </c>
      <c r="O128">
        <v>1</v>
      </c>
    </row>
    <row r="129" spans="3:15" x14ac:dyDescent="0.15">
      <c r="C129" s="43" t="s">
        <v>185</v>
      </c>
      <c r="D129" s="42">
        <v>26</v>
      </c>
      <c r="E129" s="42">
        <v>135</v>
      </c>
      <c r="F129" s="42">
        <v>2</v>
      </c>
      <c r="G129" s="42">
        <v>4.5999999999999996</v>
      </c>
      <c r="H129" s="42">
        <v>0</v>
      </c>
      <c r="I129" s="42">
        <v>0</v>
      </c>
      <c r="J129" s="42">
        <v>91</v>
      </c>
      <c r="K129" s="42">
        <v>0</v>
      </c>
      <c r="L129" s="42">
        <v>0</v>
      </c>
      <c r="M129" s="42">
        <v>1</v>
      </c>
      <c r="N129" s="42">
        <v>0</v>
      </c>
      <c r="O129">
        <v>1</v>
      </c>
    </row>
    <row r="130" spans="3:15" x14ac:dyDescent="0.15">
      <c r="C130" s="43" t="s">
        <v>186</v>
      </c>
      <c r="D130" s="42">
        <v>22</v>
      </c>
      <c r="E130" s="42">
        <v>28</v>
      </c>
      <c r="F130" s="42">
        <v>1</v>
      </c>
      <c r="G130" s="42">
        <v>1</v>
      </c>
      <c r="H130" s="42">
        <v>1</v>
      </c>
      <c r="I130" s="42">
        <v>0</v>
      </c>
      <c r="J130" s="42">
        <v>84</v>
      </c>
      <c r="K130" s="42">
        <v>0</v>
      </c>
      <c r="L130" s="42">
        <v>0</v>
      </c>
      <c r="M130" s="42">
        <v>1</v>
      </c>
      <c r="N130" s="42">
        <v>1</v>
      </c>
      <c r="O130">
        <v>0</v>
      </c>
    </row>
    <row r="131" spans="3:15" x14ac:dyDescent="0.15">
      <c r="C131" s="43" t="s">
        <v>187</v>
      </c>
      <c r="D131" s="42">
        <v>3</v>
      </c>
      <c r="E131" s="42">
        <v>172</v>
      </c>
      <c r="F131" s="42">
        <v>4</v>
      </c>
      <c r="G131" s="42">
        <v>4.4000000000000004</v>
      </c>
      <c r="H131" s="42">
        <v>1</v>
      </c>
      <c r="I131" s="42">
        <v>0</v>
      </c>
      <c r="J131" s="42">
        <v>0</v>
      </c>
      <c r="K131" s="42">
        <v>0</v>
      </c>
      <c r="L131" s="42">
        <v>0</v>
      </c>
      <c r="M131" s="42">
        <v>0</v>
      </c>
      <c r="N131" s="42">
        <v>0</v>
      </c>
      <c r="O131">
        <v>1</v>
      </c>
    </row>
    <row r="132" spans="3:15" x14ac:dyDescent="0.15">
      <c r="C132" s="43" t="s">
        <v>188</v>
      </c>
      <c r="D132" s="42">
        <v>12</v>
      </c>
      <c r="E132" s="42">
        <v>109</v>
      </c>
      <c r="F132" s="42">
        <v>3</v>
      </c>
      <c r="G132" s="42">
        <v>0.5</v>
      </c>
      <c r="H132" s="42">
        <v>0</v>
      </c>
      <c r="I132" s="42">
        <v>0</v>
      </c>
      <c r="J132" s="42">
        <v>0</v>
      </c>
      <c r="K132" s="42">
        <v>1</v>
      </c>
      <c r="L132" s="42">
        <v>1</v>
      </c>
      <c r="M132" s="42">
        <v>1</v>
      </c>
      <c r="N132" s="42">
        <v>0</v>
      </c>
      <c r="O132">
        <v>1</v>
      </c>
    </row>
    <row r="133" spans="3:15" x14ac:dyDescent="0.15">
      <c r="C133" s="43" t="s">
        <v>189</v>
      </c>
      <c r="D133" s="42">
        <v>8</v>
      </c>
      <c r="E133" s="42">
        <v>104</v>
      </c>
      <c r="F133" s="42">
        <v>2</v>
      </c>
      <c r="G133" s="42">
        <v>3.7</v>
      </c>
      <c r="H133" s="42">
        <v>1</v>
      </c>
      <c r="I133" s="42">
        <v>0</v>
      </c>
      <c r="J133" s="42">
        <v>0</v>
      </c>
      <c r="K133" s="42">
        <v>0</v>
      </c>
      <c r="L133" s="42">
        <v>0</v>
      </c>
      <c r="M133" s="42">
        <v>0</v>
      </c>
      <c r="N133" s="42">
        <v>1</v>
      </c>
      <c r="O133">
        <v>1</v>
      </c>
    </row>
    <row r="134" spans="3:15" x14ac:dyDescent="0.15">
      <c r="C134" s="43" t="s">
        <v>190</v>
      </c>
      <c r="D134" s="42">
        <v>9</v>
      </c>
      <c r="E134" s="42">
        <v>164</v>
      </c>
      <c r="F134" s="42">
        <v>1</v>
      </c>
      <c r="G134" s="42">
        <v>6</v>
      </c>
      <c r="H134" s="42">
        <v>0</v>
      </c>
      <c r="I134" s="42">
        <v>0</v>
      </c>
      <c r="J134" s="42">
        <v>0</v>
      </c>
      <c r="K134" s="42">
        <v>0</v>
      </c>
      <c r="L134" s="42">
        <v>0</v>
      </c>
      <c r="M134" s="42">
        <v>1</v>
      </c>
      <c r="N134" s="42">
        <v>0</v>
      </c>
      <c r="O134">
        <v>1</v>
      </c>
    </row>
    <row r="135" spans="3:15" x14ac:dyDescent="0.15">
      <c r="C135" s="43" t="s">
        <v>191</v>
      </c>
      <c r="D135" s="42">
        <v>19</v>
      </c>
      <c r="E135" s="42">
        <v>169</v>
      </c>
      <c r="F135" s="42">
        <v>3</v>
      </c>
      <c r="G135" s="42">
        <v>5.666666666666667</v>
      </c>
      <c r="H135" s="42">
        <v>0</v>
      </c>
      <c r="I135" s="42">
        <v>0</v>
      </c>
      <c r="J135" s="42">
        <v>167</v>
      </c>
      <c r="K135" s="42">
        <v>0</v>
      </c>
      <c r="L135" s="42">
        <v>1</v>
      </c>
      <c r="M135" s="42">
        <v>0</v>
      </c>
      <c r="N135" s="42">
        <v>1</v>
      </c>
      <c r="O135">
        <v>1</v>
      </c>
    </row>
    <row r="136" spans="3:15" x14ac:dyDescent="0.15">
      <c r="C136" s="43" t="s">
        <v>192</v>
      </c>
      <c r="D136" s="42">
        <v>36</v>
      </c>
      <c r="E136" s="42">
        <v>193</v>
      </c>
      <c r="F136" s="42">
        <v>1</v>
      </c>
      <c r="G136" s="42">
        <v>4.7</v>
      </c>
      <c r="H136" s="42">
        <v>0</v>
      </c>
      <c r="I136" s="42">
        <v>0</v>
      </c>
      <c r="J136" s="42">
        <v>203</v>
      </c>
      <c r="K136" s="42">
        <v>0</v>
      </c>
      <c r="L136" s="42">
        <v>0</v>
      </c>
      <c r="M136" s="42">
        <v>1</v>
      </c>
      <c r="N136" s="42">
        <v>0</v>
      </c>
      <c r="O136">
        <v>1</v>
      </c>
    </row>
    <row r="137" spans="3:15" x14ac:dyDescent="0.15">
      <c r="C137" s="43" t="s">
        <v>193</v>
      </c>
      <c r="D137" s="42">
        <v>29</v>
      </c>
      <c r="E137" s="42">
        <v>111</v>
      </c>
      <c r="F137" s="42">
        <v>2</v>
      </c>
      <c r="G137" s="42">
        <v>3.6</v>
      </c>
      <c r="H137" s="42">
        <v>0</v>
      </c>
      <c r="I137" s="42">
        <v>0</v>
      </c>
      <c r="J137" s="42">
        <v>0</v>
      </c>
      <c r="K137" s="42">
        <v>0</v>
      </c>
      <c r="L137" s="42">
        <v>0</v>
      </c>
      <c r="M137" s="42">
        <v>0</v>
      </c>
      <c r="N137" s="42">
        <v>1</v>
      </c>
      <c r="O137">
        <v>1</v>
      </c>
    </row>
    <row r="138" spans="3:15" x14ac:dyDescent="0.15">
      <c r="C138" s="43" t="s">
        <v>194</v>
      </c>
      <c r="D138" s="42">
        <v>16</v>
      </c>
      <c r="E138" s="42">
        <v>114</v>
      </c>
      <c r="F138" s="42">
        <v>4</v>
      </c>
      <c r="G138" s="42">
        <v>3.5</v>
      </c>
      <c r="H138" s="42">
        <v>1</v>
      </c>
      <c r="I138" s="42">
        <v>0</v>
      </c>
      <c r="J138" s="42">
        <v>0</v>
      </c>
      <c r="K138" s="42">
        <v>0</v>
      </c>
      <c r="L138" s="42">
        <v>0</v>
      </c>
      <c r="M138" s="42">
        <v>0</v>
      </c>
      <c r="N138" s="42">
        <v>1</v>
      </c>
      <c r="O138">
        <v>1</v>
      </c>
    </row>
    <row r="139" spans="3:15" x14ac:dyDescent="0.15">
      <c r="C139" s="43" t="s">
        <v>195</v>
      </c>
      <c r="D139" s="42">
        <v>1</v>
      </c>
      <c r="E139" s="42">
        <v>55</v>
      </c>
      <c r="F139" s="42">
        <v>3</v>
      </c>
      <c r="G139" s="42">
        <v>2.6</v>
      </c>
      <c r="H139" s="42">
        <v>0</v>
      </c>
      <c r="I139" s="42">
        <v>0</v>
      </c>
      <c r="J139" s="42">
        <v>113</v>
      </c>
      <c r="K139" s="42">
        <v>0</v>
      </c>
      <c r="L139" s="42">
        <v>0</v>
      </c>
      <c r="M139" s="42">
        <v>0</v>
      </c>
      <c r="N139" s="42">
        <v>1</v>
      </c>
      <c r="O139">
        <v>0</v>
      </c>
    </row>
    <row r="140" spans="3:15" x14ac:dyDescent="0.15">
      <c r="C140" s="43" t="s">
        <v>196</v>
      </c>
      <c r="D140" s="42">
        <v>37</v>
      </c>
      <c r="E140" s="42">
        <v>83</v>
      </c>
      <c r="F140" s="42">
        <v>3</v>
      </c>
      <c r="G140" s="42">
        <v>1.8</v>
      </c>
      <c r="H140" s="42">
        <v>0</v>
      </c>
      <c r="I140" s="42">
        <v>1</v>
      </c>
      <c r="J140" s="42">
        <v>187</v>
      </c>
      <c r="K140" s="42">
        <v>1</v>
      </c>
      <c r="L140" s="42">
        <v>0</v>
      </c>
      <c r="M140" s="42">
        <v>0</v>
      </c>
      <c r="N140" s="42">
        <v>0</v>
      </c>
      <c r="O140">
        <v>0</v>
      </c>
    </row>
    <row r="141" spans="3:15" x14ac:dyDescent="0.15">
      <c r="C141" s="43" t="s">
        <v>197</v>
      </c>
      <c r="D141" s="42">
        <v>36</v>
      </c>
      <c r="E141" s="42">
        <v>89</v>
      </c>
      <c r="F141" s="42">
        <v>2</v>
      </c>
      <c r="G141" s="42">
        <v>2.8</v>
      </c>
      <c r="H141" s="42">
        <v>1</v>
      </c>
      <c r="I141" s="42">
        <v>0</v>
      </c>
      <c r="J141" s="42">
        <v>0</v>
      </c>
      <c r="K141" s="42">
        <v>0</v>
      </c>
      <c r="L141" s="42">
        <v>0</v>
      </c>
      <c r="M141" s="42">
        <v>1</v>
      </c>
      <c r="N141" s="42">
        <v>0</v>
      </c>
      <c r="O141">
        <v>0</v>
      </c>
    </row>
    <row r="142" spans="3:15" x14ac:dyDescent="0.15">
      <c r="C142" s="43" t="s">
        <v>198</v>
      </c>
      <c r="D142" s="42">
        <v>16</v>
      </c>
      <c r="E142" s="42">
        <v>82</v>
      </c>
      <c r="F142" s="42">
        <v>1</v>
      </c>
      <c r="G142" s="42">
        <v>3.6</v>
      </c>
      <c r="H142" s="42">
        <v>0</v>
      </c>
      <c r="I142" s="42">
        <v>1</v>
      </c>
      <c r="J142" s="42">
        <v>0</v>
      </c>
      <c r="K142" s="42">
        <v>0</v>
      </c>
      <c r="L142" s="42">
        <v>0</v>
      </c>
      <c r="M142" s="42">
        <v>0</v>
      </c>
      <c r="N142" s="42">
        <v>0</v>
      </c>
      <c r="O142">
        <v>0</v>
      </c>
    </row>
    <row r="143" spans="3:15" x14ac:dyDescent="0.15">
      <c r="C143" s="43" t="s">
        <v>199</v>
      </c>
      <c r="D143" s="42">
        <v>30</v>
      </c>
      <c r="E143" s="42">
        <v>64</v>
      </c>
      <c r="F143" s="42">
        <v>2</v>
      </c>
      <c r="G143" s="42">
        <v>2.2999999999999998</v>
      </c>
      <c r="H143" s="42">
        <v>0</v>
      </c>
      <c r="I143" s="42">
        <v>0</v>
      </c>
      <c r="J143" s="42">
        <v>0</v>
      </c>
      <c r="K143" s="42">
        <v>0</v>
      </c>
      <c r="L143" s="42">
        <v>0</v>
      </c>
      <c r="M143" s="42">
        <v>0</v>
      </c>
      <c r="N143" s="42">
        <v>0</v>
      </c>
      <c r="O143">
        <v>0</v>
      </c>
    </row>
    <row r="144" spans="3:15" x14ac:dyDescent="0.15">
      <c r="C144" s="43" t="s">
        <v>200</v>
      </c>
      <c r="D144" s="42">
        <v>23</v>
      </c>
      <c r="E144" s="42">
        <v>82</v>
      </c>
      <c r="F144" s="42">
        <v>2</v>
      </c>
      <c r="G144" s="42">
        <v>2.4</v>
      </c>
      <c r="H144" s="42">
        <v>0</v>
      </c>
      <c r="I144" s="42">
        <v>1</v>
      </c>
      <c r="J144" s="42">
        <v>0</v>
      </c>
      <c r="K144" s="42">
        <v>0</v>
      </c>
      <c r="L144" s="42">
        <v>0</v>
      </c>
      <c r="M144" s="42">
        <v>0</v>
      </c>
      <c r="N144" s="42">
        <v>0</v>
      </c>
      <c r="O144">
        <v>0</v>
      </c>
    </row>
    <row r="145" spans="3:15" x14ac:dyDescent="0.15">
      <c r="C145" s="43" t="s">
        <v>201</v>
      </c>
      <c r="D145" s="42">
        <v>26</v>
      </c>
      <c r="E145" s="42">
        <v>121</v>
      </c>
      <c r="F145" s="42">
        <v>1</v>
      </c>
      <c r="G145" s="42">
        <v>7.3</v>
      </c>
      <c r="H145" s="42">
        <v>1</v>
      </c>
      <c r="I145" s="42">
        <v>0</v>
      </c>
      <c r="J145" s="42">
        <v>167</v>
      </c>
      <c r="K145" s="42">
        <v>0</v>
      </c>
      <c r="L145" s="42">
        <v>0</v>
      </c>
      <c r="M145" s="42">
        <v>1</v>
      </c>
      <c r="N145" s="42">
        <v>0</v>
      </c>
      <c r="O145">
        <v>0</v>
      </c>
    </row>
    <row r="146" spans="3:15" x14ac:dyDescent="0.15">
      <c r="C146" s="43" t="s">
        <v>202</v>
      </c>
      <c r="D146" s="42">
        <v>32</v>
      </c>
      <c r="E146" s="42">
        <v>180</v>
      </c>
      <c r="F146" s="42">
        <v>1</v>
      </c>
      <c r="G146" s="42">
        <v>2.9</v>
      </c>
      <c r="H146" s="42">
        <v>1</v>
      </c>
      <c r="I146" s="42">
        <v>0</v>
      </c>
      <c r="J146" s="42">
        <v>0</v>
      </c>
      <c r="K146" s="42">
        <v>0</v>
      </c>
      <c r="L146" s="42">
        <v>0</v>
      </c>
      <c r="M146" s="42">
        <v>0</v>
      </c>
      <c r="N146" s="42">
        <v>1</v>
      </c>
      <c r="O146">
        <v>0</v>
      </c>
    </row>
    <row r="147" spans="3:15" x14ac:dyDescent="0.15">
      <c r="C147" s="43" t="s">
        <v>203</v>
      </c>
      <c r="D147" s="42">
        <v>11</v>
      </c>
      <c r="E147" s="42">
        <v>43</v>
      </c>
      <c r="F147" s="42">
        <v>1</v>
      </c>
      <c r="G147" s="42">
        <v>2</v>
      </c>
      <c r="H147" s="42">
        <v>1</v>
      </c>
      <c r="I147" s="42">
        <v>0</v>
      </c>
      <c r="J147" s="42">
        <v>0</v>
      </c>
      <c r="K147" s="42">
        <v>0</v>
      </c>
      <c r="L147" s="42">
        <v>0</v>
      </c>
      <c r="M147" s="42">
        <v>1</v>
      </c>
      <c r="N147" s="42">
        <v>0</v>
      </c>
      <c r="O147">
        <v>0</v>
      </c>
    </row>
    <row r="148" spans="3:15" x14ac:dyDescent="0.15">
      <c r="C148" s="43" t="s">
        <v>204</v>
      </c>
      <c r="D148" s="42">
        <v>25</v>
      </c>
      <c r="E148" s="42">
        <v>130</v>
      </c>
      <c r="F148" s="42">
        <v>1</v>
      </c>
      <c r="G148" s="42">
        <v>1.1000000000000001</v>
      </c>
      <c r="H148" s="42">
        <v>0</v>
      </c>
      <c r="I148" s="42">
        <v>1</v>
      </c>
      <c r="J148" s="42">
        <v>0</v>
      </c>
      <c r="K148" s="42">
        <v>0</v>
      </c>
      <c r="L148" s="42">
        <v>0</v>
      </c>
      <c r="M148" s="42">
        <v>1</v>
      </c>
      <c r="N148" s="42">
        <v>0</v>
      </c>
      <c r="O148">
        <v>1</v>
      </c>
    </row>
    <row r="149" spans="3:15" x14ac:dyDescent="0.15">
      <c r="C149" s="43" t="s">
        <v>205</v>
      </c>
      <c r="D149" s="42">
        <v>11</v>
      </c>
      <c r="E149" s="42">
        <v>123</v>
      </c>
      <c r="F149" s="42">
        <v>1</v>
      </c>
      <c r="G149" s="42">
        <v>2.2999999999999998</v>
      </c>
      <c r="H149" s="42">
        <v>0</v>
      </c>
      <c r="I149" s="42">
        <v>1</v>
      </c>
      <c r="J149" s="42">
        <v>0</v>
      </c>
      <c r="K149" s="42">
        <v>1</v>
      </c>
      <c r="L149" s="42">
        <v>1</v>
      </c>
      <c r="M149" s="42">
        <v>1</v>
      </c>
      <c r="N149" s="42">
        <v>0</v>
      </c>
      <c r="O149">
        <v>1</v>
      </c>
    </row>
    <row r="150" spans="3:15" x14ac:dyDescent="0.15">
      <c r="C150" s="43" t="s">
        <v>206</v>
      </c>
      <c r="D150" s="42">
        <v>33</v>
      </c>
      <c r="E150" s="42">
        <v>34</v>
      </c>
      <c r="F150" s="42">
        <v>2</v>
      </c>
      <c r="G150" s="42">
        <v>0.3</v>
      </c>
      <c r="H150" s="42">
        <v>1</v>
      </c>
      <c r="I150" s="42">
        <v>0</v>
      </c>
      <c r="J150" s="42">
        <v>0</v>
      </c>
      <c r="K150" s="42">
        <v>0</v>
      </c>
      <c r="L150" s="42">
        <v>0</v>
      </c>
      <c r="M150" s="42">
        <v>0</v>
      </c>
      <c r="N150" s="42">
        <v>0</v>
      </c>
      <c r="O150">
        <v>0</v>
      </c>
    </row>
    <row r="151" spans="3:15" x14ac:dyDescent="0.15">
      <c r="C151" s="43" t="s">
        <v>207</v>
      </c>
      <c r="D151" s="42">
        <v>18</v>
      </c>
      <c r="E151" s="42">
        <v>75</v>
      </c>
      <c r="F151" s="42">
        <v>2</v>
      </c>
      <c r="G151" s="42">
        <v>3.5</v>
      </c>
      <c r="H151" s="42">
        <v>1</v>
      </c>
      <c r="I151" s="42">
        <v>0</v>
      </c>
      <c r="J151" s="42">
        <v>0</v>
      </c>
      <c r="K151" s="42">
        <v>0</v>
      </c>
      <c r="L151" s="42">
        <v>0</v>
      </c>
      <c r="M151" s="42">
        <v>1</v>
      </c>
      <c r="N151" s="42">
        <v>0</v>
      </c>
      <c r="O151">
        <v>1</v>
      </c>
    </row>
    <row r="152" spans="3:15" x14ac:dyDescent="0.15">
      <c r="C152" s="43" t="s">
        <v>208</v>
      </c>
      <c r="D152" s="42">
        <v>16</v>
      </c>
      <c r="E152" s="42">
        <v>73</v>
      </c>
      <c r="F152" s="42">
        <v>3</v>
      </c>
      <c r="G152" s="42">
        <v>3</v>
      </c>
      <c r="H152" s="42">
        <v>1</v>
      </c>
      <c r="I152" s="42">
        <v>0</v>
      </c>
      <c r="J152" s="42">
        <v>0</v>
      </c>
      <c r="K152" s="42">
        <v>0</v>
      </c>
      <c r="L152" s="42">
        <v>0</v>
      </c>
      <c r="M152" s="42">
        <v>1</v>
      </c>
      <c r="N152" s="42">
        <v>0</v>
      </c>
      <c r="O152">
        <v>0</v>
      </c>
    </row>
    <row r="153" spans="3:15" x14ac:dyDescent="0.15">
      <c r="C153" s="43" t="s">
        <v>209</v>
      </c>
      <c r="D153" s="42">
        <v>20</v>
      </c>
      <c r="E153" s="42">
        <v>130</v>
      </c>
      <c r="F153" s="42">
        <v>1</v>
      </c>
      <c r="G153" s="42">
        <v>5</v>
      </c>
      <c r="H153" s="42">
        <v>1</v>
      </c>
      <c r="I153" s="42">
        <v>0</v>
      </c>
      <c r="J153" s="42">
        <v>0</v>
      </c>
      <c r="K153" s="42">
        <v>0</v>
      </c>
      <c r="L153" s="42">
        <v>0</v>
      </c>
      <c r="M153" s="42">
        <v>0</v>
      </c>
      <c r="N153" s="42">
        <v>1</v>
      </c>
      <c r="O153">
        <v>0</v>
      </c>
    </row>
    <row r="154" spans="3:15" x14ac:dyDescent="0.15">
      <c r="C154" s="43" t="s">
        <v>210</v>
      </c>
      <c r="D154" s="42">
        <v>40</v>
      </c>
      <c r="E154" s="42">
        <v>95</v>
      </c>
      <c r="F154" s="42">
        <v>3</v>
      </c>
      <c r="G154" s="42">
        <v>3.7</v>
      </c>
      <c r="H154" s="42">
        <v>0</v>
      </c>
      <c r="I154" s="42">
        <v>1</v>
      </c>
      <c r="J154" s="42">
        <v>138</v>
      </c>
      <c r="K154" s="42">
        <v>0</v>
      </c>
      <c r="L154" s="42">
        <v>0</v>
      </c>
      <c r="M154" s="42">
        <v>0</v>
      </c>
      <c r="N154" s="42">
        <v>1</v>
      </c>
      <c r="O154">
        <v>1</v>
      </c>
    </row>
    <row r="155" spans="3:15" x14ac:dyDescent="0.15">
      <c r="C155" s="43" t="s">
        <v>211</v>
      </c>
      <c r="D155" s="42">
        <v>19</v>
      </c>
      <c r="E155" s="42">
        <v>28</v>
      </c>
      <c r="F155" s="42">
        <v>4</v>
      </c>
      <c r="G155" s="42">
        <v>0.3</v>
      </c>
      <c r="H155" s="42">
        <v>1</v>
      </c>
      <c r="I155" s="42">
        <v>0</v>
      </c>
      <c r="J155" s="42">
        <v>87</v>
      </c>
      <c r="K155" s="42">
        <v>0</v>
      </c>
      <c r="L155" s="42">
        <v>0</v>
      </c>
      <c r="M155" s="42">
        <v>0</v>
      </c>
      <c r="N155" s="42">
        <v>0</v>
      </c>
      <c r="O155">
        <v>0</v>
      </c>
    </row>
    <row r="156" spans="3:15" x14ac:dyDescent="0.15">
      <c r="C156" s="43" t="s">
        <v>212</v>
      </c>
      <c r="D156" s="42">
        <v>9</v>
      </c>
      <c r="E156" s="42">
        <v>191</v>
      </c>
      <c r="F156" s="42">
        <v>1</v>
      </c>
      <c r="G156" s="42">
        <v>4.8</v>
      </c>
      <c r="H156" s="42">
        <v>0</v>
      </c>
      <c r="I156" s="42">
        <v>0</v>
      </c>
      <c r="J156" s="42">
        <v>0</v>
      </c>
      <c r="K156" s="42">
        <v>0</v>
      </c>
      <c r="L156" s="42">
        <v>1</v>
      </c>
      <c r="M156" s="42">
        <v>1</v>
      </c>
      <c r="N156" s="42">
        <v>1</v>
      </c>
      <c r="O156">
        <v>1</v>
      </c>
    </row>
    <row r="157" spans="3:15" x14ac:dyDescent="0.15">
      <c r="C157" s="43" t="s">
        <v>213</v>
      </c>
      <c r="D157" s="42">
        <v>29</v>
      </c>
      <c r="E157" s="42">
        <v>98</v>
      </c>
      <c r="F157" s="42">
        <v>1</v>
      </c>
      <c r="G157" s="42">
        <v>0.1</v>
      </c>
      <c r="H157" s="42">
        <v>0</v>
      </c>
      <c r="I157" s="42">
        <v>0</v>
      </c>
      <c r="J157" s="42">
        <v>0</v>
      </c>
      <c r="K157" s="42">
        <v>0</v>
      </c>
      <c r="L157" s="42">
        <v>0</v>
      </c>
      <c r="M157" s="42">
        <v>0</v>
      </c>
      <c r="N157" s="42">
        <v>0</v>
      </c>
      <c r="O157">
        <v>0</v>
      </c>
    </row>
    <row r="158" spans="3:15" x14ac:dyDescent="0.15">
      <c r="C158" s="43" t="s">
        <v>214</v>
      </c>
      <c r="D158" s="42">
        <v>3</v>
      </c>
      <c r="E158" s="42">
        <v>175</v>
      </c>
      <c r="F158" s="42">
        <v>3</v>
      </c>
      <c r="G158" s="42">
        <v>3.3</v>
      </c>
      <c r="H158" s="42">
        <v>0</v>
      </c>
      <c r="I158" s="42">
        <v>0</v>
      </c>
      <c r="J158" s="42">
        <v>329</v>
      </c>
      <c r="K158" s="42">
        <v>0</v>
      </c>
      <c r="L158" s="42">
        <v>0</v>
      </c>
      <c r="M158" s="42">
        <v>1</v>
      </c>
      <c r="N158" s="42">
        <v>0</v>
      </c>
      <c r="O158">
        <v>1</v>
      </c>
    </row>
    <row r="159" spans="3:15" x14ac:dyDescent="0.15">
      <c r="C159" s="43" t="s">
        <v>215</v>
      </c>
      <c r="D159" s="42">
        <v>7</v>
      </c>
      <c r="E159" s="42">
        <v>83</v>
      </c>
      <c r="F159" s="42">
        <v>1</v>
      </c>
      <c r="G159" s="42">
        <v>2.6</v>
      </c>
      <c r="H159" s="42">
        <v>0</v>
      </c>
      <c r="I159" s="42">
        <v>1</v>
      </c>
      <c r="J159" s="42">
        <v>0</v>
      </c>
      <c r="K159" s="42">
        <v>1</v>
      </c>
      <c r="L159" s="42">
        <v>0</v>
      </c>
      <c r="M159" s="42">
        <v>0</v>
      </c>
      <c r="N159" s="42">
        <v>1</v>
      </c>
      <c r="O159">
        <v>0</v>
      </c>
    </row>
    <row r="160" spans="3:15" x14ac:dyDescent="0.15">
      <c r="C160" s="43" t="s">
        <v>216</v>
      </c>
      <c r="D160" s="42">
        <v>3</v>
      </c>
      <c r="E160" s="42">
        <v>110</v>
      </c>
      <c r="F160" s="42">
        <v>2</v>
      </c>
      <c r="G160" s="42">
        <v>0.2</v>
      </c>
      <c r="H160" s="42">
        <v>1</v>
      </c>
      <c r="I160" s="42">
        <v>0</v>
      </c>
      <c r="J160" s="42">
        <v>294</v>
      </c>
      <c r="K160" s="42">
        <v>1</v>
      </c>
      <c r="L160" s="42">
        <v>0</v>
      </c>
      <c r="M160" s="42">
        <v>0</v>
      </c>
      <c r="N160" s="42">
        <v>1</v>
      </c>
      <c r="O160">
        <v>0</v>
      </c>
    </row>
    <row r="161" spans="3:15" x14ac:dyDescent="0.15">
      <c r="C161" s="43" t="s">
        <v>217</v>
      </c>
      <c r="D161" s="42">
        <v>5</v>
      </c>
      <c r="E161" s="42">
        <v>184</v>
      </c>
      <c r="F161" s="42">
        <v>4</v>
      </c>
      <c r="G161" s="42">
        <v>3.4</v>
      </c>
      <c r="H161" s="42">
        <v>0</v>
      </c>
      <c r="I161" s="42">
        <v>1</v>
      </c>
      <c r="J161" s="42">
        <v>0</v>
      </c>
      <c r="K161" s="42">
        <v>0</v>
      </c>
      <c r="L161" s="42">
        <v>1</v>
      </c>
      <c r="M161" s="42">
        <v>1</v>
      </c>
      <c r="N161" s="42">
        <v>1</v>
      </c>
      <c r="O161">
        <v>1</v>
      </c>
    </row>
    <row r="162" spans="3:15" x14ac:dyDescent="0.15">
      <c r="C162" s="43" t="s">
        <v>218</v>
      </c>
      <c r="D162" s="42">
        <v>19</v>
      </c>
      <c r="E162" s="42">
        <v>99</v>
      </c>
      <c r="F162" s="42">
        <v>3</v>
      </c>
      <c r="G162" s="42">
        <v>3.5</v>
      </c>
      <c r="H162" s="42">
        <v>0</v>
      </c>
      <c r="I162" s="42">
        <v>0</v>
      </c>
      <c r="J162" s="42">
        <v>357</v>
      </c>
      <c r="K162" s="42">
        <v>0</v>
      </c>
      <c r="L162" s="42">
        <v>0</v>
      </c>
      <c r="M162" s="42">
        <v>0</v>
      </c>
      <c r="N162" s="42">
        <v>0</v>
      </c>
      <c r="O162">
        <v>1</v>
      </c>
    </row>
    <row r="163" spans="3:15" x14ac:dyDescent="0.15">
      <c r="C163" s="43" t="s">
        <v>219</v>
      </c>
      <c r="D163" s="42">
        <v>34</v>
      </c>
      <c r="E163" s="42">
        <v>102</v>
      </c>
      <c r="F163" s="42">
        <v>2</v>
      </c>
      <c r="G163" s="42">
        <v>2</v>
      </c>
      <c r="H163" s="42">
        <v>1</v>
      </c>
      <c r="I163" s="42">
        <v>0</v>
      </c>
      <c r="J163" s="42">
        <v>0</v>
      </c>
      <c r="K163" s="42">
        <v>0</v>
      </c>
      <c r="L163" s="42">
        <v>0</v>
      </c>
      <c r="M163" s="42">
        <v>1</v>
      </c>
      <c r="N163" s="42">
        <v>1</v>
      </c>
      <c r="O163">
        <v>0</v>
      </c>
    </row>
    <row r="164" spans="3:15" x14ac:dyDescent="0.15">
      <c r="C164" s="43" t="s">
        <v>220</v>
      </c>
      <c r="D164" s="42">
        <v>19</v>
      </c>
      <c r="E164" s="42">
        <v>82</v>
      </c>
      <c r="F164" s="42">
        <v>3</v>
      </c>
      <c r="G164" s="42">
        <v>2.6666666666666665</v>
      </c>
      <c r="H164" s="42">
        <v>0</v>
      </c>
      <c r="I164" s="42">
        <v>1</v>
      </c>
      <c r="J164" s="42">
        <v>0</v>
      </c>
      <c r="K164" s="42">
        <v>0</v>
      </c>
      <c r="L164" s="42">
        <v>0</v>
      </c>
      <c r="M164" s="42">
        <v>0</v>
      </c>
      <c r="N164" s="42">
        <v>0</v>
      </c>
      <c r="O164">
        <v>0</v>
      </c>
    </row>
    <row r="165" spans="3:15" x14ac:dyDescent="0.15">
      <c r="C165" s="43" t="s">
        <v>221</v>
      </c>
      <c r="D165" s="42">
        <v>13</v>
      </c>
      <c r="E165" s="42">
        <v>171</v>
      </c>
      <c r="F165" s="42">
        <v>2</v>
      </c>
      <c r="G165" s="42">
        <v>7.8</v>
      </c>
      <c r="H165" s="42">
        <v>1</v>
      </c>
      <c r="I165" s="42">
        <v>0</v>
      </c>
      <c r="J165" s="42">
        <v>0</v>
      </c>
      <c r="K165" s="42">
        <v>0</v>
      </c>
      <c r="L165" s="42">
        <v>0</v>
      </c>
      <c r="M165" s="42">
        <v>1</v>
      </c>
      <c r="N165" s="42">
        <v>0</v>
      </c>
      <c r="O165">
        <v>0</v>
      </c>
    </row>
    <row r="166" spans="3:15" x14ac:dyDescent="0.15">
      <c r="C166" s="43" t="s">
        <v>222</v>
      </c>
      <c r="D166" s="42">
        <v>26</v>
      </c>
      <c r="E166" s="42">
        <v>192</v>
      </c>
      <c r="F166" s="42">
        <v>2</v>
      </c>
      <c r="G166" s="42">
        <v>1.8</v>
      </c>
      <c r="H166" s="42">
        <v>0</v>
      </c>
      <c r="I166" s="42">
        <v>0</v>
      </c>
      <c r="J166" s="42">
        <v>301</v>
      </c>
      <c r="K166" s="42">
        <v>0</v>
      </c>
      <c r="L166" s="42">
        <v>1</v>
      </c>
      <c r="M166" s="42">
        <v>1</v>
      </c>
      <c r="N166" s="42">
        <v>1</v>
      </c>
      <c r="O166">
        <v>1</v>
      </c>
    </row>
    <row r="167" spans="3:15" x14ac:dyDescent="0.15">
      <c r="C167" s="43" t="s">
        <v>223</v>
      </c>
      <c r="D167" s="42">
        <v>7</v>
      </c>
      <c r="E167" s="42">
        <v>139</v>
      </c>
      <c r="F167" s="42">
        <v>1</v>
      </c>
      <c r="G167" s="42">
        <v>4</v>
      </c>
      <c r="H167" s="42">
        <v>0</v>
      </c>
      <c r="I167" s="42">
        <v>0</v>
      </c>
      <c r="J167" s="42">
        <v>106</v>
      </c>
      <c r="K167" s="42">
        <v>0</v>
      </c>
      <c r="L167" s="42">
        <v>1</v>
      </c>
      <c r="M167" s="42">
        <v>1</v>
      </c>
      <c r="N167" s="42">
        <v>1</v>
      </c>
      <c r="O167">
        <v>1</v>
      </c>
    </row>
    <row r="168" spans="3:15" x14ac:dyDescent="0.15">
      <c r="C168" s="43" t="s">
        <v>224</v>
      </c>
      <c r="D168" s="42">
        <v>41</v>
      </c>
      <c r="E168" s="42">
        <v>70</v>
      </c>
      <c r="F168" s="42">
        <v>3</v>
      </c>
      <c r="G168" s="42">
        <v>2.2000000000000002</v>
      </c>
      <c r="H168" s="42">
        <v>1</v>
      </c>
      <c r="I168" s="42">
        <v>0</v>
      </c>
      <c r="J168" s="42">
        <v>0</v>
      </c>
      <c r="K168" s="42">
        <v>0</v>
      </c>
      <c r="L168" s="42">
        <v>0</v>
      </c>
      <c r="M168" s="42">
        <v>0</v>
      </c>
      <c r="N168" s="42">
        <v>0</v>
      </c>
      <c r="O168">
        <v>0</v>
      </c>
    </row>
    <row r="169" spans="3:15" x14ac:dyDescent="0.15">
      <c r="C169" s="43" t="s">
        <v>225</v>
      </c>
      <c r="D169" s="42">
        <v>25</v>
      </c>
      <c r="E169" s="42">
        <v>195</v>
      </c>
      <c r="F169" s="42">
        <v>4</v>
      </c>
      <c r="G169" s="42">
        <v>3</v>
      </c>
      <c r="H169" s="42">
        <v>1</v>
      </c>
      <c r="I169" s="42">
        <v>0</v>
      </c>
      <c r="J169" s="42">
        <v>617</v>
      </c>
      <c r="K169" s="42">
        <v>0</v>
      </c>
      <c r="L169" s="42">
        <v>0</v>
      </c>
      <c r="M169" s="42">
        <v>0</v>
      </c>
      <c r="N169" s="42">
        <v>0</v>
      </c>
      <c r="O169">
        <v>1</v>
      </c>
    </row>
    <row r="170" spans="3:15" x14ac:dyDescent="0.15">
      <c r="C170" s="43" t="s">
        <v>226</v>
      </c>
      <c r="D170" s="42">
        <v>1</v>
      </c>
      <c r="E170" s="42">
        <v>13</v>
      </c>
      <c r="F170" s="42">
        <v>4</v>
      </c>
      <c r="G170" s="42">
        <v>1</v>
      </c>
      <c r="H170" s="42">
        <v>1</v>
      </c>
      <c r="I170" s="42">
        <v>0</v>
      </c>
      <c r="J170" s="42">
        <v>95</v>
      </c>
      <c r="K170" s="42">
        <v>0</v>
      </c>
      <c r="L170" s="42">
        <v>0</v>
      </c>
      <c r="M170" s="42">
        <v>0</v>
      </c>
      <c r="N170" s="42">
        <v>1</v>
      </c>
      <c r="O170">
        <v>0</v>
      </c>
    </row>
    <row r="171" spans="3:15" x14ac:dyDescent="0.15">
      <c r="C171" s="43" t="s">
        <v>227</v>
      </c>
      <c r="D171" s="42">
        <v>28</v>
      </c>
      <c r="E171" s="42">
        <v>170</v>
      </c>
      <c r="F171" s="42">
        <v>2</v>
      </c>
      <c r="G171" s="42">
        <v>6.2</v>
      </c>
      <c r="H171" s="42">
        <v>0</v>
      </c>
      <c r="I171" s="42">
        <v>1</v>
      </c>
      <c r="J171" s="42">
        <v>325</v>
      </c>
      <c r="K171" s="42">
        <v>0</v>
      </c>
      <c r="L171" s="42">
        <v>0</v>
      </c>
      <c r="M171" s="42">
        <v>1</v>
      </c>
      <c r="N171" s="42">
        <v>0</v>
      </c>
      <c r="O171">
        <v>1</v>
      </c>
    </row>
    <row r="172" spans="3:15" x14ac:dyDescent="0.15">
      <c r="C172" s="43" t="s">
        <v>228</v>
      </c>
      <c r="D172" s="42">
        <v>21</v>
      </c>
      <c r="E172" s="42">
        <v>132</v>
      </c>
      <c r="F172" s="42">
        <v>3</v>
      </c>
      <c r="G172" s="42">
        <v>1.2</v>
      </c>
      <c r="H172" s="42">
        <v>0</v>
      </c>
      <c r="I172" s="42">
        <v>1</v>
      </c>
      <c r="J172" s="42">
        <v>0</v>
      </c>
      <c r="K172" s="42">
        <v>0</v>
      </c>
      <c r="L172" s="42">
        <v>1</v>
      </c>
      <c r="M172" s="42">
        <v>1</v>
      </c>
      <c r="N172" s="42">
        <v>1</v>
      </c>
      <c r="O172">
        <v>1</v>
      </c>
    </row>
    <row r="173" spans="3:15" x14ac:dyDescent="0.15">
      <c r="C173" s="43" t="s">
        <v>229</v>
      </c>
      <c r="D173" s="42">
        <v>6</v>
      </c>
      <c r="E173" s="42">
        <v>168</v>
      </c>
      <c r="F173" s="42">
        <v>3</v>
      </c>
      <c r="G173" s="42">
        <v>5.666666666666667</v>
      </c>
      <c r="H173" s="42">
        <v>0</v>
      </c>
      <c r="I173" s="42">
        <v>1</v>
      </c>
      <c r="J173" s="42">
        <v>0</v>
      </c>
      <c r="K173" s="42">
        <v>1</v>
      </c>
      <c r="L173" s="42">
        <v>1</v>
      </c>
      <c r="M173" s="42">
        <v>1</v>
      </c>
      <c r="N173" s="42">
        <v>0</v>
      </c>
      <c r="O173">
        <v>1</v>
      </c>
    </row>
    <row r="174" spans="3:15" x14ac:dyDescent="0.15">
      <c r="C174" s="43" t="s">
        <v>230</v>
      </c>
      <c r="D174" s="42">
        <v>28</v>
      </c>
      <c r="E174" s="42">
        <v>51</v>
      </c>
      <c r="F174" s="42">
        <v>1</v>
      </c>
      <c r="G174" s="42">
        <v>1.6</v>
      </c>
      <c r="H174" s="42">
        <v>0</v>
      </c>
      <c r="I174" s="42">
        <v>0</v>
      </c>
      <c r="J174" s="42">
        <v>0</v>
      </c>
      <c r="K174" s="42">
        <v>1</v>
      </c>
      <c r="L174" s="42">
        <v>0</v>
      </c>
      <c r="M174" s="42">
        <v>0</v>
      </c>
      <c r="N174" s="42">
        <v>1</v>
      </c>
      <c r="O174">
        <v>0</v>
      </c>
    </row>
    <row r="175" spans="3:15" x14ac:dyDescent="0.15">
      <c r="C175" s="43" t="s">
        <v>231</v>
      </c>
      <c r="D175" s="42">
        <v>27</v>
      </c>
      <c r="E175" s="42">
        <v>20</v>
      </c>
      <c r="F175" s="42">
        <v>4</v>
      </c>
      <c r="G175" s="42">
        <v>0.5</v>
      </c>
      <c r="H175" s="42">
        <v>0</v>
      </c>
      <c r="I175" s="42">
        <v>1</v>
      </c>
      <c r="J175" s="42">
        <v>0</v>
      </c>
      <c r="K175" s="42">
        <v>0</v>
      </c>
      <c r="L175" s="42">
        <v>0</v>
      </c>
      <c r="M175" s="42">
        <v>1</v>
      </c>
      <c r="N175" s="42">
        <v>0</v>
      </c>
      <c r="O175">
        <v>0</v>
      </c>
    </row>
    <row r="176" spans="3:15" x14ac:dyDescent="0.15">
      <c r="C176" s="43" t="s">
        <v>232</v>
      </c>
      <c r="D176" s="42">
        <v>33</v>
      </c>
      <c r="E176" s="42">
        <v>34</v>
      </c>
      <c r="F176" s="42">
        <v>1</v>
      </c>
      <c r="G176" s="42">
        <v>1.5</v>
      </c>
      <c r="H176" s="42">
        <v>0</v>
      </c>
      <c r="I176" s="42">
        <v>0</v>
      </c>
      <c r="J176" s="42">
        <v>0</v>
      </c>
      <c r="K176" s="42">
        <v>0</v>
      </c>
      <c r="L176" s="42">
        <v>0</v>
      </c>
      <c r="M176" s="42">
        <v>1</v>
      </c>
      <c r="N176" s="42">
        <v>1</v>
      </c>
      <c r="O176">
        <v>0</v>
      </c>
    </row>
    <row r="177" spans="3:15" x14ac:dyDescent="0.15">
      <c r="C177" s="43" t="s">
        <v>233</v>
      </c>
      <c r="D177" s="42">
        <v>10</v>
      </c>
      <c r="E177" s="42">
        <v>179</v>
      </c>
      <c r="F177" s="42">
        <v>3</v>
      </c>
      <c r="G177" s="42">
        <v>6.6</v>
      </c>
      <c r="H177" s="42">
        <v>1</v>
      </c>
      <c r="I177" s="42">
        <v>0</v>
      </c>
      <c r="J177" s="42">
        <v>0</v>
      </c>
      <c r="K177" s="42">
        <v>0</v>
      </c>
      <c r="L177" s="42">
        <v>0</v>
      </c>
      <c r="M177" s="42">
        <v>1</v>
      </c>
      <c r="N177" s="42">
        <v>0</v>
      </c>
      <c r="O177">
        <v>1</v>
      </c>
    </row>
    <row r="178" spans="3:15" x14ac:dyDescent="0.15">
      <c r="C178" s="43" t="s">
        <v>234</v>
      </c>
      <c r="D178" s="42">
        <v>37</v>
      </c>
      <c r="E178" s="42">
        <v>124</v>
      </c>
      <c r="F178" s="42">
        <v>3</v>
      </c>
      <c r="G178" s="42">
        <v>5</v>
      </c>
      <c r="H178" s="42">
        <v>0</v>
      </c>
      <c r="I178" s="42">
        <v>1</v>
      </c>
      <c r="J178" s="42">
        <v>170</v>
      </c>
      <c r="K178" s="42">
        <v>0</v>
      </c>
      <c r="L178" s="42">
        <v>0</v>
      </c>
      <c r="M178" s="42">
        <v>0</v>
      </c>
      <c r="N178" s="42">
        <v>0</v>
      </c>
      <c r="O178">
        <v>1</v>
      </c>
    </row>
    <row r="179" spans="3:15" x14ac:dyDescent="0.15">
      <c r="C179" s="43" t="s">
        <v>235</v>
      </c>
      <c r="D179" s="42">
        <v>23</v>
      </c>
      <c r="E179" s="42">
        <v>173</v>
      </c>
      <c r="F179" s="42">
        <v>3</v>
      </c>
      <c r="G179" s="42">
        <v>0.2</v>
      </c>
      <c r="H179" s="42">
        <v>1</v>
      </c>
      <c r="I179" s="42">
        <v>0</v>
      </c>
      <c r="J179" s="42">
        <v>0</v>
      </c>
      <c r="K179" s="42">
        <v>0</v>
      </c>
      <c r="L179" s="42">
        <v>1</v>
      </c>
      <c r="M179" s="42">
        <v>1</v>
      </c>
      <c r="N179" s="42">
        <v>1</v>
      </c>
      <c r="O179">
        <v>1</v>
      </c>
    </row>
    <row r="180" spans="3:15" x14ac:dyDescent="0.15">
      <c r="C180" s="43" t="s">
        <v>236</v>
      </c>
      <c r="D180" s="42">
        <v>5</v>
      </c>
      <c r="E180" s="42">
        <v>125</v>
      </c>
      <c r="F180" s="42">
        <v>4</v>
      </c>
      <c r="G180" s="42">
        <v>0.5</v>
      </c>
      <c r="H180" s="42">
        <v>0</v>
      </c>
      <c r="I180" s="42">
        <v>0</v>
      </c>
      <c r="J180" s="42">
        <v>0</v>
      </c>
      <c r="K180" s="42">
        <v>0</v>
      </c>
      <c r="L180" s="42">
        <v>1</v>
      </c>
      <c r="M180" s="42">
        <v>1</v>
      </c>
      <c r="N180" s="42">
        <v>0</v>
      </c>
      <c r="O180">
        <v>1</v>
      </c>
    </row>
    <row r="181" spans="3:15" x14ac:dyDescent="0.15">
      <c r="C181" s="43" t="s">
        <v>237</v>
      </c>
      <c r="D181" s="42">
        <v>19</v>
      </c>
      <c r="E181" s="42">
        <v>174</v>
      </c>
      <c r="F181" s="42">
        <v>3</v>
      </c>
      <c r="G181" s="42">
        <v>1.7</v>
      </c>
      <c r="H181" s="42">
        <v>0</v>
      </c>
      <c r="I181" s="42">
        <v>0</v>
      </c>
      <c r="J181" s="42">
        <v>231</v>
      </c>
      <c r="K181" s="42">
        <v>0</v>
      </c>
      <c r="L181" s="42">
        <v>1</v>
      </c>
      <c r="M181" s="42">
        <v>1</v>
      </c>
      <c r="N181" s="42">
        <v>1</v>
      </c>
      <c r="O181">
        <v>1</v>
      </c>
    </row>
    <row r="182" spans="3:15" x14ac:dyDescent="0.15">
      <c r="C182" s="43" t="s">
        <v>238</v>
      </c>
      <c r="D182" s="42">
        <v>22</v>
      </c>
      <c r="E182" s="42">
        <v>152</v>
      </c>
      <c r="F182" s="42">
        <v>1</v>
      </c>
      <c r="G182" s="42">
        <v>3.5</v>
      </c>
      <c r="H182" s="42">
        <v>0</v>
      </c>
      <c r="I182" s="42">
        <v>0</v>
      </c>
      <c r="J182" s="42">
        <v>0</v>
      </c>
      <c r="K182" s="42">
        <v>0</v>
      </c>
      <c r="L182" s="42">
        <v>0</v>
      </c>
      <c r="M182" s="42">
        <v>1</v>
      </c>
      <c r="N182" s="42">
        <v>0</v>
      </c>
      <c r="O182">
        <v>1</v>
      </c>
    </row>
    <row r="183" spans="3:15" x14ac:dyDescent="0.15">
      <c r="C183" s="43" t="s">
        <v>239</v>
      </c>
      <c r="D183" s="42">
        <v>37</v>
      </c>
      <c r="E183" s="42">
        <v>45</v>
      </c>
      <c r="F183" s="42">
        <v>1</v>
      </c>
      <c r="G183" s="42">
        <v>0.8</v>
      </c>
      <c r="H183" s="42">
        <v>1</v>
      </c>
      <c r="I183" s="42">
        <v>0</v>
      </c>
      <c r="J183" s="42">
        <v>0</v>
      </c>
      <c r="K183" s="42">
        <v>0</v>
      </c>
      <c r="L183" s="42">
        <v>0</v>
      </c>
      <c r="M183" s="42">
        <v>0</v>
      </c>
      <c r="N183" s="42">
        <v>0</v>
      </c>
      <c r="O183">
        <v>0</v>
      </c>
    </row>
    <row r="184" spans="3:15" x14ac:dyDescent="0.15">
      <c r="C184" s="43" t="s">
        <v>240</v>
      </c>
      <c r="D184" s="42">
        <v>25</v>
      </c>
      <c r="E184" s="42">
        <v>181</v>
      </c>
      <c r="F184" s="42">
        <v>1</v>
      </c>
      <c r="G184" s="42">
        <v>3.3</v>
      </c>
      <c r="H184" s="42">
        <v>0</v>
      </c>
      <c r="I184" s="42">
        <v>0</v>
      </c>
      <c r="J184" s="42">
        <v>589</v>
      </c>
      <c r="K184" s="42">
        <v>1</v>
      </c>
      <c r="L184" s="42">
        <v>1</v>
      </c>
      <c r="M184" s="42">
        <v>1</v>
      </c>
      <c r="N184" s="42">
        <v>0</v>
      </c>
      <c r="O184">
        <v>1</v>
      </c>
    </row>
    <row r="185" spans="3:15" x14ac:dyDescent="0.15">
      <c r="C185" s="43" t="s">
        <v>241</v>
      </c>
      <c r="D185" s="42">
        <v>21</v>
      </c>
      <c r="E185" s="42">
        <v>80</v>
      </c>
      <c r="F185" s="42">
        <v>4</v>
      </c>
      <c r="G185" s="42">
        <v>0.4</v>
      </c>
      <c r="H185" s="42">
        <v>1</v>
      </c>
      <c r="I185" s="42">
        <v>0</v>
      </c>
      <c r="J185" s="42">
        <v>0</v>
      </c>
      <c r="K185" s="42">
        <v>0</v>
      </c>
      <c r="L185" s="42">
        <v>0</v>
      </c>
      <c r="M185" s="42">
        <v>1</v>
      </c>
      <c r="N185" s="42">
        <v>1</v>
      </c>
      <c r="O185">
        <v>0</v>
      </c>
    </row>
    <row r="186" spans="3:15" x14ac:dyDescent="0.15">
      <c r="C186" s="43" t="s">
        <v>242</v>
      </c>
      <c r="D186" s="42">
        <v>36</v>
      </c>
      <c r="E186" s="42">
        <v>184</v>
      </c>
      <c r="F186" s="42">
        <v>4</v>
      </c>
      <c r="G186" s="42">
        <v>2.2999999999999998</v>
      </c>
      <c r="H186" s="42">
        <v>0</v>
      </c>
      <c r="I186" s="42">
        <v>1</v>
      </c>
      <c r="J186" s="42">
        <v>342</v>
      </c>
      <c r="K186" s="42">
        <v>0</v>
      </c>
      <c r="L186" s="42">
        <v>1</v>
      </c>
      <c r="M186" s="42">
        <v>1</v>
      </c>
      <c r="N186" s="42">
        <v>1</v>
      </c>
      <c r="O186">
        <v>1</v>
      </c>
    </row>
    <row r="187" spans="3:15" x14ac:dyDescent="0.15">
      <c r="C187" s="43" t="s">
        <v>243</v>
      </c>
      <c r="D187" s="42">
        <v>16</v>
      </c>
      <c r="E187" s="42">
        <v>111</v>
      </c>
      <c r="F187" s="42">
        <v>2</v>
      </c>
      <c r="G187" s="42">
        <v>1.2</v>
      </c>
      <c r="H187" s="42">
        <v>0</v>
      </c>
      <c r="I187" s="42">
        <v>0</v>
      </c>
      <c r="J187" s="42">
        <v>251</v>
      </c>
      <c r="K187" s="42">
        <v>0</v>
      </c>
      <c r="L187" s="42">
        <v>0</v>
      </c>
      <c r="M187" s="42">
        <v>1</v>
      </c>
      <c r="N187" s="42">
        <v>0</v>
      </c>
      <c r="O187">
        <v>1</v>
      </c>
    </row>
    <row r="188" spans="3:15" x14ac:dyDescent="0.15">
      <c r="C188" s="43" t="s">
        <v>244</v>
      </c>
      <c r="D188" s="42">
        <v>25</v>
      </c>
      <c r="E188" s="42">
        <v>84</v>
      </c>
      <c r="F188" s="42">
        <v>1</v>
      </c>
      <c r="G188" s="42">
        <v>1.3</v>
      </c>
      <c r="H188" s="42">
        <v>0</v>
      </c>
      <c r="I188" s="42">
        <v>0</v>
      </c>
      <c r="J188" s="42">
        <v>0</v>
      </c>
      <c r="K188" s="42">
        <v>1</v>
      </c>
      <c r="L188" s="42">
        <v>0</v>
      </c>
      <c r="M188" s="42">
        <v>1</v>
      </c>
      <c r="N188" s="42">
        <v>0</v>
      </c>
      <c r="O188">
        <v>0</v>
      </c>
    </row>
    <row r="189" spans="3:15" x14ac:dyDescent="0.15">
      <c r="C189" s="43" t="s">
        <v>245</v>
      </c>
      <c r="D189" s="42">
        <v>32</v>
      </c>
      <c r="E189" s="42">
        <v>158</v>
      </c>
      <c r="F189" s="42">
        <v>3</v>
      </c>
      <c r="G189" s="42">
        <v>3.7</v>
      </c>
      <c r="H189" s="42">
        <v>0</v>
      </c>
      <c r="I189" s="42">
        <v>0</v>
      </c>
      <c r="J189" s="42">
        <v>0</v>
      </c>
      <c r="K189" s="42">
        <v>0</v>
      </c>
      <c r="L189" s="42">
        <v>0</v>
      </c>
      <c r="M189" s="42">
        <v>1</v>
      </c>
      <c r="N189" s="42">
        <v>0</v>
      </c>
      <c r="O189">
        <v>1</v>
      </c>
    </row>
    <row r="190" spans="3:15" x14ac:dyDescent="0.15">
      <c r="C190" s="43" t="s">
        <v>246</v>
      </c>
      <c r="D190" s="42">
        <v>24</v>
      </c>
      <c r="E190" s="42">
        <v>161</v>
      </c>
      <c r="F190" s="42">
        <v>3</v>
      </c>
      <c r="G190" s="42">
        <v>3.4</v>
      </c>
      <c r="H190" s="42">
        <v>1</v>
      </c>
      <c r="I190" s="42">
        <v>0</v>
      </c>
      <c r="J190" s="42">
        <v>212</v>
      </c>
      <c r="K190" s="42">
        <v>0</v>
      </c>
      <c r="L190" s="42">
        <v>0</v>
      </c>
      <c r="M190" s="42">
        <v>1</v>
      </c>
      <c r="N190" s="42">
        <v>0</v>
      </c>
      <c r="O190">
        <v>1</v>
      </c>
    </row>
    <row r="191" spans="3:15" x14ac:dyDescent="0.15">
      <c r="C191" s="43" t="s">
        <v>247</v>
      </c>
      <c r="D191" s="42">
        <v>27</v>
      </c>
      <c r="E191" s="42">
        <v>73</v>
      </c>
      <c r="F191" s="42">
        <v>1</v>
      </c>
      <c r="G191" s="42">
        <v>3</v>
      </c>
      <c r="H191" s="42">
        <v>0</v>
      </c>
      <c r="I191" s="42">
        <v>0</v>
      </c>
      <c r="J191" s="42">
        <v>0</v>
      </c>
      <c r="K191" s="42">
        <v>0</v>
      </c>
      <c r="L191" s="42">
        <v>0</v>
      </c>
      <c r="M191" s="42">
        <v>0</v>
      </c>
      <c r="N191" s="42">
        <v>0</v>
      </c>
      <c r="O191">
        <v>0</v>
      </c>
    </row>
    <row r="192" spans="3:15" x14ac:dyDescent="0.15">
      <c r="C192" s="43" t="s">
        <v>248</v>
      </c>
      <c r="D192" s="42">
        <v>6</v>
      </c>
      <c r="E192" s="42">
        <v>138</v>
      </c>
      <c r="F192" s="42">
        <v>1</v>
      </c>
      <c r="G192" s="42">
        <v>7</v>
      </c>
      <c r="H192" s="42">
        <v>0</v>
      </c>
      <c r="I192" s="42">
        <v>0</v>
      </c>
      <c r="J192" s="42">
        <v>86</v>
      </c>
      <c r="K192" s="42">
        <v>0</v>
      </c>
      <c r="L192" s="42">
        <v>0</v>
      </c>
      <c r="M192" s="42">
        <v>1</v>
      </c>
      <c r="N192" s="42">
        <v>0</v>
      </c>
      <c r="O192">
        <v>1</v>
      </c>
    </row>
    <row r="193" spans="3:15" x14ac:dyDescent="0.15">
      <c r="C193" s="43" t="s">
        <v>249</v>
      </c>
      <c r="D193" s="42">
        <v>6</v>
      </c>
      <c r="E193" s="42">
        <v>81</v>
      </c>
      <c r="F193" s="42">
        <v>1</v>
      </c>
      <c r="G193" s="42">
        <v>2.5</v>
      </c>
      <c r="H193" s="42">
        <v>1</v>
      </c>
      <c r="I193" s="42">
        <v>0</v>
      </c>
      <c r="J193" s="42">
        <v>0</v>
      </c>
      <c r="K193" s="42">
        <v>0</v>
      </c>
      <c r="L193" s="42">
        <v>0</v>
      </c>
      <c r="M193" s="42">
        <v>1</v>
      </c>
      <c r="N193" s="42">
        <v>0</v>
      </c>
      <c r="O193">
        <v>0</v>
      </c>
    </row>
    <row r="194" spans="3:15" x14ac:dyDescent="0.15">
      <c r="C194" s="43" t="s">
        <v>250</v>
      </c>
      <c r="D194" s="42">
        <v>18</v>
      </c>
      <c r="E194" s="42">
        <v>54</v>
      </c>
      <c r="F194" s="42">
        <v>4</v>
      </c>
      <c r="G194" s="42">
        <v>2.2000000000000002</v>
      </c>
      <c r="H194" s="42">
        <v>0</v>
      </c>
      <c r="I194" s="42">
        <v>1</v>
      </c>
      <c r="J194" s="42">
        <v>0</v>
      </c>
      <c r="K194" s="42">
        <v>0</v>
      </c>
      <c r="L194" s="42">
        <v>0</v>
      </c>
      <c r="M194" s="42">
        <v>0</v>
      </c>
      <c r="N194" s="42">
        <v>0</v>
      </c>
      <c r="O194">
        <v>0</v>
      </c>
    </row>
    <row r="195" spans="3:15" x14ac:dyDescent="0.15">
      <c r="C195" s="43" t="s">
        <v>251</v>
      </c>
      <c r="D195" s="42">
        <v>18</v>
      </c>
      <c r="E195" s="42">
        <v>128</v>
      </c>
      <c r="F195" s="42">
        <v>4</v>
      </c>
      <c r="G195" s="42">
        <v>5.3</v>
      </c>
      <c r="H195" s="42">
        <v>1</v>
      </c>
      <c r="I195" s="42">
        <v>0</v>
      </c>
      <c r="J195" s="42">
        <v>84</v>
      </c>
      <c r="K195" s="42">
        <v>0</v>
      </c>
      <c r="L195" s="42">
        <v>0</v>
      </c>
      <c r="M195" s="42">
        <v>0</v>
      </c>
      <c r="N195" s="42">
        <v>0</v>
      </c>
      <c r="O195">
        <v>1</v>
      </c>
    </row>
    <row r="196" spans="3:15" x14ac:dyDescent="0.15">
      <c r="C196" s="43" t="s">
        <v>252</v>
      </c>
      <c r="D196" s="42">
        <v>33</v>
      </c>
      <c r="E196" s="42">
        <v>61</v>
      </c>
      <c r="F196" s="42">
        <v>4</v>
      </c>
      <c r="G196" s="42">
        <v>1.7</v>
      </c>
      <c r="H196" s="42">
        <v>1</v>
      </c>
      <c r="I196" s="42">
        <v>0</v>
      </c>
      <c r="J196" s="42">
        <v>0</v>
      </c>
      <c r="K196" s="42">
        <v>0</v>
      </c>
      <c r="L196" s="42">
        <v>0</v>
      </c>
      <c r="M196" s="42">
        <v>0</v>
      </c>
      <c r="N196" s="42">
        <v>0</v>
      </c>
      <c r="O196">
        <v>0</v>
      </c>
    </row>
    <row r="197" spans="3:15" x14ac:dyDescent="0.15">
      <c r="C197" s="43" t="s">
        <v>253</v>
      </c>
      <c r="D197" s="42">
        <v>19</v>
      </c>
      <c r="E197" s="42">
        <v>170</v>
      </c>
      <c r="F197" s="42">
        <v>4</v>
      </c>
      <c r="G197" s="42">
        <v>4.25</v>
      </c>
      <c r="H197" s="42">
        <v>1</v>
      </c>
      <c r="I197" s="42">
        <v>0</v>
      </c>
      <c r="J197" s="42">
        <v>318</v>
      </c>
      <c r="K197" s="42">
        <v>0</v>
      </c>
      <c r="L197" s="42">
        <v>1</v>
      </c>
      <c r="M197" s="42">
        <v>1</v>
      </c>
      <c r="N197" s="42">
        <v>1</v>
      </c>
      <c r="O197">
        <v>1</v>
      </c>
    </row>
    <row r="198" spans="3:15" x14ac:dyDescent="0.15">
      <c r="C198" s="43" t="s">
        <v>254</v>
      </c>
      <c r="D198" s="42">
        <v>28</v>
      </c>
      <c r="E198" s="42">
        <v>178</v>
      </c>
      <c r="F198" s="42">
        <v>3</v>
      </c>
      <c r="G198" s="42">
        <v>5.4</v>
      </c>
      <c r="H198" s="42">
        <v>0</v>
      </c>
      <c r="I198" s="42">
        <v>0</v>
      </c>
      <c r="J198" s="42">
        <v>147</v>
      </c>
      <c r="K198" s="42">
        <v>0</v>
      </c>
      <c r="L198" s="42">
        <v>0</v>
      </c>
      <c r="M198" s="42">
        <v>1</v>
      </c>
      <c r="N198" s="42">
        <v>0</v>
      </c>
      <c r="O198">
        <v>1</v>
      </c>
    </row>
    <row r="199" spans="3:15" x14ac:dyDescent="0.15">
      <c r="C199" s="43" t="s">
        <v>255</v>
      </c>
      <c r="D199" s="42">
        <v>39</v>
      </c>
      <c r="E199" s="42">
        <v>184</v>
      </c>
      <c r="F199" s="42">
        <v>1</v>
      </c>
      <c r="G199" s="42">
        <v>5.4</v>
      </c>
      <c r="H199" s="42">
        <v>0</v>
      </c>
      <c r="I199" s="42">
        <v>0</v>
      </c>
      <c r="J199" s="42">
        <v>176</v>
      </c>
      <c r="K199" s="42">
        <v>0</v>
      </c>
      <c r="L199" s="42">
        <v>1</v>
      </c>
      <c r="M199" s="42">
        <v>1</v>
      </c>
      <c r="N199" s="42">
        <v>1</v>
      </c>
      <c r="O199">
        <v>1</v>
      </c>
    </row>
    <row r="200" spans="3:15" x14ac:dyDescent="0.15">
      <c r="C200" s="43" t="s">
        <v>256</v>
      </c>
      <c r="D200" s="42">
        <v>32</v>
      </c>
      <c r="E200" s="42">
        <v>103</v>
      </c>
      <c r="F200" s="42">
        <v>3</v>
      </c>
      <c r="G200" s="42">
        <v>4</v>
      </c>
      <c r="H200" s="42">
        <v>0</v>
      </c>
      <c r="I200" s="42">
        <v>0</v>
      </c>
      <c r="J200" s="42">
        <v>0</v>
      </c>
      <c r="K200" s="42">
        <v>0</v>
      </c>
      <c r="L200" s="42">
        <v>0</v>
      </c>
      <c r="M200" s="42">
        <v>0</v>
      </c>
      <c r="N200" s="42">
        <v>0</v>
      </c>
      <c r="O200">
        <v>1</v>
      </c>
    </row>
    <row r="201" spans="3:15" x14ac:dyDescent="0.15">
      <c r="C201" s="43" t="s">
        <v>257</v>
      </c>
      <c r="D201" s="42">
        <v>12</v>
      </c>
      <c r="E201" s="42">
        <v>138</v>
      </c>
      <c r="F201" s="42">
        <v>1</v>
      </c>
      <c r="G201" s="42">
        <v>4.666666666666667</v>
      </c>
      <c r="H201" s="42">
        <v>0</v>
      </c>
      <c r="I201" s="42">
        <v>1</v>
      </c>
      <c r="J201" s="42">
        <v>0</v>
      </c>
      <c r="K201" s="42">
        <v>0</v>
      </c>
      <c r="L201" s="42">
        <v>0</v>
      </c>
      <c r="M201" s="42">
        <v>1</v>
      </c>
      <c r="N201" s="42">
        <v>0</v>
      </c>
      <c r="O201">
        <v>1</v>
      </c>
    </row>
    <row r="202" spans="3:15" x14ac:dyDescent="0.15">
      <c r="C202" s="43" t="s">
        <v>258</v>
      </c>
      <c r="D202" s="42">
        <v>11</v>
      </c>
      <c r="E202" s="42">
        <v>158</v>
      </c>
      <c r="F202" s="42">
        <v>1</v>
      </c>
      <c r="G202" s="42">
        <v>5.0999999999999996</v>
      </c>
      <c r="H202" s="42">
        <v>0</v>
      </c>
      <c r="I202" s="42">
        <v>0</v>
      </c>
      <c r="J202" s="42">
        <v>0</v>
      </c>
      <c r="K202" s="42">
        <v>0</v>
      </c>
      <c r="L202" s="42">
        <v>1</v>
      </c>
      <c r="M202" s="42">
        <v>1</v>
      </c>
      <c r="N202" s="42">
        <v>1</v>
      </c>
      <c r="O202">
        <v>1</v>
      </c>
    </row>
    <row r="203" spans="3:15" x14ac:dyDescent="0.15">
      <c r="C203" s="43" t="s">
        <v>259</v>
      </c>
      <c r="D203" s="42">
        <v>8</v>
      </c>
      <c r="E203" s="42">
        <v>200</v>
      </c>
      <c r="F203" s="42">
        <v>2</v>
      </c>
      <c r="G203" s="42">
        <v>6.5</v>
      </c>
      <c r="H203" s="42">
        <v>1</v>
      </c>
      <c r="I203" s="42">
        <v>0</v>
      </c>
      <c r="J203" s="42">
        <v>565</v>
      </c>
      <c r="K203" s="42">
        <v>0</v>
      </c>
      <c r="L203" s="42">
        <v>0</v>
      </c>
      <c r="M203" s="42">
        <v>1</v>
      </c>
      <c r="N203" s="42">
        <v>0</v>
      </c>
      <c r="O203">
        <v>0</v>
      </c>
    </row>
    <row r="204" spans="3:15" x14ac:dyDescent="0.15">
      <c r="C204" s="43" t="s">
        <v>260</v>
      </c>
      <c r="D204" s="42">
        <v>30</v>
      </c>
      <c r="E204" s="42">
        <v>32</v>
      </c>
      <c r="F204" s="42">
        <v>2</v>
      </c>
      <c r="G204" s="42">
        <v>0.4</v>
      </c>
      <c r="H204" s="42">
        <v>0</v>
      </c>
      <c r="I204" s="42">
        <v>0</v>
      </c>
      <c r="J204" s="42">
        <v>0</v>
      </c>
      <c r="K204" s="42">
        <v>0</v>
      </c>
      <c r="L204" s="42">
        <v>0</v>
      </c>
      <c r="M204" s="42">
        <v>1</v>
      </c>
      <c r="N204" s="42">
        <v>0</v>
      </c>
      <c r="O204">
        <v>0</v>
      </c>
    </row>
    <row r="205" spans="3:15" x14ac:dyDescent="0.15">
      <c r="C205" s="43" t="s">
        <v>261</v>
      </c>
      <c r="D205" s="42">
        <v>3</v>
      </c>
      <c r="E205" s="42">
        <v>65</v>
      </c>
      <c r="F205" s="42">
        <v>4</v>
      </c>
      <c r="G205" s="42">
        <v>1.8</v>
      </c>
      <c r="H205" s="42">
        <v>0</v>
      </c>
      <c r="I205" s="42">
        <v>1</v>
      </c>
      <c r="J205" s="42">
        <v>244</v>
      </c>
      <c r="K205" s="42">
        <v>0</v>
      </c>
      <c r="L205" s="42">
        <v>0</v>
      </c>
      <c r="M205" s="42">
        <v>0</v>
      </c>
      <c r="N205" s="42">
        <v>0</v>
      </c>
      <c r="O205">
        <v>0</v>
      </c>
    </row>
    <row r="206" spans="3:15" x14ac:dyDescent="0.15">
      <c r="C206" s="43" t="s">
        <v>262</v>
      </c>
      <c r="D206" s="42">
        <v>19</v>
      </c>
      <c r="E206" s="42">
        <v>71</v>
      </c>
      <c r="F206" s="42">
        <v>3</v>
      </c>
      <c r="G206" s="42">
        <v>0.3</v>
      </c>
      <c r="H206" s="42">
        <v>0</v>
      </c>
      <c r="I206" s="42">
        <v>0</v>
      </c>
      <c r="J206" s="42">
        <v>0</v>
      </c>
      <c r="K206" s="42">
        <v>0</v>
      </c>
      <c r="L206" s="42">
        <v>0</v>
      </c>
      <c r="M206" s="42">
        <v>0</v>
      </c>
      <c r="N206" s="42">
        <v>1</v>
      </c>
      <c r="O206">
        <v>0</v>
      </c>
    </row>
    <row r="207" spans="3:15" x14ac:dyDescent="0.15">
      <c r="C207" s="43" t="s">
        <v>263</v>
      </c>
      <c r="D207" s="42">
        <v>6</v>
      </c>
      <c r="E207" s="42">
        <v>191</v>
      </c>
      <c r="F207" s="42">
        <v>2</v>
      </c>
      <c r="G207" s="42">
        <v>4.4000000000000004</v>
      </c>
      <c r="H207" s="42">
        <v>0</v>
      </c>
      <c r="I207" s="42">
        <v>1</v>
      </c>
      <c r="J207" s="42">
        <v>0</v>
      </c>
      <c r="K207" s="42">
        <v>0</v>
      </c>
      <c r="L207" s="42">
        <v>0</v>
      </c>
      <c r="M207" s="42">
        <v>1</v>
      </c>
      <c r="N207" s="42">
        <v>0</v>
      </c>
      <c r="O207">
        <v>1</v>
      </c>
    </row>
    <row r="208" spans="3:15" x14ac:dyDescent="0.15">
      <c r="C208" s="43" t="s">
        <v>264</v>
      </c>
      <c r="D208" s="42">
        <v>28</v>
      </c>
      <c r="E208" s="42">
        <v>33</v>
      </c>
      <c r="F208" s="42">
        <v>2</v>
      </c>
      <c r="G208" s="42">
        <v>0.7</v>
      </c>
      <c r="H208" s="42">
        <v>0</v>
      </c>
      <c r="I208" s="42">
        <v>1</v>
      </c>
      <c r="J208" s="42">
        <v>0</v>
      </c>
      <c r="K208" s="42">
        <v>0</v>
      </c>
      <c r="L208" s="42">
        <v>0</v>
      </c>
      <c r="M208" s="42">
        <v>0</v>
      </c>
      <c r="N208" s="42">
        <v>1</v>
      </c>
      <c r="O208">
        <v>0</v>
      </c>
    </row>
    <row r="209" spans="3:15" x14ac:dyDescent="0.15">
      <c r="C209" s="43" t="s">
        <v>265</v>
      </c>
      <c r="D209" s="42">
        <v>4</v>
      </c>
      <c r="E209" s="42">
        <v>63</v>
      </c>
      <c r="F209" s="42">
        <v>4</v>
      </c>
      <c r="G209" s="42">
        <v>2.2000000000000002</v>
      </c>
      <c r="H209" s="42">
        <v>0</v>
      </c>
      <c r="I209" s="42">
        <v>1</v>
      </c>
      <c r="J209" s="42">
        <v>0</v>
      </c>
      <c r="K209" s="42">
        <v>1</v>
      </c>
      <c r="L209" s="42">
        <v>0</v>
      </c>
      <c r="M209" s="42">
        <v>1</v>
      </c>
      <c r="N209" s="42">
        <v>0</v>
      </c>
      <c r="O209">
        <v>0</v>
      </c>
    </row>
    <row r="210" spans="3:15" x14ac:dyDescent="0.15">
      <c r="C210" s="43" t="s">
        <v>266</v>
      </c>
      <c r="D210" s="42">
        <v>18</v>
      </c>
      <c r="E210" s="42">
        <v>182</v>
      </c>
      <c r="F210" s="42">
        <v>4</v>
      </c>
      <c r="G210" s="42">
        <v>6</v>
      </c>
      <c r="H210" s="42">
        <v>0</v>
      </c>
      <c r="I210" s="42">
        <v>0</v>
      </c>
      <c r="J210" s="42">
        <v>0</v>
      </c>
      <c r="K210" s="42">
        <v>0</v>
      </c>
      <c r="L210" s="42">
        <v>0</v>
      </c>
      <c r="M210" s="42">
        <v>1</v>
      </c>
      <c r="N210" s="42">
        <v>0</v>
      </c>
      <c r="O210">
        <v>1</v>
      </c>
    </row>
    <row r="211" spans="3:15" x14ac:dyDescent="0.15">
      <c r="C211" s="43" t="s">
        <v>267</v>
      </c>
      <c r="D211" s="42">
        <v>14</v>
      </c>
      <c r="E211" s="42">
        <v>74</v>
      </c>
      <c r="F211" s="42">
        <v>3</v>
      </c>
      <c r="G211" s="42">
        <v>2.3333333333333335</v>
      </c>
      <c r="H211" s="42">
        <v>0</v>
      </c>
      <c r="I211" s="42">
        <v>1</v>
      </c>
      <c r="J211" s="42">
        <v>0</v>
      </c>
      <c r="K211" s="42">
        <v>0</v>
      </c>
      <c r="L211" s="42">
        <v>0</v>
      </c>
      <c r="M211" s="42">
        <v>1</v>
      </c>
      <c r="N211" s="42">
        <v>0</v>
      </c>
      <c r="O211">
        <v>0</v>
      </c>
    </row>
    <row r="212" spans="3:15" x14ac:dyDescent="0.15">
      <c r="C212" s="43" t="s">
        <v>268</v>
      </c>
      <c r="D212" s="42">
        <v>41</v>
      </c>
      <c r="E212" s="42">
        <v>134</v>
      </c>
      <c r="F212" s="42">
        <v>3</v>
      </c>
      <c r="G212" s="42">
        <v>3.9</v>
      </c>
      <c r="H212" s="42">
        <v>0</v>
      </c>
      <c r="I212" s="42">
        <v>0</v>
      </c>
      <c r="J212" s="42">
        <v>121</v>
      </c>
      <c r="K212" s="42">
        <v>0</v>
      </c>
      <c r="L212" s="42">
        <v>0</v>
      </c>
      <c r="M212" s="42">
        <v>1</v>
      </c>
      <c r="N212" s="42">
        <v>0</v>
      </c>
      <c r="O212">
        <v>1</v>
      </c>
    </row>
    <row r="213" spans="3:15" x14ac:dyDescent="0.15">
      <c r="C213" s="43" t="s">
        <v>269</v>
      </c>
      <c r="D213" s="42">
        <v>41</v>
      </c>
      <c r="E213" s="42">
        <v>185</v>
      </c>
      <c r="F213" s="42">
        <v>3</v>
      </c>
      <c r="G213" s="42">
        <v>2</v>
      </c>
      <c r="H213" s="42">
        <v>0</v>
      </c>
      <c r="I213" s="42">
        <v>1</v>
      </c>
      <c r="J213" s="42">
        <v>0</v>
      </c>
      <c r="K213" s="42">
        <v>0</v>
      </c>
      <c r="L213" s="42">
        <v>0</v>
      </c>
      <c r="M213" s="42">
        <v>0</v>
      </c>
      <c r="N213" s="42">
        <v>0</v>
      </c>
      <c r="O213">
        <v>1</v>
      </c>
    </row>
    <row r="214" spans="3:15" x14ac:dyDescent="0.15">
      <c r="C214" s="43" t="s">
        <v>270</v>
      </c>
      <c r="D214" s="42">
        <v>3</v>
      </c>
      <c r="E214" s="42">
        <v>190</v>
      </c>
      <c r="F214" s="42">
        <v>2</v>
      </c>
      <c r="G214" s="42">
        <v>4.5</v>
      </c>
      <c r="H214" s="42">
        <v>1</v>
      </c>
      <c r="I214" s="42">
        <v>0</v>
      </c>
      <c r="J214" s="42">
        <v>0</v>
      </c>
      <c r="K214" s="42">
        <v>0</v>
      </c>
      <c r="L214" s="42">
        <v>0</v>
      </c>
      <c r="M214" s="42">
        <v>1</v>
      </c>
      <c r="N214" s="42">
        <v>0</v>
      </c>
      <c r="O214">
        <v>0</v>
      </c>
    </row>
    <row r="215" spans="3:15" x14ac:dyDescent="0.15">
      <c r="C215" s="43" t="s">
        <v>271</v>
      </c>
      <c r="D215" s="42">
        <v>32</v>
      </c>
      <c r="E215" s="42">
        <v>113</v>
      </c>
      <c r="F215" s="42">
        <v>2</v>
      </c>
      <c r="G215" s="42">
        <v>3.8</v>
      </c>
      <c r="H215" s="42">
        <v>0</v>
      </c>
      <c r="I215" s="42">
        <v>1</v>
      </c>
      <c r="J215" s="42">
        <v>119</v>
      </c>
      <c r="K215" s="42">
        <v>0</v>
      </c>
      <c r="L215" s="42">
        <v>1</v>
      </c>
      <c r="M215" s="42">
        <v>1</v>
      </c>
      <c r="N215" s="42">
        <v>1</v>
      </c>
      <c r="O215">
        <v>1</v>
      </c>
    </row>
    <row r="216" spans="3:15" x14ac:dyDescent="0.15">
      <c r="C216" s="43" t="s">
        <v>272</v>
      </c>
      <c r="D216" s="42">
        <v>24</v>
      </c>
      <c r="E216" s="42">
        <v>79</v>
      </c>
      <c r="F216" s="42">
        <v>1</v>
      </c>
      <c r="G216" s="42">
        <v>0.3</v>
      </c>
      <c r="H216" s="42">
        <v>1</v>
      </c>
      <c r="I216" s="42">
        <v>0</v>
      </c>
      <c r="J216" s="42">
        <v>120</v>
      </c>
      <c r="K216" s="42">
        <v>0</v>
      </c>
      <c r="L216" s="42">
        <v>0</v>
      </c>
      <c r="M216" s="42">
        <v>1</v>
      </c>
      <c r="N216" s="42">
        <v>0</v>
      </c>
      <c r="O216">
        <v>0</v>
      </c>
    </row>
    <row r="217" spans="3:15" x14ac:dyDescent="0.15">
      <c r="C217" s="43" t="s">
        <v>273</v>
      </c>
      <c r="D217" s="42">
        <v>1</v>
      </c>
      <c r="E217" s="42">
        <v>60</v>
      </c>
      <c r="F217" s="42">
        <v>4</v>
      </c>
      <c r="G217" s="42">
        <v>4</v>
      </c>
      <c r="H217" s="42">
        <v>0</v>
      </c>
      <c r="I217" s="42">
        <v>0</v>
      </c>
      <c r="J217" s="42">
        <v>244</v>
      </c>
      <c r="K217" s="42">
        <v>0</v>
      </c>
      <c r="L217" s="42">
        <v>0</v>
      </c>
      <c r="M217" s="42">
        <v>0</v>
      </c>
      <c r="N217" s="42">
        <v>0</v>
      </c>
      <c r="O217">
        <v>0</v>
      </c>
    </row>
    <row r="218" spans="3:15" x14ac:dyDescent="0.15">
      <c r="C218" s="43" t="s">
        <v>274</v>
      </c>
      <c r="D218" s="42">
        <v>3</v>
      </c>
      <c r="E218" s="42">
        <v>172</v>
      </c>
      <c r="F218" s="42">
        <v>3</v>
      </c>
      <c r="G218" s="42">
        <v>3.4</v>
      </c>
      <c r="H218" s="42">
        <v>0</v>
      </c>
      <c r="I218" s="42">
        <v>1</v>
      </c>
      <c r="J218" s="42">
        <v>0</v>
      </c>
      <c r="K218" s="42">
        <v>0</v>
      </c>
      <c r="L218" s="42">
        <v>0</v>
      </c>
      <c r="M218" s="42">
        <v>0</v>
      </c>
      <c r="N218" s="42">
        <v>1</v>
      </c>
      <c r="O218">
        <v>1</v>
      </c>
    </row>
    <row r="219" spans="3:15" x14ac:dyDescent="0.15">
      <c r="C219" s="43" t="s">
        <v>275</v>
      </c>
      <c r="D219" s="42">
        <v>30</v>
      </c>
      <c r="E219" s="42">
        <v>29</v>
      </c>
      <c r="F219" s="42">
        <v>3</v>
      </c>
      <c r="G219" s="42">
        <v>0.1</v>
      </c>
      <c r="H219" s="42">
        <v>0</v>
      </c>
      <c r="I219" s="42">
        <v>1</v>
      </c>
      <c r="J219" s="42">
        <v>0</v>
      </c>
      <c r="K219" s="42">
        <v>1</v>
      </c>
      <c r="L219" s="42">
        <v>1</v>
      </c>
      <c r="M219" s="42">
        <v>1</v>
      </c>
      <c r="N219" s="42">
        <v>0</v>
      </c>
      <c r="O219">
        <v>0</v>
      </c>
    </row>
    <row r="220" spans="3:15" x14ac:dyDescent="0.15">
      <c r="C220" s="43" t="s">
        <v>276</v>
      </c>
      <c r="D220" s="42">
        <v>38</v>
      </c>
      <c r="E220" s="42">
        <v>154</v>
      </c>
      <c r="F220" s="42">
        <v>1</v>
      </c>
      <c r="G220" s="42">
        <v>2.9</v>
      </c>
      <c r="H220" s="42">
        <v>1</v>
      </c>
      <c r="I220" s="42">
        <v>0</v>
      </c>
      <c r="J220" s="42">
        <v>0</v>
      </c>
      <c r="K220" s="42">
        <v>0</v>
      </c>
      <c r="L220" s="42">
        <v>0</v>
      </c>
      <c r="M220" s="42">
        <v>1</v>
      </c>
      <c r="N220" s="42">
        <v>0</v>
      </c>
      <c r="O220">
        <v>0</v>
      </c>
    </row>
    <row r="221" spans="3:15" x14ac:dyDescent="0.15">
      <c r="C221" s="43" t="s">
        <v>277</v>
      </c>
      <c r="D221" s="42">
        <v>36</v>
      </c>
      <c r="E221" s="42">
        <v>63</v>
      </c>
      <c r="F221" s="42">
        <v>1</v>
      </c>
      <c r="G221" s="42">
        <v>2.5</v>
      </c>
      <c r="H221" s="42">
        <v>0</v>
      </c>
      <c r="I221" s="42">
        <v>0</v>
      </c>
      <c r="J221" s="42">
        <v>0</v>
      </c>
      <c r="K221" s="42">
        <v>0</v>
      </c>
      <c r="L221" s="42">
        <v>0</v>
      </c>
      <c r="M221" s="42">
        <v>0</v>
      </c>
      <c r="N221" s="42">
        <v>0</v>
      </c>
      <c r="O221">
        <v>0</v>
      </c>
    </row>
    <row r="222" spans="3:15" x14ac:dyDescent="0.15">
      <c r="C222" s="43" t="s">
        <v>278</v>
      </c>
      <c r="D222" s="42">
        <v>6</v>
      </c>
      <c r="E222" s="42">
        <v>120</v>
      </c>
      <c r="F222" s="42">
        <v>4</v>
      </c>
      <c r="G222" s="42">
        <v>5.4</v>
      </c>
      <c r="H222" s="42">
        <v>1</v>
      </c>
      <c r="I222" s="42">
        <v>0</v>
      </c>
      <c r="J222" s="42">
        <v>301</v>
      </c>
      <c r="K222" s="42">
        <v>0</v>
      </c>
      <c r="L222" s="42">
        <v>1</v>
      </c>
      <c r="M222" s="42">
        <v>1</v>
      </c>
      <c r="N222" s="42">
        <v>1</v>
      </c>
      <c r="O222">
        <v>1</v>
      </c>
    </row>
    <row r="223" spans="3:15" x14ac:dyDescent="0.15">
      <c r="C223" s="43" t="s">
        <v>279</v>
      </c>
      <c r="D223" s="42">
        <v>16</v>
      </c>
      <c r="E223" s="42">
        <v>19</v>
      </c>
      <c r="F223" s="42">
        <v>4</v>
      </c>
      <c r="G223" s="42">
        <v>0.4</v>
      </c>
      <c r="H223" s="42">
        <v>0</v>
      </c>
      <c r="I223" s="42">
        <v>1</v>
      </c>
      <c r="J223" s="42">
        <v>0</v>
      </c>
      <c r="K223" s="42">
        <v>0</v>
      </c>
      <c r="L223" s="42">
        <v>0</v>
      </c>
      <c r="M223" s="42">
        <v>1</v>
      </c>
      <c r="N223" s="42">
        <v>1</v>
      </c>
      <c r="O223">
        <v>0</v>
      </c>
    </row>
    <row r="224" spans="3:15" x14ac:dyDescent="0.15">
      <c r="C224" s="43" t="s">
        <v>280</v>
      </c>
      <c r="D224" s="42">
        <v>0</v>
      </c>
      <c r="E224" s="42">
        <v>134</v>
      </c>
      <c r="F224" s="42">
        <v>4</v>
      </c>
      <c r="G224" s="42">
        <v>6.5</v>
      </c>
      <c r="H224" s="42">
        <v>0</v>
      </c>
      <c r="I224" s="42">
        <v>0</v>
      </c>
      <c r="J224" s="42">
        <v>0</v>
      </c>
      <c r="K224" s="42">
        <v>0</v>
      </c>
      <c r="L224" s="42">
        <v>0</v>
      </c>
      <c r="M224" s="42">
        <v>0</v>
      </c>
      <c r="N224" s="42">
        <v>0</v>
      </c>
      <c r="O224">
        <v>1</v>
      </c>
    </row>
    <row r="225" spans="3:15" x14ac:dyDescent="0.15">
      <c r="C225" s="43" t="s">
        <v>281</v>
      </c>
      <c r="D225" s="42">
        <v>34</v>
      </c>
      <c r="E225" s="42">
        <v>54</v>
      </c>
      <c r="F225" s="42">
        <v>3</v>
      </c>
      <c r="G225" s="42">
        <v>0.3</v>
      </c>
      <c r="H225" s="42">
        <v>0</v>
      </c>
      <c r="I225" s="42">
        <v>1</v>
      </c>
      <c r="J225" s="42">
        <v>0</v>
      </c>
      <c r="K225" s="42">
        <v>0</v>
      </c>
      <c r="L225" s="42">
        <v>0</v>
      </c>
      <c r="M225" s="42">
        <v>1</v>
      </c>
      <c r="N225" s="42">
        <v>1</v>
      </c>
      <c r="O225">
        <v>0</v>
      </c>
    </row>
    <row r="226" spans="3:15" x14ac:dyDescent="0.15">
      <c r="C226" s="43" t="s">
        <v>282</v>
      </c>
      <c r="D226" s="42">
        <v>30</v>
      </c>
      <c r="E226" s="42">
        <v>122</v>
      </c>
      <c r="F226" s="42">
        <v>2</v>
      </c>
      <c r="G226" s="42">
        <v>0.5</v>
      </c>
      <c r="H226" s="42">
        <v>1</v>
      </c>
      <c r="I226" s="42">
        <v>0</v>
      </c>
      <c r="J226" s="42">
        <v>0</v>
      </c>
      <c r="K226" s="42">
        <v>0</v>
      </c>
      <c r="L226" s="42">
        <v>0</v>
      </c>
      <c r="M226" s="42">
        <v>0</v>
      </c>
      <c r="N226" s="42">
        <v>1</v>
      </c>
      <c r="O226">
        <v>0</v>
      </c>
    </row>
    <row r="227" spans="3:15" x14ac:dyDescent="0.15">
      <c r="C227" s="43" t="s">
        <v>283</v>
      </c>
      <c r="D227" s="42">
        <v>3</v>
      </c>
      <c r="E227" s="42">
        <v>150</v>
      </c>
      <c r="F227" s="42">
        <v>4</v>
      </c>
      <c r="G227" s="42">
        <v>5</v>
      </c>
      <c r="H227" s="42">
        <v>0</v>
      </c>
      <c r="I227" s="42">
        <v>1</v>
      </c>
      <c r="J227" s="42">
        <v>0</v>
      </c>
      <c r="K227" s="42">
        <v>0</v>
      </c>
      <c r="L227" s="42">
        <v>0</v>
      </c>
      <c r="M227" s="42">
        <v>1</v>
      </c>
      <c r="N227" s="42">
        <v>0</v>
      </c>
      <c r="O227">
        <v>1</v>
      </c>
    </row>
    <row r="228" spans="3:15" x14ac:dyDescent="0.15">
      <c r="C228" s="43" t="s">
        <v>284</v>
      </c>
      <c r="D228" s="42">
        <v>30</v>
      </c>
      <c r="E228" s="42">
        <v>145</v>
      </c>
      <c r="F228" s="42">
        <v>4</v>
      </c>
      <c r="G228" s="42">
        <v>5.7</v>
      </c>
      <c r="H228" s="42">
        <v>0</v>
      </c>
      <c r="I228" s="42">
        <v>1</v>
      </c>
      <c r="J228" s="42">
        <v>0</v>
      </c>
      <c r="K228" s="42">
        <v>0</v>
      </c>
      <c r="L228" s="42">
        <v>1</v>
      </c>
      <c r="M228" s="42">
        <v>1</v>
      </c>
      <c r="N228" s="42">
        <v>1</v>
      </c>
      <c r="O228">
        <v>1</v>
      </c>
    </row>
    <row r="229" spans="3:15" x14ac:dyDescent="0.15">
      <c r="C229" s="43" t="s">
        <v>285</v>
      </c>
      <c r="D229" s="42">
        <v>20</v>
      </c>
      <c r="E229" s="42">
        <v>185</v>
      </c>
      <c r="F229" s="42">
        <v>3</v>
      </c>
      <c r="G229" s="42">
        <v>2.7</v>
      </c>
      <c r="H229" s="42">
        <v>1</v>
      </c>
      <c r="I229" s="42">
        <v>0</v>
      </c>
      <c r="J229" s="42">
        <v>0</v>
      </c>
      <c r="K229" s="42">
        <v>0</v>
      </c>
      <c r="L229" s="42">
        <v>0</v>
      </c>
      <c r="M229" s="42">
        <v>1</v>
      </c>
      <c r="N229" s="42">
        <v>0</v>
      </c>
      <c r="O229">
        <v>1</v>
      </c>
    </row>
    <row r="230" spans="3:15" x14ac:dyDescent="0.15">
      <c r="C230" s="43" t="s">
        <v>286</v>
      </c>
      <c r="D230" s="42">
        <v>13</v>
      </c>
      <c r="E230" s="42">
        <v>80</v>
      </c>
      <c r="F230" s="42">
        <v>4</v>
      </c>
      <c r="G230" s="42">
        <v>0.7</v>
      </c>
      <c r="H230" s="42">
        <v>0</v>
      </c>
      <c r="I230" s="42">
        <v>0</v>
      </c>
      <c r="J230" s="42">
        <v>285</v>
      </c>
      <c r="K230" s="42">
        <v>0</v>
      </c>
      <c r="L230" s="42">
        <v>0</v>
      </c>
      <c r="M230" s="42">
        <v>1</v>
      </c>
      <c r="N230" s="42">
        <v>0</v>
      </c>
      <c r="O230">
        <v>0</v>
      </c>
    </row>
    <row r="231" spans="3:15" x14ac:dyDescent="0.15">
      <c r="C231" s="43" t="s">
        <v>287</v>
      </c>
      <c r="D231" s="42">
        <v>38</v>
      </c>
      <c r="E231" s="42">
        <v>129</v>
      </c>
      <c r="F231" s="42">
        <v>1</v>
      </c>
      <c r="G231" s="42">
        <v>0.9</v>
      </c>
      <c r="H231" s="42">
        <v>1</v>
      </c>
      <c r="I231" s="42">
        <v>0</v>
      </c>
      <c r="J231" s="42">
        <v>366</v>
      </c>
      <c r="K231" s="42">
        <v>0</v>
      </c>
      <c r="L231" s="42">
        <v>0</v>
      </c>
      <c r="M231" s="42">
        <v>1</v>
      </c>
      <c r="N231" s="42">
        <v>0</v>
      </c>
      <c r="O231">
        <v>0</v>
      </c>
    </row>
    <row r="232" spans="3:15" x14ac:dyDescent="0.15">
      <c r="C232" s="43" t="s">
        <v>288</v>
      </c>
      <c r="D232" s="42">
        <v>7</v>
      </c>
      <c r="E232" s="42">
        <v>108</v>
      </c>
      <c r="F232" s="42">
        <v>1</v>
      </c>
      <c r="G232" s="42">
        <v>4.5999999999999996</v>
      </c>
      <c r="H232" s="42">
        <v>1</v>
      </c>
      <c r="I232" s="42">
        <v>0</v>
      </c>
      <c r="J232" s="42">
        <v>0</v>
      </c>
      <c r="K232" s="42">
        <v>1</v>
      </c>
      <c r="L232" s="42">
        <v>0</v>
      </c>
      <c r="M232" s="42">
        <v>0</v>
      </c>
      <c r="N232" s="42">
        <v>0</v>
      </c>
      <c r="O232">
        <v>0</v>
      </c>
    </row>
    <row r="233" spans="3:15" x14ac:dyDescent="0.15">
      <c r="C233" s="43" t="s">
        <v>289</v>
      </c>
      <c r="D233" s="42">
        <v>30</v>
      </c>
      <c r="E233" s="42">
        <v>194</v>
      </c>
      <c r="F233" s="42">
        <v>3</v>
      </c>
      <c r="G233" s="42">
        <v>6</v>
      </c>
      <c r="H233" s="42">
        <v>0</v>
      </c>
      <c r="I233" s="42">
        <v>0</v>
      </c>
      <c r="J233" s="42">
        <v>587</v>
      </c>
      <c r="K233" s="42">
        <v>1</v>
      </c>
      <c r="L233" s="42">
        <v>1</v>
      </c>
      <c r="M233" s="42">
        <v>1</v>
      </c>
      <c r="N233" s="42">
        <v>1</v>
      </c>
      <c r="O233">
        <v>1</v>
      </c>
    </row>
    <row r="234" spans="3:15" x14ac:dyDescent="0.15">
      <c r="C234" s="43" t="s">
        <v>290</v>
      </c>
      <c r="D234" s="42">
        <v>21</v>
      </c>
      <c r="E234" s="42">
        <v>152</v>
      </c>
      <c r="F234" s="42">
        <v>2</v>
      </c>
      <c r="G234" s="42">
        <v>1.4</v>
      </c>
      <c r="H234" s="42">
        <v>1</v>
      </c>
      <c r="I234" s="42">
        <v>0</v>
      </c>
      <c r="J234" s="42">
        <v>0</v>
      </c>
      <c r="K234" s="42">
        <v>0</v>
      </c>
      <c r="L234" s="42">
        <v>0</v>
      </c>
      <c r="M234" s="42">
        <v>1</v>
      </c>
      <c r="N234" s="42">
        <v>0</v>
      </c>
      <c r="O234">
        <v>0</v>
      </c>
    </row>
    <row r="235" spans="3:15" x14ac:dyDescent="0.15">
      <c r="C235" s="43" t="s">
        <v>291</v>
      </c>
      <c r="D235" s="42">
        <v>12</v>
      </c>
      <c r="E235" s="42">
        <v>194</v>
      </c>
      <c r="F235" s="42">
        <v>4</v>
      </c>
      <c r="G235" s="42">
        <v>0.2</v>
      </c>
      <c r="H235" s="42">
        <v>0</v>
      </c>
      <c r="I235" s="42">
        <v>0</v>
      </c>
      <c r="J235" s="42">
        <v>211</v>
      </c>
      <c r="K235" s="42">
        <v>1</v>
      </c>
      <c r="L235" s="42">
        <v>1</v>
      </c>
      <c r="M235" s="42">
        <v>1</v>
      </c>
      <c r="N235" s="42">
        <v>1</v>
      </c>
      <c r="O235">
        <v>1</v>
      </c>
    </row>
    <row r="236" spans="3:15" x14ac:dyDescent="0.15">
      <c r="C236" s="43" t="s">
        <v>292</v>
      </c>
      <c r="D236" s="42">
        <v>3</v>
      </c>
      <c r="E236" s="42">
        <v>69</v>
      </c>
      <c r="F236" s="42">
        <v>3</v>
      </c>
      <c r="G236" s="42">
        <v>0.3</v>
      </c>
      <c r="H236" s="42">
        <v>0</v>
      </c>
      <c r="I236" s="42">
        <v>0</v>
      </c>
      <c r="J236" s="42">
        <v>0</v>
      </c>
      <c r="K236" s="42">
        <v>0</v>
      </c>
      <c r="L236" s="42">
        <v>0</v>
      </c>
      <c r="M236" s="42">
        <v>0</v>
      </c>
      <c r="N236" s="42">
        <v>0</v>
      </c>
      <c r="O236">
        <v>0</v>
      </c>
    </row>
    <row r="237" spans="3:15" x14ac:dyDescent="0.15">
      <c r="C237" s="43" t="s">
        <v>293</v>
      </c>
      <c r="D237" s="42">
        <v>37</v>
      </c>
      <c r="E237" s="42">
        <v>21</v>
      </c>
      <c r="F237" s="42">
        <v>2</v>
      </c>
      <c r="G237" s="42">
        <v>0.4</v>
      </c>
      <c r="H237" s="42">
        <v>1</v>
      </c>
      <c r="I237" s="42">
        <v>0</v>
      </c>
      <c r="J237" s="42">
        <v>0</v>
      </c>
      <c r="K237" s="42">
        <v>0</v>
      </c>
      <c r="L237" s="42">
        <v>0</v>
      </c>
      <c r="M237" s="42">
        <v>1</v>
      </c>
      <c r="N237" s="42">
        <v>0</v>
      </c>
      <c r="O237">
        <v>0</v>
      </c>
    </row>
    <row r="238" spans="3:15" x14ac:dyDescent="0.15">
      <c r="C238" s="43" t="s">
        <v>294</v>
      </c>
      <c r="D238" s="42">
        <v>17</v>
      </c>
      <c r="E238" s="42">
        <v>125</v>
      </c>
      <c r="F238" s="42">
        <v>4</v>
      </c>
      <c r="G238" s="42">
        <v>3.5</v>
      </c>
      <c r="H238" s="42">
        <v>0</v>
      </c>
      <c r="I238" s="42">
        <v>1</v>
      </c>
      <c r="J238" s="42">
        <v>0</v>
      </c>
      <c r="K238" s="42">
        <v>0</v>
      </c>
      <c r="L238" s="42">
        <v>0</v>
      </c>
      <c r="M238" s="42">
        <v>0</v>
      </c>
      <c r="N238" s="42">
        <v>0</v>
      </c>
      <c r="O238">
        <v>1</v>
      </c>
    </row>
    <row r="239" spans="3:15" x14ac:dyDescent="0.15">
      <c r="C239" s="43" t="s">
        <v>295</v>
      </c>
      <c r="D239" s="42">
        <v>8</v>
      </c>
      <c r="E239" s="42">
        <v>65</v>
      </c>
      <c r="F239" s="42">
        <v>1</v>
      </c>
      <c r="G239" s="42">
        <v>3</v>
      </c>
      <c r="H239" s="42">
        <v>1</v>
      </c>
      <c r="I239" s="42">
        <v>0</v>
      </c>
      <c r="J239" s="42">
        <v>227</v>
      </c>
      <c r="K239" s="42">
        <v>0</v>
      </c>
      <c r="L239" s="42">
        <v>0</v>
      </c>
      <c r="M239" s="42">
        <v>1</v>
      </c>
      <c r="N239" s="42">
        <v>0</v>
      </c>
      <c r="O239">
        <v>1</v>
      </c>
    </row>
    <row r="240" spans="3:15" x14ac:dyDescent="0.15">
      <c r="C240" s="43" t="s">
        <v>296</v>
      </c>
      <c r="D240" s="42">
        <v>8</v>
      </c>
      <c r="E240" s="42">
        <v>122</v>
      </c>
      <c r="F240" s="42">
        <v>1</v>
      </c>
      <c r="G240" s="42">
        <v>0</v>
      </c>
      <c r="H240" s="42">
        <v>1</v>
      </c>
      <c r="I240" s="42">
        <v>0</v>
      </c>
      <c r="J240" s="42">
        <v>0</v>
      </c>
      <c r="K240" s="42">
        <v>0</v>
      </c>
      <c r="L240" s="42">
        <v>0</v>
      </c>
      <c r="M240" s="42">
        <v>1</v>
      </c>
      <c r="N240" s="42">
        <v>1</v>
      </c>
      <c r="O240">
        <v>0</v>
      </c>
    </row>
    <row r="241" spans="3:15" x14ac:dyDescent="0.15">
      <c r="C241" s="43" t="s">
        <v>297</v>
      </c>
      <c r="D241" s="42">
        <v>17</v>
      </c>
      <c r="E241" s="42">
        <v>64</v>
      </c>
      <c r="F241" s="42">
        <v>4</v>
      </c>
      <c r="G241" s="42">
        <v>3</v>
      </c>
      <c r="H241" s="42">
        <v>0</v>
      </c>
      <c r="I241" s="42">
        <v>0</v>
      </c>
      <c r="J241" s="42">
        <v>221</v>
      </c>
      <c r="K241" s="42">
        <v>0</v>
      </c>
      <c r="L241" s="42">
        <v>0</v>
      </c>
      <c r="M241" s="42">
        <v>1</v>
      </c>
      <c r="N241" s="42">
        <v>0</v>
      </c>
      <c r="O241">
        <v>1</v>
      </c>
    </row>
    <row r="242" spans="3:15" x14ac:dyDescent="0.15">
      <c r="C242" s="43" t="s">
        <v>298</v>
      </c>
      <c r="D242" s="42">
        <v>37</v>
      </c>
      <c r="E242" s="42">
        <v>138</v>
      </c>
      <c r="F242" s="42">
        <v>2</v>
      </c>
      <c r="G242" s="42">
        <v>2.8</v>
      </c>
      <c r="H242" s="42">
        <v>0</v>
      </c>
      <c r="I242" s="42">
        <v>1</v>
      </c>
      <c r="J242" s="42">
        <v>0</v>
      </c>
      <c r="K242" s="42">
        <v>0</v>
      </c>
      <c r="L242" s="42">
        <v>0</v>
      </c>
      <c r="M242" s="42">
        <v>1</v>
      </c>
      <c r="N242" s="42">
        <v>0</v>
      </c>
      <c r="O242">
        <v>1</v>
      </c>
    </row>
    <row r="243" spans="3:15" x14ac:dyDescent="0.15">
      <c r="C243" s="43" t="s">
        <v>299</v>
      </c>
      <c r="D243" s="42">
        <v>9</v>
      </c>
      <c r="E243" s="42">
        <v>113</v>
      </c>
      <c r="F243" s="42">
        <v>3</v>
      </c>
      <c r="G243" s="42">
        <v>0.8</v>
      </c>
      <c r="H243" s="42">
        <v>0</v>
      </c>
      <c r="I243" s="42">
        <v>0</v>
      </c>
      <c r="J243" s="42">
        <v>0</v>
      </c>
      <c r="K243" s="42">
        <v>0</v>
      </c>
      <c r="L243" s="42">
        <v>0</v>
      </c>
      <c r="M243" s="42">
        <v>1</v>
      </c>
      <c r="N243" s="42">
        <v>0</v>
      </c>
      <c r="O243">
        <v>1</v>
      </c>
    </row>
    <row r="244" spans="3:15" x14ac:dyDescent="0.15">
      <c r="C244" s="43" t="s">
        <v>300</v>
      </c>
      <c r="D244" s="42">
        <v>30</v>
      </c>
      <c r="E244" s="42">
        <v>118</v>
      </c>
      <c r="F244" s="42">
        <v>4</v>
      </c>
      <c r="G244" s="42">
        <v>5.6</v>
      </c>
      <c r="H244" s="42">
        <v>0</v>
      </c>
      <c r="I244" s="42">
        <v>1</v>
      </c>
      <c r="J244" s="42">
        <v>0</v>
      </c>
      <c r="K244" s="42">
        <v>0</v>
      </c>
      <c r="L244" s="42">
        <v>0</v>
      </c>
      <c r="M244" s="42">
        <v>1</v>
      </c>
      <c r="N244" s="42">
        <v>0</v>
      </c>
      <c r="O244">
        <v>1</v>
      </c>
    </row>
    <row r="245" spans="3:15" x14ac:dyDescent="0.15">
      <c r="C245" s="43" t="s">
        <v>301</v>
      </c>
      <c r="D245" s="42">
        <v>39</v>
      </c>
      <c r="E245" s="42">
        <v>172</v>
      </c>
      <c r="F245" s="42">
        <v>4</v>
      </c>
      <c r="G245" s="42">
        <v>3.1</v>
      </c>
      <c r="H245" s="42">
        <v>1</v>
      </c>
      <c r="I245" s="42">
        <v>0</v>
      </c>
      <c r="J245" s="42">
        <v>282</v>
      </c>
      <c r="K245" s="42">
        <v>0</v>
      </c>
      <c r="L245" s="42">
        <v>1</v>
      </c>
      <c r="M245" s="42">
        <v>1</v>
      </c>
      <c r="N245" s="42">
        <v>1</v>
      </c>
      <c r="O245">
        <v>1</v>
      </c>
    </row>
    <row r="246" spans="3:15" x14ac:dyDescent="0.15">
      <c r="C246" s="43" t="s">
        <v>302</v>
      </c>
      <c r="D246" s="42">
        <v>15</v>
      </c>
      <c r="E246" s="42">
        <v>61</v>
      </c>
      <c r="F246" s="42">
        <v>2</v>
      </c>
      <c r="G246" s="42">
        <v>0.6</v>
      </c>
      <c r="H246" s="42">
        <v>0</v>
      </c>
      <c r="I246" s="42">
        <v>0</v>
      </c>
      <c r="J246" s="42">
        <v>127</v>
      </c>
      <c r="K246" s="42">
        <v>0</v>
      </c>
      <c r="L246" s="42">
        <v>0</v>
      </c>
      <c r="M246" s="42">
        <v>0</v>
      </c>
      <c r="N246" s="42">
        <v>0</v>
      </c>
      <c r="O246">
        <v>0</v>
      </c>
    </row>
    <row r="247" spans="3:15" x14ac:dyDescent="0.15">
      <c r="C247" s="43" t="s">
        <v>303</v>
      </c>
      <c r="D247" s="42">
        <v>20</v>
      </c>
      <c r="E247" s="42">
        <v>150</v>
      </c>
      <c r="F247" s="42">
        <v>2</v>
      </c>
      <c r="G247" s="42">
        <v>3.3</v>
      </c>
      <c r="H247" s="42">
        <v>1</v>
      </c>
      <c r="I247" s="42">
        <v>0</v>
      </c>
      <c r="J247" s="42">
        <v>0</v>
      </c>
      <c r="K247" s="42">
        <v>0</v>
      </c>
      <c r="L247" s="42">
        <v>0</v>
      </c>
      <c r="M247" s="42">
        <v>0</v>
      </c>
      <c r="N247" s="42">
        <v>1</v>
      </c>
      <c r="O247">
        <v>0</v>
      </c>
    </row>
    <row r="248" spans="3:15" x14ac:dyDescent="0.15">
      <c r="C248" s="43" t="s">
        <v>304</v>
      </c>
      <c r="D248" s="42">
        <v>24</v>
      </c>
      <c r="E248" s="42">
        <v>39</v>
      </c>
      <c r="F248" s="42">
        <v>1</v>
      </c>
      <c r="G248" s="42">
        <v>1.4</v>
      </c>
      <c r="H248" s="42">
        <v>0</v>
      </c>
      <c r="I248" s="42">
        <v>0</v>
      </c>
      <c r="J248" s="42">
        <v>0</v>
      </c>
      <c r="K248" s="42">
        <v>0</v>
      </c>
      <c r="L248" s="42">
        <v>0</v>
      </c>
      <c r="M248" s="42">
        <v>1</v>
      </c>
      <c r="N248" s="42">
        <v>0</v>
      </c>
      <c r="O248">
        <v>0</v>
      </c>
    </row>
    <row r="249" spans="3:15" x14ac:dyDescent="0.15">
      <c r="C249" s="43" t="s">
        <v>305</v>
      </c>
      <c r="D249" s="42">
        <v>6</v>
      </c>
      <c r="E249" s="42">
        <v>111</v>
      </c>
      <c r="F249" s="42">
        <v>2</v>
      </c>
      <c r="G249" s="42">
        <v>1.5</v>
      </c>
      <c r="H249" s="42">
        <v>0</v>
      </c>
      <c r="I249" s="42">
        <v>0</v>
      </c>
      <c r="J249" s="42">
        <v>0</v>
      </c>
      <c r="K249" s="42">
        <v>0</v>
      </c>
      <c r="L249" s="42">
        <v>0</v>
      </c>
      <c r="M249" s="42">
        <v>0</v>
      </c>
      <c r="N249" s="42">
        <v>0</v>
      </c>
      <c r="O249">
        <v>0</v>
      </c>
    </row>
    <row r="250" spans="3:15" x14ac:dyDescent="0.15">
      <c r="C250" s="43" t="s">
        <v>306</v>
      </c>
      <c r="D250" s="42">
        <v>8</v>
      </c>
      <c r="E250" s="42">
        <v>115</v>
      </c>
      <c r="F250" s="42">
        <v>4</v>
      </c>
      <c r="G250" s="42">
        <v>2.9</v>
      </c>
      <c r="H250" s="42">
        <v>0</v>
      </c>
      <c r="I250" s="42">
        <v>1</v>
      </c>
      <c r="J250" s="42">
        <v>0</v>
      </c>
      <c r="K250" s="42">
        <v>0</v>
      </c>
      <c r="L250" s="42">
        <v>0</v>
      </c>
      <c r="M250" s="42">
        <v>1</v>
      </c>
      <c r="N250" s="42">
        <v>0</v>
      </c>
      <c r="O250">
        <v>1</v>
      </c>
    </row>
    <row r="251" spans="3:15" x14ac:dyDescent="0.15">
      <c r="C251" s="43" t="s">
        <v>307</v>
      </c>
      <c r="D251" s="42">
        <v>17</v>
      </c>
      <c r="E251" s="42">
        <v>55</v>
      </c>
      <c r="F251" s="42">
        <v>1</v>
      </c>
      <c r="G251" s="42">
        <v>0.2</v>
      </c>
      <c r="H251" s="42">
        <v>1</v>
      </c>
      <c r="I251" s="42">
        <v>0</v>
      </c>
      <c r="J251" s="42">
        <v>0</v>
      </c>
      <c r="K251" s="42">
        <v>0</v>
      </c>
      <c r="L251" s="42">
        <v>0</v>
      </c>
      <c r="M251" s="42">
        <v>1</v>
      </c>
      <c r="N251" s="42">
        <v>0</v>
      </c>
      <c r="O251">
        <v>0</v>
      </c>
    </row>
    <row r="252" spans="3:15" x14ac:dyDescent="0.15">
      <c r="C252" s="43" t="s">
        <v>308</v>
      </c>
      <c r="D252" s="42">
        <v>13</v>
      </c>
      <c r="E252" s="42">
        <v>74</v>
      </c>
      <c r="F252" s="42">
        <v>3</v>
      </c>
      <c r="G252" s="42">
        <v>0.9</v>
      </c>
      <c r="H252" s="42">
        <v>0</v>
      </c>
      <c r="I252" s="42">
        <v>1</v>
      </c>
      <c r="J252" s="42">
        <v>155</v>
      </c>
      <c r="K252" s="42">
        <v>0</v>
      </c>
      <c r="L252" s="42">
        <v>0</v>
      </c>
      <c r="M252" s="42">
        <v>1</v>
      </c>
      <c r="N252" s="42">
        <v>0</v>
      </c>
      <c r="O252">
        <v>0</v>
      </c>
    </row>
    <row r="253" spans="3:15" x14ac:dyDescent="0.15">
      <c r="C253" s="43" t="s">
        <v>309</v>
      </c>
      <c r="D253" s="42">
        <v>10</v>
      </c>
      <c r="E253" s="42">
        <v>182</v>
      </c>
      <c r="F253" s="42">
        <v>1</v>
      </c>
      <c r="G253" s="42">
        <v>0.3</v>
      </c>
      <c r="H253" s="42">
        <v>0</v>
      </c>
      <c r="I253" s="42">
        <v>1</v>
      </c>
      <c r="J253" s="42">
        <v>229</v>
      </c>
      <c r="K253" s="42">
        <v>0</v>
      </c>
      <c r="L253" s="42">
        <v>1</v>
      </c>
      <c r="M253" s="42">
        <v>1</v>
      </c>
      <c r="N253" s="42">
        <v>1</v>
      </c>
      <c r="O253">
        <v>1</v>
      </c>
    </row>
    <row r="254" spans="3:15" x14ac:dyDescent="0.15">
      <c r="C254" s="43" t="s">
        <v>310</v>
      </c>
      <c r="D254" s="42">
        <v>16</v>
      </c>
      <c r="E254" s="42">
        <v>23</v>
      </c>
      <c r="F254" s="42">
        <v>2</v>
      </c>
      <c r="G254" s="42">
        <v>0.3</v>
      </c>
      <c r="H254" s="42">
        <v>0</v>
      </c>
      <c r="I254" s="42">
        <v>1</v>
      </c>
      <c r="J254" s="42">
        <v>118</v>
      </c>
      <c r="K254" s="42">
        <v>0</v>
      </c>
      <c r="L254" s="42">
        <v>0</v>
      </c>
      <c r="M254" s="42">
        <v>0</v>
      </c>
      <c r="N254" s="42">
        <v>0</v>
      </c>
      <c r="O254">
        <v>0</v>
      </c>
    </row>
    <row r="255" spans="3:15" x14ac:dyDescent="0.15">
      <c r="C255" s="43" t="s">
        <v>311</v>
      </c>
      <c r="D255" s="42">
        <v>41</v>
      </c>
      <c r="E255" s="42">
        <v>154</v>
      </c>
      <c r="F255" s="42">
        <v>2</v>
      </c>
      <c r="G255" s="42">
        <v>4.5999999999999996</v>
      </c>
      <c r="H255" s="42">
        <v>0</v>
      </c>
      <c r="I255" s="42">
        <v>1</v>
      </c>
      <c r="J255" s="42">
        <v>0</v>
      </c>
      <c r="K255" s="42">
        <v>1</v>
      </c>
      <c r="L255" s="42">
        <v>1</v>
      </c>
      <c r="M255" s="42">
        <v>1</v>
      </c>
      <c r="N255" s="42">
        <v>1</v>
      </c>
      <c r="O255">
        <v>1</v>
      </c>
    </row>
    <row r="256" spans="3:15" x14ac:dyDescent="0.15">
      <c r="C256" s="43" t="s">
        <v>312</v>
      </c>
      <c r="D256" s="42">
        <v>16</v>
      </c>
      <c r="E256" s="42">
        <v>175</v>
      </c>
      <c r="F256" s="42">
        <v>2</v>
      </c>
      <c r="G256" s="42">
        <v>1.1000000000000001</v>
      </c>
      <c r="H256" s="42">
        <v>0</v>
      </c>
      <c r="I256" s="42">
        <v>0</v>
      </c>
      <c r="J256" s="42">
        <v>0</v>
      </c>
      <c r="K256" s="42">
        <v>0</v>
      </c>
      <c r="L256" s="42">
        <v>0</v>
      </c>
      <c r="M256" s="42">
        <v>1</v>
      </c>
      <c r="N256" s="42">
        <v>0</v>
      </c>
      <c r="O256">
        <v>1</v>
      </c>
    </row>
    <row r="257" spans="3:15" x14ac:dyDescent="0.15">
      <c r="C257" s="43" t="s">
        <v>313</v>
      </c>
      <c r="D257" s="42">
        <v>9</v>
      </c>
      <c r="E257" s="42">
        <v>184</v>
      </c>
      <c r="F257" s="42">
        <v>2</v>
      </c>
      <c r="G257" s="42">
        <v>4.8</v>
      </c>
      <c r="H257" s="42">
        <v>0</v>
      </c>
      <c r="I257" s="42">
        <v>1</v>
      </c>
      <c r="J257" s="42">
        <v>0</v>
      </c>
      <c r="K257" s="42">
        <v>0</v>
      </c>
      <c r="L257" s="42">
        <v>0</v>
      </c>
      <c r="M257" s="42">
        <v>0</v>
      </c>
      <c r="N257" s="42">
        <v>0</v>
      </c>
      <c r="O257">
        <v>1</v>
      </c>
    </row>
    <row r="258" spans="3:15" x14ac:dyDescent="0.15">
      <c r="C258" s="43" t="s">
        <v>314</v>
      </c>
      <c r="D258" s="42">
        <v>20</v>
      </c>
      <c r="E258" s="42">
        <v>171</v>
      </c>
      <c r="F258" s="42">
        <v>4</v>
      </c>
      <c r="G258" s="42">
        <v>0.7</v>
      </c>
      <c r="H258" s="42">
        <v>1</v>
      </c>
      <c r="I258" s="42">
        <v>0</v>
      </c>
      <c r="J258" s="42">
        <v>567</v>
      </c>
      <c r="K258" s="42">
        <v>0</v>
      </c>
      <c r="L258" s="42">
        <v>1</v>
      </c>
      <c r="M258" s="42">
        <v>1</v>
      </c>
      <c r="N258" s="42">
        <v>1</v>
      </c>
      <c r="O258">
        <v>1</v>
      </c>
    </row>
    <row r="259" spans="3:15" x14ac:dyDescent="0.15">
      <c r="C259" s="43" t="s">
        <v>315</v>
      </c>
      <c r="D259" s="42">
        <v>6</v>
      </c>
      <c r="E259" s="42">
        <v>28</v>
      </c>
      <c r="F259" s="42">
        <v>3</v>
      </c>
      <c r="G259" s="42">
        <v>1</v>
      </c>
      <c r="H259" s="42">
        <v>1</v>
      </c>
      <c r="I259" s="42">
        <v>0</v>
      </c>
      <c r="J259" s="42">
        <v>0</v>
      </c>
      <c r="K259" s="42">
        <v>0</v>
      </c>
      <c r="L259" s="42">
        <v>0</v>
      </c>
      <c r="M259" s="42">
        <v>0</v>
      </c>
      <c r="N259" s="42">
        <v>0</v>
      </c>
      <c r="O259">
        <v>0</v>
      </c>
    </row>
    <row r="260" spans="3:15" x14ac:dyDescent="0.15">
      <c r="C260" s="43" t="s">
        <v>316</v>
      </c>
      <c r="D260" s="42">
        <v>41</v>
      </c>
      <c r="E260" s="42">
        <v>133</v>
      </c>
      <c r="F260" s="42">
        <v>4</v>
      </c>
      <c r="G260" s="42">
        <v>2</v>
      </c>
      <c r="H260" s="42">
        <v>1</v>
      </c>
      <c r="I260" s="42">
        <v>0</v>
      </c>
      <c r="J260" s="42">
        <v>0</v>
      </c>
      <c r="K260" s="42">
        <v>0</v>
      </c>
      <c r="L260" s="42">
        <v>0</v>
      </c>
      <c r="M260" s="42">
        <v>0</v>
      </c>
      <c r="N260" s="42">
        <v>1</v>
      </c>
      <c r="O260">
        <v>1</v>
      </c>
    </row>
    <row r="261" spans="3:15" x14ac:dyDescent="0.15">
      <c r="C261" s="43" t="s">
        <v>317</v>
      </c>
      <c r="D261" s="42">
        <v>16</v>
      </c>
      <c r="E261" s="42">
        <v>73</v>
      </c>
      <c r="F261" s="42">
        <v>4</v>
      </c>
      <c r="G261" s="42">
        <v>2.6666666666666665</v>
      </c>
      <c r="H261" s="42">
        <v>1</v>
      </c>
      <c r="I261" s="42">
        <v>0</v>
      </c>
      <c r="J261" s="42">
        <v>0</v>
      </c>
      <c r="K261" s="42">
        <v>0</v>
      </c>
      <c r="L261" s="42">
        <v>0</v>
      </c>
      <c r="M261" s="42">
        <v>1</v>
      </c>
      <c r="N261" s="42">
        <v>1</v>
      </c>
      <c r="O261">
        <v>0</v>
      </c>
    </row>
    <row r="262" spans="3:15" x14ac:dyDescent="0.15">
      <c r="C262" s="43" t="s">
        <v>318</v>
      </c>
      <c r="D262" s="42">
        <v>32</v>
      </c>
      <c r="E262" s="42">
        <v>54</v>
      </c>
      <c r="F262" s="42">
        <v>3</v>
      </c>
      <c r="G262" s="42">
        <v>0.3</v>
      </c>
      <c r="H262" s="42">
        <v>0</v>
      </c>
      <c r="I262" s="42">
        <v>1</v>
      </c>
      <c r="J262" s="42">
        <v>0</v>
      </c>
      <c r="K262" s="42">
        <v>0</v>
      </c>
      <c r="L262" s="42">
        <v>0</v>
      </c>
      <c r="M262" s="42">
        <v>1</v>
      </c>
      <c r="N262" s="42">
        <v>1</v>
      </c>
      <c r="O262">
        <v>0</v>
      </c>
    </row>
    <row r="263" spans="3:15" x14ac:dyDescent="0.15">
      <c r="C263" s="43" t="s">
        <v>319</v>
      </c>
      <c r="D263" s="42">
        <v>11</v>
      </c>
      <c r="E263" s="42">
        <v>21</v>
      </c>
      <c r="F263" s="42">
        <v>2</v>
      </c>
      <c r="G263" s="42">
        <v>1</v>
      </c>
      <c r="H263" s="42">
        <v>0</v>
      </c>
      <c r="I263" s="42">
        <v>1</v>
      </c>
      <c r="J263" s="42">
        <v>0</v>
      </c>
      <c r="K263" s="42">
        <v>0</v>
      </c>
      <c r="L263" s="42">
        <v>0</v>
      </c>
      <c r="M263" s="42">
        <v>0</v>
      </c>
      <c r="N263" s="42">
        <v>0</v>
      </c>
      <c r="O263">
        <v>0</v>
      </c>
    </row>
    <row r="264" spans="3:15" x14ac:dyDescent="0.15">
      <c r="C264" s="43" t="s">
        <v>320</v>
      </c>
      <c r="D264" s="42">
        <v>3</v>
      </c>
      <c r="E264" s="42">
        <v>68</v>
      </c>
      <c r="F264" s="42">
        <v>4</v>
      </c>
      <c r="G264" s="42">
        <v>2</v>
      </c>
      <c r="H264" s="42">
        <v>0</v>
      </c>
      <c r="I264" s="42">
        <v>1</v>
      </c>
      <c r="J264" s="42">
        <v>0</v>
      </c>
      <c r="K264" s="42">
        <v>0</v>
      </c>
      <c r="L264" s="42">
        <v>0</v>
      </c>
      <c r="M264" s="42">
        <v>1</v>
      </c>
      <c r="N264" s="42">
        <v>0</v>
      </c>
      <c r="O264">
        <v>0</v>
      </c>
    </row>
    <row r="265" spans="3:15" x14ac:dyDescent="0.15">
      <c r="C265" s="43" t="s">
        <v>321</v>
      </c>
      <c r="D265" s="42">
        <v>32</v>
      </c>
      <c r="E265" s="42">
        <v>158</v>
      </c>
      <c r="F265" s="42">
        <v>1</v>
      </c>
      <c r="G265" s="42">
        <v>7.4</v>
      </c>
      <c r="H265" s="42">
        <v>1</v>
      </c>
      <c r="I265" s="42">
        <v>0</v>
      </c>
      <c r="J265" s="42">
        <v>0</v>
      </c>
      <c r="K265" s="42">
        <v>0</v>
      </c>
      <c r="L265" s="42">
        <v>0</v>
      </c>
      <c r="M265" s="42">
        <v>0</v>
      </c>
      <c r="N265" s="42">
        <v>0</v>
      </c>
      <c r="O265">
        <v>0</v>
      </c>
    </row>
    <row r="266" spans="3:15" x14ac:dyDescent="0.15">
      <c r="C266" s="43" t="s">
        <v>322</v>
      </c>
      <c r="D266" s="42">
        <v>32</v>
      </c>
      <c r="E266" s="42">
        <v>13</v>
      </c>
      <c r="F266" s="42">
        <v>4</v>
      </c>
      <c r="G266" s="42">
        <v>0.9</v>
      </c>
      <c r="H266" s="42">
        <v>0</v>
      </c>
      <c r="I266" s="42">
        <v>1</v>
      </c>
      <c r="J266" s="42">
        <v>78</v>
      </c>
      <c r="K266" s="42">
        <v>1</v>
      </c>
      <c r="L266" s="42">
        <v>0</v>
      </c>
      <c r="M266" s="42">
        <v>1</v>
      </c>
      <c r="N266" s="42">
        <v>0</v>
      </c>
      <c r="O266">
        <v>0</v>
      </c>
    </row>
    <row r="267" spans="3:15" x14ac:dyDescent="0.15">
      <c r="C267" s="43" t="s">
        <v>323</v>
      </c>
      <c r="D267" s="42">
        <v>14</v>
      </c>
      <c r="E267" s="42">
        <v>179</v>
      </c>
      <c r="F267" s="42">
        <v>1</v>
      </c>
      <c r="G267" s="42">
        <v>2.6</v>
      </c>
      <c r="H267" s="42">
        <v>0</v>
      </c>
      <c r="I267" s="42">
        <v>0</v>
      </c>
      <c r="J267" s="42">
        <v>0</v>
      </c>
      <c r="K267" s="42">
        <v>0</v>
      </c>
      <c r="L267" s="42">
        <v>0</v>
      </c>
      <c r="M267" s="42">
        <v>1</v>
      </c>
      <c r="N267" s="42">
        <v>0</v>
      </c>
      <c r="O267">
        <v>1</v>
      </c>
    </row>
    <row r="268" spans="3:15" x14ac:dyDescent="0.15">
      <c r="C268" s="43" t="s">
        <v>324</v>
      </c>
      <c r="D268" s="42">
        <v>26</v>
      </c>
      <c r="E268" s="42">
        <v>59</v>
      </c>
      <c r="F268" s="42">
        <v>2</v>
      </c>
      <c r="G268" s="42">
        <v>1.5</v>
      </c>
      <c r="H268" s="42">
        <v>0</v>
      </c>
      <c r="I268" s="42">
        <v>1</v>
      </c>
      <c r="J268" s="42">
        <v>239</v>
      </c>
      <c r="K268" s="42">
        <v>0</v>
      </c>
      <c r="L268" s="42">
        <v>0</v>
      </c>
      <c r="M268" s="42">
        <v>0</v>
      </c>
      <c r="N268" s="42">
        <v>1</v>
      </c>
      <c r="O268">
        <v>0</v>
      </c>
    </row>
    <row r="269" spans="3:15" x14ac:dyDescent="0.15">
      <c r="C269" s="43" t="s">
        <v>325</v>
      </c>
      <c r="D269" s="42">
        <v>5</v>
      </c>
      <c r="E269" s="42">
        <v>83</v>
      </c>
      <c r="F269" s="42">
        <v>3</v>
      </c>
      <c r="G269" s="42">
        <v>1.5</v>
      </c>
      <c r="H269" s="42">
        <v>1</v>
      </c>
      <c r="I269" s="42">
        <v>0</v>
      </c>
      <c r="J269" s="42">
        <v>0</v>
      </c>
      <c r="K269" s="42">
        <v>0</v>
      </c>
      <c r="L269" s="42">
        <v>0</v>
      </c>
      <c r="M269" s="42">
        <v>1</v>
      </c>
      <c r="N269" s="42">
        <v>1</v>
      </c>
      <c r="O269">
        <v>0</v>
      </c>
    </row>
    <row r="270" spans="3:15" x14ac:dyDescent="0.15">
      <c r="C270" s="43" t="s">
        <v>326</v>
      </c>
      <c r="D270" s="42">
        <v>3</v>
      </c>
      <c r="E270" s="42">
        <v>55</v>
      </c>
      <c r="F270" s="42">
        <v>3</v>
      </c>
      <c r="G270" s="42">
        <v>1.1000000000000001</v>
      </c>
      <c r="H270" s="42">
        <v>0</v>
      </c>
      <c r="I270" s="42">
        <v>1</v>
      </c>
      <c r="J270" s="42">
        <v>0</v>
      </c>
      <c r="K270" s="42">
        <v>0</v>
      </c>
      <c r="L270" s="42">
        <v>0</v>
      </c>
      <c r="M270" s="42">
        <v>1</v>
      </c>
      <c r="N270" s="42">
        <v>0</v>
      </c>
      <c r="O270">
        <v>0</v>
      </c>
    </row>
    <row r="271" spans="3:15" x14ac:dyDescent="0.15">
      <c r="C271" s="43" t="s">
        <v>327</v>
      </c>
      <c r="D271" s="42">
        <v>26</v>
      </c>
      <c r="E271" s="42">
        <v>78</v>
      </c>
      <c r="F271" s="42">
        <v>1</v>
      </c>
      <c r="G271" s="42">
        <v>1.2</v>
      </c>
      <c r="H271" s="42">
        <v>1</v>
      </c>
      <c r="I271" s="42">
        <v>0</v>
      </c>
      <c r="J271" s="42">
        <v>305</v>
      </c>
      <c r="K271" s="42">
        <v>0</v>
      </c>
      <c r="L271" s="42">
        <v>0</v>
      </c>
      <c r="M271" s="42">
        <v>1</v>
      </c>
      <c r="N271" s="42">
        <v>0</v>
      </c>
      <c r="O271">
        <v>0</v>
      </c>
    </row>
    <row r="272" spans="3:15" x14ac:dyDescent="0.15">
      <c r="C272" s="43" t="s">
        <v>328</v>
      </c>
      <c r="D272" s="42">
        <v>25</v>
      </c>
      <c r="E272" s="42">
        <v>83</v>
      </c>
      <c r="F272" s="42">
        <v>4</v>
      </c>
      <c r="G272" s="42">
        <v>3.6</v>
      </c>
      <c r="H272" s="42">
        <v>0</v>
      </c>
      <c r="I272" s="42">
        <v>0</v>
      </c>
      <c r="J272" s="42">
        <v>188</v>
      </c>
      <c r="K272" s="42">
        <v>0</v>
      </c>
      <c r="L272" s="42">
        <v>0</v>
      </c>
      <c r="M272" s="42">
        <v>1</v>
      </c>
      <c r="N272" s="42">
        <v>0</v>
      </c>
      <c r="O272">
        <v>0</v>
      </c>
    </row>
    <row r="273" spans="3:15" x14ac:dyDescent="0.15">
      <c r="C273" s="43" t="s">
        <v>329</v>
      </c>
      <c r="D273" s="42">
        <v>10</v>
      </c>
      <c r="E273" s="42">
        <v>74</v>
      </c>
      <c r="F273" s="42">
        <v>1</v>
      </c>
      <c r="G273" s="42">
        <v>2.5</v>
      </c>
      <c r="H273" s="42">
        <v>1</v>
      </c>
      <c r="I273" s="42">
        <v>0</v>
      </c>
      <c r="J273" s="42">
        <v>0</v>
      </c>
      <c r="K273" s="42">
        <v>0</v>
      </c>
      <c r="L273" s="42">
        <v>0</v>
      </c>
      <c r="M273" s="42">
        <v>0</v>
      </c>
      <c r="N273" s="42">
        <v>1</v>
      </c>
      <c r="O273">
        <v>0</v>
      </c>
    </row>
    <row r="274" spans="3:15" x14ac:dyDescent="0.15">
      <c r="C274" s="43" t="s">
        <v>330</v>
      </c>
      <c r="D274" s="42">
        <v>28</v>
      </c>
      <c r="E274" s="42">
        <v>31</v>
      </c>
      <c r="F274" s="42">
        <v>4</v>
      </c>
      <c r="G274" s="42">
        <v>0.2</v>
      </c>
      <c r="H274" s="42">
        <v>1</v>
      </c>
      <c r="I274" s="42">
        <v>0</v>
      </c>
      <c r="J274" s="42">
        <v>141</v>
      </c>
      <c r="K274" s="42">
        <v>0</v>
      </c>
      <c r="L274" s="42">
        <v>0</v>
      </c>
      <c r="M274" s="42">
        <v>1</v>
      </c>
      <c r="N274" s="42">
        <v>1</v>
      </c>
      <c r="O274">
        <v>0</v>
      </c>
    </row>
    <row r="275" spans="3:15" x14ac:dyDescent="0.15">
      <c r="C275" s="43" t="s">
        <v>331</v>
      </c>
      <c r="D275" s="42">
        <v>19</v>
      </c>
      <c r="E275" s="42">
        <v>152</v>
      </c>
      <c r="F275" s="42">
        <v>3</v>
      </c>
      <c r="G275" s="42">
        <v>6.1</v>
      </c>
      <c r="H275" s="42">
        <v>0</v>
      </c>
      <c r="I275" s="42">
        <v>1</v>
      </c>
      <c r="J275" s="42">
        <v>0</v>
      </c>
      <c r="K275" s="42">
        <v>0</v>
      </c>
      <c r="L275" s="42">
        <v>0</v>
      </c>
      <c r="M275" s="42">
        <v>0</v>
      </c>
      <c r="N275" s="42">
        <v>0</v>
      </c>
      <c r="O275">
        <v>1</v>
      </c>
    </row>
    <row r="276" spans="3:15" x14ac:dyDescent="0.15">
      <c r="C276" s="43" t="s">
        <v>332</v>
      </c>
      <c r="D276" s="42">
        <v>22</v>
      </c>
      <c r="E276" s="42">
        <v>122</v>
      </c>
      <c r="F276" s="42">
        <v>1</v>
      </c>
      <c r="G276" s="42">
        <v>5.0999999999999996</v>
      </c>
      <c r="H276" s="42">
        <v>0</v>
      </c>
      <c r="I276" s="42">
        <v>0</v>
      </c>
      <c r="J276" s="42">
        <v>163</v>
      </c>
      <c r="K276" s="42">
        <v>1</v>
      </c>
      <c r="L276" s="42">
        <v>0</v>
      </c>
      <c r="M276" s="42">
        <v>0</v>
      </c>
      <c r="N276" s="42">
        <v>0</v>
      </c>
      <c r="O276">
        <v>1</v>
      </c>
    </row>
    <row r="277" spans="3:15" x14ac:dyDescent="0.15">
      <c r="C277" s="43" t="s">
        <v>333</v>
      </c>
      <c r="D277" s="42">
        <v>7</v>
      </c>
      <c r="E277" s="42">
        <v>120</v>
      </c>
      <c r="F277" s="42">
        <v>1</v>
      </c>
      <c r="G277" s="42">
        <v>3.2</v>
      </c>
      <c r="H277" s="42">
        <v>0</v>
      </c>
      <c r="I277" s="42">
        <v>0</v>
      </c>
      <c r="J277" s="42">
        <v>0</v>
      </c>
      <c r="K277" s="42">
        <v>0</v>
      </c>
      <c r="L277" s="42">
        <v>0</v>
      </c>
      <c r="M277" s="42">
        <v>1</v>
      </c>
      <c r="N277" s="42">
        <v>0</v>
      </c>
      <c r="O277">
        <v>1</v>
      </c>
    </row>
    <row r="278" spans="3:15" x14ac:dyDescent="0.15">
      <c r="C278" s="43" t="s">
        <v>334</v>
      </c>
      <c r="D278" s="42">
        <v>25</v>
      </c>
      <c r="E278" s="42">
        <v>148</v>
      </c>
      <c r="F278" s="42">
        <v>1</v>
      </c>
      <c r="G278" s="42">
        <v>1</v>
      </c>
      <c r="H278" s="42">
        <v>1</v>
      </c>
      <c r="I278" s="42">
        <v>0</v>
      </c>
      <c r="J278" s="42">
        <v>0</v>
      </c>
      <c r="K278" s="42">
        <v>0</v>
      </c>
      <c r="L278" s="42">
        <v>0</v>
      </c>
      <c r="M278" s="42">
        <v>0</v>
      </c>
      <c r="N278" s="42">
        <v>0</v>
      </c>
      <c r="O278">
        <v>0</v>
      </c>
    </row>
    <row r="279" spans="3:15" x14ac:dyDescent="0.15">
      <c r="C279" s="43" t="s">
        <v>335</v>
      </c>
      <c r="D279" s="42">
        <v>20</v>
      </c>
      <c r="E279" s="42">
        <v>74</v>
      </c>
      <c r="F279" s="42">
        <v>4</v>
      </c>
      <c r="G279" s="42">
        <v>2.6</v>
      </c>
      <c r="H279" s="42">
        <v>0</v>
      </c>
      <c r="I279" s="42">
        <v>0</v>
      </c>
      <c r="J279" s="42">
        <v>104</v>
      </c>
      <c r="K279" s="42">
        <v>0</v>
      </c>
      <c r="L279" s="42">
        <v>0</v>
      </c>
      <c r="M279" s="42">
        <v>1</v>
      </c>
      <c r="N279" s="42">
        <v>0</v>
      </c>
      <c r="O279">
        <v>0</v>
      </c>
    </row>
    <row r="280" spans="3:15" x14ac:dyDescent="0.15">
      <c r="C280" s="43" t="s">
        <v>336</v>
      </c>
      <c r="D280" s="42">
        <v>39</v>
      </c>
      <c r="E280" s="42">
        <v>101</v>
      </c>
      <c r="F280" s="42">
        <v>1</v>
      </c>
      <c r="G280" s="42">
        <v>3.9</v>
      </c>
      <c r="H280" s="42">
        <v>1</v>
      </c>
      <c r="I280" s="42">
        <v>0</v>
      </c>
      <c r="J280" s="42">
        <v>0</v>
      </c>
      <c r="K280" s="42">
        <v>1</v>
      </c>
      <c r="L280" s="42">
        <v>1</v>
      </c>
      <c r="M280" s="42">
        <v>1</v>
      </c>
      <c r="N280" s="42">
        <v>0</v>
      </c>
      <c r="O280">
        <v>1</v>
      </c>
    </row>
    <row r="281" spans="3:15" x14ac:dyDescent="0.15">
      <c r="C281" s="43" t="s">
        <v>337</v>
      </c>
      <c r="D281" s="42">
        <v>28</v>
      </c>
      <c r="E281" s="42">
        <v>161</v>
      </c>
      <c r="F281" s="42">
        <v>1</v>
      </c>
      <c r="G281" s="42">
        <v>2.9</v>
      </c>
      <c r="H281" s="42">
        <v>1</v>
      </c>
      <c r="I281" s="42">
        <v>0</v>
      </c>
      <c r="J281" s="42">
        <v>0</v>
      </c>
      <c r="K281" s="42">
        <v>0</v>
      </c>
      <c r="L281" s="42">
        <v>0</v>
      </c>
      <c r="M281" s="42">
        <v>1</v>
      </c>
      <c r="N281" s="42">
        <v>0</v>
      </c>
      <c r="O281">
        <v>0</v>
      </c>
    </row>
    <row r="282" spans="3:15" x14ac:dyDescent="0.15">
      <c r="C282" s="43" t="s">
        <v>338</v>
      </c>
      <c r="D282" s="42">
        <v>0</v>
      </c>
      <c r="E282" s="42">
        <v>179</v>
      </c>
      <c r="F282" s="42">
        <v>4</v>
      </c>
      <c r="G282" s="42">
        <v>2.1</v>
      </c>
      <c r="H282" s="42">
        <v>0</v>
      </c>
      <c r="I282" s="42">
        <v>1</v>
      </c>
      <c r="J282" s="42">
        <v>0</v>
      </c>
      <c r="K282" s="42">
        <v>0</v>
      </c>
      <c r="L282" s="42">
        <v>0</v>
      </c>
      <c r="M282" s="42">
        <v>0</v>
      </c>
      <c r="N282" s="42">
        <v>0</v>
      </c>
      <c r="O282">
        <v>1</v>
      </c>
    </row>
    <row r="283" spans="3:15" x14ac:dyDescent="0.15">
      <c r="C283" s="43" t="s">
        <v>339</v>
      </c>
      <c r="D283" s="42">
        <v>23</v>
      </c>
      <c r="E283" s="42">
        <v>178</v>
      </c>
      <c r="F283" s="42">
        <v>1</v>
      </c>
      <c r="G283" s="42">
        <v>6.5</v>
      </c>
      <c r="H283" s="42">
        <v>0</v>
      </c>
      <c r="I283" s="42">
        <v>0</v>
      </c>
      <c r="J283" s="42">
        <v>0</v>
      </c>
      <c r="K283" s="42">
        <v>0</v>
      </c>
      <c r="L283" s="42">
        <v>0</v>
      </c>
      <c r="M283" s="42">
        <v>0</v>
      </c>
      <c r="N283" s="42">
        <v>0</v>
      </c>
      <c r="O283">
        <v>1</v>
      </c>
    </row>
    <row r="284" spans="3:15" x14ac:dyDescent="0.15">
      <c r="C284" s="43" t="s">
        <v>340</v>
      </c>
      <c r="D284" s="42">
        <v>33</v>
      </c>
      <c r="E284" s="42">
        <v>71</v>
      </c>
      <c r="F284" s="42">
        <v>2</v>
      </c>
      <c r="G284" s="42">
        <v>2.2999999999999998</v>
      </c>
      <c r="H284" s="42">
        <v>0</v>
      </c>
      <c r="I284" s="42">
        <v>0</v>
      </c>
      <c r="J284" s="42">
        <v>150</v>
      </c>
      <c r="K284" s="42">
        <v>0</v>
      </c>
      <c r="L284" s="42">
        <v>0</v>
      </c>
      <c r="M284" s="42">
        <v>1</v>
      </c>
      <c r="N284" s="42">
        <v>1</v>
      </c>
      <c r="O284">
        <v>0</v>
      </c>
    </row>
    <row r="285" spans="3:15" x14ac:dyDescent="0.15">
      <c r="C285" s="43" t="s">
        <v>341</v>
      </c>
      <c r="D285" s="42">
        <v>13</v>
      </c>
      <c r="E285" s="42">
        <v>140</v>
      </c>
      <c r="F285" s="42">
        <v>4</v>
      </c>
      <c r="G285" s="42">
        <v>0.5</v>
      </c>
      <c r="H285" s="42">
        <v>1</v>
      </c>
      <c r="I285" s="42">
        <v>0</v>
      </c>
      <c r="J285" s="42">
        <v>0</v>
      </c>
      <c r="K285" s="42">
        <v>0</v>
      </c>
      <c r="L285" s="42">
        <v>0</v>
      </c>
      <c r="M285" s="42">
        <v>0</v>
      </c>
      <c r="N285" s="42">
        <v>0</v>
      </c>
      <c r="O285">
        <v>1</v>
      </c>
    </row>
    <row r="286" spans="3:15" x14ac:dyDescent="0.15">
      <c r="C286" s="43" t="s">
        <v>342</v>
      </c>
      <c r="D286" s="42">
        <v>9</v>
      </c>
      <c r="E286" s="42">
        <v>178</v>
      </c>
      <c r="F286" s="42">
        <v>1</v>
      </c>
      <c r="G286" s="42">
        <v>0.8</v>
      </c>
      <c r="H286" s="42">
        <v>0</v>
      </c>
      <c r="I286" s="42">
        <v>0</v>
      </c>
      <c r="J286" s="42">
        <v>0</v>
      </c>
      <c r="K286" s="42">
        <v>0</v>
      </c>
      <c r="L286" s="42">
        <v>0</v>
      </c>
      <c r="M286" s="42">
        <v>0</v>
      </c>
      <c r="N286" s="42">
        <v>0</v>
      </c>
      <c r="O286">
        <v>1</v>
      </c>
    </row>
    <row r="287" spans="3:15" x14ac:dyDescent="0.15">
      <c r="C287" s="43" t="s">
        <v>343</v>
      </c>
      <c r="D287" s="42">
        <v>36</v>
      </c>
      <c r="E287" s="42">
        <v>145</v>
      </c>
      <c r="F287" s="42">
        <v>4</v>
      </c>
      <c r="G287" s="42">
        <v>6.9</v>
      </c>
      <c r="H287" s="42">
        <v>1</v>
      </c>
      <c r="I287" s="42">
        <v>0</v>
      </c>
      <c r="J287" s="42">
        <v>380</v>
      </c>
      <c r="K287" s="42">
        <v>0</v>
      </c>
      <c r="L287" s="42">
        <v>0</v>
      </c>
      <c r="M287" s="42">
        <v>0</v>
      </c>
      <c r="N287" s="42">
        <v>1</v>
      </c>
      <c r="O287">
        <v>1</v>
      </c>
    </row>
    <row r="288" spans="3:15" x14ac:dyDescent="0.15">
      <c r="C288" s="43" t="s">
        <v>344</v>
      </c>
      <c r="D288" s="42">
        <v>36</v>
      </c>
      <c r="E288" s="42">
        <v>153</v>
      </c>
      <c r="F288" s="42">
        <v>1</v>
      </c>
      <c r="G288" s="42">
        <v>2.6</v>
      </c>
      <c r="H288" s="42">
        <v>0</v>
      </c>
      <c r="I288" s="42">
        <v>1</v>
      </c>
      <c r="J288" s="42">
        <v>0</v>
      </c>
      <c r="K288" s="42">
        <v>1</v>
      </c>
      <c r="L288" s="42">
        <v>1</v>
      </c>
      <c r="M288" s="42">
        <v>0</v>
      </c>
      <c r="N288" s="42">
        <v>1</v>
      </c>
      <c r="O288">
        <v>1</v>
      </c>
    </row>
    <row r="289" spans="3:15" x14ac:dyDescent="0.15">
      <c r="C289" s="43" t="s">
        <v>345</v>
      </c>
      <c r="D289" s="42">
        <v>30</v>
      </c>
      <c r="E289" s="42">
        <v>69</v>
      </c>
      <c r="F289" s="42">
        <v>4</v>
      </c>
      <c r="G289" s="42">
        <v>1.3</v>
      </c>
      <c r="H289" s="42">
        <v>0</v>
      </c>
      <c r="I289" s="42">
        <v>0</v>
      </c>
      <c r="J289" s="42">
        <v>0</v>
      </c>
      <c r="K289" s="42">
        <v>1</v>
      </c>
      <c r="L289" s="42">
        <v>1</v>
      </c>
      <c r="M289" s="42">
        <v>1</v>
      </c>
      <c r="N289" s="42">
        <v>1</v>
      </c>
      <c r="O289">
        <v>0</v>
      </c>
    </row>
    <row r="290" spans="3:15" x14ac:dyDescent="0.15">
      <c r="C290" s="43" t="s">
        <v>346</v>
      </c>
      <c r="D290" s="42">
        <v>26</v>
      </c>
      <c r="E290" s="42">
        <v>179</v>
      </c>
      <c r="F290" s="42">
        <v>1</v>
      </c>
      <c r="G290" s="42">
        <v>2.9</v>
      </c>
      <c r="H290" s="42">
        <v>0</v>
      </c>
      <c r="I290" s="42">
        <v>0</v>
      </c>
      <c r="J290" s="42">
        <v>0</v>
      </c>
      <c r="K290" s="42">
        <v>0</v>
      </c>
      <c r="L290" s="42">
        <v>0</v>
      </c>
      <c r="M290" s="42">
        <v>0</v>
      </c>
      <c r="N290" s="42">
        <v>1</v>
      </c>
      <c r="O290">
        <v>1</v>
      </c>
    </row>
    <row r="291" spans="3:15" x14ac:dyDescent="0.15">
      <c r="C291" s="43" t="s">
        <v>347</v>
      </c>
      <c r="D291" s="42">
        <v>13</v>
      </c>
      <c r="E291" s="42">
        <v>78</v>
      </c>
      <c r="F291" s="42">
        <v>4</v>
      </c>
      <c r="G291" s="42">
        <v>0.1</v>
      </c>
      <c r="H291" s="42">
        <v>0</v>
      </c>
      <c r="I291" s="42">
        <v>1</v>
      </c>
      <c r="J291" s="42">
        <v>0</v>
      </c>
      <c r="K291" s="42">
        <v>0</v>
      </c>
      <c r="L291" s="42">
        <v>0</v>
      </c>
      <c r="M291" s="42">
        <v>1</v>
      </c>
      <c r="N291" s="42">
        <v>0</v>
      </c>
      <c r="O291">
        <v>0</v>
      </c>
    </row>
    <row r="292" spans="3:15" x14ac:dyDescent="0.15">
      <c r="C292" s="43" t="s">
        <v>348</v>
      </c>
      <c r="D292" s="42">
        <v>33</v>
      </c>
      <c r="E292" s="42">
        <v>18</v>
      </c>
      <c r="F292" s="42">
        <v>3</v>
      </c>
      <c r="G292" s="42">
        <v>0.1</v>
      </c>
      <c r="H292" s="42">
        <v>0</v>
      </c>
      <c r="I292" s="42">
        <v>1</v>
      </c>
      <c r="J292" s="42">
        <v>110</v>
      </c>
      <c r="K292" s="42">
        <v>0</v>
      </c>
      <c r="L292" s="42">
        <v>0</v>
      </c>
      <c r="M292" s="42">
        <v>1</v>
      </c>
      <c r="N292" s="42">
        <v>0</v>
      </c>
      <c r="O292">
        <v>0</v>
      </c>
    </row>
    <row r="293" spans="3:15" x14ac:dyDescent="0.15">
      <c r="C293" s="43" t="s">
        <v>349</v>
      </c>
      <c r="D293" s="42">
        <v>3</v>
      </c>
      <c r="E293" s="42">
        <v>148</v>
      </c>
      <c r="F293" s="42">
        <v>3</v>
      </c>
      <c r="G293" s="42">
        <v>4.0999999999999996</v>
      </c>
      <c r="H293" s="42">
        <v>1</v>
      </c>
      <c r="I293" s="42">
        <v>0</v>
      </c>
      <c r="J293" s="42">
        <v>0</v>
      </c>
      <c r="K293" s="42">
        <v>0</v>
      </c>
      <c r="L293" s="42">
        <v>0</v>
      </c>
      <c r="M293" s="42">
        <v>1</v>
      </c>
      <c r="N293" s="42">
        <v>0</v>
      </c>
      <c r="O293">
        <v>1</v>
      </c>
    </row>
    <row r="294" spans="3:15" x14ac:dyDescent="0.15">
      <c r="C294" s="43" t="s">
        <v>350</v>
      </c>
      <c r="D294" s="42">
        <v>33</v>
      </c>
      <c r="E294" s="42">
        <v>154</v>
      </c>
      <c r="F294" s="42">
        <v>1</v>
      </c>
      <c r="G294" s="42">
        <v>3</v>
      </c>
      <c r="H294" s="42">
        <v>0</v>
      </c>
      <c r="I294" s="42">
        <v>1</v>
      </c>
      <c r="J294" s="42">
        <v>0</v>
      </c>
      <c r="K294" s="42">
        <v>1</v>
      </c>
      <c r="L294" s="42">
        <v>1</v>
      </c>
      <c r="M294" s="42">
        <v>1</v>
      </c>
      <c r="N294" s="42">
        <v>0</v>
      </c>
      <c r="O294">
        <v>1</v>
      </c>
    </row>
    <row r="295" spans="3:15" x14ac:dyDescent="0.15">
      <c r="C295" s="43" t="s">
        <v>351</v>
      </c>
      <c r="D295" s="42">
        <v>28</v>
      </c>
      <c r="E295" s="42">
        <v>192</v>
      </c>
      <c r="F295" s="42">
        <v>2</v>
      </c>
      <c r="G295" s="42">
        <v>6.4</v>
      </c>
      <c r="H295" s="42">
        <v>0</v>
      </c>
      <c r="I295" s="42">
        <v>0</v>
      </c>
      <c r="J295" s="42">
        <v>0</v>
      </c>
      <c r="K295" s="42">
        <v>0</v>
      </c>
      <c r="L295" s="42">
        <v>0</v>
      </c>
      <c r="M295" s="42">
        <v>0</v>
      </c>
      <c r="N295" s="42">
        <v>0</v>
      </c>
      <c r="O295">
        <v>1</v>
      </c>
    </row>
    <row r="296" spans="3:15" x14ac:dyDescent="0.15">
      <c r="C296" s="43" t="s">
        <v>352</v>
      </c>
      <c r="D296" s="42">
        <v>9</v>
      </c>
      <c r="E296" s="42">
        <v>109</v>
      </c>
      <c r="F296" s="42">
        <v>3</v>
      </c>
      <c r="G296" s="42">
        <v>4</v>
      </c>
      <c r="H296" s="42">
        <v>1</v>
      </c>
      <c r="I296" s="42">
        <v>0</v>
      </c>
      <c r="J296" s="42">
        <v>0</v>
      </c>
      <c r="K296" s="42">
        <v>0</v>
      </c>
      <c r="L296" s="42">
        <v>0</v>
      </c>
      <c r="M296" s="42">
        <v>0</v>
      </c>
      <c r="N296" s="42">
        <v>0</v>
      </c>
      <c r="O296">
        <v>1</v>
      </c>
    </row>
    <row r="297" spans="3:15" x14ac:dyDescent="0.15">
      <c r="C297" s="43" t="s">
        <v>353</v>
      </c>
      <c r="D297" s="42">
        <v>21</v>
      </c>
      <c r="E297" s="42">
        <v>193</v>
      </c>
      <c r="F297" s="42">
        <v>2</v>
      </c>
      <c r="G297" s="42">
        <v>8.1</v>
      </c>
      <c r="H297" s="42">
        <v>0</v>
      </c>
      <c r="I297" s="42">
        <v>0</v>
      </c>
      <c r="J297" s="42">
        <v>0</v>
      </c>
      <c r="K297" s="42">
        <v>0</v>
      </c>
      <c r="L297" s="42">
        <v>0</v>
      </c>
      <c r="M297" s="42">
        <v>0</v>
      </c>
      <c r="N297" s="42">
        <v>0</v>
      </c>
      <c r="O297">
        <v>1</v>
      </c>
    </row>
    <row r="298" spans="3:15" x14ac:dyDescent="0.15">
      <c r="C298" s="43" t="s">
        <v>354</v>
      </c>
      <c r="D298" s="42">
        <v>10</v>
      </c>
      <c r="E298" s="42">
        <v>81</v>
      </c>
      <c r="F298" s="42">
        <v>3</v>
      </c>
      <c r="G298" s="42">
        <v>0.6</v>
      </c>
      <c r="H298" s="42">
        <v>0</v>
      </c>
      <c r="I298" s="42">
        <v>1</v>
      </c>
      <c r="J298" s="42">
        <v>104</v>
      </c>
      <c r="K298" s="42">
        <v>0</v>
      </c>
      <c r="L298" s="42">
        <v>0</v>
      </c>
      <c r="M298" s="42">
        <v>1</v>
      </c>
      <c r="N298" s="42">
        <v>0</v>
      </c>
      <c r="O298">
        <v>0</v>
      </c>
    </row>
    <row r="299" spans="3:15" x14ac:dyDescent="0.15">
      <c r="C299" s="43" t="s">
        <v>355</v>
      </c>
      <c r="D299" s="42">
        <v>26</v>
      </c>
      <c r="E299" s="42">
        <v>28</v>
      </c>
      <c r="F299" s="42">
        <v>4</v>
      </c>
      <c r="G299" s="42">
        <v>0.2</v>
      </c>
      <c r="H299" s="42">
        <v>0</v>
      </c>
      <c r="I299" s="42">
        <v>1</v>
      </c>
      <c r="J299" s="42">
        <v>0</v>
      </c>
      <c r="K299" s="42">
        <v>1</v>
      </c>
      <c r="L299" s="42">
        <v>0</v>
      </c>
      <c r="M299" s="42">
        <v>1</v>
      </c>
      <c r="N299" s="42">
        <v>0</v>
      </c>
      <c r="O299">
        <v>0</v>
      </c>
    </row>
    <row r="300" spans="3:15" x14ac:dyDescent="0.15">
      <c r="C300" s="43" t="s">
        <v>356</v>
      </c>
      <c r="D300" s="42">
        <v>3</v>
      </c>
      <c r="E300" s="42">
        <v>148</v>
      </c>
      <c r="F300" s="42">
        <v>1</v>
      </c>
      <c r="G300" s="42">
        <v>1.5</v>
      </c>
      <c r="H300" s="42">
        <v>1</v>
      </c>
      <c r="I300" s="42">
        <v>0</v>
      </c>
      <c r="J300" s="42">
        <v>397</v>
      </c>
      <c r="K300" s="42">
        <v>0</v>
      </c>
      <c r="L300" s="42">
        <v>0</v>
      </c>
      <c r="M300" s="42">
        <v>1</v>
      </c>
      <c r="N300" s="42">
        <v>1</v>
      </c>
      <c r="O300">
        <v>0</v>
      </c>
    </row>
    <row r="301" spans="3:15" x14ac:dyDescent="0.15">
      <c r="C301" s="43" t="s">
        <v>357</v>
      </c>
      <c r="D301" s="42">
        <v>18</v>
      </c>
      <c r="E301" s="42">
        <v>84</v>
      </c>
      <c r="F301" s="42">
        <v>3</v>
      </c>
      <c r="G301" s="42">
        <v>1.1000000000000001</v>
      </c>
      <c r="H301" s="42">
        <v>1</v>
      </c>
      <c r="I301" s="42">
        <v>0</v>
      </c>
      <c r="J301" s="42">
        <v>0</v>
      </c>
      <c r="K301" s="42">
        <v>0</v>
      </c>
      <c r="L301" s="42">
        <v>0</v>
      </c>
      <c r="M301" s="42">
        <v>0</v>
      </c>
      <c r="N301" s="42">
        <v>0</v>
      </c>
      <c r="O301">
        <v>0</v>
      </c>
    </row>
    <row r="302" spans="3:15" x14ac:dyDescent="0.15">
      <c r="C302" s="43" t="s">
        <v>358</v>
      </c>
      <c r="D302" s="42">
        <v>18</v>
      </c>
      <c r="E302" s="42">
        <v>140</v>
      </c>
      <c r="F302" s="42">
        <v>1</v>
      </c>
      <c r="G302" s="42">
        <v>7</v>
      </c>
      <c r="H302" s="42">
        <v>1</v>
      </c>
      <c r="I302" s="42">
        <v>0</v>
      </c>
      <c r="J302" s="42">
        <v>205</v>
      </c>
      <c r="K302" s="42">
        <v>0</v>
      </c>
      <c r="L302" s="42">
        <v>0</v>
      </c>
      <c r="M302" s="42">
        <v>1</v>
      </c>
      <c r="N302" s="42">
        <v>0</v>
      </c>
      <c r="O302">
        <v>0</v>
      </c>
    </row>
    <row r="303" spans="3:15" x14ac:dyDescent="0.15">
      <c r="C303" s="43" t="s">
        <v>359</v>
      </c>
      <c r="D303" s="42">
        <v>5</v>
      </c>
      <c r="E303" s="42">
        <v>125</v>
      </c>
      <c r="F303" s="42">
        <v>2</v>
      </c>
      <c r="G303" s="42">
        <v>1.3</v>
      </c>
      <c r="H303" s="42">
        <v>1</v>
      </c>
      <c r="I303" s="42">
        <v>0</v>
      </c>
      <c r="J303" s="42">
        <v>0</v>
      </c>
      <c r="K303" s="42">
        <v>0</v>
      </c>
      <c r="L303" s="42">
        <v>0</v>
      </c>
      <c r="M303" s="42">
        <v>1</v>
      </c>
      <c r="N303" s="42">
        <v>1</v>
      </c>
      <c r="O303">
        <v>0</v>
      </c>
    </row>
    <row r="304" spans="3:15" x14ac:dyDescent="0.15">
      <c r="C304" s="43" t="s">
        <v>360</v>
      </c>
      <c r="D304" s="42">
        <v>23</v>
      </c>
      <c r="E304" s="42">
        <v>94</v>
      </c>
      <c r="F304" s="42">
        <v>1</v>
      </c>
      <c r="G304" s="42">
        <v>0.3</v>
      </c>
      <c r="H304" s="42">
        <v>1</v>
      </c>
      <c r="I304" s="42">
        <v>0</v>
      </c>
      <c r="J304" s="42">
        <v>0</v>
      </c>
      <c r="K304" s="42">
        <v>0</v>
      </c>
      <c r="L304" s="42">
        <v>0</v>
      </c>
      <c r="M304" s="42">
        <v>1</v>
      </c>
      <c r="N304" s="42">
        <v>0</v>
      </c>
      <c r="O304">
        <v>0</v>
      </c>
    </row>
    <row r="305" spans="3:15" x14ac:dyDescent="0.15">
      <c r="C305" s="43" t="s">
        <v>361</v>
      </c>
      <c r="D305" s="42">
        <v>3</v>
      </c>
      <c r="E305" s="42">
        <v>134</v>
      </c>
      <c r="F305" s="42">
        <v>2</v>
      </c>
      <c r="G305" s="42">
        <v>3.1</v>
      </c>
      <c r="H305" s="42">
        <v>1</v>
      </c>
      <c r="I305" s="42">
        <v>0</v>
      </c>
      <c r="J305" s="42">
        <v>0</v>
      </c>
      <c r="K305" s="42">
        <v>0</v>
      </c>
      <c r="L305" s="42">
        <v>0</v>
      </c>
      <c r="M305" s="42">
        <v>1</v>
      </c>
      <c r="N305" s="42">
        <v>0</v>
      </c>
      <c r="O305">
        <v>0</v>
      </c>
    </row>
    <row r="306" spans="3:15" x14ac:dyDescent="0.15">
      <c r="C306" s="43" t="s">
        <v>362</v>
      </c>
      <c r="D306" s="42">
        <v>12</v>
      </c>
      <c r="E306" s="42">
        <v>81</v>
      </c>
      <c r="F306" s="42">
        <v>1</v>
      </c>
      <c r="G306" s="42">
        <v>2.8</v>
      </c>
      <c r="H306" s="42">
        <v>1</v>
      </c>
      <c r="I306" s="42">
        <v>0</v>
      </c>
      <c r="J306" s="42">
        <v>0</v>
      </c>
      <c r="K306" s="42">
        <v>0</v>
      </c>
      <c r="L306" s="42">
        <v>0</v>
      </c>
      <c r="M306" s="42">
        <v>0</v>
      </c>
      <c r="N306" s="42">
        <v>0</v>
      </c>
      <c r="O306">
        <v>0</v>
      </c>
    </row>
    <row r="307" spans="3:15" x14ac:dyDescent="0.15">
      <c r="C307" s="43" t="s">
        <v>363</v>
      </c>
      <c r="D307" s="42">
        <v>6</v>
      </c>
      <c r="E307" s="42">
        <v>42</v>
      </c>
      <c r="F307" s="42">
        <v>1</v>
      </c>
      <c r="G307" s="42">
        <v>0.2</v>
      </c>
      <c r="H307" s="42">
        <v>0</v>
      </c>
      <c r="I307" s="42">
        <v>0</v>
      </c>
      <c r="J307" s="42">
        <v>100</v>
      </c>
      <c r="K307" s="42">
        <v>0</v>
      </c>
      <c r="L307" s="42">
        <v>0</v>
      </c>
      <c r="M307" s="42">
        <v>0</v>
      </c>
      <c r="N307" s="42">
        <v>1</v>
      </c>
      <c r="O307">
        <v>0</v>
      </c>
    </row>
    <row r="308" spans="3:15" x14ac:dyDescent="0.15">
      <c r="C308" s="43" t="s">
        <v>364</v>
      </c>
      <c r="D308" s="42">
        <v>32</v>
      </c>
      <c r="E308" s="42">
        <v>191</v>
      </c>
      <c r="F308" s="42">
        <v>1</v>
      </c>
      <c r="G308" s="42">
        <v>2.9</v>
      </c>
      <c r="H308" s="42">
        <v>1</v>
      </c>
      <c r="I308" s="42">
        <v>0</v>
      </c>
      <c r="J308" s="42">
        <v>0</v>
      </c>
      <c r="K308" s="42">
        <v>0</v>
      </c>
      <c r="L308" s="42">
        <v>0</v>
      </c>
      <c r="M308" s="42">
        <v>0</v>
      </c>
      <c r="N308" s="42">
        <v>0</v>
      </c>
      <c r="O308">
        <v>0</v>
      </c>
    </row>
    <row r="309" spans="3:15" x14ac:dyDescent="0.15">
      <c r="C309" s="43" t="s">
        <v>365</v>
      </c>
      <c r="D309" s="42">
        <v>16</v>
      </c>
      <c r="E309" s="42">
        <v>8</v>
      </c>
      <c r="F309" s="42">
        <v>3</v>
      </c>
      <c r="G309" s="42">
        <v>0.66666666666666663</v>
      </c>
      <c r="H309" s="42">
        <v>0</v>
      </c>
      <c r="I309" s="42">
        <v>1</v>
      </c>
      <c r="J309" s="42">
        <v>88</v>
      </c>
      <c r="K309" s="42">
        <v>0</v>
      </c>
      <c r="L309" s="42">
        <v>0</v>
      </c>
      <c r="M309" s="42">
        <v>1</v>
      </c>
      <c r="N309" s="42">
        <v>0</v>
      </c>
      <c r="O309">
        <v>0</v>
      </c>
    </row>
    <row r="310" spans="3:15" x14ac:dyDescent="0.15">
      <c r="C310" s="43" t="s">
        <v>366</v>
      </c>
      <c r="D310" s="42">
        <v>20</v>
      </c>
      <c r="E310" s="42">
        <v>138</v>
      </c>
      <c r="F310" s="42">
        <v>1</v>
      </c>
      <c r="G310" s="42">
        <v>7</v>
      </c>
      <c r="H310" s="42">
        <v>1</v>
      </c>
      <c r="I310" s="42">
        <v>0</v>
      </c>
      <c r="J310" s="42">
        <v>0</v>
      </c>
      <c r="K310" s="42">
        <v>0</v>
      </c>
      <c r="L310" s="42">
        <v>0</v>
      </c>
      <c r="M310" s="42">
        <v>0</v>
      </c>
      <c r="N310" s="42">
        <v>1</v>
      </c>
      <c r="O310">
        <v>0</v>
      </c>
    </row>
    <row r="311" spans="3:15" x14ac:dyDescent="0.15">
      <c r="C311" s="43" t="s">
        <v>367</v>
      </c>
      <c r="D311" s="42">
        <v>9</v>
      </c>
      <c r="E311" s="42">
        <v>104</v>
      </c>
      <c r="F311" s="42">
        <v>3</v>
      </c>
      <c r="G311" s="42">
        <v>1.2</v>
      </c>
      <c r="H311" s="42">
        <v>0</v>
      </c>
      <c r="I311" s="42">
        <v>0</v>
      </c>
      <c r="J311" s="42">
        <v>0</v>
      </c>
      <c r="K311" s="42">
        <v>0</v>
      </c>
      <c r="L311" s="42">
        <v>0</v>
      </c>
      <c r="M311" s="42">
        <v>1</v>
      </c>
      <c r="N311" s="42">
        <v>0</v>
      </c>
      <c r="O311">
        <v>0</v>
      </c>
    </row>
    <row r="312" spans="3:15" x14ac:dyDescent="0.15">
      <c r="C312" s="43" t="s">
        <v>368</v>
      </c>
      <c r="D312" s="42">
        <v>27</v>
      </c>
      <c r="E312" s="42">
        <v>92</v>
      </c>
      <c r="F312" s="42">
        <v>2</v>
      </c>
      <c r="G312" s="42">
        <v>1.1000000000000001</v>
      </c>
      <c r="H312" s="42">
        <v>1</v>
      </c>
      <c r="I312" s="42">
        <v>0</v>
      </c>
      <c r="J312" s="42">
        <v>0</v>
      </c>
      <c r="K312" s="42">
        <v>1</v>
      </c>
      <c r="L312" s="42">
        <v>0</v>
      </c>
      <c r="M312" s="42">
        <v>0</v>
      </c>
      <c r="N312" s="42">
        <v>0</v>
      </c>
      <c r="O312">
        <v>0</v>
      </c>
    </row>
    <row r="313" spans="3:15" x14ac:dyDescent="0.15">
      <c r="C313" s="43" t="s">
        <v>369</v>
      </c>
      <c r="D313" s="42">
        <v>28</v>
      </c>
      <c r="E313" s="42">
        <v>118</v>
      </c>
      <c r="F313" s="42">
        <v>2</v>
      </c>
      <c r="G313" s="42">
        <v>6.8</v>
      </c>
      <c r="H313" s="42">
        <v>1</v>
      </c>
      <c r="I313" s="42">
        <v>0</v>
      </c>
      <c r="J313" s="42">
        <v>112</v>
      </c>
      <c r="K313" s="42">
        <v>0</v>
      </c>
      <c r="L313" s="42">
        <v>0</v>
      </c>
      <c r="M313" s="42">
        <v>1</v>
      </c>
      <c r="N313" s="42">
        <v>0</v>
      </c>
      <c r="O313">
        <v>0</v>
      </c>
    </row>
    <row r="314" spans="3:15" x14ac:dyDescent="0.15">
      <c r="C314" s="43" t="s">
        <v>370</v>
      </c>
      <c r="D314" s="42">
        <v>18</v>
      </c>
      <c r="E314" s="42">
        <v>59</v>
      </c>
      <c r="F314" s="42">
        <v>1</v>
      </c>
      <c r="G314" s="42">
        <v>3.7</v>
      </c>
      <c r="H314" s="42">
        <v>0</v>
      </c>
      <c r="I314" s="42">
        <v>0</v>
      </c>
      <c r="J314" s="42">
        <v>0</v>
      </c>
      <c r="K314" s="42">
        <v>0</v>
      </c>
      <c r="L314" s="42">
        <v>0</v>
      </c>
      <c r="M314" s="42">
        <v>1</v>
      </c>
      <c r="N314" s="42">
        <v>0</v>
      </c>
      <c r="O314">
        <v>0</v>
      </c>
    </row>
    <row r="315" spans="3:15" x14ac:dyDescent="0.15">
      <c r="C315" s="43" t="s">
        <v>371</v>
      </c>
      <c r="D315" s="42">
        <v>24</v>
      </c>
      <c r="E315" s="42">
        <v>50</v>
      </c>
      <c r="F315" s="42">
        <v>3</v>
      </c>
      <c r="G315" s="42">
        <v>2</v>
      </c>
      <c r="H315" s="42">
        <v>0</v>
      </c>
      <c r="I315" s="42">
        <v>0</v>
      </c>
      <c r="J315" s="42">
        <v>0</v>
      </c>
      <c r="K315" s="42">
        <v>0</v>
      </c>
      <c r="L315" s="42">
        <v>0</v>
      </c>
      <c r="M315" s="42">
        <v>1</v>
      </c>
      <c r="N315" s="42">
        <v>1</v>
      </c>
      <c r="O315">
        <v>0</v>
      </c>
    </row>
    <row r="316" spans="3:15" x14ac:dyDescent="0.15">
      <c r="C316" s="43" t="s">
        <v>372</v>
      </c>
      <c r="D316" s="42">
        <v>14</v>
      </c>
      <c r="E316" s="42">
        <v>90</v>
      </c>
      <c r="F316" s="42">
        <v>2</v>
      </c>
      <c r="G316" s="42">
        <v>2.7</v>
      </c>
      <c r="H316" s="42">
        <v>1</v>
      </c>
      <c r="I316" s="42">
        <v>0</v>
      </c>
      <c r="J316" s="42">
        <v>0</v>
      </c>
      <c r="K316" s="42">
        <v>0</v>
      </c>
      <c r="L316" s="42">
        <v>0</v>
      </c>
      <c r="M316" s="42">
        <v>1</v>
      </c>
      <c r="N316" s="42">
        <v>1</v>
      </c>
      <c r="O316">
        <v>0</v>
      </c>
    </row>
    <row r="317" spans="3:15" x14ac:dyDescent="0.15">
      <c r="C317" s="43" t="s">
        <v>373</v>
      </c>
      <c r="D317" s="42">
        <v>25</v>
      </c>
      <c r="E317" s="42">
        <v>23</v>
      </c>
      <c r="F317" s="42">
        <v>4</v>
      </c>
      <c r="G317" s="42">
        <v>0.4</v>
      </c>
      <c r="H317" s="42">
        <v>0</v>
      </c>
      <c r="I317" s="42">
        <v>0</v>
      </c>
      <c r="J317" s="42">
        <v>88</v>
      </c>
      <c r="K317" s="42">
        <v>0</v>
      </c>
      <c r="L317" s="42">
        <v>0</v>
      </c>
      <c r="M317" s="42">
        <v>0</v>
      </c>
      <c r="N317" s="42">
        <v>0</v>
      </c>
      <c r="O317">
        <v>0</v>
      </c>
    </row>
    <row r="318" spans="3:15" x14ac:dyDescent="0.15">
      <c r="C318" s="43" t="s">
        <v>374</v>
      </c>
      <c r="D318" s="42">
        <v>29</v>
      </c>
      <c r="E318" s="42">
        <v>55</v>
      </c>
      <c r="F318" s="42">
        <v>4</v>
      </c>
      <c r="G318" s="42">
        <v>1.1000000000000001</v>
      </c>
      <c r="H318" s="42">
        <v>0</v>
      </c>
      <c r="I318" s="42">
        <v>1</v>
      </c>
      <c r="J318" s="42">
        <v>0</v>
      </c>
      <c r="K318" s="42">
        <v>0</v>
      </c>
      <c r="L318" s="42">
        <v>0</v>
      </c>
      <c r="M318" s="42">
        <v>1</v>
      </c>
      <c r="N318" s="42">
        <v>0</v>
      </c>
      <c r="O318">
        <v>0</v>
      </c>
    </row>
    <row r="319" spans="3:15" x14ac:dyDescent="0.15">
      <c r="C319" s="43" t="s">
        <v>375</v>
      </c>
      <c r="D319" s="42">
        <v>39</v>
      </c>
      <c r="E319" s="42">
        <v>129</v>
      </c>
      <c r="F319" s="42">
        <v>1</v>
      </c>
      <c r="G319" s="42">
        <v>2.5</v>
      </c>
      <c r="H319" s="42">
        <v>1</v>
      </c>
      <c r="I319" s="42">
        <v>0</v>
      </c>
      <c r="J319" s="42">
        <v>0</v>
      </c>
      <c r="K319" s="42">
        <v>0</v>
      </c>
      <c r="L319" s="42">
        <v>0</v>
      </c>
      <c r="M319" s="42">
        <v>1</v>
      </c>
      <c r="N319" s="42">
        <v>0</v>
      </c>
      <c r="O319">
        <v>0</v>
      </c>
    </row>
    <row r="320" spans="3:15" x14ac:dyDescent="0.15">
      <c r="C320" s="43" t="s">
        <v>376</v>
      </c>
      <c r="D320" s="42">
        <v>33</v>
      </c>
      <c r="E320" s="42">
        <v>52</v>
      </c>
      <c r="F320" s="42">
        <v>4</v>
      </c>
      <c r="G320" s="42">
        <v>1.6666666666666667</v>
      </c>
      <c r="H320" s="42">
        <v>0</v>
      </c>
      <c r="I320" s="42">
        <v>0</v>
      </c>
      <c r="J320" s="42">
        <v>0</v>
      </c>
      <c r="K320" s="42">
        <v>0</v>
      </c>
      <c r="L320" s="42">
        <v>0</v>
      </c>
      <c r="M320" s="42">
        <v>0</v>
      </c>
      <c r="N320" s="42">
        <v>0</v>
      </c>
      <c r="O320">
        <v>0</v>
      </c>
    </row>
    <row r="321" spans="3:15" x14ac:dyDescent="0.15">
      <c r="C321" s="43" t="s">
        <v>377</v>
      </c>
      <c r="D321" s="42">
        <v>38</v>
      </c>
      <c r="E321" s="42">
        <v>111</v>
      </c>
      <c r="F321" s="42">
        <v>2</v>
      </c>
      <c r="G321" s="42">
        <v>3.9</v>
      </c>
      <c r="H321" s="42">
        <v>1</v>
      </c>
      <c r="I321" s="42">
        <v>0</v>
      </c>
      <c r="J321" s="42">
        <v>207</v>
      </c>
      <c r="K321" s="42">
        <v>1</v>
      </c>
      <c r="L321" s="42">
        <v>1</v>
      </c>
      <c r="M321" s="42">
        <v>1</v>
      </c>
      <c r="N321" s="42">
        <v>1</v>
      </c>
      <c r="O321">
        <v>0</v>
      </c>
    </row>
    <row r="322" spans="3:15" x14ac:dyDescent="0.15">
      <c r="C322" s="43" t="s">
        <v>378</v>
      </c>
      <c r="D322" s="42">
        <v>25</v>
      </c>
      <c r="E322" s="42">
        <v>83</v>
      </c>
      <c r="F322" s="42">
        <v>4</v>
      </c>
      <c r="G322" s="42">
        <v>3.1</v>
      </c>
      <c r="H322" s="42">
        <v>1</v>
      </c>
      <c r="I322" s="42">
        <v>0</v>
      </c>
      <c r="J322" s="42">
        <v>0</v>
      </c>
      <c r="K322" s="42">
        <v>0</v>
      </c>
      <c r="L322" s="42">
        <v>0</v>
      </c>
      <c r="M322" s="42">
        <v>0</v>
      </c>
      <c r="N322" s="42">
        <v>1</v>
      </c>
      <c r="O322">
        <v>1</v>
      </c>
    </row>
    <row r="323" spans="3:15" x14ac:dyDescent="0.15">
      <c r="C323" s="43" t="s">
        <v>379</v>
      </c>
      <c r="D323" s="42">
        <v>37</v>
      </c>
      <c r="E323" s="42">
        <v>44</v>
      </c>
      <c r="F323" s="42">
        <v>2</v>
      </c>
      <c r="G323" s="42">
        <v>1</v>
      </c>
      <c r="H323" s="42">
        <v>0</v>
      </c>
      <c r="I323" s="42">
        <v>0</v>
      </c>
      <c r="J323" s="42">
        <v>0</v>
      </c>
      <c r="K323" s="42">
        <v>0</v>
      </c>
      <c r="L323" s="42">
        <v>0</v>
      </c>
      <c r="M323" s="42">
        <v>1</v>
      </c>
      <c r="N323" s="42">
        <v>0</v>
      </c>
      <c r="O323">
        <v>0</v>
      </c>
    </row>
    <row r="324" spans="3:15" x14ac:dyDescent="0.15">
      <c r="C324" s="43" t="s">
        <v>380</v>
      </c>
      <c r="D324" s="42">
        <v>34</v>
      </c>
      <c r="E324" s="42">
        <v>60</v>
      </c>
      <c r="F324" s="42">
        <v>1</v>
      </c>
      <c r="G324" s="42">
        <v>2.5</v>
      </c>
      <c r="H324" s="42">
        <v>0</v>
      </c>
      <c r="I324" s="42">
        <v>0</v>
      </c>
      <c r="J324" s="42">
        <v>103</v>
      </c>
      <c r="K324" s="42">
        <v>0</v>
      </c>
      <c r="L324" s="42">
        <v>0</v>
      </c>
      <c r="M324" s="42">
        <v>0</v>
      </c>
      <c r="N324" s="42">
        <v>0</v>
      </c>
      <c r="O324">
        <v>0</v>
      </c>
    </row>
    <row r="325" spans="3:15" x14ac:dyDescent="0.15">
      <c r="C325" s="43" t="s">
        <v>381</v>
      </c>
      <c r="D325" s="42">
        <v>15</v>
      </c>
      <c r="E325" s="42">
        <v>79</v>
      </c>
      <c r="F325" s="42">
        <v>2</v>
      </c>
      <c r="G325" s="42">
        <v>1.8</v>
      </c>
      <c r="H325" s="42">
        <v>0</v>
      </c>
      <c r="I325" s="42">
        <v>1</v>
      </c>
      <c r="J325" s="42">
        <v>219</v>
      </c>
      <c r="K325" s="42">
        <v>0</v>
      </c>
      <c r="L325" s="42">
        <v>0</v>
      </c>
      <c r="M325" s="42">
        <v>0</v>
      </c>
      <c r="N325" s="42">
        <v>0</v>
      </c>
      <c r="O325">
        <v>0</v>
      </c>
    </row>
    <row r="326" spans="3:15" x14ac:dyDescent="0.15">
      <c r="C326" s="43" t="s">
        <v>382</v>
      </c>
      <c r="D326" s="42">
        <v>16</v>
      </c>
      <c r="E326" s="42">
        <v>49</v>
      </c>
      <c r="F326" s="42">
        <v>3</v>
      </c>
      <c r="G326" s="42">
        <v>0.5</v>
      </c>
      <c r="H326" s="42">
        <v>0</v>
      </c>
      <c r="I326" s="42">
        <v>0</v>
      </c>
      <c r="J326" s="42">
        <v>0</v>
      </c>
      <c r="K326" s="42">
        <v>0</v>
      </c>
      <c r="L326" s="42">
        <v>0</v>
      </c>
      <c r="M326" s="42">
        <v>1</v>
      </c>
      <c r="N326" s="42">
        <v>0</v>
      </c>
      <c r="O326">
        <v>0</v>
      </c>
    </row>
    <row r="327" spans="3:15" x14ac:dyDescent="0.15">
      <c r="C327" s="43" t="s">
        <v>383</v>
      </c>
      <c r="D327" s="42">
        <v>30</v>
      </c>
      <c r="E327" s="42">
        <v>45</v>
      </c>
      <c r="F327" s="42">
        <v>4</v>
      </c>
      <c r="G327" s="42">
        <v>1.5</v>
      </c>
      <c r="H327" s="42">
        <v>0</v>
      </c>
      <c r="I327" s="42">
        <v>0</v>
      </c>
      <c r="J327" s="42">
        <v>0</v>
      </c>
      <c r="K327" s="42">
        <v>0</v>
      </c>
      <c r="L327" s="42">
        <v>0</v>
      </c>
      <c r="M327" s="42">
        <v>0</v>
      </c>
      <c r="N327" s="42">
        <v>0</v>
      </c>
      <c r="O327">
        <v>0</v>
      </c>
    </row>
    <row r="328" spans="3:15" x14ac:dyDescent="0.15">
      <c r="C328" s="43" t="s">
        <v>384</v>
      </c>
      <c r="D328" s="42">
        <v>15</v>
      </c>
      <c r="E328" s="42">
        <v>25</v>
      </c>
      <c r="F328" s="42">
        <v>1</v>
      </c>
      <c r="G328" s="42">
        <v>1.4</v>
      </c>
      <c r="H328" s="42">
        <v>0</v>
      </c>
      <c r="I328" s="42">
        <v>0</v>
      </c>
      <c r="J328" s="42">
        <v>0</v>
      </c>
      <c r="K328" s="42">
        <v>0</v>
      </c>
      <c r="L328" s="42">
        <v>0</v>
      </c>
      <c r="M328" s="42">
        <v>0</v>
      </c>
      <c r="N328" s="42">
        <v>0</v>
      </c>
      <c r="O328">
        <v>0</v>
      </c>
    </row>
    <row r="329" spans="3:15" x14ac:dyDescent="0.15">
      <c r="C329" s="43" t="s">
        <v>385</v>
      </c>
      <c r="D329" s="42">
        <v>4</v>
      </c>
      <c r="E329" s="42">
        <v>34</v>
      </c>
      <c r="F329" s="42">
        <v>1</v>
      </c>
      <c r="G329" s="42">
        <v>1.8</v>
      </c>
      <c r="H329" s="42">
        <v>0</v>
      </c>
      <c r="I329" s="42">
        <v>1</v>
      </c>
      <c r="J329" s="42">
        <v>0</v>
      </c>
      <c r="K329" s="42">
        <v>0</v>
      </c>
      <c r="L329" s="42">
        <v>0</v>
      </c>
      <c r="M329" s="42">
        <v>1</v>
      </c>
      <c r="N329" s="42">
        <v>0</v>
      </c>
      <c r="O329">
        <v>0</v>
      </c>
    </row>
    <row r="330" spans="3:15" x14ac:dyDescent="0.15">
      <c r="C330" s="43" t="s">
        <v>386</v>
      </c>
      <c r="D330" s="42">
        <v>13</v>
      </c>
      <c r="E330" s="42">
        <v>93</v>
      </c>
      <c r="F330" s="42">
        <v>1</v>
      </c>
      <c r="G330" s="42">
        <v>1.5</v>
      </c>
      <c r="H330" s="42">
        <v>0</v>
      </c>
      <c r="I330" s="42">
        <v>0</v>
      </c>
      <c r="J330" s="42">
        <v>0</v>
      </c>
      <c r="K330" s="42">
        <v>0</v>
      </c>
      <c r="L330" s="42">
        <v>0</v>
      </c>
      <c r="M330" s="42">
        <v>0</v>
      </c>
      <c r="N330" s="42">
        <v>1</v>
      </c>
      <c r="O330">
        <v>0</v>
      </c>
    </row>
    <row r="331" spans="3:15" x14ac:dyDescent="0.15">
      <c r="C331" s="43" t="s">
        <v>387</v>
      </c>
      <c r="D331" s="42">
        <v>22</v>
      </c>
      <c r="E331" s="42">
        <v>40</v>
      </c>
      <c r="F331" s="42">
        <v>3</v>
      </c>
      <c r="G331" s="42">
        <v>2.7</v>
      </c>
      <c r="H331" s="42">
        <v>0</v>
      </c>
      <c r="I331" s="42">
        <v>1</v>
      </c>
      <c r="J331" s="42">
        <v>0</v>
      </c>
      <c r="K331" s="42">
        <v>0</v>
      </c>
      <c r="L331" s="42">
        <v>0</v>
      </c>
      <c r="M331" s="42">
        <v>1</v>
      </c>
      <c r="N331" s="42">
        <v>0</v>
      </c>
      <c r="O331">
        <v>0</v>
      </c>
    </row>
    <row r="332" spans="3:15" x14ac:dyDescent="0.15">
      <c r="C332" s="43" t="s">
        <v>388</v>
      </c>
      <c r="D332" s="42">
        <v>36</v>
      </c>
      <c r="E332" s="42">
        <v>10</v>
      </c>
      <c r="F332" s="42">
        <v>1</v>
      </c>
      <c r="G332" s="42">
        <v>0.1</v>
      </c>
      <c r="H332" s="42">
        <v>1</v>
      </c>
      <c r="I332" s="42">
        <v>0</v>
      </c>
      <c r="J332" s="42">
        <v>0</v>
      </c>
      <c r="K332" s="42">
        <v>0</v>
      </c>
      <c r="L332" s="42">
        <v>0</v>
      </c>
      <c r="M332" s="42">
        <v>0</v>
      </c>
      <c r="N332" s="42">
        <v>0</v>
      </c>
      <c r="O332">
        <v>0</v>
      </c>
    </row>
    <row r="333" spans="3:15" x14ac:dyDescent="0.15">
      <c r="C333" s="43" t="s">
        <v>389</v>
      </c>
      <c r="D333" s="42">
        <v>8</v>
      </c>
      <c r="E333" s="42">
        <v>25</v>
      </c>
      <c r="F333" s="42">
        <v>3</v>
      </c>
      <c r="G333" s="42">
        <v>0.9</v>
      </c>
      <c r="H333" s="42">
        <v>0</v>
      </c>
      <c r="I333" s="42">
        <v>0</v>
      </c>
      <c r="J333" s="42">
        <v>0</v>
      </c>
      <c r="K333" s="42">
        <v>0</v>
      </c>
      <c r="L333" s="42">
        <v>0</v>
      </c>
      <c r="M333" s="42">
        <v>1</v>
      </c>
      <c r="N333" s="42">
        <v>1</v>
      </c>
      <c r="O333">
        <v>0</v>
      </c>
    </row>
    <row r="334" spans="3:15" x14ac:dyDescent="0.15">
      <c r="C334" s="43" t="s">
        <v>390</v>
      </c>
      <c r="D334" s="42">
        <v>23</v>
      </c>
      <c r="E334" s="42">
        <v>84</v>
      </c>
      <c r="F334" s="42">
        <v>3</v>
      </c>
      <c r="G334" s="42">
        <v>2.1</v>
      </c>
      <c r="H334" s="42">
        <v>1</v>
      </c>
      <c r="I334" s="42">
        <v>0</v>
      </c>
      <c r="J334" s="42">
        <v>134</v>
      </c>
      <c r="K334" s="42">
        <v>1</v>
      </c>
      <c r="L334" s="42">
        <v>0</v>
      </c>
      <c r="M334" s="42">
        <v>1</v>
      </c>
      <c r="N334" s="42">
        <v>0</v>
      </c>
      <c r="O334">
        <v>0</v>
      </c>
    </row>
    <row r="335" spans="3:15" x14ac:dyDescent="0.15">
      <c r="C335" s="43" t="s">
        <v>391</v>
      </c>
      <c r="D335" s="42">
        <v>6</v>
      </c>
      <c r="E335" s="42">
        <v>58</v>
      </c>
      <c r="F335" s="42">
        <v>2</v>
      </c>
      <c r="G335" s="42">
        <v>2.5</v>
      </c>
      <c r="H335" s="42">
        <v>1</v>
      </c>
      <c r="I335" s="42">
        <v>0</v>
      </c>
      <c r="J335" s="42">
        <v>0</v>
      </c>
      <c r="K335" s="42">
        <v>0</v>
      </c>
      <c r="L335" s="42">
        <v>0</v>
      </c>
      <c r="M335" s="42">
        <v>0</v>
      </c>
      <c r="N335" s="42">
        <v>1</v>
      </c>
      <c r="O335">
        <v>0</v>
      </c>
    </row>
    <row r="336" spans="3:15" x14ac:dyDescent="0.15">
      <c r="C336" s="43" t="s">
        <v>392</v>
      </c>
      <c r="D336" s="42">
        <v>27</v>
      </c>
      <c r="E336" s="42">
        <v>80</v>
      </c>
      <c r="F336" s="42">
        <v>1</v>
      </c>
      <c r="G336" s="42">
        <v>2.6</v>
      </c>
      <c r="H336" s="42">
        <v>0</v>
      </c>
      <c r="I336" s="42">
        <v>1</v>
      </c>
      <c r="J336" s="42">
        <v>0</v>
      </c>
      <c r="K336" s="42">
        <v>0</v>
      </c>
      <c r="L336" s="42">
        <v>0</v>
      </c>
      <c r="M336" s="42">
        <v>1</v>
      </c>
      <c r="N336" s="42">
        <v>1</v>
      </c>
      <c r="O336">
        <v>0</v>
      </c>
    </row>
    <row r="337" spans="3:15" x14ac:dyDescent="0.15">
      <c r="C337" s="43" t="s">
        <v>393</v>
      </c>
      <c r="D337" s="42">
        <v>20</v>
      </c>
      <c r="E337" s="42">
        <v>71</v>
      </c>
      <c r="F337" s="42">
        <v>4</v>
      </c>
      <c r="G337" s="42">
        <v>1.9</v>
      </c>
      <c r="H337" s="42">
        <v>1</v>
      </c>
      <c r="I337" s="42">
        <v>0</v>
      </c>
      <c r="J337" s="42">
        <v>207</v>
      </c>
      <c r="K337" s="42">
        <v>0</v>
      </c>
      <c r="L337" s="42">
        <v>0</v>
      </c>
      <c r="M337" s="42">
        <v>1</v>
      </c>
      <c r="N337" s="42">
        <v>0</v>
      </c>
      <c r="O337">
        <v>0</v>
      </c>
    </row>
    <row r="338" spans="3:15" x14ac:dyDescent="0.15">
      <c r="C338" s="43" t="s">
        <v>394</v>
      </c>
      <c r="D338" s="42">
        <v>17</v>
      </c>
      <c r="E338" s="42">
        <v>61</v>
      </c>
      <c r="F338" s="42">
        <v>3</v>
      </c>
      <c r="G338" s="42">
        <v>0.5</v>
      </c>
      <c r="H338" s="42">
        <v>0</v>
      </c>
      <c r="I338" s="42">
        <v>0</v>
      </c>
      <c r="J338" s="42">
        <v>0</v>
      </c>
      <c r="K338" s="42">
        <v>0</v>
      </c>
      <c r="L338" s="42">
        <v>0</v>
      </c>
      <c r="M338" s="42">
        <v>1</v>
      </c>
      <c r="N338" s="42">
        <v>0</v>
      </c>
      <c r="O338">
        <v>0</v>
      </c>
    </row>
    <row r="339" spans="3:15" x14ac:dyDescent="0.15">
      <c r="C339" s="43" t="s">
        <v>395</v>
      </c>
      <c r="D339" s="42">
        <v>14</v>
      </c>
      <c r="E339" s="42">
        <v>28</v>
      </c>
      <c r="F339" s="42">
        <v>4</v>
      </c>
      <c r="G339" s="42">
        <v>1.5</v>
      </c>
      <c r="H339" s="42">
        <v>0</v>
      </c>
      <c r="I339" s="42">
        <v>0</v>
      </c>
      <c r="J339" s="42">
        <v>0</v>
      </c>
      <c r="K339" s="42">
        <v>0</v>
      </c>
      <c r="L339" s="42">
        <v>0</v>
      </c>
      <c r="M339" s="42">
        <v>0</v>
      </c>
      <c r="N339" s="42">
        <v>1</v>
      </c>
      <c r="O339">
        <v>0</v>
      </c>
    </row>
    <row r="340" spans="3:15" x14ac:dyDescent="0.15">
      <c r="C340" s="43" t="s">
        <v>396</v>
      </c>
      <c r="D340" s="42">
        <v>24</v>
      </c>
      <c r="E340" s="42">
        <v>165</v>
      </c>
      <c r="F340" s="42">
        <v>1</v>
      </c>
      <c r="G340" s="42">
        <v>5</v>
      </c>
      <c r="H340" s="42">
        <v>1</v>
      </c>
      <c r="I340" s="42">
        <v>0</v>
      </c>
      <c r="J340" s="42">
        <v>0</v>
      </c>
      <c r="K340" s="42">
        <v>0</v>
      </c>
      <c r="L340" s="42">
        <v>0</v>
      </c>
      <c r="M340" s="42">
        <v>0</v>
      </c>
      <c r="N340" s="42">
        <v>1</v>
      </c>
      <c r="O340">
        <v>0</v>
      </c>
    </row>
    <row r="341" spans="3:15" x14ac:dyDescent="0.15">
      <c r="C341" s="43" t="s">
        <v>397</v>
      </c>
      <c r="D341" s="42">
        <v>7</v>
      </c>
      <c r="E341" s="42">
        <v>48</v>
      </c>
      <c r="F341" s="42">
        <v>4</v>
      </c>
      <c r="G341" s="42">
        <v>2.2000000000000002</v>
      </c>
      <c r="H341" s="42">
        <v>0</v>
      </c>
      <c r="I341" s="42">
        <v>1</v>
      </c>
      <c r="J341" s="42">
        <v>207</v>
      </c>
      <c r="K341" s="42">
        <v>0</v>
      </c>
      <c r="L341" s="42">
        <v>0</v>
      </c>
      <c r="M341" s="42">
        <v>0</v>
      </c>
      <c r="N341" s="42">
        <v>0</v>
      </c>
      <c r="O341">
        <v>0</v>
      </c>
    </row>
    <row r="342" spans="3:15" x14ac:dyDescent="0.15">
      <c r="C342" s="43" t="s">
        <v>398</v>
      </c>
      <c r="D342" s="42">
        <v>12</v>
      </c>
      <c r="E342" s="42">
        <v>100</v>
      </c>
      <c r="F342" s="42">
        <v>3</v>
      </c>
      <c r="G342" s="42">
        <v>1.2</v>
      </c>
      <c r="H342" s="42">
        <v>0</v>
      </c>
      <c r="I342" s="42">
        <v>0</v>
      </c>
      <c r="J342" s="42">
        <v>341</v>
      </c>
      <c r="K342" s="42">
        <v>0</v>
      </c>
      <c r="L342" s="42">
        <v>0</v>
      </c>
      <c r="M342" s="42">
        <v>1</v>
      </c>
      <c r="N342" s="42">
        <v>1</v>
      </c>
      <c r="O342">
        <v>0</v>
      </c>
    </row>
    <row r="343" spans="3:15" x14ac:dyDescent="0.15">
      <c r="C343" s="43" t="s">
        <v>399</v>
      </c>
      <c r="D343" s="42">
        <v>24</v>
      </c>
      <c r="E343" s="42">
        <v>32</v>
      </c>
      <c r="F343" s="42">
        <v>4</v>
      </c>
      <c r="G343" s="42">
        <v>1.8</v>
      </c>
      <c r="H343" s="42">
        <v>1</v>
      </c>
      <c r="I343" s="42">
        <v>0</v>
      </c>
      <c r="J343" s="42">
        <v>109</v>
      </c>
      <c r="K343" s="42">
        <v>0</v>
      </c>
      <c r="L343" s="42">
        <v>0</v>
      </c>
      <c r="M343" s="42">
        <v>1</v>
      </c>
      <c r="N343" s="42">
        <v>0</v>
      </c>
      <c r="O343">
        <v>0</v>
      </c>
    </row>
    <row r="344" spans="3:15" x14ac:dyDescent="0.15">
      <c r="C344" s="43" t="s">
        <v>400</v>
      </c>
      <c r="D344" s="42">
        <v>1</v>
      </c>
      <c r="E344" s="42">
        <v>80</v>
      </c>
      <c r="F344" s="42">
        <v>2</v>
      </c>
      <c r="G344" s="42">
        <v>1.6</v>
      </c>
      <c r="H344" s="42">
        <v>0</v>
      </c>
      <c r="I344" s="42">
        <v>0</v>
      </c>
      <c r="J344" s="42">
        <v>185</v>
      </c>
      <c r="K344" s="42">
        <v>0</v>
      </c>
      <c r="L344" s="42">
        <v>0</v>
      </c>
      <c r="M344" s="42">
        <v>1</v>
      </c>
      <c r="N344" s="42">
        <v>1</v>
      </c>
      <c r="O344">
        <v>0</v>
      </c>
    </row>
    <row r="345" spans="3:15" x14ac:dyDescent="0.15">
      <c r="C345" s="43" t="s">
        <v>401</v>
      </c>
      <c r="D345" s="42">
        <v>22</v>
      </c>
      <c r="E345" s="42">
        <v>65</v>
      </c>
      <c r="F345" s="42">
        <v>3</v>
      </c>
      <c r="G345" s="42">
        <v>2.7</v>
      </c>
      <c r="H345" s="42">
        <v>0</v>
      </c>
      <c r="I345" s="42">
        <v>1</v>
      </c>
      <c r="J345" s="42">
        <v>0</v>
      </c>
      <c r="K345" s="42">
        <v>0</v>
      </c>
      <c r="L345" s="42">
        <v>0</v>
      </c>
      <c r="M345" s="42">
        <v>1</v>
      </c>
      <c r="N345" s="42">
        <v>0</v>
      </c>
      <c r="O345">
        <v>0</v>
      </c>
    </row>
    <row r="346" spans="3:15" x14ac:dyDescent="0.15">
      <c r="C346" s="43" t="s">
        <v>402</v>
      </c>
      <c r="D346" s="42">
        <v>26</v>
      </c>
      <c r="E346" s="42">
        <v>113</v>
      </c>
      <c r="F346" s="42">
        <v>1</v>
      </c>
      <c r="G346" s="42">
        <v>1.3</v>
      </c>
      <c r="H346" s="42">
        <v>0</v>
      </c>
      <c r="I346" s="42">
        <v>0</v>
      </c>
      <c r="J346" s="42">
        <v>161</v>
      </c>
      <c r="K346" s="42">
        <v>0</v>
      </c>
      <c r="L346" s="42">
        <v>0</v>
      </c>
      <c r="M346" s="42">
        <v>1</v>
      </c>
      <c r="N346" s="42">
        <v>0</v>
      </c>
      <c r="O346">
        <v>0</v>
      </c>
    </row>
    <row r="347" spans="3:15" x14ac:dyDescent="0.15">
      <c r="C347" s="43" t="s">
        <v>403</v>
      </c>
      <c r="D347" s="42">
        <v>9</v>
      </c>
      <c r="E347" s="42">
        <v>49</v>
      </c>
      <c r="F347" s="42">
        <v>1</v>
      </c>
      <c r="G347" s="42">
        <v>2.5</v>
      </c>
      <c r="H347" s="42">
        <v>0</v>
      </c>
      <c r="I347" s="42">
        <v>0</v>
      </c>
      <c r="J347" s="42">
        <v>0</v>
      </c>
      <c r="K347" s="42">
        <v>0</v>
      </c>
      <c r="L347" s="42">
        <v>0</v>
      </c>
      <c r="M347" s="42">
        <v>0</v>
      </c>
      <c r="N347" s="42">
        <v>0</v>
      </c>
      <c r="O347">
        <v>0</v>
      </c>
    </row>
    <row r="348" spans="3:15" x14ac:dyDescent="0.15">
      <c r="C348" s="43" t="s">
        <v>404</v>
      </c>
      <c r="D348" s="42">
        <v>23</v>
      </c>
      <c r="E348" s="42">
        <v>190</v>
      </c>
      <c r="F348" s="42">
        <v>4</v>
      </c>
      <c r="G348" s="42">
        <v>0.3</v>
      </c>
      <c r="H348" s="42">
        <v>0</v>
      </c>
      <c r="I348" s="42">
        <v>0</v>
      </c>
      <c r="J348" s="42">
        <v>305</v>
      </c>
      <c r="K348" s="42">
        <v>0</v>
      </c>
      <c r="L348" s="42">
        <v>0</v>
      </c>
      <c r="M348" s="42">
        <v>0</v>
      </c>
      <c r="N348" s="42">
        <v>0</v>
      </c>
      <c r="O348">
        <v>1</v>
      </c>
    </row>
    <row r="349" spans="3:15" x14ac:dyDescent="0.15">
      <c r="C349" s="43" t="s">
        <v>405</v>
      </c>
      <c r="D349" s="42">
        <v>32</v>
      </c>
      <c r="E349" s="42">
        <v>25</v>
      </c>
      <c r="F349" s="42">
        <v>1</v>
      </c>
      <c r="G349" s="42">
        <v>0.1</v>
      </c>
      <c r="H349" s="42">
        <v>0</v>
      </c>
      <c r="I349" s="42">
        <v>1</v>
      </c>
      <c r="J349" s="42">
        <v>136</v>
      </c>
      <c r="K349" s="42">
        <v>0</v>
      </c>
      <c r="L349" s="42">
        <v>0</v>
      </c>
      <c r="M349" s="42">
        <v>1</v>
      </c>
      <c r="N349" s="42">
        <v>0</v>
      </c>
      <c r="O349">
        <v>0</v>
      </c>
    </row>
    <row r="350" spans="3:15" x14ac:dyDescent="0.15">
      <c r="C350" s="43" t="s">
        <v>406</v>
      </c>
      <c r="D350" s="42">
        <v>29</v>
      </c>
      <c r="E350" s="42">
        <v>39</v>
      </c>
      <c r="F350" s="42">
        <v>1</v>
      </c>
      <c r="G350" s="42">
        <v>0.2</v>
      </c>
      <c r="H350" s="42">
        <v>1</v>
      </c>
      <c r="I350" s="42">
        <v>0</v>
      </c>
      <c r="J350" s="42">
        <v>0</v>
      </c>
      <c r="K350" s="42">
        <v>0</v>
      </c>
      <c r="L350" s="42">
        <v>0</v>
      </c>
      <c r="M350" s="42">
        <v>0</v>
      </c>
      <c r="N350" s="42">
        <v>1</v>
      </c>
      <c r="O350">
        <v>0</v>
      </c>
    </row>
    <row r="351" spans="3:15" x14ac:dyDescent="0.15">
      <c r="C351" s="43" t="s">
        <v>407</v>
      </c>
      <c r="D351" s="42">
        <v>38</v>
      </c>
      <c r="E351" s="42">
        <v>140</v>
      </c>
      <c r="F351" s="42">
        <v>1</v>
      </c>
      <c r="G351" s="42">
        <v>2.5</v>
      </c>
      <c r="H351" s="42">
        <v>1</v>
      </c>
      <c r="I351" s="42">
        <v>0</v>
      </c>
      <c r="J351" s="42">
        <v>0</v>
      </c>
      <c r="K351" s="42">
        <v>0</v>
      </c>
      <c r="L351" s="42">
        <v>0</v>
      </c>
      <c r="M351" s="42">
        <v>0</v>
      </c>
      <c r="N351" s="42">
        <v>0</v>
      </c>
      <c r="O351">
        <v>0</v>
      </c>
    </row>
    <row r="352" spans="3:15" x14ac:dyDescent="0.15">
      <c r="C352" s="43" t="s">
        <v>408</v>
      </c>
      <c r="D352" s="42">
        <v>2</v>
      </c>
      <c r="E352" s="42">
        <v>60</v>
      </c>
      <c r="F352" s="42">
        <v>2</v>
      </c>
      <c r="G352" s="42">
        <v>3</v>
      </c>
      <c r="H352" s="42">
        <v>1</v>
      </c>
      <c r="I352" s="42">
        <v>0</v>
      </c>
      <c r="J352" s="42">
        <v>132</v>
      </c>
      <c r="K352" s="42">
        <v>0</v>
      </c>
      <c r="L352" s="42">
        <v>0</v>
      </c>
      <c r="M352" s="42">
        <v>0</v>
      </c>
      <c r="N352" s="42">
        <v>0</v>
      </c>
      <c r="O352">
        <v>1</v>
      </c>
    </row>
    <row r="353" spans="3:15" x14ac:dyDescent="0.15">
      <c r="C353" s="43" t="s">
        <v>409</v>
      </c>
      <c r="D353" s="42">
        <v>3</v>
      </c>
      <c r="E353" s="42">
        <v>103</v>
      </c>
      <c r="F353" s="42">
        <v>4</v>
      </c>
      <c r="G353" s="42">
        <v>3.4</v>
      </c>
      <c r="H353" s="42">
        <v>1</v>
      </c>
      <c r="I353" s="42">
        <v>0</v>
      </c>
      <c r="J353" s="42">
        <v>0</v>
      </c>
      <c r="K353" s="42">
        <v>0</v>
      </c>
      <c r="L353" s="42">
        <v>0</v>
      </c>
      <c r="M353" s="42">
        <v>1</v>
      </c>
      <c r="N353" s="42">
        <v>0</v>
      </c>
      <c r="O353">
        <v>1</v>
      </c>
    </row>
    <row r="354" spans="3:15" x14ac:dyDescent="0.15">
      <c r="C354" s="43" t="s">
        <v>410</v>
      </c>
      <c r="D354" s="42">
        <v>16</v>
      </c>
      <c r="E354" s="42">
        <v>113</v>
      </c>
      <c r="F354" s="42">
        <v>1</v>
      </c>
      <c r="G354" s="42">
        <v>1</v>
      </c>
      <c r="H354" s="42">
        <v>0</v>
      </c>
      <c r="I354" s="42">
        <v>0</v>
      </c>
      <c r="J354" s="42">
        <v>211</v>
      </c>
      <c r="K354" s="42">
        <v>0</v>
      </c>
      <c r="L354" s="42">
        <v>0</v>
      </c>
      <c r="M354" s="42">
        <v>0</v>
      </c>
      <c r="N354" s="42">
        <v>1</v>
      </c>
      <c r="O354">
        <v>0</v>
      </c>
    </row>
    <row r="355" spans="3:15" x14ac:dyDescent="0.15">
      <c r="C355" s="43" t="s">
        <v>411</v>
      </c>
      <c r="D355" s="42">
        <v>38</v>
      </c>
      <c r="E355" s="42">
        <v>40</v>
      </c>
      <c r="F355" s="42">
        <v>1</v>
      </c>
      <c r="G355" s="42">
        <v>2.5</v>
      </c>
      <c r="H355" s="42">
        <v>0</v>
      </c>
      <c r="I355" s="42">
        <v>0</v>
      </c>
      <c r="J355" s="42">
        <v>94</v>
      </c>
      <c r="K355" s="42">
        <v>0</v>
      </c>
      <c r="L355" s="42">
        <v>0</v>
      </c>
      <c r="M355" s="42">
        <v>1</v>
      </c>
      <c r="N355" s="42">
        <v>1</v>
      </c>
      <c r="O355">
        <v>0</v>
      </c>
    </row>
    <row r="356" spans="3:15" x14ac:dyDescent="0.15">
      <c r="C356" s="43" t="s">
        <v>412</v>
      </c>
      <c r="D356" s="42">
        <v>25</v>
      </c>
      <c r="E356" s="42">
        <v>20</v>
      </c>
      <c r="F356" s="42">
        <v>4</v>
      </c>
      <c r="G356" s="42">
        <v>1</v>
      </c>
      <c r="H356" s="42">
        <v>1</v>
      </c>
      <c r="I356" s="42">
        <v>0</v>
      </c>
      <c r="J356" s="42">
        <v>111</v>
      </c>
      <c r="K356" s="42">
        <v>0</v>
      </c>
      <c r="L356" s="42">
        <v>0</v>
      </c>
      <c r="M356" s="42">
        <v>1</v>
      </c>
      <c r="N356" s="42">
        <v>1</v>
      </c>
      <c r="O356">
        <v>0</v>
      </c>
    </row>
    <row r="357" spans="3:15" x14ac:dyDescent="0.15">
      <c r="C357" s="43" t="s">
        <v>413</v>
      </c>
      <c r="D357" s="42">
        <v>21</v>
      </c>
      <c r="E357" s="42">
        <v>152</v>
      </c>
      <c r="F357" s="42">
        <v>2</v>
      </c>
      <c r="G357" s="42">
        <v>7.5</v>
      </c>
      <c r="H357" s="42">
        <v>1</v>
      </c>
      <c r="I357" s="42">
        <v>0</v>
      </c>
      <c r="J357" s="42">
        <v>0</v>
      </c>
      <c r="K357" s="42">
        <v>0</v>
      </c>
      <c r="L357" s="42">
        <v>0</v>
      </c>
      <c r="M357" s="42">
        <v>1</v>
      </c>
      <c r="N357" s="42">
        <v>0</v>
      </c>
      <c r="O357">
        <v>0</v>
      </c>
    </row>
    <row r="358" spans="3:15" x14ac:dyDescent="0.15">
      <c r="C358" s="43" t="s">
        <v>414</v>
      </c>
      <c r="D358" s="42">
        <v>36</v>
      </c>
      <c r="E358" s="42">
        <v>132</v>
      </c>
      <c r="F358" s="42">
        <v>2</v>
      </c>
      <c r="G358" s="42">
        <v>6</v>
      </c>
      <c r="H358" s="42">
        <v>1</v>
      </c>
      <c r="I358" s="42">
        <v>0</v>
      </c>
      <c r="J358" s="42">
        <v>470</v>
      </c>
      <c r="K358" s="42">
        <v>0</v>
      </c>
      <c r="L358" s="42">
        <v>0</v>
      </c>
      <c r="M358" s="42">
        <v>1</v>
      </c>
      <c r="N358" s="42">
        <v>1</v>
      </c>
      <c r="O358">
        <v>0</v>
      </c>
    </row>
    <row r="359" spans="3:15" x14ac:dyDescent="0.15">
      <c r="C359" s="43" t="s">
        <v>415</v>
      </c>
      <c r="D359" s="42">
        <v>37</v>
      </c>
      <c r="E359" s="42">
        <v>139</v>
      </c>
      <c r="F359" s="42">
        <v>2</v>
      </c>
      <c r="G359" s="42">
        <v>6.9</v>
      </c>
      <c r="H359" s="42">
        <v>1</v>
      </c>
      <c r="I359" s="42">
        <v>0</v>
      </c>
      <c r="J359" s="42">
        <v>0</v>
      </c>
      <c r="K359" s="42">
        <v>0</v>
      </c>
      <c r="L359" s="42">
        <v>0</v>
      </c>
      <c r="M359" s="42">
        <v>0</v>
      </c>
      <c r="N359" s="42">
        <v>0</v>
      </c>
      <c r="O359">
        <v>0</v>
      </c>
    </row>
    <row r="360" spans="3:15" x14ac:dyDescent="0.15">
      <c r="C360" s="43" t="s">
        <v>416</v>
      </c>
      <c r="D360" s="42">
        <v>0</v>
      </c>
      <c r="E360" s="42">
        <v>13</v>
      </c>
      <c r="F360" s="42">
        <v>2</v>
      </c>
      <c r="G360" s="42">
        <v>0.9</v>
      </c>
      <c r="H360" s="42">
        <v>0</v>
      </c>
      <c r="I360" s="42">
        <v>0</v>
      </c>
      <c r="J360" s="42">
        <v>0</v>
      </c>
      <c r="K360" s="42">
        <v>0</v>
      </c>
      <c r="L360" s="42">
        <v>0</v>
      </c>
      <c r="M360" s="42">
        <v>1</v>
      </c>
      <c r="N360" s="42">
        <v>0</v>
      </c>
      <c r="O360">
        <v>0</v>
      </c>
    </row>
    <row r="361" spans="3:15" x14ac:dyDescent="0.15">
      <c r="C361" s="43" t="s">
        <v>417</v>
      </c>
      <c r="D361" s="42">
        <v>7</v>
      </c>
      <c r="E361" s="42">
        <v>81</v>
      </c>
      <c r="F361" s="42">
        <v>2</v>
      </c>
      <c r="G361" s="42">
        <v>4.5</v>
      </c>
      <c r="H361" s="42">
        <v>0</v>
      </c>
      <c r="I361" s="42">
        <v>0</v>
      </c>
      <c r="J361" s="42">
        <v>187</v>
      </c>
      <c r="K361" s="42">
        <v>0</v>
      </c>
      <c r="L361" s="42">
        <v>1</v>
      </c>
      <c r="M361" s="42">
        <v>1</v>
      </c>
      <c r="N361" s="42">
        <v>1</v>
      </c>
      <c r="O361">
        <v>0</v>
      </c>
    </row>
    <row r="362" spans="3:15" x14ac:dyDescent="0.15">
      <c r="C362" s="43" t="s">
        <v>418</v>
      </c>
      <c r="D362" s="42">
        <v>12</v>
      </c>
      <c r="E362" s="42">
        <v>29</v>
      </c>
      <c r="F362" s="42">
        <v>1</v>
      </c>
      <c r="G362" s="42">
        <v>1.3333333333333333</v>
      </c>
      <c r="H362" s="42">
        <v>1</v>
      </c>
      <c r="I362" s="42">
        <v>0</v>
      </c>
      <c r="J362" s="42">
        <v>81</v>
      </c>
      <c r="K362" s="42">
        <v>0</v>
      </c>
      <c r="L362" s="42">
        <v>0</v>
      </c>
      <c r="M362" s="42">
        <v>1</v>
      </c>
      <c r="N362" s="42">
        <v>0</v>
      </c>
      <c r="O362">
        <v>0</v>
      </c>
    </row>
    <row r="363" spans="3:15" x14ac:dyDescent="0.15">
      <c r="C363" s="43" t="s">
        <v>419</v>
      </c>
      <c r="D363" s="42">
        <v>28</v>
      </c>
      <c r="E363" s="42">
        <v>62</v>
      </c>
      <c r="F363" s="42">
        <v>1</v>
      </c>
      <c r="G363" s="42">
        <v>1.8</v>
      </c>
      <c r="H363" s="42">
        <v>0</v>
      </c>
      <c r="I363" s="42">
        <v>0</v>
      </c>
      <c r="J363" s="42">
        <v>231</v>
      </c>
      <c r="K363" s="42">
        <v>0</v>
      </c>
      <c r="L363" s="42">
        <v>0</v>
      </c>
      <c r="M363" s="42">
        <v>1</v>
      </c>
      <c r="N363" s="42">
        <v>0</v>
      </c>
      <c r="O363">
        <v>0</v>
      </c>
    </row>
    <row r="364" spans="3:15" x14ac:dyDescent="0.15">
      <c r="C364" s="43" t="s">
        <v>420</v>
      </c>
      <c r="D364" s="42">
        <v>36</v>
      </c>
      <c r="E364" s="42">
        <v>21</v>
      </c>
      <c r="F364" s="42">
        <v>4</v>
      </c>
      <c r="G364" s="42">
        <v>0.4</v>
      </c>
      <c r="H364" s="42">
        <v>0</v>
      </c>
      <c r="I364" s="42">
        <v>1</v>
      </c>
      <c r="J364" s="42">
        <v>123</v>
      </c>
      <c r="K364" s="42">
        <v>0</v>
      </c>
      <c r="L364" s="42">
        <v>0</v>
      </c>
      <c r="M364" s="42">
        <v>0</v>
      </c>
      <c r="N364" s="42">
        <v>0</v>
      </c>
      <c r="O364">
        <v>0</v>
      </c>
    </row>
    <row r="365" spans="3:15" x14ac:dyDescent="0.15">
      <c r="C365" s="43" t="s">
        <v>421</v>
      </c>
      <c r="D365" s="42">
        <v>34</v>
      </c>
      <c r="E365" s="42">
        <v>94</v>
      </c>
      <c r="F365" s="42">
        <v>3</v>
      </c>
      <c r="G365" s="42">
        <v>0.5</v>
      </c>
      <c r="H365" s="42">
        <v>1</v>
      </c>
      <c r="I365" s="42">
        <v>0</v>
      </c>
      <c r="J365" s="42">
        <v>0</v>
      </c>
      <c r="K365" s="42">
        <v>0</v>
      </c>
      <c r="L365" s="42">
        <v>0</v>
      </c>
      <c r="M365" s="42">
        <v>0</v>
      </c>
      <c r="N365" s="42">
        <v>1</v>
      </c>
      <c r="O365">
        <v>0</v>
      </c>
    </row>
    <row r="366" spans="3:15" x14ac:dyDescent="0.15">
      <c r="C366" s="43" t="s">
        <v>422</v>
      </c>
      <c r="D366" s="42">
        <v>37</v>
      </c>
      <c r="E366" s="42">
        <v>54</v>
      </c>
      <c r="F366" s="42">
        <v>4</v>
      </c>
      <c r="G366" s="42">
        <v>1.2</v>
      </c>
      <c r="H366" s="42">
        <v>0</v>
      </c>
      <c r="I366" s="42">
        <v>1</v>
      </c>
      <c r="J366" s="42">
        <v>129</v>
      </c>
      <c r="K366" s="42">
        <v>0</v>
      </c>
      <c r="L366" s="42">
        <v>0</v>
      </c>
      <c r="M366" s="42">
        <v>1</v>
      </c>
      <c r="N366" s="42">
        <v>1</v>
      </c>
      <c r="O366">
        <v>0</v>
      </c>
    </row>
    <row r="367" spans="3:15" x14ac:dyDescent="0.15">
      <c r="C367" s="43" t="s">
        <v>423</v>
      </c>
      <c r="D367" s="42">
        <v>31</v>
      </c>
      <c r="E367" s="42">
        <v>131</v>
      </c>
      <c r="F367" s="42">
        <v>2</v>
      </c>
      <c r="G367" s="42">
        <v>1.2</v>
      </c>
      <c r="H367" s="42">
        <v>0</v>
      </c>
      <c r="I367" s="42">
        <v>0</v>
      </c>
      <c r="J367" s="42">
        <v>0</v>
      </c>
      <c r="K367" s="42">
        <v>0</v>
      </c>
      <c r="L367" s="42">
        <v>0</v>
      </c>
      <c r="M367" s="42">
        <v>0</v>
      </c>
      <c r="N367" s="42">
        <v>0</v>
      </c>
      <c r="O367">
        <v>1</v>
      </c>
    </row>
    <row r="368" spans="3:15" x14ac:dyDescent="0.15">
      <c r="C368" s="43" t="s">
        <v>424</v>
      </c>
      <c r="D368" s="42">
        <v>4</v>
      </c>
      <c r="E368" s="42">
        <v>49</v>
      </c>
      <c r="F368" s="42">
        <v>3</v>
      </c>
      <c r="G368" s="42">
        <v>1.1000000000000001</v>
      </c>
      <c r="H368" s="42">
        <v>0</v>
      </c>
      <c r="I368" s="42">
        <v>1</v>
      </c>
      <c r="J368" s="42">
        <v>0</v>
      </c>
      <c r="K368" s="42">
        <v>0</v>
      </c>
      <c r="L368" s="42">
        <v>0</v>
      </c>
      <c r="M368" s="42">
        <v>0</v>
      </c>
      <c r="N368" s="42">
        <v>1</v>
      </c>
      <c r="O368">
        <v>0</v>
      </c>
    </row>
    <row r="369" spans="3:15" x14ac:dyDescent="0.15">
      <c r="C369" s="43" t="s">
        <v>425</v>
      </c>
      <c r="D369" s="42">
        <v>19</v>
      </c>
      <c r="E369" s="42">
        <v>84</v>
      </c>
      <c r="F369" s="42">
        <v>1</v>
      </c>
      <c r="G369" s="42">
        <v>2.6666666666666665</v>
      </c>
      <c r="H369" s="42">
        <v>0</v>
      </c>
      <c r="I369" s="42">
        <v>1</v>
      </c>
      <c r="J369" s="42">
        <v>0</v>
      </c>
      <c r="K369" s="42">
        <v>0</v>
      </c>
      <c r="L369" s="42">
        <v>0</v>
      </c>
      <c r="M369" s="42">
        <v>1</v>
      </c>
      <c r="N369" s="42">
        <v>1</v>
      </c>
      <c r="O369">
        <v>0</v>
      </c>
    </row>
    <row r="370" spans="3:15" x14ac:dyDescent="0.15">
      <c r="C370" s="43" t="s">
        <v>426</v>
      </c>
      <c r="D370" s="42">
        <v>2</v>
      </c>
      <c r="E370" s="42">
        <v>92</v>
      </c>
      <c r="F370" s="42">
        <v>2</v>
      </c>
      <c r="G370" s="42">
        <v>0.2</v>
      </c>
      <c r="H370" s="42">
        <v>1</v>
      </c>
      <c r="I370" s="42">
        <v>0</v>
      </c>
      <c r="J370" s="42">
        <v>0</v>
      </c>
      <c r="K370" s="42">
        <v>0</v>
      </c>
      <c r="L370" s="42">
        <v>0</v>
      </c>
      <c r="M370" s="42">
        <v>1</v>
      </c>
      <c r="N370" s="42">
        <v>0</v>
      </c>
      <c r="O370">
        <v>0</v>
      </c>
    </row>
    <row r="371" spans="3:15" x14ac:dyDescent="0.15">
      <c r="C371" s="43" t="s">
        <v>427</v>
      </c>
      <c r="D371" s="42">
        <v>34</v>
      </c>
      <c r="E371" s="42">
        <v>92</v>
      </c>
      <c r="F371" s="42">
        <v>2</v>
      </c>
      <c r="G371" s="42">
        <v>2.8</v>
      </c>
      <c r="H371" s="42">
        <v>1</v>
      </c>
      <c r="I371" s="42">
        <v>0</v>
      </c>
      <c r="J371" s="42">
        <v>103</v>
      </c>
      <c r="K371" s="42">
        <v>0</v>
      </c>
      <c r="L371" s="42">
        <v>0</v>
      </c>
      <c r="M371" s="42">
        <v>0</v>
      </c>
      <c r="N371" s="42">
        <v>0</v>
      </c>
      <c r="O371">
        <v>0</v>
      </c>
    </row>
    <row r="372" spans="3:15" x14ac:dyDescent="0.15">
      <c r="C372" s="43" t="s">
        <v>428</v>
      </c>
      <c r="D372" s="42">
        <v>22</v>
      </c>
      <c r="E372" s="42">
        <v>118</v>
      </c>
      <c r="F372" s="42">
        <v>1</v>
      </c>
      <c r="G372" s="42">
        <v>4.7</v>
      </c>
      <c r="H372" s="42">
        <v>1</v>
      </c>
      <c r="I372" s="42">
        <v>0</v>
      </c>
      <c r="J372" s="42">
        <v>159</v>
      </c>
      <c r="K372" s="42">
        <v>0</v>
      </c>
      <c r="L372" s="42">
        <v>0</v>
      </c>
      <c r="M372" s="42">
        <v>0</v>
      </c>
      <c r="N372" s="42">
        <v>1</v>
      </c>
      <c r="O372">
        <v>0</v>
      </c>
    </row>
    <row r="373" spans="3:15" x14ac:dyDescent="0.15">
      <c r="C373" s="43" t="s">
        <v>429</v>
      </c>
      <c r="D373" s="42">
        <v>27</v>
      </c>
      <c r="E373" s="42">
        <v>192</v>
      </c>
      <c r="F373" s="42">
        <v>1</v>
      </c>
      <c r="G373" s="42">
        <v>1.7</v>
      </c>
      <c r="H373" s="42">
        <v>1</v>
      </c>
      <c r="I373" s="42">
        <v>0</v>
      </c>
      <c r="J373" s="42">
        <v>601</v>
      </c>
      <c r="K373" s="42">
        <v>0</v>
      </c>
      <c r="L373" s="42">
        <v>0</v>
      </c>
      <c r="M373" s="42">
        <v>1</v>
      </c>
      <c r="N373" s="42">
        <v>0</v>
      </c>
      <c r="O373">
        <v>0</v>
      </c>
    </row>
    <row r="374" spans="3:15" x14ac:dyDescent="0.15">
      <c r="C374" s="43" t="s">
        <v>430</v>
      </c>
      <c r="D374" s="42">
        <v>7</v>
      </c>
      <c r="E374" s="42">
        <v>58</v>
      </c>
      <c r="F374" s="42">
        <v>4</v>
      </c>
      <c r="G374" s="42">
        <v>2.2000000000000002</v>
      </c>
      <c r="H374" s="42">
        <v>0</v>
      </c>
      <c r="I374" s="42">
        <v>1</v>
      </c>
      <c r="J374" s="42">
        <v>0</v>
      </c>
      <c r="K374" s="42">
        <v>0</v>
      </c>
      <c r="L374" s="42">
        <v>0</v>
      </c>
      <c r="M374" s="42">
        <v>1</v>
      </c>
      <c r="N374" s="42">
        <v>1</v>
      </c>
      <c r="O374">
        <v>0</v>
      </c>
    </row>
    <row r="375" spans="3:15" x14ac:dyDescent="0.15">
      <c r="C375" s="43" t="s">
        <v>431</v>
      </c>
      <c r="D375" s="42">
        <v>31</v>
      </c>
      <c r="E375" s="42">
        <v>74</v>
      </c>
      <c r="F375" s="42">
        <v>3</v>
      </c>
      <c r="G375" s="42">
        <v>2.6666666666666665</v>
      </c>
      <c r="H375" s="42">
        <v>1</v>
      </c>
      <c r="I375" s="42">
        <v>0</v>
      </c>
      <c r="J375" s="42">
        <v>0</v>
      </c>
      <c r="K375" s="42">
        <v>0</v>
      </c>
      <c r="L375" s="42">
        <v>0</v>
      </c>
      <c r="M375" s="42">
        <v>0</v>
      </c>
      <c r="N375" s="42">
        <v>1</v>
      </c>
      <c r="O375">
        <v>0</v>
      </c>
    </row>
    <row r="376" spans="3:15" x14ac:dyDescent="0.15">
      <c r="C376" s="43" t="s">
        <v>432</v>
      </c>
      <c r="D376" s="42">
        <v>18</v>
      </c>
      <c r="E376" s="42">
        <v>58</v>
      </c>
      <c r="F376" s="42">
        <v>1</v>
      </c>
      <c r="G376" s="42">
        <v>2.4</v>
      </c>
      <c r="H376" s="42">
        <v>1</v>
      </c>
      <c r="I376" s="42">
        <v>0</v>
      </c>
      <c r="J376" s="42">
        <v>0</v>
      </c>
      <c r="K376" s="42">
        <v>0</v>
      </c>
      <c r="L376" s="42">
        <v>0</v>
      </c>
      <c r="M376" s="42">
        <v>0</v>
      </c>
      <c r="N376" s="42">
        <v>0</v>
      </c>
      <c r="O376">
        <v>0</v>
      </c>
    </row>
    <row r="377" spans="3:15" x14ac:dyDescent="0.15">
      <c r="C377" s="43" t="s">
        <v>433</v>
      </c>
      <c r="D377" s="42">
        <v>24</v>
      </c>
      <c r="E377" s="42">
        <v>75</v>
      </c>
      <c r="F377" s="42">
        <v>2</v>
      </c>
      <c r="G377" s="42">
        <v>4.5</v>
      </c>
      <c r="H377" s="42">
        <v>0</v>
      </c>
      <c r="I377" s="42">
        <v>0</v>
      </c>
      <c r="J377" s="42">
        <v>0</v>
      </c>
      <c r="K377" s="42">
        <v>0</v>
      </c>
      <c r="L377" s="42">
        <v>0</v>
      </c>
      <c r="M377" s="42">
        <v>0</v>
      </c>
      <c r="N377" s="42">
        <v>0</v>
      </c>
      <c r="O377">
        <v>0</v>
      </c>
    </row>
    <row r="378" spans="3:15" x14ac:dyDescent="0.15">
      <c r="C378" s="43" t="s">
        <v>434</v>
      </c>
      <c r="D378" s="42">
        <v>35</v>
      </c>
      <c r="E378" s="42">
        <v>22</v>
      </c>
      <c r="F378" s="42">
        <v>1</v>
      </c>
      <c r="G378" s="42">
        <v>1.3</v>
      </c>
      <c r="H378" s="42">
        <v>1</v>
      </c>
      <c r="I378" s="42">
        <v>0</v>
      </c>
      <c r="J378" s="42">
        <v>123</v>
      </c>
      <c r="K378" s="42">
        <v>0</v>
      </c>
      <c r="L378" s="42">
        <v>0</v>
      </c>
      <c r="M378" s="42">
        <v>1</v>
      </c>
      <c r="N378" s="42">
        <v>0</v>
      </c>
      <c r="O378">
        <v>0</v>
      </c>
    </row>
    <row r="379" spans="3:15" x14ac:dyDescent="0.15">
      <c r="C379" s="43" t="s">
        <v>435</v>
      </c>
      <c r="D379" s="42">
        <v>18</v>
      </c>
      <c r="E379" s="42">
        <v>55</v>
      </c>
      <c r="F379" s="42">
        <v>1</v>
      </c>
      <c r="G379" s="42">
        <v>0.2</v>
      </c>
      <c r="H379" s="42">
        <v>1</v>
      </c>
      <c r="I379" s="42">
        <v>0</v>
      </c>
      <c r="J379" s="42">
        <v>0</v>
      </c>
      <c r="K379" s="42">
        <v>0</v>
      </c>
      <c r="L379" s="42">
        <v>0</v>
      </c>
      <c r="M379" s="42">
        <v>0</v>
      </c>
      <c r="N379" s="42">
        <v>0</v>
      </c>
      <c r="O379">
        <v>0</v>
      </c>
    </row>
    <row r="380" spans="3:15" x14ac:dyDescent="0.15">
      <c r="C380" s="43" t="s">
        <v>436</v>
      </c>
      <c r="D380" s="42">
        <v>3</v>
      </c>
      <c r="E380" s="42">
        <v>154</v>
      </c>
      <c r="F380" s="42">
        <v>2</v>
      </c>
      <c r="G380" s="42">
        <v>2</v>
      </c>
      <c r="H380" s="42">
        <v>1</v>
      </c>
      <c r="I380" s="42">
        <v>0</v>
      </c>
      <c r="J380" s="42">
        <v>130</v>
      </c>
      <c r="K380" s="42">
        <v>0</v>
      </c>
      <c r="L380" s="42">
        <v>0</v>
      </c>
      <c r="M380" s="42">
        <v>0</v>
      </c>
      <c r="N380" s="42">
        <v>0</v>
      </c>
      <c r="O380">
        <v>0</v>
      </c>
    </row>
    <row r="381" spans="3:15" x14ac:dyDescent="0.15">
      <c r="C381" s="43" t="s">
        <v>437</v>
      </c>
      <c r="D381" s="42">
        <v>13</v>
      </c>
      <c r="E381" s="42">
        <v>19</v>
      </c>
      <c r="F381" s="42">
        <v>2</v>
      </c>
      <c r="G381" s="42">
        <v>1.4</v>
      </c>
      <c r="H381" s="42">
        <v>0</v>
      </c>
      <c r="I381" s="42">
        <v>1</v>
      </c>
      <c r="J381" s="42">
        <v>120</v>
      </c>
      <c r="K381" s="42">
        <v>0</v>
      </c>
      <c r="L381" s="42">
        <v>0</v>
      </c>
      <c r="M381" s="42">
        <v>0</v>
      </c>
      <c r="N381" s="42">
        <v>1</v>
      </c>
      <c r="O381">
        <v>0</v>
      </c>
    </row>
    <row r="382" spans="3:15" x14ac:dyDescent="0.15">
      <c r="C382" s="43" t="s">
        <v>438</v>
      </c>
      <c r="D382" s="42">
        <v>20</v>
      </c>
      <c r="E382" s="42">
        <v>25</v>
      </c>
      <c r="F382" s="42">
        <v>4</v>
      </c>
      <c r="G382" s="42">
        <v>0.6</v>
      </c>
      <c r="H382" s="42">
        <v>0</v>
      </c>
      <c r="I382" s="42">
        <v>0</v>
      </c>
      <c r="J382" s="42">
        <v>125</v>
      </c>
      <c r="K382" s="42">
        <v>0</v>
      </c>
      <c r="L382" s="42">
        <v>0</v>
      </c>
      <c r="M382" s="42">
        <v>0</v>
      </c>
      <c r="N382" s="42">
        <v>0</v>
      </c>
      <c r="O382">
        <v>0</v>
      </c>
    </row>
    <row r="383" spans="3:15" x14ac:dyDescent="0.15">
      <c r="C383" s="43" t="s">
        <v>439</v>
      </c>
      <c r="D383" s="42">
        <v>39</v>
      </c>
      <c r="E383" s="42">
        <v>59</v>
      </c>
      <c r="F383" s="42">
        <v>2</v>
      </c>
      <c r="G383" s="42">
        <v>1.5</v>
      </c>
      <c r="H383" s="42">
        <v>1</v>
      </c>
      <c r="I383" s="42">
        <v>0</v>
      </c>
      <c r="J383" s="42">
        <v>139</v>
      </c>
      <c r="K383" s="42">
        <v>0</v>
      </c>
      <c r="L383" s="42">
        <v>0</v>
      </c>
      <c r="M383" s="42">
        <v>1</v>
      </c>
      <c r="N383" s="42">
        <v>0</v>
      </c>
      <c r="O383">
        <v>0</v>
      </c>
    </row>
    <row r="384" spans="3:15" x14ac:dyDescent="0.15">
      <c r="C384" s="43" t="s">
        <v>440</v>
      </c>
      <c r="D384" s="42">
        <v>5</v>
      </c>
      <c r="E384" s="42">
        <v>40</v>
      </c>
      <c r="F384" s="42">
        <v>4</v>
      </c>
      <c r="G384" s="42">
        <v>2</v>
      </c>
      <c r="H384" s="42">
        <v>0</v>
      </c>
      <c r="I384" s="42">
        <v>1</v>
      </c>
      <c r="J384" s="42">
        <v>0</v>
      </c>
      <c r="K384" s="42">
        <v>0</v>
      </c>
      <c r="L384" s="42">
        <v>0</v>
      </c>
      <c r="M384" s="42">
        <v>1</v>
      </c>
      <c r="N384" s="42">
        <v>0</v>
      </c>
      <c r="O384">
        <v>0</v>
      </c>
    </row>
    <row r="385" spans="3:15" x14ac:dyDescent="0.15">
      <c r="C385" s="43" t="s">
        <v>441</v>
      </c>
      <c r="D385" s="42">
        <v>23</v>
      </c>
      <c r="E385" s="42">
        <v>22</v>
      </c>
      <c r="F385" s="42">
        <v>1</v>
      </c>
      <c r="G385" s="42">
        <v>0.1</v>
      </c>
      <c r="H385" s="42">
        <v>1</v>
      </c>
      <c r="I385" s="42">
        <v>0</v>
      </c>
      <c r="J385" s="42">
        <v>0</v>
      </c>
      <c r="K385" s="42">
        <v>0</v>
      </c>
      <c r="L385" s="42">
        <v>0</v>
      </c>
      <c r="M385" s="42">
        <v>0</v>
      </c>
      <c r="N385" s="42">
        <v>0</v>
      </c>
      <c r="O385">
        <v>0</v>
      </c>
    </row>
    <row r="386" spans="3:15" x14ac:dyDescent="0.15">
      <c r="C386" s="43" t="s">
        <v>442</v>
      </c>
      <c r="D386" s="42">
        <v>38</v>
      </c>
      <c r="E386" s="42">
        <v>42</v>
      </c>
      <c r="F386" s="42">
        <v>1</v>
      </c>
      <c r="G386" s="42">
        <v>1.8</v>
      </c>
      <c r="H386" s="42">
        <v>0</v>
      </c>
      <c r="I386" s="42">
        <v>0</v>
      </c>
      <c r="J386" s="42">
        <v>0</v>
      </c>
      <c r="K386" s="42">
        <v>0</v>
      </c>
      <c r="L386" s="42">
        <v>0</v>
      </c>
      <c r="M386" s="42">
        <v>0</v>
      </c>
      <c r="N386" s="42">
        <v>0</v>
      </c>
      <c r="O386">
        <v>0</v>
      </c>
    </row>
    <row r="387" spans="3:15" x14ac:dyDescent="0.15">
      <c r="C387" s="43" t="s">
        <v>443</v>
      </c>
      <c r="D387" s="42">
        <v>21</v>
      </c>
      <c r="E387" s="42">
        <v>41</v>
      </c>
      <c r="F387" s="42">
        <v>1</v>
      </c>
      <c r="G387" s="42">
        <v>1.4</v>
      </c>
      <c r="H387" s="42">
        <v>0</v>
      </c>
      <c r="I387" s="42">
        <v>0</v>
      </c>
      <c r="J387" s="42">
        <v>128</v>
      </c>
      <c r="K387" s="42">
        <v>0</v>
      </c>
      <c r="L387" s="42">
        <v>0</v>
      </c>
      <c r="M387" s="42">
        <v>1</v>
      </c>
      <c r="N387" s="42">
        <v>0</v>
      </c>
      <c r="O387">
        <v>0</v>
      </c>
    </row>
    <row r="388" spans="3:15" x14ac:dyDescent="0.15">
      <c r="C388" s="43" t="s">
        <v>444</v>
      </c>
      <c r="D388" s="42">
        <v>3</v>
      </c>
      <c r="E388" s="42">
        <v>84</v>
      </c>
      <c r="F388" s="42">
        <v>1</v>
      </c>
      <c r="G388" s="42">
        <v>2.9</v>
      </c>
      <c r="H388" s="42">
        <v>0</v>
      </c>
      <c r="I388" s="42">
        <v>0</v>
      </c>
      <c r="J388" s="42">
        <v>0</v>
      </c>
      <c r="K388" s="42">
        <v>0</v>
      </c>
      <c r="L388" s="42">
        <v>0</v>
      </c>
      <c r="M388" s="42">
        <v>1</v>
      </c>
      <c r="N388" s="42">
        <v>0</v>
      </c>
      <c r="O388">
        <v>0</v>
      </c>
    </row>
    <row r="389" spans="3:15" x14ac:dyDescent="0.15">
      <c r="C389" s="43" t="s">
        <v>445</v>
      </c>
      <c r="D389" s="42">
        <v>16</v>
      </c>
      <c r="E389" s="42">
        <v>114</v>
      </c>
      <c r="F389" s="42">
        <v>1</v>
      </c>
      <c r="G389" s="42">
        <v>3.4</v>
      </c>
      <c r="H389" s="42">
        <v>1</v>
      </c>
      <c r="I389" s="42">
        <v>0</v>
      </c>
      <c r="J389" s="42">
        <v>300</v>
      </c>
      <c r="K389" s="42">
        <v>0</v>
      </c>
      <c r="L389" s="42">
        <v>0</v>
      </c>
      <c r="M389" s="42">
        <v>1</v>
      </c>
      <c r="N389" s="42">
        <v>0</v>
      </c>
      <c r="O389">
        <v>0</v>
      </c>
    </row>
    <row r="390" spans="3:15" x14ac:dyDescent="0.15">
      <c r="C390" s="43" t="s">
        <v>446</v>
      </c>
      <c r="D390" s="42">
        <v>19</v>
      </c>
      <c r="E390" s="42">
        <v>60</v>
      </c>
      <c r="F390" s="42">
        <v>3</v>
      </c>
      <c r="G390" s="42">
        <v>2.1</v>
      </c>
      <c r="H390" s="42">
        <v>0</v>
      </c>
      <c r="I390" s="42">
        <v>0</v>
      </c>
      <c r="J390" s="42">
        <v>0</v>
      </c>
      <c r="K390" s="42">
        <v>0</v>
      </c>
      <c r="L390" s="42">
        <v>0</v>
      </c>
      <c r="M390" s="42">
        <v>1</v>
      </c>
      <c r="N390" s="42">
        <v>0</v>
      </c>
      <c r="O390">
        <v>0</v>
      </c>
    </row>
    <row r="391" spans="3:15" x14ac:dyDescent="0.15">
      <c r="C391" s="43" t="s">
        <v>447</v>
      </c>
      <c r="D391" s="42">
        <v>21</v>
      </c>
      <c r="E391" s="42">
        <v>89</v>
      </c>
      <c r="F391" s="42">
        <v>2</v>
      </c>
      <c r="G391" s="42">
        <v>0.8</v>
      </c>
      <c r="H391" s="42">
        <v>0</v>
      </c>
      <c r="I391" s="42">
        <v>0</v>
      </c>
      <c r="J391" s="42">
        <v>0</v>
      </c>
      <c r="K391" s="42">
        <v>0</v>
      </c>
      <c r="L391" s="42">
        <v>0</v>
      </c>
      <c r="M391" s="42">
        <v>1</v>
      </c>
      <c r="N391" s="42">
        <v>1</v>
      </c>
      <c r="O391">
        <v>0</v>
      </c>
    </row>
    <row r="392" spans="3:15" x14ac:dyDescent="0.15">
      <c r="C392" s="43" t="s">
        <v>448</v>
      </c>
      <c r="D392" s="42">
        <v>34</v>
      </c>
      <c r="E392" s="42">
        <v>99</v>
      </c>
      <c r="F392" s="42">
        <v>1</v>
      </c>
      <c r="G392" s="42">
        <v>4.4000000000000004</v>
      </c>
      <c r="H392" s="42">
        <v>1</v>
      </c>
      <c r="I392" s="42">
        <v>0</v>
      </c>
      <c r="J392" s="42">
        <v>0</v>
      </c>
      <c r="K392" s="42">
        <v>0</v>
      </c>
      <c r="L392" s="42">
        <v>0</v>
      </c>
      <c r="M392" s="42">
        <v>0</v>
      </c>
      <c r="N392" s="42">
        <v>0</v>
      </c>
      <c r="O392">
        <v>1</v>
      </c>
    </row>
    <row r="393" spans="3:15" x14ac:dyDescent="0.15">
      <c r="C393" s="43" t="s">
        <v>449</v>
      </c>
      <c r="D393" s="42">
        <v>35</v>
      </c>
      <c r="E393" s="42">
        <v>80</v>
      </c>
      <c r="F393" s="42">
        <v>2</v>
      </c>
      <c r="G393" s="42">
        <v>2.8</v>
      </c>
      <c r="H393" s="42">
        <v>1</v>
      </c>
      <c r="I393" s="42">
        <v>0</v>
      </c>
      <c r="J393" s="42">
        <v>0</v>
      </c>
      <c r="K393" s="42">
        <v>0</v>
      </c>
      <c r="L393" s="42">
        <v>0</v>
      </c>
      <c r="M393" s="42">
        <v>1</v>
      </c>
      <c r="N393" s="42">
        <v>0</v>
      </c>
      <c r="O393">
        <v>0</v>
      </c>
    </row>
    <row r="394" spans="3:15" x14ac:dyDescent="0.15">
      <c r="C394" s="43" t="s">
        <v>450</v>
      </c>
      <c r="D394" s="42">
        <v>28</v>
      </c>
      <c r="E394" s="42">
        <v>20</v>
      </c>
      <c r="F394" s="42">
        <v>3</v>
      </c>
      <c r="G394" s="42">
        <v>0.1</v>
      </c>
      <c r="H394" s="42">
        <v>0</v>
      </c>
      <c r="I394" s="42">
        <v>1</v>
      </c>
      <c r="J394" s="42">
        <v>0</v>
      </c>
      <c r="K394" s="42">
        <v>0</v>
      </c>
      <c r="L394" s="42">
        <v>0</v>
      </c>
      <c r="M394" s="42">
        <v>0</v>
      </c>
      <c r="N394" s="42">
        <v>0</v>
      </c>
      <c r="O394">
        <v>0</v>
      </c>
    </row>
    <row r="395" spans="3:15" x14ac:dyDescent="0.15">
      <c r="C395" s="43" t="s">
        <v>451</v>
      </c>
      <c r="D395" s="42">
        <v>26</v>
      </c>
      <c r="E395" s="42">
        <v>42</v>
      </c>
      <c r="F395" s="42">
        <v>4</v>
      </c>
      <c r="G395" s="42">
        <v>1.1000000000000001</v>
      </c>
      <c r="H395" s="42">
        <v>0</v>
      </c>
      <c r="I395" s="42">
        <v>1</v>
      </c>
      <c r="J395" s="42">
        <v>151</v>
      </c>
      <c r="K395" s="42">
        <v>0</v>
      </c>
      <c r="L395" s="42">
        <v>0</v>
      </c>
      <c r="M395" s="42">
        <v>1</v>
      </c>
      <c r="N395" s="42">
        <v>0</v>
      </c>
      <c r="O395">
        <v>0</v>
      </c>
    </row>
    <row r="396" spans="3:15" x14ac:dyDescent="0.15">
      <c r="C396" s="43" t="s">
        <v>452</v>
      </c>
      <c r="D396" s="42">
        <v>25</v>
      </c>
      <c r="E396" s="42">
        <v>128</v>
      </c>
      <c r="F396" s="42">
        <v>2</v>
      </c>
      <c r="G396" s="42">
        <v>0.4</v>
      </c>
      <c r="H396" s="42">
        <v>1</v>
      </c>
      <c r="I396" s="42">
        <v>0</v>
      </c>
      <c r="J396" s="42">
        <v>0</v>
      </c>
      <c r="K396" s="42">
        <v>0</v>
      </c>
      <c r="L396" s="42">
        <v>0</v>
      </c>
      <c r="M396" s="42">
        <v>0</v>
      </c>
      <c r="N396" s="42">
        <v>0</v>
      </c>
      <c r="O396">
        <v>0</v>
      </c>
    </row>
    <row r="397" spans="3:15" x14ac:dyDescent="0.15">
      <c r="C397" s="43" t="s">
        <v>453</v>
      </c>
      <c r="D397" s="42">
        <v>27</v>
      </c>
      <c r="E397" s="42">
        <v>93</v>
      </c>
      <c r="F397" s="42">
        <v>1</v>
      </c>
      <c r="G397" s="42">
        <v>2.7</v>
      </c>
      <c r="H397" s="42">
        <v>1</v>
      </c>
      <c r="I397" s="42">
        <v>0</v>
      </c>
      <c r="J397" s="42">
        <v>0</v>
      </c>
      <c r="K397" s="42">
        <v>0</v>
      </c>
      <c r="L397" s="42">
        <v>0</v>
      </c>
      <c r="M397" s="42">
        <v>1</v>
      </c>
      <c r="N397" s="42">
        <v>0</v>
      </c>
      <c r="O397">
        <v>0</v>
      </c>
    </row>
    <row r="398" spans="3:15" x14ac:dyDescent="0.15">
      <c r="C398" s="43" t="s">
        <v>454</v>
      </c>
      <c r="D398" s="42">
        <v>6</v>
      </c>
      <c r="E398" s="42">
        <v>50</v>
      </c>
      <c r="F398" s="42">
        <v>4</v>
      </c>
      <c r="G398" s="42">
        <v>2.1</v>
      </c>
      <c r="H398" s="42">
        <v>0</v>
      </c>
      <c r="I398" s="42">
        <v>0</v>
      </c>
      <c r="J398" s="42">
        <v>0</v>
      </c>
      <c r="K398" s="42">
        <v>1</v>
      </c>
      <c r="L398" s="42">
        <v>1</v>
      </c>
      <c r="M398" s="42">
        <v>1</v>
      </c>
      <c r="N398" s="42">
        <v>1</v>
      </c>
      <c r="O398">
        <v>0</v>
      </c>
    </row>
    <row r="399" spans="3:15" x14ac:dyDescent="0.15">
      <c r="C399" s="43" t="s">
        <v>455</v>
      </c>
      <c r="D399" s="42">
        <v>33</v>
      </c>
      <c r="E399" s="42">
        <v>50</v>
      </c>
      <c r="F399" s="42">
        <v>2</v>
      </c>
      <c r="G399" s="42">
        <v>2.2999999999999998</v>
      </c>
      <c r="H399" s="42">
        <v>0</v>
      </c>
      <c r="I399" s="42">
        <v>0</v>
      </c>
      <c r="J399" s="42">
        <v>0</v>
      </c>
      <c r="K399" s="42">
        <v>0</v>
      </c>
      <c r="L399" s="42">
        <v>0</v>
      </c>
      <c r="M399" s="42">
        <v>0</v>
      </c>
      <c r="N399" s="42">
        <v>1</v>
      </c>
      <c r="O399">
        <v>0</v>
      </c>
    </row>
    <row r="400" spans="3:15" x14ac:dyDescent="0.15">
      <c r="C400" s="43" t="s">
        <v>456</v>
      </c>
      <c r="D400" s="42">
        <v>31</v>
      </c>
      <c r="E400" s="42">
        <v>30</v>
      </c>
      <c r="F400" s="42">
        <v>3</v>
      </c>
      <c r="G400" s="42">
        <v>1.4</v>
      </c>
      <c r="H400" s="42">
        <v>1</v>
      </c>
      <c r="I400" s="42">
        <v>0</v>
      </c>
      <c r="J400" s="42">
        <v>0</v>
      </c>
      <c r="K400" s="42">
        <v>0</v>
      </c>
      <c r="L400" s="42">
        <v>0</v>
      </c>
      <c r="M400" s="42">
        <v>0</v>
      </c>
      <c r="N400" s="42">
        <v>0</v>
      </c>
      <c r="O400">
        <v>0</v>
      </c>
    </row>
    <row r="401" spans="3:15" x14ac:dyDescent="0.15">
      <c r="C401" s="43" t="s">
        <v>457</v>
      </c>
      <c r="D401" s="42">
        <v>0</v>
      </c>
      <c r="E401" s="42">
        <v>30</v>
      </c>
      <c r="F401" s="42">
        <v>2</v>
      </c>
      <c r="G401" s="42">
        <v>1.7</v>
      </c>
      <c r="H401" s="42">
        <v>0</v>
      </c>
      <c r="I401" s="42">
        <v>1</v>
      </c>
      <c r="J401" s="42">
        <v>0</v>
      </c>
      <c r="K401" s="42">
        <v>0</v>
      </c>
      <c r="L401" s="42">
        <v>0</v>
      </c>
      <c r="M401" s="42">
        <v>0</v>
      </c>
      <c r="N401" s="42">
        <v>0</v>
      </c>
      <c r="O401">
        <v>0</v>
      </c>
    </row>
    <row r="402" spans="3:15" x14ac:dyDescent="0.15">
      <c r="C402" s="43" t="s">
        <v>458</v>
      </c>
      <c r="D402" s="42">
        <v>39</v>
      </c>
      <c r="E402" s="42">
        <v>21</v>
      </c>
      <c r="F402" s="42">
        <v>2</v>
      </c>
      <c r="G402" s="42">
        <v>0.4</v>
      </c>
      <c r="H402" s="42">
        <v>1</v>
      </c>
      <c r="I402" s="42">
        <v>0</v>
      </c>
      <c r="J402" s="42">
        <v>0</v>
      </c>
      <c r="K402" s="42">
        <v>0</v>
      </c>
      <c r="L402" s="42">
        <v>0</v>
      </c>
      <c r="M402" s="42">
        <v>0</v>
      </c>
      <c r="N402" s="42">
        <v>0</v>
      </c>
      <c r="O402">
        <v>0</v>
      </c>
    </row>
    <row r="403" spans="3:15" x14ac:dyDescent="0.15">
      <c r="C403" s="43" t="s">
        <v>459</v>
      </c>
      <c r="D403" s="42">
        <v>36</v>
      </c>
      <c r="E403" s="42">
        <v>32</v>
      </c>
      <c r="F403" s="42">
        <v>3</v>
      </c>
      <c r="G403" s="42">
        <v>0.4</v>
      </c>
      <c r="H403" s="42">
        <v>0</v>
      </c>
      <c r="I403" s="42">
        <v>1</v>
      </c>
      <c r="J403" s="42">
        <v>165</v>
      </c>
      <c r="K403" s="42">
        <v>0</v>
      </c>
      <c r="L403" s="42">
        <v>0</v>
      </c>
      <c r="M403" s="42">
        <v>1</v>
      </c>
      <c r="N403" s="42">
        <v>0</v>
      </c>
      <c r="O403">
        <v>0</v>
      </c>
    </row>
    <row r="404" spans="3:15" x14ac:dyDescent="0.15">
      <c r="C404" s="43" t="s">
        <v>460</v>
      </c>
      <c r="D404" s="42">
        <v>18</v>
      </c>
      <c r="E404" s="42">
        <v>83</v>
      </c>
      <c r="F404" s="42">
        <v>2</v>
      </c>
      <c r="G404" s="42">
        <v>3.8</v>
      </c>
      <c r="H404" s="42">
        <v>0</v>
      </c>
      <c r="I404" s="42">
        <v>0</v>
      </c>
      <c r="J404" s="42">
        <v>112</v>
      </c>
      <c r="K404" s="42">
        <v>0</v>
      </c>
      <c r="L404" s="42">
        <v>0</v>
      </c>
      <c r="M404" s="42">
        <v>0</v>
      </c>
      <c r="N404" s="42">
        <v>0</v>
      </c>
      <c r="O404">
        <v>0</v>
      </c>
    </row>
    <row r="405" spans="3:15" x14ac:dyDescent="0.15">
      <c r="C405" s="43" t="s">
        <v>461</v>
      </c>
      <c r="D405" s="42">
        <v>18</v>
      </c>
      <c r="E405" s="42">
        <v>80</v>
      </c>
      <c r="F405" s="42">
        <v>3</v>
      </c>
      <c r="G405" s="42">
        <v>2.6666666666666665</v>
      </c>
      <c r="H405" s="42">
        <v>0</v>
      </c>
      <c r="I405" s="42">
        <v>1</v>
      </c>
      <c r="J405" s="42">
        <v>0</v>
      </c>
      <c r="K405" s="42">
        <v>0</v>
      </c>
      <c r="L405" s="42">
        <v>0</v>
      </c>
      <c r="M405" s="42">
        <v>0</v>
      </c>
      <c r="N405" s="42">
        <v>0</v>
      </c>
      <c r="O405">
        <v>0</v>
      </c>
    </row>
    <row r="406" spans="3:15" x14ac:dyDescent="0.15">
      <c r="C406" s="43" t="s">
        <v>462</v>
      </c>
      <c r="D406" s="42">
        <v>2</v>
      </c>
      <c r="E406" s="42">
        <v>43</v>
      </c>
      <c r="F406" s="42">
        <v>4</v>
      </c>
      <c r="G406" s="42">
        <v>1.3</v>
      </c>
      <c r="H406" s="42">
        <v>0</v>
      </c>
      <c r="I406" s="42">
        <v>0</v>
      </c>
      <c r="J406" s="42">
        <v>0</v>
      </c>
      <c r="K406" s="42">
        <v>0</v>
      </c>
      <c r="L406" s="42">
        <v>0</v>
      </c>
      <c r="M406" s="42">
        <v>1</v>
      </c>
      <c r="N406" s="42">
        <v>1</v>
      </c>
      <c r="O406">
        <v>0</v>
      </c>
    </row>
    <row r="407" spans="3:15" x14ac:dyDescent="0.15">
      <c r="C407" s="43" t="s">
        <v>463</v>
      </c>
      <c r="D407" s="42">
        <v>2</v>
      </c>
      <c r="E407" s="42">
        <v>114</v>
      </c>
      <c r="F407" s="42">
        <v>4</v>
      </c>
      <c r="G407" s="42">
        <v>2.1</v>
      </c>
      <c r="H407" s="42">
        <v>0</v>
      </c>
      <c r="I407" s="42">
        <v>0</v>
      </c>
      <c r="J407" s="42">
        <v>0</v>
      </c>
      <c r="K407" s="42">
        <v>0</v>
      </c>
      <c r="L407" s="42">
        <v>0</v>
      </c>
      <c r="M407" s="42">
        <v>1</v>
      </c>
      <c r="N407" s="42">
        <v>0</v>
      </c>
      <c r="O407">
        <v>0</v>
      </c>
    </row>
    <row r="408" spans="3:15" x14ac:dyDescent="0.15">
      <c r="C408" s="43" t="s">
        <v>464</v>
      </c>
      <c r="D408" s="42">
        <v>30</v>
      </c>
      <c r="E408" s="42">
        <v>82</v>
      </c>
      <c r="F408" s="42">
        <v>4</v>
      </c>
      <c r="G408" s="42">
        <v>3.8</v>
      </c>
      <c r="H408" s="42">
        <v>0</v>
      </c>
      <c r="I408" s="42">
        <v>1</v>
      </c>
      <c r="J408" s="42">
        <v>0</v>
      </c>
      <c r="K408" s="42">
        <v>0</v>
      </c>
      <c r="L408" s="42">
        <v>0</v>
      </c>
      <c r="M408" s="42">
        <v>1</v>
      </c>
      <c r="N408" s="42">
        <v>0</v>
      </c>
      <c r="O408">
        <v>0</v>
      </c>
    </row>
    <row r="409" spans="3:15" x14ac:dyDescent="0.15">
      <c r="C409" s="43" t="s">
        <v>465</v>
      </c>
      <c r="D409" s="42">
        <v>10</v>
      </c>
      <c r="E409" s="42">
        <v>22</v>
      </c>
      <c r="F409" s="42">
        <v>1</v>
      </c>
      <c r="G409" s="42">
        <v>0.5</v>
      </c>
      <c r="H409" s="42">
        <v>0</v>
      </c>
      <c r="I409" s="42">
        <v>0</v>
      </c>
      <c r="J409" s="42">
        <v>85</v>
      </c>
      <c r="K409" s="42">
        <v>0</v>
      </c>
      <c r="L409" s="42">
        <v>0</v>
      </c>
      <c r="M409" s="42">
        <v>0</v>
      </c>
      <c r="N409" s="42">
        <v>0</v>
      </c>
      <c r="O409">
        <v>0</v>
      </c>
    </row>
    <row r="410" spans="3:15" x14ac:dyDescent="0.15">
      <c r="C410" s="43" t="s">
        <v>466</v>
      </c>
      <c r="D410" s="42">
        <v>34</v>
      </c>
      <c r="E410" s="42">
        <v>40</v>
      </c>
      <c r="F410" s="42">
        <v>1</v>
      </c>
      <c r="G410" s="42">
        <v>1.6</v>
      </c>
      <c r="H410" s="42">
        <v>1</v>
      </c>
      <c r="I410" s="42">
        <v>0</v>
      </c>
      <c r="J410" s="42">
        <v>0</v>
      </c>
      <c r="K410" s="42">
        <v>0</v>
      </c>
      <c r="L410" s="42">
        <v>0</v>
      </c>
      <c r="M410" s="42">
        <v>1</v>
      </c>
      <c r="N410" s="42">
        <v>0</v>
      </c>
      <c r="O410">
        <v>0</v>
      </c>
    </row>
    <row r="411" spans="3:15" x14ac:dyDescent="0.15">
      <c r="C411" s="43" t="s">
        <v>467</v>
      </c>
      <c r="D411" s="42">
        <v>13</v>
      </c>
      <c r="E411" s="42">
        <v>153</v>
      </c>
      <c r="F411" s="42">
        <v>2</v>
      </c>
      <c r="G411" s="42">
        <v>6.5</v>
      </c>
      <c r="H411" s="42">
        <v>1</v>
      </c>
      <c r="I411" s="42">
        <v>0</v>
      </c>
      <c r="J411" s="42">
        <v>0</v>
      </c>
      <c r="K411" s="42">
        <v>0</v>
      </c>
      <c r="L411" s="42">
        <v>0</v>
      </c>
      <c r="M411" s="42">
        <v>1</v>
      </c>
      <c r="N411" s="42">
        <v>1</v>
      </c>
      <c r="O411">
        <v>0</v>
      </c>
    </row>
    <row r="412" spans="3:15" x14ac:dyDescent="0.15">
      <c r="C412" s="43" t="s">
        <v>468</v>
      </c>
      <c r="D412" s="42">
        <v>18</v>
      </c>
      <c r="E412" s="42">
        <v>115</v>
      </c>
      <c r="F412" s="42">
        <v>1</v>
      </c>
      <c r="G412" s="42">
        <v>3.5</v>
      </c>
      <c r="H412" s="42">
        <v>1</v>
      </c>
      <c r="I412" s="42">
        <v>0</v>
      </c>
      <c r="J412" s="42">
        <v>0</v>
      </c>
      <c r="K412" s="42">
        <v>0</v>
      </c>
      <c r="L412" s="42">
        <v>0</v>
      </c>
      <c r="M412" s="42">
        <v>0</v>
      </c>
      <c r="N412" s="42">
        <v>1</v>
      </c>
      <c r="O412">
        <v>0</v>
      </c>
    </row>
    <row r="413" spans="3:15" x14ac:dyDescent="0.15">
      <c r="C413" s="43" t="s">
        <v>469</v>
      </c>
      <c r="D413" s="42">
        <v>14</v>
      </c>
      <c r="E413" s="42">
        <v>60</v>
      </c>
      <c r="F413" s="42">
        <v>2</v>
      </c>
      <c r="G413" s="42">
        <v>0.6</v>
      </c>
      <c r="H413" s="42">
        <v>0</v>
      </c>
      <c r="I413" s="42">
        <v>0</v>
      </c>
      <c r="J413" s="42">
        <v>0</v>
      </c>
      <c r="K413" s="42">
        <v>0</v>
      </c>
      <c r="L413" s="42">
        <v>0</v>
      </c>
      <c r="M413" s="42">
        <v>1</v>
      </c>
      <c r="N413" s="42">
        <v>1</v>
      </c>
      <c r="O413">
        <v>0</v>
      </c>
    </row>
    <row r="414" spans="3:15" x14ac:dyDescent="0.15">
      <c r="C414" s="43" t="s">
        <v>470</v>
      </c>
      <c r="D414" s="42">
        <v>30</v>
      </c>
      <c r="E414" s="42">
        <v>28</v>
      </c>
      <c r="F414" s="42">
        <v>1</v>
      </c>
      <c r="G414" s="42">
        <v>1.5</v>
      </c>
      <c r="H414" s="42">
        <v>0</v>
      </c>
      <c r="I414" s="42">
        <v>1</v>
      </c>
      <c r="J414" s="42">
        <v>0</v>
      </c>
      <c r="K414" s="42">
        <v>0</v>
      </c>
      <c r="L414" s="42">
        <v>0</v>
      </c>
      <c r="M414" s="42">
        <v>0</v>
      </c>
      <c r="N414" s="42">
        <v>0</v>
      </c>
      <c r="O414">
        <v>0</v>
      </c>
    </row>
    <row r="415" spans="3:15" x14ac:dyDescent="0.15">
      <c r="C415" s="43" t="s">
        <v>471</v>
      </c>
      <c r="D415" s="42">
        <v>23</v>
      </c>
      <c r="E415" s="42">
        <v>160</v>
      </c>
      <c r="F415" s="42">
        <v>2</v>
      </c>
      <c r="G415" s="42">
        <v>6.666666666666667</v>
      </c>
      <c r="H415" s="42">
        <v>1</v>
      </c>
      <c r="I415" s="42">
        <v>0</v>
      </c>
      <c r="J415" s="42">
        <v>0</v>
      </c>
      <c r="K415" s="42">
        <v>0</v>
      </c>
      <c r="L415" s="42">
        <v>0</v>
      </c>
      <c r="M415" s="42">
        <v>0</v>
      </c>
      <c r="N415" s="42">
        <v>0</v>
      </c>
      <c r="O415">
        <v>0</v>
      </c>
    </row>
    <row r="416" spans="3:15" x14ac:dyDescent="0.15">
      <c r="C416" s="43" t="s">
        <v>472</v>
      </c>
      <c r="D416" s="42">
        <v>11</v>
      </c>
      <c r="E416" s="42">
        <v>98</v>
      </c>
      <c r="F416" s="42">
        <v>3</v>
      </c>
      <c r="G416" s="42">
        <v>1.2</v>
      </c>
      <c r="H416" s="42">
        <v>0</v>
      </c>
      <c r="I416" s="42">
        <v>0</v>
      </c>
      <c r="J416" s="42">
        <v>0</v>
      </c>
      <c r="K416" s="42">
        <v>1</v>
      </c>
      <c r="L416" s="42">
        <v>0</v>
      </c>
      <c r="M416" s="42">
        <v>0</v>
      </c>
      <c r="N416" s="42">
        <v>1</v>
      </c>
      <c r="O416">
        <v>0</v>
      </c>
    </row>
    <row r="417" spans="3:15" x14ac:dyDescent="0.15">
      <c r="C417" s="43" t="s">
        <v>473</v>
      </c>
      <c r="D417" s="42">
        <v>33</v>
      </c>
      <c r="E417" s="42">
        <v>142</v>
      </c>
      <c r="F417" s="42">
        <v>2</v>
      </c>
      <c r="G417" s="42">
        <v>3.9</v>
      </c>
      <c r="H417" s="42">
        <v>1</v>
      </c>
      <c r="I417" s="42">
        <v>0</v>
      </c>
      <c r="J417" s="42">
        <v>193</v>
      </c>
      <c r="K417" s="42">
        <v>0</v>
      </c>
      <c r="L417" s="42">
        <v>0</v>
      </c>
      <c r="M417" s="42">
        <v>1</v>
      </c>
      <c r="N417" s="42">
        <v>1</v>
      </c>
      <c r="O417">
        <v>0</v>
      </c>
    </row>
    <row r="418" spans="3:15" x14ac:dyDescent="0.15">
      <c r="C418" s="43" t="s">
        <v>474</v>
      </c>
      <c r="D418" s="42">
        <v>13</v>
      </c>
      <c r="E418" s="42">
        <v>172</v>
      </c>
      <c r="F418" s="42">
        <v>2</v>
      </c>
      <c r="G418" s="42">
        <v>6.5</v>
      </c>
      <c r="H418" s="42">
        <v>1</v>
      </c>
      <c r="I418" s="42">
        <v>0</v>
      </c>
      <c r="J418" s="42">
        <v>0</v>
      </c>
      <c r="K418" s="42">
        <v>0</v>
      </c>
      <c r="L418" s="42">
        <v>0</v>
      </c>
      <c r="M418" s="42">
        <v>0</v>
      </c>
      <c r="N418" s="42">
        <v>0</v>
      </c>
      <c r="O418">
        <v>0</v>
      </c>
    </row>
    <row r="419" spans="3:15" x14ac:dyDescent="0.15">
      <c r="C419" s="43" t="s">
        <v>475</v>
      </c>
      <c r="D419" s="42">
        <v>31</v>
      </c>
      <c r="E419" s="42">
        <v>43</v>
      </c>
      <c r="F419" s="42">
        <v>1</v>
      </c>
      <c r="G419" s="42">
        <v>0.2</v>
      </c>
      <c r="H419" s="42">
        <v>1</v>
      </c>
      <c r="I419" s="42">
        <v>0</v>
      </c>
      <c r="J419" s="42">
        <v>0</v>
      </c>
      <c r="K419" s="42">
        <v>0</v>
      </c>
      <c r="L419" s="42">
        <v>0</v>
      </c>
      <c r="M419" s="42">
        <v>0</v>
      </c>
      <c r="N419" s="42">
        <v>0</v>
      </c>
      <c r="O419">
        <v>0</v>
      </c>
    </row>
    <row r="420" spans="3:15" x14ac:dyDescent="0.15">
      <c r="C420" s="43" t="s">
        <v>476</v>
      </c>
      <c r="D420" s="42">
        <v>9</v>
      </c>
      <c r="E420" s="42">
        <v>62</v>
      </c>
      <c r="F420" s="42">
        <v>3</v>
      </c>
      <c r="G420" s="42">
        <v>2.2999999999999998</v>
      </c>
      <c r="H420" s="42">
        <v>1</v>
      </c>
      <c r="I420" s="42">
        <v>0</v>
      </c>
      <c r="J420" s="42">
        <v>0</v>
      </c>
      <c r="K420" s="42">
        <v>0</v>
      </c>
      <c r="L420" s="42">
        <v>0</v>
      </c>
      <c r="M420" s="42">
        <v>0</v>
      </c>
      <c r="N420" s="42">
        <v>0</v>
      </c>
      <c r="O420">
        <v>0</v>
      </c>
    </row>
    <row r="421" spans="3:15" x14ac:dyDescent="0.15">
      <c r="C421" s="43" t="s">
        <v>477</v>
      </c>
      <c r="D421" s="42">
        <v>24</v>
      </c>
      <c r="E421" s="42">
        <v>84</v>
      </c>
      <c r="F421" s="42">
        <v>4</v>
      </c>
      <c r="G421" s="42">
        <v>4.9000000000000004</v>
      </c>
      <c r="H421" s="42">
        <v>1</v>
      </c>
      <c r="I421" s="42">
        <v>0</v>
      </c>
      <c r="J421" s="42">
        <v>0</v>
      </c>
      <c r="K421" s="42">
        <v>0</v>
      </c>
      <c r="L421" s="42">
        <v>0</v>
      </c>
      <c r="M421" s="42">
        <v>1</v>
      </c>
      <c r="N421" s="42">
        <v>0</v>
      </c>
      <c r="O421">
        <v>0</v>
      </c>
    </row>
    <row r="422" spans="3:15" x14ac:dyDescent="0.15">
      <c r="C422" s="43" t="s">
        <v>478</v>
      </c>
      <c r="D422" s="42">
        <v>2</v>
      </c>
      <c r="E422" s="42">
        <v>104</v>
      </c>
      <c r="F422" s="42">
        <v>3</v>
      </c>
      <c r="G422" s="42">
        <v>2.5</v>
      </c>
      <c r="H422" s="42">
        <v>1</v>
      </c>
      <c r="I422" s="42">
        <v>0</v>
      </c>
      <c r="J422" s="42">
        <v>0</v>
      </c>
      <c r="K422" s="42">
        <v>0</v>
      </c>
      <c r="L422" s="42">
        <v>0</v>
      </c>
      <c r="M422" s="42">
        <v>0</v>
      </c>
      <c r="N422" s="42">
        <v>0</v>
      </c>
      <c r="O422">
        <v>0</v>
      </c>
    </row>
    <row r="423" spans="3:15" x14ac:dyDescent="0.15">
      <c r="C423" s="43" t="s">
        <v>479</v>
      </c>
      <c r="D423" s="42">
        <v>14</v>
      </c>
      <c r="E423" s="42">
        <v>130</v>
      </c>
      <c r="F423" s="42">
        <v>4</v>
      </c>
      <c r="G423" s="42">
        <v>4.7</v>
      </c>
      <c r="H423" s="42">
        <v>0</v>
      </c>
      <c r="I423" s="42">
        <v>0</v>
      </c>
      <c r="J423" s="42">
        <v>134</v>
      </c>
      <c r="K423" s="42">
        <v>0</v>
      </c>
      <c r="L423" s="42">
        <v>0</v>
      </c>
      <c r="M423" s="42">
        <v>0</v>
      </c>
      <c r="N423" s="42">
        <v>0</v>
      </c>
      <c r="O423">
        <v>1</v>
      </c>
    </row>
    <row r="424" spans="3:15" x14ac:dyDescent="0.15">
      <c r="C424" s="43" t="s">
        <v>480</v>
      </c>
      <c r="D424" s="42">
        <v>36</v>
      </c>
      <c r="E424" s="42">
        <v>130</v>
      </c>
      <c r="F424" s="42">
        <v>1</v>
      </c>
      <c r="G424" s="42">
        <v>1.3</v>
      </c>
      <c r="H424" s="42">
        <v>1</v>
      </c>
      <c r="I424" s="42">
        <v>0</v>
      </c>
      <c r="J424" s="42">
        <v>257</v>
      </c>
      <c r="K424" s="42">
        <v>0</v>
      </c>
      <c r="L424" s="42">
        <v>0</v>
      </c>
      <c r="M424" s="42">
        <v>0</v>
      </c>
      <c r="N424" s="42">
        <v>0</v>
      </c>
      <c r="O424">
        <v>0</v>
      </c>
    </row>
    <row r="425" spans="3:15" x14ac:dyDescent="0.15">
      <c r="C425" s="43" t="s">
        <v>481</v>
      </c>
      <c r="D425" s="42">
        <v>14</v>
      </c>
      <c r="E425" s="42">
        <v>58</v>
      </c>
      <c r="F425" s="42">
        <v>4</v>
      </c>
      <c r="G425" s="42">
        <v>2</v>
      </c>
      <c r="H425" s="42">
        <v>0</v>
      </c>
      <c r="I425" s="42">
        <v>0</v>
      </c>
      <c r="J425" s="42">
        <v>153</v>
      </c>
      <c r="K425" s="42">
        <v>1</v>
      </c>
      <c r="L425" s="42">
        <v>0</v>
      </c>
      <c r="M425" s="42">
        <v>0</v>
      </c>
      <c r="N425" s="42">
        <v>0</v>
      </c>
      <c r="O425">
        <v>0</v>
      </c>
    </row>
    <row r="426" spans="3:15" x14ac:dyDescent="0.15">
      <c r="C426" s="43" t="s">
        <v>482</v>
      </c>
      <c r="D426" s="42">
        <v>19</v>
      </c>
      <c r="E426" s="42">
        <v>72</v>
      </c>
      <c r="F426" s="42">
        <v>2</v>
      </c>
      <c r="G426" s="42">
        <v>1.7</v>
      </c>
      <c r="H426" s="42">
        <v>1</v>
      </c>
      <c r="I426" s="42">
        <v>0</v>
      </c>
      <c r="J426" s="42">
        <v>0</v>
      </c>
      <c r="K426" s="42">
        <v>0</v>
      </c>
      <c r="L426" s="42">
        <v>0</v>
      </c>
      <c r="M426" s="42">
        <v>1</v>
      </c>
      <c r="N426" s="42">
        <v>0</v>
      </c>
      <c r="O426">
        <v>0</v>
      </c>
    </row>
    <row r="427" spans="3:15" x14ac:dyDescent="0.15">
      <c r="C427" s="43" t="s">
        <v>483</v>
      </c>
      <c r="D427" s="42">
        <v>28</v>
      </c>
      <c r="E427" s="42">
        <v>52</v>
      </c>
      <c r="F427" s="42">
        <v>4</v>
      </c>
      <c r="G427" s="42">
        <v>2.5</v>
      </c>
      <c r="H427" s="42">
        <v>1</v>
      </c>
      <c r="I427" s="42">
        <v>0</v>
      </c>
      <c r="J427" s="42">
        <v>0</v>
      </c>
      <c r="K427" s="42">
        <v>0</v>
      </c>
      <c r="L427" s="42">
        <v>0</v>
      </c>
      <c r="M427" s="42">
        <v>1</v>
      </c>
      <c r="N427" s="42">
        <v>0</v>
      </c>
      <c r="O427">
        <v>0</v>
      </c>
    </row>
    <row r="428" spans="3:15" x14ac:dyDescent="0.15">
      <c r="C428" s="43" t="s">
        <v>484</v>
      </c>
      <c r="D428" s="42">
        <v>9</v>
      </c>
      <c r="E428" s="42">
        <v>41</v>
      </c>
      <c r="F428" s="42">
        <v>2</v>
      </c>
      <c r="G428" s="42">
        <v>0.1</v>
      </c>
      <c r="H428" s="42">
        <v>1</v>
      </c>
      <c r="I428" s="42">
        <v>0</v>
      </c>
      <c r="J428" s="42">
        <v>161</v>
      </c>
      <c r="K428" s="42">
        <v>0</v>
      </c>
      <c r="L428" s="42">
        <v>0</v>
      </c>
      <c r="M428" s="42">
        <v>1</v>
      </c>
      <c r="N428" s="42">
        <v>1</v>
      </c>
      <c r="O428">
        <v>0</v>
      </c>
    </row>
    <row r="429" spans="3:15" x14ac:dyDescent="0.15">
      <c r="C429" s="43" t="s">
        <v>485</v>
      </c>
      <c r="D429" s="42">
        <v>29</v>
      </c>
      <c r="E429" s="42">
        <v>131</v>
      </c>
      <c r="F429" s="42">
        <v>2</v>
      </c>
      <c r="G429" s="42">
        <v>2.7</v>
      </c>
      <c r="H429" s="42">
        <v>1</v>
      </c>
      <c r="I429" s="42">
        <v>0</v>
      </c>
      <c r="J429" s="42">
        <v>0</v>
      </c>
      <c r="K429" s="42">
        <v>1</v>
      </c>
      <c r="L429" s="42">
        <v>0</v>
      </c>
      <c r="M429" s="42">
        <v>0</v>
      </c>
      <c r="N429" s="42">
        <v>0</v>
      </c>
      <c r="O429">
        <v>0</v>
      </c>
    </row>
    <row r="430" spans="3:15" x14ac:dyDescent="0.15">
      <c r="C430" s="43" t="s">
        <v>486</v>
      </c>
      <c r="D430" s="42">
        <v>21</v>
      </c>
      <c r="E430" s="42">
        <v>120</v>
      </c>
      <c r="F430" s="42">
        <v>1</v>
      </c>
      <c r="G430" s="42">
        <v>0</v>
      </c>
      <c r="H430" s="42">
        <v>1</v>
      </c>
      <c r="I430" s="42">
        <v>0</v>
      </c>
      <c r="J430" s="42">
        <v>135</v>
      </c>
      <c r="K430" s="42">
        <v>0</v>
      </c>
      <c r="L430" s="42">
        <v>0</v>
      </c>
      <c r="M430" s="42">
        <v>0</v>
      </c>
      <c r="N430" s="42">
        <v>0</v>
      </c>
      <c r="O430">
        <v>0</v>
      </c>
    </row>
    <row r="431" spans="3:15" x14ac:dyDescent="0.15">
      <c r="C431" s="43" t="s">
        <v>487</v>
      </c>
      <c r="D431" s="42">
        <v>33</v>
      </c>
      <c r="E431" s="42">
        <v>170</v>
      </c>
      <c r="F431" s="42">
        <v>2</v>
      </c>
      <c r="G431" s="42">
        <v>2.1</v>
      </c>
      <c r="H431" s="42">
        <v>0</v>
      </c>
      <c r="I431" s="42">
        <v>1</v>
      </c>
      <c r="J431" s="42">
        <v>0</v>
      </c>
      <c r="K431" s="42">
        <v>0</v>
      </c>
      <c r="L431" s="42">
        <v>0</v>
      </c>
      <c r="M431" s="42">
        <v>0</v>
      </c>
      <c r="N431" s="42">
        <v>0</v>
      </c>
      <c r="O431">
        <v>1</v>
      </c>
    </row>
    <row r="432" spans="3:15" x14ac:dyDescent="0.15">
      <c r="C432" s="43" t="s">
        <v>488</v>
      </c>
      <c r="D432" s="42">
        <v>29</v>
      </c>
      <c r="E432" s="42">
        <v>79</v>
      </c>
      <c r="F432" s="42">
        <v>3</v>
      </c>
      <c r="G432" s="42">
        <v>0.8</v>
      </c>
      <c r="H432" s="42">
        <v>1</v>
      </c>
      <c r="I432" s="42">
        <v>0</v>
      </c>
      <c r="J432" s="42">
        <v>0</v>
      </c>
      <c r="K432" s="42">
        <v>0</v>
      </c>
      <c r="L432" s="42">
        <v>0</v>
      </c>
      <c r="M432" s="42">
        <v>1</v>
      </c>
      <c r="N432" s="42">
        <v>1</v>
      </c>
      <c r="O432">
        <v>0</v>
      </c>
    </row>
    <row r="433" spans="3:15" x14ac:dyDescent="0.15">
      <c r="C433" s="43" t="s">
        <v>489</v>
      </c>
      <c r="D433" s="42">
        <v>17</v>
      </c>
      <c r="E433" s="42">
        <v>85</v>
      </c>
      <c r="F433" s="42">
        <v>4</v>
      </c>
      <c r="G433" s="42">
        <v>0.2</v>
      </c>
      <c r="H433" s="42">
        <v>0</v>
      </c>
      <c r="I433" s="42">
        <v>0</v>
      </c>
      <c r="J433" s="42">
        <v>229</v>
      </c>
      <c r="K433" s="42">
        <v>0</v>
      </c>
      <c r="L433" s="42">
        <v>0</v>
      </c>
      <c r="M433" s="42">
        <v>0</v>
      </c>
      <c r="N433" s="42">
        <v>0</v>
      </c>
      <c r="O433">
        <v>0</v>
      </c>
    </row>
    <row r="434" spans="3:15" x14ac:dyDescent="0.15">
      <c r="C434" s="43" t="s">
        <v>490</v>
      </c>
      <c r="D434" s="42">
        <v>23</v>
      </c>
      <c r="E434" s="42">
        <v>8</v>
      </c>
      <c r="F434" s="42">
        <v>4</v>
      </c>
      <c r="G434" s="42">
        <v>0.2</v>
      </c>
      <c r="H434" s="42">
        <v>1</v>
      </c>
      <c r="I434" s="42">
        <v>0</v>
      </c>
      <c r="J434" s="42">
        <v>0</v>
      </c>
      <c r="K434" s="42">
        <v>0</v>
      </c>
      <c r="L434" s="42">
        <v>0</v>
      </c>
      <c r="M434" s="42">
        <v>1</v>
      </c>
      <c r="N434" s="42">
        <v>0</v>
      </c>
      <c r="O434">
        <v>0</v>
      </c>
    </row>
    <row r="435" spans="3:15" x14ac:dyDescent="0.15">
      <c r="C435" s="43" t="s">
        <v>491</v>
      </c>
      <c r="D435" s="42">
        <v>38</v>
      </c>
      <c r="E435" s="42">
        <v>99</v>
      </c>
      <c r="F435" s="42">
        <v>4</v>
      </c>
      <c r="G435" s="42">
        <v>1.7</v>
      </c>
      <c r="H435" s="42">
        <v>0</v>
      </c>
      <c r="I435" s="42">
        <v>1</v>
      </c>
      <c r="J435" s="42">
        <v>0</v>
      </c>
      <c r="K435" s="42">
        <v>0</v>
      </c>
      <c r="L435" s="42">
        <v>0</v>
      </c>
      <c r="M435" s="42">
        <v>0</v>
      </c>
      <c r="N435" s="42">
        <v>0</v>
      </c>
      <c r="O435">
        <v>0</v>
      </c>
    </row>
    <row r="436" spans="3:15" x14ac:dyDescent="0.15">
      <c r="C436" s="43" t="s">
        <v>492</v>
      </c>
      <c r="D436" s="42">
        <v>26</v>
      </c>
      <c r="E436" s="42">
        <v>101</v>
      </c>
      <c r="F436" s="42">
        <v>2</v>
      </c>
      <c r="G436" s="42">
        <v>2.4</v>
      </c>
      <c r="H436" s="42">
        <v>0</v>
      </c>
      <c r="I436" s="42">
        <v>1</v>
      </c>
      <c r="J436" s="42">
        <v>0</v>
      </c>
      <c r="K436" s="42">
        <v>0</v>
      </c>
      <c r="L436" s="42">
        <v>0</v>
      </c>
      <c r="M436" s="42">
        <v>1</v>
      </c>
      <c r="N436" s="42">
        <v>0</v>
      </c>
      <c r="O436">
        <v>0</v>
      </c>
    </row>
    <row r="437" spans="3:15" x14ac:dyDescent="0.15">
      <c r="C437" s="43" t="s">
        <v>493</v>
      </c>
      <c r="D437" s="42">
        <v>12</v>
      </c>
      <c r="E437" s="42">
        <v>79</v>
      </c>
      <c r="F437" s="42">
        <v>2</v>
      </c>
      <c r="G437" s="42">
        <v>2.2000000000000002</v>
      </c>
      <c r="H437" s="42">
        <v>1</v>
      </c>
      <c r="I437" s="42">
        <v>0</v>
      </c>
      <c r="J437" s="42">
        <v>0</v>
      </c>
      <c r="K437" s="42">
        <v>0</v>
      </c>
      <c r="L437" s="42">
        <v>0</v>
      </c>
      <c r="M437" s="42">
        <v>1</v>
      </c>
      <c r="N437" s="42">
        <v>0</v>
      </c>
      <c r="O437">
        <v>0</v>
      </c>
    </row>
    <row r="438" spans="3:15" x14ac:dyDescent="0.15">
      <c r="C438" s="43" t="s">
        <v>494</v>
      </c>
      <c r="D438" s="42">
        <v>1</v>
      </c>
      <c r="E438" s="42">
        <v>118</v>
      </c>
      <c r="F438" s="42">
        <v>1</v>
      </c>
      <c r="G438" s="42">
        <v>5.4</v>
      </c>
      <c r="H438" s="42">
        <v>1</v>
      </c>
      <c r="I438" s="42">
        <v>0</v>
      </c>
      <c r="J438" s="42">
        <v>0</v>
      </c>
      <c r="K438" s="42">
        <v>0</v>
      </c>
      <c r="L438" s="42">
        <v>0</v>
      </c>
      <c r="M438" s="42">
        <v>1</v>
      </c>
      <c r="N438" s="42">
        <v>1</v>
      </c>
      <c r="O438">
        <v>0</v>
      </c>
    </row>
    <row r="439" spans="3:15" x14ac:dyDescent="0.15">
      <c r="C439" s="43" t="s">
        <v>495</v>
      </c>
      <c r="D439" s="42">
        <v>36</v>
      </c>
      <c r="E439" s="42">
        <v>29</v>
      </c>
      <c r="F439" s="42">
        <v>2</v>
      </c>
      <c r="G439" s="42">
        <v>0.5</v>
      </c>
      <c r="H439" s="42">
        <v>0</v>
      </c>
      <c r="I439" s="42">
        <v>1</v>
      </c>
      <c r="J439" s="42">
        <v>0</v>
      </c>
      <c r="K439" s="42">
        <v>0</v>
      </c>
      <c r="L439" s="42">
        <v>0</v>
      </c>
      <c r="M439" s="42">
        <v>1</v>
      </c>
      <c r="N439" s="42">
        <v>0</v>
      </c>
      <c r="O439">
        <v>0</v>
      </c>
    </row>
    <row r="440" spans="3:15" x14ac:dyDescent="0.15">
      <c r="C440" s="43" t="s">
        <v>496</v>
      </c>
      <c r="D440" s="42">
        <v>29</v>
      </c>
      <c r="E440" s="42">
        <v>39</v>
      </c>
      <c r="F440" s="42">
        <v>3</v>
      </c>
      <c r="G440" s="42">
        <v>1.5</v>
      </c>
      <c r="H440" s="42">
        <v>1</v>
      </c>
      <c r="I440" s="42">
        <v>0</v>
      </c>
      <c r="J440" s="42">
        <v>0</v>
      </c>
      <c r="K440" s="42">
        <v>0</v>
      </c>
      <c r="L440" s="42">
        <v>0</v>
      </c>
      <c r="M440" s="42">
        <v>1</v>
      </c>
      <c r="N440" s="42">
        <v>0</v>
      </c>
      <c r="O440">
        <v>0</v>
      </c>
    </row>
    <row r="441" spans="3:15" x14ac:dyDescent="0.15">
      <c r="C441" s="43" t="s">
        <v>497</v>
      </c>
      <c r="D441" s="42">
        <v>18</v>
      </c>
      <c r="E441" s="42">
        <v>84</v>
      </c>
      <c r="F441" s="42">
        <v>1</v>
      </c>
      <c r="G441" s="42">
        <v>4</v>
      </c>
      <c r="H441" s="42">
        <v>0</v>
      </c>
      <c r="I441" s="42">
        <v>0</v>
      </c>
      <c r="J441" s="42">
        <v>0</v>
      </c>
      <c r="K441" s="42">
        <v>0</v>
      </c>
      <c r="L441" s="42">
        <v>0</v>
      </c>
      <c r="M441" s="42">
        <v>0</v>
      </c>
      <c r="N441" s="42">
        <v>0</v>
      </c>
      <c r="O441">
        <v>0</v>
      </c>
    </row>
    <row r="442" spans="3:15" x14ac:dyDescent="0.15">
      <c r="C442" s="43" t="s">
        <v>498</v>
      </c>
      <c r="D442" s="42">
        <v>21</v>
      </c>
      <c r="E442" s="42">
        <v>183</v>
      </c>
      <c r="F442" s="42">
        <v>2</v>
      </c>
      <c r="G442" s="42">
        <v>1.4</v>
      </c>
      <c r="H442" s="42">
        <v>1</v>
      </c>
      <c r="I442" s="42">
        <v>0</v>
      </c>
      <c r="J442" s="42">
        <v>354</v>
      </c>
      <c r="K442" s="42">
        <v>0</v>
      </c>
      <c r="L442" s="42">
        <v>0</v>
      </c>
      <c r="M442" s="42">
        <v>0</v>
      </c>
      <c r="N442" s="42">
        <v>0</v>
      </c>
      <c r="O442">
        <v>0</v>
      </c>
    </row>
    <row r="443" spans="3:15" x14ac:dyDescent="0.15">
      <c r="C443" s="43" t="s">
        <v>499</v>
      </c>
      <c r="D443" s="42">
        <v>9</v>
      </c>
      <c r="E443" s="42">
        <v>58</v>
      </c>
      <c r="F443" s="42">
        <v>1</v>
      </c>
      <c r="G443" s="42">
        <v>2.5</v>
      </c>
      <c r="H443" s="42">
        <v>1</v>
      </c>
      <c r="I443" s="42">
        <v>0</v>
      </c>
      <c r="J443" s="42">
        <v>0</v>
      </c>
      <c r="K443" s="42">
        <v>0</v>
      </c>
      <c r="L443" s="42">
        <v>0</v>
      </c>
      <c r="M443" s="42">
        <v>1</v>
      </c>
      <c r="N443" s="42">
        <v>1</v>
      </c>
      <c r="O443">
        <v>0</v>
      </c>
    </row>
    <row r="444" spans="3:15" x14ac:dyDescent="0.15">
      <c r="C444" s="43" t="s">
        <v>500</v>
      </c>
      <c r="D444" s="42">
        <v>24</v>
      </c>
      <c r="E444" s="42">
        <v>21</v>
      </c>
      <c r="F444" s="42">
        <v>4</v>
      </c>
      <c r="G444" s="42">
        <v>0.6</v>
      </c>
      <c r="H444" s="42">
        <v>1</v>
      </c>
      <c r="I444" s="42">
        <v>0</v>
      </c>
      <c r="J444" s="42">
        <v>0</v>
      </c>
      <c r="K444" s="42">
        <v>0</v>
      </c>
      <c r="L444" s="42">
        <v>0</v>
      </c>
      <c r="M444" s="42">
        <v>1</v>
      </c>
      <c r="N444" s="42">
        <v>1</v>
      </c>
      <c r="O444">
        <v>0</v>
      </c>
    </row>
    <row r="445" spans="3:15" x14ac:dyDescent="0.15">
      <c r="C445" s="43" t="s">
        <v>501</v>
      </c>
      <c r="D445" s="42">
        <v>35</v>
      </c>
      <c r="E445" s="42">
        <v>49</v>
      </c>
      <c r="F445" s="42">
        <v>3</v>
      </c>
      <c r="G445" s="42">
        <v>0.5</v>
      </c>
      <c r="H445" s="42">
        <v>0</v>
      </c>
      <c r="I445" s="42">
        <v>1</v>
      </c>
      <c r="J445" s="42">
        <v>0</v>
      </c>
      <c r="K445" s="42">
        <v>0</v>
      </c>
      <c r="L445" s="42">
        <v>0</v>
      </c>
      <c r="M445" s="42">
        <v>1</v>
      </c>
      <c r="N445" s="42">
        <v>1</v>
      </c>
      <c r="O445">
        <v>0</v>
      </c>
    </row>
    <row r="446" spans="3:15" x14ac:dyDescent="0.15">
      <c r="C446" s="43" t="s">
        <v>502</v>
      </c>
      <c r="D446" s="42">
        <v>10</v>
      </c>
      <c r="E446" s="42">
        <v>35</v>
      </c>
      <c r="F446" s="42">
        <v>2</v>
      </c>
      <c r="G446" s="42">
        <v>0.3</v>
      </c>
      <c r="H446" s="42">
        <v>1</v>
      </c>
      <c r="I446" s="42">
        <v>0</v>
      </c>
      <c r="J446" s="42">
        <v>98</v>
      </c>
      <c r="K446" s="42">
        <v>0</v>
      </c>
      <c r="L446" s="42">
        <v>0</v>
      </c>
      <c r="M446" s="42">
        <v>1</v>
      </c>
      <c r="N446" s="42">
        <v>0</v>
      </c>
      <c r="O446">
        <v>0</v>
      </c>
    </row>
    <row r="447" spans="3:15" x14ac:dyDescent="0.15">
      <c r="C447" s="43" t="s">
        <v>503</v>
      </c>
      <c r="D447" s="42">
        <v>29</v>
      </c>
      <c r="E447" s="42">
        <v>144</v>
      </c>
      <c r="F447" s="42">
        <v>2</v>
      </c>
      <c r="G447" s="42">
        <v>6.8</v>
      </c>
      <c r="H447" s="42">
        <v>1</v>
      </c>
      <c r="I447" s="42">
        <v>0</v>
      </c>
      <c r="J447" s="42">
        <v>0</v>
      </c>
      <c r="K447" s="42">
        <v>0</v>
      </c>
      <c r="L447" s="42">
        <v>0</v>
      </c>
      <c r="M447" s="42">
        <v>1</v>
      </c>
      <c r="N447" s="42">
        <v>0</v>
      </c>
      <c r="O447">
        <v>0</v>
      </c>
    </row>
    <row r="448" spans="3:15" x14ac:dyDescent="0.15">
      <c r="C448" s="43" t="s">
        <v>504</v>
      </c>
      <c r="D448" s="42">
        <v>28</v>
      </c>
      <c r="E448" s="42">
        <v>149</v>
      </c>
      <c r="F448" s="42">
        <v>2</v>
      </c>
      <c r="G448" s="42">
        <v>6.8</v>
      </c>
      <c r="H448" s="42">
        <v>1</v>
      </c>
      <c r="I448" s="42">
        <v>0</v>
      </c>
      <c r="J448" s="42">
        <v>0</v>
      </c>
      <c r="K448" s="42">
        <v>0</v>
      </c>
      <c r="L448" s="42">
        <v>0</v>
      </c>
      <c r="M448" s="42">
        <v>1</v>
      </c>
      <c r="N448" s="42">
        <v>0</v>
      </c>
      <c r="O448">
        <v>0</v>
      </c>
    </row>
    <row r="449" spans="3:15" x14ac:dyDescent="0.15">
      <c r="C449" s="43" t="s">
        <v>505</v>
      </c>
      <c r="D449" s="42">
        <v>23</v>
      </c>
      <c r="E449" s="42">
        <v>59</v>
      </c>
      <c r="F449" s="42">
        <v>3</v>
      </c>
      <c r="G449" s="42">
        <v>2.1</v>
      </c>
      <c r="H449" s="42">
        <v>1</v>
      </c>
      <c r="I449" s="42">
        <v>0</v>
      </c>
      <c r="J449" s="42">
        <v>0</v>
      </c>
      <c r="K449" s="42">
        <v>0</v>
      </c>
      <c r="L449" s="42">
        <v>0</v>
      </c>
      <c r="M449" s="42">
        <v>0</v>
      </c>
      <c r="N449" s="42">
        <v>0</v>
      </c>
      <c r="O449">
        <v>0</v>
      </c>
    </row>
    <row r="450" spans="3:15" x14ac:dyDescent="0.15">
      <c r="C450" s="43" t="s">
        <v>506</v>
      </c>
      <c r="D450" s="42">
        <v>39</v>
      </c>
      <c r="E450" s="42">
        <v>84</v>
      </c>
      <c r="F450" s="42">
        <v>1</v>
      </c>
      <c r="G450" s="42">
        <v>1.8</v>
      </c>
      <c r="H450" s="42">
        <v>0</v>
      </c>
      <c r="I450" s="42">
        <v>0</v>
      </c>
      <c r="J450" s="42">
        <v>0</v>
      </c>
      <c r="K450" s="42">
        <v>0</v>
      </c>
      <c r="L450" s="42">
        <v>0</v>
      </c>
      <c r="M450" s="42">
        <v>0</v>
      </c>
      <c r="N450" s="42">
        <v>0</v>
      </c>
      <c r="O450">
        <v>0</v>
      </c>
    </row>
    <row r="451" spans="3:15" x14ac:dyDescent="0.15">
      <c r="C451" s="43" t="s">
        <v>507</v>
      </c>
      <c r="D451" s="42">
        <v>15</v>
      </c>
      <c r="E451" s="42">
        <v>40</v>
      </c>
      <c r="F451" s="42">
        <v>2</v>
      </c>
      <c r="G451" s="42">
        <v>2.2000000000000002</v>
      </c>
      <c r="H451" s="42">
        <v>0</v>
      </c>
      <c r="I451" s="42">
        <v>0</v>
      </c>
      <c r="J451" s="42">
        <v>107</v>
      </c>
      <c r="K451" s="42">
        <v>0</v>
      </c>
      <c r="L451" s="42">
        <v>0</v>
      </c>
      <c r="M451" s="42">
        <v>1</v>
      </c>
      <c r="N451" s="42">
        <v>0</v>
      </c>
      <c r="O451">
        <v>0</v>
      </c>
    </row>
    <row r="452" spans="3:15" x14ac:dyDescent="0.15">
      <c r="C452" s="43" t="s">
        <v>508</v>
      </c>
      <c r="D452" s="42">
        <v>37</v>
      </c>
      <c r="E452" s="42">
        <v>50</v>
      </c>
      <c r="F452" s="42">
        <v>3</v>
      </c>
      <c r="G452" s="42">
        <v>2.4</v>
      </c>
      <c r="H452" s="42">
        <v>1</v>
      </c>
      <c r="I452" s="42">
        <v>0</v>
      </c>
      <c r="J452" s="42">
        <v>0</v>
      </c>
      <c r="K452" s="42">
        <v>0</v>
      </c>
      <c r="L452" s="42">
        <v>0</v>
      </c>
      <c r="M452" s="42">
        <v>1</v>
      </c>
      <c r="N452" s="42">
        <v>0</v>
      </c>
      <c r="O452">
        <v>0</v>
      </c>
    </row>
    <row r="453" spans="3:15" x14ac:dyDescent="0.15">
      <c r="C453" s="43" t="s">
        <v>509</v>
      </c>
      <c r="D453" s="42">
        <v>30</v>
      </c>
      <c r="E453" s="42">
        <v>112</v>
      </c>
      <c r="F453" s="42">
        <v>2</v>
      </c>
      <c r="G453" s="42">
        <v>6.8</v>
      </c>
      <c r="H453" s="42">
        <v>1</v>
      </c>
      <c r="I453" s="42">
        <v>0</v>
      </c>
      <c r="J453" s="42">
        <v>0</v>
      </c>
      <c r="K453" s="42">
        <v>0</v>
      </c>
      <c r="L453" s="42">
        <v>0</v>
      </c>
      <c r="M453" s="42">
        <v>1</v>
      </c>
      <c r="N453" s="42">
        <v>0</v>
      </c>
      <c r="O453">
        <v>0</v>
      </c>
    </row>
    <row r="454" spans="3:15" x14ac:dyDescent="0.15">
      <c r="C454" s="43" t="s">
        <v>510</v>
      </c>
      <c r="D454" s="42">
        <v>14</v>
      </c>
      <c r="E454" s="42">
        <v>39</v>
      </c>
      <c r="F454" s="42">
        <v>3</v>
      </c>
      <c r="G454" s="42">
        <v>0.5</v>
      </c>
      <c r="H454" s="42">
        <v>0</v>
      </c>
      <c r="I454" s="42">
        <v>0</v>
      </c>
      <c r="J454" s="42">
        <v>0</v>
      </c>
      <c r="K454" s="42">
        <v>0</v>
      </c>
      <c r="L454" s="42">
        <v>0</v>
      </c>
      <c r="M454" s="42">
        <v>1</v>
      </c>
      <c r="N454" s="42">
        <v>0</v>
      </c>
      <c r="O454">
        <v>0</v>
      </c>
    </row>
    <row r="455" spans="3:15" x14ac:dyDescent="0.15">
      <c r="C455" s="43" t="s">
        <v>511</v>
      </c>
      <c r="D455" s="42">
        <v>19</v>
      </c>
      <c r="E455" s="42">
        <v>34</v>
      </c>
      <c r="F455" s="42">
        <v>3</v>
      </c>
      <c r="G455" s="42">
        <v>1.5</v>
      </c>
      <c r="H455" s="42">
        <v>1</v>
      </c>
      <c r="I455" s="42">
        <v>0</v>
      </c>
      <c r="J455" s="42">
        <v>0</v>
      </c>
      <c r="K455" s="42">
        <v>1</v>
      </c>
      <c r="L455" s="42">
        <v>0</v>
      </c>
      <c r="M455" s="42">
        <v>0</v>
      </c>
      <c r="N455" s="42">
        <v>0</v>
      </c>
      <c r="O455">
        <v>0</v>
      </c>
    </row>
    <row r="456" spans="3:15" x14ac:dyDescent="0.15">
      <c r="C456" s="43" t="s">
        <v>512</v>
      </c>
      <c r="D456" s="42">
        <v>0</v>
      </c>
      <c r="E456" s="42">
        <v>80</v>
      </c>
      <c r="F456" s="42">
        <v>2</v>
      </c>
      <c r="G456" s="42">
        <v>1.6</v>
      </c>
      <c r="H456" s="42">
        <v>0</v>
      </c>
      <c r="I456" s="42">
        <v>0</v>
      </c>
      <c r="J456" s="42">
        <v>0</v>
      </c>
      <c r="K456" s="42">
        <v>0</v>
      </c>
      <c r="L456" s="42">
        <v>0</v>
      </c>
      <c r="M456" s="42">
        <v>1</v>
      </c>
      <c r="N456" s="42">
        <v>0</v>
      </c>
      <c r="O456">
        <v>0</v>
      </c>
    </row>
    <row r="457" spans="3:15" x14ac:dyDescent="0.15">
      <c r="C457" s="43" t="s">
        <v>513</v>
      </c>
      <c r="D457" s="42">
        <v>19</v>
      </c>
      <c r="E457" s="42">
        <v>71</v>
      </c>
      <c r="F457" s="42">
        <v>4</v>
      </c>
      <c r="G457" s="42">
        <v>2.9</v>
      </c>
      <c r="H457" s="42">
        <v>1</v>
      </c>
      <c r="I457" s="42">
        <v>0</v>
      </c>
      <c r="J457" s="42">
        <v>218</v>
      </c>
      <c r="K457" s="42">
        <v>0</v>
      </c>
      <c r="L457" s="42">
        <v>1</v>
      </c>
      <c r="M457" s="42">
        <v>1</v>
      </c>
      <c r="N457" s="42">
        <v>1</v>
      </c>
      <c r="O457">
        <v>0</v>
      </c>
    </row>
    <row r="458" spans="3:15" x14ac:dyDescent="0.15">
      <c r="C458" s="43" t="s">
        <v>514</v>
      </c>
      <c r="D458" s="42">
        <v>36</v>
      </c>
      <c r="E458" s="42">
        <v>38</v>
      </c>
      <c r="F458" s="42">
        <v>3</v>
      </c>
      <c r="G458" s="42">
        <v>0.9</v>
      </c>
      <c r="H458" s="42">
        <v>0</v>
      </c>
      <c r="I458" s="42">
        <v>0</v>
      </c>
      <c r="J458" s="42">
        <v>82</v>
      </c>
      <c r="K458" s="42">
        <v>0</v>
      </c>
      <c r="L458" s="42">
        <v>0</v>
      </c>
      <c r="M458" s="42">
        <v>1</v>
      </c>
      <c r="N458" s="42">
        <v>1</v>
      </c>
      <c r="O458">
        <v>0</v>
      </c>
    </row>
    <row r="459" spans="3:15" x14ac:dyDescent="0.15">
      <c r="C459" s="43" t="s">
        <v>515</v>
      </c>
      <c r="D459" s="42">
        <v>0</v>
      </c>
      <c r="E459" s="42">
        <v>38</v>
      </c>
      <c r="F459" s="42">
        <v>2</v>
      </c>
      <c r="G459" s="42">
        <v>1.7</v>
      </c>
      <c r="H459" s="42">
        <v>0</v>
      </c>
      <c r="I459" s="42">
        <v>1</v>
      </c>
      <c r="J459" s="42">
        <v>0</v>
      </c>
      <c r="K459" s="42">
        <v>0</v>
      </c>
      <c r="L459" s="42">
        <v>0</v>
      </c>
      <c r="M459" s="42">
        <v>1</v>
      </c>
      <c r="N459" s="42">
        <v>0</v>
      </c>
      <c r="O459">
        <v>0</v>
      </c>
    </row>
    <row r="460" spans="3:15" x14ac:dyDescent="0.15">
      <c r="C460" s="43" t="s">
        <v>516</v>
      </c>
      <c r="D460" s="42">
        <v>7</v>
      </c>
      <c r="E460" s="42">
        <v>83</v>
      </c>
      <c r="F460" s="42">
        <v>1</v>
      </c>
      <c r="G460" s="42">
        <v>2.5</v>
      </c>
      <c r="H460" s="42">
        <v>1</v>
      </c>
      <c r="I460" s="42">
        <v>0</v>
      </c>
      <c r="J460" s="42">
        <v>0</v>
      </c>
      <c r="K460" s="42">
        <v>1</v>
      </c>
      <c r="L460" s="42">
        <v>1</v>
      </c>
      <c r="M460" s="42">
        <v>1</v>
      </c>
      <c r="N460" s="42">
        <v>1</v>
      </c>
      <c r="O460">
        <v>0</v>
      </c>
    </row>
    <row r="461" spans="3:15" x14ac:dyDescent="0.15">
      <c r="C461" s="43" t="s">
        <v>517</v>
      </c>
      <c r="D461" s="42">
        <v>0</v>
      </c>
      <c r="E461" s="42">
        <v>149</v>
      </c>
      <c r="F461" s="42">
        <v>2</v>
      </c>
      <c r="G461" s="42">
        <v>7.2</v>
      </c>
      <c r="H461" s="42">
        <v>1</v>
      </c>
      <c r="I461" s="42">
        <v>0</v>
      </c>
      <c r="J461" s="42">
        <v>154</v>
      </c>
      <c r="K461" s="42">
        <v>0</v>
      </c>
      <c r="L461" s="42">
        <v>0</v>
      </c>
      <c r="M461" s="42">
        <v>0</v>
      </c>
      <c r="N461" s="42">
        <v>0</v>
      </c>
      <c r="O461">
        <v>0</v>
      </c>
    </row>
    <row r="462" spans="3:15" x14ac:dyDescent="0.15">
      <c r="C462" s="43" t="s">
        <v>518</v>
      </c>
      <c r="D462" s="42">
        <v>8</v>
      </c>
      <c r="E462" s="42">
        <v>23</v>
      </c>
      <c r="F462" s="42">
        <v>1</v>
      </c>
      <c r="G462" s="42">
        <v>0.66666666666666663</v>
      </c>
      <c r="H462" s="42">
        <v>0</v>
      </c>
      <c r="I462" s="42">
        <v>0</v>
      </c>
      <c r="J462" s="42">
        <v>0</v>
      </c>
      <c r="K462" s="42">
        <v>0</v>
      </c>
      <c r="L462" s="42">
        <v>0</v>
      </c>
      <c r="M462" s="42">
        <v>0</v>
      </c>
      <c r="N462" s="42">
        <v>0</v>
      </c>
      <c r="O462">
        <v>0</v>
      </c>
    </row>
    <row r="463" spans="3:15" x14ac:dyDescent="0.15">
      <c r="C463" s="43" t="s">
        <v>519</v>
      </c>
      <c r="D463" s="42">
        <v>5</v>
      </c>
      <c r="E463" s="42">
        <v>38</v>
      </c>
      <c r="F463" s="42">
        <v>4</v>
      </c>
      <c r="G463" s="42">
        <v>2</v>
      </c>
      <c r="H463" s="42">
        <v>0</v>
      </c>
      <c r="I463" s="42">
        <v>1</v>
      </c>
      <c r="J463" s="42">
        <v>0</v>
      </c>
      <c r="K463" s="42">
        <v>1</v>
      </c>
      <c r="L463" s="42">
        <v>0</v>
      </c>
      <c r="M463" s="42">
        <v>0</v>
      </c>
      <c r="N463" s="42">
        <v>0</v>
      </c>
      <c r="O463">
        <v>0</v>
      </c>
    </row>
    <row r="464" spans="3:15" x14ac:dyDescent="0.15">
      <c r="C464" s="43" t="s">
        <v>520</v>
      </c>
      <c r="D464" s="42">
        <v>40</v>
      </c>
      <c r="E464" s="42">
        <v>53</v>
      </c>
      <c r="F464" s="42">
        <v>3</v>
      </c>
      <c r="G464" s="42">
        <v>2.2000000000000002</v>
      </c>
      <c r="H464" s="42">
        <v>1</v>
      </c>
      <c r="I464" s="42">
        <v>0</v>
      </c>
      <c r="J464" s="42">
        <v>0</v>
      </c>
      <c r="K464" s="42">
        <v>0</v>
      </c>
      <c r="L464" s="42">
        <v>0</v>
      </c>
      <c r="M464" s="42">
        <v>0</v>
      </c>
      <c r="N464" s="42">
        <v>1</v>
      </c>
      <c r="O464">
        <v>0</v>
      </c>
    </row>
    <row r="465" spans="3:15" x14ac:dyDescent="0.15">
      <c r="C465" s="43" t="s">
        <v>521</v>
      </c>
      <c r="D465" s="42">
        <v>11</v>
      </c>
      <c r="E465" s="42">
        <v>181</v>
      </c>
      <c r="F465" s="42">
        <v>3</v>
      </c>
      <c r="G465" s="42">
        <v>1.4</v>
      </c>
      <c r="H465" s="42">
        <v>1</v>
      </c>
      <c r="I465" s="42">
        <v>0</v>
      </c>
      <c r="J465" s="42">
        <v>0</v>
      </c>
      <c r="K465" s="42">
        <v>0</v>
      </c>
      <c r="L465" s="42">
        <v>0</v>
      </c>
      <c r="M465" s="42">
        <v>0</v>
      </c>
      <c r="N465" s="42">
        <v>0</v>
      </c>
      <c r="O465">
        <v>1</v>
      </c>
    </row>
    <row r="466" spans="3:15" x14ac:dyDescent="0.15">
      <c r="C466" s="43" t="s">
        <v>522</v>
      </c>
      <c r="D466" s="42">
        <v>41</v>
      </c>
      <c r="E466" s="42">
        <v>11</v>
      </c>
      <c r="F466" s="42">
        <v>3</v>
      </c>
      <c r="G466" s="42">
        <v>0.1</v>
      </c>
      <c r="H466" s="42">
        <v>0</v>
      </c>
      <c r="I466" s="42">
        <v>0</v>
      </c>
      <c r="J466" s="42">
        <v>0</v>
      </c>
      <c r="K466" s="42">
        <v>1</v>
      </c>
      <c r="L466" s="42">
        <v>0</v>
      </c>
      <c r="M466" s="42">
        <v>0</v>
      </c>
      <c r="N466" s="42">
        <v>1</v>
      </c>
      <c r="O466">
        <v>0</v>
      </c>
    </row>
    <row r="467" spans="3:15" x14ac:dyDescent="0.15">
      <c r="C467" s="43" t="s">
        <v>523</v>
      </c>
      <c r="D467" s="42">
        <v>28</v>
      </c>
      <c r="E467" s="42">
        <v>23</v>
      </c>
      <c r="F467" s="42">
        <v>3</v>
      </c>
      <c r="G467" s="42">
        <v>0.4</v>
      </c>
      <c r="H467" s="42">
        <v>1</v>
      </c>
      <c r="I467" s="42">
        <v>0</v>
      </c>
      <c r="J467" s="42">
        <v>0</v>
      </c>
      <c r="K467" s="42">
        <v>0</v>
      </c>
      <c r="L467" s="42">
        <v>0</v>
      </c>
      <c r="M467" s="42">
        <v>1</v>
      </c>
      <c r="N467" s="42">
        <v>0</v>
      </c>
      <c r="O467">
        <v>0</v>
      </c>
    </row>
    <row r="468" spans="3:15" x14ac:dyDescent="0.15">
      <c r="C468" s="43" t="s">
        <v>524</v>
      </c>
      <c r="D468" s="42">
        <v>23</v>
      </c>
      <c r="E468" s="42">
        <v>19</v>
      </c>
      <c r="F468" s="42">
        <v>4</v>
      </c>
      <c r="G468" s="42">
        <v>0.4</v>
      </c>
      <c r="H468" s="42">
        <v>0</v>
      </c>
      <c r="I468" s="42">
        <v>0</v>
      </c>
      <c r="J468" s="42">
        <v>84</v>
      </c>
      <c r="K468" s="42">
        <v>0</v>
      </c>
      <c r="L468" s="42">
        <v>0</v>
      </c>
      <c r="M468" s="42">
        <v>1</v>
      </c>
      <c r="N468" s="42">
        <v>0</v>
      </c>
      <c r="O468">
        <v>0</v>
      </c>
    </row>
    <row r="469" spans="3:15" x14ac:dyDescent="0.15">
      <c r="C469" s="43" t="s">
        <v>525</v>
      </c>
      <c r="D469" s="42">
        <v>19</v>
      </c>
      <c r="E469" s="42">
        <v>19</v>
      </c>
      <c r="F469" s="42">
        <v>3</v>
      </c>
      <c r="G469" s="42">
        <v>0.5</v>
      </c>
      <c r="H469" s="42">
        <v>0</v>
      </c>
      <c r="I469" s="42">
        <v>1</v>
      </c>
      <c r="J469" s="42">
        <v>0</v>
      </c>
      <c r="K469" s="42">
        <v>0</v>
      </c>
      <c r="L469" s="42">
        <v>0</v>
      </c>
      <c r="M469" s="42">
        <v>1</v>
      </c>
      <c r="N469" s="42">
        <v>0</v>
      </c>
      <c r="O469">
        <v>0</v>
      </c>
    </row>
    <row r="470" spans="3:15" x14ac:dyDescent="0.15">
      <c r="C470" s="43" t="s">
        <v>526</v>
      </c>
      <c r="D470" s="42">
        <v>23</v>
      </c>
      <c r="E470" s="42">
        <v>170</v>
      </c>
      <c r="F470" s="42">
        <v>2</v>
      </c>
      <c r="G470" s="42">
        <v>6.5</v>
      </c>
      <c r="H470" s="42">
        <v>0</v>
      </c>
      <c r="I470" s="42">
        <v>1</v>
      </c>
      <c r="J470" s="42">
        <v>0</v>
      </c>
      <c r="K470" s="42">
        <v>0</v>
      </c>
      <c r="L470" s="42">
        <v>1</v>
      </c>
      <c r="M470" s="42">
        <v>1</v>
      </c>
      <c r="N470" s="42">
        <v>1</v>
      </c>
      <c r="O470">
        <v>1</v>
      </c>
    </row>
    <row r="471" spans="3:15" x14ac:dyDescent="0.15">
      <c r="C471" s="43" t="s">
        <v>527</v>
      </c>
      <c r="D471" s="42">
        <v>30</v>
      </c>
      <c r="E471" s="42">
        <v>73</v>
      </c>
      <c r="F471" s="42">
        <v>2</v>
      </c>
      <c r="G471" s="42">
        <v>1.1000000000000001</v>
      </c>
      <c r="H471" s="42">
        <v>1</v>
      </c>
      <c r="I471" s="42">
        <v>0</v>
      </c>
      <c r="J471" s="42">
        <v>0</v>
      </c>
      <c r="K471" s="42">
        <v>0</v>
      </c>
      <c r="L471" s="42">
        <v>0</v>
      </c>
      <c r="M471" s="42">
        <v>0</v>
      </c>
      <c r="N471" s="42">
        <v>0</v>
      </c>
      <c r="O471">
        <v>0</v>
      </c>
    </row>
    <row r="472" spans="3:15" x14ac:dyDescent="0.15">
      <c r="C472" s="43" t="s">
        <v>528</v>
      </c>
      <c r="D472" s="42">
        <v>35</v>
      </c>
      <c r="E472" s="42">
        <v>40</v>
      </c>
      <c r="F472" s="42">
        <v>1</v>
      </c>
      <c r="G472" s="42">
        <v>0.8</v>
      </c>
      <c r="H472" s="42">
        <v>0</v>
      </c>
      <c r="I472" s="42">
        <v>1</v>
      </c>
      <c r="J472" s="42">
        <v>128</v>
      </c>
      <c r="K472" s="42">
        <v>0</v>
      </c>
      <c r="L472" s="42">
        <v>0</v>
      </c>
      <c r="M472" s="42">
        <v>1</v>
      </c>
      <c r="N472" s="42">
        <v>0</v>
      </c>
      <c r="O472">
        <v>0</v>
      </c>
    </row>
    <row r="473" spans="3:15" x14ac:dyDescent="0.15">
      <c r="C473" s="43" t="s">
        <v>529</v>
      </c>
      <c r="D473" s="42">
        <v>38</v>
      </c>
      <c r="E473" s="42">
        <v>159</v>
      </c>
      <c r="F473" s="42">
        <v>4</v>
      </c>
      <c r="G473" s="42">
        <v>4.9000000000000004</v>
      </c>
      <c r="H473" s="42">
        <v>0</v>
      </c>
      <c r="I473" s="42">
        <v>1</v>
      </c>
      <c r="J473" s="42">
        <v>111</v>
      </c>
      <c r="K473" s="42">
        <v>0</v>
      </c>
      <c r="L473" s="42">
        <v>0</v>
      </c>
      <c r="M473" s="42">
        <v>0</v>
      </c>
      <c r="N473" s="42">
        <v>0</v>
      </c>
      <c r="O473">
        <v>1</v>
      </c>
    </row>
    <row r="474" spans="3:15" x14ac:dyDescent="0.15">
      <c r="C474" s="43" t="s">
        <v>530</v>
      </c>
      <c r="D474" s="42">
        <v>31</v>
      </c>
      <c r="E474" s="42">
        <v>165</v>
      </c>
      <c r="F474" s="42">
        <v>1</v>
      </c>
      <c r="G474" s="42">
        <v>1.6</v>
      </c>
      <c r="H474" s="42">
        <v>0</v>
      </c>
      <c r="I474" s="42">
        <v>1</v>
      </c>
      <c r="J474" s="42">
        <v>0</v>
      </c>
      <c r="K474" s="42">
        <v>0</v>
      </c>
      <c r="L474" s="42">
        <v>0</v>
      </c>
      <c r="M474" s="42">
        <v>1</v>
      </c>
      <c r="N474" s="42">
        <v>0</v>
      </c>
      <c r="O474">
        <v>1</v>
      </c>
    </row>
    <row r="475" spans="3:15" x14ac:dyDescent="0.15">
      <c r="C475" s="43" t="s">
        <v>531</v>
      </c>
      <c r="D475" s="42">
        <v>23</v>
      </c>
      <c r="E475" s="42">
        <v>45</v>
      </c>
      <c r="F475" s="42">
        <v>4</v>
      </c>
      <c r="G475" s="42">
        <v>2</v>
      </c>
      <c r="H475" s="42">
        <v>0</v>
      </c>
      <c r="I475" s="42">
        <v>0</v>
      </c>
      <c r="J475" s="42">
        <v>132</v>
      </c>
      <c r="K475" s="42">
        <v>1</v>
      </c>
      <c r="L475" s="42">
        <v>0</v>
      </c>
      <c r="M475" s="42">
        <v>0</v>
      </c>
      <c r="N475" s="42">
        <v>0</v>
      </c>
      <c r="O475">
        <v>0</v>
      </c>
    </row>
    <row r="476" spans="3:15" x14ac:dyDescent="0.15">
      <c r="C476" s="43" t="s">
        <v>532</v>
      </c>
      <c r="D476" s="42">
        <v>6</v>
      </c>
      <c r="E476" s="42">
        <v>55</v>
      </c>
      <c r="F476" s="42">
        <v>4</v>
      </c>
      <c r="G476" s="42">
        <v>2</v>
      </c>
      <c r="H476" s="42">
        <v>0</v>
      </c>
      <c r="I476" s="42">
        <v>1</v>
      </c>
      <c r="J476" s="42">
        <v>185</v>
      </c>
      <c r="K476" s="42">
        <v>0</v>
      </c>
      <c r="L476" s="42">
        <v>0</v>
      </c>
      <c r="M476" s="42">
        <v>1</v>
      </c>
      <c r="N476" s="42">
        <v>0</v>
      </c>
      <c r="O476">
        <v>0</v>
      </c>
    </row>
    <row r="477" spans="3:15" x14ac:dyDescent="0.15">
      <c r="C477" s="43" t="s">
        <v>533</v>
      </c>
      <c r="D477" s="42">
        <v>21</v>
      </c>
      <c r="E477" s="42">
        <v>141</v>
      </c>
      <c r="F477" s="42">
        <v>1</v>
      </c>
      <c r="G477" s="42">
        <v>2.4</v>
      </c>
      <c r="H477" s="42">
        <v>1</v>
      </c>
      <c r="I477" s="42">
        <v>0</v>
      </c>
      <c r="J477" s="42">
        <v>0</v>
      </c>
      <c r="K477" s="42">
        <v>0</v>
      </c>
      <c r="L477" s="42">
        <v>0</v>
      </c>
      <c r="M477" s="42">
        <v>0</v>
      </c>
      <c r="N477" s="42">
        <v>0</v>
      </c>
      <c r="O477">
        <v>0</v>
      </c>
    </row>
    <row r="478" spans="3:15" x14ac:dyDescent="0.15">
      <c r="C478" s="43" t="s">
        <v>534</v>
      </c>
      <c r="D478" s="42">
        <v>42</v>
      </c>
      <c r="E478" s="42">
        <v>32</v>
      </c>
      <c r="F478" s="42">
        <v>1</v>
      </c>
      <c r="G478" s="42">
        <v>1.1000000000000001</v>
      </c>
      <c r="H478" s="42">
        <v>0</v>
      </c>
      <c r="I478" s="42">
        <v>0</v>
      </c>
      <c r="J478" s="42">
        <v>0</v>
      </c>
      <c r="K478" s="42">
        <v>0</v>
      </c>
      <c r="L478" s="42">
        <v>0</v>
      </c>
      <c r="M478" s="42">
        <v>0</v>
      </c>
      <c r="N478" s="42">
        <v>1</v>
      </c>
      <c r="O478">
        <v>0</v>
      </c>
    </row>
    <row r="479" spans="3:15" x14ac:dyDescent="0.15">
      <c r="C479" s="43" t="s">
        <v>535</v>
      </c>
      <c r="D479" s="42">
        <v>17</v>
      </c>
      <c r="E479" s="42">
        <v>14</v>
      </c>
      <c r="F479" s="42">
        <v>1</v>
      </c>
      <c r="G479" s="42">
        <v>1</v>
      </c>
      <c r="H479" s="42">
        <v>1</v>
      </c>
      <c r="I479" s="42">
        <v>0</v>
      </c>
      <c r="J479" s="42">
        <v>0</v>
      </c>
      <c r="K479" s="42">
        <v>0</v>
      </c>
      <c r="L479" s="42">
        <v>0</v>
      </c>
      <c r="M479" s="42">
        <v>0</v>
      </c>
      <c r="N479" s="42">
        <v>0</v>
      </c>
      <c r="O479">
        <v>0</v>
      </c>
    </row>
    <row r="480" spans="3:15" x14ac:dyDescent="0.15">
      <c r="C480" s="43" t="s">
        <v>536</v>
      </c>
      <c r="D480" s="42">
        <v>31</v>
      </c>
      <c r="E480" s="42">
        <v>55</v>
      </c>
      <c r="F480" s="42">
        <v>3</v>
      </c>
      <c r="G480" s="42">
        <v>2.5</v>
      </c>
      <c r="H480" s="42">
        <v>1</v>
      </c>
      <c r="I480" s="42">
        <v>0</v>
      </c>
      <c r="J480" s="42">
        <v>219</v>
      </c>
      <c r="K480" s="42">
        <v>0</v>
      </c>
      <c r="L480" s="42">
        <v>1</v>
      </c>
      <c r="M480" s="42">
        <v>1</v>
      </c>
      <c r="N480" s="42">
        <v>1</v>
      </c>
      <c r="O480">
        <v>0</v>
      </c>
    </row>
    <row r="481" spans="3:15" x14ac:dyDescent="0.15">
      <c r="C481" s="43" t="s">
        <v>537</v>
      </c>
      <c r="D481" s="42">
        <v>37</v>
      </c>
      <c r="E481" s="42">
        <v>60</v>
      </c>
      <c r="F481" s="42">
        <v>3</v>
      </c>
      <c r="G481" s="42">
        <v>2</v>
      </c>
      <c r="H481" s="42">
        <v>0</v>
      </c>
      <c r="I481" s="42">
        <v>0</v>
      </c>
      <c r="J481" s="42">
        <v>0</v>
      </c>
      <c r="K481" s="42">
        <v>0</v>
      </c>
      <c r="L481" s="42">
        <v>0</v>
      </c>
      <c r="M481" s="42">
        <v>1</v>
      </c>
      <c r="N481" s="42">
        <v>0</v>
      </c>
      <c r="O481">
        <v>0</v>
      </c>
    </row>
    <row r="482" spans="3:15" x14ac:dyDescent="0.15">
      <c r="C482" s="43" t="s">
        <v>538</v>
      </c>
      <c r="D482" s="42">
        <v>28</v>
      </c>
      <c r="E482" s="42">
        <v>43</v>
      </c>
      <c r="F482" s="42">
        <v>2</v>
      </c>
      <c r="G482" s="42">
        <v>2.1</v>
      </c>
      <c r="H482" s="42">
        <v>0</v>
      </c>
      <c r="I482" s="42">
        <v>0</v>
      </c>
      <c r="J482" s="42">
        <v>0</v>
      </c>
      <c r="K482" s="42">
        <v>0</v>
      </c>
      <c r="L482" s="42">
        <v>1</v>
      </c>
      <c r="M482" s="42">
        <v>1</v>
      </c>
      <c r="N482" s="42">
        <v>1</v>
      </c>
      <c r="O482">
        <v>0</v>
      </c>
    </row>
    <row r="483" spans="3:15" x14ac:dyDescent="0.15">
      <c r="C483" s="43" t="s">
        <v>539</v>
      </c>
      <c r="D483" s="42">
        <v>9</v>
      </c>
      <c r="E483" s="42">
        <v>64</v>
      </c>
      <c r="F483" s="42">
        <v>2</v>
      </c>
      <c r="G483" s="42">
        <v>0.1</v>
      </c>
      <c r="H483" s="42">
        <v>1</v>
      </c>
      <c r="I483" s="42">
        <v>0</v>
      </c>
      <c r="J483" s="42">
        <v>224</v>
      </c>
      <c r="K483" s="42">
        <v>0</v>
      </c>
      <c r="L483" s="42">
        <v>0</v>
      </c>
      <c r="M483" s="42">
        <v>1</v>
      </c>
      <c r="N483" s="42">
        <v>1</v>
      </c>
      <c r="O483">
        <v>0</v>
      </c>
    </row>
    <row r="484" spans="3:15" x14ac:dyDescent="0.15">
      <c r="C484" s="43" t="s">
        <v>540</v>
      </c>
      <c r="D484" s="42">
        <v>36</v>
      </c>
      <c r="E484" s="42">
        <v>60</v>
      </c>
      <c r="F484" s="42">
        <v>3</v>
      </c>
      <c r="G484" s="42">
        <v>0.5</v>
      </c>
      <c r="H484" s="42">
        <v>0</v>
      </c>
      <c r="I484" s="42">
        <v>1</v>
      </c>
      <c r="J484" s="42">
        <v>182</v>
      </c>
      <c r="K484" s="42">
        <v>0</v>
      </c>
      <c r="L484" s="42">
        <v>0</v>
      </c>
      <c r="M484" s="42">
        <v>0</v>
      </c>
      <c r="N484" s="42">
        <v>0</v>
      </c>
      <c r="O484">
        <v>0</v>
      </c>
    </row>
    <row r="485" spans="3:15" x14ac:dyDescent="0.15">
      <c r="C485" s="43" t="s">
        <v>541</v>
      </c>
      <c r="D485" s="42">
        <v>40</v>
      </c>
      <c r="E485" s="42">
        <v>128</v>
      </c>
      <c r="F485" s="42">
        <v>1</v>
      </c>
      <c r="G485" s="42">
        <v>2.5</v>
      </c>
      <c r="H485" s="42">
        <v>1</v>
      </c>
      <c r="I485" s="42">
        <v>0</v>
      </c>
      <c r="J485" s="42">
        <v>162</v>
      </c>
      <c r="K485" s="42">
        <v>0</v>
      </c>
      <c r="L485" s="42">
        <v>0</v>
      </c>
      <c r="M485" s="42">
        <v>1</v>
      </c>
      <c r="N485" s="42">
        <v>0</v>
      </c>
      <c r="O485">
        <v>0</v>
      </c>
    </row>
    <row r="486" spans="3:15" x14ac:dyDescent="0.15">
      <c r="C486" s="43" t="s">
        <v>542</v>
      </c>
      <c r="D486" s="42">
        <v>27</v>
      </c>
      <c r="E486" s="42">
        <v>58</v>
      </c>
      <c r="F486" s="42">
        <v>4</v>
      </c>
      <c r="G486" s="42">
        <v>1.8</v>
      </c>
      <c r="H486" s="42">
        <v>0</v>
      </c>
      <c r="I486" s="42">
        <v>0</v>
      </c>
      <c r="J486" s="42">
        <v>91</v>
      </c>
      <c r="K486" s="42">
        <v>0</v>
      </c>
      <c r="L486" s="42">
        <v>0</v>
      </c>
      <c r="M486" s="42">
        <v>0</v>
      </c>
      <c r="N486" s="42">
        <v>0</v>
      </c>
      <c r="O486">
        <v>0</v>
      </c>
    </row>
    <row r="487" spans="3:15" x14ac:dyDescent="0.15">
      <c r="C487" s="43" t="s">
        <v>543</v>
      </c>
      <c r="D487" s="42">
        <v>2</v>
      </c>
      <c r="E487" s="42">
        <v>103</v>
      </c>
      <c r="F487" s="42">
        <v>1</v>
      </c>
      <c r="G487" s="42">
        <v>1.9</v>
      </c>
      <c r="H487" s="42">
        <v>1</v>
      </c>
      <c r="I487" s="42">
        <v>0</v>
      </c>
      <c r="J487" s="42">
        <v>120</v>
      </c>
      <c r="K487" s="42">
        <v>0</v>
      </c>
      <c r="L487" s="42">
        <v>0</v>
      </c>
      <c r="M487" s="42">
        <v>1</v>
      </c>
      <c r="N487" s="42">
        <v>0</v>
      </c>
      <c r="O487">
        <v>0</v>
      </c>
    </row>
    <row r="488" spans="3:15" x14ac:dyDescent="0.15">
      <c r="C488" s="43" t="s">
        <v>544</v>
      </c>
      <c r="D488" s="42">
        <v>26</v>
      </c>
      <c r="E488" s="42">
        <v>28</v>
      </c>
      <c r="F488" s="42">
        <v>1</v>
      </c>
      <c r="G488" s="42">
        <v>0.3</v>
      </c>
      <c r="H488" s="42">
        <v>0</v>
      </c>
      <c r="I488" s="42">
        <v>0</v>
      </c>
      <c r="J488" s="42">
        <v>0</v>
      </c>
      <c r="K488" s="42">
        <v>0</v>
      </c>
      <c r="L488" s="42">
        <v>0</v>
      </c>
      <c r="M488" s="42">
        <v>1</v>
      </c>
      <c r="N488" s="42">
        <v>0</v>
      </c>
      <c r="O488">
        <v>0</v>
      </c>
    </row>
    <row r="489" spans="3:15" x14ac:dyDescent="0.15">
      <c r="C489" s="43" t="s">
        <v>545</v>
      </c>
      <c r="D489" s="42">
        <v>23</v>
      </c>
      <c r="E489" s="42">
        <v>33</v>
      </c>
      <c r="F489" s="42">
        <v>1</v>
      </c>
      <c r="G489" s="42">
        <v>0.3</v>
      </c>
      <c r="H489" s="42">
        <v>0</v>
      </c>
      <c r="I489" s="42">
        <v>0</v>
      </c>
      <c r="J489" s="42">
        <v>0</v>
      </c>
      <c r="K489" s="42">
        <v>0</v>
      </c>
      <c r="L489" s="42">
        <v>1</v>
      </c>
      <c r="M489" s="42">
        <v>1</v>
      </c>
      <c r="N489" s="42">
        <v>1</v>
      </c>
      <c r="O489">
        <v>0</v>
      </c>
    </row>
    <row r="490" spans="3:15" x14ac:dyDescent="0.15">
      <c r="C490" s="43" t="s">
        <v>546</v>
      </c>
      <c r="D490" s="42">
        <v>24</v>
      </c>
      <c r="E490" s="42">
        <v>29</v>
      </c>
      <c r="F490" s="42">
        <v>3</v>
      </c>
      <c r="G490" s="42">
        <v>0.9</v>
      </c>
      <c r="H490" s="42">
        <v>0</v>
      </c>
      <c r="I490" s="42">
        <v>0</v>
      </c>
      <c r="J490" s="42">
        <v>0</v>
      </c>
      <c r="K490" s="42">
        <v>0</v>
      </c>
      <c r="L490" s="42">
        <v>0</v>
      </c>
      <c r="M490" s="42">
        <v>0</v>
      </c>
      <c r="N490" s="42">
        <v>0</v>
      </c>
      <c r="O490">
        <v>0</v>
      </c>
    </row>
    <row r="491" spans="3:15" x14ac:dyDescent="0.15">
      <c r="C491" s="43" t="s">
        <v>547</v>
      </c>
      <c r="D491" s="42">
        <v>17</v>
      </c>
      <c r="E491" s="42">
        <v>28</v>
      </c>
      <c r="F491" s="42">
        <v>1</v>
      </c>
      <c r="G491" s="42">
        <v>0.5</v>
      </c>
      <c r="H491" s="42">
        <v>0</v>
      </c>
      <c r="I491" s="42">
        <v>0</v>
      </c>
      <c r="J491" s="42">
        <v>90</v>
      </c>
      <c r="K491" s="42">
        <v>0</v>
      </c>
      <c r="L491" s="42">
        <v>0</v>
      </c>
      <c r="M491" s="42">
        <v>0</v>
      </c>
      <c r="N491" s="42">
        <v>0</v>
      </c>
      <c r="O491">
        <v>0</v>
      </c>
    </row>
    <row r="492" spans="3:15" x14ac:dyDescent="0.15">
      <c r="C492" s="43" t="s">
        <v>548</v>
      </c>
      <c r="D492" s="42">
        <v>9</v>
      </c>
      <c r="E492" s="42">
        <v>49</v>
      </c>
      <c r="F492" s="42">
        <v>1</v>
      </c>
      <c r="G492" s="42">
        <v>2.4</v>
      </c>
      <c r="H492" s="42">
        <v>0</v>
      </c>
      <c r="I492" s="42">
        <v>1</v>
      </c>
      <c r="J492" s="42">
        <v>0</v>
      </c>
      <c r="K492" s="42">
        <v>0</v>
      </c>
      <c r="L492" s="42">
        <v>0</v>
      </c>
      <c r="M492" s="42">
        <v>1</v>
      </c>
      <c r="N492" s="42">
        <v>0</v>
      </c>
      <c r="O492">
        <v>0</v>
      </c>
    </row>
    <row r="493" spans="3:15" x14ac:dyDescent="0.15">
      <c r="C493" s="43" t="s">
        <v>549</v>
      </c>
      <c r="D493" s="42">
        <v>2</v>
      </c>
      <c r="E493" s="42">
        <v>130</v>
      </c>
      <c r="F493" s="42">
        <v>3</v>
      </c>
      <c r="G493" s="42">
        <v>4.4000000000000004</v>
      </c>
      <c r="H493" s="42">
        <v>1</v>
      </c>
      <c r="I493" s="42">
        <v>0</v>
      </c>
      <c r="J493" s="42">
        <v>192</v>
      </c>
      <c r="K493" s="42">
        <v>0</v>
      </c>
      <c r="L493" s="42">
        <v>0</v>
      </c>
      <c r="M493" s="42">
        <v>1</v>
      </c>
      <c r="N493" s="42">
        <v>0</v>
      </c>
      <c r="O493">
        <v>1</v>
      </c>
    </row>
    <row r="494" spans="3:15" x14ac:dyDescent="0.15">
      <c r="C494" s="43" t="s">
        <v>550</v>
      </c>
      <c r="D494" s="42">
        <v>31</v>
      </c>
      <c r="E494" s="42">
        <v>74</v>
      </c>
      <c r="F494" s="42">
        <v>2</v>
      </c>
      <c r="G494" s="42">
        <v>3.2</v>
      </c>
      <c r="H494" s="42">
        <v>0</v>
      </c>
      <c r="I494" s="42">
        <v>0</v>
      </c>
      <c r="J494" s="42">
        <v>0</v>
      </c>
      <c r="K494" s="42">
        <v>0</v>
      </c>
      <c r="L494" s="42">
        <v>0</v>
      </c>
      <c r="M494" s="42">
        <v>1</v>
      </c>
      <c r="N494" s="42">
        <v>1</v>
      </c>
      <c r="O494">
        <v>0</v>
      </c>
    </row>
    <row r="495" spans="3:15" x14ac:dyDescent="0.15">
      <c r="C495" s="43" t="s">
        <v>551</v>
      </c>
      <c r="D495" s="42">
        <v>9</v>
      </c>
      <c r="E495" s="42">
        <v>41</v>
      </c>
      <c r="F495" s="42">
        <v>3</v>
      </c>
      <c r="G495" s="42">
        <v>2.2999999999999998</v>
      </c>
      <c r="H495" s="42">
        <v>1</v>
      </c>
      <c r="I495" s="42">
        <v>0</v>
      </c>
      <c r="J495" s="42">
        <v>0</v>
      </c>
      <c r="K495" s="42">
        <v>0</v>
      </c>
      <c r="L495" s="42">
        <v>0</v>
      </c>
      <c r="M495" s="42">
        <v>0</v>
      </c>
      <c r="N495" s="42">
        <v>1</v>
      </c>
      <c r="O495">
        <v>0</v>
      </c>
    </row>
    <row r="496" spans="3:15" x14ac:dyDescent="0.15">
      <c r="C496" s="43" t="s">
        <v>552</v>
      </c>
      <c r="D496" s="42">
        <v>22</v>
      </c>
      <c r="E496" s="42">
        <v>83</v>
      </c>
      <c r="F496" s="42">
        <v>3</v>
      </c>
      <c r="G496" s="42">
        <v>0.7</v>
      </c>
      <c r="H496" s="42">
        <v>1</v>
      </c>
      <c r="I496" s="42">
        <v>0</v>
      </c>
      <c r="J496" s="42">
        <v>0</v>
      </c>
      <c r="K496" s="42">
        <v>0</v>
      </c>
      <c r="L496" s="42">
        <v>0</v>
      </c>
      <c r="M496" s="42">
        <v>0</v>
      </c>
      <c r="N496" s="42">
        <v>0</v>
      </c>
      <c r="O496">
        <v>0</v>
      </c>
    </row>
    <row r="497" spans="3:15" x14ac:dyDescent="0.15">
      <c r="C497" s="43" t="s">
        <v>553</v>
      </c>
      <c r="D497" s="42">
        <v>13</v>
      </c>
      <c r="E497" s="42">
        <v>71</v>
      </c>
      <c r="F497" s="42">
        <v>2</v>
      </c>
      <c r="G497" s="42">
        <v>2.7</v>
      </c>
      <c r="H497" s="42">
        <v>1</v>
      </c>
      <c r="I497" s="42">
        <v>0</v>
      </c>
      <c r="J497" s="42">
        <v>94</v>
      </c>
      <c r="K497" s="42">
        <v>0</v>
      </c>
      <c r="L497" s="42">
        <v>0</v>
      </c>
      <c r="M497" s="42">
        <v>1</v>
      </c>
      <c r="N497" s="42">
        <v>0</v>
      </c>
      <c r="O497">
        <v>0</v>
      </c>
    </row>
    <row r="498" spans="3:15" x14ac:dyDescent="0.15">
      <c r="C498" s="43" t="s">
        <v>554</v>
      </c>
      <c r="D498" s="42">
        <v>12</v>
      </c>
      <c r="E498" s="42">
        <v>113</v>
      </c>
      <c r="F498" s="42">
        <v>4</v>
      </c>
      <c r="G498" s="42">
        <v>0.2</v>
      </c>
      <c r="H498" s="42">
        <v>1</v>
      </c>
      <c r="I498" s="42">
        <v>0</v>
      </c>
      <c r="J498" s="42">
        <v>0</v>
      </c>
      <c r="K498" s="42">
        <v>0</v>
      </c>
      <c r="L498" s="42">
        <v>0</v>
      </c>
      <c r="M498" s="42">
        <v>0</v>
      </c>
      <c r="N498" s="42">
        <v>0</v>
      </c>
      <c r="O498">
        <v>1</v>
      </c>
    </row>
    <row r="499" spans="3:15" x14ac:dyDescent="0.15">
      <c r="C499" s="43" t="s">
        <v>555</v>
      </c>
      <c r="D499" s="42">
        <v>33</v>
      </c>
      <c r="E499" s="42">
        <v>41</v>
      </c>
      <c r="F499" s="42">
        <v>4</v>
      </c>
      <c r="G499" s="42">
        <v>1.6666666666666667</v>
      </c>
      <c r="H499" s="42">
        <v>0</v>
      </c>
      <c r="I499" s="42">
        <v>0</v>
      </c>
      <c r="J499" s="42">
        <v>0</v>
      </c>
      <c r="K499" s="42">
        <v>0</v>
      </c>
      <c r="L499" s="42">
        <v>0</v>
      </c>
      <c r="M499" s="42">
        <v>1</v>
      </c>
      <c r="N499" s="42">
        <v>0</v>
      </c>
      <c r="O499">
        <v>0</v>
      </c>
    </row>
    <row r="500" spans="3:15" x14ac:dyDescent="0.15">
      <c r="C500" s="43" t="s">
        <v>556</v>
      </c>
      <c r="D500" s="42">
        <v>17</v>
      </c>
      <c r="E500" s="42">
        <v>78</v>
      </c>
      <c r="F500" s="42">
        <v>4</v>
      </c>
      <c r="G500" s="42">
        <v>0.8</v>
      </c>
      <c r="H500" s="42">
        <v>1</v>
      </c>
      <c r="I500" s="42">
        <v>0</v>
      </c>
      <c r="J500" s="42">
        <v>78</v>
      </c>
      <c r="K500" s="42">
        <v>0</v>
      </c>
      <c r="L500" s="42">
        <v>0</v>
      </c>
      <c r="M500" s="42">
        <v>1</v>
      </c>
      <c r="N500" s="42">
        <v>0</v>
      </c>
      <c r="O500">
        <v>0</v>
      </c>
    </row>
    <row r="501" spans="3:15" x14ac:dyDescent="0.15">
      <c r="C501" s="43" t="s">
        <v>557</v>
      </c>
      <c r="D501" s="42">
        <v>29</v>
      </c>
      <c r="E501" s="42">
        <v>48</v>
      </c>
      <c r="F501" s="42">
        <v>4</v>
      </c>
      <c r="G501" s="42">
        <v>1.8</v>
      </c>
      <c r="H501" s="42">
        <v>0</v>
      </c>
      <c r="I501" s="42">
        <v>0</v>
      </c>
      <c r="J501" s="42">
        <v>0</v>
      </c>
      <c r="K501" s="42">
        <v>0</v>
      </c>
      <c r="L501" s="42">
        <v>0</v>
      </c>
      <c r="M501" s="42">
        <v>1</v>
      </c>
      <c r="N501" s="42">
        <v>0</v>
      </c>
      <c r="O501">
        <v>0</v>
      </c>
    </row>
    <row r="502" spans="3:15" x14ac:dyDescent="0.15">
      <c r="C502" s="43" t="s">
        <v>558</v>
      </c>
      <c r="D502" s="42">
        <v>20</v>
      </c>
      <c r="E502" s="42">
        <v>81</v>
      </c>
      <c r="F502" s="42">
        <v>4</v>
      </c>
      <c r="G502" s="42">
        <v>2</v>
      </c>
      <c r="H502" s="42">
        <v>0</v>
      </c>
      <c r="I502" s="42">
        <v>0</v>
      </c>
      <c r="J502" s="42">
        <v>277</v>
      </c>
      <c r="K502" s="42">
        <v>0</v>
      </c>
      <c r="L502" s="42">
        <v>0</v>
      </c>
      <c r="M502" s="42">
        <v>1</v>
      </c>
      <c r="N502" s="42">
        <v>0</v>
      </c>
      <c r="O502">
        <v>0</v>
      </c>
    </row>
    <row r="503" spans="3:15" x14ac:dyDescent="0.15">
      <c r="C503" s="43" t="s">
        <v>559</v>
      </c>
      <c r="D503" s="42">
        <v>25</v>
      </c>
      <c r="E503" s="42">
        <v>29</v>
      </c>
      <c r="F503" s="42">
        <v>1</v>
      </c>
      <c r="G503" s="42">
        <v>0.3</v>
      </c>
      <c r="H503" s="42">
        <v>0</v>
      </c>
      <c r="I503" s="42">
        <v>0</v>
      </c>
      <c r="J503" s="42">
        <v>140</v>
      </c>
      <c r="K503" s="42">
        <v>0</v>
      </c>
      <c r="L503" s="42">
        <v>0</v>
      </c>
      <c r="M503" s="42">
        <v>0</v>
      </c>
      <c r="N503" s="42">
        <v>0</v>
      </c>
      <c r="O503">
        <v>0</v>
      </c>
    </row>
    <row r="504" spans="3:15" x14ac:dyDescent="0.15">
      <c r="C504" s="43" t="s">
        <v>560</v>
      </c>
      <c r="D504" s="42">
        <v>10</v>
      </c>
      <c r="E504" s="42">
        <v>80</v>
      </c>
      <c r="F504" s="42">
        <v>4</v>
      </c>
      <c r="G504" s="42">
        <v>2.2000000000000002</v>
      </c>
      <c r="H504" s="42">
        <v>0</v>
      </c>
      <c r="I504" s="42">
        <v>1</v>
      </c>
      <c r="J504" s="42">
        <v>0</v>
      </c>
      <c r="K504" s="42">
        <v>0</v>
      </c>
      <c r="L504" s="42">
        <v>0</v>
      </c>
      <c r="M504" s="42">
        <v>1</v>
      </c>
      <c r="N504" s="42">
        <v>0</v>
      </c>
      <c r="O504">
        <v>0</v>
      </c>
    </row>
    <row r="505" spans="3:15" x14ac:dyDescent="0.15">
      <c r="C505" s="43" t="s">
        <v>561</v>
      </c>
      <c r="D505" s="42">
        <v>30</v>
      </c>
      <c r="E505" s="42">
        <v>64</v>
      </c>
      <c r="F505" s="42">
        <v>1</v>
      </c>
      <c r="G505" s="42">
        <v>1.8</v>
      </c>
      <c r="H505" s="42">
        <v>0</v>
      </c>
      <c r="I505" s="42">
        <v>0</v>
      </c>
      <c r="J505" s="42">
        <v>227</v>
      </c>
      <c r="K505" s="42">
        <v>0</v>
      </c>
      <c r="L505" s="42">
        <v>0</v>
      </c>
      <c r="M505" s="42">
        <v>0</v>
      </c>
      <c r="N505" s="42">
        <v>1</v>
      </c>
      <c r="O505">
        <v>0</v>
      </c>
    </row>
    <row r="506" spans="3:15" x14ac:dyDescent="0.15">
      <c r="C506" s="43" t="s">
        <v>562</v>
      </c>
      <c r="D506" s="42">
        <v>27</v>
      </c>
      <c r="E506" s="42">
        <v>42</v>
      </c>
      <c r="F506" s="42">
        <v>4</v>
      </c>
      <c r="G506" s="42">
        <v>0.1</v>
      </c>
      <c r="H506" s="42">
        <v>0</v>
      </c>
      <c r="I506" s="42">
        <v>0</v>
      </c>
      <c r="J506" s="42">
        <v>0</v>
      </c>
      <c r="K506" s="42">
        <v>0</v>
      </c>
      <c r="L506" s="42">
        <v>0</v>
      </c>
      <c r="M506" s="42">
        <v>0</v>
      </c>
      <c r="N506" s="42">
        <v>0</v>
      </c>
      <c r="O506">
        <v>0</v>
      </c>
    </row>
    <row r="507" spans="3:15" x14ac:dyDescent="0.15">
      <c r="C507" s="43" t="s">
        <v>563</v>
      </c>
      <c r="D507" s="42">
        <v>21</v>
      </c>
      <c r="E507" s="42">
        <v>61</v>
      </c>
      <c r="F507" s="42">
        <v>3</v>
      </c>
      <c r="G507" s="42">
        <v>0.7</v>
      </c>
      <c r="H507" s="42">
        <v>1</v>
      </c>
      <c r="I507" s="42">
        <v>0</v>
      </c>
      <c r="J507" s="42">
        <v>0</v>
      </c>
      <c r="K507" s="42">
        <v>0</v>
      </c>
      <c r="L507" s="42">
        <v>0</v>
      </c>
      <c r="M507" s="42">
        <v>0</v>
      </c>
      <c r="N507" s="42">
        <v>0</v>
      </c>
      <c r="O507">
        <v>0</v>
      </c>
    </row>
    <row r="508" spans="3:15" x14ac:dyDescent="0.15">
      <c r="C508" s="43" t="s">
        <v>564</v>
      </c>
      <c r="D508" s="42">
        <v>37</v>
      </c>
      <c r="E508" s="42">
        <v>55</v>
      </c>
      <c r="F508" s="42">
        <v>3</v>
      </c>
      <c r="G508" s="42">
        <v>0.9</v>
      </c>
      <c r="H508" s="42">
        <v>0</v>
      </c>
      <c r="I508" s="42">
        <v>0</v>
      </c>
      <c r="J508" s="42">
        <v>0</v>
      </c>
      <c r="K508" s="42">
        <v>0</v>
      </c>
      <c r="L508" s="42">
        <v>0</v>
      </c>
      <c r="M508" s="42">
        <v>1</v>
      </c>
      <c r="N508" s="42">
        <v>0</v>
      </c>
      <c r="O508">
        <v>0</v>
      </c>
    </row>
    <row r="509" spans="3:15" x14ac:dyDescent="0.15">
      <c r="C509" s="43" t="s">
        <v>565</v>
      </c>
      <c r="D509" s="42">
        <v>19</v>
      </c>
      <c r="E509" s="42">
        <v>62</v>
      </c>
      <c r="F509" s="42">
        <v>3</v>
      </c>
      <c r="G509" s="42">
        <v>0.8</v>
      </c>
      <c r="H509" s="42">
        <v>0</v>
      </c>
      <c r="I509" s="42">
        <v>0</v>
      </c>
      <c r="J509" s="42">
        <v>0</v>
      </c>
      <c r="K509" s="42">
        <v>0</v>
      </c>
      <c r="L509" s="42">
        <v>0</v>
      </c>
      <c r="M509" s="42">
        <v>0</v>
      </c>
      <c r="N509" s="42">
        <v>1</v>
      </c>
      <c r="O509">
        <v>0</v>
      </c>
    </row>
    <row r="510" spans="3:15" x14ac:dyDescent="0.15">
      <c r="C510" s="43" t="s">
        <v>566</v>
      </c>
      <c r="D510" s="42">
        <v>26</v>
      </c>
      <c r="E510" s="42">
        <v>19</v>
      </c>
      <c r="F510" s="42">
        <v>2</v>
      </c>
      <c r="G510" s="42">
        <v>0.4</v>
      </c>
      <c r="H510" s="42">
        <v>1</v>
      </c>
      <c r="I510" s="42">
        <v>0</v>
      </c>
      <c r="J510" s="42">
        <v>118</v>
      </c>
      <c r="K510" s="42">
        <v>0</v>
      </c>
      <c r="L510" s="42">
        <v>0</v>
      </c>
      <c r="M510" s="42">
        <v>1</v>
      </c>
      <c r="N510" s="42">
        <v>0</v>
      </c>
      <c r="O510">
        <v>0</v>
      </c>
    </row>
    <row r="511" spans="3:15" x14ac:dyDescent="0.15">
      <c r="C511" s="43" t="s">
        <v>567</v>
      </c>
      <c r="D511" s="42">
        <v>19</v>
      </c>
      <c r="E511" s="42">
        <v>83</v>
      </c>
      <c r="F511" s="42">
        <v>4</v>
      </c>
      <c r="G511" s="42">
        <v>0.4</v>
      </c>
      <c r="H511" s="42">
        <v>1</v>
      </c>
      <c r="I511" s="42">
        <v>0</v>
      </c>
      <c r="J511" s="42">
        <v>141</v>
      </c>
      <c r="K511" s="42">
        <v>0</v>
      </c>
      <c r="L511" s="42">
        <v>0</v>
      </c>
      <c r="M511" s="42">
        <v>0</v>
      </c>
      <c r="N511" s="42">
        <v>0</v>
      </c>
      <c r="O511">
        <v>0</v>
      </c>
    </row>
    <row r="512" spans="3:15" x14ac:dyDescent="0.15">
      <c r="C512" s="43" t="s">
        <v>568</v>
      </c>
      <c r="D512" s="42">
        <v>1</v>
      </c>
      <c r="E512" s="42">
        <v>113</v>
      </c>
      <c r="F512" s="42">
        <v>2</v>
      </c>
      <c r="G512" s="42">
        <v>0.2</v>
      </c>
      <c r="H512" s="42">
        <v>1</v>
      </c>
      <c r="I512" s="42">
        <v>0</v>
      </c>
      <c r="J512" s="42">
        <v>0</v>
      </c>
      <c r="K512" s="42">
        <v>0</v>
      </c>
      <c r="L512" s="42">
        <v>0</v>
      </c>
      <c r="M512" s="42">
        <v>1</v>
      </c>
      <c r="N512" s="42">
        <v>1</v>
      </c>
      <c r="O512">
        <v>0</v>
      </c>
    </row>
    <row r="513" spans="3:15" x14ac:dyDescent="0.15">
      <c r="C513" s="43" t="s">
        <v>569</v>
      </c>
      <c r="D513" s="42">
        <v>32</v>
      </c>
      <c r="E513" s="42">
        <v>31</v>
      </c>
      <c r="F513" s="42">
        <v>3</v>
      </c>
      <c r="G513" s="42">
        <v>1.3</v>
      </c>
      <c r="H513" s="42">
        <v>0</v>
      </c>
      <c r="I513" s="42">
        <v>1</v>
      </c>
      <c r="J513" s="42">
        <v>0</v>
      </c>
      <c r="K513" s="42">
        <v>0</v>
      </c>
      <c r="L513" s="42">
        <v>0</v>
      </c>
      <c r="M513" s="42">
        <v>1</v>
      </c>
      <c r="N513" s="42">
        <v>1</v>
      </c>
      <c r="O513">
        <v>0</v>
      </c>
    </row>
    <row r="514" spans="3:15" x14ac:dyDescent="0.15">
      <c r="C514" s="43" t="s">
        <v>570</v>
      </c>
      <c r="D514" s="42">
        <v>37</v>
      </c>
      <c r="E514" s="42">
        <v>41</v>
      </c>
      <c r="F514" s="42">
        <v>1</v>
      </c>
      <c r="G514" s="42">
        <v>0.5</v>
      </c>
      <c r="H514" s="42">
        <v>0</v>
      </c>
      <c r="I514" s="42">
        <v>0</v>
      </c>
      <c r="J514" s="42">
        <v>0</v>
      </c>
      <c r="K514" s="42">
        <v>0</v>
      </c>
      <c r="L514" s="42">
        <v>0</v>
      </c>
      <c r="M514" s="42">
        <v>0</v>
      </c>
      <c r="N514" s="42">
        <v>1</v>
      </c>
      <c r="O514">
        <v>0</v>
      </c>
    </row>
    <row r="515" spans="3:15" x14ac:dyDescent="0.15">
      <c r="C515" s="43" t="s">
        <v>571</v>
      </c>
      <c r="D515" s="42">
        <v>34</v>
      </c>
      <c r="E515" s="42">
        <v>83</v>
      </c>
      <c r="F515" s="42">
        <v>2</v>
      </c>
      <c r="G515" s="42">
        <v>3.4</v>
      </c>
      <c r="H515" s="42">
        <v>0</v>
      </c>
      <c r="I515" s="42">
        <v>0</v>
      </c>
      <c r="J515" s="42">
        <v>0</v>
      </c>
      <c r="K515" s="42">
        <v>0</v>
      </c>
      <c r="L515" s="42">
        <v>0</v>
      </c>
      <c r="M515" s="42">
        <v>1</v>
      </c>
      <c r="N515" s="42">
        <v>0</v>
      </c>
      <c r="O515">
        <v>1</v>
      </c>
    </row>
    <row r="516" spans="3:15" x14ac:dyDescent="0.15">
      <c r="C516" s="43" t="s">
        <v>572</v>
      </c>
      <c r="D516" s="42">
        <v>29</v>
      </c>
      <c r="E516" s="42">
        <v>21</v>
      </c>
      <c r="F516" s="42">
        <v>4</v>
      </c>
      <c r="G516" s="42">
        <v>0.7</v>
      </c>
      <c r="H516" s="42">
        <v>0</v>
      </c>
      <c r="I516" s="42">
        <v>0</v>
      </c>
      <c r="J516" s="42">
        <v>0</v>
      </c>
      <c r="K516" s="42">
        <v>0</v>
      </c>
      <c r="L516" s="42">
        <v>0</v>
      </c>
      <c r="M516" s="42">
        <v>0</v>
      </c>
      <c r="N516" s="42">
        <v>0</v>
      </c>
      <c r="O516">
        <v>0</v>
      </c>
    </row>
    <row r="517" spans="3:15" x14ac:dyDescent="0.15">
      <c r="C517" s="43" t="s">
        <v>573</v>
      </c>
      <c r="D517" s="42">
        <v>10</v>
      </c>
      <c r="E517" s="42">
        <v>72</v>
      </c>
      <c r="F517" s="42">
        <v>3</v>
      </c>
      <c r="G517" s="42">
        <v>2.2999999999999998</v>
      </c>
      <c r="H517" s="42">
        <v>1</v>
      </c>
      <c r="I517" s="42">
        <v>0</v>
      </c>
      <c r="J517" s="42">
        <v>285</v>
      </c>
      <c r="K517" s="42">
        <v>0</v>
      </c>
      <c r="L517" s="42">
        <v>0</v>
      </c>
      <c r="M517" s="42">
        <v>0</v>
      </c>
      <c r="N517" s="42">
        <v>0</v>
      </c>
      <c r="O517">
        <v>0</v>
      </c>
    </row>
    <row r="518" spans="3:15" x14ac:dyDescent="0.15">
      <c r="C518" s="43" t="s">
        <v>574</v>
      </c>
      <c r="D518" s="42">
        <v>7</v>
      </c>
      <c r="E518" s="42">
        <v>113</v>
      </c>
      <c r="F518" s="42">
        <v>2</v>
      </c>
      <c r="G518" s="42">
        <v>2</v>
      </c>
      <c r="H518" s="42">
        <v>0</v>
      </c>
      <c r="I518" s="42">
        <v>1</v>
      </c>
      <c r="J518" s="42">
        <v>315</v>
      </c>
      <c r="K518" s="42">
        <v>0</v>
      </c>
      <c r="L518" s="42">
        <v>0</v>
      </c>
      <c r="M518" s="42">
        <v>0</v>
      </c>
      <c r="N518" s="42">
        <v>0</v>
      </c>
      <c r="O518">
        <v>0</v>
      </c>
    </row>
    <row r="519" spans="3:15" x14ac:dyDescent="0.15">
      <c r="C519" s="43" t="s">
        <v>575</v>
      </c>
      <c r="D519" s="42">
        <v>16</v>
      </c>
      <c r="E519" s="42">
        <v>10</v>
      </c>
      <c r="F519" s="42">
        <v>2</v>
      </c>
      <c r="G519" s="42">
        <v>0.3</v>
      </c>
      <c r="H519" s="42">
        <v>0</v>
      </c>
      <c r="I519" s="42">
        <v>1</v>
      </c>
      <c r="J519" s="42">
        <v>0</v>
      </c>
      <c r="K519" s="42">
        <v>0</v>
      </c>
      <c r="L519" s="42">
        <v>0</v>
      </c>
      <c r="M519" s="42">
        <v>1</v>
      </c>
      <c r="N519" s="42">
        <v>0</v>
      </c>
      <c r="O519">
        <v>0</v>
      </c>
    </row>
    <row r="520" spans="3:15" x14ac:dyDescent="0.15">
      <c r="C520" s="43" t="s">
        <v>576</v>
      </c>
      <c r="D520" s="42">
        <v>14</v>
      </c>
      <c r="E520" s="42">
        <v>91</v>
      </c>
      <c r="F520" s="42">
        <v>2</v>
      </c>
      <c r="G520" s="42">
        <v>0</v>
      </c>
      <c r="H520" s="42">
        <v>1</v>
      </c>
      <c r="I520" s="42">
        <v>0</v>
      </c>
      <c r="J520" s="42">
        <v>0</v>
      </c>
      <c r="K520" s="42">
        <v>0</v>
      </c>
      <c r="L520" s="42">
        <v>0</v>
      </c>
      <c r="M520" s="42">
        <v>1</v>
      </c>
      <c r="N520" s="42">
        <v>0</v>
      </c>
      <c r="O520">
        <v>0</v>
      </c>
    </row>
    <row r="521" spans="3:15" x14ac:dyDescent="0.15">
      <c r="C521" s="43" t="s">
        <v>577</v>
      </c>
      <c r="D521" s="42">
        <v>14</v>
      </c>
      <c r="E521" s="42">
        <v>129</v>
      </c>
      <c r="F521" s="42">
        <v>1</v>
      </c>
      <c r="G521" s="42">
        <v>5.9</v>
      </c>
      <c r="H521" s="42">
        <v>0</v>
      </c>
      <c r="I521" s="42">
        <v>0</v>
      </c>
      <c r="J521" s="42">
        <v>0</v>
      </c>
      <c r="K521" s="42">
        <v>0</v>
      </c>
      <c r="L521" s="42">
        <v>0</v>
      </c>
      <c r="M521" s="42">
        <v>1</v>
      </c>
      <c r="N521" s="42">
        <v>0</v>
      </c>
      <c r="O521">
        <v>1</v>
      </c>
    </row>
    <row r="522" spans="3:15" x14ac:dyDescent="0.15">
      <c r="C522" s="43" t="s">
        <v>578</v>
      </c>
      <c r="D522" s="42">
        <v>35</v>
      </c>
      <c r="E522" s="42">
        <v>14</v>
      </c>
      <c r="F522" s="42">
        <v>4</v>
      </c>
      <c r="G522" s="42">
        <v>0.7</v>
      </c>
      <c r="H522" s="42">
        <v>1</v>
      </c>
      <c r="I522" s="42">
        <v>0</v>
      </c>
      <c r="J522" s="42">
        <v>0</v>
      </c>
      <c r="K522" s="42">
        <v>0</v>
      </c>
      <c r="L522" s="42">
        <v>0</v>
      </c>
      <c r="M522" s="42">
        <v>1</v>
      </c>
      <c r="N522" s="42">
        <v>0</v>
      </c>
      <c r="O522">
        <v>0</v>
      </c>
    </row>
    <row r="523" spans="3:15" x14ac:dyDescent="0.15">
      <c r="C523" s="43" t="s">
        <v>579</v>
      </c>
      <c r="D523" s="42">
        <v>26</v>
      </c>
      <c r="E523" s="42">
        <v>85</v>
      </c>
      <c r="F523" s="42">
        <v>1</v>
      </c>
      <c r="G523" s="42">
        <v>0</v>
      </c>
      <c r="H523" s="42">
        <v>1</v>
      </c>
      <c r="I523" s="42">
        <v>0</v>
      </c>
      <c r="J523" s="42">
        <v>144</v>
      </c>
      <c r="K523" s="42">
        <v>0</v>
      </c>
      <c r="L523" s="42">
        <v>0</v>
      </c>
      <c r="M523" s="42">
        <v>0</v>
      </c>
      <c r="N523" s="42">
        <v>0</v>
      </c>
      <c r="O523">
        <v>0</v>
      </c>
    </row>
    <row r="524" spans="3:15" x14ac:dyDescent="0.15">
      <c r="C524" s="43" t="s">
        <v>580</v>
      </c>
      <c r="D524" s="42">
        <v>34</v>
      </c>
      <c r="E524" s="42">
        <v>19</v>
      </c>
      <c r="F524" s="42">
        <v>4</v>
      </c>
      <c r="G524" s="42">
        <v>0.7</v>
      </c>
      <c r="H524" s="42">
        <v>1</v>
      </c>
      <c r="I524" s="42">
        <v>0</v>
      </c>
      <c r="J524" s="42">
        <v>0</v>
      </c>
      <c r="K524" s="42">
        <v>0</v>
      </c>
      <c r="L524" s="42">
        <v>0</v>
      </c>
      <c r="M524" s="42">
        <v>0</v>
      </c>
      <c r="N524" s="42">
        <v>0</v>
      </c>
      <c r="O524">
        <v>0</v>
      </c>
    </row>
    <row r="525" spans="3:15" x14ac:dyDescent="0.15">
      <c r="C525" s="43" t="s">
        <v>581</v>
      </c>
      <c r="D525" s="42">
        <v>0</v>
      </c>
      <c r="E525" s="42">
        <v>28</v>
      </c>
      <c r="F525" s="42">
        <v>2</v>
      </c>
      <c r="G525" s="42">
        <v>1.7</v>
      </c>
      <c r="H525" s="42">
        <v>0</v>
      </c>
      <c r="I525" s="42">
        <v>1</v>
      </c>
      <c r="J525" s="42">
        <v>0</v>
      </c>
      <c r="K525" s="42">
        <v>0</v>
      </c>
      <c r="L525" s="42">
        <v>0</v>
      </c>
      <c r="M525" s="42">
        <v>0</v>
      </c>
      <c r="N525" s="42">
        <v>0</v>
      </c>
      <c r="O525">
        <v>0</v>
      </c>
    </row>
    <row r="526" spans="3:15" x14ac:dyDescent="0.15">
      <c r="C526" s="43" t="s">
        <v>582</v>
      </c>
      <c r="D526" s="42">
        <v>6</v>
      </c>
      <c r="E526" s="42">
        <v>32</v>
      </c>
      <c r="F526" s="42">
        <v>2</v>
      </c>
      <c r="G526" s="42">
        <v>1</v>
      </c>
      <c r="H526" s="42">
        <v>0</v>
      </c>
      <c r="I526" s="42">
        <v>1</v>
      </c>
      <c r="J526" s="42">
        <v>0</v>
      </c>
      <c r="K526" s="42">
        <v>0</v>
      </c>
      <c r="L526" s="42">
        <v>0</v>
      </c>
      <c r="M526" s="42">
        <v>0</v>
      </c>
      <c r="N526" s="42">
        <v>0</v>
      </c>
      <c r="O526">
        <v>0</v>
      </c>
    </row>
    <row r="527" spans="3:15" x14ac:dyDescent="0.15">
      <c r="C527" s="43" t="s">
        <v>583</v>
      </c>
      <c r="D527" s="42">
        <v>3</v>
      </c>
      <c r="E527" s="42">
        <v>115</v>
      </c>
      <c r="F527" s="42">
        <v>4</v>
      </c>
      <c r="G527" s="42">
        <v>3.1</v>
      </c>
      <c r="H527" s="42">
        <v>0</v>
      </c>
      <c r="I527" s="42">
        <v>1</v>
      </c>
      <c r="J527" s="42">
        <v>0</v>
      </c>
      <c r="K527" s="42">
        <v>0</v>
      </c>
      <c r="L527" s="42">
        <v>0</v>
      </c>
      <c r="M527" s="42">
        <v>0</v>
      </c>
      <c r="N527" s="42">
        <v>0</v>
      </c>
      <c r="O527">
        <v>1</v>
      </c>
    </row>
    <row r="528" spans="3:15" x14ac:dyDescent="0.15">
      <c r="C528" s="43" t="s">
        <v>584</v>
      </c>
      <c r="D528" s="42">
        <v>15</v>
      </c>
      <c r="E528" s="42">
        <v>22</v>
      </c>
      <c r="F528" s="42">
        <v>4</v>
      </c>
      <c r="G528" s="42">
        <v>1.5</v>
      </c>
      <c r="H528" s="42">
        <v>0</v>
      </c>
      <c r="I528" s="42">
        <v>0</v>
      </c>
      <c r="J528" s="42">
        <v>0</v>
      </c>
      <c r="K528" s="42">
        <v>0</v>
      </c>
      <c r="L528" s="42">
        <v>0</v>
      </c>
      <c r="M528" s="42">
        <v>0</v>
      </c>
      <c r="N528" s="42">
        <v>1</v>
      </c>
      <c r="O528">
        <v>0</v>
      </c>
    </row>
    <row r="529" spans="3:15" x14ac:dyDescent="0.15">
      <c r="C529" s="43" t="s">
        <v>585</v>
      </c>
      <c r="D529" s="42">
        <v>16</v>
      </c>
      <c r="E529" s="42">
        <v>25</v>
      </c>
      <c r="F529" s="42">
        <v>2</v>
      </c>
      <c r="G529" s="42">
        <v>0.8</v>
      </c>
      <c r="H529" s="42">
        <v>0</v>
      </c>
      <c r="I529" s="42">
        <v>0</v>
      </c>
      <c r="J529" s="42">
        <v>0</v>
      </c>
      <c r="K529" s="42">
        <v>0</v>
      </c>
      <c r="L529" s="42">
        <v>0</v>
      </c>
      <c r="M529" s="42">
        <v>0</v>
      </c>
      <c r="N529" s="42">
        <v>1</v>
      </c>
      <c r="O529">
        <v>0</v>
      </c>
    </row>
    <row r="530" spans="3:15" x14ac:dyDescent="0.15">
      <c r="C530" s="43" t="s">
        <v>586</v>
      </c>
      <c r="D530" s="42">
        <v>8</v>
      </c>
      <c r="E530" s="42">
        <v>128</v>
      </c>
      <c r="F530" s="42">
        <v>2</v>
      </c>
      <c r="G530" s="42">
        <v>4.333333333333333</v>
      </c>
      <c r="H530" s="42">
        <v>1</v>
      </c>
      <c r="I530" s="42">
        <v>0</v>
      </c>
      <c r="J530" s="42">
        <v>0</v>
      </c>
      <c r="K530" s="42">
        <v>0</v>
      </c>
      <c r="L530" s="42">
        <v>1</v>
      </c>
      <c r="M530" s="42">
        <v>1</v>
      </c>
      <c r="N530" s="42">
        <v>1</v>
      </c>
      <c r="O530">
        <v>0</v>
      </c>
    </row>
    <row r="531" spans="3:15" x14ac:dyDescent="0.15">
      <c r="C531" s="43" t="s">
        <v>587</v>
      </c>
      <c r="D531" s="42">
        <v>0</v>
      </c>
      <c r="E531" s="42">
        <v>82</v>
      </c>
      <c r="F531" s="42">
        <v>3</v>
      </c>
      <c r="G531" s="42">
        <v>0.8</v>
      </c>
      <c r="H531" s="42">
        <v>1</v>
      </c>
      <c r="I531" s="42">
        <v>0</v>
      </c>
      <c r="J531" s="42">
        <v>0</v>
      </c>
      <c r="K531" s="42">
        <v>0</v>
      </c>
      <c r="L531" s="42">
        <v>0</v>
      </c>
      <c r="M531" s="42">
        <v>1</v>
      </c>
      <c r="N531" s="42">
        <v>0</v>
      </c>
      <c r="O531">
        <v>0</v>
      </c>
    </row>
    <row r="532" spans="3:15" x14ac:dyDescent="0.15">
      <c r="C532" s="43" t="s">
        <v>588</v>
      </c>
      <c r="D532" s="42">
        <v>21</v>
      </c>
      <c r="E532" s="42">
        <v>85</v>
      </c>
      <c r="F532" s="42">
        <v>2</v>
      </c>
      <c r="G532" s="42">
        <v>1.7</v>
      </c>
      <c r="H532" s="42">
        <v>0</v>
      </c>
      <c r="I532" s="42">
        <v>1</v>
      </c>
      <c r="J532" s="42">
        <v>0</v>
      </c>
      <c r="K532" s="42">
        <v>0</v>
      </c>
      <c r="L532" s="42">
        <v>0</v>
      </c>
      <c r="M532" s="42">
        <v>0</v>
      </c>
      <c r="N532" s="42">
        <v>1</v>
      </c>
      <c r="O532">
        <v>0</v>
      </c>
    </row>
    <row r="533" spans="3:15" x14ac:dyDescent="0.15">
      <c r="C533" s="43" t="s">
        <v>589</v>
      </c>
      <c r="D533" s="42">
        <v>5</v>
      </c>
      <c r="E533" s="42">
        <v>134</v>
      </c>
      <c r="F533" s="42">
        <v>1</v>
      </c>
      <c r="G533" s="42">
        <v>0</v>
      </c>
      <c r="H533" s="42">
        <v>1</v>
      </c>
      <c r="I533" s="42">
        <v>0</v>
      </c>
      <c r="J533" s="42">
        <v>0</v>
      </c>
      <c r="K533" s="42">
        <v>0</v>
      </c>
      <c r="L533" s="42">
        <v>0</v>
      </c>
      <c r="M533" s="42">
        <v>1</v>
      </c>
      <c r="N533" s="42">
        <v>1</v>
      </c>
      <c r="O533">
        <v>0</v>
      </c>
    </row>
    <row r="534" spans="3:15" x14ac:dyDescent="0.15">
      <c r="C534" s="43" t="s">
        <v>590</v>
      </c>
      <c r="D534" s="42">
        <v>0</v>
      </c>
      <c r="E534" s="42">
        <v>82</v>
      </c>
      <c r="F534" s="42">
        <v>2</v>
      </c>
      <c r="G534" s="42">
        <v>1.6</v>
      </c>
      <c r="H534" s="42">
        <v>0</v>
      </c>
      <c r="I534" s="42">
        <v>0</v>
      </c>
      <c r="J534" s="42">
        <v>0</v>
      </c>
      <c r="K534" s="42">
        <v>0</v>
      </c>
      <c r="L534" s="42">
        <v>0</v>
      </c>
      <c r="M534" s="42">
        <v>1</v>
      </c>
      <c r="N534" s="42">
        <v>1</v>
      </c>
      <c r="O534">
        <v>0</v>
      </c>
    </row>
    <row r="535" spans="3:15" x14ac:dyDescent="0.15">
      <c r="C535" s="43" t="s">
        <v>591</v>
      </c>
      <c r="D535" s="42">
        <v>9</v>
      </c>
      <c r="E535" s="42">
        <v>84</v>
      </c>
      <c r="F535" s="42">
        <v>3</v>
      </c>
      <c r="G535" s="42">
        <v>0.6</v>
      </c>
      <c r="H535" s="42">
        <v>0</v>
      </c>
      <c r="I535" s="42">
        <v>1</v>
      </c>
      <c r="J535" s="42">
        <v>0</v>
      </c>
      <c r="K535" s="42">
        <v>0</v>
      </c>
      <c r="L535" s="42">
        <v>0</v>
      </c>
      <c r="M535" s="42">
        <v>1</v>
      </c>
      <c r="N535" s="42">
        <v>0</v>
      </c>
      <c r="O535">
        <v>0</v>
      </c>
    </row>
    <row r="536" spans="3:15" x14ac:dyDescent="0.15">
      <c r="C536" s="43" t="s">
        <v>592</v>
      </c>
      <c r="D536" s="42">
        <v>24</v>
      </c>
      <c r="E536" s="42">
        <v>188</v>
      </c>
      <c r="F536" s="42">
        <v>3</v>
      </c>
      <c r="G536" s="42">
        <v>1.3</v>
      </c>
      <c r="H536" s="42">
        <v>1</v>
      </c>
      <c r="I536" s="42">
        <v>0</v>
      </c>
      <c r="J536" s="42">
        <v>184</v>
      </c>
      <c r="K536" s="42">
        <v>0</v>
      </c>
      <c r="L536" s="42">
        <v>0</v>
      </c>
      <c r="M536" s="42">
        <v>0</v>
      </c>
      <c r="N536" s="42">
        <v>1</v>
      </c>
      <c r="O536">
        <v>1</v>
      </c>
    </row>
    <row r="537" spans="3:15" x14ac:dyDescent="0.15">
      <c r="C537" s="43" t="s">
        <v>593</v>
      </c>
      <c r="D537" s="42">
        <v>4</v>
      </c>
      <c r="E537" s="42">
        <v>35</v>
      </c>
      <c r="F537" s="42">
        <v>2</v>
      </c>
      <c r="G537" s="42">
        <v>0.3</v>
      </c>
      <c r="H537" s="42">
        <v>0</v>
      </c>
      <c r="I537" s="42">
        <v>1</v>
      </c>
      <c r="J537" s="42">
        <v>0</v>
      </c>
      <c r="K537" s="42">
        <v>1</v>
      </c>
      <c r="L537" s="42">
        <v>0</v>
      </c>
      <c r="M537" s="42">
        <v>0</v>
      </c>
      <c r="N537" s="42">
        <v>1</v>
      </c>
      <c r="O537">
        <v>0</v>
      </c>
    </row>
    <row r="538" spans="3:15" x14ac:dyDescent="0.15">
      <c r="C538" s="43" t="s">
        <v>594</v>
      </c>
      <c r="D538" s="42">
        <v>30</v>
      </c>
      <c r="E538" s="42">
        <v>133</v>
      </c>
      <c r="F538" s="42">
        <v>2</v>
      </c>
      <c r="G538" s="42">
        <v>2.6</v>
      </c>
      <c r="H538" s="42">
        <v>0</v>
      </c>
      <c r="I538" s="42">
        <v>0</v>
      </c>
      <c r="J538" s="42">
        <v>0</v>
      </c>
      <c r="K538" s="42">
        <v>0</v>
      </c>
      <c r="L538" s="42">
        <v>0</v>
      </c>
      <c r="M538" s="42">
        <v>0</v>
      </c>
      <c r="N538" s="42">
        <v>0</v>
      </c>
      <c r="O538">
        <v>1</v>
      </c>
    </row>
    <row r="539" spans="3:15" x14ac:dyDescent="0.15">
      <c r="C539" s="43" t="s">
        <v>595</v>
      </c>
      <c r="D539" s="42">
        <v>37</v>
      </c>
      <c r="E539" s="42">
        <v>9</v>
      </c>
      <c r="F539" s="42">
        <v>1</v>
      </c>
      <c r="G539" s="42">
        <v>0.1</v>
      </c>
      <c r="H539" s="42">
        <v>1</v>
      </c>
      <c r="I539" s="42">
        <v>0</v>
      </c>
      <c r="J539" s="42">
        <v>94</v>
      </c>
      <c r="K539" s="42">
        <v>0</v>
      </c>
      <c r="L539" s="42">
        <v>0</v>
      </c>
      <c r="M539" s="42">
        <v>0</v>
      </c>
      <c r="N539" s="42">
        <v>0</v>
      </c>
      <c r="O539">
        <v>0</v>
      </c>
    </row>
    <row r="540" spans="3:15" x14ac:dyDescent="0.15">
      <c r="C540" s="43" t="s">
        <v>596</v>
      </c>
      <c r="D540" s="42">
        <v>39</v>
      </c>
      <c r="E540" s="42">
        <v>40</v>
      </c>
      <c r="F540" s="42">
        <v>1</v>
      </c>
      <c r="G540" s="42">
        <v>0.8</v>
      </c>
      <c r="H540" s="42">
        <v>1</v>
      </c>
      <c r="I540" s="42">
        <v>0</v>
      </c>
      <c r="J540" s="42">
        <v>118</v>
      </c>
      <c r="K540" s="42">
        <v>0</v>
      </c>
      <c r="L540" s="42">
        <v>0</v>
      </c>
      <c r="M540" s="42">
        <v>0</v>
      </c>
      <c r="N540" s="42">
        <v>1</v>
      </c>
      <c r="O540">
        <v>0</v>
      </c>
    </row>
    <row r="541" spans="3:15" x14ac:dyDescent="0.15">
      <c r="C541" s="43" t="s">
        <v>597</v>
      </c>
      <c r="D541" s="42">
        <v>20</v>
      </c>
      <c r="E541" s="42">
        <v>194</v>
      </c>
      <c r="F541" s="42">
        <v>2</v>
      </c>
      <c r="G541" s="42">
        <v>8.8000000000000007</v>
      </c>
      <c r="H541" s="42">
        <v>1</v>
      </c>
      <c r="I541" s="42">
        <v>0</v>
      </c>
      <c r="J541" s="42">
        <v>428</v>
      </c>
      <c r="K541" s="42">
        <v>0</v>
      </c>
      <c r="L541" s="42">
        <v>0</v>
      </c>
      <c r="M541" s="42">
        <v>0</v>
      </c>
      <c r="N541" s="42">
        <v>0</v>
      </c>
      <c r="O541">
        <v>0</v>
      </c>
    </row>
    <row r="542" spans="3:15" x14ac:dyDescent="0.15">
      <c r="C542" s="43" t="s">
        <v>598</v>
      </c>
      <c r="D542" s="42">
        <v>5</v>
      </c>
      <c r="E542" s="42">
        <v>30</v>
      </c>
      <c r="F542" s="42">
        <v>4</v>
      </c>
      <c r="G542" s="42">
        <v>0.3</v>
      </c>
      <c r="H542" s="42">
        <v>0</v>
      </c>
      <c r="I542" s="42">
        <v>1</v>
      </c>
      <c r="J542" s="42">
        <v>0</v>
      </c>
      <c r="K542" s="42">
        <v>0</v>
      </c>
      <c r="L542" s="42">
        <v>0</v>
      </c>
      <c r="M542" s="42">
        <v>1</v>
      </c>
      <c r="N542" s="42">
        <v>0</v>
      </c>
      <c r="O542">
        <v>0</v>
      </c>
    </row>
    <row r="543" spans="3:15" x14ac:dyDescent="0.15">
      <c r="C543" s="43" t="s">
        <v>599</v>
      </c>
      <c r="D543" s="42">
        <v>23</v>
      </c>
      <c r="E543" s="42">
        <v>49</v>
      </c>
      <c r="F543" s="42">
        <v>1</v>
      </c>
      <c r="G543" s="42">
        <v>1.2</v>
      </c>
      <c r="H543" s="42">
        <v>0</v>
      </c>
      <c r="I543" s="42">
        <v>1</v>
      </c>
      <c r="J543" s="42">
        <v>0</v>
      </c>
      <c r="K543" s="42">
        <v>0</v>
      </c>
      <c r="L543" s="42">
        <v>0</v>
      </c>
      <c r="M543" s="42">
        <v>1</v>
      </c>
      <c r="N543" s="42">
        <v>1</v>
      </c>
      <c r="O543">
        <v>0</v>
      </c>
    </row>
    <row r="544" spans="3:15" x14ac:dyDescent="0.15">
      <c r="C544" s="43" t="s">
        <v>600</v>
      </c>
      <c r="D544" s="42">
        <v>23</v>
      </c>
      <c r="E544" s="42">
        <v>132</v>
      </c>
      <c r="F544" s="42">
        <v>1</v>
      </c>
      <c r="G544" s="42">
        <v>0.6</v>
      </c>
      <c r="H544" s="42">
        <v>1</v>
      </c>
      <c r="I544" s="42">
        <v>0</v>
      </c>
      <c r="J544" s="42">
        <v>157</v>
      </c>
      <c r="K544" s="42">
        <v>0</v>
      </c>
      <c r="L544" s="42">
        <v>0</v>
      </c>
      <c r="M544" s="42">
        <v>0</v>
      </c>
      <c r="N544" s="42">
        <v>0</v>
      </c>
      <c r="O544">
        <v>0</v>
      </c>
    </row>
    <row r="545" spans="3:15" x14ac:dyDescent="0.15">
      <c r="C545" s="43" t="s">
        <v>601</v>
      </c>
      <c r="D545" s="42">
        <v>17</v>
      </c>
      <c r="E545" s="42">
        <v>48</v>
      </c>
      <c r="F545" s="42">
        <v>2</v>
      </c>
      <c r="G545" s="42">
        <v>0.6</v>
      </c>
      <c r="H545" s="42">
        <v>0</v>
      </c>
      <c r="I545" s="42">
        <v>0</v>
      </c>
      <c r="J545" s="42">
        <v>215</v>
      </c>
      <c r="K545" s="42">
        <v>0</v>
      </c>
      <c r="L545" s="42">
        <v>0</v>
      </c>
      <c r="M545" s="42">
        <v>0</v>
      </c>
      <c r="N545" s="42">
        <v>1</v>
      </c>
      <c r="O545">
        <v>0</v>
      </c>
    </row>
    <row r="546" spans="3:15" x14ac:dyDescent="0.15">
      <c r="C546" s="43" t="s">
        <v>602</v>
      </c>
      <c r="D546" s="42">
        <v>9</v>
      </c>
      <c r="E546" s="42">
        <v>105</v>
      </c>
      <c r="F546" s="42">
        <v>1</v>
      </c>
      <c r="G546" s="42">
        <v>4</v>
      </c>
      <c r="H546" s="42">
        <v>1</v>
      </c>
      <c r="I546" s="42">
        <v>0</v>
      </c>
      <c r="J546" s="42">
        <v>0</v>
      </c>
      <c r="K546" s="42">
        <v>0</v>
      </c>
      <c r="L546" s="42">
        <v>0</v>
      </c>
      <c r="M546" s="42">
        <v>1</v>
      </c>
      <c r="N546" s="42">
        <v>0</v>
      </c>
      <c r="O546">
        <v>0</v>
      </c>
    </row>
    <row r="547" spans="3:15" x14ac:dyDescent="0.15">
      <c r="C547" s="43" t="s">
        <v>603</v>
      </c>
      <c r="D547" s="42">
        <v>17</v>
      </c>
      <c r="E547" s="42">
        <v>92</v>
      </c>
      <c r="F547" s="42">
        <v>2</v>
      </c>
      <c r="G547" s="42">
        <v>1.9</v>
      </c>
      <c r="H547" s="42">
        <v>1</v>
      </c>
      <c r="I547" s="42">
        <v>0</v>
      </c>
      <c r="J547" s="42">
        <v>131</v>
      </c>
      <c r="K547" s="42">
        <v>0</v>
      </c>
      <c r="L547" s="42">
        <v>0</v>
      </c>
      <c r="M547" s="42">
        <v>1</v>
      </c>
      <c r="N547" s="42">
        <v>0</v>
      </c>
      <c r="O547">
        <v>0</v>
      </c>
    </row>
    <row r="548" spans="3:15" x14ac:dyDescent="0.15">
      <c r="C548" s="43" t="s">
        <v>604</v>
      </c>
      <c r="D548" s="42">
        <v>24</v>
      </c>
      <c r="E548" s="42">
        <v>29</v>
      </c>
      <c r="F548" s="42">
        <v>1</v>
      </c>
      <c r="G548" s="42">
        <v>1</v>
      </c>
      <c r="H548" s="42">
        <v>1</v>
      </c>
      <c r="I548" s="42">
        <v>0</v>
      </c>
      <c r="J548" s="42">
        <v>0</v>
      </c>
      <c r="K548" s="42">
        <v>0</v>
      </c>
      <c r="L548" s="42">
        <v>0</v>
      </c>
      <c r="M548" s="42">
        <v>0</v>
      </c>
      <c r="N548" s="42">
        <v>0</v>
      </c>
      <c r="O548">
        <v>0</v>
      </c>
    </row>
    <row r="549" spans="3:15" x14ac:dyDescent="0.15">
      <c r="C549" s="43" t="s">
        <v>605</v>
      </c>
      <c r="D549" s="42">
        <v>3</v>
      </c>
      <c r="E549" s="42">
        <v>118</v>
      </c>
      <c r="F549" s="42">
        <v>1</v>
      </c>
      <c r="G549" s="42">
        <v>3.3</v>
      </c>
      <c r="H549" s="42">
        <v>0</v>
      </c>
      <c r="I549" s="42">
        <v>1</v>
      </c>
      <c r="J549" s="42">
        <v>0</v>
      </c>
      <c r="K549" s="42">
        <v>0</v>
      </c>
      <c r="L549" s="42">
        <v>0</v>
      </c>
      <c r="M549" s="42">
        <v>1</v>
      </c>
      <c r="N549" s="42">
        <v>0</v>
      </c>
      <c r="O549">
        <v>1</v>
      </c>
    </row>
    <row r="550" spans="3:15" x14ac:dyDescent="0.15">
      <c r="C550" s="43" t="s">
        <v>606</v>
      </c>
      <c r="D550" s="42">
        <v>5</v>
      </c>
      <c r="E550" s="42">
        <v>122</v>
      </c>
      <c r="F550" s="42">
        <v>4</v>
      </c>
      <c r="G550" s="42">
        <v>3</v>
      </c>
      <c r="H550" s="42">
        <v>1</v>
      </c>
      <c r="I550" s="42">
        <v>0</v>
      </c>
      <c r="J550" s="42">
        <v>0</v>
      </c>
      <c r="K550" s="42">
        <v>0</v>
      </c>
      <c r="L550" s="42">
        <v>0</v>
      </c>
      <c r="M550" s="42">
        <v>0</v>
      </c>
      <c r="N550" s="42">
        <v>1</v>
      </c>
      <c r="O550">
        <v>1</v>
      </c>
    </row>
    <row r="551" spans="3:15" x14ac:dyDescent="0.15">
      <c r="C551" s="43" t="s">
        <v>607</v>
      </c>
      <c r="D551" s="42">
        <v>7</v>
      </c>
      <c r="E551" s="42">
        <v>18</v>
      </c>
      <c r="F551" s="42">
        <v>1</v>
      </c>
      <c r="G551" s="42">
        <v>0.6</v>
      </c>
      <c r="H551" s="42">
        <v>0</v>
      </c>
      <c r="I551" s="42">
        <v>0</v>
      </c>
      <c r="J551" s="42">
        <v>0</v>
      </c>
      <c r="K551" s="42">
        <v>0</v>
      </c>
      <c r="L551" s="42">
        <v>0</v>
      </c>
      <c r="M551" s="42">
        <v>0</v>
      </c>
      <c r="N551" s="42">
        <v>0</v>
      </c>
      <c r="O551">
        <v>0</v>
      </c>
    </row>
    <row r="552" spans="3:15" x14ac:dyDescent="0.15">
      <c r="C552" s="43" t="s">
        <v>608</v>
      </c>
      <c r="D552" s="42">
        <v>24</v>
      </c>
      <c r="E552" s="42">
        <v>9</v>
      </c>
      <c r="F552" s="42">
        <v>4</v>
      </c>
      <c r="G552" s="42">
        <v>0.5</v>
      </c>
      <c r="H552" s="42">
        <v>0</v>
      </c>
      <c r="I552" s="42">
        <v>1</v>
      </c>
      <c r="J552" s="42">
        <v>0</v>
      </c>
      <c r="K552" s="42">
        <v>0</v>
      </c>
      <c r="L552" s="42">
        <v>0</v>
      </c>
      <c r="M552" s="42">
        <v>0</v>
      </c>
      <c r="N552" s="42">
        <v>1</v>
      </c>
      <c r="O552">
        <v>0</v>
      </c>
    </row>
    <row r="553" spans="3:15" x14ac:dyDescent="0.15">
      <c r="C553" s="43" t="s">
        <v>609</v>
      </c>
      <c r="D553" s="42">
        <v>38</v>
      </c>
      <c r="E553" s="42">
        <v>92</v>
      </c>
      <c r="F553" s="42">
        <v>1</v>
      </c>
      <c r="G553" s="42">
        <v>2</v>
      </c>
      <c r="H553" s="42">
        <v>1</v>
      </c>
      <c r="I553" s="42">
        <v>0</v>
      </c>
      <c r="J553" s="42">
        <v>0</v>
      </c>
      <c r="K553" s="42">
        <v>0</v>
      </c>
      <c r="L553" s="42">
        <v>0</v>
      </c>
      <c r="M553" s="42">
        <v>1</v>
      </c>
      <c r="N553" s="42">
        <v>0</v>
      </c>
      <c r="O553">
        <v>0</v>
      </c>
    </row>
    <row r="554" spans="3:15" x14ac:dyDescent="0.15">
      <c r="C554" s="43" t="s">
        <v>610</v>
      </c>
      <c r="D554" s="42">
        <v>28</v>
      </c>
      <c r="E554" s="42">
        <v>38</v>
      </c>
      <c r="F554" s="42">
        <v>2</v>
      </c>
      <c r="G554" s="42">
        <v>0.8</v>
      </c>
      <c r="H554" s="42">
        <v>1</v>
      </c>
      <c r="I554" s="42">
        <v>0</v>
      </c>
      <c r="J554" s="42">
        <v>0</v>
      </c>
      <c r="K554" s="42">
        <v>0</v>
      </c>
      <c r="L554" s="42">
        <v>0</v>
      </c>
      <c r="M554" s="42">
        <v>0</v>
      </c>
      <c r="N554" s="42">
        <v>1</v>
      </c>
      <c r="O554">
        <v>0</v>
      </c>
    </row>
    <row r="555" spans="3:15" x14ac:dyDescent="0.15">
      <c r="C555" s="43" t="s">
        <v>611</v>
      </c>
      <c r="D555" s="42">
        <v>31</v>
      </c>
      <c r="E555" s="42">
        <v>54</v>
      </c>
      <c r="F555" s="42">
        <v>4</v>
      </c>
      <c r="G555" s="42">
        <v>2.1</v>
      </c>
      <c r="H555" s="42">
        <v>1</v>
      </c>
      <c r="I555" s="42">
        <v>0</v>
      </c>
      <c r="J555" s="42">
        <v>0</v>
      </c>
      <c r="K555" s="42">
        <v>0</v>
      </c>
      <c r="L555" s="42">
        <v>0</v>
      </c>
      <c r="M555" s="42">
        <v>1</v>
      </c>
      <c r="N555" s="42">
        <v>0</v>
      </c>
      <c r="O555">
        <v>0</v>
      </c>
    </row>
    <row r="556" spans="3:15" x14ac:dyDescent="0.15">
      <c r="C556" s="43" t="s">
        <v>612</v>
      </c>
      <c r="D556" s="42">
        <v>34</v>
      </c>
      <c r="E556" s="42">
        <v>55</v>
      </c>
      <c r="F556" s="42">
        <v>1</v>
      </c>
      <c r="G556" s="42">
        <v>0.8</v>
      </c>
      <c r="H556" s="42">
        <v>1</v>
      </c>
      <c r="I556" s="42">
        <v>0</v>
      </c>
      <c r="J556" s="42">
        <v>168</v>
      </c>
      <c r="K556" s="42">
        <v>0</v>
      </c>
      <c r="L556" s="42">
        <v>0</v>
      </c>
      <c r="M556" s="42">
        <v>1</v>
      </c>
      <c r="N556" s="42">
        <v>1</v>
      </c>
      <c r="O556">
        <v>0</v>
      </c>
    </row>
    <row r="557" spans="3:15" x14ac:dyDescent="0.15">
      <c r="C557" s="43" t="s">
        <v>613</v>
      </c>
      <c r="D557" s="42">
        <v>8</v>
      </c>
      <c r="E557" s="42">
        <v>38</v>
      </c>
      <c r="F557" s="42">
        <v>4</v>
      </c>
      <c r="G557" s="42">
        <v>0.2</v>
      </c>
      <c r="H557" s="42">
        <v>1</v>
      </c>
      <c r="I557" s="42">
        <v>0</v>
      </c>
      <c r="J557" s="42">
        <v>0</v>
      </c>
      <c r="K557" s="42">
        <v>0</v>
      </c>
      <c r="L557" s="42">
        <v>0</v>
      </c>
      <c r="M557" s="42">
        <v>0</v>
      </c>
      <c r="N557" s="42">
        <v>0</v>
      </c>
      <c r="O557">
        <v>0</v>
      </c>
    </row>
    <row r="558" spans="3:15" x14ac:dyDescent="0.15">
      <c r="C558" s="43" t="s">
        <v>614</v>
      </c>
      <c r="D558" s="42">
        <v>37</v>
      </c>
      <c r="E558" s="42">
        <v>115</v>
      </c>
      <c r="F558" s="42">
        <v>4</v>
      </c>
      <c r="G558" s="42">
        <v>3.4</v>
      </c>
      <c r="H558" s="42">
        <v>0</v>
      </c>
      <c r="I558" s="42">
        <v>1</v>
      </c>
      <c r="J558" s="42">
        <v>0</v>
      </c>
      <c r="K558" s="42">
        <v>0</v>
      </c>
      <c r="L558" s="42">
        <v>0</v>
      </c>
      <c r="M558" s="42">
        <v>1</v>
      </c>
      <c r="N558" s="42">
        <v>1</v>
      </c>
      <c r="O558">
        <v>0</v>
      </c>
    </row>
    <row r="559" spans="3:15" x14ac:dyDescent="0.15">
      <c r="C559" s="43" t="s">
        <v>615</v>
      </c>
      <c r="D559" s="42">
        <v>11</v>
      </c>
      <c r="E559" s="42">
        <v>190</v>
      </c>
      <c r="F559" s="42">
        <v>3</v>
      </c>
      <c r="G559" s="42">
        <v>3.1</v>
      </c>
      <c r="H559" s="42">
        <v>0</v>
      </c>
      <c r="I559" s="42">
        <v>1</v>
      </c>
      <c r="J559" s="42">
        <v>266</v>
      </c>
      <c r="K559" s="42">
        <v>0</v>
      </c>
      <c r="L559" s="42">
        <v>0</v>
      </c>
      <c r="M559" s="42">
        <v>0</v>
      </c>
      <c r="N559" s="42">
        <v>0</v>
      </c>
      <c r="O559">
        <v>1</v>
      </c>
    </row>
    <row r="560" spans="3:15" x14ac:dyDescent="0.15">
      <c r="C560" s="43" t="s">
        <v>616</v>
      </c>
      <c r="D560" s="42">
        <v>24</v>
      </c>
      <c r="E560" s="42">
        <v>103</v>
      </c>
      <c r="F560" s="42">
        <v>1</v>
      </c>
      <c r="G560" s="42">
        <v>0.3</v>
      </c>
      <c r="H560" s="42">
        <v>1</v>
      </c>
      <c r="I560" s="42">
        <v>0</v>
      </c>
      <c r="J560" s="42">
        <v>0</v>
      </c>
      <c r="K560" s="42">
        <v>0</v>
      </c>
      <c r="L560" s="42">
        <v>0</v>
      </c>
      <c r="M560" s="42">
        <v>1</v>
      </c>
      <c r="N560" s="42">
        <v>0</v>
      </c>
      <c r="O560">
        <v>0</v>
      </c>
    </row>
    <row r="561" spans="3:15" x14ac:dyDescent="0.15">
      <c r="C561" s="43" t="s">
        <v>617</v>
      </c>
      <c r="D561" s="42">
        <v>25</v>
      </c>
      <c r="E561" s="42">
        <v>82</v>
      </c>
      <c r="F561" s="42">
        <v>1</v>
      </c>
      <c r="G561" s="42">
        <v>1.3</v>
      </c>
      <c r="H561" s="42">
        <v>0</v>
      </c>
      <c r="I561" s="42">
        <v>0</v>
      </c>
      <c r="J561" s="42">
        <v>0</v>
      </c>
      <c r="K561" s="42">
        <v>0</v>
      </c>
      <c r="L561" s="42">
        <v>0</v>
      </c>
      <c r="M561" s="42">
        <v>1</v>
      </c>
      <c r="N561" s="42">
        <v>0</v>
      </c>
      <c r="O561">
        <v>0</v>
      </c>
    </row>
    <row r="562" spans="3:15" x14ac:dyDescent="0.15">
      <c r="C562" s="43" t="s">
        <v>618</v>
      </c>
      <c r="D562" s="42">
        <v>31</v>
      </c>
      <c r="E562" s="42">
        <v>82</v>
      </c>
      <c r="F562" s="42">
        <v>2</v>
      </c>
      <c r="G562" s="42">
        <v>2</v>
      </c>
      <c r="H562" s="42">
        <v>1</v>
      </c>
      <c r="I562" s="42">
        <v>0</v>
      </c>
      <c r="J562" s="42">
        <v>83</v>
      </c>
      <c r="K562" s="42">
        <v>0</v>
      </c>
      <c r="L562" s="42">
        <v>0</v>
      </c>
      <c r="M562" s="42">
        <v>0</v>
      </c>
      <c r="N562" s="42">
        <v>1</v>
      </c>
      <c r="O562">
        <v>0</v>
      </c>
    </row>
    <row r="563" spans="3:15" x14ac:dyDescent="0.15">
      <c r="C563" s="43" t="s">
        <v>619</v>
      </c>
      <c r="D563" s="42">
        <v>38</v>
      </c>
      <c r="E563" s="42">
        <v>22</v>
      </c>
      <c r="F563" s="42">
        <v>3</v>
      </c>
      <c r="G563" s="42">
        <v>0.1</v>
      </c>
      <c r="H563" s="42">
        <v>0</v>
      </c>
      <c r="I563" s="42">
        <v>0</v>
      </c>
      <c r="J563" s="42">
        <v>90</v>
      </c>
      <c r="K563" s="42">
        <v>0</v>
      </c>
      <c r="L563" s="42">
        <v>0</v>
      </c>
      <c r="M563" s="42">
        <v>1</v>
      </c>
      <c r="N563" s="42">
        <v>0</v>
      </c>
      <c r="O563">
        <v>0</v>
      </c>
    </row>
    <row r="564" spans="3:15" x14ac:dyDescent="0.15">
      <c r="C564" s="43" t="s">
        <v>620</v>
      </c>
      <c r="D564" s="42">
        <v>13</v>
      </c>
      <c r="E564" s="42">
        <v>129</v>
      </c>
      <c r="F564" s="42">
        <v>4</v>
      </c>
      <c r="G564" s="42">
        <v>4.4000000000000004</v>
      </c>
      <c r="H564" s="42">
        <v>1</v>
      </c>
      <c r="I564" s="42">
        <v>0</v>
      </c>
      <c r="J564" s="42">
        <v>140</v>
      </c>
      <c r="K564" s="42">
        <v>0</v>
      </c>
      <c r="L564" s="42">
        <v>0</v>
      </c>
      <c r="M564" s="42">
        <v>0</v>
      </c>
      <c r="N564" s="42">
        <v>0</v>
      </c>
      <c r="O564">
        <v>1</v>
      </c>
    </row>
    <row r="565" spans="3:15" x14ac:dyDescent="0.15">
      <c r="C565" s="43" t="s">
        <v>621</v>
      </c>
      <c r="D565" s="42">
        <v>31</v>
      </c>
      <c r="E565" s="42">
        <v>90</v>
      </c>
      <c r="F565" s="42">
        <v>1</v>
      </c>
      <c r="G565" s="42">
        <v>2.7</v>
      </c>
      <c r="H565" s="42">
        <v>0</v>
      </c>
      <c r="I565" s="42">
        <v>1</v>
      </c>
      <c r="J565" s="42">
        <v>0</v>
      </c>
      <c r="K565" s="42">
        <v>0</v>
      </c>
      <c r="L565" s="42">
        <v>0</v>
      </c>
      <c r="M565" s="42">
        <v>1</v>
      </c>
      <c r="N565" s="42">
        <v>1</v>
      </c>
      <c r="O565">
        <v>0</v>
      </c>
    </row>
    <row r="566" spans="3:15" x14ac:dyDescent="0.15">
      <c r="C566" s="43" t="s">
        <v>622</v>
      </c>
      <c r="D566" s="42">
        <v>4</v>
      </c>
      <c r="E566" s="42">
        <v>40</v>
      </c>
      <c r="F566" s="42">
        <v>1</v>
      </c>
      <c r="G566" s="42">
        <v>0.3</v>
      </c>
      <c r="H566" s="42">
        <v>1</v>
      </c>
      <c r="I566" s="42">
        <v>0</v>
      </c>
      <c r="J566" s="42">
        <v>0</v>
      </c>
      <c r="K566" s="42">
        <v>0</v>
      </c>
      <c r="L566" s="42">
        <v>1</v>
      </c>
      <c r="M566" s="42">
        <v>1</v>
      </c>
      <c r="N566" s="42">
        <v>1</v>
      </c>
      <c r="O566">
        <v>0</v>
      </c>
    </row>
    <row r="567" spans="3:15" x14ac:dyDescent="0.15">
      <c r="C567" s="43" t="s">
        <v>623</v>
      </c>
      <c r="D567" s="42">
        <v>7</v>
      </c>
      <c r="E567" s="42">
        <v>99</v>
      </c>
      <c r="F567" s="42">
        <v>1</v>
      </c>
      <c r="G567" s="42">
        <v>4</v>
      </c>
      <c r="H567" s="42">
        <v>1</v>
      </c>
      <c r="I567" s="42">
        <v>0</v>
      </c>
      <c r="J567" s="42">
        <v>0</v>
      </c>
      <c r="K567" s="42">
        <v>0</v>
      </c>
      <c r="L567" s="42">
        <v>0</v>
      </c>
      <c r="M567" s="42">
        <v>1</v>
      </c>
      <c r="N567" s="42">
        <v>0</v>
      </c>
      <c r="O567">
        <v>0</v>
      </c>
    </row>
    <row r="568" spans="3:15" x14ac:dyDescent="0.15">
      <c r="C568" s="43" t="s">
        <v>624</v>
      </c>
      <c r="D568" s="42">
        <v>33</v>
      </c>
      <c r="E568" s="42">
        <v>43</v>
      </c>
      <c r="F568" s="42">
        <v>2</v>
      </c>
      <c r="G568" s="42">
        <v>1.6</v>
      </c>
      <c r="H568" s="42">
        <v>0</v>
      </c>
      <c r="I568" s="42">
        <v>0</v>
      </c>
      <c r="J568" s="42">
        <v>0</v>
      </c>
      <c r="K568" s="42">
        <v>0</v>
      </c>
      <c r="L568" s="42">
        <v>0</v>
      </c>
      <c r="M568" s="42">
        <v>1</v>
      </c>
      <c r="N568" s="42">
        <v>0</v>
      </c>
      <c r="O568">
        <v>0</v>
      </c>
    </row>
    <row r="569" spans="3:15" x14ac:dyDescent="0.15">
      <c r="C569" s="43" t="s">
        <v>625</v>
      </c>
      <c r="D569" s="42">
        <v>2</v>
      </c>
      <c r="E569" s="42">
        <v>72</v>
      </c>
      <c r="F569" s="42">
        <v>4</v>
      </c>
      <c r="G569" s="42">
        <v>2.6</v>
      </c>
      <c r="H569" s="42">
        <v>1</v>
      </c>
      <c r="I569" s="42">
        <v>0</v>
      </c>
      <c r="J569" s="42">
        <v>0</v>
      </c>
      <c r="K569" s="42">
        <v>1</v>
      </c>
      <c r="L569" s="42">
        <v>1</v>
      </c>
      <c r="M569" s="42">
        <v>1</v>
      </c>
      <c r="N569" s="42">
        <v>0</v>
      </c>
      <c r="O569">
        <v>0</v>
      </c>
    </row>
    <row r="570" spans="3:15" x14ac:dyDescent="0.15">
      <c r="C570" s="43" t="s">
        <v>626</v>
      </c>
      <c r="D570" s="42">
        <v>40</v>
      </c>
      <c r="E570" s="42">
        <v>63</v>
      </c>
      <c r="F570" s="42">
        <v>4</v>
      </c>
      <c r="G570" s="42">
        <v>1.2</v>
      </c>
      <c r="H570" s="42">
        <v>0</v>
      </c>
      <c r="I570" s="42">
        <v>1</v>
      </c>
      <c r="J570" s="42">
        <v>0</v>
      </c>
      <c r="K570" s="42">
        <v>1</v>
      </c>
      <c r="L570" s="42">
        <v>0</v>
      </c>
      <c r="M570" s="42">
        <v>0</v>
      </c>
      <c r="N570" s="42">
        <v>1</v>
      </c>
      <c r="O570">
        <v>0</v>
      </c>
    </row>
    <row r="571" spans="3:15" x14ac:dyDescent="0.15">
      <c r="C571" s="43" t="s">
        <v>627</v>
      </c>
      <c r="D571" s="42">
        <v>20</v>
      </c>
      <c r="E571" s="42">
        <v>15</v>
      </c>
      <c r="F571" s="42">
        <v>1</v>
      </c>
      <c r="G571" s="42">
        <v>1</v>
      </c>
      <c r="H571" s="42">
        <v>1</v>
      </c>
      <c r="I571" s="42">
        <v>0</v>
      </c>
      <c r="J571" s="42">
        <v>0</v>
      </c>
      <c r="K571" s="42">
        <v>0</v>
      </c>
      <c r="L571" s="42">
        <v>0</v>
      </c>
      <c r="M571" s="42">
        <v>1</v>
      </c>
      <c r="N571" s="42">
        <v>0</v>
      </c>
      <c r="O571">
        <v>0</v>
      </c>
    </row>
    <row r="572" spans="3:15" x14ac:dyDescent="0.15">
      <c r="C572" s="43" t="s">
        <v>628</v>
      </c>
      <c r="D572" s="42">
        <v>12</v>
      </c>
      <c r="E572" s="42">
        <v>22</v>
      </c>
      <c r="F572" s="42">
        <v>4</v>
      </c>
      <c r="G572" s="42">
        <v>1</v>
      </c>
      <c r="H572" s="42">
        <v>1</v>
      </c>
      <c r="I572" s="42">
        <v>0</v>
      </c>
      <c r="J572" s="42">
        <v>91</v>
      </c>
      <c r="K572" s="42">
        <v>1</v>
      </c>
      <c r="L572" s="42">
        <v>0</v>
      </c>
      <c r="M572" s="42">
        <v>1</v>
      </c>
      <c r="N572" s="42">
        <v>0</v>
      </c>
      <c r="O572">
        <v>0</v>
      </c>
    </row>
    <row r="573" spans="3:15" x14ac:dyDescent="0.15">
      <c r="C573" s="43" t="s">
        <v>629</v>
      </c>
      <c r="D573" s="42">
        <v>30</v>
      </c>
      <c r="E573" s="42">
        <v>38</v>
      </c>
      <c r="F573" s="42">
        <v>1</v>
      </c>
      <c r="G573" s="42">
        <v>0.2</v>
      </c>
      <c r="H573" s="42">
        <v>1</v>
      </c>
      <c r="I573" s="42">
        <v>0</v>
      </c>
      <c r="J573" s="42">
        <v>0</v>
      </c>
      <c r="K573" s="42">
        <v>0</v>
      </c>
      <c r="L573" s="42">
        <v>0</v>
      </c>
      <c r="M573" s="42">
        <v>0</v>
      </c>
      <c r="N573" s="42">
        <v>0</v>
      </c>
      <c r="O573">
        <v>0</v>
      </c>
    </row>
    <row r="574" spans="3:15" x14ac:dyDescent="0.15">
      <c r="C574" s="43" t="s">
        <v>630</v>
      </c>
      <c r="D574" s="42">
        <v>35</v>
      </c>
      <c r="E574" s="42">
        <v>131</v>
      </c>
      <c r="F574" s="42">
        <v>1</v>
      </c>
      <c r="G574" s="42">
        <v>3.8</v>
      </c>
      <c r="H574" s="42">
        <v>1</v>
      </c>
      <c r="I574" s="42">
        <v>0</v>
      </c>
      <c r="J574" s="42">
        <v>0</v>
      </c>
      <c r="K574" s="42">
        <v>0</v>
      </c>
      <c r="L574" s="42">
        <v>0</v>
      </c>
      <c r="M574" s="42">
        <v>1</v>
      </c>
      <c r="N574" s="42">
        <v>1</v>
      </c>
      <c r="O574">
        <v>0</v>
      </c>
    </row>
    <row r="575" spans="3:15" x14ac:dyDescent="0.15">
      <c r="C575" s="43" t="s">
        <v>631</v>
      </c>
      <c r="D575" s="42">
        <v>0</v>
      </c>
      <c r="E575" s="42">
        <v>52</v>
      </c>
      <c r="F575" s="42">
        <v>3</v>
      </c>
      <c r="G575" s="42">
        <v>2.6</v>
      </c>
      <c r="H575" s="42">
        <v>0</v>
      </c>
      <c r="I575" s="42">
        <v>0</v>
      </c>
      <c r="J575" s="42">
        <v>159</v>
      </c>
      <c r="K575" s="42">
        <v>0</v>
      </c>
      <c r="L575" s="42">
        <v>0</v>
      </c>
      <c r="M575" s="42">
        <v>0</v>
      </c>
      <c r="N575" s="42">
        <v>0</v>
      </c>
      <c r="O575">
        <v>0</v>
      </c>
    </row>
    <row r="576" spans="3:15" x14ac:dyDescent="0.15">
      <c r="C576" s="43" t="s">
        <v>632</v>
      </c>
      <c r="D576" s="42">
        <v>5</v>
      </c>
      <c r="E576" s="42">
        <v>39</v>
      </c>
      <c r="F576" s="42">
        <v>4</v>
      </c>
      <c r="G576" s="42">
        <v>1.8</v>
      </c>
      <c r="H576" s="42">
        <v>0</v>
      </c>
      <c r="I576" s="42">
        <v>0</v>
      </c>
      <c r="J576" s="42">
        <v>185</v>
      </c>
      <c r="K576" s="42">
        <v>0</v>
      </c>
      <c r="L576" s="42">
        <v>0</v>
      </c>
      <c r="M576" s="42">
        <v>0</v>
      </c>
      <c r="N576" s="42">
        <v>1</v>
      </c>
      <c r="O576">
        <v>0</v>
      </c>
    </row>
    <row r="577" spans="3:15" x14ac:dyDescent="0.15">
      <c r="C577" s="43" t="s">
        <v>633</v>
      </c>
      <c r="D577" s="42">
        <v>9</v>
      </c>
      <c r="E577" s="42">
        <v>29</v>
      </c>
      <c r="F577" s="42">
        <v>3</v>
      </c>
      <c r="G577" s="42">
        <v>2</v>
      </c>
      <c r="H577" s="42">
        <v>0</v>
      </c>
      <c r="I577" s="42">
        <v>0</v>
      </c>
      <c r="J577" s="42">
        <v>151</v>
      </c>
      <c r="K577" s="42">
        <v>1</v>
      </c>
      <c r="L577" s="42">
        <v>0</v>
      </c>
      <c r="M577" s="42">
        <v>0</v>
      </c>
      <c r="N577" s="42">
        <v>0</v>
      </c>
      <c r="O577">
        <v>0</v>
      </c>
    </row>
    <row r="578" spans="3:15" x14ac:dyDescent="0.15">
      <c r="C578" s="43" t="s">
        <v>634</v>
      </c>
      <c r="D578" s="42">
        <v>13</v>
      </c>
      <c r="E578" s="42">
        <v>33</v>
      </c>
      <c r="F578" s="42">
        <v>4</v>
      </c>
      <c r="G578" s="42">
        <v>1.5</v>
      </c>
      <c r="H578" s="42">
        <v>0</v>
      </c>
      <c r="I578" s="42">
        <v>0</v>
      </c>
      <c r="J578" s="42">
        <v>0</v>
      </c>
      <c r="K578" s="42">
        <v>0</v>
      </c>
      <c r="L578" s="42">
        <v>0</v>
      </c>
      <c r="M578" s="42">
        <v>0</v>
      </c>
      <c r="N578" s="42">
        <v>0</v>
      </c>
      <c r="O578">
        <v>0</v>
      </c>
    </row>
    <row r="579" spans="3:15" x14ac:dyDescent="0.15">
      <c r="C579" s="43" t="s">
        <v>635</v>
      </c>
      <c r="D579" s="42">
        <v>17</v>
      </c>
      <c r="E579" s="42">
        <v>94</v>
      </c>
      <c r="F579" s="42">
        <v>3</v>
      </c>
      <c r="G579" s="42">
        <v>3.8</v>
      </c>
      <c r="H579" s="42">
        <v>0</v>
      </c>
      <c r="I579" s="42">
        <v>1</v>
      </c>
      <c r="J579" s="42">
        <v>327</v>
      </c>
      <c r="K579" s="42">
        <v>1</v>
      </c>
      <c r="L579" s="42">
        <v>1</v>
      </c>
      <c r="M579" s="42">
        <v>1</v>
      </c>
      <c r="N579" s="42">
        <v>0</v>
      </c>
      <c r="O579">
        <v>1</v>
      </c>
    </row>
    <row r="580" spans="3:15" x14ac:dyDescent="0.15">
      <c r="C580" s="43" t="s">
        <v>636</v>
      </c>
      <c r="D580" s="42">
        <v>17</v>
      </c>
      <c r="E580" s="42">
        <v>23</v>
      </c>
      <c r="F580" s="42">
        <v>2</v>
      </c>
      <c r="G580" s="42">
        <v>0</v>
      </c>
      <c r="H580" s="42">
        <v>0</v>
      </c>
      <c r="I580" s="42">
        <v>0</v>
      </c>
      <c r="J580" s="42">
        <v>0</v>
      </c>
      <c r="K580" s="42">
        <v>0</v>
      </c>
      <c r="L580" s="42">
        <v>0</v>
      </c>
      <c r="M580" s="42">
        <v>0</v>
      </c>
      <c r="N580" s="42">
        <v>0</v>
      </c>
      <c r="O580">
        <v>0</v>
      </c>
    </row>
    <row r="581" spans="3:15" x14ac:dyDescent="0.15">
      <c r="C581" s="43" t="s">
        <v>637</v>
      </c>
      <c r="D581" s="42">
        <v>24</v>
      </c>
      <c r="E581" s="42">
        <v>152</v>
      </c>
      <c r="F581" s="42">
        <v>1</v>
      </c>
      <c r="G581" s="42">
        <v>7.3</v>
      </c>
      <c r="H581" s="42">
        <v>1</v>
      </c>
      <c r="I581" s="42">
        <v>0</v>
      </c>
      <c r="J581" s="42">
        <v>0</v>
      </c>
      <c r="K581" s="42">
        <v>0</v>
      </c>
      <c r="L581" s="42">
        <v>0</v>
      </c>
      <c r="M581" s="42">
        <v>1</v>
      </c>
      <c r="N581" s="42">
        <v>0</v>
      </c>
      <c r="O581">
        <v>0</v>
      </c>
    </row>
    <row r="582" spans="3:15" x14ac:dyDescent="0.15">
      <c r="C582" s="43" t="s">
        <v>638</v>
      </c>
      <c r="D582" s="42">
        <v>0</v>
      </c>
      <c r="E582" s="42">
        <v>113</v>
      </c>
      <c r="F582" s="42">
        <v>4</v>
      </c>
      <c r="G582" s="42">
        <v>2.2999999999999998</v>
      </c>
      <c r="H582" s="42">
        <v>0</v>
      </c>
      <c r="I582" s="42">
        <v>0</v>
      </c>
      <c r="J582" s="42">
        <v>0</v>
      </c>
      <c r="K582" s="42">
        <v>0</v>
      </c>
      <c r="L582" s="42">
        <v>0</v>
      </c>
      <c r="M582" s="42">
        <v>0</v>
      </c>
      <c r="N582" s="42">
        <v>1</v>
      </c>
      <c r="O582">
        <v>0</v>
      </c>
    </row>
    <row r="583" spans="3:15" x14ac:dyDescent="0.15">
      <c r="C583" s="43" t="s">
        <v>639</v>
      </c>
      <c r="D583" s="42">
        <v>21</v>
      </c>
      <c r="E583" s="42">
        <v>29</v>
      </c>
      <c r="F583" s="42">
        <v>1</v>
      </c>
      <c r="G583" s="42">
        <v>0.3</v>
      </c>
      <c r="H583" s="42">
        <v>0</v>
      </c>
      <c r="I583" s="42">
        <v>0</v>
      </c>
      <c r="J583" s="42">
        <v>0</v>
      </c>
      <c r="K583" s="42">
        <v>0</v>
      </c>
      <c r="L583" s="42">
        <v>0</v>
      </c>
      <c r="M583" s="42">
        <v>1</v>
      </c>
      <c r="N583" s="42">
        <v>0</v>
      </c>
      <c r="O583">
        <v>0</v>
      </c>
    </row>
    <row r="584" spans="3:15" x14ac:dyDescent="0.15">
      <c r="C584" s="43" t="s">
        <v>640</v>
      </c>
      <c r="D584" s="42">
        <v>23</v>
      </c>
      <c r="E584" s="42">
        <v>112</v>
      </c>
      <c r="F584" s="42">
        <v>1</v>
      </c>
      <c r="G584" s="42">
        <v>5.0999999999999996</v>
      </c>
      <c r="H584" s="42">
        <v>0</v>
      </c>
      <c r="I584" s="42">
        <v>1</v>
      </c>
      <c r="J584" s="42">
        <v>86</v>
      </c>
      <c r="K584" s="42">
        <v>1</v>
      </c>
      <c r="L584" s="42">
        <v>1</v>
      </c>
      <c r="M584" s="42">
        <v>1</v>
      </c>
      <c r="N584" s="42">
        <v>0</v>
      </c>
      <c r="O584">
        <v>1</v>
      </c>
    </row>
    <row r="585" spans="3:15" x14ac:dyDescent="0.15">
      <c r="C585" s="43" t="s">
        <v>641</v>
      </c>
      <c r="D585" s="42">
        <v>32</v>
      </c>
      <c r="E585" s="42">
        <v>163</v>
      </c>
      <c r="F585" s="42">
        <v>2</v>
      </c>
      <c r="G585" s="42">
        <v>0.5</v>
      </c>
      <c r="H585" s="42">
        <v>1</v>
      </c>
      <c r="I585" s="42">
        <v>0</v>
      </c>
      <c r="J585" s="42">
        <v>400</v>
      </c>
      <c r="K585" s="42">
        <v>0</v>
      </c>
      <c r="L585" s="42">
        <v>0</v>
      </c>
      <c r="M585" s="42">
        <v>0</v>
      </c>
      <c r="N585" s="42">
        <v>0</v>
      </c>
      <c r="O585">
        <v>0</v>
      </c>
    </row>
    <row r="586" spans="3:15" x14ac:dyDescent="0.15">
      <c r="C586" s="43" t="s">
        <v>642</v>
      </c>
      <c r="D586" s="42">
        <v>12</v>
      </c>
      <c r="E586" s="42">
        <v>29</v>
      </c>
      <c r="F586" s="42">
        <v>4</v>
      </c>
      <c r="G586" s="42">
        <v>0.2</v>
      </c>
      <c r="H586" s="42">
        <v>1</v>
      </c>
      <c r="I586" s="42">
        <v>0</v>
      </c>
      <c r="J586" s="42">
        <v>0</v>
      </c>
      <c r="K586" s="42">
        <v>0</v>
      </c>
      <c r="L586" s="42">
        <v>0</v>
      </c>
      <c r="M586" s="42">
        <v>0</v>
      </c>
      <c r="N586" s="42">
        <v>1</v>
      </c>
      <c r="O586">
        <v>0</v>
      </c>
    </row>
    <row r="587" spans="3:15" x14ac:dyDescent="0.15">
      <c r="C587" s="43" t="s">
        <v>643</v>
      </c>
      <c r="D587" s="42">
        <v>19</v>
      </c>
      <c r="E587" s="42">
        <v>70</v>
      </c>
      <c r="F587" s="42">
        <v>1</v>
      </c>
      <c r="G587" s="42">
        <v>0.2</v>
      </c>
      <c r="H587" s="42">
        <v>0</v>
      </c>
      <c r="I587" s="42">
        <v>1</v>
      </c>
      <c r="J587" s="42">
        <v>230</v>
      </c>
      <c r="K587" s="42">
        <v>1</v>
      </c>
      <c r="L587" s="42">
        <v>0</v>
      </c>
      <c r="M587" s="42">
        <v>0</v>
      </c>
      <c r="N587" s="42">
        <v>0</v>
      </c>
      <c r="O587">
        <v>0</v>
      </c>
    </row>
    <row r="588" spans="3:15" x14ac:dyDescent="0.15">
      <c r="C588" s="43" t="s">
        <v>644</v>
      </c>
      <c r="D588" s="42">
        <v>14</v>
      </c>
      <c r="E588" s="42">
        <v>54</v>
      </c>
      <c r="F588" s="42">
        <v>3</v>
      </c>
      <c r="G588" s="42">
        <v>3</v>
      </c>
      <c r="H588" s="42">
        <v>1</v>
      </c>
      <c r="I588" s="42">
        <v>0</v>
      </c>
      <c r="J588" s="42">
        <v>108</v>
      </c>
      <c r="K588" s="42">
        <v>0</v>
      </c>
      <c r="L588" s="42">
        <v>0</v>
      </c>
      <c r="M588" s="42">
        <v>0</v>
      </c>
      <c r="N588" s="42">
        <v>1</v>
      </c>
      <c r="O588">
        <v>0</v>
      </c>
    </row>
    <row r="589" spans="3:15" x14ac:dyDescent="0.15">
      <c r="C589" s="43" t="s">
        <v>645</v>
      </c>
      <c r="D589" s="42">
        <v>34</v>
      </c>
      <c r="E589" s="42">
        <v>91</v>
      </c>
      <c r="F589" s="42">
        <v>1</v>
      </c>
      <c r="G589" s="42">
        <v>2.6</v>
      </c>
      <c r="H589" s="42">
        <v>1</v>
      </c>
      <c r="I589" s="42">
        <v>0</v>
      </c>
      <c r="J589" s="42">
        <v>0</v>
      </c>
      <c r="K589" s="42">
        <v>0</v>
      </c>
      <c r="L589" s="42">
        <v>0</v>
      </c>
      <c r="M589" s="42">
        <v>1</v>
      </c>
      <c r="N589" s="42">
        <v>1</v>
      </c>
      <c r="O589">
        <v>0</v>
      </c>
    </row>
    <row r="590" spans="3:15" x14ac:dyDescent="0.15">
      <c r="C590" s="43" t="s">
        <v>646</v>
      </c>
      <c r="D590" s="42">
        <v>13</v>
      </c>
      <c r="E590" s="42">
        <v>89</v>
      </c>
      <c r="F590" s="42">
        <v>4</v>
      </c>
      <c r="G590" s="42">
        <v>1.4</v>
      </c>
      <c r="H590" s="42">
        <v>0</v>
      </c>
      <c r="I590" s="42">
        <v>1</v>
      </c>
      <c r="J590" s="42">
        <v>0</v>
      </c>
      <c r="K590" s="42">
        <v>0</v>
      </c>
      <c r="L590" s="42">
        <v>0</v>
      </c>
      <c r="M590" s="42">
        <v>0</v>
      </c>
      <c r="N590" s="42">
        <v>0</v>
      </c>
      <c r="O590">
        <v>0</v>
      </c>
    </row>
    <row r="591" spans="3:15" x14ac:dyDescent="0.15">
      <c r="C591" s="43" t="s">
        <v>647</v>
      </c>
      <c r="D591" s="42">
        <v>20</v>
      </c>
      <c r="E591" s="42">
        <v>59</v>
      </c>
      <c r="F591" s="42">
        <v>1</v>
      </c>
      <c r="G591" s="42">
        <v>2.4</v>
      </c>
      <c r="H591" s="42">
        <v>1</v>
      </c>
      <c r="I591" s="42">
        <v>0</v>
      </c>
      <c r="J591" s="42">
        <v>0</v>
      </c>
      <c r="K591" s="42">
        <v>1</v>
      </c>
      <c r="L591" s="42">
        <v>1</v>
      </c>
      <c r="M591" s="42">
        <v>1</v>
      </c>
      <c r="N591" s="42">
        <v>0</v>
      </c>
      <c r="O591">
        <v>0</v>
      </c>
    </row>
    <row r="592" spans="3:15" x14ac:dyDescent="0.15">
      <c r="C592" s="43" t="s">
        <v>648</v>
      </c>
      <c r="D592" s="42">
        <v>21</v>
      </c>
      <c r="E592" s="42">
        <v>39</v>
      </c>
      <c r="F592" s="42">
        <v>4</v>
      </c>
      <c r="G592" s="42">
        <v>0</v>
      </c>
      <c r="H592" s="42">
        <v>0</v>
      </c>
      <c r="I592" s="42">
        <v>1</v>
      </c>
      <c r="J592" s="42">
        <v>0</v>
      </c>
      <c r="K592" s="42">
        <v>0</v>
      </c>
      <c r="L592" s="42">
        <v>0</v>
      </c>
      <c r="M592" s="42">
        <v>1</v>
      </c>
      <c r="N592" s="42">
        <v>0</v>
      </c>
      <c r="O592">
        <v>0</v>
      </c>
    </row>
    <row r="593" spans="3:15" x14ac:dyDescent="0.15">
      <c r="C593" s="43" t="s">
        <v>649</v>
      </c>
      <c r="D593" s="42">
        <v>20</v>
      </c>
      <c r="E593" s="42">
        <v>104</v>
      </c>
      <c r="F593" s="42">
        <v>1</v>
      </c>
      <c r="G593" s="42">
        <v>5.7</v>
      </c>
      <c r="H593" s="42">
        <v>1</v>
      </c>
      <c r="I593" s="42">
        <v>0</v>
      </c>
      <c r="J593" s="42">
        <v>0</v>
      </c>
      <c r="K593" s="42">
        <v>0</v>
      </c>
      <c r="L593" s="42">
        <v>0</v>
      </c>
      <c r="M593" s="42">
        <v>1</v>
      </c>
      <c r="N593" s="42">
        <v>1</v>
      </c>
      <c r="O593">
        <v>0</v>
      </c>
    </row>
    <row r="594" spans="3:15" x14ac:dyDescent="0.15">
      <c r="C594" s="43" t="s">
        <v>650</v>
      </c>
      <c r="D594" s="42">
        <v>24</v>
      </c>
      <c r="E594" s="42">
        <v>134</v>
      </c>
      <c r="F594" s="42">
        <v>1</v>
      </c>
      <c r="G594" s="42">
        <v>5</v>
      </c>
      <c r="H594" s="42">
        <v>1</v>
      </c>
      <c r="I594" s="42">
        <v>0</v>
      </c>
      <c r="J594" s="42">
        <v>0</v>
      </c>
      <c r="K594" s="42">
        <v>0</v>
      </c>
      <c r="L594" s="42">
        <v>0</v>
      </c>
      <c r="M594" s="42">
        <v>0</v>
      </c>
      <c r="N594" s="42">
        <v>1</v>
      </c>
      <c r="O594">
        <v>0</v>
      </c>
    </row>
    <row r="595" spans="3:15" x14ac:dyDescent="0.15">
      <c r="C595" s="43" t="s">
        <v>651</v>
      </c>
      <c r="D595" s="42">
        <v>27</v>
      </c>
      <c r="E595" s="42">
        <v>38</v>
      </c>
      <c r="F595" s="42">
        <v>4</v>
      </c>
      <c r="G595" s="42">
        <v>2.8</v>
      </c>
      <c r="H595" s="42">
        <v>0</v>
      </c>
      <c r="I595" s="42">
        <v>1</v>
      </c>
      <c r="J595" s="42">
        <v>144</v>
      </c>
      <c r="K595" s="42">
        <v>1</v>
      </c>
      <c r="L595" s="42">
        <v>0</v>
      </c>
      <c r="M595" s="42">
        <v>1</v>
      </c>
      <c r="N595" s="42">
        <v>0</v>
      </c>
      <c r="O595">
        <v>0</v>
      </c>
    </row>
    <row r="596" spans="3:15" x14ac:dyDescent="0.15">
      <c r="C596" s="43" t="s">
        <v>652</v>
      </c>
      <c r="D596" s="42">
        <v>26</v>
      </c>
      <c r="E596" s="42">
        <v>45</v>
      </c>
      <c r="F596" s="42">
        <v>3</v>
      </c>
      <c r="G596" s="42">
        <v>0.6</v>
      </c>
      <c r="H596" s="42">
        <v>0</v>
      </c>
      <c r="I596" s="42">
        <v>1</v>
      </c>
      <c r="J596" s="42">
        <v>0</v>
      </c>
      <c r="K596" s="42">
        <v>0</v>
      </c>
      <c r="L596" s="42">
        <v>0</v>
      </c>
      <c r="M596" s="42">
        <v>0</v>
      </c>
      <c r="N596" s="42">
        <v>0</v>
      </c>
      <c r="O596">
        <v>0</v>
      </c>
    </row>
    <row r="597" spans="3:15" x14ac:dyDescent="0.15">
      <c r="C597" s="43" t="s">
        <v>653</v>
      </c>
      <c r="D597" s="42">
        <v>30</v>
      </c>
      <c r="E597" s="42">
        <v>64</v>
      </c>
      <c r="F597" s="42">
        <v>2</v>
      </c>
      <c r="G597" s="42">
        <v>1.9</v>
      </c>
      <c r="H597" s="42">
        <v>0</v>
      </c>
      <c r="I597" s="42">
        <v>1</v>
      </c>
      <c r="J597" s="42">
        <v>0</v>
      </c>
      <c r="K597" s="42">
        <v>0</v>
      </c>
      <c r="L597" s="42">
        <v>0</v>
      </c>
      <c r="M597" s="42">
        <v>0</v>
      </c>
      <c r="N597" s="42">
        <v>0</v>
      </c>
      <c r="O597">
        <v>0</v>
      </c>
    </row>
    <row r="598" spans="3:15" x14ac:dyDescent="0.15">
      <c r="C598" s="43" t="s">
        <v>654</v>
      </c>
      <c r="D598" s="42">
        <v>31</v>
      </c>
      <c r="E598" s="42">
        <v>114</v>
      </c>
      <c r="F598" s="42">
        <v>4</v>
      </c>
      <c r="G598" s="42">
        <v>5.2</v>
      </c>
      <c r="H598" s="42">
        <v>1</v>
      </c>
      <c r="I598" s="42">
        <v>0</v>
      </c>
      <c r="J598" s="42">
        <v>0</v>
      </c>
      <c r="K598" s="42">
        <v>1</v>
      </c>
      <c r="L598" s="42">
        <v>1</v>
      </c>
      <c r="M598" s="42">
        <v>1</v>
      </c>
      <c r="N598" s="42">
        <v>0</v>
      </c>
      <c r="O598">
        <v>1</v>
      </c>
    </row>
    <row r="599" spans="3:15" x14ac:dyDescent="0.15">
      <c r="C599" s="43" t="s">
        <v>655</v>
      </c>
      <c r="D599" s="42">
        <v>38</v>
      </c>
      <c r="E599" s="42">
        <v>153</v>
      </c>
      <c r="F599" s="42">
        <v>1</v>
      </c>
      <c r="G599" s="42">
        <v>1.3</v>
      </c>
      <c r="H599" s="42">
        <v>1</v>
      </c>
      <c r="I599" s="42">
        <v>0</v>
      </c>
      <c r="J599" s="42">
        <v>455</v>
      </c>
      <c r="K599" s="42">
        <v>0</v>
      </c>
      <c r="L599" s="42">
        <v>0</v>
      </c>
      <c r="M599" s="42">
        <v>0</v>
      </c>
      <c r="N599" s="42">
        <v>0</v>
      </c>
      <c r="O599">
        <v>0</v>
      </c>
    </row>
    <row r="600" spans="3:15" x14ac:dyDescent="0.15">
      <c r="C600" s="43" t="s">
        <v>656</v>
      </c>
      <c r="D600" s="42">
        <v>37</v>
      </c>
      <c r="E600" s="42">
        <v>8</v>
      </c>
      <c r="F600" s="42">
        <v>1</v>
      </c>
      <c r="G600" s="42">
        <v>0.8</v>
      </c>
      <c r="H600" s="42">
        <v>0</v>
      </c>
      <c r="I600" s="42">
        <v>1</v>
      </c>
      <c r="J600" s="42">
        <v>97</v>
      </c>
      <c r="K600" s="42">
        <v>0</v>
      </c>
      <c r="L600" s="42">
        <v>0</v>
      </c>
      <c r="M600" s="42">
        <v>1</v>
      </c>
      <c r="N600" s="42">
        <v>0</v>
      </c>
      <c r="O600">
        <v>0</v>
      </c>
    </row>
    <row r="601" spans="3:15" x14ac:dyDescent="0.15">
      <c r="C601" s="43" t="s">
        <v>657</v>
      </c>
      <c r="D601" s="42">
        <v>16</v>
      </c>
      <c r="E601" s="42">
        <v>79</v>
      </c>
      <c r="F601" s="42">
        <v>1</v>
      </c>
      <c r="G601" s="42">
        <v>1</v>
      </c>
      <c r="H601" s="42">
        <v>0</v>
      </c>
      <c r="I601" s="42">
        <v>0</v>
      </c>
      <c r="J601" s="42">
        <v>233</v>
      </c>
      <c r="K601" s="42">
        <v>0</v>
      </c>
      <c r="L601" s="42">
        <v>0</v>
      </c>
      <c r="M601" s="42">
        <v>1</v>
      </c>
      <c r="N601" s="42">
        <v>0</v>
      </c>
      <c r="O601">
        <v>0</v>
      </c>
    </row>
    <row r="602" spans="3:15" x14ac:dyDescent="0.15">
      <c r="C602" s="43" t="s">
        <v>658</v>
      </c>
      <c r="D602" s="42">
        <v>6</v>
      </c>
      <c r="E602" s="42">
        <v>28</v>
      </c>
      <c r="F602" s="42">
        <v>2</v>
      </c>
      <c r="G602" s="42">
        <v>0.3</v>
      </c>
      <c r="H602" s="42">
        <v>0</v>
      </c>
      <c r="I602" s="42">
        <v>1</v>
      </c>
      <c r="J602" s="42">
        <v>88</v>
      </c>
      <c r="K602" s="42">
        <v>0</v>
      </c>
      <c r="L602" s="42">
        <v>0</v>
      </c>
      <c r="M602" s="42">
        <v>1</v>
      </c>
      <c r="N602" s="42">
        <v>0</v>
      </c>
      <c r="O602">
        <v>0</v>
      </c>
    </row>
    <row r="603" spans="3:15" x14ac:dyDescent="0.15">
      <c r="C603" s="43" t="s">
        <v>659</v>
      </c>
      <c r="D603" s="42">
        <v>10</v>
      </c>
      <c r="E603" s="42">
        <v>80</v>
      </c>
      <c r="F603" s="42">
        <v>4</v>
      </c>
      <c r="G603" s="42">
        <v>2.2000000000000002</v>
      </c>
      <c r="H603" s="42">
        <v>0</v>
      </c>
      <c r="I603" s="42">
        <v>1</v>
      </c>
      <c r="J603" s="42">
        <v>0</v>
      </c>
      <c r="K603" s="42">
        <v>0</v>
      </c>
      <c r="L603" s="42">
        <v>0</v>
      </c>
      <c r="M603" s="42">
        <v>1</v>
      </c>
      <c r="N603" s="42">
        <v>0</v>
      </c>
      <c r="O603">
        <v>0</v>
      </c>
    </row>
    <row r="604" spans="3:15" x14ac:dyDescent="0.15">
      <c r="C604" s="43" t="s">
        <v>660</v>
      </c>
      <c r="D604" s="42">
        <v>5</v>
      </c>
      <c r="E604" s="42">
        <v>78</v>
      </c>
      <c r="F604" s="42">
        <v>1</v>
      </c>
      <c r="G604" s="42">
        <v>2.6</v>
      </c>
      <c r="H604" s="42">
        <v>0</v>
      </c>
      <c r="I604" s="42">
        <v>1</v>
      </c>
      <c r="J604" s="42">
        <v>0</v>
      </c>
      <c r="K604" s="42">
        <v>0</v>
      </c>
      <c r="L604" s="42">
        <v>0</v>
      </c>
      <c r="M604" s="42">
        <v>1</v>
      </c>
      <c r="N604" s="42">
        <v>0</v>
      </c>
      <c r="O604">
        <v>0</v>
      </c>
    </row>
    <row r="605" spans="3:15" x14ac:dyDescent="0.15">
      <c r="C605" s="43" t="s">
        <v>661</v>
      </c>
      <c r="D605" s="42">
        <v>11</v>
      </c>
      <c r="E605" s="42">
        <v>133</v>
      </c>
      <c r="F605" s="42">
        <v>1</v>
      </c>
      <c r="G605" s="42">
        <v>3.8</v>
      </c>
      <c r="H605" s="42">
        <v>1</v>
      </c>
      <c r="I605" s="42">
        <v>0</v>
      </c>
      <c r="J605" s="42">
        <v>290</v>
      </c>
      <c r="K605" s="42">
        <v>1</v>
      </c>
      <c r="L605" s="42">
        <v>1</v>
      </c>
      <c r="M605" s="42">
        <v>1</v>
      </c>
      <c r="N605" s="42">
        <v>1</v>
      </c>
      <c r="O605">
        <v>0</v>
      </c>
    </row>
    <row r="606" spans="3:15" x14ac:dyDescent="0.15">
      <c r="C606" s="43" t="s">
        <v>662</v>
      </c>
      <c r="D606" s="42">
        <v>7</v>
      </c>
      <c r="E606" s="42">
        <v>90</v>
      </c>
      <c r="F606" s="42">
        <v>3</v>
      </c>
      <c r="G606" s="42">
        <v>1.6</v>
      </c>
      <c r="H606" s="42">
        <v>1</v>
      </c>
      <c r="I606" s="42">
        <v>0</v>
      </c>
      <c r="J606" s="42">
        <v>0</v>
      </c>
      <c r="K606" s="42">
        <v>0</v>
      </c>
      <c r="L606" s="42">
        <v>0</v>
      </c>
      <c r="M606" s="42">
        <v>1</v>
      </c>
      <c r="N606" s="42">
        <v>0</v>
      </c>
      <c r="O606">
        <v>0</v>
      </c>
    </row>
    <row r="607" spans="3:15" x14ac:dyDescent="0.15">
      <c r="C607" s="43" t="s">
        <v>663</v>
      </c>
      <c r="D607" s="42">
        <v>10</v>
      </c>
      <c r="E607" s="42">
        <v>139</v>
      </c>
      <c r="F607" s="42">
        <v>2</v>
      </c>
      <c r="G607" s="42">
        <v>7.8</v>
      </c>
      <c r="H607" s="42">
        <v>1</v>
      </c>
      <c r="I607" s="42">
        <v>0</v>
      </c>
      <c r="J607" s="42">
        <v>0</v>
      </c>
      <c r="K607" s="42">
        <v>0</v>
      </c>
      <c r="L607" s="42">
        <v>0</v>
      </c>
      <c r="M607" s="42">
        <v>0</v>
      </c>
      <c r="N607" s="42">
        <v>0</v>
      </c>
      <c r="O607">
        <v>0</v>
      </c>
    </row>
    <row r="608" spans="3:15" x14ac:dyDescent="0.15">
      <c r="C608" s="43" t="s">
        <v>664</v>
      </c>
      <c r="D608" s="42">
        <v>10</v>
      </c>
      <c r="E608" s="42">
        <v>44</v>
      </c>
      <c r="F608" s="42">
        <v>3</v>
      </c>
      <c r="G608" s="42">
        <v>2</v>
      </c>
      <c r="H608" s="42">
        <v>0</v>
      </c>
      <c r="I608" s="42">
        <v>0</v>
      </c>
      <c r="J608" s="42">
        <v>0</v>
      </c>
      <c r="K608" s="42">
        <v>0</v>
      </c>
      <c r="L608" s="42">
        <v>0</v>
      </c>
      <c r="M608" s="42">
        <v>1</v>
      </c>
      <c r="N608" s="42">
        <v>0</v>
      </c>
      <c r="O608">
        <v>0</v>
      </c>
    </row>
    <row r="609" spans="3:15" x14ac:dyDescent="0.15">
      <c r="C609" s="43" t="s">
        <v>665</v>
      </c>
      <c r="D609" s="42">
        <v>40</v>
      </c>
      <c r="E609" s="42">
        <v>162</v>
      </c>
      <c r="F609" s="42">
        <v>1</v>
      </c>
      <c r="G609" s="42">
        <v>1.3</v>
      </c>
      <c r="H609" s="42">
        <v>1</v>
      </c>
      <c r="I609" s="42">
        <v>0</v>
      </c>
      <c r="J609" s="42">
        <v>0</v>
      </c>
      <c r="K609" s="42">
        <v>0</v>
      </c>
      <c r="L609" s="42">
        <v>0</v>
      </c>
      <c r="M609" s="42">
        <v>1</v>
      </c>
      <c r="N609" s="42">
        <v>0</v>
      </c>
      <c r="O609">
        <v>0</v>
      </c>
    </row>
    <row r="610" spans="3:15" x14ac:dyDescent="0.15">
      <c r="C610" s="43" t="s">
        <v>666</v>
      </c>
      <c r="D610" s="42">
        <v>30</v>
      </c>
      <c r="E610" s="42">
        <v>145</v>
      </c>
      <c r="F610" s="42">
        <v>2</v>
      </c>
      <c r="G610" s="42">
        <v>6.8</v>
      </c>
      <c r="H610" s="42">
        <v>1</v>
      </c>
      <c r="I610" s="42">
        <v>0</v>
      </c>
      <c r="J610" s="42">
        <v>0</v>
      </c>
      <c r="K610" s="42">
        <v>1</v>
      </c>
      <c r="L610" s="42">
        <v>0</v>
      </c>
      <c r="M610" s="42">
        <v>0</v>
      </c>
      <c r="N610" s="42">
        <v>0</v>
      </c>
      <c r="O610">
        <v>0</v>
      </c>
    </row>
    <row r="611" spans="3:15" x14ac:dyDescent="0.15">
      <c r="C611" s="43" t="s">
        <v>667</v>
      </c>
      <c r="D611" s="42">
        <v>40</v>
      </c>
      <c r="E611" s="42">
        <v>89</v>
      </c>
      <c r="F611" s="42">
        <v>1</v>
      </c>
      <c r="G611" s="42">
        <v>4.0999999999999996</v>
      </c>
      <c r="H611" s="42">
        <v>1</v>
      </c>
      <c r="I611" s="42">
        <v>0</v>
      </c>
      <c r="J611" s="42">
        <v>299</v>
      </c>
      <c r="K611" s="42">
        <v>0</v>
      </c>
      <c r="L611" s="42">
        <v>1</v>
      </c>
      <c r="M611" s="42">
        <v>1</v>
      </c>
      <c r="N611" s="42">
        <v>0</v>
      </c>
      <c r="O611">
        <v>1</v>
      </c>
    </row>
    <row r="612" spans="3:15" x14ac:dyDescent="0.15">
      <c r="C612" s="43" t="s">
        <v>668</v>
      </c>
      <c r="D612" s="42">
        <v>20</v>
      </c>
      <c r="E612" s="42">
        <v>91</v>
      </c>
      <c r="F612" s="42">
        <v>4</v>
      </c>
      <c r="G612" s="42">
        <v>2.6</v>
      </c>
      <c r="H612" s="42">
        <v>0</v>
      </c>
      <c r="I612" s="42">
        <v>0</v>
      </c>
      <c r="J612" s="42">
        <v>0</v>
      </c>
      <c r="K612" s="42">
        <v>0</v>
      </c>
      <c r="L612" s="42">
        <v>0</v>
      </c>
      <c r="M612" s="42">
        <v>0</v>
      </c>
      <c r="N612" s="42">
        <v>0</v>
      </c>
      <c r="O612">
        <v>0</v>
      </c>
    </row>
    <row r="613" spans="3:15" x14ac:dyDescent="0.15">
      <c r="C613" s="43" t="s">
        <v>669</v>
      </c>
      <c r="D613" s="42">
        <v>22</v>
      </c>
      <c r="E613" s="42">
        <v>84</v>
      </c>
      <c r="F613" s="42">
        <v>4</v>
      </c>
      <c r="G613" s="42">
        <v>2</v>
      </c>
      <c r="H613" s="42">
        <v>0</v>
      </c>
      <c r="I613" s="42">
        <v>0</v>
      </c>
      <c r="J613" s="42">
        <v>0</v>
      </c>
      <c r="K613" s="42">
        <v>0</v>
      </c>
      <c r="L613" s="42">
        <v>0</v>
      </c>
      <c r="M613" s="42">
        <v>1</v>
      </c>
      <c r="N613" s="42">
        <v>0</v>
      </c>
      <c r="O613">
        <v>0</v>
      </c>
    </row>
    <row r="614" spans="3:15" x14ac:dyDescent="0.15">
      <c r="C614" s="43" t="s">
        <v>670</v>
      </c>
      <c r="D614" s="42">
        <v>29</v>
      </c>
      <c r="E614" s="42">
        <v>35</v>
      </c>
      <c r="F614" s="42">
        <v>1</v>
      </c>
      <c r="G614" s="42">
        <v>1.5</v>
      </c>
      <c r="H614" s="42">
        <v>0</v>
      </c>
      <c r="I614" s="42">
        <v>1</v>
      </c>
      <c r="J614" s="42">
        <v>0</v>
      </c>
      <c r="K614" s="42">
        <v>0</v>
      </c>
      <c r="L614" s="42">
        <v>0</v>
      </c>
      <c r="M614" s="42">
        <v>1</v>
      </c>
      <c r="N614" s="42">
        <v>0</v>
      </c>
      <c r="O614">
        <v>0</v>
      </c>
    </row>
    <row r="615" spans="3:15" x14ac:dyDescent="0.15">
      <c r="C615" s="43" t="s">
        <v>671</v>
      </c>
      <c r="D615" s="42">
        <v>14</v>
      </c>
      <c r="E615" s="42">
        <v>155</v>
      </c>
      <c r="F615" s="42">
        <v>2</v>
      </c>
      <c r="G615" s="42">
        <v>3.9</v>
      </c>
      <c r="H615" s="42">
        <v>1</v>
      </c>
      <c r="I615" s="42">
        <v>0</v>
      </c>
      <c r="J615" s="42">
        <v>0</v>
      </c>
      <c r="K615" s="42">
        <v>0</v>
      </c>
      <c r="L615" s="42">
        <v>0</v>
      </c>
      <c r="M615" s="42">
        <v>1</v>
      </c>
      <c r="N615" s="42">
        <v>0</v>
      </c>
      <c r="O615">
        <v>0</v>
      </c>
    </row>
    <row r="616" spans="3:15" x14ac:dyDescent="0.15">
      <c r="C616" s="43" t="s">
        <v>672</v>
      </c>
      <c r="D616" s="42">
        <v>30</v>
      </c>
      <c r="E616" s="42">
        <v>21</v>
      </c>
      <c r="F616" s="42">
        <v>2</v>
      </c>
      <c r="G616" s="42">
        <v>0.2</v>
      </c>
      <c r="H616" s="42">
        <v>1</v>
      </c>
      <c r="I616" s="42">
        <v>0</v>
      </c>
      <c r="J616" s="42">
        <v>0</v>
      </c>
      <c r="K616" s="42">
        <v>0</v>
      </c>
      <c r="L616" s="42">
        <v>0</v>
      </c>
      <c r="M616" s="42">
        <v>0</v>
      </c>
      <c r="N616" s="42">
        <v>1</v>
      </c>
      <c r="O616">
        <v>0</v>
      </c>
    </row>
    <row r="617" spans="3:15" x14ac:dyDescent="0.15">
      <c r="C617" s="43" t="s">
        <v>673</v>
      </c>
      <c r="D617" s="42">
        <v>13</v>
      </c>
      <c r="E617" s="42">
        <v>55</v>
      </c>
      <c r="F617" s="42">
        <v>2</v>
      </c>
      <c r="G617" s="42">
        <v>1.1000000000000001</v>
      </c>
      <c r="H617" s="42">
        <v>0</v>
      </c>
      <c r="I617" s="42">
        <v>1</v>
      </c>
      <c r="J617" s="42">
        <v>0</v>
      </c>
      <c r="K617" s="42">
        <v>0</v>
      </c>
      <c r="L617" s="42">
        <v>0</v>
      </c>
      <c r="M617" s="42">
        <v>1</v>
      </c>
      <c r="N617" s="42">
        <v>0</v>
      </c>
      <c r="O617">
        <v>0</v>
      </c>
    </row>
    <row r="618" spans="3:15" x14ac:dyDescent="0.15">
      <c r="C618" s="43" t="s">
        <v>674</v>
      </c>
      <c r="D618" s="42">
        <v>22</v>
      </c>
      <c r="E618" s="42">
        <v>22</v>
      </c>
      <c r="F618" s="42">
        <v>4</v>
      </c>
      <c r="G618" s="42">
        <v>0.4</v>
      </c>
      <c r="H618" s="42">
        <v>0</v>
      </c>
      <c r="I618" s="42">
        <v>0</v>
      </c>
      <c r="J618" s="42">
        <v>0</v>
      </c>
      <c r="K618" s="42">
        <v>0</v>
      </c>
      <c r="L618" s="42">
        <v>0</v>
      </c>
      <c r="M618" s="42">
        <v>1</v>
      </c>
      <c r="N618" s="42">
        <v>1</v>
      </c>
      <c r="O618">
        <v>0</v>
      </c>
    </row>
    <row r="619" spans="3:15" x14ac:dyDescent="0.15">
      <c r="C619" s="43" t="s">
        <v>675</v>
      </c>
      <c r="D619" s="42">
        <v>20</v>
      </c>
      <c r="E619" s="42">
        <v>101</v>
      </c>
      <c r="F619" s="42">
        <v>3</v>
      </c>
      <c r="G619" s="42">
        <v>4.4000000000000004</v>
      </c>
      <c r="H619" s="42">
        <v>0</v>
      </c>
      <c r="I619" s="42">
        <v>1</v>
      </c>
      <c r="J619" s="42">
        <v>82</v>
      </c>
      <c r="K619" s="42">
        <v>0</v>
      </c>
      <c r="L619" s="42">
        <v>0</v>
      </c>
      <c r="M619" s="42">
        <v>0</v>
      </c>
      <c r="N619" s="42">
        <v>0</v>
      </c>
      <c r="O619">
        <v>1</v>
      </c>
    </row>
    <row r="620" spans="3:15" x14ac:dyDescent="0.15">
      <c r="C620" s="43" t="s">
        <v>676</v>
      </c>
      <c r="D620" s="42">
        <v>28</v>
      </c>
      <c r="E620" s="42">
        <v>85</v>
      </c>
      <c r="F620" s="42">
        <v>4</v>
      </c>
      <c r="G620" s="42">
        <v>4.9000000000000004</v>
      </c>
      <c r="H620" s="42">
        <v>1</v>
      </c>
      <c r="I620" s="42">
        <v>0</v>
      </c>
      <c r="J620" s="42">
        <v>0</v>
      </c>
      <c r="K620" s="42">
        <v>0</v>
      </c>
      <c r="L620" s="42">
        <v>0</v>
      </c>
      <c r="M620" s="42">
        <v>1</v>
      </c>
      <c r="N620" s="42">
        <v>0</v>
      </c>
      <c r="O620">
        <v>0</v>
      </c>
    </row>
    <row r="621" spans="3:15" x14ac:dyDescent="0.15">
      <c r="C621" s="43" t="s">
        <v>677</v>
      </c>
      <c r="D621" s="42">
        <v>32</v>
      </c>
      <c r="E621" s="42">
        <v>33</v>
      </c>
      <c r="F621" s="42">
        <v>2</v>
      </c>
      <c r="G621" s="42">
        <v>2</v>
      </c>
      <c r="H621" s="42">
        <v>0</v>
      </c>
      <c r="I621" s="42">
        <v>1</v>
      </c>
      <c r="J621" s="42">
        <v>0</v>
      </c>
      <c r="K621" s="42">
        <v>0</v>
      </c>
      <c r="L621" s="42">
        <v>0</v>
      </c>
      <c r="M621" s="42">
        <v>1</v>
      </c>
      <c r="N621" s="42">
        <v>0</v>
      </c>
      <c r="O621">
        <v>0</v>
      </c>
    </row>
    <row r="622" spans="3:15" x14ac:dyDescent="0.15">
      <c r="C622" s="43" t="s">
        <v>678</v>
      </c>
      <c r="D622" s="42">
        <v>36</v>
      </c>
      <c r="E622" s="42">
        <v>10</v>
      </c>
      <c r="F622" s="42">
        <v>4</v>
      </c>
      <c r="G622" s="42">
        <v>0.4</v>
      </c>
      <c r="H622" s="42">
        <v>0</v>
      </c>
      <c r="I622" s="42">
        <v>1</v>
      </c>
      <c r="J622" s="42">
        <v>0</v>
      </c>
      <c r="K622" s="42">
        <v>0</v>
      </c>
      <c r="L622" s="42">
        <v>0</v>
      </c>
      <c r="M622" s="42">
        <v>1</v>
      </c>
      <c r="N622" s="42">
        <v>0</v>
      </c>
      <c r="O622">
        <v>0</v>
      </c>
    </row>
    <row r="623" spans="3:15" x14ac:dyDescent="0.15">
      <c r="C623" s="43" t="s">
        <v>679</v>
      </c>
      <c r="D623" s="42">
        <v>33</v>
      </c>
      <c r="E623" s="42">
        <v>30</v>
      </c>
      <c r="F623" s="42">
        <v>3</v>
      </c>
      <c r="G623" s="42">
        <v>1.5</v>
      </c>
      <c r="H623" s="42">
        <v>1</v>
      </c>
      <c r="I623" s="42">
        <v>0</v>
      </c>
      <c r="J623" s="42">
        <v>151</v>
      </c>
      <c r="K623" s="42">
        <v>1</v>
      </c>
      <c r="L623" s="42">
        <v>0</v>
      </c>
      <c r="M623" s="42">
        <v>1</v>
      </c>
      <c r="N623" s="42">
        <v>0</v>
      </c>
      <c r="O623">
        <v>0</v>
      </c>
    </row>
    <row r="624" spans="3:15" x14ac:dyDescent="0.15">
      <c r="C624" s="43" t="s">
        <v>680</v>
      </c>
      <c r="D624" s="42">
        <v>26</v>
      </c>
      <c r="E624" s="42">
        <v>114</v>
      </c>
      <c r="F624" s="42">
        <v>2</v>
      </c>
      <c r="G624" s="42">
        <v>2.4</v>
      </c>
      <c r="H624" s="42">
        <v>0</v>
      </c>
      <c r="I624" s="42">
        <v>1</v>
      </c>
      <c r="J624" s="42">
        <v>0</v>
      </c>
      <c r="K624" s="42">
        <v>0</v>
      </c>
      <c r="L624" s="42">
        <v>0</v>
      </c>
      <c r="M624" s="42">
        <v>0</v>
      </c>
      <c r="N624" s="42">
        <v>0</v>
      </c>
      <c r="O624">
        <v>0</v>
      </c>
    </row>
    <row r="625" spans="3:15" x14ac:dyDescent="0.15">
      <c r="C625" s="43" t="s">
        <v>681</v>
      </c>
      <c r="D625" s="42">
        <v>5</v>
      </c>
      <c r="E625" s="42">
        <v>85</v>
      </c>
      <c r="F625" s="42">
        <v>3</v>
      </c>
      <c r="G625" s="42">
        <v>1.6</v>
      </c>
      <c r="H625" s="42">
        <v>1</v>
      </c>
      <c r="I625" s="42">
        <v>0</v>
      </c>
      <c r="J625" s="42">
        <v>157</v>
      </c>
      <c r="K625" s="42">
        <v>0</v>
      </c>
      <c r="L625" s="42">
        <v>0</v>
      </c>
      <c r="M625" s="42">
        <v>1</v>
      </c>
      <c r="N625" s="42">
        <v>1</v>
      </c>
      <c r="O625">
        <v>0</v>
      </c>
    </row>
    <row r="626" spans="3:15" x14ac:dyDescent="0.15">
      <c r="C626" s="43" t="s">
        <v>682</v>
      </c>
      <c r="D626" s="42">
        <v>19</v>
      </c>
      <c r="E626" s="42">
        <v>118</v>
      </c>
      <c r="F626" s="42">
        <v>2</v>
      </c>
      <c r="G626" s="42">
        <v>3.3</v>
      </c>
      <c r="H626" s="42">
        <v>1</v>
      </c>
      <c r="I626" s="42">
        <v>0</v>
      </c>
      <c r="J626" s="42">
        <v>0</v>
      </c>
      <c r="K626" s="42">
        <v>0</v>
      </c>
      <c r="L626" s="42">
        <v>0</v>
      </c>
      <c r="M626" s="42">
        <v>0</v>
      </c>
      <c r="N626" s="42">
        <v>1</v>
      </c>
      <c r="O626">
        <v>0</v>
      </c>
    </row>
    <row r="627" spans="3:15" x14ac:dyDescent="0.15">
      <c r="C627" s="43" t="s">
        <v>683</v>
      </c>
      <c r="D627" s="42">
        <v>16</v>
      </c>
      <c r="E627" s="42">
        <v>19</v>
      </c>
      <c r="F627" s="42">
        <v>2</v>
      </c>
      <c r="G627" s="42">
        <v>0.3</v>
      </c>
      <c r="H627" s="42">
        <v>0</v>
      </c>
      <c r="I627" s="42">
        <v>1</v>
      </c>
      <c r="J627" s="42">
        <v>105</v>
      </c>
      <c r="K627" s="42">
        <v>0</v>
      </c>
      <c r="L627" s="42">
        <v>0</v>
      </c>
      <c r="M627" s="42">
        <v>0</v>
      </c>
      <c r="N627" s="42">
        <v>0</v>
      </c>
      <c r="O627">
        <v>0</v>
      </c>
    </row>
    <row r="628" spans="3:15" x14ac:dyDescent="0.15">
      <c r="C628" s="43" t="s">
        <v>684</v>
      </c>
      <c r="D628" s="42">
        <v>6</v>
      </c>
      <c r="E628" s="42">
        <v>84</v>
      </c>
      <c r="F628" s="42">
        <v>4</v>
      </c>
      <c r="G628" s="42">
        <v>1.8</v>
      </c>
      <c r="H628" s="42">
        <v>0</v>
      </c>
      <c r="I628" s="42">
        <v>1</v>
      </c>
      <c r="J628" s="42">
        <v>0</v>
      </c>
      <c r="K628" s="42">
        <v>0</v>
      </c>
      <c r="L628" s="42">
        <v>0</v>
      </c>
      <c r="M628" s="42">
        <v>0</v>
      </c>
      <c r="N628" s="42">
        <v>0</v>
      </c>
      <c r="O628">
        <v>0</v>
      </c>
    </row>
    <row r="629" spans="3:15" x14ac:dyDescent="0.15">
      <c r="C629" s="43" t="s">
        <v>685</v>
      </c>
      <c r="D629" s="42">
        <v>37</v>
      </c>
      <c r="E629" s="42">
        <v>19</v>
      </c>
      <c r="F629" s="42">
        <v>4</v>
      </c>
      <c r="G629" s="42">
        <v>0.4</v>
      </c>
      <c r="H629" s="42">
        <v>0</v>
      </c>
      <c r="I629" s="42">
        <v>1</v>
      </c>
      <c r="J629" s="42">
        <v>124</v>
      </c>
      <c r="K629" s="42">
        <v>1</v>
      </c>
      <c r="L629" s="42">
        <v>0</v>
      </c>
      <c r="M629" s="42">
        <v>0</v>
      </c>
      <c r="N629" s="42">
        <v>0</v>
      </c>
      <c r="O629">
        <v>0</v>
      </c>
    </row>
    <row r="630" spans="3:15" x14ac:dyDescent="0.15">
      <c r="C630" s="43" t="s">
        <v>686</v>
      </c>
      <c r="D630" s="42">
        <v>10</v>
      </c>
      <c r="E630" s="42">
        <v>110</v>
      </c>
      <c r="F630" s="42">
        <v>1</v>
      </c>
      <c r="G630" s="42">
        <v>4</v>
      </c>
      <c r="H630" s="42">
        <v>1</v>
      </c>
      <c r="I630" s="42">
        <v>0</v>
      </c>
      <c r="J630" s="42">
        <v>0</v>
      </c>
      <c r="K630" s="42">
        <v>0</v>
      </c>
      <c r="L630" s="42">
        <v>0</v>
      </c>
      <c r="M630" s="42">
        <v>1</v>
      </c>
      <c r="N630" s="42">
        <v>0</v>
      </c>
      <c r="O630">
        <v>0</v>
      </c>
    </row>
    <row r="631" spans="3:15" x14ac:dyDescent="0.15">
      <c r="C631" s="43" t="s">
        <v>687</v>
      </c>
      <c r="D631" s="42">
        <v>16</v>
      </c>
      <c r="E631" s="42">
        <v>99</v>
      </c>
      <c r="F631" s="42">
        <v>1</v>
      </c>
      <c r="G631" s="42">
        <v>1</v>
      </c>
      <c r="H631" s="42">
        <v>0</v>
      </c>
      <c r="I631" s="42">
        <v>0</v>
      </c>
      <c r="J631" s="42">
        <v>0</v>
      </c>
      <c r="K631" s="42">
        <v>0</v>
      </c>
      <c r="L631" s="42">
        <v>0</v>
      </c>
      <c r="M631" s="42">
        <v>1</v>
      </c>
      <c r="N631" s="42">
        <v>0</v>
      </c>
      <c r="O631">
        <v>0</v>
      </c>
    </row>
    <row r="632" spans="3:15" x14ac:dyDescent="0.15">
      <c r="C632" s="43" t="s">
        <v>688</v>
      </c>
      <c r="D632" s="42">
        <v>36</v>
      </c>
      <c r="E632" s="42">
        <v>22</v>
      </c>
      <c r="F632" s="42">
        <v>2</v>
      </c>
      <c r="G632" s="42">
        <v>1</v>
      </c>
      <c r="H632" s="42">
        <v>1</v>
      </c>
      <c r="I632" s="42">
        <v>0</v>
      </c>
      <c r="J632" s="42">
        <v>0</v>
      </c>
      <c r="K632" s="42">
        <v>1</v>
      </c>
      <c r="L632" s="42">
        <v>1</v>
      </c>
      <c r="M632" s="42">
        <v>1</v>
      </c>
      <c r="N632" s="42">
        <v>1</v>
      </c>
      <c r="O632">
        <v>0</v>
      </c>
    </row>
    <row r="633" spans="3:15" x14ac:dyDescent="0.15">
      <c r="C633" s="43" t="s">
        <v>689</v>
      </c>
      <c r="D633" s="42">
        <v>34</v>
      </c>
      <c r="E633" s="42">
        <v>14</v>
      </c>
      <c r="F633" s="42">
        <v>1</v>
      </c>
      <c r="G633" s="42">
        <v>0.1</v>
      </c>
      <c r="H633" s="42">
        <v>1</v>
      </c>
      <c r="I633" s="42">
        <v>0</v>
      </c>
      <c r="J633" s="42">
        <v>0</v>
      </c>
      <c r="K633" s="42">
        <v>0</v>
      </c>
      <c r="L633" s="42">
        <v>0</v>
      </c>
      <c r="M633" s="42">
        <v>1</v>
      </c>
      <c r="N633" s="42">
        <v>1</v>
      </c>
      <c r="O633">
        <v>0</v>
      </c>
    </row>
    <row r="634" spans="3:15" x14ac:dyDescent="0.15">
      <c r="C634" s="43" t="s">
        <v>690</v>
      </c>
      <c r="D634" s="42">
        <v>29</v>
      </c>
      <c r="E634" s="42">
        <v>83</v>
      </c>
      <c r="F634" s="42">
        <v>4</v>
      </c>
      <c r="G634" s="42">
        <v>1</v>
      </c>
      <c r="H634" s="42">
        <v>0</v>
      </c>
      <c r="I634" s="42">
        <v>1</v>
      </c>
      <c r="J634" s="42">
        <v>0</v>
      </c>
      <c r="K634" s="42">
        <v>0</v>
      </c>
      <c r="L634" s="42">
        <v>0</v>
      </c>
      <c r="M634" s="42">
        <v>1</v>
      </c>
      <c r="N634" s="42">
        <v>0</v>
      </c>
      <c r="O634">
        <v>0</v>
      </c>
    </row>
    <row r="635" spans="3:15" x14ac:dyDescent="0.15">
      <c r="C635" s="43" t="s">
        <v>691</v>
      </c>
      <c r="D635" s="42">
        <v>24</v>
      </c>
      <c r="E635" s="42">
        <v>38</v>
      </c>
      <c r="F635" s="42">
        <v>1</v>
      </c>
      <c r="G635" s="42">
        <v>1.4</v>
      </c>
      <c r="H635" s="42">
        <v>0</v>
      </c>
      <c r="I635" s="42">
        <v>0</v>
      </c>
      <c r="J635" s="42">
        <v>0</v>
      </c>
      <c r="K635" s="42">
        <v>0</v>
      </c>
      <c r="L635" s="42">
        <v>0</v>
      </c>
      <c r="M635" s="42">
        <v>0</v>
      </c>
      <c r="N635" s="42">
        <v>0</v>
      </c>
      <c r="O635">
        <v>0</v>
      </c>
    </row>
    <row r="636" spans="3:15" x14ac:dyDescent="0.15">
      <c r="C636" s="43" t="s">
        <v>692</v>
      </c>
      <c r="D636" s="42">
        <v>31</v>
      </c>
      <c r="E636" s="42">
        <v>51</v>
      </c>
      <c r="F636" s="42">
        <v>1</v>
      </c>
      <c r="G636" s="42">
        <v>1.4</v>
      </c>
      <c r="H636" s="42">
        <v>1</v>
      </c>
      <c r="I636" s="42">
        <v>0</v>
      </c>
      <c r="J636" s="42">
        <v>0</v>
      </c>
      <c r="K636" s="42">
        <v>0</v>
      </c>
      <c r="L636" s="42">
        <v>0</v>
      </c>
      <c r="M636" s="42">
        <v>1</v>
      </c>
      <c r="N636" s="42">
        <v>1</v>
      </c>
      <c r="O636">
        <v>0</v>
      </c>
    </row>
    <row r="637" spans="3:15" x14ac:dyDescent="0.15">
      <c r="C637" s="43" t="s">
        <v>693</v>
      </c>
      <c r="D637" s="42">
        <v>20</v>
      </c>
      <c r="E637" s="42">
        <v>12</v>
      </c>
      <c r="F637" s="42">
        <v>4</v>
      </c>
      <c r="G637" s="42">
        <v>0.6</v>
      </c>
      <c r="H637" s="42">
        <v>0</v>
      </c>
      <c r="I637" s="42">
        <v>0</v>
      </c>
      <c r="J637" s="42">
        <v>0</v>
      </c>
      <c r="K637" s="42">
        <v>0</v>
      </c>
      <c r="L637" s="42">
        <v>0</v>
      </c>
      <c r="M637" s="42">
        <v>0</v>
      </c>
      <c r="N637" s="42">
        <v>1</v>
      </c>
      <c r="O637">
        <v>0</v>
      </c>
    </row>
    <row r="638" spans="3:15" x14ac:dyDescent="0.15">
      <c r="C638" s="43" t="s">
        <v>694</v>
      </c>
      <c r="D638" s="42">
        <v>28</v>
      </c>
      <c r="E638" s="42">
        <v>98</v>
      </c>
      <c r="F638" s="42">
        <v>1</v>
      </c>
      <c r="G638" s="42">
        <v>1.3</v>
      </c>
      <c r="H638" s="42">
        <v>0</v>
      </c>
      <c r="I638" s="42">
        <v>0</v>
      </c>
      <c r="J638" s="42">
        <v>355</v>
      </c>
      <c r="K638" s="42">
        <v>0</v>
      </c>
      <c r="L638" s="42">
        <v>0</v>
      </c>
      <c r="M638" s="42">
        <v>1</v>
      </c>
      <c r="N638" s="42">
        <v>0</v>
      </c>
      <c r="O638">
        <v>0</v>
      </c>
    </row>
    <row r="639" spans="3:15" x14ac:dyDescent="0.15">
      <c r="C639" s="43" t="s">
        <v>695</v>
      </c>
      <c r="D639" s="42">
        <v>23</v>
      </c>
      <c r="E639" s="42">
        <v>68</v>
      </c>
      <c r="F639" s="42">
        <v>1</v>
      </c>
      <c r="G639" s="42">
        <v>1.5</v>
      </c>
      <c r="H639" s="42">
        <v>0</v>
      </c>
      <c r="I639" s="42">
        <v>1</v>
      </c>
      <c r="J639" s="42">
        <v>0</v>
      </c>
      <c r="K639" s="42">
        <v>0</v>
      </c>
      <c r="L639" s="42">
        <v>0</v>
      </c>
      <c r="M639" s="42">
        <v>0</v>
      </c>
      <c r="N639" s="42">
        <v>0</v>
      </c>
      <c r="O639">
        <v>0</v>
      </c>
    </row>
    <row r="640" spans="3:15" x14ac:dyDescent="0.15">
      <c r="C640" s="43" t="s">
        <v>696</v>
      </c>
      <c r="D640" s="42">
        <v>6</v>
      </c>
      <c r="E640" s="42">
        <v>83</v>
      </c>
      <c r="F640" s="42">
        <v>4</v>
      </c>
      <c r="G640" s="42">
        <v>3.4</v>
      </c>
      <c r="H640" s="42">
        <v>1</v>
      </c>
      <c r="I640" s="42">
        <v>0</v>
      </c>
      <c r="J640" s="42">
        <v>0</v>
      </c>
      <c r="K640" s="42">
        <v>1</v>
      </c>
      <c r="L640" s="42">
        <v>0</v>
      </c>
      <c r="M640" s="42">
        <v>1</v>
      </c>
      <c r="N640" s="42">
        <v>0</v>
      </c>
      <c r="O640">
        <v>0</v>
      </c>
    </row>
    <row r="641" spans="3:15" x14ac:dyDescent="0.15">
      <c r="C641" s="43" t="s">
        <v>697</v>
      </c>
      <c r="D641" s="42">
        <v>8</v>
      </c>
      <c r="E641" s="42">
        <v>32</v>
      </c>
      <c r="F641" s="42">
        <v>2</v>
      </c>
      <c r="G641" s="42">
        <v>1</v>
      </c>
      <c r="H641" s="42">
        <v>0</v>
      </c>
      <c r="I641" s="42">
        <v>1</v>
      </c>
      <c r="J641" s="42">
        <v>103</v>
      </c>
      <c r="K641" s="42">
        <v>0</v>
      </c>
      <c r="L641" s="42">
        <v>1</v>
      </c>
      <c r="M641" s="42">
        <v>1</v>
      </c>
      <c r="N641" s="42">
        <v>1</v>
      </c>
      <c r="O641">
        <v>0</v>
      </c>
    </row>
    <row r="642" spans="3:15" x14ac:dyDescent="0.15">
      <c r="C642" s="43" t="s">
        <v>698</v>
      </c>
      <c r="D642" s="42">
        <v>7</v>
      </c>
      <c r="E642" s="42">
        <v>94</v>
      </c>
      <c r="F642" s="42">
        <v>2</v>
      </c>
      <c r="G642" s="42">
        <v>3.1</v>
      </c>
      <c r="H642" s="42">
        <v>1</v>
      </c>
      <c r="I642" s="42">
        <v>0</v>
      </c>
      <c r="J642" s="42">
        <v>0</v>
      </c>
      <c r="K642" s="42">
        <v>0</v>
      </c>
      <c r="L642" s="42">
        <v>0</v>
      </c>
      <c r="M642" s="42">
        <v>1</v>
      </c>
      <c r="N642" s="42">
        <v>0</v>
      </c>
      <c r="O642">
        <v>0</v>
      </c>
    </row>
    <row r="643" spans="3:15" x14ac:dyDescent="0.15">
      <c r="C643" s="43" t="s">
        <v>699</v>
      </c>
      <c r="D643" s="42">
        <v>12</v>
      </c>
      <c r="E643" s="42">
        <v>160</v>
      </c>
      <c r="F643" s="42">
        <v>2</v>
      </c>
      <c r="G643" s="42">
        <v>3.3</v>
      </c>
      <c r="H643" s="42">
        <v>1</v>
      </c>
      <c r="I643" s="42">
        <v>0</v>
      </c>
      <c r="J643" s="42">
        <v>0</v>
      </c>
      <c r="K643" s="42">
        <v>0</v>
      </c>
      <c r="L643" s="42">
        <v>0</v>
      </c>
      <c r="M643" s="42">
        <v>0</v>
      </c>
      <c r="N643" s="42">
        <v>0</v>
      </c>
      <c r="O643">
        <v>0</v>
      </c>
    </row>
    <row r="644" spans="3:15" x14ac:dyDescent="0.15">
      <c r="C644" s="43" t="s">
        <v>700</v>
      </c>
      <c r="D644" s="42">
        <v>5</v>
      </c>
      <c r="E644" s="42">
        <v>79</v>
      </c>
      <c r="F644" s="42">
        <v>4</v>
      </c>
      <c r="G644" s="42">
        <v>2.2000000000000002</v>
      </c>
      <c r="H644" s="42">
        <v>0</v>
      </c>
      <c r="I644" s="42">
        <v>1</v>
      </c>
      <c r="J644" s="42">
        <v>0</v>
      </c>
      <c r="K644" s="42">
        <v>0</v>
      </c>
      <c r="L644" s="42">
        <v>0</v>
      </c>
      <c r="M644" s="42">
        <v>0</v>
      </c>
      <c r="N644" s="42">
        <v>0</v>
      </c>
      <c r="O644">
        <v>0</v>
      </c>
    </row>
    <row r="645" spans="3:15" x14ac:dyDescent="0.15">
      <c r="C645" s="43" t="s">
        <v>701</v>
      </c>
      <c r="D645" s="42">
        <v>9</v>
      </c>
      <c r="E645" s="42">
        <v>48</v>
      </c>
      <c r="F645" s="42">
        <v>1</v>
      </c>
      <c r="G645" s="42">
        <v>2.5</v>
      </c>
      <c r="H645" s="42">
        <v>0</v>
      </c>
      <c r="I645" s="42">
        <v>0</v>
      </c>
      <c r="J645" s="42">
        <v>105</v>
      </c>
      <c r="K645" s="42">
        <v>0</v>
      </c>
      <c r="L645" s="42">
        <v>0</v>
      </c>
      <c r="M645" s="42">
        <v>1</v>
      </c>
      <c r="N645" s="42">
        <v>0</v>
      </c>
      <c r="O645">
        <v>0</v>
      </c>
    </row>
    <row r="646" spans="3:15" x14ac:dyDescent="0.15">
      <c r="C646" s="43" t="s">
        <v>702</v>
      </c>
      <c r="D646" s="42">
        <v>30</v>
      </c>
      <c r="E646" s="42">
        <v>24</v>
      </c>
      <c r="F646" s="42">
        <v>2</v>
      </c>
      <c r="G646" s="42">
        <v>0.4</v>
      </c>
      <c r="H646" s="42">
        <v>0</v>
      </c>
      <c r="I646" s="42">
        <v>0</v>
      </c>
      <c r="J646" s="42">
        <v>88</v>
      </c>
      <c r="K646" s="42">
        <v>0</v>
      </c>
      <c r="L646" s="42">
        <v>0</v>
      </c>
      <c r="M646" s="42">
        <v>0</v>
      </c>
      <c r="N646" s="42">
        <v>0</v>
      </c>
      <c r="O646">
        <v>0</v>
      </c>
    </row>
    <row r="647" spans="3:15" x14ac:dyDescent="0.15">
      <c r="C647" s="43" t="s">
        <v>703</v>
      </c>
      <c r="D647" s="42">
        <v>20</v>
      </c>
      <c r="E647" s="42">
        <v>54</v>
      </c>
      <c r="F647" s="42">
        <v>1</v>
      </c>
      <c r="G647" s="42">
        <v>0.7</v>
      </c>
      <c r="H647" s="42">
        <v>0</v>
      </c>
      <c r="I647" s="42">
        <v>0</v>
      </c>
      <c r="J647" s="42">
        <v>154</v>
      </c>
      <c r="K647" s="42">
        <v>0</v>
      </c>
      <c r="L647" s="42">
        <v>0</v>
      </c>
      <c r="M647" s="42">
        <v>1</v>
      </c>
      <c r="N647" s="42">
        <v>1</v>
      </c>
      <c r="O647">
        <v>0</v>
      </c>
    </row>
    <row r="648" spans="3:15" x14ac:dyDescent="0.15">
      <c r="C648" s="43" t="s">
        <v>704</v>
      </c>
      <c r="D648" s="42">
        <v>6</v>
      </c>
      <c r="E648" s="42">
        <v>48</v>
      </c>
      <c r="F648" s="42">
        <v>1</v>
      </c>
      <c r="G648" s="42">
        <v>2.1</v>
      </c>
      <c r="H648" s="42">
        <v>0</v>
      </c>
      <c r="I648" s="42">
        <v>0</v>
      </c>
      <c r="J648" s="42">
        <v>0</v>
      </c>
      <c r="K648" s="42">
        <v>0</v>
      </c>
      <c r="L648" s="42">
        <v>0</v>
      </c>
      <c r="M648" s="42">
        <v>0</v>
      </c>
      <c r="N648" s="42">
        <v>0</v>
      </c>
      <c r="O648">
        <v>0</v>
      </c>
    </row>
    <row r="649" spans="3:15" x14ac:dyDescent="0.15">
      <c r="C649" s="43" t="s">
        <v>705</v>
      </c>
      <c r="D649" s="42">
        <v>32</v>
      </c>
      <c r="E649" s="42">
        <v>19</v>
      </c>
      <c r="F649" s="42">
        <v>4</v>
      </c>
      <c r="G649" s="42">
        <v>0.9</v>
      </c>
      <c r="H649" s="42">
        <v>0</v>
      </c>
      <c r="I649" s="42">
        <v>1</v>
      </c>
      <c r="J649" s="42">
        <v>0</v>
      </c>
      <c r="K649" s="42">
        <v>0</v>
      </c>
      <c r="L649" s="42">
        <v>0</v>
      </c>
      <c r="M649" s="42">
        <v>1</v>
      </c>
      <c r="N649" s="42">
        <v>0</v>
      </c>
      <c r="O649">
        <v>0</v>
      </c>
    </row>
    <row r="650" spans="3:15" x14ac:dyDescent="0.15">
      <c r="C650" s="43" t="s">
        <v>706</v>
      </c>
      <c r="D650" s="42">
        <v>27</v>
      </c>
      <c r="E650" s="42">
        <v>25</v>
      </c>
      <c r="F650" s="42">
        <v>2</v>
      </c>
      <c r="G650" s="42">
        <v>0</v>
      </c>
      <c r="H650" s="42">
        <v>1</v>
      </c>
      <c r="I650" s="42">
        <v>0</v>
      </c>
      <c r="J650" s="42">
        <v>0</v>
      </c>
      <c r="K650" s="42">
        <v>0</v>
      </c>
      <c r="L650" s="42">
        <v>0</v>
      </c>
      <c r="M650" s="42">
        <v>1</v>
      </c>
      <c r="N650" s="42">
        <v>1</v>
      </c>
      <c r="O650">
        <v>0</v>
      </c>
    </row>
    <row r="651" spans="3:15" x14ac:dyDescent="0.15">
      <c r="C651" s="43" t="s">
        <v>707</v>
      </c>
      <c r="D651" s="42">
        <v>4</v>
      </c>
      <c r="E651" s="42">
        <v>110</v>
      </c>
      <c r="F651" s="42">
        <v>4</v>
      </c>
      <c r="G651" s="42">
        <v>2.5</v>
      </c>
      <c r="H651" s="42">
        <v>0</v>
      </c>
      <c r="I651" s="42">
        <v>0</v>
      </c>
      <c r="J651" s="42">
        <v>0</v>
      </c>
      <c r="K651" s="42">
        <v>0</v>
      </c>
      <c r="L651" s="42">
        <v>0</v>
      </c>
      <c r="M651" s="42">
        <v>0</v>
      </c>
      <c r="N651" s="42">
        <v>0</v>
      </c>
      <c r="O651">
        <v>1</v>
      </c>
    </row>
    <row r="652" spans="3:15" x14ac:dyDescent="0.15">
      <c r="C652" s="43" t="s">
        <v>708</v>
      </c>
      <c r="D652" s="42">
        <v>6</v>
      </c>
      <c r="E652" s="42">
        <v>78</v>
      </c>
      <c r="F652" s="42">
        <v>4</v>
      </c>
      <c r="G652" s="42">
        <v>1.8</v>
      </c>
      <c r="H652" s="42">
        <v>0</v>
      </c>
      <c r="I652" s="42">
        <v>0</v>
      </c>
      <c r="J652" s="42">
        <v>163</v>
      </c>
      <c r="K652" s="42">
        <v>0</v>
      </c>
      <c r="L652" s="42">
        <v>0</v>
      </c>
      <c r="M652" s="42">
        <v>0</v>
      </c>
      <c r="N652" s="42">
        <v>0</v>
      </c>
      <c r="O652">
        <v>0</v>
      </c>
    </row>
    <row r="653" spans="3:15" x14ac:dyDescent="0.15">
      <c r="C653" s="43" t="s">
        <v>709</v>
      </c>
      <c r="D653" s="42">
        <v>17</v>
      </c>
      <c r="E653" s="42">
        <v>164</v>
      </c>
      <c r="F653" s="42">
        <v>1</v>
      </c>
      <c r="G653" s="42">
        <v>2.4</v>
      </c>
      <c r="H653" s="42">
        <v>1</v>
      </c>
      <c r="I653" s="42">
        <v>0</v>
      </c>
      <c r="J653" s="42">
        <v>449</v>
      </c>
      <c r="K653" s="42">
        <v>0</v>
      </c>
      <c r="L653" s="42">
        <v>0</v>
      </c>
      <c r="M653" s="42">
        <v>1</v>
      </c>
      <c r="N653" s="42">
        <v>0</v>
      </c>
      <c r="O653">
        <v>0</v>
      </c>
    </row>
    <row r="654" spans="3:15" x14ac:dyDescent="0.15">
      <c r="C654" s="43" t="s">
        <v>710</v>
      </c>
      <c r="D654" s="42">
        <v>19</v>
      </c>
      <c r="E654" s="42">
        <v>141</v>
      </c>
      <c r="F654" s="42">
        <v>1</v>
      </c>
      <c r="G654" s="42">
        <v>2.4</v>
      </c>
      <c r="H654" s="42">
        <v>1</v>
      </c>
      <c r="I654" s="42">
        <v>0</v>
      </c>
      <c r="J654" s="42">
        <v>0</v>
      </c>
      <c r="K654" s="42">
        <v>0</v>
      </c>
      <c r="L654" s="42">
        <v>0</v>
      </c>
      <c r="M654" s="42">
        <v>1</v>
      </c>
      <c r="N654" s="42">
        <v>0</v>
      </c>
      <c r="O654">
        <v>0</v>
      </c>
    </row>
    <row r="655" spans="3:15" x14ac:dyDescent="0.15">
      <c r="C655" s="43" t="s">
        <v>711</v>
      </c>
      <c r="D655" s="42">
        <v>22</v>
      </c>
      <c r="E655" s="42">
        <v>149</v>
      </c>
      <c r="F655" s="42">
        <v>2</v>
      </c>
      <c r="G655" s="42">
        <v>5.5</v>
      </c>
      <c r="H655" s="42">
        <v>0</v>
      </c>
      <c r="I655" s="42">
        <v>1</v>
      </c>
      <c r="J655" s="42">
        <v>0</v>
      </c>
      <c r="K655" s="42">
        <v>1</v>
      </c>
      <c r="L655" s="42">
        <v>1</v>
      </c>
      <c r="M655" s="42">
        <v>1</v>
      </c>
      <c r="N655" s="42">
        <v>0</v>
      </c>
      <c r="O655">
        <v>1</v>
      </c>
    </row>
    <row r="656" spans="3:15" x14ac:dyDescent="0.15">
      <c r="C656" s="43" t="s">
        <v>712</v>
      </c>
      <c r="D656" s="42">
        <v>9</v>
      </c>
      <c r="E656" s="42">
        <v>100</v>
      </c>
      <c r="F656" s="42">
        <v>1</v>
      </c>
      <c r="G656" s="42">
        <v>2.7</v>
      </c>
      <c r="H656" s="42">
        <v>0</v>
      </c>
      <c r="I656" s="42">
        <v>1</v>
      </c>
      <c r="J656" s="42">
        <v>0</v>
      </c>
      <c r="K656" s="42">
        <v>0</v>
      </c>
      <c r="L656" s="42">
        <v>0</v>
      </c>
      <c r="M656" s="42">
        <v>0</v>
      </c>
      <c r="N656" s="42">
        <v>0</v>
      </c>
      <c r="O656">
        <v>0</v>
      </c>
    </row>
    <row r="657" spans="3:15" x14ac:dyDescent="0.15">
      <c r="C657" s="43" t="s">
        <v>713</v>
      </c>
      <c r="D657" s="42">
        <v>25</v>
      </c>
      <c r="E657" s="42">
        <v>43</v>
      </c>
      <c r="F657" s="42">
        <v>1</v>
      </c>
      <c r="G657" s="42">
        <v>1.4</v>
      </c>
      <c r="H657" s="42">
        <v>0</v>
      </c>
      <c r="I657" s="42">
        <v>0</v>
      </c>
      <c r="J657" s="42">
        <v>137</v>
      </c>
      <c r="K657" s="42">
        <v>0</v>
      </c>
      <c r="L657" s="42">
        <v>0</v>
      </c>
      <c r="M657" s="42">
        <v>1</v>
      </c>
      <c r="N657" s="42">
        <v>0</v>
      </c>
      <c r="O657">
        <v>0</v>
      </c>
    </row>
    <row r="658" spans="3:15" x14ac:dyDescent="0.15">
      <c r="C658" s="43" t="s">
        <v>714</v>
      </c>
      <c r="D658" s="42">
        <v>17</v>
      </c>
      <c r="E658" s="42">
        <v>63</v>
      </c>
      <c r="F658" s="42">
        <v>2</v>
      </c>
      <c r="G658" s="42">
        <v>2.2000000000000002</v>
      </c>
      <c r="H658" s="42">
        <v>0</v>
      </c>
      <c r="I658" s="42">
        <v>0</v>
      </c>
      <c r="J658" s="42">
        <v>0</v>
      </c>
      <c r="K658" s="42">
        <v>0</v>
      </c>
      <c r="L658" s="42">
        <v>0</v>
      </c>
      <c r="M658" s="42">
        <v>1</v>
      </c>
      <c r="N658" s="42">
        <v>0</v>
      </c>
      <c r="O658">
        <v>0</v>
      </c>
    </row>
    <row r="659" spans="3:15" x14ac:dyDescent="0.15">
      <c r="C659" s="43" t="s">
        <v>715</v>
      </c>
      <c r="D659" s="42">
        <v>0</v>
      </c>
      <c r="E659" s="42">
        <v>43</v>
      </c>
      <c r="F659" s="42">
        <v>2</v>
      </c>
      <c r="G659" s="42">
        <v>1.6</v>
      </c>
      <c r="H659" s="42">
        <v>0</v>
      </c>
      <c r="I659" s="42">
        <v>0</v>
      </c>
      <c r="J659" s="42">
        <v>0</v>
      </c>
      <c r="K659" s="42">
        <v>1</v>
      </c>
      <c r="L659" s="42">
        <v>1</v>
      </c>
      <c r="M659" s="42">
        <v>1</v>
      </c>
      <c r="N659" s="42">
        <v>1</v>
      </c>
      <c r="O659">
        <v>0</v>
      </c>
    </row>
    <row r="660" spans="3:15" x14ac:dyDescent="0.15">
      <c r="C660" s="43" t="s">
        <v>716</v>
      </c>
      <c r="D660" s="42">
        <v>9</v>
      </c>
      <c r="E660" s="42">
        <v>40</v>
      </c>
      <c r="F660" s="42">
        <v>3</v>
      </c>
      <c r="G660" s="42">
        <v>0.9</v>
      </c>
      <c r="H660" s="42">
        <v>1</v>
      </c>
      <c r="I660" s="42">
        <v>0</v>
      </c>
      <c r="J660" s="42">
        <v>0</v>
      </c>
      <c r="K660" s="42">
        <v>0</v>
      </c>
      <c r="L660" s="42">
        <v>0</v>
      </c>
      <c r="M660" s="42">
        <v>1</v>
      </c>
      <c r="N660" s="42">
        <v>0</v>
      </c>
      <c r="O660">
        <v>0</v>
      </c>
    </row>
    <row r="661" spans="3:15" x14ac:dyDescent="0.15">
      <c r="C661" s="43" t="s">
        <v>717</v>
      </c>
      <c r="D661" s="42">
        <v>24</v>
      </c>
      <c r="E661" s="42">
        <v>13</v>
      </c>
      <c r="F661" s="42">
        <v>1</v>
      </c>
      <c r="G661" s="42">
        <v>0.4</v>
      </c>
      <c r="H661" s="42">
        <v>0</v>
      </c>
      <c r="I661" s="42">
        <v>0</v>
      </c>
      <c r="J661" s="42">
        <v>101</v>
      </c>
      <c r="K661" s="42">
        <v>1</v>
      </c>
      <c r="L661" s="42">
        <v>0</v>
      </c>
      <c r="M661" s="42">
        <v>0</v>
      </c>
      <c r="N661" s="42">
        <v>0</v>
      </c>
      <c r="O661">
        <v>0</v>
      </c>
    </row>
    <row r="662" spans="3:15" x14ac:dyDescent="0.15">
      <c r="C662" s="43" t="s">
        <v>718</v>
      </c>
      <c r="D662" s="42">
        <v>20</v>
      </c>
      <c r="E662" s="42">
        <v>154</v>
      </c>
      <c r="F662" s="42">
        <v>2</v>
      </c>
      <c r="G662" s="42">
        <v>2.8</v>
      </c>
      <c r="H662" s="42">
        <v>1</v>
      </c>
      <c r="I662" s="42">
        <v>0</v>
      </c>
      <c r="J662" s="42">
        <v>0</v>
      </c>
      <c r="K662" s="42">
        <v>1</v>
      </c>
      <c r="L662" s="42">
        <v>0</v>
      </c>
      <c r="M662" s="42">
        <v>1</v>
      </c>
      <c r="N662" s="42">
        <v>0</v>
      </c>
      <c r="O662">
        <v>0</v>
      </c>
    </row>
    <row r="663" spans="3:15" x14ac:dyDescent="0.15">
      <c r="C663" s="43" t="s">
        <v>719</v>
      </c>
      <c r="D663" s="42">
        <v>33</v>
      </c>
      <c r="E663" s="42">
        <v>100</v>
      </c>
      <c r="F663" s="42">
        <v>2</v>
      </c>
      <c r="G663" s="42">
        <v>2</v>
      </c>
      <c r="H663" s="42">
        <v>1</v>
      </c>
      <c r="I663" s="42">
        <v>0</v>
      </c>
      <c r="J663" s="42">
        <v>127</v>
      </c>
      <c r="K663" s="42">
        <v>0</v>
      </c>
      <c r="L663" s="42">
        <v>0</v>
      </c>
      <c r="M663" s="42">
        <v>0</v>
      </c>
      <c r="N663" s="42">
        <v>0</v>
      </c>
      <c r="O663">
        <v>0</v>
      </c>
    </row>
    <row r="664" spans="3:15" x14ac:dyDescent="0.15">
      <c r="C664" s="43" t="s">
        <v>720</v>
      </c>
      <c r="D664" s="42">
        <v>31</v>
      </c>
      <c r="E664" s="42">
        <v>30</v>
      </c>
      <c r="F664" s="42">
        <v>2</v>
      </c>
      <c r="G664" s="42">
        <v>0.7</v>
      </c>
      <c r="H664" s="42">
        <v>0</v>
      </c>
      <c r="I664" s="42">
        <v>1</v>
      </c>
      <c r="J664" s="42">
        <v>145</v>
      </c>
      <c r="K664" s="42">
        <v>0</v>
      </c>
      <c r="L664" s="42">
        <v>0</v>
      </c>
      <c r="M664" s="42">
        <v>0</v>
      </c>
      <c r="N664" s="42">
        <v>0</v>
      </c>
      <c r="O664">
        <v>0</v>
      </c>
    </row>
    <row r="665" spans="3:15" x14ac:dyDescent="0.15">
      <c r="C665" s="43" t="s">
        <v>721</v>
      </c>
      <c r="D665" s="42">
        <v>26</v>
      </c>
      <c r="E665" s="42">
        <v>88</v>
      </c>
      <c r="F665" s="42">
        <v>1</v>
      </c>
      <c r="G665" s="42">
        <v>2.7</v>
      </c>
      <c r="H665" s="42">
        <v>1</v>
      </c>
      <c r="I665" s="42">
        <v>0</v>
      </c>
      <c r="J665" s="42">
        <v>0</v>
      </c>
      <c r="K665" s="42">
        <v>0</v>
      </c>
      <c r="L665" s="42">
        <v>0</v>
      </c>
      <c r="M665" s="42">
        <v>1</v>
      </c>
      <c r="N665" s="42">
        <v>0</v>
      </c>
      <c r="O665">
        <v>0</v>
      </c>
    </row>
    <row r="666" spans="3:15" x14ac:dyDescent="0.15">
      <c r="C666" s="43" t="s">
        <v>722</v>
      </c>
      <c r="D666" s="42">
        <v>18</v>
      </c>
      <c r="E666" s="42">
        <v>22</v>
      </c>
      <c r="F666" s="42">
        <v>2</v>
      </c>
      <c r="G666" s="42">
        <v>0.3</v>
      </c>
      <c r="H666" s="42">
        <v>0</v>
      </c>
      <c r="I666" s="42">
        <v>1</v>
      </c>
      <c r="J666" s="42">
        <v>0</v>
      </c>
      <c r="K666" s="42">
        <v>0</v>
      </c>
      <c r="L666" s="42">
        <v>0</v>
      </c>
      <c r="M666" s="42">
        <v>1</v>
      </c>
      <c r="N666" s="42">
        <v>0</v>
      </c>
      <c r="O666">
        <v>0</v>
      </c>
    </row>
    <row r="667" spans="3:15" x14ac:dyDescent="0.15">
      <c r="C667" s="43" t="s">
        <v>723</v>
      </c>
      <c r="D667" s="42">
        <v>3</v>
      </c>
      <c r="E667" s="42">
        <v>84</v>
      </c>
      <c r="F667" s="42">
        <v>4</v>
      </c>
      <c r="G667" s="42">
        <v>0.2</v>
      </c>
      <c r="H667" s="42">
        <v>1</v>
      </c>
      <c r="I667" s="42">
        <v>0</v>
      </c>
      <c r="J667" s="42">
        <v>0</v>
      </c>
      <c r="K667" s="42">
        <v>0</v>
      </c>
      <c r="L667" s="42">
        <v>0</v>
      </c>
      <c r="M667" s="42">
        <v>1</v>
      </c>
      <c r="N667" s="42">
        <v>1</v>
      </c>
      <c r="O667">
        <v>0</v>
      </c>
    </row>
    <row r="668" spans="3:15" x14ac:dyDescent="0.15">
      <c r="C668" s="43" t="s">
        <v>724</v>
      </c>
      <c r="D668" s="42">
        <v>26</v>
      </c>
      <c r="E668" s="42">
        <v>180</v>
      </c>
      <c r="F668" s="42">
        <v>1</v>
      </c>
      <c r="G668" s="42">
        <v>1</v>
      </c>
      <c r="H668" s="42">
        <v>1</v>
      </c>
      <c r="I668" s="42">
        <v>0</v>
      </c>
      <c r="J668" s="42">
        <v>0</v>
      </c>
      <c r="K668" s="42">
        <v>0</v>
      </c>
      <c r="L668" s="42">
        <v>0</v>
      </c>
      <c r="M668" s="42">
        <v>1</v>
      </c>
      <c r="N668" s="42">
        <v>1</v>
      </c>
      <c r="O668">
        <v>0</v>
      </c>
    </row>
    <row r="669" spans="3:15" x14ac:dyDescent="0.15">
      <c r="C669" s="43" t="s">
        <v>725</v>
      </c>
      <c r="D669" s="42">
        <v>3</v>
      </c>
      <c r="E669" s="42">
        <v>98</v>
      </c>
      <c r="F669" s="42">
        <v>2</v>
      </c>
      <c r="G669" s="42">
        <v>2.5</v>
      </c>
      <c r="H669" s="42">
        <v>1</v>
      </c>
      <c r="I669" s="42">
        <v>0</v>
      </c>
      <c r="J669" s="42">
        <v>361</v>
      </c>
      <c r="K669" s="42">
        <v>1</v>
      </c>
      <c r="L669" s="42">
        <v>1</v>
      </c>
      <c r="M669" s="42">
        <v>1</v>
      </c>
      <c r="N669" s="42">
        <v>1</v>
      </c>
      <c r="O669">
        <v>0</v>
      </c>
    </row>
    <row r="670" spans="3:15" x14ac:dyDescent="0.15">
      <c r="C670" s="43" t="s">
        <v>726</v>
      </c>
      <c r="D670" s="42">
        <v>22</v>
      </c>
      <c r="E670" s="42">
        <v>144</v>
      </c>
      <c r="F670" s="42">
        <v>2</v>
      </c>
      <c r="G670" s="42">
        <v>3.3</v>
      </c>
      <c r="H670" s="42">
        <v>1</v>
      </c>
      <c r="I670" s="42">
        <v>0</v>
      </c>
      <c r="J670" s="42">
        <v>0</v>
      </c>
      <c r="K670" s="42">
        <v>0</v>
      </c>
      <c r="L670" s="42">
        <v>0</v>
      </c>
      <c r="M670" s="42">
        <v>1</v>
      </c>
      <c r="N670" s="42">
        <v>1</v>
      </c>
      <c r="O670">
        <v>0</v>
      </c>
    </row>
    <row r="671" spans="3:15" x14ac:dyDescent="0.15">
      <c r="C671" s="43" t="s">
        <v>727</v>
      </c>
      <c r="D671" s="42">
        <v>32</v>
      </c>
      <c r="E671" s="42">
        <v>174</v>
      </c>
      <c r="F671" s="42">
        <v>1</v>
      </c>
      <c r="G671" s="42">
        <v>6.8</v>
      </c>
      <c r="H671" s="42">
        <v>0</v>
      </c>
      <c r="I671" s="42">
        <v>1</v>
      </c>
      <c r="J671" s="42">
        <v>466</v>
      </c>
      <c r="K671" s="42">
        <v>0</v>
      </c>
      <c r="L671" s="42">
        <v>0</v>
      </c>
      <c r="M671" s="42">
        <v>1</v>
      </c>
      <c r="N671" s="42">
        <v>0</v>
      </c>
      <c r="O671">
        <v>1</v>
      </c>
    </row>
    <row r="672" spans="3:15" x14ac:dyDescent="0.15">
      <c r="C672" s="43" t="s">
        <v>728</v>
      </c>
      <c r="D672" s="42">
        <v>3</v>
      </c>
      <c r="E672" s="42">
        <v>170</v>
      </c>
      <c r="F672" s="42">
        <v>1</v>
      </c>
      <c r="G672" s="42">
        <v>0.1</v>
      </c>
      <c r="H672" s="42">
        <v>0</v>
      </c>
      <c r="I672" s="42">
        <v>0</v>
      </c>
      <c r="J672" s="42">
        <v>0</v>
      </c>
      <c r="K672" s="42">
        <v>0</v>
      </c>
      <c r="L672" s="42">
        <v>0</v>
      </c>
      <c r="M672" s="42">
        <v>0</v>
      </c>
      <c r="N672" s="42">
        <v>0</v>
      </c>
      <c r="O672">
        <v>1</v>
      </c>
    </row>
    <row r="673" spans="3:15" x14ac:dyDescent="0.15">
      <c r="C673" s="43" t="s">
        <v>729</v>
      </c>
      <c r="D673" s="42">
        <v>35</v>
      </c>
      <c r="E673" s="42">
        <v>102</v>
      </c>
      <c r="F673" s="42">
        <v>4</v>
      </c>
      <c r="G673" s="42">
        <v>3</v>
      </c>
      <c r="H673" s="42">
        <v>0</v>
      </c>
      <c r="I673" s="42">
        <v>1</v>
      </c>
      <c r="J673" s="42">
        <v>115</v>
      </c>
      <c r="K673" s="42">
        <v>0</v>
      </c>
      <c r="L673" s="42">
        <v>0</v>
      </c>
      <c r="M673" s="42">
        <v>1</v>
      </c>
      <c r="N673" s="42">
        <v>0</v>
      </c>
      <c r="O673">
        <v>1</v>
      </c>
    </row>
    <row r="674" spans="3:15" x14ac:dyDescent="0.15">
      <c r="C674" s="43" t="s">
        <v>730</v>
      </c>
      <c r="D674" s="42">
        <v>30</v>
      </c>
      <c r="E674" s="42">
        <v>40</v>
      </c>
      <c r="F674" s="42">
        <v>2</v>
      </c>
      <c r="G674" s="42">
        <v>2.2999999999999998</v>
      </c>
      <c r="H674" s="42">
        <v>0</v>
      </c>
      <c r="I674" s="42">
        <v>0</v>
      </c>
      <c r="J674" s="42">
        <v>0</v>
      </c>
      <c r="K674" s="42">
        <v>0</v>
      </c>
      <c r="L674" s="42">
        <v>0</v>
      </c>
      <c r="M674" s="42">
        <v>1</v>
      </c>
      <c r="N674" s="42">
        <v>0</v>
      </c>
      <c r="O674">
        <v>0</v>
      </c>
    </row>
    <row r="675" spans="3:15" x14ac:dyDescent="0.15">
      <c r="C675" s="43" t="s">
        <v>731</v>
      </c>
      <c r="D675" s="42">
        <v>38</v>
      </c>
      <c r="E675" s="42">
        <v>103</v>
      </c>
      <c r="F675" s="42">
        <v>1</v>
      </c>
      <c r="G675" s="42">
        <v>2.5</v>
      </c>
      <c r="H675" s="42">
        <v>1</v>
      </c>
      <c r="I675" s="42">
        <v>0</v>
      </c>
      <c r="J675" s="42">
        <v>0</v>
      </c>
      <c r="K675" s="42">
        <v>0</v>
      </c>
      <c r="L675" s="42">
        <v>0</v>
      </c>
      <c r="M675" s="42">
        <v>1</v>
      </c>
      <c r="N675" s="42">
        <v>0</v>
      </c>
      <c r="O675">
        <v>0</v>
      </c>
    </row>
    <row r="676" spans="3:15" x14ac:dyDescent="0.15">
      <c r="C676" s="43" t="s">
        <v>732</v>
      </c>
      <c r="D676" s="42">
        <v>12</v>
      </c>
      <c r="E676" s="42">
        <v>150</v>
      </c>
      <c r="F676" s="42">
        <v>4</v>
      </c>
      <c r="G676" s="42">
        <v>5.4</v>
      </c>
      <c r="H676" s="42">
        <v>1</v>
      </c>
      <c r="I676" s="42">
        <v>0</v>
      </c>
      <c r="J676" s="42">
        <v>0</v>
      </c>
      <c r="K676" s="42">
        <v>1</v>
      </c>
      <c r="L676" s="42">
        <v>1</v>
      </c>
      <c r="M676" s="42">
        <v>1</v>
      </c>
      <c r="N676" s="42">
        <v>0</v>
      </c>
      <c r="O676">
        <v>1</v>
      </c>
    </row>
    <row r="677" spans="3:15" x14ac:dyDescent="0.15">
      <c r="C677" s="43" t="s">
        <v>733</v>
      </c>
      <c r="D677" s="42">
        <v>22</v>
      </c>
      <c r="E677" s="42">
        <v>139</v>
      </c>
      <c r="F677" s="42">
        <v>1</v>
      </c>
      <c r="G677" s="42">
        <v>0</v>
      </c>
      <c r="H677" s="42">
        <v>1</v>
      </c>
      <c r="I677" s="42">
        <v>0</v>
      </c>
      <c r="J677" s="42">
        <v>0</v>
      </c>
      <c r="K677" s="42">
        <v>0</v>
      </c>
      <c r="L677" s="42">
        <v>1</v>
      </c>
      <c r="M677" s="42">
        <v>1</v>
      </c>
      <c r="N677" s="42">
        <v>1</v>
      </c>
      <c r="O677">
        <v>0</v>
      </c>
    </row>
    <row r="678" spans="3:15" x14ac:dyDescent="0.15">
      <c r="C678" s="43" t="s">
        <v>734</v>
      </c>
      <c r="D678" s="42">
        <v>3</v>
      </c>
      <c r="E678" s="42">
        <v>201</v>
      </c>
      <c r="F678" s="42">
        <v>1</v>
      </c>
      <c r="G678" s="42">
        <v>6.333333333333333</v>
      </c>
      <c r="H678" s="42">
        <v>1</v>
      </c>
      <c r="I678" s="42">
        <v>0</v>
      </c>
      <c r="J678" s="42">
        <v>158</v>
      </c>
      <c r="K678" s="42">
        <v>0</v>
      </c>
      <c r="L678" s="42">
        <v>0</v>
      </c>
      <c r="M678" s="42">
        <v>1</v>
      </c>
      <c r="N678" s="42">
        <v>0</v>
      </c>
      <c r="O678">
        <v>0</v>
      </c>
    </row>
    <row r="679" spans="3:15" x14ac:dyDescent="0.15">
      <c r="C679" s="43" t="s">
        <v>735</v>
      </c>
      <c r="D679" s="42">
        <v>20</v>
      </c>
      <c r="E679" s="42">
        <v>25</v>
      </c>
      <c r="F679" s="42">
        <v>4</v>
      </c>
      <c r="G679" s="42">
        <v>0.4</v>
      </c>
      <c r="H679" s="42">
        <v>0</v>
      </c>
      <c r="I679" s="42">
        <v>0</v>
      </c>
      <c r="J679" s="42">
        <v>0</v>
      </c>
      <c r="K679" s="42">
        <v>0</v>
      </c>
      <c r="L679" s="42">
        <v>0</v>
      </c>
      <c r="M679" s="42">
        <v>1</v>
      </c>
      <c r="N679" s="42">
        <v>0</v>
      </c>
      <c r="O679">
        <v>0</v>
      </c>
    </row>
    <row r="680" spans="3:15" x14ac:dyDescent="0.15">
      <c r="C680" s="43" t="s">
        <v>736</v>
      </c>
      <c r="D680" s="42">
        <v>6</v>
      </c>
      <c r="E680" s="42">
        <v>99</v>
      </c>
      <c r="F680" s="42">
        <v>2</v>
      </c>
      <c r="G680" s="42">
        <v>1.5</v>
      </c>
      <c r="H680" s="42">
        <v>0</v>
      </c>
      <c r="I680" s="42">
        <v>0</v>
      </c>
      <c r="J680" s="42">
        <v>0</v>
      </c>
      <c r="K680" s="42">
        <v>0</v>
      </c>
      <c r="L680" s="42">
        <v>0</v>
      </c>
      <c r="M680" s="42">
        <v>0</v>
      </c>
      <c r="N680" s="42">
        <v>1</v>
      </c>
      <c r="O680">
        <v>0</v>
      </c>
    </row>
    <row r="681" spans="3:15" x14ac:dyDescent="0.15">
      <c r="C681" s="43" t="s">
        <v>737</v>
      </c>
      <c r="D681" s="42">
        <v>18</v>
      </c>
      <c r="E681" s="42">
        <v>50</v>
      </c>
      <c r="F681" s="42">
        <v>4</v>
      </c>
      <c r="G681" s="42">
        <v>2.2000000000000002</v>
      </c>
      <c r="H681" s="42">
        <v>0</v>
      </c>
      <c r="I681" s="42">
        <v>1</v>
      </c>
      <c r="J681" s="42">
        <v>0</v>
      </c>
      <c r="K681" s="42">
        <v>0</v>
      </c>
      <c r="L681" s="42">
        <v>0</v>
      </c>
      <c r="M681" s="42">
        <v>0</v>
      </c>
      <c r="N681" s="42">
        <v>0</v>
      </c>
      <c r="O681">
        <v>0</v>
      </c>
    </row>
    <row r="682" spans="3:15" x14ac:dyDescent="0.15">
      <c r="C682" s="43" t="s">
        <v>738</v>
      </c>
      <c r="D682" s="42">
        <v>35</v>
      </c>
      <c r="E682" s="42">
        <v>154</v>
      </c>
      <c r="F682" s="42">
        <v>2</v>
      </c>
      <c r="G682" s="42">
        <v>6.9</v>
      </c>
      <c r="H682" s="42">
        <v>1</v>
      </c>
      <c r="I682" s="42">
        <v>0</v>
      </c>
      <c r="J682" s="42">
        <v>0</v>
      </c>
      <c r="K682" s="42">
        <v>0</v>
      </c>
      <c r="L682" s="42">
        <v>0</v>
      </c>
      <c r="M682" s="42">
        <v>0</v>
      </c>
      <c r="N682" s="42">
        <v>0</v>
      </c>
      <c r="O682">
        <v>0</v>
      </c>
    </row>
    <row r="683" spans="3:15" x14ac:dyDescent="0.15">
      <c r="C683" s="43" t="s">
        <v>739</v>
      </c>
      <c r="D683" s="42">
        <v>12</v>
      </c>
      <c r="E683" s="42">
        <v>125</v>
      </c>
      <c r="F683" s="42">
        <v>2</v>
      </c>
      <c r="G683" s="42">
        <v>3.9</v>
      </c>
      <c r="H683" s="42">
        <v>1</v>
      </c>
      <c r="I683" s="42">
        <v>0</v>
      </c>
      <c r="J683" s="42">
        <v>0</v>
      </c>
      <c r="K683" s="42">
        <v>0</v>
      </c>
      <c r="L683" s="42">
        <v>0</v>
      </c>
      <c r="M683" s="42">
        <v>1</v>
      </c>
      <c r="N683" s="42">
        <v>1</v>
      </c>
      <c r="O683">
        <v>0</v>
      </c>
    </row>
    <row r="684" spans="3:15" x14ac:dyDescent="0.15">
      <c r="C684" s="43" t="s">
        <v>740</v>
      </c>
      <c r="D684" s="42">
        <v>28</v>
      </c>
      <c r="E684" s="42">
        <v>74</v>
      </c>
      <c r="F684" s="42">
        <v>3</v>
      </c>
      <c r="G684" s="42">
        <v>2</v>
      </c>
      <c r="H684" s="42">
        <v>0</v>
      </c>
      <c r="I684" s="42">
        <v>1</v>
      </c>
      <c r="J684" s="42">
        <v>0</v>
      </c>
      <c r="K684" s="42">
        <v>1</v>
      </c>
      <c r="L684" s="42">
        <v>0</v>
      </c>
      <c r="M684" s="42">
        <v>0</v>
      </c>
      <c r="N684" s="42">
        <v>0</v>
      </c>
      <c r="O684">
        <v>0</v>
      </c>
    </row>
    <row r="685" spans="3:15" x14ac:dyDescent="0.15">
      <c r="C685" s="43" t="s">
        <v>741</v>
      </c>
      <c r="D685" s="42">
        <v>17</v>
      </c>
      <c r="E685" s="42">
        <v>51</v>
      </c>
      <c r="F685" s="42">
        <v>2</v>
      </c>
      <c r="G685" s="42">
        <v>0.6</v>
      </c>
      <c r="H685" s="42">
        <v>0</v>
      </c>
      <c r="I685" s="42">
        <v>0</v>
      </c>
      <c r="J685" s="42">
        <v>0</v>
      </c>
      <c r="K685" s="42">
        <v>0</v>
      </c>
      <c r="L685" s="42">
        <v>0</v>
      </c>
      <c r="M685" s="42">
        <v>0</v>
      </c>
      <c r="N685" s="42">
        <v>1</v>
      </c>
      <c r="O685">
        <v>0</v>
      </c>
    </row>
    <row r="686" spans="3:15" x14ac:dyDescent="0.15">
      <c r="C686" s="43" t="s">
        <v>742</v>
      </c>
      <c r="D686" s="42">
        <v>7</v>
      </c>
      <c r="E686" s="42">
        <v>52</v>
      </c>
      <c r="F686" s="42">
        <v>2</v>
      </c>
      <c r="G686" s="42">
        <v>0.1</v>
      </c>
      <c r="H686" s="42">
        <v>1</v>
      </c>
      <c r="I686" s="42">
        <v>0</v>
      </c>
      <c r="J686" s="42">
        <v>0</v>
      </c>
      <c r="K686" s="42">
        <v>0</v>
      </c>
      <c r="L686" s="42">
        <v>0</v>
      </c>
      <c r="M686" s="42">
        <v>1</v>
      </c>
      <c r="N686" s="42">
        <v>0</v>
      </c>
      <c r="O686">
        <v>0</v>
      </c>
    </row>
    <row r="687" spans="3:15" x14ac:dyDescent="0.15">
      <c r="C687" s="43" t="s">
        <v>743</v>
      </c>
      <c r="D687" s="42">
        <v>10</v>
      </c>
      <c r="E687" s="42">
        <v>134</v>
      </c>
      <c r="F687" s="42">
        <v>1</v>
      </c>
      <c r="G687" s="42">
        <v>4</v>
      </c>
      <c r="H687" s="42">
        <v>1</v>
      </c>
      <c r="I687" s="42">
        <v>0</v>
      </c>
      <c r="J687" s="42">
        <v>0</v>
      </c>
      <c r="K687" s="42">
        <v>0</v>
      </c>
      <c r="L687" s="42">
        <v>0</v>
      </c>
      <c r="M687" s="42">
        <v>0</v>
      </c>
      <c r="N687" s="42">
        <v>0</v>
      </c>
      <c r="O687">
        <v>0</v>
      </c>
    </row>
    <row r="688" spans="3:15" x14ac:dyDescent="0.15">
      <c r="C688" s="43" t="s">
        <v>744</v>
      </c>
      <c r="D688" s="42">
        <v>15</v>
      </c>
      <c r="E688" s="42">
        <v>173</v>
      </c>
      <c r="F688" s="42">
        <v>4</v>
      </c>
      <c r="G688" s="42">
        <v>6.6</v>
      </c>
      <c r="H688" s="42">
        <v>1</v>
      </c>
      <c r="I688" s="42">
        <v>0</v>
      </c>
      <c r="J688" s="42">
        <v>0</v>
      </c>
      <c r="K688" s="42">
        <v>0</v>
      </c>
      <c r="L688" s="42">
        <v>1</v>
      </c>
      <c r="M688" s="42">
        <v>1</v>
      </c>
      <c r="N688" s="42">
        <v>1</v>
      </c>
      <c r="O688">
        <v>1</v>
      </c>
    </row>
    <row r="689" spans="3:15" x14ac:dyDescent="0.15">
      <c r="C689" s="43" t="s">
        <v>745</v>
      </c>
      <c r="D689" s="42">
        <v>38</v>
      </c>
      <c r="E689" s="42">
        <v>115</v>
      </c>
      <c r="F689" s="42">
        <v>1</v>
      </c>
      <c r="G689" s="42">
        <v>2</v>
      </c>
      <c r="H689" s="42">
        <v>1</v>
      </c>
      <c r="I689" s="42">
        <v>0</v>
      </c>
      <c r="J689" s="42">
        <v>0</v>
      </c>
      <c r="K689" s="42">
        <v>0</v>
      </c>
      <c r="L689" s="42">
        <v>0</v>
      </c>
      <c r="M689" s="42">
        <v>1</v>
      </c>
      <c r="N689" s="42">
        <v>1</v>
      </c>
      <c r="O689">
        <v>0</v>
      </c>
    </row>
    <row r="690" spans="3:15" x14ac:dyDescent="0.15">
      <c r="C690" s="43" t="s">
        <v>746</v>
      </c>
      <c r="D690" s="42">
        <v>18</v>
      </c>
      <c r="E690" s="42">
        <v>83</v>
      </c>
      <c r="F690" s="42">
        <v>3</v>
      </c>
      <c r="G690" s="42">
        <v>0.5</v>
      </c>
      <c r="H690" s="42">
        <v>0</v>
      </c>
      <c r="I690" s="42">
        <v>0</v>
      </c>
      <c r="J690" s="42">
        <v>0</v>
      </c>
      <c r="K690" s="42">
        <v>0</v>
      </c>
      <c r="L690" s="42">
        <v>0</v>
      </c>
      <c r="M690" s="42">
        <v>0</v>
      </c>
      <c r="N690" s="42">
        <v>1</v>
      </c>
      <c r="O690">
        <v>0</v>
      </c>
    </row>
    <row r="691" spans="3:15" x14ac:dyDescent="0.15">
      <c r="C691" s="43" t="s">
        <v>747</v>
      </c>
      <c r="D691" s="42">
        <v>30</v>
      </c>
      <c r="E691" s="42">
        <v>45</v>
      </c>
      <c r="F691" s="42">
        <v>4</v>
      </c>
      <c r="G691" s="42">
        <v>1.1000000000000001</v>
      </c>
      <c r="H691" s="42">
        <v>0</v>
      </c>
      <c r="I691" s="42">
        <v>1</v>
      </c>
      <c r="J691" s="42">
        <v>205</v>
      </c>
      <c r="K691" s="42">
        <v>0</v>
      </c>
      <c r="L691" s="42">
        <v>0</v>
      </c>
      <c r="M691" s="42">
        <v>1</v>
      </c>
      <c r="N691" s="42">
        <v>0</v>
      </c>
      <c r="O691">
        <v>0</v>
      </c>
    </row>
    <row r="692" spans="3:15" x14ac:dyDescent="0.15">
      <c r="C692" s="43" t="s">
        <v>748</v>
      </c>
      <c r="D692" s="42">
        <v>11</v>
      </c>
      <c r="E692" s="42">
        <v>40</v>
      </c>
      <c r="F692" s="42">
        <v>2</v>
      </c>
      <c r="G692" s="42">
        <v>1.1000000000000001</v>
      </c>
      <c r="H692" s="42">
        <v>0</v>
      </c>
      <c r="I692" s="42">
        <v>1</v>
      </c>
      <c r="J692" s="42">
        <v>166</v>
      </c>
      <c r="K692" s="42">
        <v>1</v>
      </c>
      <c r="L692" s="42">
        <v>0</v>
      </c>
      <c r="M692" s="42">
        <v>0</v>
      </c>
      <c r="N692" s="42">
        <v>0</v>
      </c>
      <c r="O692">
        <v>0</v>
      </c>
    </row>
    <row r="693" spans="3:15" x14ac:dyDescent="0.15">
      <c r="C693" s="43" t="s">
        <v>749</v>
      </c>
      <c r="D693" s="42">
        <v>0</v>
      </c>
      <c r="E693" s="42">
        <v>65</v>
      </c>
      <c r="F693" s="42">
        <v>4</v>
      </c>
      <c r="G693" s="42">
        <v>0.2</v>
      </c>
      <c r="H693" s="42">
        <v>1</v>
      </c>
      <c r="I693" s="42">
        <v>0</v>
      </c>
      <c r="J693" s="42">
        <v>0</v>
      </c>
      <c r="K693" s="42">
        <v>1</v>
      </c>
      <c r="L693" s="42">
        <v>0</v>
      </c>
      <c r="M693" s="42">
        <v>0</v>
      </c>
      <c r="N693" s="42">
        <v>0</v>
      </c>
      <c r="O693">
        <v>0</v>
      </c>
    </row>
    <row r="694" spans="3:15" x14ac:dyDescent="0.15">
      <c r="C694" s="43" t="s">
        <v>750</v>
      </c>
      <c r="D694" s="42">
        <v>28</v>
      </c>
      <c r="E694" s="42">
        <v>145</v>
      </c>
      <c r="F694" s="42">
        <v>2</v>
      </c>
      <c r="G694" s="42">
        <v>6.8</v>
      </c>
      <c r="H694" s="42">
        <v>1</v>
      </c>
      <c r="I694" s="42">
        <v>0</v>
      </c>
      <c r="J694" s="42">
        <v>0</v>
      </c>
      <c r="K694" s="42">
        <v>0</v>
      </c>
      <c r="L694" s="42">
        <v>0</v>
      </c>
      <c r="M694" s="42">
        <v>1</v>
      </c>
      <c r="N694" s="42">
        <v>0</v>
      </c>
      <c r="O694">
        <v>0</v>
      </c>
    </row>
    <row r="695" spans="3:15" x14ac:dyDescent="0.15">
      <c r="C695" s="43" t="s">
        <v>751</v>
      </c>
      <c r="D695" s="42">
        <v>19</v>
      </c>
      <c r="E695" s="42">
        <v>22</v>
      </c>
      <c r="F695" s="42">
        <v>1</v>
      </c>
      <c r="G695" s="42">
        <v>0.2</v>
      </c>
      <c r="H695" s="42">
        <v>1</v>
      </c>
      <c r="I695" s="42">
        <v>0</v>
      </c>
      <c r="J695" s="42">
        <v>0</v>
      </c>
      <c r="K695" s="42">
        <v>0</v>
      </c>
      <c r="L695" s="42">
        <v>0</v>
      </c>
      <c r="M695" s="42">
        <v>1</v>
      </c>
      <c r="N695" s="42">
        <v>0</v>
      </c>
      <c r="O695">
        <v>0</v>
      </c>
    </row>
    <row r="696" spans="3:15" x14ac:dyDescent="0.15">
      <c r="C696" s="43" t="s">
        <v>752</v>
      </c>
      <c r="D696" s="42">
        <v>22</v>
      </c>
      <c r="E696" s="42">
        <v>71</v>
      </c>
      <c r="F696" s="42">
        <v>1</v>
      </c>
      <c r="G696" s="42">
        <v>1.4</v>
      </c>
      <c r="H696" s="42">
        <v>0</v>
      </c>
      <c r="I696" s="42">
        <v>0</v>
      </c>
      <c r="J696" s="42">
        <v>0</v>
      </c>
      <c r="K696" s="42">
        <v>0</v>
      </c>
      <c r="L696" s="42">
        <v>0</v>
      </c>
      <c r="M696" s="42">
        <v>0</v>
      </c>
      <c r="N696" s="42">
        <v>1</v>
      </c>
      <c r="O696">
        <v>0</v>
      </c>
    </row>
    <row r="697" spans="3:15" x14ac:dyDescent="0.15">
      <c r="C697" s="43" t="s">
        <v>753</v>
      </c>
      <c r="D697" s="42">
        <v>22</v>
      </c>
      <c r="E697" s="42">
        <v>93</v>
      </c>
      <c r="F697" s="42">
        <v>1</v>
      </c>
      <c r="G697" s="42">
        <v>0.2</v>
      </c>
      <c r="H697" s="42">
        <v>0</v>
      </c>
      <c r="I697" s="42">
        <v>1</v>
      </c>
      <c r="J697" s="42">
        <v>309</v>
      </c>
      <c r="K697" s="42">
        <v>0</v>
      </c>
      <c r="L697" s="42">
        <v>0</v>
      </c>
      <c r="M697" s="42">
        <v>1</v>
      </c>
      <c r="N697" s="42">
        <v>0</v>
      </c>
      <c r="O697">
        <v>0</v>
      </c>
    </row>
    <row r="698" spans="3:15" x14ac:dyDescent="0.15">
      <c r="C698" s="43" t="s">
        <v>754</v>
      </c>
      <c r="D698" s="42">
        <v>18</v>
      </c>
      <c r="E698" s="42">
        <v>40</v>
      </c>
      <c r="F698" s="42">
        <v>3</v>
      </c>
      <c r="G698" s="42">
        <v>1</v>
      </c>
      <c r="H698" s="42">
        <v>0</v>
      </c>
      <c r="I698" s="42">
        <v>1</v>
      </c>
      <c r="J698" s="42">
        <v>0</v>
      </c>
      <c r="K698" s="42">
        <v>0</v>
      </c>
      <c r="L698" s="42">
        <v>0</v>
      </c>
      <c r="M698" s="42">
        <v>1</v>
      </c>
      <c r="N698" s="42">
        <v>0</v>
      </c>
      <c r="O698">
        <v>0</v>
      </c>
    </row>
    <row r="699" spans="3:15" x14ac:dyDescent="0.15">
      <c r="C699" s="43" t="s">
        <v>755</v>
      </c>
      <c r="D699" s="42">
        <v>25</v>
      </c>
      <c r="E699" s="42">
        <v>53</v>
      </c>
      <c r="F699" s="42">
        <v>2</v>
      </c>
      <c r="G699" s="42">
        <v>1</v>
      </c>
      <c r="H699" s="42">
        <v>0</v>
      </c>
      <c r="I699" s="42">
        <v>0</v>
      </c>
      <c r="J699" s="42">
        <v>181</v>
      </c>
      <c r="K699" s="42">
        <v>0</v>
      </c>
      <c r="L699" s="42">
        <v>0</v>
      </c>
      <c r="M699" s="42">
        <v>0</v>
      </c>
      <c r="N699" s="42">
        <v>0</v>
      </c>
      <c r="O699">
        <v>0</v>
      </c>
    </row>
    <row r="700" spans="3:15" x14ac:dyDescent="0.15">
      <c r="C700" s="43" t="s">
        <v>756</v>
      </c>
      <c r="D700" s="42">
        <v>5</v>
      </c>
      <c r="E700" s="42">
        <v>32</v>
      </c>
      <c r="F700" s="42">
        <v>2</v>
      </c>
      <c r="G700" s="42">
        <v>0.3</v>
      </c>
      <c r="H700" s="42">
        <v>0</v>
      </c>
      <c r="I700" s="42">
        <v>1</v>
      </c>
      <c r="J700" s="42">
        <v>130</v>
      </c>
      <c r="K700" s="42">
        <v>0</v>
      </c>
      <c r="L700" s="42">
        <v>0</v>
      </c>
      <c r="M700" s="42">
        <v>1</v>
      </c>
      <c r="N700" s="42">
        <v>0</v>
      </c>
      <c r="O700">
        <v>0</v>
      </c>
    </row>
    <row r="701" spans="3:15" x14ac:dyDescent="0.15">
      <c r="C701" s="43" t="s">
        <v>757</v>
      </c>
      <c r="D701" s="42">
        <v>11</v>
      </c>
      <c r="E701" s="42">
        <v>42</v>
      </c>
      <c r="F701" s="42">
        <v>1</v>
      </c>
      <c r="G701" s="42">
        <v>1.5</v>
      </c>
      <c r="H701" s="42">
        <v>0</v>
      </c>
      <c r="I701" s="42">
        <v>0</v>
      </c>
      <c r="J701" s="42">
        <v>0</v>
      </c>
      <c r="K701" s="42">
        <v>0</v>
      </c>
      <c r="L701" s="42">
        <v>0</v>
      </c>
      <c r="M701" s="42">
        <v>1</v>
      </c>
      <c r="N701" s="42">
        <v>0</v>
      </c>
      <c r="O701">
        <v>0</v>
      </c>
    </row>
    <row r="702" spans="3:15" x14ac:dyDescent="0.15">
      <c r="C702" s="43" t="s">
        <v>758</v>
      </c>
      <c r="D702" s="42">
        <v>5</v>
      </c>
      <c r="E702" s="42">
        <v>82</v>
      </c>
      <c r="F702" s="42">
        <v>4</v>
      </c>
      <c r="G702" s="42">
        <v>2.2000000000000002</v>
      </c>
      <c r="H702" s="42">
        <v>0</v>
      </c>
      <c r="I702" s="42">
        <v>1</v>
      </c>
      <c r="J702" s="42">
        <v>0</v>
      </c>
      <c r="K702" s="42">
        <v>0</v>
      </c>
      <c r="L702" s="42">
        <v>0</v>
      </c>
      <c r="M702" s="42">
        <v>0</v>
      </c>
      <c r="N702" s="42">
        <v>0</v>
      </c>
      <c r="O702">
        <v>0</v>
      </c>
    </row>
    <row r="703" spans="3:15" x14ac:dyDescent="0.15">
      <c r="C703" s="43" t="s">
        <v>759</v>
      </c>
      <c r="D703" s="42">
        <v>13</v>
      </c>
      <c r="E703" s="42">
        <v>58</v>
      </c>
      <c r="F703" s="42">
        <v>2</v>
      </c>
      <c r="G703" s="42">
        <v>2.4</v>
      </c>
      <c r="H703" s="42">
        <v>0</v>
      </c>
      <c r="I703" s="42">
        <v>1</v>
      </c>
      <c r="J703" s="42">
        <v>0</v>
      </c>
      <c r="K703" s="42">
        <v>0</v>
      </c>
      <c r="L703" s="42">
        <v>0</v>
      </c>
      <c r="M703" s="42">
        <v>1</v>
      </c>
      <c r="N703" s="42">
        <v>0</v>
      </c>
      <c r="O703">
        <v>0</v>
      </c>
    </row>
    <row r="704" spans="3:15" x14ac:dyDescent="0.15">
      <c r="C704" s="43" t="s">
        <v>760</v>
      </c>
      <c r="D704" s="42">
        <v>32</v>
      </c>
      <c r="E704" s="42">
        <v>34</v>
      </c>
      <c r="F704" s="42">
        <v>2</v>
      </c>
      <c r="G704" s="42">
        <v>2</v>
      </c>
      <c r="H704" s="42">
        <v>0</v>
      </c>
      <c r="I704" s="42">
        <v>1</v>
      </c>
      <c r="J704" s="42">
        <v>0</v>
      </c>
      <c r="K704" s="42">
        <v>1</v>
      </c>
      <c r="L704" s="42">
        <v>0</v>
      </c>
      <c r="M704" s="42">
        <v>0</v>
      </c>
      <c r="N704" s="42">
        <v>0</v>
      </c>
      <c r="O704">
        <v>0</v>
      </c>
    </row>
    <row r="705" spans="3:15" x14ac:dyDescent="0.15">
      <c r="C705" s="43" t="s">
        <v>761</v>
      </c>
      <c r="D705" s="42">
        <v>35</v>
      </c>
      <c r="E705" s="42">
        <v>121</v>
      </c>
      <c r="F705" s="42">
        <v>1</v>
      </c>
      <c r="G705" s="42">
        <v>2.9</v>
      </c>
      <c r="H705" s="42">
        <v>1</v>
      </c>
      <c r="I705" s="42">
        <v>0</v>
      </c>
      <c r="J705" s="42">
        <v>0</v>
      </c>
      <c r="K705" s="42">
        <v>0</v>
      </c>
      <c r="L705" s="42">
        <v>0</v>
      </c>
      <c r="M705" s="42">
        <v>0</v>
      </c>
      <c r="N705" s="42">
        <v>1</v>
      </c>
      <c r="O705">
        <v>0</v>
      </c>
    </row>
    <row r="706" spans="3:15" x14ac:dyDescent="0.15">
      <c r="C706" s="43" t="s">
        <v>762</v>
      </c>
      <c r="D706" s="42">
        <v>11</v>
      </c>
      <c r="E706" s="42">
        <v>183</v>
      </c>
      <c r="F706" s="42">
        <v>1</v>
      </c>
      <c r="G706" s="42">
        <v>3</v>
      </c>
      <c r="H706" s="42">
        <v>0</v>
      </c>
      <c r="I706" s="42">
        <v>0</v>
      </c>
      <c r="J706" s="42">
        <v>0</v>
      </c>
      <c r="K706" s="42">
        <v>0</v>
      </c>
      <c r="L706" s="42">
        <v>1</v>
      </c>
      <c r="M706" s="42">
        <v>1</v>
      </c>
      <c r="N706" s="42">
        <v>1</v>
      </c>
      <c r="O706">
        <v>1</v>
      </c>
    </row>
    <row r="707" spans="3:15" x14ac:dyDescent="0.15">
      <c r="C707" s="43" t="s">
        <v>763</v>
      </c>
      <c r="D707" s="42">
        <v>5</v>
      </c>
      <c r="E707" s="42">
        <v>121</v>
      </c>
      <c r="F707" s="42">
        <v>2</v>
      </c>
      <c r="G707" s="42">
        <v>3.3</v>
      </c>
      <c r="H707" s="42">
        <v>1</v>
      </c>
      <c r="I707" s="42">
        <v>0</v>
      </c>
      <c r="J707" s="42">
        <v>0</v>
      </c>
      <c r="K707" s="42">
        <v>0</v>
      </c>
      <c r="L707" s="42">
        <v>0</v>
      </c>
      <c r="M707" s="42">
        <v>0</v>
      </c>
      <c r="N707" s="42">
        <v>1</v>
      </c>
      <c r="O707">
        <v>0</v>
      </c>
    </row>
    <row r="708" spans="3:15" x14ac:dyDescent="0.15">
      <c r="C708" s="43" t="s">
        <v>764</v>
      </c>
      <c r="D708" s="42">
        <v>39</v>
      </c>
      <c r="E708" s="42">
        <v>38</v>
      </c>
      <c r="F708" s="42">
        <v>1</v>
      </c>
      <c r="G708" s="42">
        <v>1.1000000000000001</v>
      </c>
      <c r="H708" s="42">
        <v>0</v>
      </c>
      <c r="I708" s="42">
        <v>0</v>
      </c>
      <c r="J708" s="42">
        <v>108</v>
      </c>
      <c r="K708" s="42">
        <v>0</v>
      </c>
      <c r="L708" s="42">
        <v>0</v>
      </c>
      <c r="M708" s="42">
        <v>0</v>
      </c>
      <c r="N708" s="42">
        <v>0</v>
      </c>
      <c r="O708">
        <v>0</v>
      </c>
    </row>
    <row r="709" spans="3:15" x14ac:dyDescent="0.15">
      <c r="C709" s="43" t="s">
        <v>765</v>
      </c>
      <c r="D709" s="42">
        <v>6</v>
      </c>
      <c r="E709" s="42">
        <v>49</v>
      </c>
      <c r="F709" s="42">
        <v>3</v>
      </c>
      <c r="G709" s="42">
        <v>0.7</v>
      </c>
      <c r="H709" s="42">
        <v>0</v>
      </c>
      <c r="I709" s="42">
        <v>1</v>
      </c>
      <c r="J709" s="42">
        <v>196</v>
      </c>
      <c r="K709" s="42">
        <v>0</v>
      </c>
      <c r="L709" s="42">
        <v>0</v>
      </c>
      <c r="M709" s="42">
        <v>0</v>
      </c>
      <c r="N709" s="42">
        <v>1</v>
      </c>
      <c r="O709">
        <v>0</v>
      </c>
    </row>
    <row r="710" spans="3:15" x14ac:dyDescent="0.15">
      <c r="C710" s="43" t="s">
        <v>766</v>
      </c>
      <c r="D710" s="42">
        <v>31</v>
      </c>
      <c r="E710" s="42">
        <v>62</v>
      </c>
      <c r="F710" s="42">
        <v>1</v>
      </c>
      <c r="G710" s="42">
        <v>1.8</v>
      </c>
      <c r="H710" s="42">
        <v>0</v>
      </c>
      <c r="I710" s="42">
        <v>0</v>
      </c>
      <c r="J710" s="42">
        <v>0</v>
      </c>
      <c r="K710" s="42">
        <v>0</v>
      </c>
      <c r="L710" s="42">
        <v>0</v>
      </c>
      <c r="M710" s="42">
        <v>1</v>
      </c>
      <c r="N710" s="42">
        <v>0</v>
      </c>
      <c r="O710">
        <v>0</v>
      </c>
    </row>
    <row r="711" spans="3:15" x14ac:dyDescent="0.15">
      <c r="C711" s="43" t="s">
        <v>767</v>
      </c>
      <c r="D711" s="42">
        <v>38</v>
      </c>
      <c r="E711" s="42">
        <v>53</v>
      </c>
      <c r="F711" s="42">
        <v>1</v>
      </c>
      <c r="G711" s="42">
        <v>0</v>
      </c>
      <c r="H711" s="42">
        <v>0</v>
      </c>
      <c r="I711" s="42">
        <v>1</v>
      </c>
      <c r="J711" s="42">
        <v>0</v>
      </c>
      <c r="K711" s="42">
        <v>0</v>
      </c>
      <c r="L711" s="42">
        <v>0</v>
      </c>
      <c r="M711" s="42">
        <v>0</v>
      </c>
      <c r="N711" s="42">
        <v>0</v>
      </c>
      <c r="O711">
        <v>0</v>
      </c>
    </row>
    <row r="712" spans="3:15" x14ac:dyDescent="0.15">
      <c r="C712" s="43" t="s">
        <v>768</v>
      </c>
      <c r="D712" s="42">
        <v>36</v>
      </c>
      <c r="E712" s="42">
        <v>51</v>
      </c>
      <c r="F712" s="42">
        <v>3</v>
      </c>
      <c r="G712" s="42">
        <v>1.5</v>
      </c>
      <c r="H712" s="42">
        <v>1</v>
      </c>
      <c r="I712" s="42">
        <v>0</v>
      </c>
      <c r="J712" s="42">
        <v>0</v>
      </c>
      <c r="K712" s="42">
        <v>0</v>
      </c>
      <c r="L712" s="42">
        <v>0</v>
      </c>
      <c r="M712" s="42">
        <v>0</v>
      </c>
      <c r="N712" s="42">
        <v>1</v>
      </c>
      <c r="O712">
        <v>0</v>
      </c>
    </row>
    <row r="713" spans="3:15" x14ac:dyDescent="0.15">
      <c r="C713" s="43" t="s">
        <v>769</v>
      </c>
      <c r="D713" s="42">
        <v>24</v>
      </c>
      <c r="E713" s="42">
        <v>173</v>
      </c>
      <c r="F713" s="42">
        <v>1</v>
      </c>
      <c r="G713" s="42">
        <v>1</v>
      </c>
      <c r="H713" s="42">
        <v>1</v>
      </c>
      <c r="I713" s="42">
        <v>0</v>
      </c>
      <c r="J713" s="42">
        <v>0</v>
      </c>
      <c r="K713" s="42">
        <v>0</v>
      </c>
      <c r="L713" s="42">
        <v>0</v>
      </c>
      <c r="M713" s="42">
        <v>1</v>
      </c>
      <c r="N713" s="42">
        <v>1</v>
      </c>
      <c r="O713">
        <v>0</v>
      </c>
    </row>
    <row r="714" spans="3:15" x14ac:dyDescent="0.15">
      <c r="C714" s="43" t="s">
        <v>770</v>
      </c>
      <c r="D714" s="42">
        <v>1</v>
      </c>
      <c r="E714" s="42">
        <v>70</v>
      </c>
      <c r="F714" s="42">
        <v>4</v>
      </c>
      <c r="G714" s="42">
        <v>2.6</v>
      </c>
      <c r="H714" s="42">
        <v>1</v>
      </c>
      <c r="I714" s="42">
        <v>0</v>
      </c>
      <c r="J714" s="42">
        <v>218</v>
      </c>
      <c r="K714" s="42">
        <v>0</v>
      </c>
      <c r="L714" s="42">
        <v>0</v>
      </c>
      <c r="M714" s="42">
        <v>1</v>
      </c>
      <c r="N714" s="42">
        <v>0</v>
      </c>
      <c r="O714">
        <v>0</v>
      </c>
    </row>
    <row r="715" spans="3:15" x14ac:dyDescent="0.15">
      <c r="C715" s="43" t="s">
        <v>771</v>
      </c>
      <c r="D715" s="42">
        <v>15</v>
      </c>
      <c r="E715" s="42">
        <v>38</v>
      </c>
      <c r="F715" s="42">
        <v>2</v>
      </c>
      <c r="G715" s="42">
        <v>0.7</v>
      </c>
      <c r="H715" s="42">
        <v>1</v>
      </c>
      <c r="I715" s="42">
        <v>0</v>
      </c>
      <c r="J715" s="42">
        <v>91</v>
      </c>
      <c r="K715" s="42">
        <v>0</v>
      </c>
      <c r="L715" s="42">
        <v>0</v>
      </c>
      <c r="M715" s="42">
        <v>1</v>
      </c>
      <c r="N715" s="42">
        <v>0</v>
      </c>
      <c r="O715">
        <v>0</v>
      </c>
    </row>
    <row r="716" spans="3:15" x14ac:dyDescent="0.15">
      <c r="C716" s="43" t="s">
        <v>772</v>
      </c>
      <c r="D716" s="42">
        <v>39</v>
      </c>
      <c r="E716" s="42">
        <v>23</v>
      </c>
      <c r="F716" s="42">
        <v>3</v>
      </c>
      <c r="G716" s="42">
        <v>0.7</v>
      </c>
      <c r="H716" s="42">
        <v>0</v>
      </c>
      <c r="I716" s="42">
        <v>1</v>
      </c>
      <c r="J716" s="42">
        <v>0</v>
      </c>
      <c r="K716" s="42">
        <v>0</v>
      </c>
      <c r="L716" s="42">
        <v>0</v>
      </c>
      <c r="M716" s="42">
        <v>0</v>
      </c>
      <c r="N716" s="42">
        <v>1</v>
      </c>
      <c r="O716">
        <v>0</v>
      </c>
    </row>
    <row r="717" spans="3:15" x14ac:dyDescent="0.15">
      <c r="C717" s="43" t="s">
        <v>773</v>
      </c>
      <c r="D717" s="42">
        <v>16</v>
      </c>
      <c r="E717" s="42">
        <v>155</v>
      </c>
      <c r="F717" s="42">
        <v>4</v>
      </c>
      <c r="G717" s="42">
        <v>0.1</v>
      </c>
      <c r="H717" s="42">
        <v>0</v>
      </c>
      <c r="I717" s="42">
        <v>0</v>
      </c>
      <c r="J717" s="42">
        <v>0</v>
      </c>
      <c r="K717" s="42">
        <v>0</v>
      </c>
      <c r="L717" s="42">
        <v>1</v>
      </c>
      <c r="M717" s="42">
        <v>1</v>
      </c>
      <c r="N717" s="42">
        <v>1</v>
      </c>
      <c r="O717">
        <v>1</v>
      </c>
    </row>
    <row r="718" spans="3:15" x14ac:dyDescent="0.15">
      <c r="C718" s="43" t="s">
        <v>774</v>
      </c>
      <c r="D718" s="42">
        <v>23</v>
      </c>
      <c r="E718" s="42">
        <v>22</v>
      </c>
      <c r="F718" s="42">
        <v>1</v>
      </c>
      <c r="G718" s="42">
        <v>1</v>
      </c>
      <c r="H718" s="42">
        <v>1</v>
      </c>
      <c r="I718" s="42">
        <v>0</v>
      </c>
      <c r="J718" s="42">
        <v>0</v>
      </c>
      <c r="K718" s="42">
        <v>0</v>
      </c>
      <c r="L718" s="42">
        <v>0</v>
      </c>
      <c r="M718" s="42">
        <v>0</v>
      </c>
      <c r="N718" s="42">
        <v>1</v>
      </c>
      <c r="O718">
        <v>0</v>
      </c>
    </row>
    <row r="719" spans="3:15" x14ac:dyDescent="0.15">
      <c r="C719" s="43" t="s">
        <v>775</v>
      </c>
      <c r="D719" s="42">
        <v>34</v>
      </c>
      <c r="E719" s="42">
        <v>61</v>
      </c>
      <c r="F719" s="42">
        <v>4</v>
      </c>
      <c r="G719" s="42">
        <v>1.7</v>
      </c>
      <c r="H719" s="42">
        <v>0</v>
      </c>
      <c r="I719" s="42">
        <v>1</v>
      </c>
      <c r="J719" s="42">
        <v>229</v>
      </c>
      <c r="K719" s="42">
        <v>0</v>
      </c>
      <c r="L719" s="42">
        <v>0</v>
      </c>
      <c r="M719" s="42">
        <v>0</v>
      </c>
      <c r="N719" s="42">
        <v>0</v>
      </c>
      <c r="O719">
        <v>0</v>
      </c>
    </row>
    <row r="720" spans="3:15" x14ac:dyDescent="0.15">
      <c r="C720" s="43" t="s">
        <v>776</v>
      </c>
      <c r="D720" s="42">
        <v>5</v>
      </c>
      <c r="E720" s="42">
        <v>138</v>
      </c>
      <c r="F720" s="42">
        <v>2</v>
      </c>
      <c r="G720" s="42">
        <v>4.333333333333333</v>
      </c>
      <c r="H720" s="42">
        <v>1</v>
      </c>
      <c r="I720" s="42">
        <v>0</v>
      </c>
      <c r="J720" s="42">
        <v>0</v>
      </c>
      <c r="K720" s="42">
        <v>0</v>
      </c>
      <c r="L720" s="42">
        <v>0</v>
      </c>
      <c r="M720" s="42">
        <v>1</v>
      </c>
      <c r="N720" s="42">
        <v>0</v>
      </c>
      <c r="O720">
        <v>0</v>
      </c>
    </row>
    <row r="721" spans="3:15" x14ac:dyDescent="0.15">
      <c r="C721" s="43" t="s">
        <v>777</v>
      </c>
      <c r="D721" s="42">
        <v>33</v>
      </c>
      <c r="E721" s="42">
        <v>23</v>
      </c>
      <c r="F721" s="42">
        <v>3</v>
      </c>
      <c r="G721" s="42">
        <v>0.2</v>
      </c>
      <c r="H721" s="42">
        <v>1</v>
      </c>
      <c r="I721" s="42">
        <v>0</v>
      </c>
      <c r="J721" s="42">
        <v>0</v>
      </c>
      <c r="K721" s="42">
        <v>0</v>
      </c>
      <c r="L721" s="42">
        <v>0</v>
      </c>
      <c r="M721" s="42">
        <v>0</v>
      </c>
      <c r="N721" s="42">
        <v>0</v>
      </c>
      <c r="O721">
        <v>0</v>
      </c>
    </row>
    <row r="722" spans="3:15" x14ac:dyDescent="0.15">
      <c r="C722" s="43" t="s">
        <v>778</v>
      </c>
      <c r="D722" s="42">
        <v>36</v>
      </c>
      <c r="E722" s="42">
        <v>23</v>
      </c>
      <c r="F722" s="42">
        <v>2</v>
      </c>
      <c r="G722" s="42">
        <v>0.5</v>
      </c>
      <c r="H722" s="42">
        <v>0</v>
      </c>
      <c r="I722" s="42">
        <v>1</v>
      </c>
      <c r="J722" s="42">
        <v>103</v>
      </c>
      <c r="K722" s="42">
        <v>0</v>
      </c>
      <c r="L722" s="42">
        <v>0</v>
      </c>
      <c r="M722" s="42">
        <v>1</v>
      </c>
      <c r="N722" s="42">
        <v>0</v>
      </c>
      <c r="O722">
        <v>0</v>
      </c>
    </row>
    <row r="723" spans="3:15" x14ac:dyDescent="0.15">
      <c r="C723" s="43" t="s">
        <v>779</v>
      </c>
      <c r="D723" s="42">
        <v>17</v>
      </c>
      <c r="E723" s="42">
        <v>121</v>
      </c>
      <c r="F723" s="42">
        <v>1</v>
      </c>
      <c r="G723" s="42">
        <v>0.3</v>
      </c>
      <c r="H723" s="42">
        <v>1</v>
      </c>
      <c r="I723" s="42">
        <v>0</v>
      </c>
      <c r="J723" s="42">
        <v>0</v>
      </c>
      <c r="K723" s="42">
        <v>0</v>
      </c>
      <c r="L723" s="42">
        <v>0</v>
      </c>
      <c r="M723" s="42">
        <v>1</v>
      </c>
      <c r="N723" s="42">
        <v>0</v>
      </c>
      <c r="O723">
        <v>0</v>
      </c>
    </row>
    <row r="724" spans="3:15" x14ac:dyDescent="0.15">
      <c r="C724" s="43" t="s">
        <v>780</v>
      </c>
      <c r="D724" s="42">
        <v>23</v>
      </c>
      <c r="E724" s="42">
        <v>84</v>
      </c>
      <c r="F724" s="42">
        <v>4</v>
      </c>
      <c r="G724" s="42">
        <v>3.1</v>
      </c>
      <c r="H724" s="42">
        <v>0</v>
      </c>
      <c r="I724" s="42">
        <v>1</v>
      </c>
      <c r="J724" s="42">
        <v>0</v>
      </c>
      <c r="K724" s="42">
        <v>1</v>
      </c>
      <c r="L724" s="42">
        <v>1</v>
      </c>
      <c r="M724" s="42">
        <v>1</v>
      </c>
      <c r="N724" s="42">
        <v>0</v>
      </c>
      <c r="O724">
        <v>1</v>
      </c>
    </row>
    <row r="725" spans="3:15" x14ac:dyDescent="0.15">
      <c r="C725" s="43" t="s">
        <v>781</v>
      </c>
      <c r="D725" s="42">
        <v>13</v>
      </c>
      <c r="E725" s="42">
        <v>62</v>
      </c>
      <c r="F725" s="42">
        <v>3</v>
      </c>
      <c r="G725" s="42">
        <v>0.7</v>
      </c>
      <c r="H725" s="42">
        <v>0</v>
      </c>
      <c r="I725" s="42">
        <v>1</v>
      </c>
      <c r="J725" s="42">
        <v>0</v>
      </c>
      <c r="K725" s="42">
        <v>1</v>
      </c>
      <c r="L725" s="42">
        <v>0</v>
      </c>
      <c r="M725" s="42">
        <v>1</v>
      </c>
      <c r="N725" s="42">
        <v>0</v>
      </c>
      <c r="O725">
        <v>0</v>
      </c>
    </row>
    <row r="726" spans="3:15" x14ac:dyDescent="0.15">
      <c r="C726" s="43" t="s">
        <v>782</v>
      </c>
      <c r="D726" s="42">
        <v>3</v>
      </c>
      <c r="E726" s="42">
        <v>121</v>
      </c>
      <c r="F726" s="42">
        <v>2</v>
      </c>
      <c r="G726" s="42">
        <v>1.3</v>
      </c>
      <c r="H726" s="42">
        <v>1</v>
      </c>
      <c r="I726" s="42">
        <v>0</v>
      </c>
      <c r="J726" s="42">
        <v>0</v>
      </c>
      <c r="K726" s="42">
        <v>0</v>
      </c>
      <c r="L726" s="42">
        <v>0</v>
      </c>
      <c r="M726" s="42">
        <v>0</v>
      </c>
      <c r="N726" s="42">
        <v>0</v>
      </c>
      <c r="O726">
        <v>0</v>
      </c>
    </row>
    <row r="727" spans="3:15" x14ac:dyDescent="0.15">
      <c r="C727" s="43" t="s">
        <v>783</v>
      </c>
      <c r="D727" s="42">
        <v>30</v>
      </c>
      <c r="E727" s="42">
        <v>39</v>
      </c>
      <c r="F727" s="42">
        <v>2</v>
      </c>
      <c r="G727" s="42">
        <v>0.8</v>
      </c>
      <c r="H727" s="42">
        <v>1</v>
      </c>
      <c r="I727" s="42">
        <v>0</v>
      </c>
      <c r="J727" s="42">
        <v>0</v>
      </c>
      <c r="K727" s="42">
        <v>0</v>
      </c>
      <c r="L727" s="42">
        <v>0</v>
      </c>
      <c r="M727" s="42">
        <v>0</v>
      </c>
      <c r="N727" s="42">
        <v>1</v>
      </c>
      <c r="O727">
        <v>0</v>
      </c>
    </row>
    <row r="728" spans="3:15" x14ac:dyDescent="0.15">
      <c r="C728" s="43" t="s">
        <v>784</v>
      </c>
      <c r="D728" s="42">
        <v>5</v>
      </c>
      <c r="E728" s="42">
        <v>115</v>
      </c>
      <c r="F728" s="42">
        <v>2</v>
      </c>
      <c r="G728" s="42">
        <v>1.3</v>
      </c>
      <c r="H728" s="42">
        <v>1</v>
      </c>
      <c r="I728" s="42">
        <v>0</v>
      </c>
      <c r="J728" s="42">
        <v>101</v>
      </c>
      <c r="K728" s="42">
        <v>0</v>
      </c>
      <c r="L728" s="42">
        <v>0</v>
      </c>
      <c r="M728" s="42">
        <v>1</v>
      </c>
      <c r="N728" s="42">
        <v>1</v>
      </c>
      <c r="O728">
        <v>0</v>
      </c>
    </row>
    <row r="729" spans="3:15" x14ac:dyDescent="0.15">
      <c r="C729" s="43" t="s">
        <v>785</v>
      </c>
      <c r="D729" s="42">
        <v>38</v>
      </c>
      <c r="E729" s="42">
        <v>83</v>
      </c>
      <c r="F729" s="42">
        <v>3</v>
      </c>
      <c r="G729" s="42">
        <v>1.8</v>
      </c>
      <c r="H729" s="42">
        <v>0</v>
      </c>
      <c r="I729" s="42">
        <v>1</v>
      </c>
      <c r="J729" s="42">
        <v>0</v>
      </c>
      <c r="K729" s="42">
        <v>0</v>
      </c>
      <c r="L729" s="42">
        <v>0</v>
      </c>
      <c r="M729" s="42">
        <v>1</v>
      </c>
      <c r="N729" s="42">
        <v>0</v>
      </c>
      <c r="O729">
        <v>0</v>
      </c>
    </row>
    <row r="730" spans="3:15" x14ac:dyDescent="0.15">
      <c r="C730" s="43" t="s">
        <v>786</v>
      </c>
      <c r="D730" s="42">
        <v>14</v>
      </c>
      <c r="E730" s="42">
        <v>74</v>
      </c>
      <c r="F730" s="42">
        <v>1</v>
      </c>
      <c r="G730" s="42">
        <v>3.6</v>
      </c>
      <c r="H730" s="42">
        <v>0</v>
      </c>
      <c r="I730" s="42">
        <v>1</v>
      </c>
      <c r="J730" s="42">
        <v>0</v>
      </c>
      <c r="K730" s="42">
        <v>0</v>
      </c>
      <c r="L730" s="42">
        <v>0</v>
      </c>
      <c r="M730" s="42">
        <v>1</v>
      </c>
      <c r="N730" s="42">
        <v>1</v>
      </c>
      <c r="O730">
        <v>0</v>
      </c>
    </row>
    <row r="731" spans="3:15" x14ac:dyDescent="0.15">
      <c r="C731" s="43" t="s">
        <v>787</v>
      </c>
      <c r="D731" s="42">
        <v>25</v>
      </c>
      <c r="E731" s="42">
        <v>85</v>
      </c>
      <c r="F731" s="42">
        <v>4</v>
      </c>
      <c r="G731" s="42">
        <v>4.9000000000000004</v>
      </c>
      <c r="H731" s="42">
        <v>1</v>
      </c>
      <c r="I731" s="42">
        <v>0</v>
      </c>
      <c r="J731" s="42">
        <v>0</v>
      </c>
      <c r="K731" s="42">
        <v>0</v>
      </c>
      <c r="L731" s="42">
        <v>0</v>
      </c>
      <c r="M731" s="42">
        <v>1</v>
      </c>
      <c r="N731" s="42">
        <v>1</v>
      </c>
      <c r="O731">
        <v>0</v>
      </c>
    </row>
    <row r="732" spans="3:15" x14ac:dyDescent="0.15">
      <c r="C732" s="43" t="s">
        <v>788</v>
      </c>
      <c r="D732" s="42">
        <v>18</v>
      </c>
      <c r="E732" s="42">
        <v>72</v>
      </c>
      <c r="F732" s="42">
        <v>1</v>
      </c>
      <c r="G732" s="42">
        <v>0.7</v>
      </c>
      <c r="H732" s="42">
        <v>0</v>
      </c>
      <c r="I732" s="42">
        <v>0</v>
      </c>
      <c r="J732" s="42">
        <v>155</v>
      </c>
      <c r="K732" s="42">
        <v>0</v>
      </c>
      <c r="L732" s="42">
        <v>0</v>
      </c>
      <c r="M732" s="42">
        <v>0</v>
      </c>
      <c r="N732" s="42">
        <v>0</v>
      </c>
      <c r="O732">
        <v>0</v>
      </c>
    </row>
    <row r="733" spans="3:15" x14ac:dyDescent="0.15">
      <c r="C733" s="43" t="s">
        <v>789</v>
      </c>
      <c r="D733" s="42">
        <v>35</v>
      </c>
      <c r="E733" s="42">
        <v>30</v>
      </c>
      <c r="F733" s="42">
        <v>2</v>
      </c>
      <c r="G733" s="42">
        <v>0.2</v>
      </c>
      <c r="H733" s="42">
        <v>0</v>
      </c>
      <c r="I733" s="42">
        <v>0</v>
      </c>
      <c r="J733" s="42">
        <v>0</v>
      </c>
      <c r="K733" s="42">
        <v>0</v>
      </c>
      <c r="L733" s="42">
        <v>0</v>
      </c>
      <c r="M733" s="42">
        <v>1</v>
      </c>
      <c r="N733" s="42">
        <v>0</v>
      </c>
      <c r="O733">
        <v>0</v>
      </c>
    </row>
    <row r="734" spans="3:15" x14ac:dyDescent="0.15">
      <c r="C734" s="43" t="s">
        <v>790</v>
      </c>
      <c r="D734" s="42">
        <v>4</v>
      </c>
      <c r="E734" s="42">
        <v>130</v>
      </c>
      <c r="F734" s="42">
        <v>2</v>
      </c>
      <c r="G734" s="42">
        <v>6.7</v>
      </c>
      <c r="H734" s="42">
        <v>1</v>
      </c>
      <c r="I734" s="42">
        <v>0</v>
      </c>
      <c r="J734" s="42">
        <v>0</v>
      </c>
      <c r="K734" s="42">
        <v>0</v>
      </c>
      <c r="L734" s="42">
        <v>0</v>
      </c>
      <c r="M734" s="42">
        <v>0</v>
      </c>
      <c r="N734" s="42">
        <v>1</v>
      </c>
      <c r="O734">
        <v>0</v>
      </c>
    </row>
    <row r="735" spans="3:15" x14ac:dyDescent="0.15">
      <c r="C735" s="43" t="s">
        <v>791</v>
      </c>
      <c r="D735" s="42">
        <v>19</v>
      </c>
      <c r="E735" s="42">
        <v>153</v>
      </c>
      <c r="F735" s="42">
        <v>2</v>
      </c>
      <c r="G735" s="42">
        <v>7.5</v>
      </c>
      <c r="H735" s="42">
        <v>1</v>
      </c>
      <c r="I735" s="42">
        <v>0</v>
      </c>
      <c r="J735" s="42">
        <v>0</v>
      </c>
      <c r="K735" s="42">
        <v>0</v>
      </c>
      <c r="L735" s="42">
        <v>0</v>
      </c>
      <c r="M735" s="42">
        <v>1</v>
      </c>
      <c r="N735" s="42">
        <v>0</v>
      </c>
      <c r="O735">
        <v>0</v>
      </c>
    </row>
    <row r="736" spans="3:15" x14ac:dyDescent="0.15">
      <c r="C736" s="43" t="s">
        <v>792</v>
      </c>
      <c r="D736" s="42">
        <v>26</v>
      </c>
      <c r="E736" s="42">
        <v>48</v>
      </c>
      <c r="F736" s="42">
        <v>1</v>
      </c>
      <c r="G736" s="42">
        <v>1.6</v>
      </c>
      <c r="H736" s="42">
        <v>0</v>
      </c>
      <c r="I736" s="42">
        <v>1</v>
      </c>
      <c r="J736" s="42">
        <v>0</v>
      </c>
      <c r="K736" s="42">
        <v>0</v>
      </c>
      <c r="L736" s="42">
        <v>0</v>
      </c>
      <c r="M736" s="42">
        <v>0</v>
      </c>
      <c r="N736" s="42">
        <v>1</v>
      </c>
      <c r="O736">
        <v>0</v>
      </c>
    </row>
    <row r="737" spans="3:15" x14ac:dyDescent="0.15">
      <c r="C737" s="43" t="s">
        <v>793</v>
      </c>
      <c r="D737" s="42">
        <v>16</v>
      </c>
      <c r="E737" s="42">
        <v>120</v>
      </c>
      <c r="F737" s="42">
        <v>2</v>
      </c>
      <c r="G737" s="42">
        <v>6.1</v>
      </c>
      <c r="H737" s="42">
        <v>1</v>
      </c>
      <c r="I737" s="42">
        <v>0</v>
      </c>
      <c r="J737" s="42">
        <v>196</v>
      </c>
      <c r="K737" s="42">
        <v>0</v>
      </c>
      <c r="L737" s="42">
        <v>0</v>
      </c>
      <c r="M737" s="42">
        <v>1</v>
      </c>
      <c r="N737" s="42">
        <v>0</v>
      </c>
      <c r="O737">
        <v>0</v>
      </c>
    </row>
    <row r="738" spans="3:15" x14ac:dyDescent="0.15">
      <c r="C738" s="43" t="s">
        <v>794</v>
      </c>
      <c r="D738" s="42">
        <v>0</v>
      </c>
      <c r="E738" s="42">
        <v>14</v>
      </c>
      <c r="F738" s="42">
        <v>4</v>
      </c>
      <c r="G738" s="42">
        <v>0.4</v>
      </c>
      <c r="H738" s="42">
        <v>1</v>
      </c>
      <c r="I738" s="42">
        <v>0</v>
      </c>
      <c r="J738" s="42">
        <v>94</v>
      </c>
      <c r="K738" s="42">
        <v>0</v>
      </c>
      <c r="L738" s="42">
        <v>0</v>
      </c>
      <c r="M738" s="42">
        <v>1</v>
      </c>
      <c r="N738" s="42">
        <v>0</v>
      </c>
      <c r="O738">
        <v>0</v>
      </c>
    </row>
    <row r="739" spans="3:15" x14ac:dyDescent="0.15">
      <c r="C739" s="43" t="s">
        <v>795</v>
      </c>
      <c r="D739" s="42">
        <v>27</v>
      </c>
      <c r="E739" s="42">
        <v>58</v>
      </c>
      <c r="F739" s="42">
        <v>1</v>
      </c>
      <c r="G739" s="42">
        <v>0</v>
      </c>
      <c r="H739" s="42">
        <v>1</v>
      </c>
      <c r="I739" s="42">
        <v>0</v>
      </c>
      <c r="J739" s="42">
        <v>0</v>
      </c>
      <c r="K739" s="42">
        <v>0</v>
      </c>
      <c r="L739" s="42">
        <v>0</v>
      </c>
      <c r="M739" s="42">
        <v>0</v>
      </c>
      <c r="N739" s="42">
        <v>1</v>
      </c>
      <c r="O739">
        <v>0</v>
      </c>
    </row>
    <row r="740" spans="3:15" x14ac:dyDescent="0.15">
      <c r="C740" s="43" t="s">
        <v>796</v>
      </c>
      <c r="D740" s="42">
        <v>24</v>
      </c>
      <c r="E740" s="42">
        <v>189</v>
      </c>
      <c r="F740" s="42">
        <v>4</v>
      </c>
      <c r="G740" s="42">
        <v>4.75</v>
      </c>
      <c r="H740" s="42">
        <v>0</v>
      </c>
      <c r="I740" s="42">
        <v>1</v>
      </c>
      <c r="J740" s="42">
        <v>0</v>
      </c>
      <c r="K740" s="42">
        <v>0</v>
      </c>
      <c r="L740" s="42">
        <v>0</v>
      </c>
      <c r="M740" s="42">
        <v>1</v>
      </c>
      <c r="N740" s="42">
        <v>0</v>
      </c>
      <c r="O740">
        <v>1</v>
      </c>
    </row>
    <row r="741" spans="3:15" x14ac:dyDescent="0.15">
      <c r="C741" s="43" t="s">
        <v>797</v>
      </c>
      <c r="D741" s="42">
        <v>14</v>
      </c>
      <c r="E741" s="42">
        <v>70</v>
      </c>
      <c r="F741" s="42">
        <v>3</v>
      </c>
      <c r="G741" s="42">
        <v>2.1</v>
      </c>
      <c r="H741" s="42">
        <v>1</v>
      </c>
      <c r="I741" s="42">
        <v>0</v>
      </c>
      <c r="J741" s="42">
        <v>185</v>
      </c>
      <c r="K741" s="42">
        <v>0</v>
      </c>
      <c r="L741" s="42">
        <v>0</v>
      </c>
      <c r="M741" s="42">
        <v>0</v>
      </c>
      <c r="N741" s="42">
        <v>0</v>
      </c>
      <c r="O741">
        <v>0</v>
      </c>
    </row>
    <row r="742" spans="3:15" x14ac:dyDescent="0.15">
      <c r="C742" s="43" t="s">
        <v>798</v>
      </c>
      <c r="D742" s="42">
        <v>3</v>
      </c>
      <c r="E742" s="42">
        <v>123</v>
      </c>
      <c r="F742" s="42">
        <v>1</v>
      </c>
      <c r="G742" s="42">
        <v>5.4</v>
      </c>
      <c r="H742" s="42">
        <v>1</v>
      </c>
      <c r="I742" s="42">
        <v>0</v>
      </c>
      <c r="J742" s="42">
        <v>0</v>
      </c>
      <c r="K742" s="42">
        <v>0</v>
      </c>
      <c r="L742" s="42">
        <v>0</v>
      </c>
      <c r="M742" s="42">
        <v>0</v>
      </c>
      <c r="N742" s="42">
        <v>0</v>
      </c>
      <c r="O742">
        <v>0</v>
      </c>
    </row>
    <row r="743" spans="3:15" x14ac:dyDescent="0.15">
      <c r="C743" s="43" t="s">
        <v>799</v>
      </c>
      <c r="D743" s="42">
        <v>30</v>
      </c>
      <c r="E743" s="42">
        <v>58</v>
      </c>
      <c r="F743" s="42">
        <v>2</v>
      </c>
      <c r="G743" s="42">
        <v>3.2</v>
      </c>
      <c r="H743" s="42">
        <v>0</v>
      </c>
      <c r="I743" s="42">
        <v>0</v>
      </c>
      <c r="J743" s="42">
        <v>0</v>
      </c>
      <c r="K743" s="42">
        <v>0</v>
      </c>
      <c r="L743" s="42">
        <v>0</v>
      </c>
      <c r="M743" s="42">
        <v>0</v>
      </c>
      <c r="N743" s="42">
        <v>0</v>
      </c>
      <c r="O743">
        <v>0</v>
      </c>
    </row>
    <row r="744" spans="3:15" x14ac:dyDescent="0.15">
      <c r="C744" s="43" t="s">
        <v>800</v>
      </c>
      <c r="D744" s="42">
        <v>19</v>
      </c>
      <c r="E744" s="42">
        <v>49</v>
      </c>
      <c r="F744" s="42">
        <v>3</v>
      </c>
      <c r="G744" s="42">
        <v>2.5</v>
      </c>
      <c r="H744" s="42">
        <v>0</v>
      </c>
      <c r="I744" s="42">
        <v>1</v>
      </c>
      <c r="J744" s="42">
        <v>0</v>
      </c>
      <c r="K744" s="42">
        <v>0</v>
      </c>
      <c r="L744" s="42">
        <v>0</v>
      </c>
      <c r="M744" s="42">
        <v>1</v>
      </c>
      <c r="N744" s="42">
        <v>1</v>
      </c>
      <c r="O744">
        <v>0</v>
      </c>
    </row>
    <row r="745" spans="3:15" x14ac:dyDescent="0.15">
      <c r="C745" s="43" t="s">
        <v>801</v>
      </c>
      <c r="D745" s="42">
        <v>27</v>
      </c>
      <c r="E745" s="42">
        <v>78</v>
      </c>
      <c r="F745" s="42">
        <v>4</v>
      </c>
      <c r="G745" s="42">
        <v>3.6</v>
      </c>
      <c r="H745" s="42">
        <v>0</v>
      </c>
      <c r="I745" s="42">
        <v>0</v>
      </c>
      <c r="J745" s="42">
        <v>141</v>
      </c>
      <c r="K745" s="42">
        <v>0</v>
      </c>
      <c r="L745" s="42">
        <v>0</v>
      </c>
      <c r="M745" s="42">
        <v>1</v>
      </c>
      <c r="N745" s="42">
        <v>0</v>
      </c>
      <c r="O745">
        <v>0</v>
      </c>
    </row>
    <row r="746" spans="3:15" x14ac:dyDescent="0.15">
      <c r="C746" s="43" t="s">
        <v>802</v>
      </c>
      <c r="D746" s="42">
        <v>26</v>
      </c>
      <c r="E746" s="42">
        <v>79</v>
      </c>
      <c r="F746" s="42">
        <v>3</v>
      </c>
      <c r="G746" s="42">
        <v>0.8</v>
      </c>
      <c r="H746" s="42">
        <v>1</v>
      </c>
      <c r="I746" s="42">
        <v>0</v>
      </c>
      <c r="J746" s="42">
        <v>183</v>
      </c>
      <c r="K746" s="42">
        <v>0</v>
      </c>
      <c r="L746" s="42">
        <v>0</v>
      </c>
      <c r="M746" s="42">
        <v>0</v>
      </c>
      <c r="N746" s="42">
        <v>0</v>
      </c>
      <c r="O746">
        <v>0</v>
      </c>
    </row>
    <row r="747" spans="3:15" x14ac:dyDescent="0.15">
      <c r="C747" s="43" t="s">
        <v>803</v>
      </c>
      <c r="D747" s="42">
        <v>20</v>
      </c>
      <c r="E747" s="42">
        <v>175</v>
      </c>
      <c r="F747" s="42">
        <v>2</v>
      </c>
      <c r="G747" s="42">
        <v>1.4</v>
      </c>
      <c r="H747" s="42">
        <v>1</v>
      </c>
      <c r="I747" s="42">
        <v>0</v>
      </c>
      <c r="J747" s="42">
        <v>0</v>
      </c>
      <c r="K747" s="42">
        <v>0</v>
      </c>
      <c r="L747" s="42">
        <v>0</v>
      </c>
      <c r="M747" s="42">
        <v>1</v>
      </c>
      <c r="N747" s="42">
        <v>1</v>
      </c>
      <c r="O747">
        <v>0</v>
      </c>
    </row>
    <row r="748" spans="3:15" x14ac:dyDescent="0.15">
      <c r="C748" s="43" t="s">
        <v>804</v>
      </c>
      <c r="D748" s="42">
        <v>5</v>
      </c>
      <c r="E748" s="42">
        <v>54</v>
      </c>
      <c r="F748" s="42">
        <v>4</v>
      </c>
      <c r="G748" s="42">
        <v>2.2000000000000002</v>
      </c>
      <c r="H748" s="42">
        <v>0</v>
      </c>
      <c r="I748" s="42">
        <v>1</v>
      </c>
      <c r="J748" s="42">
        <v>0</v>
      </c>
      <c r="K748" s="42">
        <v>0</v>
      </c>
      <c r="L748" s="42">
        <v>0</v>
      </c>
      <c r="M748" s="42">
        <v>0</v>
      </c>
      <c r="N748" s="42">
        <v>0</v>
      </c>
      <c r="O748">
        <v>0</v>
      </c>
    </row>
    <row r="749" spans="3:15" x14ac:dyDescent="0.15">
      <c r="C749" s="43" t="s">
        <v>805</v>
      </c>
      <c r="D749" s="42">
        <v>3</v>
      </c>
      <c r="E749" s="42">
        <v>92</v>
      </c>
      <c r="F749" s="42">
        <v>2</v>
      </c>
      <c r="G749" s="42">
        <v>1.3</v>
      </c>
      <c r="H749" s="42">
        <v>1</v>
      </c>
      <c r="I749" s="42">
        <v>0</v>
      </c>
      <c r="J749" s="42">
        <v>287</v>
      </c>
      <c r="K749" s="42">
        <v>0</v>
      </c>
      <c r="L749" s="42">
        <v>0</v>
      </c>
      <c r="M749" s="42">
        <v>1</v>
      </c>
      <c r="N749" s="42">
        <v>0</v>
      </c>
      <c r="O749">
        <v>0</v>
      </c>
    </row>
    <row r="750" spans="3:15" x14ac:dyDescent="0.15">
      <c r="C750" s="43" t="s">
        <v>806</v>
      </c>
      <c r="D750" s="42">
        <v>33</v>
      </c>
      <c r="E750" s="42">
        <v>140</v>
      </c>
      <c r="F750" s="42">
        <v>2</v>
      </c>
      <c r="G750" s="42">
        <v>0.5</v>
      </c>
      <c r="H750" s="42">
        <v>1</v>
      </c>
      <c r="I750" s="42">
        <v>0</v>
      </c>
      <c r="J750" s="42">
        <v>262</v>
      </c>
      <c r="K750" s="42">
        <v>0</v>
      </c>
      <c r="L750" s="42">
        <v>0</v>
      </c>
      <c r="M750" s="42">
        <v>1</v>
      </c>
      <c r="N750" s="42">
        <v>0</v>
      </c>
      <c r="O750">
        <v>0</v>
      </c>
    </row>
    <row r="751" spans="3:15" x14ac:dyDescent="0.15">
      <c r="C751" s="43" t="s">
        <v>807</v>
      </c>
      <c r="D751" s="42">
        <v>31</v>
      </c>
      <c r="E751" s="42">
        <v>11</v>
      </c>
      <c r="F751" s="42">
        <v>2</v>
      </c>
      <c r="G751" s="42">
        <v>0.2</v>
      </c>
      <c r="H751" s="42">
        <v>0</v>
      </c>
      <c r="I751" s="42">
        <v>0</v>
      </c>
      <c r="J751" s="42">
        <v>90</v>
      </c>
      <c r="K751" s="42">
        <v>0</v>
      </c>
      <c r="L751" s="42">
        <v>0</v>
      </c>
      <c r="M751" s="42">
        <v>0</v>
      </c>
      <c r="N751" s="42">
        <v>0</v>
      </c>
      <c r="O751">
        <v>0</v>
      </c>
    </row>
    <row r="752" spans="3:15" x14ac:dyDescent="0.15">
      <c r="C752" s="43" t="s">
        <v>808</v>
      </c>
      <c r="D752" s="42">
        <v>12</v>
      </c>
      <c r="E752" s="42">
        <v>179</v>
      </c>
      <c r="F752" s="42">
        <v>2</v>
      </c>
      <c r="G752" s="42">
        <v>0</v>
      </c>
      <c r="H752" s="42">
        <v>1</v>
      </c>
      <c r="I752" s="42">
        <v>0</v>
      </c>
      <c r="J752" s="42">
        <v>380</v>
      </c>
      <c r="K752" s="42">
        <v>0</v>
      </c>
      <c r="L752" s="42">
        <v>0</v>
      </c>
      <c r="M752" s="42">
        <v>0</v>
      </c>
      <c r="N752" s="42">
        <v>0</v>
      </c>
      <c r="O752">
        <v>0</v>
      </c>
    </row>
    <row r="753" spans="3:15" x14ac:dyDescent="0.15">
      <c r="C753" s="43" t="s">
        <v>809</v>
      </c>
      <c r="D753" s="42">
        <v>3</v>
      </c>
      <c r="E753" s="42">
        <v>55</v>
      </c>
      <c r="F753" s="42">
        <v>4</v>
      </c>
      <c r="G753" s="42">
        <v>2.2000000000000002</v>
      </c>
      <c r="H753" s="42">
        <v>1</v>
      </c>
      <c r="I753" s="42">
        <v>0</v>
      </c>
      <c r="J753" s="42">
        <v>0</v>
      </c>
      <c r="K753" s="42">
        <v>0</v>
      </c>
      <c r="L753" s="42">
        <v>0</v>
      </c>
      <c r="M753" s="42">
        <v>1</v>
      </c>
      <c r="N753" s="42">
        <v>1</v>
      </c>
      <c r="O753">
        <v>0</v>
      </c>
    </row>
    <row r="754" spans="3:15" x14ac:dyDescent="0.15">
      <c r="C754" s="43" t="s">
        <v>810</v>
      </c>
      <c r="D754" s="42">
        <v>16</v>
      </c>
      <c r="E754" s="42">
        <v>69</v>
      </c>
      <c r="F754" s="42">
        <v>4</v>
      </c>
      <c r="G754" s="42">
        <v>2.4</v>
      </c>
      <c r="H754" s="42">
        <v>1</v>
      </c>
      <c r="I754" s="42">
        <v>0</v>
      </c>
      <c r="J754" s="42">
        <v>0</v>
      </c>
      <c r="K754" s="42">
        <v>0</v>
      </c>
      <c r="L754" s="42">
        <v>0</v>
      </c>
      <c r="M754" s="42">
        <v>1</v>
      </c>
      <c r="N754" s="42">
        <v>0</v>
      </c>
      <c r="O754">
        <v>0</v>
      </c>
    </row>
    <row r="755" spans="3:15" x14ac:dyDescent="0.15">
      <c r="C755" s="43" t="s">
        <v>811</v>
      </c>
      <c r="D755" s="42">
        <v>20</v>
      </c>
      <c r="E755" s="42">
        <v>114</v>
      </c>
      <c r="F755" s="42">
        <v>2</v>
      </c>
      <c r="G755" s="42">
        <v>4.4000000000000004</v>
      </c>
      <c r="H755" s="42">
        <v>0</v>
      </c>
      <c r="I755" s="42">
        <v>1</v>
      </c>
      <c r="J755" s="42">
        <v>0</v>
      </c>
      <c r="K755" s="42">
        <v>0</v>
      </c>
      <c r="L755" s="42">
        <v>0</v>
      </c>
      <c r="M755" s="42">
        <v>0</v>
      </c>
      <c r="N755" s="42">
        <v>0</v>
      </c>
      <c r="O755">
        <v>1</v>
      </c>
    </row>
    <row r="756" spans="3:15" x14ac:dyDescent="0.15">
      <c r="C756" s="43" t="s">
        <v>812</v>
      </c>
      <c r="D756" s="42">
        <v>2</v>
      </c>
      <c r="E756" s="42">
        <v>140</v>
      </c>
      <c r="F756" s="42">
        <v>2</v>
      </c>
      <c r="G756" s="42">
        <v>2</v>
      </c>
      <c r="H756" s="42">
        <v>1</v>
      </c>
      <c r="I756" s="42">
        <v>0</v>
      </c>
      <c r="J756" s="42">
        <v>0</v>
      </c>
      <c r="K756" s="42">
        <v>0</v>
      </c>
      <c r="L756" s="42">
        <v>0</v>
      </c>
      <c r="M756" s="42">
        <v>1</v>
      </c>
      <c r="N756" s="42">
        <v>0</v>
      </c>
      <c r="O756">
        <v>0</v>
      </c>
    </row>
    <row r="757" spans="3:15" x14ac:dyDescent="0.15">
      <c r="C757" s="43" t="s">
        <v>813</v>
      </c>
      <c r="D757" s="42">
        <v>21</v>
      </c>
      <c r="E757" s="42">
        <v>138</v>
      </c>
      <c r="F757" s="42">
        <v>1</v>
      </c>
      <c r="G757" s="42">
        <v>0</v>
      </c>
      <c r="H757" s="42">
        <v>1</v>
      </c>
      <c r="I757" s="42">
        <v>0</v>
      </c>
      <c r="J757" s="42">
        <v>0</v>
      </c>
      <c r="K757" s="42">
        <v>0</v>
      </c>
      <c r="L757" s="42">
        <v>0</v>
      </c>
      <c r="M757" s="42">
        <v>0</v>
      </c>
      <c r="N757" s="42">
        <v>0</v>
      </c>
      <c r="O757">
        <v>0</v>
      </c>
    </row>
    <row r="758" spans="3:15" x14ac:dyDescent="0.15">
      <c r="C758" s="43" t="s">
        <v>814</v>
      </c>
      <c r="D758" s="42">
        <v>28</v>
      </c>
      <c r="E758" s="42">
        <v>18</v>
      </c>
      <c r="F758" s="42">
        <v>4</v>
      </c>
      <c r="G758" s="42">
        <v>0.1</v>
      </c>
      <c r="H758" s="42">
        <v>0</v>
      </c>
      <c r="I758" s="42">
        <v>0</v>
      </c>
      <c r="J758" s="42">
        <v>109</v>
      </c>
      <c r="K758" s="42">
        <v>1</v>
      </c>
      <c r="L758" s="42">
        <v>1</v>
      </c>
      <c r="M758" s="42">
        <v>1</v>
      </c>
      <c r="N758" s="42">
        <v>1</v>
      </c>
      <c r="O758">
        <v>0</v>
      </c>
    </row>
    <row r="759" spans="3:15" x14ac:dyDescent="0.15">
      <c r="C759" s="43" t="s">
        <v>815</v>
      </c>
      <c r="D759" s="42">
        <v>8</v>
      </c>
      <c r="E759" s="42">
        <v>29</v>
      </c>
      <c r="F759" s="42">
        <v>2</v>
      </c>
      <c r="G759" s="42">
        <v>2</v>
      </c>
      <c r="H759" s="42">
        <v>0</v>
      </c>
      <c r="I759" s="42">
        <v>0</v>
      </c>
      <c r="J759" s="42">
        <v>0</v>
      </c>
      <c r="K759" s="42">
        <v>0</v>
      </c>
      <c r="L759" s="42">
        <v>0</v>
      </c>
      <c r="M759" s="42">
        <v>1</v>
      </c>
      <c r="N759" s="42">
        <v>1</v>
      </c>
      <c r="O759">
        <v>0</v>
      </c>
    </row>
    <row r="760" spans="3:15" x14ac:dyDescent="0.15">
      <c r="C760" s="43" t="s">
        <v>816</v>
      </c>
      <c r="D760" s="42">
        <v>5</v>
      </c>
      <c r="E760" s="42">
        <v>80</v>
      </c>
      <c r="F760" s="42">
        <v>2</v>
      </c>
      <c r="G760" s="42">
        <v>2</v>
      </c>
      <c r="H760" s="42">
        <v>0</v>
      </c>
      <c r="I760" s="42">
        <v>1</v>
      </c>
      <c r="J760" s="42">
        <v>0</v>
      </c>
      <c r="K760" s="42">
        <v>0</v>
      </c>
      <c r="L760" s="42">
        <v>0</v>
      </c>
      <c r="M760" s="42">
        <v>1</v>
      </c>
      <c r="N760" s="42">
        <v>1</v>
      </c>
      <c r="O760">
        <v>0</v>
      </c>
    </row>
    <row r="761" spans="3:15" x14ac:dyDescent="0.15">
      <c r="C761" s="43" t="s">
        <v>817</v>
      </c>
      <c r="D761" s="42">
        <v>2</v>
      </c>
      <c r="E761" s="42">
        <v>33</v>
      </c>
      <c r="F761" s="42">
        <v>1</v>
      </c>
      <c r="G761" s="42">
        <v>2</v>
      </c>
      <c r="H761" s="42">
        <v>0</v>
      </c>
      <c r="I761" s="42">
        <v>1</v>
      </c>
      <c r="J761" s="42">
        <v>160</v>
      </c>
      <c r="K761" s="42">
        <v>0</v>
      </c>
      <c r="L761" s="42">
        <v>0</v>
      </c>
      <c r="M761" s="42">
        <v>0</v>
      </c>
      <c r="N761" s="42">
        <v>0</v>
      </c>
      <c r="O761">
        <v>0</v>
      </c>
    </row>
    <row r="762" spans="3:15" x14ac:dyDescent="0.15">
      <c r="C762" s="43" t="s">
        <v>818</v>
      </c>
      <c r="D762" s="42">
        <v>11</v>
      </c>
      <c r="E762" s="42">
        <v>34</v>
      </c>
      <c r="F762" s="42">
        <v>3</v>
      </c>
      <c r="G762" s="42">
        <v>0.9</v>
      </c>
      <c r="H762" s="42">
        <v>1</v>
      </c>
      <c r="I762" s="42">
        <v>0</v>
      </c>
      <c r="J762" s="42">
        <v>0</v>
      </c>
      <c r="K762" s="42">
        <v>0</v>
      </c>
      <c r="L762" s="42">
        <v>0</v>
      </c>
      <c r="M762" s="42">
        <v>1</v>
      </c>
      <c r="N762" s="42">
        <v>0</v>
      </c>
      <c r="O762">
        <v>0</v>
      </c>
    </row>
    <row r="763" spans="3:15" x14ac:dyDescent="0.15">
      <c r="C763" s="43" t="s">
        <v>819</v>
      </c>
      <c r="D763" s="42">
        <v>23</v>
      </c>
      <c r="E763" s="42">
        <v>71</v>
      </c>
      <c r="F763" s="42">
        <v>1</v>
      </c>
      <c r="G763" s="42">
        <v>1.4</v>
      </c>
      <c r="H763" s="42">
        <v>0</v>
      </c>
      <c r="I763" s="42">
        <v>0</v>
      </c>
      <c r="J763" s="42">
        <v>0</v>
      </c>
      <c r="K763" s="42">
        <v>0</v>
      </c>
      <c r="L763" s="42">
        <v>0</v>
      </c>
      <c r="M763" s="42">
        <v>0</v>
      </c>
      <c r="N763" s="42">
        <v>0</v>
      </c>
      <c r="O763">
        <v>0</v>
      </c>
    </row>
    <row r="764" spans="3:15" x14ac:dyDescent="0.15">
      <c r="C764" s="43" t="s">
        <v>820</v>
      </c>
      <c r="D764" s="42">
        <v>11</v>
      </c>
      <c r="E764" s="42">
        <v>14</v>
      </c>
      <c r="F764" s="42">
        <v>4</v>
      </c>
      <c r="G764" s="42">
        <v>0.2</v>
      </c>
      <c r="H764" s="42">
        <v>0</v>
      </c>
      <c r="I764" s="42">
        <v>0</v>
      </c>
      <c r="J764" s="42">
        <v>100</v>
      </c>
      <c r="K764" s="42">
        <v>0</v>
      </c>
      <c r="L764" s="42">
        <v>0</v>
      </c>
      <c r="M764" s="42">
        <v>1</v>
      </c>
      <c r="N764" s="42">
        <v>1</v>
      </c>
      <c r="O764">
        <v>0</v>
      </c>
    </row>
    <row r="765" spans="3:15" x14ac:dyDescent="0.15">
      <c r="C765" s="43" t="s">
        <v>821</v>
      </c>
      <c r="D765" s="42">
        <v>27</v>
      </c>
      <c r="E765" s="42">
        <v>45</v>
      </c>
      <c r="F765" s="42">
        <v>2</v>
      </c>
      <c r="G765" s="42">
        <v>2</v>
      </c>
      <c r="H765" s="42">
        <v>0</v>
      </c>
      <c r="I765" s="42">
        <v>1</v>
      </c>
      <c r="J765" s="42">
        <v>121</v>
      </c>
      <c r="K765" s="42">
        <v>0</v>
      </c>
      <c r="L765" s="42">
        <v>0</v>
      </c>
      <c r="M765" s="42">
        <v>0</v>
      </c>
      <c r="N765" s="42">
        <v>1</v>
      </c>
      <c r="O765">
        <v>0</v>
      </c>
    </row>
    <row r="766" spans="3:15" x14ac:dyDescent="0.15">
      <c r="C766" s="43" t="s">
        <v>822</v>
      </c>
      <c r="D766" s="42">
        <v>3</v>
      </c>
      <c r="E766" s="42">
        <v>71</v>
      </c>
      <c r="F766" s="42">
        <v>1</v>
      </c>
      <c r="G766" s="42">
        <v>3.3</v>
      </c>
      <c r="H766" s="42">
        <v>0</v>
      </c>
      <c r="I766" s="42">
        <v>1</v>
      </c>
      <c r="J766" s="42">
        <v>149</v>
      </c>
      <c r="K766" s="42">
        <v>1</v>
      </c>
      <c r="L766" s="42">
        <v>1</v>
      </c>
      <c r="M766" s="42">
        <v>1</v>
      </c>
      <c r="N766" s="42">
        <v>0</v>
      </c>
      <c r="O766">
        <v>1</v>
      </c>
    </row>
    <row r="767" spans="3:15" x14ac:dyDescent="0.15">
      <c r="C767" s="43" t="s">
        <v>823</v>
      </c>
      <c r="D767" s="42">
        <v>14</v>
      </c>
      <c r="E767" s="42">
        <v>24</v>
      </c>
      <c r="F767" s="42">
        <v>2</v>
      </c>
      <c r="G767" s="42">
        <v>0.3</v>
      </c>
      <c r="H767" s="42">
        <v>0</v>
      </c>
      <c r="I767" s="42">
        <v>1</v>
      </c>
      <c r="J767" s="42">
        <v>0</v>
      </c>
      <c r="K767" s="42">
        <v>0</v>
      </c>
      <c r="L767" s="42">
        <v>0</v>
      </c>
      <c r="M767" s="42">
        <v>1</v>
      </c>
      <c r="N767" s="42">
        <v>0</v>
      </c>
      <c r="O767">
        <v>0</v>
      </c>
    </row>
    <row r="768" spans="3:15" x14ac:dyDescent="0.15">
      <c r="C768" s="43" t="s">
        <v>824</v>
      </c>
      <c r="D768" s="42">
        <v>29</v>
      </c>
      <c r="E768" s="42">
        <v>51</v>
      </c>
      <c r="F768" s="42">
        <v>3</v>
      </c>
      <c r="G768" s="42">
        <v>1</v>
      </c>
      <c r="H768" s="42">
        <v>0</v>
      </c>
      <c r="I768" s="42">
        <v>1</v>
      </c>
      <c r="J768" s="42">
        <v>0</v>
      </c>
      <c r="K768" s="42">
        <v>0</v>
      </c>
      <c r="L768" s="42">
        <v>0</v>
      </c>
      <c r="M768" s="42">
        <v>1</v>
      </c>
      <c r="N768" s="42">
        <v>0</v>
      </c>
      <c r="O768">
        <v>0</v>
      </c>
    </row>
    <row r="769" spans="3:15" x14ac:dyDescent="0.15">
      <c r="C769" s="43" t="s">
        <v>825</v>
      </c>
      <c r="D769" s="42">
        <v>31</v>
      </c>
      <c r="E769" s="42">
        <v>64</v>
      </c>
      <c r="F769" s="42">
        <v>3</v>
      </c>
      <c r="G769" s="42">
        <v>2.5</v>
      </c>
      <c r="H769" s="42">
        <v>1</v>
      </c>
      <c r="I769" s="42">
        <v>0</v>
      </c>
      <c r="J769" s="42">
        <v>208</v>
      </c>
      <c r="K769" s="42">
        <v>0</v>
      </c>
      <c r="L769" s="42">
        <v>0</v>
      </c>
      <c r="M769" s="42">
        <v>0</v>
      </c>
      <c r="N769" s="42">
        <v>1</v>
      </c>
      <c r="O769">
        <v>0</v>
      </c>
    </row>
    <row r="770" spans="3:15" x14ac:dyDescent="0.15">
      <c r="C770" s="43" t="s">
        <v>826</v>
      </c>
      <c r="D770" s="42">
        <v>14</v>
      </c>
      <c r="E770" s="42">
        <v>123</v>
      </c>
      <c r="F770" s="42">
        <v>1</v>
      </c>
      <c r="G770" s="42">
        <v>5.2</v>
      </c>
      <c r="H770" s="42">
        <v>1</v>
      </c>
      <c r="I770" s="42">
        <v>0</v>
      </c>
      <c r="J770" s="42">
        <v>0</v>
      </c>
      <c r="K770" s="42">
        <v>0</v>
      </c>
      <c r="L770" s="42">
        <v>0</v>
      </c>
      <c r="M770" s="42">
        <v>1</v>
      </c>
      <c r="N770" s="42">
        <v>0</v>
      </c>
      <c r="O770">
        <v>0</v>
      </c>
    </row>
    <row r="771" spans="3:15" x14ac:dyDescent="0.15">
      <c r="C771" s="43" t="s">
        <v>827</v>
      </c>
      <c r="D771" s="42">
        <v>38</v>
      </c>
      <c r="E771" s="42">
        <v>45</v>
      </c>
      <c r="F771" s="42">
        <v>4</v>
      </c>
      <c r="G771" s="42">
        <v>1.3</v>
      </c>
      <c r="H771" s="42">
        <v>0</v>
      </c>
      <c r="I771" s="42">
        <v>1</v>
      </c>
      <c r="J771" s="42">
        <v>0</v>
      </c>
      <c r="K771" s="42">
        <v>0</v>
      </c>
      <c r="L771" s="42">
        <v>0</v>
      </c>
      <c r="M771" s="42">
        <v>1</v>
      </c>
      <c r="N771" s="42">
        <v>0</v>
      </c>
      <c r="O771">
        <v>0</v>
      </c>
    </row>
    <row r="772" spans="3:15" x14ac:dyDescent="0.15">
      <c r="C772" s="43" t="s">
        <v>828</v>
      </c>
      <c r="D772" s="42">
        <v>6</v>
      </c>
      <c r="E772" s="42">
        <v>62</v>
      </c>
      <c r="F772" s="42">
        <v>1</v>
      </c>
      <c r="G772" s="42">
        <v>1</v>
      </c>
      <c r="H772" s="42">
        <v>1</v>
      </c>
      <c r="I772" s="42">
        <v>0</v>
      </c>
      <c r="J772" s="42">
        <v>0</v>
      </c>
      <c r="K772" s="42">
        <v>1</v>
      </c>
      <c r="L772" s="42">
        <v>0</v>
      </c>
      <c r="M772" s="42">
        <v>1</v>
      </c>
      <c r="N772" s="42">
        <v>0</v>
      </c>
      <c r="O772">
        <v>0</v>
      </c>
    </row>
    <row r="773" spans="3:15" x14ac:dyDescent="0.15">
      <c r="C773" s="43" t="s">
        <v>829</v>
      </c>
      <c r="D773" s="42">
        <v>9</v>
      </c>
      <c r="E773" s="42">
        <v>55</v>
      </c>
      <c r="F773" s="42">
        <v>1</v>
      </c>
      <c r="G773" s="42">
        <v>2</v>
      </c>
      <c r="H773" s="42">
        <v>1</v>
      </c>
      <c r="I773" s="42">
        <v>0</v>
      </c>
      <c r="J773" s="42">
        <v>0</v>
      </c>
      <c r="K773" s="42">
        <v>0</v>
      </c>
      <c r="L773" s="42">
        <v>0</v>
      </c>
      <c r="M773" s="42">
        <v>1</v>
      </c>
      <c r="N773" s="42">
        <v>0</v>
      </c>
      <c r="O773">
        <v>0</v>
      </c>
    </row>
    <row r="774" spans="3:15" x14ac:dyDescent="0.15">
      <c r="C774" s="43" t="s">
        <v>830</v>
      </c>
      <c r="D774" s="42">
        <v>17</v>
      </c>
      <c r="E774" s="42">
        <v>82</v>
      </c>
      <c r="F774" s="42">
        <v>1</v>
      </c>
      <c r="G774" s="42">
        <v>3.7</v>
      </c>
      <c r="H774" s="42">
        <v>0</v>
      </c>
      <c r="I774" s="42">
        <v>0</v>
      </c>
      <c r="J774" s="42">
        <v>0</v>
      </c>
      <c r="K774" s="42">
        <v>0</v>
      </c>
      <c r="L774" s="42">
        <v>0</v>
      </c>
      <c r="M774" s="42">
        <v>1</v>
      </c>
      <c r="N774" s="42">
        <v>0</v>
      </c>
      <c r="O774">
        <v>0</v>
      </c>
    </row>
    <row r="775" spans="3:15" x14ac:dyDescent="0.15">
      <c r="C775" s="43" t="s">
        <v>831</v>
      </c>
      <c r="D775" s="42">
        <v>26</v>
      </c>
      <c r="E775" s="42">
        <v>91</v>
      </c>
      <c r="F775" s="42">
        <v>1</v>
      </c>
      <c r="G775" s="42">
        <v>4.3</v>
      </c>
      <c r="H775" s="42">
        <v>0</v>
      </c>
      <c r="I775" s="42">
        <v>1</v>
      </c>
      <c r="J775" s="42">
        <v>0</v>
      </c>
      <c r="K775" s="42">
        <v>0</v>
      </c>
      <c r="L775" s="42">
        <v>1</v>
      </c>
      <c r="M775" s="42">
        <v>1</v>
      </c>
      <c r="N775" s="42">
        <v>1</v>
      </c>
      <c r="O775">
        <v>1</v>
      </c>
    </row>
    <row r="776" spans="3:15" x14ac:dyDescent="0.15">
      <c r="C776" s="43" t="s">
        <v>832</v>
      </c>
      <c r="D776" s="42">
        <v>34</v>
      </c>
      <c r="E776" s="42">
        <v>33</v>
      </c>
      <c r="F776" s="42">
        <v>3</v>
      </c>
      <c r="G776" s="42">
        <v>0.2</v>
      </c>
      <c r="H776" s="42">
        <v>1</v>
      </c>
      <c r="I776" s="42">
        <v>0</v>
      </c>
      <c r="J776" s="42">
        <v>0</v>
      </c>
      <c r="K776" s="42">
        <v>1</v>
      </c>
      <c r="L776" s="42">
        <v>0</v>
      </c>
      <c r="M776" s="42">
        <v>0</v>
      </c>
      <c r="N776" s="42">
        <v>0</v>
      </c>
      <c r="O776">
        <v>0</v>
      </c>
    </row>
    <row r="777" spans="3:15" x14ac:dyDescent="0.15">
      <c r="C777" s="43" t="s">
        <v>833</v>
      </c>
      <c r="D777" s="42">
        <v>39</v>
      </c>
      <c r="E777" s="42">
        <v>122</v>
      </c>
      <c r="F777" s="42">
        <v>4</v>
      </c>
      <c r="G777" s="42">
        <v>0.2</v>
      </c>
      <c r="H777" s="42">
        <v>1</v>
      </c>
      <c r="I777" s="42">
        <v>0</v>
      </c>
      <c r="J777" s="42">
        <v>378</v>
      </c>
      <c r="K777" s="42">
        <v>0</v>
      </c>
      <c r="L777" s="42">
        <v>0</v>
      </c>
      <c r="M777" s="42">
        <v>1</v>
      </c>
      <c r="N777" s="42">
        <v>0</v>
      </c>
      <c r="O777">
        <v>1</v>
      </c>
    </row>
    <row r="778" spans="3:15" x14ac:dyDescent="0.15">
      <c r="C778" s="43" t="s">
        <v>834</v>
      </c>
      <c r="D778" s="42">
        <v>12</v>
      </c>
      <c r="E778" s="42">
        <v>180</v>
      </c>
      <c r="F778" s="42">
        <v>1</v>
      </c>
      <c r="G778" s="42">
        <v>8.6</v>
      </c>
      <c r="H778" s="42">
        <v>1</v>
      </c>
      <c r="I778" s="42">
        <v>0</v>
      </c>
      <c r="J778" s="42">
        <v>0</v>
      </c>
      <c r="K778" s="42">
        <v>0</v>
      </c>
      <c r="L778" s="42">
        <v>0</v>
      </c>
      <c r="M778" s="42">
        <v>1</v>
      </c>
      <c r="N778" s="42">
        <v>1</v>
      </c>
      <c r="O778">
        <v>0</v>
      </c>
    </row>
    <row r="779" spans="3:15" x14ac:dyDescent="0.15">
      <c r="C779" s="43" t="s">
        <v>835</v>
      </c>
      <c r="D779" s="42">
        <v>23</v>
      </c>
      <c r="E779" s="42">
        <v>148</v>
      </c>
      <c r="F779" s="42">
        <v>2</v>
      </c>
      <c r="G779" s="42">
        <v>7.5</v>
      </c>
      <c r="H779" s="42">
        <v>1</v>
      </c>
      <c r="I779" s="42">
        <v>0</v>
      </c>
      <c r="J779" s="42">
        <v>0</v>
      </c>
      <c r="K779" s="42">
        <v>0</v>
      </c>
      <c r="L779" s="42">
        <v>1</v>
      </c>
      <c r="M779" s="42">
        <v>1</v>
      </c>
      <c r="N779" s="42">
        <v>1</v>
      </c>
      <c r="O779">
        <v>0</v>
      </c>
    </row>
    <row r="780" spans="3:15" x14ac:dyDescent="0.15">
      <c r="C780" s="43" t="s">
        <v>836</v>
      </c>
      <c r="D780" s="42">
        <v>2</v>
      </c>
      <c r="E780" s="42">
        <v>51</v>
      </c>
      <c r="F780" s="42">
        <v>4</v>
      </c>
      <c r="G780" s="42">
        <v>1.8</v>
      </c>
      <c r="H780" s="42">
        <v>0</v>
      </c>
      <c r="I780" s="42">
        <v>1</v>
      </c>
      <c r="J780" s="42">
        <v>0</v>
      </c>
      <c r="K780" s="42">
        <v>1</v>
      </c>
      <c r="L780" s="42">
        <v>0</v>
      </c>
      <c r="M780" s="42">
        <v>0</v>
      </c>
      <c r="N780" s="42">
        <v>0</v>
      </c>
      <c r="O780">
        <v>0</v>
      </c>
    </row>
    <row r="781" spans="3:15" x14ac:dyDescent="0.15">
      <c r="C781" s="43" t="s">
        <v>837</v>
      </c>
      <c r="D781" s="42">
        <v>25</v>
      </c>
      <c r="E781" s="42">
        <v>71</v>
      </c>
      <c r="F781" s="42">
        <v>1</v>
      </c>
      <c r="G781" s="42">
        <v>1.4</v>
      </c>
      <c r="H781" s="42">
        <v>0</v>
      </c>
      <c r="I781" s="42">
        <v>0</v>
      </c>
      <c r="J781" s="42">
        <v>198</v>
      </c>
      <c r="K781" s="42">
        <v>0</v>
      </c>
      <c r="L781" s="42">
        <v>0</v>
      </c>
      <c r="M781" s="42">
        <v>0</v>
      </c>
      <c r="N781" s="42">
        <v>0</v>
      </c>
      <c r="O781">
        <v>0</v>
      </c>
    </row>
    <row r="782" spans="3:15" x14ac:dyDescent="0.15">
      <c r="C782" s="43" t="s">
        <v>838</v>
      </c>
      <c r="D782" s="42">
        <v>9</v>
      </c>
      <c r="E782" s="42">
        <v>60</v>
      </c>
      <c r="F782" s="42">
        <v>3</v>
      </c>
      <c r="G782" s="42">
        <v>2.2999999999999998</v>
      </c>
      <c r="H782" s="42">
        <v>1</v>
      </c>
      <c r="I782" s="42">
        <v>0</v>
      </c>
      <c r="J782" s="42">
        <v>0</v>
      </c>
      <c r="K782" s="42">
        <v>0</v>
      </c>
      <c r="L782" s="42">
        <v>0</v>
      </c>
      <c r="M782" s="42">
        <v>0</v>
      </c>
      <c r="N782" s="42">
        <v>0</v>
      </c>
      <c r="O782">
        <v>0</v>
      </c>
    </row>
    <row r="783" spans="3:15" x14ac:dyDescent="0.15">
      <c r="C783" s="43" t="s">
        <v>839</v>
      </c>
      <c r="D783" s="42">
        <v>24</v>
      </c>
      <c r="E783" s="42">
        <v>150</v>
      </c>
      <c r="F783" s="42">
        <v>1</v>
      </c>
      <c r="G783" s="42">
        <v>7.3</v>
      </c>
      <c r="H783" s="42">
        <v>1</v>
      </c>
      <c r="I783" s="42">
        <v>0</v>
      </c>
      <c r="J783" s="42">
        <v>0</v>
      </c>
      <c r="K783" s="42">
        <v>0</v>
      </c>
      <c r="L783" s="42">
        <v>0</v>
      </c>
      <c r="M783" s="42">
        <v>1</v>
      </c>
      <c r="N783" s="42">
        <v>1</v>
      </c>
      <c r="O783">
        <v>0</v>
      </c>
    </row>
    <row r="784" spans="3:15" x14ac:dyDescent="0.15">
      <c r="C784" s="43" t="s">
        <v>840</v>
      </c>
      <c r="D784" s="42">
        <v>34</v>
      </c>
      <c r="E784" s="42">
        <v>84</v>
      </c>
      <c r="F784" s="42">
        <v>2</v>
      </c>
      <c r="G784" s="42">
        <v>2.8</v>
      </c>
      <c r="H784" s="42">
        <v>1</v>
      </c>
      <c r="I784" s="42">
        <v>0</v>
      </c>
      <c r="J784" s="42">
        <v>0</v>
      </c>
      <c r="K784" s="42">
        <v>0</v>
      </c>
      <c r="L784" s="42">
        <v>0</v>
      </c>
      <c r="M784" s="42">
        <v>1</v>
      </c>
      <c r="N784" s="42">
        <v>1</v>
      </c>
      <c r="O784">
        <v>0</v>
      </c>
    </row>
    <row r="785" spans="3:15" x14ac:dyDescent="0.15">
      <c r="C785" s="43" t="s">
        <v>841</v>
      </c>
      <c r="D785" s="42">
        <v>29</v>
      </c>
      <c r="E785" s="42">
        <v>69</v>
      </c>
      <c r="F785" s="42">
        <v>4</v>
      </c>
      <c r="G785" s="42">
        <v>1</v>
      </c>
      <c r="H785" s="42">
        <v>0</v>
      </c>
      <c r="I785" s="42">
        <v>1</v>
      </c>
      <c r="J785" s="42">
        <v>0</v>
      </c>
      <c r="K785" s="42">
        <v>0</v>
      </c>
      <c r="L785" s="42">
        <v>0</v>
      </c>
      <c r="M785" s="42">
        <v>1</v>
      </c>
      <c r="N785" s="42">
        <v>0</v>
      </c>
      <c r="O785">
        <v>0</v>
      </c>
    </row>
    <row r="786" spans="3:15" x14ac:dyDescent="0.15">
      <c r="C786" s="43" t="s">
        <v>842</v>
      </c>
      <c r="D786" s="42">
        <v>7</v>
      </c>
      <c r="E786" s="42">
        <v>112</v>
      </c>
      <c r="F786" s="42">
        <v>1</v>
      </c>
      <c r="G786" s="42">
        <v>4.5999999999999996</v>
      </c>
      <c r="H786" s="42">
        <v>1</v>
      </c>
      <c r="I786" s="42">
        <v>0</v>
      </c>
      <c r="J786" s="42">
        <v>366</v>
      </c>
      <c r="K786" s="42">
        <v>0</v>
      </c>
      <c r="L786" s="42">
        <v>0</v>
      </c>
      <c r="M786" s="42">
        <v>0</v>
      </c>
      <c r="N786" s="42">
        <v>0</v>
      </c>
      <c r="O786">
        <v>0</v>
      </c>
    </row>
    <row r="787" spans="3:15" x14ac:dyDescent="0.15">
      <c r="C787" s="43" t="s">
        <v>843</v>
      </c>
      <c r="D787" s="42">
        <v>9</v>
      </c>
      <c r="E787" s="42">
        <v>28</v>
      </c>
      <c r="F787" s="42">
        <v>4</v>
      </c>
      <c r="G787" s="42">
        <v>1</v>
      </c>
      <c r="H787" s="42">
        <v>1</v>
      </c>
      <c r="I787" s="42">
        <v>0</v>
      </c>
      <c r="J787" s="42">
        <v>75</v>
      </c>
      <c r="K787" s="42">
        <v>0</v>
      </c>
      <c r="L787" s="42">
        <v>0</v>
      </c>
      <c r="M787" s="42">
        <v>1</v>
      </c>
      <c r="N787" s="42">
        <v>0</v>
      </c>
      <c r="O787">
        <v>0</v>
      </c>
    </row>
    <row r="788" spans="3:15" x14ac:dyDescent="0.15">
      <c r="C788" s="43" t="s">
        <v>844</v>
      </c>
      <c r="D788" s="42">
        <v>25</v>
      </c>
      <c r="E788" s="42">
        <v>14</v>
      </c>
      <c r="F788" s="42">
        <v>4</v>
      </c>
      <c r="G788" s="42">
        <v>0.8</v>
      </c>
      <c r="H788" s="42">
        <v>1</v>
      </c>
      <c r="I788" s="42">
        <v>0</v>
      </c>
      <c r="J788" s="42">
        <v>0</v>
      </c>
      <c r="K788" s="42">
        <v>0</v>
      </c>
      <c r="L788" s="42">
        <v>0</v>
      </c>
      <c r="M788" s="42">
        <v>1</v>
      </c>
      <c r="N788" s="42">
        <v>0</v>
      </c>
      <c r="O788">
        <v>0</v>
      </c>
    </row>
    <row r="789" spans="3:15" x14ac:dyDescent="0.15">
      <c r="C789" s="43" t="s">
        <v>845</v>
      </c>
      <c r="D789" s="42">
        <v>37</v>
      </c>
      <c r="E789" s="42">
        <v>40</v>
      </c>
      <c r="F789" s="42">
        <v>2</v>
      </c>
      <c r="G789" s="42">
        <v>1</v>
      </c>
      <c r="H789" s="42">
        <v>0</v>
      </c>
      <c r="I789" s="42">
        <v>0</v>
      </c>
      <c r="J789" s="42">
        <v>167</v>
      </c>
      <c r="K789" s="42">
        <v>0</v>
      </c>
      <c r="L789" s="42">
        <v>0</v>
      </c>
      <c r="M789" s="42">
        <v>0</v>
      </c>
      <c r="N789" s="42">
        <v>0</v>
      </c>
      <c r="O789">
        <v>0</v>
      </c>
    </row>
    <row r="790" spans="3:15" x14ac:dyDescent="0.15">
      <c r="C790" s="43" t="s">
        <v>846</v>
      </c>
      <c r="D790" s="42">
        <v>38</v>
      </c>
      <c r="E790" s="42">
        <v>39</v>
      </c>
      <c r="F790" s="42">
        <v>4</v>
      </c>
      <c r="G790" s="42">
        <v>2.2000000000000002</v>
      </c>
      <c r="H790" s="42">
        <v>1</v>
      </c>
      <c r="I790" s="42">
        <v>0</v>
      </c>
      <c r="J790" s="42">
        <v>0</v>
      </c>
      <c r="K790" s="42">
        <v>1</v>
      </c>
      <c r="L790" s="42">
        <v>0</v>
      </c>
      <c r="M790" s="42">
        <v>1</v>
      </c>
      <c r="N790" s="42">
        <v>0</v>
      </c>
      <c r="O790">
        <v>0</v>
      </c>
    </row>
    <row r="791" spans="3:15" x14ac:dyDescent="0.15">
      <c r="C791" s="43" t="s">
        <v>847</v>
      </c>
      <c r="D791" s="42">
        <v>25</v>
      </c>
      <c r="E791" s="42">
        <v>33</v>
      </c>
      <c r="F791" s="42">
        <v>1</v>
      </c>
      <c r="G791" s="42">
        <v>1.4</v>
      </c>
      <c r="H791" s="42">
        <v>0</v>
      </c>
      <c r="I791" s="42">
        <v>0</v>
      </c>
      <c r="J791" s="42">
        <v>0</v>
      </c>
      <c r="K791" s="42">
        <v>0</v>
      </c>
      <c r="L791" s="42">
        <v>0</v>
      </c>
      <c r="M791" s="42">
        <v>1</v>
      </c>
      <c r="N791" s="42">
        <v>1</v>
      </c>
      <c r="O791">
        <v>0</v>
      </c>
    </row>
    <row r="792" spans="3:15" x14ac:dyDescent="0.15">
      <c r="C792" s="43" t="s">
        <v>848</v>
      </c>
      <c r="D792" s="42">
        <v>13</v>
      </c>
      <c r="E792" s="42">
        <v>119</v>
      </c>
      <c r="F792" s="42">
        <v>2</v>
      </c>
      <c r="G792" s="42">
        <v>7.8</v>
      </c>
      <c r="H792" s="42">
        <v>1</v>
      </c>
      <c r="I792" s="42">
        <v>0</v>
      </c>
      <c r="J792" s="42">
        <v>221</v>
      </c>
      <c r="K792" s="42">
        <v>0</v>
      </c>
      <c r="L792" s="42">
        <v>0</v>
      </c>
      <c r="M792" s="42">
        <v>0</v>
      </c>
      <c r="N792" s="42">
        <v>0</v>
      </c>
      <c r="O792">
        <v>0</v>
      </c>
    </row>
    <row r="793" spans="3:15" x14ac:dyDescent="0.15">
      <c r="C793" s="43" t="s">
        <v>849</v>
      </c>
      <c r="D793" s="42">
        <v>19</v>
      </c>
      <c r="E793" s="42">
        <v>69</v>
      </c>
      <c r="F793" s="42">
        <v>4</v>
      </c>
      <c r="G793" s="42">
        <v>0.4</v>
      </c>
      <c r="H793" s="42">
        <v>1</v>
      </c>
      <c r="I793" s="42">
        <v>0</v>
      </c>
      <c r="J793" s="42">
        <v>0</v>
      </c>
      <c r="K793" s="42">
        <v>0</v>
      </c>
      <c r="L793" s="42">
        <v>0</v>
      </c>
      <c r="M793" s="42">
        <v>0</v>
      </c>
      <c r="N793" s="42">
        <v>0</v>
      </c>
      <c r="O793">
        <v>0</v>
      </c>
    </row>
    <row r="794" spans="3:15" x14ac:dyDescent="0.15">
      <c r="C794" s="43" t="s">
        <v>850</v>
      </c>
      <c r="D794" s="42">
        <v>6</v>
      </c>
      <c r="E794" s="42">
        <v>32</v>
      </c>
      <c r="F794" s="42">
        <v>2</v>
      </c>
      <c r="G794" s="42">
        <v>0.3</v>
      </c>
      <c r="H794" s="42">
        <v>1</v>
      </c>
      <c r="I794" s="42">
        <v>0</v>
      </c>
      <c r="J794" s="42">
        <v>0</v>
      </c>
      <c r="K794" s="42">
        <v>0</v>
      </c>
      <c r="L794" s="42">
        <v>0</v>
      </c>
      <c r="M794" s="42">
        <v>0</v>
      </c>
      <c r="N794" s="42">
        <v>0</v>
      </c>
      <c r="O794">
        <v>0</v>
      </c>
    </row>
    <row r="795" spans="3:15" x14ac:dyDescent="0.15">
      <c r="C795" s="43" t="s">
        <v>851</v>
      </c>
      <c r="D795" s="42">
        <v>19</v>
      </c>
      <c r="E795" s="42">
        <v>38</v>
      </c>
      <c r="F795" s="42">
        <v>3</v>
      </c>
      <c r="G795" s="42">
        <v>2.5</v>
      </c>
      <c r="H795" s="42">
        <v>0</v>
      </c>
      <c r="I795" s="42">
        <v>1</v>
      </c>
      <c r="J795" s="42">
        <v>135</v>
      </c>
      <c r="K795" s="42">
        <v>0</v>
      </c>
      <c r="L795" s="42">
        <v>0</v>
      </c>
      <c r="M795" s="42">
        <v>0</v>
      </c>
      <c r="N795" s="42">
        <v>0</v>
      </c>
      <c r="O795">
        <v>0</v>
      </c>
    </row>
    <row r="796" spans="3:15" x14ac:dyDescent="0.15">
      <c r="C796" s="43" t="s">
        <v>852</v>
      </c>
      <c r="D796" s="42">
        <v>32</v>
      </c>
      <c r="E796" s="42">
        <v>63</v>
      </c>
      <c r="F796" s="42">
        <v>4</v>
      </c>
      <c r="G796" s="42">
        <v>0.7</v>
      </c>
      <c r="H796" s="42">
        <v>1</v>
      </c>
      <c r="I796" s="42">
        <v>0</v>
      </c>
      <c r="J796" s="42">
        <v>0</v>
      </c>
      <c r="K796" s="42">
        <v>0</v>
      </c>
      <c r="L796" s="42">
        <v>0</v>
      </c>
      <c r="M796" s="42">
        <v>1</v>
      </c>
      <c r="N796" s="42">
        <v>0</v>
      </c>
      <c r="O796">
        <v>0</v>
      </c>
    </row>
    <row r="797" spans="3:15" x14ac:dyDescent="0.15">
      <c r="C797" s="43" t="s">
        <v>853</v>
      </c>
      <c r="D797" s="42">
        <v>38</v>
      </c>
      <c r="E797" s="42">
        <v>54</v>
      </c>
      <c r="F797" s="42">
        <v>3</v>
      </c>
      <c r="G797" s="42">
        <v>2.4</v>
      </c>
      <c r="H797" s="42">
        <v>1</v>
      </c>
      <c r="I797" s="42">
        <v>0</v>
      </c>
      <c r="J797" s="42">
        <v>90</v>
      </c>
      <c r="K797" s="42">
        <v>0</v>
      </c>
      <c r="L797" s="42">
        <v>0</v>
      </c>
      <c r="M797" s="42">
        <v>0</v>
      </c>
      <c r="N797" s="42">
        <v>1</v>
      </c>
      <c r="O797">
        <v>0</v>
      </c>
    </row>
    <row r="798" spans="3:15" x14ac:dyDescent="0.15">
      <c r="C798" s="43" t="s">
        <v>854</v>
      </c>
      <c r="D798" s="42">
        <v>11</v>
      </c>
      <c r="E798" s="42">
        <v>65</v>
      </c>
      <c r="F798" s="42">
        <v>3</v>
      </c>
      <c r="G798" s="42">
        <v>2.8</v>
      </c>
      <c r="H798" s="42">
        <v>1</v>
      </c>
      <c r="I798" s="42">
        <v>0</v>
      </c>
      <c r="J798" s="42">
        <v>240</v>
      </c>
      <c r="K798" s="42">
        <v>0</v>
      </c>
      <c r="L798" s="42">
        <v>0</v>
      </c>
      <c r="M798" s="42">
        <v>1</v>
      </c>
      <c r="N798" s="42">
        <v>0</v>
      </c>
      <c r="O798">
        <v>0</v>
      </c>
    </row>
    <row r="799" spans="3:15" x14ac:dyDescent="0.15">
      <c r="C799" s="43" t="s">
        <v>855</v>
      </c>
      <c r="D799" s="42">
        <v>13</v>
      </c>
      <c r="E799" s="42">
        <v>29</v>
      </c>
      <c r="F799" s="42">
        <v>4</v>
      </c>
      <c r="G799" s="42">
        <v>0.4</v>
      </c>
      <c r="H799" s="42">
        <v>0</v>
      </c>
      <c r="I799" s="42">
        <v>1</v>
      </c>
      <c r="J799" s="42">
        <v>155</v>
      </c>
      <c r="K799" s="42">
        <v>0</v>
      </c>
      <c r="L799" s="42">
        <v>0</v>
      </c>
      <c r="M799" s="42">
        <v>1</v>
      </c>
      <c r="N799" s="42">
        <v>0</v>
      </c>
      <c r="O799">
        <v>0</v>
      </c>
    </row>
    <row r="800" spans="3:15" x14ac:dyDescent="0.15">
      <c r="C800" s="43" t="s">
        <v>856</v>
      </c>
      <c r="D800" s="42">
        <v>12</v>
      </c>
      <c r="E800" s="42">
        <v>25</v>
      </c>
      <c r="F800" s="42">
        <v>4</v>
      </c>
      <c r="G800" s="42">
        <v>1</v>
      </c>
      <c r="H800" s="42">
        <v>1</v>
      </c>
      <c r="I800" s="42">
        <v>0</v>
      </c>
      <c r="J800" s="42">
        <v>0</v>
      </c>
      <c r="K800" s="42">
        <v>0</v>
      </c>
      <c r="L800" s="42">
        <v>0</v>
      </c>
      <c r="M800" s="42">
        <v>1</v>
      </c>
      <c r="N800" s="42">
        <v>0</v>
      </c>
      <c r="O800">
        <v>0</v>
      </c>
    </row>
    <row r="801" spans="3:15" x14ac:dyDescent="0.15">
      <c r="C801" s="43" t="s">
        <v>857</v>
      </c>
      <c r="D801" s="42">
        <v>28</v>
      </c>
      <c r="E801" s="42">
        <v>50</v>
      </c>
      <c r="F801" s="42">
        <v>3</v>
      </c>
      <c r="G801" s="42">
        <v>1</v>
      </c>
      <c r="H801" s="42">
        <v>0</v>
      </c>
      <c r="I801" s="42">
        <v>1</v>
      </c>
      <c r="J801" s="42">
        <v>0</v>
      </c>
      <c r="K801" s="42">
        <v>0</v>
      </c>
      <c r="L801" s="42">
        <v>0</v>
      </c>
      <c r="M801" s="42">
        <v>1</v>
      </c>
      <c r="N801" s="42">
        <v>1</v>
      </c>
      <c r="O801">
        <v>0</v>
      </c>
    </row>
    <row r="802" spans="3:15" x14ac:dyDescent="0.15">
      <c r="C802" s="43" t="s">
        <v>858</v>
      </c>
      <c r="D802" s="42">
        <v>5</v>
      </c>
      <c r="E802" s="42">
        <v>38</v>
      </c>
      <c r="F802" s="42">
        <v>4</v>
      </c>
      <c r="G802" s="42">
        <v>0.8</v>
      </c>
      <c r="H802" s="42">
        <v>1</v>
      </c>
      <c r="I802" s="42">
        <v>0</v>
      </c>
      <c r="J802" s="42">
        <v>129</v>
      </c>
      <c r="K802" s="42">
        <v>0</v>
      </c>
      <c r="L802" s="42">
        <v>0</v>
      </c>
      <c r="M802" s="42">
        <v>1</v>
      </c>
      <c r="N802" s="42">
        <v>1</v>
      </c>
      <c r="O802">
        <v>0</v>
      </c>
    </row>
    <row r="803" spans="3:15" x14ac:dyDescent="0.15">
      <c r="C803" s="43" t="s">
        <v>859</v>
      </c>
      <c r="D803" s="42">
        <v>21</v>
      </c>
      <c r="E803" s="42">
        <v>20</v>
      </c>
      <c r="F803" s="42">
        <v>1</v>
      </c>
      <c r="G803" s="42">
        <v>0.2</v>
      </c>
      <c r="H803" s="42">
        <v>1</v>
      </c>
      <c r="I803" s="42">
        <v>0</v>
      </c>
      <c r="J803" s="42">
        <v>0</v>
      </c>
      <c r="K803" s="42">
        <v>0</v>
      </c>
      <c r="L803" s="42">
        <v>0</v>
      </c>
      <c r="M803" s="42">
        <v>1</v>
      </c>
      <c r="N803" s="42">
        <v>1</v>
      </c>
      <c r="O803">
        <v>0</v>
      </c>
    </row>
    <row r="804" spans="3:15" x14ac:dyDescent="0.15">
      <c r="C804" s="43" t="s">
        <v>860</v>
      </c>
      <c r="D804" s="42">
        <v>20</v>
      </c>
      <c r="E804" s="42">
        <v>69</v>
      </c>
      <c r="F804" s="42">
        <v>1</v>
      </c>
      <c r="G804" s="42">
        <v>0.8</v>
      </c>
      <c r="H804" s="42">
        <v>0</v>
      </c>
      <c r="I804" s="42">
        <v>0</v>
      </c>
      <c r="J804" s="42">
        <v>184</v>
      </c>
      <c r="K804" s="42">
        <v>0</v>
      </c>
      <c r="L804" s="42">
        <v>1</v>
      </c>
      <c r="M804" s="42">
        <v>1</v>
      </c>
      <c r="N804" s="42">
        <v>1</v>
      </c>
      <c r="O804">
        <v>0</v>
      </c>
    </row>
    <row r="805" spans="3:15" x14ac:dyDescent="0.15">
      <c r="C805" s="43" t="s">
        <v>861</v>
      </c>
      <c r="D805" s="42">
        <v>34</v>
      </c>
      <c r="E805" s="42">
        <v>64</v>
      </c>
      <c r="F805" s="42">
        <v>2</v>
      </c>
      <c r="G805" s="42">
        <v>1.7</v>
      </c>
      <c r="H805" s="42">
        <v>0</v>
      </c>
      <c r="I805" s="42">
        <v>0</v>
      </c>
      <c r="J805" s="42">
        <v>236</v>
      </c>
      <c r="K805" s="42">
        <v>1</v>
      </c>
      <c r="L805" s="42">
        <v>0</v>
      </c>
      <c r="M805" s="42">
        <v>1</v>
      </c>
      <c r="N805" s="42">
        <v>0</v>
      </c>
      <c r="O805">
        <v>0</v>
      </c>
    </row>
    <row r="806" spans="3:15" x14ac:dyDescent="0.15">
      <c r="C806" s="43" t="s">
        <v>862</v>
      </c>
      <c r="D806" s="42">
        <v>12</v>
      </c>
      <c r="E806" s="42">
        <v>40</v>
      </c>
      <c r="F806" s="42">
        <v>2</v>
      </c>
      <c r="G806" s="42">
        <v>0.6</v>
      </c>
      <c r="H806" s="42">
        <v>0</v>
      </c>
      <c r="I806" s="42">
        <v>0</v>
      </c>
      <c r="J806" s="42">
        <v>0</v>
      </c>
      <c r="K806" s="42">
        <v>0</v>
      </c>
      <c r="L806" s="42">
        <v>0</v>
      </c>
      <c r="M806" s="42">
        <v>1</v>
      </c>
      <c r="N806" s="42">
        <v>1</v>
      </c>
      <c r="O806">
        <v>0</v>
      </c>
    </row>
    <row r="807" spans="3:15" x14ac:dyDescent="0.15">
      <c r="C807" s="43" t="s">
        <v>863</v>
      </c>
      <c r="D807" s="42">
        <v>34</v>
      </c>
      <c r="E807" s="42">
        <v>42</v>
      </c>
      <c r="F807" s="42">
        <v>3</v>
      </c>
      <c r="G807" s="42">
        <v>1.5</v>
      </c>
      <c r="H807" s="42">
        <v>1</v>
      </c>
      <c r="I807" s="42">
        <v>0</v>
      </c>
      <c r="J807" s="42">
        <v>0</v>
      </c>
      <c r="K807" s="42">
        <v>1</v>
      </c>
      <c r="L807" s="42">
        <v>1</v>
      </c>
      <c r="M807" s="42">
        <v>0</v>
      </c>
      <c r="N807" s="42">
        <v>1</v>
      </c>
      <c r="O807">
        <v>0</v>
      </c>
    </row>
    <row r="808" spans="3:15" x14ac:dyDescent="0.15">
      <c r="C808" s="43" t="s">
        <v>864</v>
      </c>
      <c r="D808" s="42">
        <v>8</v>
      </c>
      <c r="E808" s="42">
        <v>39</v>
      </c>
      <c r="F808" s="42">
        <v>1</v>
      </c>
      <c r="G808" s="42">
        <v>1.7</v>
      </c>
      <c r="H808" s="42">
        <v>1</v>
      </c>
      <c r="I808" s="42">
        <v>0</v>
      </c>
      <c r="J808" s="42">
        <v>0</v>
      </c>
      <c r="K808" s="42">
        <v>0</v>
      </c>
      <c r="L808" s="42">
        <v>0</v>
      </c>
      <c r="M808" s="42">
        <v>1</v>
      </c>
      <c r="N808" s="42">
        <v>1</v>
      </c>
      <c r="O808">
        <v>0</v>
      </c>
    </row>
    <row r="809" spans="3:15" x14ac:dyDescent="0.15">
      <c r="C809" s="43" t="s">
        <v>865</v>
      </c>
      <c r="D809" s="42">
        <v>34</v>
      </c>
      <c r="E809" s="42">
        <v>84</v>
      </c>
      <c r="F809" s="42">
        <v>3</v>
      </c>
      <c r="G809" s="42">
        <v>1.6</v>
      </c>
      <c r="H809" s="42">
        <v>0</v>
      </c>
      <c r="I809" s="42">
        <v>0</v>
      </c>
      <c r="J809" s="42">
        <v>0</v>
      </c>
      <c r="K809" s="42">
        <v>0</v>
      </c>
      <c r="L809" s="42">
        <v>0</v>
      </c>
      <c r="M809" s="42">
        <v>1</v>
      </c>
      <c r="N809" s="42">
        <v>0</v>
      </c>
      <c r="O809">
        <v>0</v>
      </c>
    </row>
    <row r="810" spans="3:15" x14ac:dyDescent="0.15">
      <c r="C810" s="43" t="s">
        <v>866</v>
      </c>
      <c r="D810" s="42">
        <v>0</v>
      </c>
      <c r="E810" s="42">
        <v>73</v>
      </c>
      <c r="F810" s="42">
        <v>4</v>
      </c>
      <c r="G810" s="42">
        <v>2.6</v>
      </c>
      <c r="H810" s="42">
        <v>1</v>
      </c>
      <c r="I810" s="42">
        <v>0</v>
      </c>
      <c r="J810" s="42">
        <v>0</v>
      </c>
      <c r="K810" s="42">
        <v>0</v>
      </c>
      <c r="L810" s="42">
        <v>0</v>
      </c>
      <c r="M810" s="42">
        <v>1</v>
      </c>
      <c r="N810" s="42">
        <v>0</v>
      </c>
      <c r="O810">
        <v>0</v>
      </c>
    </row>
    <row r="811" spans="3:15" x14ac:dyDescent="0.15">
      <c r="C811" s="43" t="s">
        <v>867</v>
      </c>
      <c r="D811" s="42">
        <v>6</v>
      </c>
      <c r="E811" s="42">
        <v>118</v>
      </c>
      <c r="F811" s="42">
        <v>2</v>
      </c>
      <c r="G811" s="42">
        <v>2.8</v>
      </c>
      <c r="H811" s="42">
        <v>0</v>
      </c>
      <c r="I811" s="42">
        <v>1</v>
      </c>
      <c r="J811" s="42">
        <v>0</v>
      </c>
      <c r="K811" s="42">
        <v>0</v>
      </c>
      <c r="L811" s="42">
        <v>0</v>
      </c>
      <c r="M811" s="42">
        <v>0</v>
      </c>
      <c r="N811" s="42">
        <v>0</v>
      </c>
      <c r="O811">
        <v>1</v>
      </c>
    </row>
    <row r="812" spans="3:15" x14ac:dyDescent="0.15">
      <c r="C812" s="43" t="s">
        <v>868</v>
      </c>
      <c r="D812" s="42">
        <v>6</v>
      </c>
      <c r="E812" s="42">
        <v>18</v>
      </c>
      <c r="F812" s="42">
        <v>3</v>
      </c>
      <c r="G812" s="42">
        <v>0.9</v>
      </c>
      <c r="H812" s="42">
        <v>0</v>
      </c>
      <c r="I812" s="42">
        <v>0</v>
      </c>
      <c r="J812" s="42">
        <v>0</v>
      </c>
      <c r="K812" s="42">
        <v>0</v>
      </c>
      <c r="L812" s="42">
        <v>0</v>
      </c>
      <c r="M812" s="42">
        <v>0</v>
      </c>
      <c r="N812" s="42">
        <v>0</v>
      </c>
      <c r="O812">
        <v>0</v>
      </c>
    </row>
    <row r="813" spans="3:15" x14ac:dyDescent="0.15">
      <c r="C813" s="43" t="s">
        <v>869</v>
      </c>
      <c r="D813" s="42">
        <v>31</v>
      </c>
      <c r="E813" s="42">
        <v>32</v>
      </c>
      <c r="F813" s="42">
        <v>3</v>
      </c>
      <c r="G813" s="42">
        <v>1.4</v>
      </c>
      <c r="H813" s="42">
        <v>1</v>
      </c>
      <c r="I813" s="42">
        <v>0</v>
      </c>
      <c r="J813" s="42">
        <v>0</v>
      </c>
      <c r="K813" s="42">
        <v>1</v>
      </c>
      <c r="L813" s="42">
        <v>1</v>
      </c>
      <c r="M813" s="42">
        <v>1</v>
      </c>
      <c r="N813" s="42">
        <v>1</v>
      </c>
      <c r="O813">
        <v>0</v>
      </c>
    </row>
    <row r="814" spans="3:15" x14ac:dyDescent="0.15">
      <c r="C814" s="43" t="s">
        <v>870</v>
      </c>
      <c r="D814" s="42">
        <v>2</v>
      </c>
      <c r="E814" s="42">
        <v>51</v>
      </c>
      <c r="F814" s="42">
        <v>4</v>
      </c>
      <c r="G814" s="42">
        <v>1.8</v>
      </c>
      <c r="H814" s="42">
        <v>0</v>
      </c>
      <c r="I814" s="42">
        <v>0</v>
      </c>
      <c r="J814" s="42">
        <v>0</v>
      </c>
      <c r="K814" s="42">
        <v>0</v>
      </c>
      <c r="L814" s="42">
        <v>0</v>
      </c>
      <c r="M814" s="42">
        <v>0</v>
      </c>
      <c r="N814" s="42">
        <v>1</v>
      </c>
      <c r="O814">
        <v>0</v>
      </c>
    </row>
    <row r="815" spans="3:15" x14ac:dyDescent="0.15">
      <c r="C815" s="43" t="s">
        <v>871</v>
      </c>
      <c r="D815" s="42">
        <v>23</v>
      </c>
      <c r="E815" s="42">
        <v>58</v>
      </c>
      <c r="F815" s="42">
        <v>4</v>
      </c>
      <c r="G815" s="42">
        <v>2</v>
      </c>
      <c r="H815" s="42">
        <v>0</v>
      </c>
      <c r="I815" s="42">
        <v>0</v>
      </c>
      <c r="J815" s="42">
        <v>0</v>
      </c>
      <c r="K815" s="42">
        <v>0</v>
      </c>
      <c r="L815" s="42">
        <v>0</v>
      </c>
      <c r="M815" s="42">
        <v>1</v>
      </c>
      <c r="N815" s="42">
        <v>1</v>
      </c>
      <c r="O815">
        <v>0</v>
      </c>
    </row>
    <row r="816" spans="3:15" x14ac:dyDescent="0.15">
      <c r="C816" s="43" t="s">
        <v>872</v>
      </c>
      <c r="D816" s="42">
        <v>32</v>
      </c>
      <c r="E816" s="42">
        <v>65</v>
      </c>
      <c r="F816" s="42">
        <v>3</v>
      </c>
      <c r="G816" s="42">
        <v>2.5</v>
      </c>
      <c r="H816" s="42">
        <v>1</v>
      </c>
      <c r="I816" s="42">
        <v>0</v>
      </c>
      <c r="J816" s="42">
        <v>222</v>
      </c>
      <c r="K816" s="42">
        <v>0</v>
      </c>
      <c r="L816" s="42">
        <v>0</v>
      </c>
      <c r="M816" s="42">
        <v>1</v>
      </c>
      <c r="N816" s="42">
        <v>0</v>
      </c>
      <c r="O816">
        <v>0</v>
      </c>
    </row>
    <row r="817" spans="3:15" x14ac:dyDescent="0.15">
      <c r="C817" s="43" t="s">
        <v>873</v>
      </c>
      <c r="D817" s="42">
        <v>21</v>
      </c>
      <c r="E817" s="42">
        <v>23</v>
      </c>
      <c r="F817" s="42">
        <v>3</v>
      </c>
      <c r="G817" s="42">
        <v>0.66666666666666663</v>
      </c>
      <c r="H817" s="42">
        <v>0</v>
      </c>
      <c r="I817" s="42">
        <v>1</v>
      </c>
      <c r="J817" s="42">
        <v>0</v>
      </c>
      <c r="K817" s="42">
        <v>0</v>
      </c>
      <c r="L817" s="42">
        <v>0</v>
      </c>
      <c r="M817" s="42">
        <v>1</v>
      </c>
      <c r="N817" s="42">
        <v>0</v>
      </c>
      <c r="O817">
        <v>0</v>
      </c>
    </row>
    <row r="818" spans="3:15" x14ac:dyDescent="0.15">
      <c r="C818" s="43" t="s">
        <v>874</v>
      </c>
      <c r="D818" s="42">
        <v>5</v>
      </c>
      <c r="E818" s="42">
        <v>72</v>
      </c>
      <c r="F818" s="42">
        <v>3</v>
      </c>
      <c r="G818" s="42">
        <v>0.7</v>
      </c>
      <c r="H818" s="42">
        <v>0</v>
      </c>
      <c r="I818" s="42">
        <v>1</v>
      </c>
      <c r="J818" s="42">
        <v>81</v>
      </c>
      <c r="K818" s="42">
        <v>0</v>
      </c>
      <c r="L818" s="42">
        <v>0</v>
      </c>
      <c r="M818" s="42">
        <v>0</v>
      </c>
      <c r="N818" s="42">
        <v>0</v>
      </c>
      <c r="O818">
        <v>0</v>
      </c>
    </row>
    <row r="819" spans="3:15" x14ac:dyDescent="0.15">
      <c r="C819" s="43" t="s">
        <v>875</v>
      </c>
      <c r="D819" s="42">
        <v>37</v>
      </c>
      <c r="E819" s="42">
        <v>85</v>
      </c>
      <c r="F819" s="42">
        <v>4</v>
      </c>
      <c r="G819" s="42">
        <v>3.4</v>
      </c>
      <c r="H819" s="42">
        <v>0</v>
      </c>
      <c r="I819" s="42">
        <v>1</v>
      </c>
      <c r="J819" s="42">
        <v>0</v>
      </c>
      <c r="K819" s="42">
        <v>0</v>
      </c>
      <c r="L819" s="42">
        <v>0</v>
      </c>
      <c r="M819" s="42">
        <v>1</v>
      </c>
      <c r="N819" s="42">
        <v>0</v>
      </c>
      <c r="O819">
        <v>0</v>
      </c>
    </row>
    <row r="820" spans="3:15" x14ac:dyDescent="0.15">
      <c r="C820" s="43" t="s">
        <v>876</v>
      </c>
      <c r="D820" s="42">
        <v>9</v>
      </c>
      <c r="E820" s="42">
        <v>20</v>
      </c>
      <c r="F820" s="42">
        <v>4</v>
      </c>
      <c r="G820" s="42">
        <v>1.1000000000000001</v>
      </c>
      <c r="H820" s="42">
        <v>0</v>
      </c>
      <c r="I820" s="42">
        <v>0</v>
      </c>
      <c r="J820" s="42">
        <v>0</v>
      </c>
      <c r="K820" s="42">
        <v>0</v>
      </c>
      <c r="L820" s="42">
        <v>0</v>
      </c>
      <c r="M820" s="42">
        <v>1</v>
      </c>
      <c r="N820" s="42">
        <v>0</v>
      </c>
      <c r="O820">
        <v>0</v>
      </c>
    </row>
    <row r="821" spans="3:15" x14ac:dyDescent="0.15">
      <c r="C821" s="43" t="s">
        <v>877</v>
      </c>
      <c r="D821" s="42">
        <v>26</v>
      </c>
      <c r="E821" s="42">
        <v>39</v>
      </c>
      <c r="F821" s="42">
        <v>3</v>
      </c>
      <c r="G821" s="42">
        <v>1.9</v>
      </c>
      <c r="H821" s="42">
        <v>0</v>
      </c>
      <c r="I821" s="42">
        <v>1</v>
      </c>
      <c r="J821" s="42">
        <v>0</v>
      </c>
      <c r="K821" s="42">
        <v>0</v>
      </c>
      <c r="L821" s="42">
        <v>0</v>
      </c>
      <c r="M821" s="42">
        <v>1</v>
      </c>
      <c r="N821" s="42">
        <v>0</v>
      </c>
      <c r="O821">
        <v>0</v>
      </c>
    </row>
    <row r="822" spans="3:15" x14ac:dyDescent="0.15">
      <c r="C822" s="43" t="s">
        <v>878</v>
      </c>
      <c r="D822" s="42">
        <v>32</v>
      </c>
      <c r="E822" s="42">
        <v>122</v>
      </c>
      <c r="F822" s="42">
        <v>2</v>
      </c>
      <c r="G822" s="42">
        <v>0.3</v>
      </c>
      <c r="H822" s="42">
        <v>1</v>
      </c>
      <c r="I822" s="42">
        <v>0</v>
      </c>
      <c r="J822" s="42">
        <v>360</v>
      </c>
      <c r="K822" s="42">
        <v>0</v>
      </c>
      <c r="L822" s="42">
        <v>1</v>
      </c>
      <c r="M822" s="42">
        <v>1</v>
      </c>
      <c r="N822" s="42">
        <v>1</v>
      </c>
      <c r="O822">
        <v>0</v>
      </c>
    </row>
    <row r="823" spans="3:15" x14ac:dyDescent="0.15">
      <c r="C823" s="43" t="s">
        <v>879</v>
      </c>
      <c r="D823" s="42">
        <v>27</v>
      </c>
      <c r="E823" s="42">
        <v>195</v>
      </c>
      <c r="F823" s="42">
        <v>1</v>
      </c>
      <c r="G823" s="42">
        <v>8.1</v>
      </c>
      <c r="H823" s="42">
        <v>1</v>
      </c>
      <c r="I823" s="42">
        <v>0</v>
      </c>
      <c r="J823" s="42">
        <v>0</v>
      </c>
      <c r="K823" s="42">
        <v>0</v>
      </c>
      <c r="L823" s="42">
        <v>0</v>
      </c>
      <c r="M823" s="42">
        <v>0</v>
      </c>
      <c r="N823" s="42">
        <v>0</v>
      </c>
      <c r="O823">
        <v>0</v>
      </c>
    </row>
    <row r="824" spans="3:15" x14ac:dyDescent="0.15">
      <c r="C824" s="43" t="s">
        <v>880</v>
      </c>
      <c r="D824" s="42">
        <v>36</v>
      </c>
      <c r="E824" s="42">
        <v>135</v>
      </c>
      <c r="F824" s="42">
        <v>2</v>
      </c>
      <c r="G824" s="42">
        <v>5.2</v>
      </c>
      <c r="H824" s="42">
        <v>0</v>
      </c>
      <c r="I824" s="42">
        <v>1</v>
      </c>
      <c r="J824" s="42">
        <v>0</v>
      </c>
      <c r="K824" s="42">
        <v>0</v>
      </c>
      <c r="L824" s="42">
        <v>0</v>
      </c>
      <c r="M824" s="42">
        <v>1</v>
      </c>
      <c r="N824" s="42">
        <v>0</v>
      </c>
      <c r="O824">
        <v>1</v>
      </c>
    </row>
    <row r="825" spans="3:15" x14ac:dyDescent="0.15">
      <c r="C825" s="43" t="s">
        <v>881</v>
      </c>
      <c r="D825" s="42">
        <v>13</v>
      </c>
      <c r="E825" s="42">
        <v>82</v>
      </c>
      <c r="F825" s="42">
        <v>2</v>
      </c>
      <c r="G825" s="42">
        <v>2.2000000000000002</v>
      </c>
      <c r="H825" s="42">
        <v>1</v>
      </c>
      <c r="I825" s="42">
        <v>0</v>
      </c>
      <c r="J825" s="42">
        <v>0</v>
      </c>
      <c r="K825" s="42">
        <v>0</v>
      </c>
      <c r="L825" s="42">
        <v>0</v>
      </c>
      <c r="M825" s="42">
        <v>0</v>
      </c>
      <c r="N825" s="42">
        <v>0</v>
      </c>
      <c r="O825">
        <v>0</v>
      </c>
    </row>
    <row r="826" spans="3:15" x14ac:dyDescent="0.15">
      <c r="C826" s="43" t="s">
        <v>882</v>
      </c>
      <c r="D826" s="42">
        <v>36</v>
      </c>
      <c r="E826" s="42">
        <v>29</v>
      </c>
      <c r="F826" s="42">
        <v>2</v>
      </c>
      <c r="G826" s="42">
        <v>0.7</v>
      </c>
      <c r="H826" s="42">
        <v>0</v>
      </c>
      <c r="I826" s="42">
        <v>0</v>
      </c>
      <c r="J826" s="42">
        <v>0</v>
      </c>
      <c r="K826" s="42">
        <v>0</v>
      </c>
      <c r="L826" s="42">
        <v>0</v>
      </c>
      <c r="M826" s="42">
        <v>0</v>
      </c>
      <c r="N826" s="42">
        <v>0</v>
      </c>
      <c r="O826">
        <v>0</v>
      </c>
    </row>
    <row r="827" spans="3:15" x14ac:dyDescent="0.15">
      <c r="C827" s="43" t="s">
        <v>883</v>
      </c>
      <c r="D827" s="42">
        <v>1</v>
      </c>
      <c r="E827" s="42">
        <v>41</v>
      </c>
      <c r="F827" s="42">
        <v>1</v>
      </c>
      <c r="G827" s="42">
        <v>1.9</v>
      </c>
      <c r="H827" s="42">
        <v>0</v>
      </c>
      <c r="I827" s="42">
        <v>0</v>
      </c>
      <c r="J827" s="42">
        <v>0</v>
      </c>
      <c r="K827" s="42">
        <v>0</v>
      </c>
      <c r="L827" s="42">
        <v>0</v>
      </c>
      <c r="M827" s="42">
        <v>0</v>
      </c>
      <c r="N827" s="42">
        <v>1</v>
      </c>
      <c r="O827">
        <v>0</v>
      </c>
    </row>
    <row r="828" spans="3:15" x14ac:dyDescent="0.15">
      <c r="C828" s="43" t="s">
        <v>884</v>
      </c>
      <c r="D828" s="42">
        <v>38</v>
      </c>
      <c r="E828" s="42">
        <v>22</v>
      </c>
      <c r="F828" s="42">
        <v>2</v>
      </c>
      <c r="G828" s="42">
        <v>0.2</v>
      </c>
      <c r="H828" s="42">
        <v>0</v>
      </c>
      <c r="I828" s="42">
        <v>0</v>
      </c>
      <c r="J828" s="42">
        <v>0</v>
      </c>
      <c r="K828" s="42">
        <v>1</v>
      </c>
      <c r="L828" s="42">
        <v>0</v>
      </c>
      <c r="M828" s="42">
        <v>0</v>
      </c>
      <c r="N828" s="42">
        <v>0</v>
      </c>
      <c r="O828">
        <v>0</v>
      </c>
    </row>
    <row r="829" spans="3:15" x14ac:dyDescent="0.15">
      <c r="C829" s="43" t="s">
        <v>885</v>
      </c>
      <c r="D829" s="42">
        <v>27</v>
      </c>
      <c r="E829" s="42">
        <v>23</v>
      </c>
      <c r="F829" s="42">
        <v>1</v>
      </c>
      <c r="G829" s="42">
        <v>0.2</v>
      </c>
      <c r="H829" s="42">
        <v>1</v>
      </c>
      <c r="I829" s="42">
        <v>0</v>
      </c>
      <c r="J829" s="42">
        <v>0</v>
      </c>
      <c r="K829" s="42">
        <v>0</v>
      </c>
      <c r="L829" s="42">
        <v>0</v>
      </c>
      <c r="M829" s="42">
        <v>1</v>
      </c>
      <c r="N829" s="42">
        <v>0</v>
      </c>
      <c r="O829">
        <v>0</v>
      </c>
    </row>
    <row r="830" spans="3:15" x14ac:dyDescent="0.15">
      <c r="C830" s="43" t="s">
        <v>886</v>
      </c>
      <c r="D830" s="42">
        <v>29</v>
      </c>
      <c r="E830" s="42">
        <v>79</v>
      </c>
      <c r="F830" s="42">
        <v>4</v>
      </c>
      <c r="G830" s="42">
        <v>3.8</v>
      </c>
      <c r="H830" s="42">
        <v>0</v>
      </c>
      <c r="I830" s="42">
        <v>1</v>
      </c>
      <c r="J830" s="42">
        <v>0</v>
      </c>
      <c r="K830" s="42">
        <v>1</v>
      </c>
      <c r="L830" s="42">
        <v>0</v>
      </c>
      <c r="M830" s="42">
        <v>1</v>
      </c>
      <c r="N830" s="42">
        <v>0</v>
      </c>
      <c r="O830">
        <v>0</v>
      </c>
    </row>
    <row r="831" spans="3:15" x14ac:dyDescent="0.15">
      <c r="C831" s="43" t="s">
        <v>887</v>
      </c>
      <c r="D831" s="42">
        <v>30</v>
      </c>
      <c r="E831" s="42">
        <v>164</v>
      </c>
      <c r="F831" s="42">
        <v>4</v>
      </c>
      <c r="G831" s="42">
        <v>0.5</v>
      </c>
      <c r="H831" s="42">
        <v>0</v>
      </c>
      <c r="I831" s="42">
        <v>1</v>
      </c>
      <c r="J831" s="42">
        <v>234</v>
      </c>
      <c r="K831" s="42">
        <v>0</v>
      </c>
      <c r="L831" s="42">
        <v>1</v>
      </c>
      <c r="M831" s="42">
        <v>1</v>
      </c>
      <c r="N831" s="42">
        <v>1</v>
      </c>
      <c r="O831">
        <v>1</v>
      </c>
    </row>
    <row r="832" spans="3:15" x14ac:dyDescent="0.15">
      <c r="C832" s="43" t="s">
        <v>888</v>
      </c>
      <c r="D832" s="42">
        <v>20</v>
      </c>
      <c r="E832" s="42">
        <v>39</v>
      </c>
      <c r="F832" s="42">
        <v>1</v>
      </c>
      <c r="G832" s="42">
        <v>0.2</v>
      </c>
      <c r="H832" s="42">
        <v>1</v>
      </c>
      <c r="I832" s="42">
        <v>0</v>
      </c>
      <c r="J832" s="42">
        <v>0</v>
      </c>
      <c r="K832" s="42">
        <v>0</v>
      </c>
      <c r="L832" s="42">
        <v>0</v>
      </c>
      <c r="M832" s="42">
        <v>0</v>
      </c>
      <c r="N832" s="42">
        <v>0</v>
      </c>
      <c r="O832">
        <v>0</v>
      </c>
    </row>
    <row r="833" spans="3:15" x14ac:dyDescent="0.15">
      <c r="C833" s="43" t="s">
        <v>889</v>
      </c>
      <c r="D833" s="42">
        <v>19</v>
      </c>
      <c r="E833" s="42">
        <v>93</v>
      </c>
      <c r="F833" s="42">
        <v>4</v>
      </c>
      <c r="G833" s="42">
        <v>2.6</v>
      </c>
      <c r="H833" s="42">
        <v>0</v>
      </c>
      <c r="I833" s="42">
        <v>0</v>
      </c>
      <c r="J833" s="42">
        <v>0</v>
      </c>
      <c r="K833" s="42">
        <v>0</v>
      </c>
      <c r="L833" s="42">
        <v>0</v>
      </c>
      <c r="M833" s="42">
        <v>0</v>
      </c>
      <c r="N833" s="42">
        <v>0</v>
      </c>
      <c r="O833">
        <v>0</v>
      </c>
    </row>
    <row r="834" spans="3:15" x14ac:dyDescent="0.15">
      <c r="C834" s="43" t="s">
        <v>890</v>
      </c>
      <c r="D834" s="42">
        <v>2</v>
      </c>
      <c r="E834" s="42">
        <v>101</v>
      </c>
      <c r="F834" s="42">
        <v>1</v>
      </c>
      <c r="G834" s="42">
        <v>1.9</v>
      </c>
      <c r="H834" s="42">
        <v>1</v>
      </c>
      <c r="I834" s="42">
        <v>0</v>
      </c>
      <c r="J834" s="42">
        <v>0</v>
      </c>
      <c r="K834" s="42">
        <v>0</v>
      </c>
      <c r="L834" s="42">
        <v>0</v>
      </c>
      <c r="M834" s="42">
        <v>0</v>
      </c>
      <c r="N834" s="42">
        <v>0</v>
      </c>
      <c r="O834">
        <v>0</v>
      </c>
    </row>
    <row r="835" spans="3:15" x14ac:dyDescent="0.15">
      <c r="C835" s="43" t="s">
        <v>891</v>
      </c>
      <c r="D835" s="42">
        <v>30</v>
      </c>
      <c r="E835" s="42">
        <v>55</v>
      </c>
      <c r="F835" s="42">
        <v>4</v>
      </c>
      <c r="G835" s="42">
        <v>0.9</v>
      </c>
      <c r="H835" s="42">
        <v>1</v>
      </c>
      <c r="I835" s="42">
        <v>0</v>
      </c>
      <c r="J835" s="42">
        <v>215</v>
      </c>
      <c r="K835" s="42">
        <v>0</v>
      </c>
      <c r="L835" s="42">
        <v>0</v>
      </c>
      <c r="M835" s="42">
        <v>1</v>
      </c>
      <c r="N835" s="42">
        <v>1</v>
      </c>
      <c r="O835">
        <v>0</v>
      </c>
    </row>
    <row r="836" spans="3:15" x14ac:dyDescent="0.15">
      <c r="C836" s="43" t="s">
        <v>892</v>
      </c>
      <c r="D836" s="42">
        <v>10</v>
      </c>
      <c r="E836" s="42">
        <v>38</v>
      </c>
      <c r="F836" s="42">
        <v>4</v>
      </c>
      <c r="G836" s="42">
        <v>1.7</v>
      </c>
      <c r="H836" s="42">
        <v>1</v>
      </c>
      <c r="I836" s="42">
        <v>0</v>
      </c>
      <c r="J836" s="42">
        <v>0</v>
      </c>
      <c r="K836" s="42">
        <v>0</v>
      </c>
      <c r="L836" s="42">
        <v>0</v>
      </c>
      <c r="M836" s="42">
        <v>1</v>
      </c>
      <c r="N836" s="42">
        <v>1</v>
      </c>
      <c r="O836">
        <v>0</v>
      </c>
    </row>
    <row r="837" spans="3:15" x14ac:dyDescent="0.15">
      <c r="C837" s="43" t="s">
        <v>893</v>
      </c>
      <c r="D837" s="42">
        <v>20</v>
      </c>
      <c r="E837" s="42">
        <v>20</v>
      </c>
      <c r="F837" s="42">
        <v>1</v>
      </c>
      <c r="G837" s="42">
        <v>1.4</v>
      </c>
      <c r="H837" s="42">
        <v>0</v>
      </c>
      <c r="I837" s="42">
        <v>0</v>
      </c>
      <c r="J837" s="42">
        <v>0</v>
      </c>
      <c r="K837" s="42">
        <v>0</v>
      </c>
      <c r="L837" s="42">
        <v>0</v>
      </c>
      <c r="M837" s="42">
        <v>0</v>
      </c>
      <c r="N837" s="42">
        <v>0</v>
      </c>
      <c r="O837">
        <v>0</v>
      </c>
    </row>
    <row r="838" spans="3:15" x14ac:dyDescent="0.15">
      <c r="C838" s="43" t="s">
        <v>894</v>
      </c>
      <c r="D838" s="42">
        <v>4</v>
      </c>
      <c r="E838" s="42">
        <v>62</v>
      </c>
      <c r="F838" s="42">
        <v>2</v>
      </c>
      <c r="G838" s="42">
        <v>2.5</v>
      </c>
      <c r="H838" s="42">
        <v>1</v>
      </c>
      <c r="I838" s="42">
        <v>0</v>
      </c>
      <c r="J838" s="42">
        <v>184</v>
      </c>
      <c r="K838" s="42">
        <v>0</v>
      </c>
      <c r="L838" s="42">
        <v>0</v>
      </c>
      <c r="M838" s="42">
        <v>1</v>
      </c>
      <c r="N838" s="42">
        <v>0</v>
      </c>
      <c r="O838">
        <v>0</v>
      </c>
    </row>
    <row r="839" spans="3:15" x14ac:dyDescent="0.15">
      <c r="C839" s="43" t="s">
        <v>895</v>
      </c>
      <c r="D839" s="42">
        <v>41</v>
      </c>
      <c r="E839" s="42">
        <v>18</v>
      </c>
      <c r="F839" s="42">
        <v>3</v>
      </c>
      <c r="G839" s="42">
        <v>0.5</v>
      </c>
      <c r="H839" s="42">
        <v>1</v>
      </c>
      <c r="I839" s="42">
        <v>0</v>
      </c>
      <c r="J839" s="42">
        <v>0</v>
      </c>
      <c r="K839" s="42">
        <v>0</v>
      </c>
      <c r="L839" s="42">
        <v>0</v>
      </c>
      <c r="M839" s="42">
        <v>0</v>
      </c>
      <c r="N839" s="42">
        <v>0</v>
      </c>
      <c r="O839">
        <v>0</v>
      </c>
    </row>
    <row r="840" spans="3:15" x14ac:dyDescent="0.15">
      <c r="C840" s="43" t="s">
        <v>896</v>
      </c>
      <c r="D840" s="42">
        <v>36</v>
      </c>
      <c r="E840" s="42">
        <v>169</v>
      </c>
      <c r="F840" s="42">
        <v>2</v>
      </c>
      <c r="G840" s="42">
        <v>6.1</v>
      </c>
      <c r="H840" s="42">
        <v>0</v>
      </c>
      <c r="I840" s="42">
        <v>0</v>
      </c>
      <c r="J840" s="42">
        <v>106</v>
      </c>
      <c r="K840" s="42">
        <v>0</v>
      </c>
      <c r="L840" s="42">
        <v>1</v>
      </c>
      <c r="M840" s="42">
        <v>1</v>
      </c>
      <c r="N840" s="42">
        <v>1</v>
      </c>
      <c r="O840">
        <v>1</v>
      </c>
    </row>
    <row r="841" spans="3:15" x14ac:dyDescent="0.15">
      <c r="C841" s="43" t="s">
        <v>897</v>
      </c>
      <c r="D841" s="42">
        <v>7</v>
      </c>
      <c r="E841" s="42">
        <v>64</v>
      </c>
      <c r="F841" s="42">
        <v>1</v>
      </c>
      <c r="G841" s="42">
        <v>1.2</v>
      </c>
      <c r="H841" s="42">
        <v>1</v>
      </c>
      <c r="I841" s="42">
        <v>0</v>
      </c>
      <c r="J841" s="42">
        <v>0</v>
      </c>
      <c r="K841" s="42">
        <v>0</v>
      </c>
      <c r="L841" s="42">
        <v>0</v>
      </c>
      <c r="M841" s="42">
        <v>1</v>
      </c>
      <c r="N841" s="42">
        <v>0</v>
      </c>
      <c r="O841">
        <v>0</v>
      </c>
    </row>
    <row r="842" spans="3:15" x14ac:dyDescent="0.15">
      <c r="C842" s="43" t="s">
        <v>898</v>
      </c>
      <c r="D842" s="42">
        <v>25</v>
      </c>
      <c r="E842" s="42">
        <v>40</v>
      </c>
      <c r="F842" s="42">
        <v>1</v>
      </c>
      <c r="G842" s="42">
        <v>1.3</v>
      </c>
      <c r="H842" s="42">
        <v>0</v>
      </c>
      <c r="I842" s="42">
        <v>1</v>
      </c>
      <c r="J842" s="42">
        <v>0</v>
      </c>
      <c r="K842" s="42">
        <v>0</v>
      </c>
      <c r="L842" s="42">
        <v>0</v>
      </c>
      <c r="M842" s="42">
        <v>1</v>
      </c>
      <c r="N842" s="42">
        <v>1</v>
      </c>
      <c r="O842">
        <v>0</v>
      </c>
    </row>
    <row r="843" spans="3:15" x14ac:dyDescent="0.15">
      <c r="C843" s="43" t="s">
        <v>899</v>
      </c>
      <c r="D843" s="42">
        <v>40</v>
      </c>
      <c r="E843" s="42">
        <v>92</v>
      </c>
      <c r="F843" s="42">
        <v>2</v>
      </c>
      <c r="G843" s="42">
        <v>0</v>
      </c>
      <c r="H843" s="42">
        <v>0</v>
      </c>
      <c r="I843" s="42">
        <v>0</v>
      </c>
      <c r="J843" s="42">
        <v>185</v>
      </c>
      <c r="K843" s="42">
        <v>1</v>
      </c>
      <c r="L843" s="42">
        <v>0</v>
      </c>
      <c r="M843" s="42">
        <v>1</v>
      </c>
      <c r="N843" s="42">
        <v>0</v>
      </c>
      <c r="O843">
        <v>0</v>
      </c>
    </row>
    <row r="844" spans="3:15" x14ac:dyDescent="0.15">
      <c r="C844" s="43" t="s">
        <v>900</v>
      </c>
      <c r="D844" s="42">
        <v>9</v>
      </c>
      <c r="E844" s="42">
        <v>180</v>
      </c>
      <c r="F844" s="42">
        <v>1</v>
      </c>
      <c r="G844" s="42">
        <v>8.9</v>
      </c>
      <c r="H844" s="42">
        <v>0</v>
      </c>
      <c r="I844" s="42">
        <v>0</v>
      </c>
      <c r="J844" s="42">
        <v>0</v>
      </c>
      <c r="K844" s="42">
        <v>0</v>
      </c>
      <c r="L844" s="42">
        <v>0</v>
      </c>
      <c r="M844" s="42">
        <v>0</v>
      </c>
      <c r="N844" s="42">
        <v>0</v>
      </c>
      <c r="O844">
        <v>1</v>
      </c>
    </row>
    <row r="845" spans="3:15" x14ac:dyDescent="0.15">
      <c r="C845" s="43" t="s">
        <v>901</v>
      </c>
      <c r="D845" s="42">
        <v>21</v>
      </c>
      <c r="E845" s="42">
        <v>83</v>
      </c>
      <c r="F845" s="42">
        <v>1</v>
      </c>
      <c r="G845" s="42">
        <v>3.8</v>
      </c>
      <c r="H845" s="42">
        <v>1</v>
      </c>
      <c r="I845" s="42">
        <v>0</v>
      </c>
      <c r="J845" s="42">
        <v>97</v>
      </c>
      <c r="K845" s="42">
        <v>0</v>
      </c>
      <c r="L845" s="42">
        <v>0</v>
      </c>
      <c r="M845" s="42">
        <v>0</v>
      </c>
      <c r="N845" s="42">
        <v>0</v>
      </c>
      <c r="O845">
        <v>1</v>
      </c>
    </row>
    <row r="846" spans="3:15" x14ac:dyDescent="0.15">
      <c r="C846" s="43" t="s">
        <v>902</v>
      </c>
      <c r="D846" s="42">
        <v>28</v>
      </c>
      <c r="E846" s="42">
        <v>175</v>
      </c>
      <c r="F846" s="42">
        <v>3</v>
      </c>
      <c r="G846" s="42">
        <v>3.6</v>
      </c>
      <c r="H846" s="42">
        <v>0</v>
      </c>
      <c r="I846" s="42">
        <v>0</v>
      </c>
      <c r="J846" s="42">
        <v>0</v>
      </c>
      <c r="K846" s="42">
        <v>0</v>
      </c>
      <c r="L846" s="42">
        <v>1</v>
      </c>
      <c r="M846" s="42">
        <v>1</v>
      </c>
      <c r="N846" s="42">
        <v>1</v>
      </c>
      <c r="O846">
        <v>1</v>
      </c>
    </row>
    <row r="847" spans="3:15" x14ac:dyDescent="0.15">
      <c r="C847" s="43" t="s">
        <v>903</v>
      </c>
      <c r="D847" s="42">
        <v>17</v>
      </c>
      <c r="E847" s="42">
        <v>128</v>
      </c>
      <c r="F847" s="42">
        <v>2</v>
      </c>
      <c r="G847" s="42">
        <v>3.25</v>
      </c>
      <c r="H847" s="42">
        <v>0</v>
      </c>
      <c r="I847" s="42">
        <v>1</v>
      </c>
      <c r="J847" s="42">
        <v>0</v>
      </c>
      <c r="K847" s="42">
        <v>0</v>
      </c>
      <c r="L847" s="42">
        <v>0</v>
      </c>
      <c r="M847" s="42">
        <v>0</v>
      </c>
      <c r="N847" s="42">
        <v>1</v>
      </c>
      <c r="O847">
        <v>1</v>
      </c>
    </row>
    <row r="848" spans="3:15" x14ac:dyDescent="0.15">
      <c r="C848" s="43" t="s">
        <v>904</v>
      </c>
      <c r="D848" s="42">
        <v>32</v>
      </c>
      <c r="E848" s="42">
        <v>28</v>
      </c>
      <c r="F848" s="42">
        <v>3</v>
      </c>
      <c r="G848" s="42">
        <v>0.2</v>
      </c>
      <c r="H848" s="42">
        <v>1</v>
      </c>
      <c r="I848" s="42">
        <v>0</v>
      </c>
      <c r="J848" s="42">
        <v>0</v>
      </c>
      <c r="K848" s="42">
        <v>0</v>
      </c>
      <c r="L848" s="42">
        <v>0</v>
      </c>
      <c r="M848" s="42">
        <v>1</v>
      </c>
      <c r="N848" s="42">
        <v>1</v>
      </c>
      <c r="O848">
        <v>0</v>
      </c>
    </row>
    <row r="849" spans="3:15" x14ac:dyDescent="0.15">
      <c r="C849" s="43" t="s">
        <v>905</v>
      </c>
      <c r="D849" s="42">
        <v>14</v>
      </c>
      <c r="E849" s="42">
        <v>49</v>
      </c>
      <c r="F849" s="42">
        <v>1</v>
      </c>
      <c r="G849" s="42">
        <v>1.8</v>
      </c>
      <c r="H849" s="42">
        <v>1</v>
      </c>
      <c r="I849" s="42">
        <v>0</v>
      </c>
      <c r="J849" s="42">
        <v>0</v>
      </c>
      <c r="K849" s="42">
        <v>0</v>
      </c>
      <c r="L849" s="42">
        <v>0</v>
      </c>
      <c r="M849" s="42">
        <v>0</v>
      </c>
      <c r="N849" s="42">
        <v>0</v>
      </c>
      <c r="O849">
        <v>0</v>
      </c>
    </row>
    <row r="850" spans="3:15" x14ac:dyDescent="0.15">
      <c r="C850" s="43" t="s">
        <v>906</v>
      </c>
      <c r="D850" s="42">
        <v>15</v>
      </c>
      <c r="E850" s="42">
        <v>159</v>
      </c>
      <c r="F850" s="42">
        <v>1</v>
      </c>
      <c r="G850" s="42">
        <v>5.5</v>
      </c>
      <c r="H850" s="42">
        <v>0</v>
      </c>
      <c r="I850" s="42">
        <v>0</v>
      </c>
      <c r="J850" s="42">
        <v>0</v>
      </c>
      <c r="K850" s="42">
        <v>0</v>
      </c>
      <c r="L850" s="42">
        <v>1</v>
      </c>
      <c r="M850" s="42">
        <v>1</v>
      </c>
      <c r="N850" s="42">
        <v>0</v>
      </c>
      <c r="O850">
        <v>1</v>
      </c>
    </row>
    <row r="851" spans="3:15" x14ac:dyDescent="0.15">
      <c r="C851" s="43" t="s">
        <v>907</v>
      </c>
      <c r="D851" s="42">
        <v>0</v>
      </c>
      <c r="E851" s="42">
        <v>44</v>
      </c>
      <c r="F851" s="42">
        <v>4</v>
      </c>
      <c r="G851" s="42">
        <v>0.6</v>
      </c>
      <c r="H851" s="42">
        <v>0</v>
      </c>
      <c r="I851" s="42">
        <v>1</v>
      </c>
      <c r="J851" s="42">
        <v>0</v>
      </c>
      <c r="K851" s="42">
        <v>0</v>
      </c>
      <c r="L851" s="42">
        <v>0</v>
      </c>
      <c r="M851" s="42">
        <v>1</v>
      </c>
      <c r="N851" s="42">
        <v>1</v>
      </c>
      <c r="O851">
        <v>0</v>
      </c>
    </row>
    <row r="852" spans="3:15" x14ac:dyDescent="0.15">
      <c r="C852" s="43" t="s">
        <v>908</v>
      </c>
      <c r="D852" s="42">
        <v>37</v>
      </c>
      <c r="E852" s="42">
        <v>84</v>
      </c>
      <c r="F852" s="42">
        <v>4</v>
      </c>
      <c r="G852" s="42">
        <v>1.9</v>
      </c>
      <c r="H852" s="42">
        <v>0</v>
      </c>
      <c r="I852" s="42">
        <v>1</v>
      </c>
      <c r="J852" s="42">
        <v>0</v>
      </c>
      <c r="K852" s="42">
        <v>0</v>
      </c>
      <c r="L852" s="42">
        <v>0</v>
      </c>
      <c r="M852" s="42">
        <v>1</v>
      </c>
      <c r="N852" s="42">
        <v>0</v>
      </c>
      <c r="O852">
        <v>0</v>
      </c>
    </row>
    <row r="853" spans="3:15" x14ac:dyDescent="0.15">
      <c r="C853" s="43" t="s">
        <v>909</v>
      </c>
      <c r="D853" s="42">
        <v>19</v>
      </c>
      <c r="E853" s="42">
        <v>58</v>
      </c>
      <c r="F853" s="42">
        <v>2</v>
      </c>
      <c r="G853" s="42">
        <v>0.4</v>
      </c>
      <c r="H853" s="42">
        <v>0</v>
      </c>
      <c r="I853" s="42">
        <v>0</v>
      </c>
      <c r="J853" s="42">
        <v>0</v>
      </c>
      <c r="K853" s="42">
        <v>1</v>
      </c>
      <c r="L853" s="42">
        <v>0</v>
      </c>
      <c r="M853" s="42">
        <v>0</v>
      </c>
      <c r="N853" s="42">
        <v>1</v>
      </c>
      <c r="O853">
        <v>0</v>
      </c>
    </row>
    <row r="854" spans="3:15" x14ac:dyDescent="0.15">
      <c r="C854" s="43" t="s">
        <v>910</v>
      </c>
      <c r="D854" s="42">
        <v>7</v>
      </c>
      <c r="E854" s="42">
        <v>42</v>
      </c>
      <c r="F854" s="42">
        <v>3</v>
      </c>
      <c r="G854" s="42">
        <v>2.2999999999999998</v>
      </c>
      <c r="H854" s="42">
        <v>1</v>
      </c>
      <c r="I854" s="42">
        <v>0</v>
      </c>
      <c r="J854" s="42">
        <v>0</v>
      </c>
      <c r="K854" s="42">
        <v>0</v>
      </c>
      <c r="L854" s="42">
        <v>0</v>
      </c>
      <c r="M854" s="42">
        <v>1</v>
      </c>
      <c r="N854" s="42">
        <v>0</v>
      </c>
      <c r="O854">
        <v>0</v>
      </c>
    </row>
    <row r="855" spans="3:15" x14ac:dyDescent="0.15">
      <c r="C855" s="43" t="s">
        <v>911</v>
      </c>
      <c r="D855" s="42">
        <v>33</v>
      </c>
      <c r="E855" s="42">
        <v>53</v>
      </c>
      <c r="F855" s="42">
        <v>4</v>
      </c>
      <c r="G855" s="42">
        <v>2.1</v>
      </c>
      <c r="H855" s="42">
        <v>1</v>
      </c>
      <c r="I855" s="42">
        <v>0</v>
      </c>
      <c r="J855" s="42">
        <v>0</v>
      </c>
      <c r="K855" s="42">
        <v>0</v>
      </c>
      <c r="L855" s="42">
        <v>0</v>
      </c>
      <c r="M855" s="42">
        <v>1</v>
      </c>
      <c r="N855" s="42">
        <v>0</v>
      </c>
      <c r="O855">
        <v>0</v>
      </c>
    </row>
    <row r="856" spans="3:15" x14ac:dyDescent="0.15">
      <c r="C856" s="43" t="s">
        <v>912</v>
      </c>
      <c r="D856" s="42">
        <v>39</v>
      </c>
      <c r="E856" s="42">
        <v>101</v>
      </c>
      <c r="F856" s="42">
        <v>2</v>
      </c>
      <c r="G856" s="42">
        <v>3.9</v>
      </c>
      <c r="H856" s="42">
        <v>0</v>
      </c>
      <c r="I856" s="42">
        <v>0</v>
      </c>
      <c r="J856" s="42">
        <v>294</v>
      </c>
      <c r="K856" s="42">
        <v>0</v>
      </c>
      <c r="L856" s="42">
        <v>0</v>
      </c>
      <c r="M856" s="42">
        <v>1</v>
      </c>
      <c r="N856" s="42">
        <v>0</v>
      </c>
      <c r="O856">
        <v>1</v>
      </c>
    </row>
    <row r="857" spans="3:15" x14ac:dyDescent="0.15">
      <c r="C857" s="43" t="s">
        <v>913</v>
      </c>
      <c r="D857" s="42">
        <v>12</v>
      </c>
      <c r="E857" s="42">
        <v>35</v>
      </c>
      <c r="F857" s="42">
        <v>4</v>
      </c>
      <c r="G857" s="42">
        <v>0.4</v>
      </c>
      <c r="H857" s="42">
        <v>0</v>
      </c>
      <c r="I857" s="42">
        <v>1</v>
      </c>
      <c r="J857" s="42">
        <v>0</v>
      </c>
      <c r="K857" s="42">
        <v>0</v>
      </c>
      <c r="L857" s="42">
        <v>0</v>
      </c>
      <c r="M857" s="42">
        <v>1</v>
      </c>
      <c r="N857" s="42">
        <v>0</v>
      </c>
      <c r="O857">
        <v>0</v>
      </c>
    </row>
    <row r="858" spans="3:15" x14ac:dyDescent="0.15">
      <c r="C858" s="43" t="s">
        <v>914</v>
      </c>
      <c r="D858" s="42">
        <v>32</v>
      </c>
      <c r="E858" s="42">
        <v>21</v>
      </c>
      <c r="F858" s="42">
        <v>1</v>
      </c>
      <c r="G858" s="42">
        <v>0.3</v>
      </c>
      <c r="H858" s="42">
        <v>0</v>
      </c>
      <c r="I858" s="42">
        <v>0</v>
      </c>
      <c r="J858" s="42">
        <v>117</v>
      </c>
      <c r="K858" s="42">
        <v>0</v>
      </c>
      <c r="L858" s="42">
        <v>0</v>
      </c>
      <c r="M858" s="42">
        <v>0</v>
      </c>
      <c r="N858" s="42">
        <v>0</v>
      </c>
      <c r="O858">
        <v>0</v>
      </c>
    </row>
    <row r="859" spans="3:15" x14ac:dyDescent="0.15">
      <c r="C859" s="43" t="s">
        <v>915</v>
      </c>
      <c r="D859" s="42">
        <v>29</v>
      </c>
      <c r="E859" s="42">
        <v>29</v>
      </c>
      <c r="F859" s="42">
        <v>1</v>
      </c>
      <c r="G859" s="42">
        <v>1.5</v>
      </c>
      <c r="H859" s="42">
        <v>0</v>
      </c>
      <c r="I859" s="42">
        <v>1</v>
      </c>
      <c r="J859" s="42">
        <v>97</v>
      </c>
      <c r="K859" s="42">
        <v>0</v>
      </c>
      <c r="L859" s="42">
        <v>0</v>
      </c>
      <c r="M859" s="42">
        <v>1</v>
      </c>
      <c r="N859" s="42">
        <v>0</v>
      </c>
      <c r="O859">
        <v>0</v>
      </c>
    </row>
    <row r="860" spans="3:15" x14ac:dyDescent="0.15">
      <c r="C860" s="43" t="s">
        <v>916</v>
      </c>
      <c r="D860" s="42">
        <v>34</v>
      </c>
      <c r="E860" s="42">
        <v>149</v>
      </c>
      <c r="F860" s="42">
        <v>4</v>
      </c>
      <c r="G860" s="42">
        <v>7.2</v>
      </c>
      <c r="H860" s="42">
        <v>0</v>
      </c>
      <c r="I860" s="42">
        <v>1</v>
      </c>
      <c r="J860" s="42">
        <v>0</v>
      </c>
      <c r="K860" s="42">
        <v>0</v>
      </c>
      <c r="L860" s="42">
        <v>1</v>
      </c>
      <c r="M860" s="42">
        <v>1</v>
      </c>
      <c r="N860" s="42">
        <v>1</v>
      </c>
      <c r="O860">
        <v>1</v>
      </c>
    </row>
    <row r="861" spans="3:15" x14ac:dyDescent="0.15">
      <c r="C861" s="43" t="s">
        <v>917</v>
      </c>
      <c r="D861" s="42">
        <v>0</v>
      </c>
      <c r="E861" s="42">
        <v>75</v>
      </c>
      <c r="F861" s="42">
        <v>4</v>
      </c>
      <c r="G861" s="42">
        <v>0.2</v>
      </c>
      <c r="H861" s="42">
        <v>1</v>
      </c>
      <c r="I861" s="42">
        <v>0</v>
      </c>
      <c r="J861" s="42">
        <v>0</v>
      </c>
      <c r="K861" s="42">
        <v>0</v>
      </c>
      <c r="L861" s="42">
        <v>0</v>
      </c>
      <c r="M861" s="42">
        <v>1</v>
      </c>
      <c r="N861" s="42">
        <v>0</v>
      </c>
      <c r="O861">
        <v>0</v>
      </c>
    </row>
    <row r="862" spans="3:15" x14ac:dyDescent="0.15">
      <c r="C862" s="43" t="s">
        <v>918</v>
      </c>
      <c r="D862" s="42">
        <v>29</v>
      </c>
      <c r="E862" s="42">
        <v>45</v>
      </c>
      <c r="F862" s="42">
        <v>3</v>
      </c>
      <c r="G862" s="42">
        <v>2</v>
      </c>
      <c r="H862" s="42">
        <v>0</v>
      </c>
      <c r="I862" s="42">
        <v>0</v>
      </c>
      <c r="J862" s="42">
        <v>0</v>
      </c>
      <c r="K862" s="42">
        <v>0</v>
      </c>
      <c r="L862" s="42">
        <v>0</v>
      </c>
      <c r="M862" s="42">
        <v>1</v>
      </c>
      <c r="N862" s="42">
        <v>0</v>
      </c>
      <c r="O862">
        <v>0</v>
      </c>
    </row>
    <row r="863" spans="3:15" x14ac:dyDescent="0.15">
      <c r="C863" s="43" t="s">
        <v>919</v>
      </c>
      <c r="D863" s="42">
        <v>17</v>
      </c>
      <c r="E863" s="42">
        <v>49</v>
      </c>
      <c r="F863" s="42">
        <v>1</v>
      </c>
      <c r="G863" s="42">
        <v>2.8</v>
      </c>
      <c r="H863" s="42">
        <v>1</v>
      </c>
      <c r="I863" s="42">
        <v>0</v>
      </c>
      <c r="J863" s="42">
        <v>0</v>
      </c>
      <c r="K863" s="42">
        <v>0</v>
      </c>
      <c r="L863" s="42">
        <v>0</v>
      </c>
      <c r="M863" s="42">
        <v>1</v>
      </c>
      <c r="N863" s="42">
        <v>0</v>
      </c>
      <c r="O863">
        <v>0</v>
      </c>
    </row>
    <row r="864" spans="3:15" x14ac:dyDescent="0.15">
      <c r="C864" s="43" t="s">
        <v>920</v>
      </c>
      <c r="D864" s="42">
        <v>18</v>
      </c>
      <c r="E864" s="42">
        <v>43</v>
      </c>
      <c r="F864" s="42">
        <v>1</v>
      </c>
      <c r="G864" s="42">
        <v>0.3</v>
      </c>
      <c r="H864" s="42">
        <v>0</v>
      </c>
      <c r="I864" s="42">
        <v>0</v>
      </c>
      <c r="J864" s="42">
        <v>158</v>
      </c>
      <c r="K864" s="42">
        <v>0</v>
      </c>
      <c r="L864" s="42">
        <v>0</v>
      </c>
      <c r="M864" s="42">
        <v>0</v>
      </c>
      <c r="N864" s="42">
        <v>0</v>
      </c>
      <c r="O864">
        <v>0</v>
      </c>
    </row>
    <row r="865" spans="3:15" x14ac:dyDescent="0.15">
      <c r="C865" s="43" t="s">
        <v>921</v>
      </c>
      <c r="D865" s="42">
        <v>35</v>
      </c>
      <c r="E865" s="42">
        <v>64</v>
      </c>
      <c r="F865" s="42">
        <v>2</v>
      </c>
      <c r="G865" s="42">
        <v>2.8</v>
      </c>
      <c r="H865" s="42">
        <v>1</v>
      </c>
      <c r="I865" s="42">
        <v>0</v>
      </c>
      <c r="J865" s="42">
        <v>0</v>
      </c>
      <c r="K865" s="42">
        <v>0</v>
      </c>
      <c r="L865" s="42">
        <v>0</v>
      </c>
      <c r="M865" s="42">
        <v>0</v>
      </c>
      <c r="N865" s="42">
        <v>0</v>
      </c>
      <c r="O865">
        <v>0</v>
      </c>
    </row>
    <row r="866" spans="3:15" x14ac:dyDescent="0.15">
      <c r="C866" s="43" t="s">
        <v>922</v>
      </c>
      <c r="D866" s="42">
        <v>24</v>
      </c>
      <c r="E866" s="42">
        <v>43</v>
      </c>
      <c r="F866" s="42">
        <v>4</v>
      </c>
      <c r="G866" s="42">
        <v>1.9</v>
      </c>
      <c r="H866" s="42">
        <v>0</v>
      </c>
      <c r="I866" s="42">
        <v>0</v>
      </c>
      <c r="J866" s="42">
        <v>0</v>
      </c>
      <c r="K866" s="42">
        <v>0</v>
      </c>
      <c r="L866" s="42">
        <v>0</v>
      </c>
      <c r="M866" s="42">
        <v>1</v>
      </c>
      <c r="N866" s="42">
        <v>0</v>
      </c>
      <c r="O866">
        <v>0</v>
      </c>
    </row>
    <row r="867" spans="3:15" x14ac:dyDescent="0.15">
      <c r="C867" s="43" t="s">
        <v>923</v>
      </c>
      <c r="D867" s="42">
        <v>4</v>
      </c>
      <c r="E867" s="42">
        <v>129</v>
      </c>
      <c r="F867" s="42">
        <v>1</v>
      </c>
      <c r="G867" s="42">
        <v>1.5</v>
      </c>
      <c r="H867" s="42">
        <v>1</v>
      </c>
      <c r="I867" s="42">
        <v>0</v>
      </c>
      <c r="J867" s="42">
        <v>0</v>
      </c>
      <c r="K867" s="42">
        <v>0</v>
      </c>
      <c r="L867" s="42">
        <v>0</v>
      </c>
      <c r="M867" s="42">
        <v>0</v>
      </c>
      <c r="N867" s="42">
        <v>1</v>
      </c>
      <c r="O867">
        <v>0</v>
      </c>
    </row>
    <row r="868" spans="3:15" x14ac:dyDescent="0.15">
      <c r="C868" s="43" t="s">
        <v>924</v>
      </c>
      <c r="D868" s="42">
        <v>34</v>
      </c>
      <c r="E868" s="42">
        <v>53</v>
      </c>
      <c r="F868" s="42">
        <v>1</v>
      </c>
      <c r="G868" s="42">
        <v>0.8</v>
      </c>
      <c r="H868" s="42">
        <v>0</v>
      </c>
      <c r="I868" s="42">
        <v>1</v>
      </c>
      <c r="J868" s="42">
        <v>0</v>
      </c>
      <c r="K868" s="42">
        <v>1</v>
      </c>
      <c r="L868" s="42">
        <v>0</v>
      </c>
      <c r="M868" s="42">
        <v>0</v>
      </c>
      <c r="N868" s="42">
        <v>1</v>
      </c>
      <c r="O868">
        <v>0</v>
      </c>
    </row>
    <row r="869" spans="3:15" x14ac:dyDescent="0.15">
      <c r="C869" s="43" t="s">
        <v>925</v>
      </c>
      <c r="D869" s="42">
        <v>39</v>
      </c>
      <c r="E869" s="42">
        <v>24</v>
      </c>
      <c r="F869" s="42">
        <v>4</v>
      </c>
      <c r="G869" s="42">
        <v>0.4</v>
      </c>
      <c r="H869" s="42">
        <v>0</v>
      </c>
      <c r="I869" s="42">
        <v>1</v>
      </c>
      <c r="J869" s="42">
        <v>78</v>
      </c>
      <c r="K869" s="42">
        <v>0</v>
      </c>
      <c r="L869" s="42">
        <v>0</v>
      </c>
      <c r="M869" s="42">
        <v>1</v>
      </c>
      <c r="N869" s="42">
        <v>0</v>
      </c>
      <c r="O869">
        <v>0</v>
      </c>
    </row>
    <row r="870" spans="3:15" x14ac:dyDescent="0.15">
      <c r="C870" s="43" t="s">
        <v>926</v>
      </c>
      <c r="D870" s="42">
        <v>16</v>
      </c>
      <c r="E870" s="42">
        <v>35</v>
      </c>
      <c r="F870" s="42">
        <v>1</v>
      </c>
      <c r="G870" s="42">
        <v>1.4</v>
      </c>
      <c r="H870" s="42">
        <v>0</v>
      </c>
      <c r="I870" s="42">
        <v>0</v>
      </c>
      <c r="J870" s="42">
        <v>0</v>
      </c>
      <c r="K870" s="42">
        <v>0</v>
      </c>
      <c r="L870" s="42">
        <v>0</v>
      </c>
      <c r="M870" s="42">
        <v>1</v>
      </c>
      <c r="N870" s="42">
        <v>1</v>
      </c>
      <c r="O870">
        <v>0</v>
      </c>
    </row>
    <row r="871" spans="3:15" x14ac:dyDescent="0.15">
      <c r="C871" s="43" t="s">
        <v>927</v>
      </c>
      <c r="D871" s="42">
        <v>36</v>
      </c>
      <c r="E871" s="42">
        <v>79</v>
      </c>
      <c r="F871" s="42">
        <v>1</v>
      </c>
      <c r="G871" s="42">
        <v>1.8</v>
      </c>
      <c r="H871" s="42">
        <v>0</v>
      </c>
      <c r="I871" s="42">
        <v>0</v>
      </c>
      <c r="J871" s="42">
        <v>0</v>
      </c>
      <c r="K871" s="42">
        <v>0</v>
      </c>
      <c r="L871" s="42">
        <v>0</v>
      </c>
      <c r="M871" s="42">
        <v>0</v>
      </c>
      <c r="N871" s="42">
        <v>1</v>
      </c>
      <c r="O871">
        <v>0</v>
      </c>
    </row>
    <row r="872" spans="3:15" x14ac:dyDescent="0.15">
      <c r="C872" s="43" t="s">
        <v>928</v>
      </c>
      <c r="D872" s="42">
        <v>13</v>
      </c>
      <c r="E872" s="42">
        <v>139</v>
      </c>
      <c r="F872" s="42">
        <v>3</v>
      </c>
      <c r="G872" s="42">
        <v>3.4</v>
      </c>
      <c r="H872" s="42">
        <v>1</v>
      </c>
      <c r="I872" s="42">
        <v>0</v>
      </c>
      <c r="J872" s="42">
        <v>483</v>
      </c>
      <c r="K872" s="42">
        <v>0</v>
      </c>
      <c r="L872" s="42">
        <v>0</v>
      </c>
      <c r="M872" s="42">
        <v>1</v>
      </c>
      <c r="N872" s="42">
        <v>0</v>
      </c>
      <c r="O872">
        <v>1</v>
      </c>
    </row>
    <row r="873" spans="3:15" x14ac:dyDescent="0.15">
      <c r="C873" s="43" t="s">
        <v>929</v>
      </c>
      <c r="D873" s="42">
        <v>38</v>
      </c>
      <c r="E873" s="42">
        <v>123</v>
      </c>
      <c r="F873" s="42">
        <v>1</v>
      </c>
      <c r="G873" s="42">
        <v>2.9</v>
      </c>
      <c r="H873" s="42">
        <v>1</v>
      </c>
      <c r="I873" s="42">
        <v>0</v>
      </c>
      <c r="J873" s="42">
        <v>0</v>
      </c>
      <c r="K873" s="42">
        <v>0</v>
      </c>
      <c r="L873" s="42">
        <v>0</v>
      </c>
      <c r="M873" s="42">
        <v>0</v>
      </c>
      <c r="N873" s="42">
        <v>0</v>
      </c>
      <c r="O873">
        <v>0</v>
      </c>
    </row>
    <row r="874" spans="3:15" x14ac:dyDescent="0.15">
      <c r="C874" s="43" t="s">
        <v>930</v>
      </c>
      <c r="D874" s="42">
        <v>9</v>
      </c>
      <c r="E874" s="42">
        <v>134</v>
      </c>
      <c r="F874" s="42">
        <v>1</v>
      </c>
      <c r="G874" s="42">
        <v>4.5999999999999996</v>
      </c>
      <c r="H874" s="42">
        <v>1</v>
      </c>
      <c r="I874" s="42">
        <v>0</v>
      </c>
      <c r="J874" s="42">
        <v>164</v>
      </c>
      <c r="K874" s="42">
        <v>1</v>
      </c>
      <c r="L874" s="42">
        <v>0</v>
      </c>
      <c r="M874" s="42">
        <v>1</v>
      </c>
      <c r="N874" s="42">
        <v>0</v>
      </c>
      <c r="O874">
        <v>0</v>
      </c>
    </row>
    <row r="875" spans="3:15" x14ac:dyDescent="0.15">
      <c r="C875" s="43" t="s">
        <v>931</v>
      </c>
      <c r="D875" s="42">
        <v>24</v>
      </c>
      <c r="E875" s="42">
        <v>35</v>
      </c>
      <c r="F875" s="42">
        <v>1</v>
      </c>
      <c r="G875" s="42">
        <v>0.3</v>
      </c>
      <c r="H875" s="42">
        <v>0</v>
      </c>
      <c r="I875" s="42">
        <v>0</v>
      </c>
      <c r="J875" s="42">
        <v>0</v>
      </c>
      <c r="K875" s="42">
        <v>0</v>
      </c>
      <c r="L875" s="42">
        <v>0</v>
      </c>
      <c r="M875" s="42">
        <v>1</v>
      </c>
      <c r="N875" s="42">
        <v>0</v>
      </c>
      <c r="O875">
        <v>0</v>
      </c>
    </row>
    <row r="876" spans="3:15" x14ac:dyDescent="0.15">
      <c r="C876" s="43" t="s">
        <v>932</v>
      </c>
      <c r="D876" s="42">
        <v>36</v>
      </c>
      <c r="E876" s="42">
        <v>131</v>
      </c>
      <c r="F876" s="42">
        <v>1</v>
      </c>
      <c r="G876" s="42">
        <v>0.9</v>
      </c>
      <c r="H876" s="42">
        <v>1</v>
      </c>
      <c r="I876" s="42">
        <v>0</v>
      </c>
      <c r="J876" s="42">
        <v>0</v>
      </c>
      <c r="K876" s="42">
        <v>0</v>
      </c>
      <c r="L876" s="42">
        <v>0</v>
      </c>
      <c r="M876" s="42">
        <v>1</v>
      </c>
      <c r="N876" s="42">
        <v>0</v>
      </c>
      <c r="O876">
        <v>0</v>
      </c>
    </row>
    <row r="877" spans="3:15" x14ac:dyDescent="0.15">
      <c r="C877" s="43" t="s">
        <v>933</v>
      </c>
      <c r="D877" s="42">
        <v>4</v>
      </c>
      <c r="E877" s="42">
        <v>43</v>
      </c>
      <c r="F877" s="42">
        <v>1</v>
      </c>
      <c r="G877" s="42">
        <v>1.8</v>
      </c>
      <c r="H877" s="42">
        <v>0</v>
      </c>
      <c r="I877" s="42">
        <v>1</v>
      </c>
      <c r="J877" s="42">
        <v>0</v>
      </c>
      <c r="K877" s="42">
        <v>0</v>
      </c>
      <c r="L877" s="42">
        <v>0</v>
      </c>
      <c r="M877" s="42">
        <v>1</v>
      </c>
      <c r="N877" s="42">
        <v>1</v>
      </c>
      <c r="O877">
        <v>0</v>
      </c>
    </row>
    <row r="878" spans="3:15" x14ac:dyDescent="0.15">
      <c r="C878" s="43" t="s">
        <v>934</v>
      </c>
      <c r="D878" s="42">
        <v>7</v>
      </c>
      <c r="E878" s="42">
        <v>31</v>
      </c>
      <c r="F878" s="42">
        <v>4</v>
      </c>
      <c r="G878" s="42">
        <v>0.4</v>
      </c>
      <c r="H878" s="42">
        <v>0</v>
      </c>
      <c r="I878" s="42">
        <v>1</v>
      </c>
      <c r="J878" s="42">
        <v>79</v>
      </c>
      <c r="K878" s="42">
        <v>0</v>
      </c>
      <c r="L878" s="42">
        <v>0</v>
      </c>
      <c r="M878" s="42">
        <v>0</v>
      </c>
      <c r="N878" s="42">
        <v>0</v>
      </c>
      <c r="O878">
        <v>0</v>
      </c>
    </row>
    <row r="879" spans="3:15" x14ac:dyDescent="0.15">
      <c r="C879" s="43" t="s">
        <v>935</v>
      </c>
      <c r="D879" s="42">
        <v>15</v>
      </c>
      <c r="E879" s="42">
        <v>28</v>
      </c>
      <c r="F879" s="42">
        <v>1</v>
      </c>
      <c r="G879" s="42">
        <v>0.75</v>
      </c>
      <c r="H879" s="42">
        <v>0</v>
      </c>
      <c r="I879" s="42">
        <v>0</v>
      </c>
      <c r="J879" s="42">
        <v>0</v>
      </c>
      <c r="K879" s="42">
        <v>1</v>
      </c>
      <c r="L879" s="42">
        <v>0</v>
      </c>
      <c r="M879" s="42">
        <v>0</v>
      </c>
      <c r="N879" s="42">
        <v>0</v>
      </c>
      <c r="O879">
        <v>0</v>
      </c>
    </row>
    <row r="880" spans="3:15" x14ac:dyDescent="0.15">
      <c r="C880" s="43" t="s">
        <v>936</v>
      </c>
      <c r="D880" s="42">
        <v>15</v>
      </c>
      <c r="E880" s="42">
        <v>21</v>
      </c>
      <c r="F880" s="42">
        <v>2</v>
      </c>
      <c r="G880" s="42">
        <v>0</v>
      </c>
      <c r="H880" s="42">
        <v>0</v>
      </c>
      <c r="I880" s="42">
        <v>0</v>
      </c>
      <c r="J880" s="42">
        <v>0</v>
      </c>
      <c r="K880" s="42">
        <v>0</v>
      </c>
      <c r="L880" s="42">
        <v>0</v>
      </c>
      <c r="M880" s="42">
        <v>1</v>
      </c>
      <c r="N880" s="42">
        <v>0</v>
      </c>
      <c r="O880">
        <v>0</v>
      </c>
    </row>
    <row r="881" spans="3:15" x14ac:dyDescent="0.15">
      <c r="C881" s="43" t="s">
        <v>937</v>
      </c>
      <c r="D881" s="42">
        <v>22</v>
      </c>
      <c r="E881" s="42">
        <v>35</v>
      </c>
      <c r="F881" s="42">
        <v>1</v>
      </c>
      <c r="G881" s="42">
        <v>1.4</v>
      </c>
      <c r="H881" s="42">
        <v>0</v>
      </c>
      <c r="I881" s="42">
        <v>0</v>
      </c>
      <c r="J881" s="42">
        <v>0</v>
      </c>
      <c r="K881" s="42">
        <v>0</v>
      </c>
      <c r="L881" s="42">
        <v>0</v>
      </c>
      <c r="M881" s="42">
        <v>1</v>
      </c>
      <c r="N881" s="42">
        <v>0</v>
      </c>
      <c r="O881">
        <v>0</v>
      </c>
    </row>
    <row r="882" spans="3:15" x14ac:dyDescent="0.15">
      <c r="C882" s="43" t="s">
        <v>938</v>
      </c>
      <c r="D882" s="42">
        <v>36</v>
      </c>
      <c r="E882" s="42">
        <v>59</v>
      </c>
      <c r="F882" s="42">
        <v>4</v>
      </c>
      <c r="G882" s="42">
        <v>1.7</v>
      </c>
      <c r="H882" s="42">
        <v>1</v>
      </c>
      <c r="I882" s="42">
        <v>0</v>
      </c>
      <c r="J882" s="42">
        <v>148</v>
      </c>
      <c r="K882" s="42">
        <v>0</v>
      </c>
      <c r="L882" s="42">
        <v>0</v>
      </c>
      <c r="M882" s="42">
        <v>0</v>
      </c>
      <c r="N882" s="42">
        <v>0</v>
      </c>
      <c r="O882">
        <v>0</v>
      </c>
    </row>
    <row r="883" spans="3:15" x14ac:dyDescent="0.15">
      <c r="C883" s="43" t="s">
        <v>939</v>
      </c>
      <c r="D883" s="42">
        <v>8</v>
      </c>
      <c r="E883" s="42">
        <v>78</v>
      </c>
      <c r="F883" s="42">
        <v>4</v>
      </c>
      <c r="G883" s="42">
        <v>0.1</v>
      </c>
      <c r="H883" s="42">
        <v>0</v>
      </c>
      <c r="I883" s="42">
        <v>1</v>
      </c>
      <c r="J883" s="42">
        <v>0</v>
      </c>
      <c r="K883" s="42">
        <v>0</v>
      </c>
      <c r="L883" s="42">
        <v>0</v>
      </c>
      <c r="M883" s="42">
        <v>1</v>
      </c>
      <c r="N883" s="42">
        <v>0</v>
      </c>
      <c r="O883">
        <v>0</v>
      </c>
    </row>
    <row r="884" spans="3:15" x14ac:dyDescent="0.15">
      <c r="C884" s="43" t="s">
        <v>940</v>
      </c>
      <c r="D884" s="42">
        <v>27</v>
      </c>
      <c r="E884" s="42">
        <v>184</v>
      </c>
      <c r="F884" s="42">
        <v>1</v>
      </c>
      <c r="G884" s="42">
        <v>8.1</v>
      </c>
      <c r="H884" s="42">
        <v>1</v>
      </c>
      <c r="I884" s="42">
        <v>0</v>
      </c>
      <c r="J884" s="42">
        <v>0</v>
      </c>
      <c r="K884" s="42">
        <v>0</v>
      </c>
      <c r="L884" s="42">
        <v>0</v>
      </c>
      <c r="M884" s="42">
        <v>0</v>
      </c>
      <c r="N884" s="42">
        <v>0</v>
      </c>
      <c r="O884">
        <v>0</v>
      </c>
    </row>
    <row r="885" spans="3:15" x14ac:dyDescent="0.15">
      <c r="C885" s="43" t="s">
        <v>941</v>
      </c>
      <c r="D885" s="42">
        <v>1</v>
      </c>
      <c r="E885" s="42">
        <v>112</v>
      </c>
      <c r="F885" s="42">
        <v>4</v>
      </c>
      <c r="G885" s="42">
        <v>2.1</v>
      </c>
      <c r="H885" s="42">
        <v>0</v>
      </c>
      <c r="I885" s="42">
        <v>0</v>
      </c>
      <c r="J885" s="42">
        <v>0</v>
      </c>
      <c r="K885" s="42">
        <v>0</v>
      </c>
      <c r="L885" s="42">
        <v>0</v>
      </c>
      <c r="M885" s="42">
        <v>0</v>
      </c>
      <c r="N885" s="42">
        <v>1</v>
      </c>
      <c r="O885">
        <v>0</v>
      </c>
    </row>
    <row r="886" spans="3:15" x14ac:dyDescent="0.15">
      <c r="C886" s="43" t="s">
        <v>942</v>
      </c>
      <c r="D886" s="42">
        <v>33</v>
      </c>
      <c r="E886" s="42">
        <v>9</v>
      </c>
      <c r="F886" s="42">
        <v>1</v>
      </c>
      <c r="G886" s="42">
        <v>0.1</v>
      </c>
      <c r="H886" s="42">
        <v>0</v>
      </c>
      <c r="I886" s="42">
        <v>1</v>
      </c>
      <c r="J886" s="42">
        <v>91</v>
      </c>
      <c r="K886" s="42">
        <v>1</v>
      </c>
      <c r="L886" s="42">
        <v>0</v>
      </c>
      <c r="M886" s="42">
        <v>1</v>
      </c>
      <c r="N886" s="42">
        <v>0</v>
      </c>
      <c r="O886">
        <v>0</v>
      </c>
    </row>
    <row r="887" spans="3:15" x14ac:dyDescent="0.15">
      <c r="C887" s="43" t="s">
        <v>943</v>
      </c>
      <c r="D887" s="42">
        <v>13</v>
      </c>
      <c r="E887" s="42">
        <v>23</v>
      </c>
      <c r="F887" s="42">
        <v>4</v>
      </c>
      <c r="G887" s="42">
        <v>0.2</v>
      </c>
      <c r="H887" s="42">
        <v>0</v>
      </c>
      <c r="I887" s="42">
        <v>0</v>
      </c>
      <c r="J887" s="42">
        <v>0</v>
      </c>
      <c r="K887" s="42">
        <v>0</v>
      </c>
      <c r="L887" s="42">
        <v>0</v>
      </c>
      <c r="M887" s="42">
        <v>1</v>
      </c>
      <c r="N887" s="42">
        <v>0</v>
      </c>
      <c r="O887">
        <v>0</v>
      </c>
    </row>
    <row r="888" spans="3:15" x14ac:dyDescent="0.15">
      <c r="C888" s="43" t="s">
        <v>944</v>
      </c>
      <c r="D888" s="42">
        <v>28</v>
      </c>
      <c r="E888" s="42">
        <v>94</v>
      </c>
      <c r="F888" s="42">
        <v>1</v>
      </c>
      <c r="G888" s="42">
        <v>1.9</v>
      </c>
      <c r="H888" s="42">
        <v>0</v>
      </c>
      <c r="I888" s="42">
        <v>1</v>
      </c>
      <c r="J888" s="42">
        <v>0</v>
      </c>
      <c r="K888" s="42">
        <v>0</v>
      </c>
      <c r="L888" s="42">
        <v>0</v>
      </c>
      <c r="M888" s="42">
        <v>0</v>
      </c>
      <c r="N888" s="42">
        <v>0</v>
      </c>
      <c r="O888">
        <v>0</v>
      </c>
    </row>
    <row r="889" spans="3:15" x14ac:dyDescent="0.15">
      <c r="C889" s="43" t="s">
        <v>945</v>
      </c>
      <c r="D889" s="42">
        <v>17</v>
      </c>
      <c r="E889" s="42">
        <v>70</v>
      </c>
      <c r="F889" s="42">
        <v>3</v>
      </c>
      <c r="G889" s="42">
        <v>2.6666666666666665</v>
      </c>
      <c r="H889" s="42">
        <v>0</v>
      </c>
      <c r="I889" s="42">
        <v>1</v>
      </c>
      <c r="J889" s="42">
        <v>0</v>
      </c>
      <c r="K889" s="42">
        <v>0</v>
      </c>
      <c r="L889" s="42">
        <v>0</v>
      </c>
      <c r="M889" s="42">
        <v>0</v>
      </c>
      <c r="N889" s="42">
        <v>0</v>
      </c>
      <c r="O889">
        <v>0</v>
      </c>
    </row>
    <row r="890" spans="3:15" x14ac:dyDescent="0.15">
      <c r="C890" s="43" t="s">
        <v>946</v>
      </c>
      <c r="D890" s="42">
        <v>17</v>
      </c>
      <c r="E890" s="42">
        <v>85</v>
      </c>
      <c r="F890" s="42">
        <v>1</v>
      </c>
      <c r="G890" s="42">
        <v>3.7</v>
      </c>
      <c r="H890" s="42">
        <v>0</v>
      </c>
      <c r="I890" s="42">
        <v>0</v>
      </c>
      <c r="J890" s="42">
        <v>0</v>
      </c>
      <c r="K890" s="42">
        <v>0</v>
      </c>
      <c r="L890" s="42">
        <v>0</v>
      </c>
      <c r="M890" s="42">
        <v>1</v>
      </c>
      <c r="N890" s="42">
        <v>0</v>
      </c>
      <c r="O890">
        <v>0</v>
      </c>
    </row>
    <row r="891" spans="3:15" x14ac:dyDescent="0.15">
      <c r="C891" s="43" t="s">
        <v>947</v>
      </c>
      <c r="D891" s="42">
        <v>37</v>
      </c>
      <c r="E891" s="42">
        <v>90</v>
      </c>
      <c r="F891" s="42">
        <v>4</v>
      </c>
      <c r="G891" s="42">
        <v>1.9</v>
      </c>
      <c r="H891" s="42">
        <v>0</v>
      </c>
      <c r="I891" s="42">
        <v>1</v>
      </c>
      <c r="J891" s="42">
        <v>106</v>
      </c>
      <c r="K891" s="42">
        <v>1</v>
      </c>
      <c r="L891" s="42">
        <v>0</v>
      </c>
      <c r="M891" s="42">
        <v>1</v>
      </c>
      <c r="N891" s="42">
        <v>0</v>
      </c>
      <c r="O891">
        <v>0</v>
      </c>
    </row>
    <row r="892" spans="3:15" x14ac:dyDescent="0.15">
      <c r="C892" s="43" t="s">
        <v>948</v>
      </c>
      <c r="D892" s="42">
        <v>33</v>
      </c>
      <c r="E892" s="42">
        <v>34</v>
      </c>
      <c r="F892" s="42">
        <v>3</v>
      </c>
      <c r="G892" s="42">
        <v>0.2</v>
      </c>
      <c r="H892" s="42">
        <v>1</v>
      </c>
      <c r="I892" s="42">
        <v>0</v>
      </c>
      <c r="J892" s="42">
        <v>83</v>
      </c>
      <c r="K892" s="42">
        <v>0</v>
      </c>
      <c r="L892" s="42">
        <v>0</v>
      </c>
      <c r="M892" s="42">
        <v>1</v>
      </c>
      <c r="N892" s="42">
        <v>0</v>
      </c>
      <c r="O892">
        <v>0</v>
      </c>
    </row>
    <row r="893" spans="3:15" x14ac:dyDescent="0.15">
      <c r="C893" s="43" t="s">
        <v>949</v>
      </c>
      <c r="D893" s="42">
        <v>30</v>
      </c>
      <c r="E893" s="42">
        <v>113</v>
      </c>
      <c r="F893" s="42">
        <v>2</v>
      </c>
      <c r="G893" s="42">
        <v>2.7</v>
      </c>
      <c r="H893" s="42">
        <v>1</v>
      </c>
      <c r="I893" s="42">
        <v>0</v>
      </c>
      <c r="J893" s="42">
        <v>352</v>
      </c>
      <c r="K893" s="42">
        <v>0</v>
      </c>
      <c r="L893" s="42">
        <v>0</v>
      </c>
      <c r="M893" s="42">
        <v>0</v>
      </c>
      <c r="N893" s="42">
        <v>1</v>
      </c>
      <c r="O893">
        <v>0</v>
      </c>
    </row>
    <row r="894" spans="3:15" x14ac:dyDescent="0.15">
      <c r="C894" s="43" t="s">
        <v>950</v>
      </c>
      <c r="D894" s="42">
        <v>8</v>
      </c>
      <c r="E894" s="42">
        <v>35</v>
      </c>
      <c r="F894" s="42">
        <v>4</v>
      </c>
      <c r="G894" s="42">
        <v>0.8</v>
      </c>
      <c r="H894" s="42">
        <v>1</v>
      </c>
      <c r="I894" s="42">
        <v>0</v>
      </c>
      <c r="J894" s="42">
        <v>137</v>
      </c>
      <c r="K894" s="42">
        <v>0</v>
      </c>
      <c r="L894" s="42">
        <v>1</v>
      </c>
      <c r="M894" s="42">
        <v>1</v>
      </c>
      <c r="N894" s="42">
        <v>1</v>
      </c>
      <c r="O894">
        <v>0</v>
      </c>
    </row>
    <row r="895" spans="3:15" x14ac:dyDescent="0.15">
      <c r="C895" s="43" t="s">
        <v>951</v>
      </c>
      <c r="D895" s="42">
        <v>10</v>
      </c>
      <c r="E895" s="42">
        <v>79</v>
      </c>
      <c r="F895" s="42">
        <v>4</v>
      </c>
      <c r="G895" s="42">
        <v>2.1</v>
      </c>
      <c r="H895" s="42">
        <v>0</v>
      </c>
      <c r="I895" s="42">
        <v>0</v>
      </c>
      <c r="J895" s="42">
        <v>0</v>
      </c>
      <c r="K895" s="42">
        <v>1</v>
      </c>
      <c r="L895" s="42">
        <v>0</v>
      </c>
      <c r="M895" s="42">
        <v>1</v>
      </c>
      <c r="N895" s="42">
        <v>0</v>
      </c>
      <c r="O895">
        <v>0</v>
      </c>
    </row>
    <row r="896" spans="3:15" x14ac:dyDescent="0.15">
      <c r="C896" s="43" t="s">
        <v>952</v>
      </c>
      <c r="D896" s="42">
        <v>26</v>
      </c>
      <c r="E896" s="42">
        <v>19</v>
      </c>
      <c r="F896" s="42">
        <v>2</v>
      </c>
      <c r="G896" s="42">
        <v>0.7</v>
      </c>
      <c r="H896" s="42">
        <v>0</v>
      </c>
      <c r="I896" s="42">
        <v>1</v>
      </c>
      <c r="J896" s="42">
        <v>0</v>
      </c>
      <c r="K896" s="42">
        <v>0</v>
      </c>
      <c r="L896" s="42">
        <v>0</v>
      </c>
      <c r="M896" s="42">
        <v>0</v>
      </c>
      <c r="N896" s="42">
        <v>1</v>
      </c>
      <c r="O896">
        <v>0</v>
      </c>
    </row>
    <row r="897" spans="3:15" x14ac:dyDescent="0.15">
      <c r="C897" s="43" t="s">
        <v>953</v>
      </c>
      <c r="D897" s="42">
        <v>35</v>
      </c>
      <c r="E897" s="42">
        <v>135</v>
      </c>
      <c r="F897" s="42">
        <v>3</v>
      </c>
      <c r="G897" s="42">
        <v>0.3</v>
      </c>
      <c r="H897" s="42">
        <v>0</v>
      </c>
      <c r="I897" s="42">
        <v>0</v>
      </c>
      <c r="J897" s="42">
        <v>0</v>
      </c>
      <c r="K897" s="42">
        <v>0</v>
      </c>
      <c r="L897" s="42">
        <v>0</v>
      </c>
      <c r="M897" s="42">
        <v>1</v>
      </c>
      <c r="N897" s="42">
        <v>0</v>
      </c>
      <c r="O897">
        <v>1</v>
      </c>
    </row>
    <row r="898" spans="3:15" x14ac:dyDescent="0.15">
      <c r="C898" s="43" t="s">
        <v>954</v>
      </c>
      <c r="D898" s="42">
        <v>24</v>
      </c>
      <c r="E898" s="42">
        <v>29</v>
      </c>
      <c r="F898" s="42">
        <v>3</v>
      </c>
      <c r="G898" s="42">
        <v>1</v>
      </c>
      <c r="H898" s="42">
        <v>0</v>
      </c>
      <c r="I898" s="42">
        <v>0</v>
      </c>
      <c r="J898" s="42">
        <v>148</v>
      </c>
      <c r="K898" s="42">
        <v>0</v>
      </c>
      <c r="L898" s="42">
        <v>0</v>
      </c>
      <c r="M898" s="42">
        <v>0</v>
      </c>
      <c r="N898" s="42">
        <v>1</v>
      </c>
      <c r="O898">
        <v>0</v>
      </c>
    </row>
    <row r="899" spans="3:15" x14ac:dyDescent="0.15">
      <c r="C899" s="43" t="s">
        <v>955</v>
      </c>
      <c r="D899" s="42">
        <v>13</v>
      </c>
      <c r="E899" s="42">
        <v>61</v>
      </c>
      <c r="F899" s="42">
        <v>2</v>
      </c>
      <c r="G899" s="42">
        <v>2.4</v>
      </c>
      <c r="H899" s="42">
        <v>0</v>
      </c>
      <c r="I899" s="42">
        <v>1</v>
      </c>
      <c r="J899" s="42">
        <v>90</v>
      </c>
      <c r="K899" s="42">
        <v>0</v>
      </c>
      <c r="L899" s="42">
        <v>0</v>
      </c>
      <c r="M899" s="42">
        <v>1</v>
      </c>
      <c r="N899" s="42">
        <v>0</v>
      </c>
      <c r="O899">
        <v>0</v>
      </c>
    </row>
    <row r="900" spans="3:15" x14ac:dyDescent="0.15">
      <c r="C900" s="43" t="s">
        <v>956</v>
      </c>
      <c r="D900" s="42">
        <v>25</v>
      </c>
      <c r="E900" s="42">
        <v>30</v>
      </c>
      <c r="F900" s="42">
        <v>3</v>
      </c>
      <c r="G900" s="42">
        <v>0.6</v>
      </c>
      <c r="H900" s="42">
        <v>0</v>
      </c>
      <c r="I900" s="42">
        <v>1</v>
      </c>
      <c r="J900" s="42">
        <v>144</v>
      </c>
      <c r="K900" s="42">
        <v>0</v>
      </c>
      <c r="L900" s="42">
        <v>0</v>
      </c>
      <c r="M900" s="42">
        <v>0</v>
      </c>
      <c r="N900" s="42">
        <v>1</v>
      </c>
      <c r="O900">
        <v>0</v>
      </c>
    </row>
    <row r="901" spans="3:15" x14ac:dyDescent="0.15">
      <c r="C901" s="43" t="s">
        <v>957</v>
      </c>
      <c r="D901" s="42">
        <v>18</v>
      </c>
      <c r="E901" s="42">
        <v>22</v>
      </c>
      <c r="F901" s="42">
        <v>1</v>
      </c>
      <c r="G901" s="42">
        <v>1</v>
      </c>
      <c r="H901" s="42">
        <v>1</v>
      </c>
      <c r="I901" s="42">
        <v>0</v>
      </c>
      <c r="J901" s="42">
        <v>0</v>
      </c>
      <c r="K901" s="42">
        <v>0</v>
      </c>
      <c r="L901" s="42">
        <v>0</v>
      </c>
      <c r="M901" s="42">
        <v>0</v>
      </c>
      <c r="N901" s="42">
        <v>0</v>
      </c>
      <c r="O901">
        <v>0</v>
      </c>
    </row>
    <row r="902" spans="3:15" x14ac:dyDescent="0.15">
      <c r="C902" s="43" t="s">
        <v>958</v>
      </c>
      <c r="D902" s="42">
        <v>15</v>
      </c>
      <c r="E902" s="42">
        <v>78</v>
      </c>
      <c r="F902" s="42">
        <v>4</v>
      </c>
      <c r="G902" s="42">
        <v>2.4</v>
      </c>
      <c r="H902" s="42">
        <v>1</v>
      </c>
      <c r="I902" s="42">
        <v>0</v>
      </c>
      <c r="J902" s="42">
        <v>118</v>
      </c>
      <c r="K902" s="42">
        <v>0</v>
      </c>
      <c r="L902" s="42">
        <v>0</v>
      </c>
      <c r="M902" s="42">
        <v>1</v>
      </c>
      <c r="N902" s="42">
        <v>0</v>
      </c>
      <c r="O902">
        <v>0</v>
      </c>
    </row>
    <row r="903" spans="3:15" x14ac:dyDescent="0.15">
      <c r="C903" s="43" t="s">
        <v>959</v>
      </c>
      <c r="D903" s="42">
        <v>15</v>
      </c>
      <c r="E903" s="42">
        <v>161</v>
      </c>
      <c r="F903" s="42">
        <v>2</v>
      </c>
      <c r="G903" s="42">
        <v>3.3</v>
      </c>
      <c r="H903" s="42">
        <v>1</v>
      </c>
      <c r="I903" s="42">
        <v>0</v>
      </c>
      <c r="J903" s="42">
        <v>0</v>
      </c>
      <c r="K903" s="42">
        <v>1</v>
      </c>
      <c r="L903" s="42">
        <v>0</v>
      </c>
      <c r="M903" s="42">
        <v>0</v>
      </c>
      <c r="N903" s="42">
        <v>1</v>
      </c>
      <c r="O903">
        <v>0</v>
      </c>
    </row>
    <row r="904" spans="3:15" x14ac:dyDescent="0.15">
      <c r="C904" s="43" t="s">
        <v>960</v>
      </c>
      <c r="D904" s="42">
        <v>32</v>
      </c>
      <c r="E904" s="42">
        <v>25</v>
      </c>
      <c r="F904" s="42">
        <v>2</v>
      </c>
      <c r="G904" s="42">
        <v>0.2</v>
      </c>
      <c r="H904" s="42">
        <v>0</v>
      </c>
      <c r="I904" s="42">
        <v>0</v>
      </c>
      <c r="J904" s="42">
        <v>0</v>
      </c>
      <c r="K904" s="42">
        <v>0</v>
      </c>
      <c r="L904" s="42">
        <v>0</v>
      </c>
      <c r="M904" s="42">
        <v>1</v>
      </c>
      <c r="N904" s="42">
        <v>1</v>
      </c>
      <c r="O904">
        <v>0</v>
      </c>
    </row>
    <row r="905" spans="3:15" x14ac:dyDescent="0.15">
      <c r="C905" s="43" t="s">
        <v>961</v>
      </c>
      <c r="D905" s="42">
        <v>23</v>
      </c>
      <c r="E905" s="42">
        <v>29</v>
      </c>
      <c r="F905" s="42">
        <v>4</v>
      </c>
      <c r="G905" s="42">
        <v>0.6</v>
      </c>
      <c r="H905" s="42">
        <v>1</v>
      </c>
      <c r="I905" s="42">
        <v>0</v>
      </c>
      <c r="J905" s="42">
        <v>0</v>
      </c>
      <c r="K905" s="42">
        <v>0</v>
      </c>
      <c r="L905" s="42">
        <v>0</v>
      </c>
      <c r="M905" s="42">
        <v>1</v>
      </c>
      <c r="N905" s="42">
        <v>0</v>
      </c>
      <c r="O905">
        <v>0</v>
      </c>
    </row>
    <row r="906" spans="3:15" x14ac:dyDescent="0.15">
      <c r="C906" s="43" t="s">
        <v>962</v>
      </c>
      <c r="D906" s="42">
        <v>41</v>
      </c>
      <c r="E906" s="42">
        <v>105</v>
      </c>
      <c r="F906" s="42">
        <v>1</v>
      </c>
      <c r="G906" s="42">
        <v>3</v>
      </c>
      <c r="H906" s="42">
        <v>0</v>
      </c>
      <c r="I906" s="42">
        <v>1</v>
      </c>
      <c r="J906" s="42">
        <v>282</v>
      </c>
      <c r="K906" s="42">
        <v>1</v>
      </c>
      <c r="L906" s="42">
        <v>1</v>
      </c>
      <c r="M906" s="42">
        <v>1</v>
      </c>
      <c r="N906" s="42">
        <v>0</v>
      </c>
      <c r="O906">
        <v>1</v>
      </c>
    </row>
    <row r="907" spans="3:15" x14ac:dyDescent="0.15">
      <c r="C907" s="43" t="s">
        <v>963</v>
      </c>
      <c r="D907" s="42">
        <v>0</v>
      </c>
      <c r="E907" s="42">
        <v>81</v>
      </c>
      <c r="F907" s="42">
        <v>2</v>
      </c>
      <c r="G907" s="42">
        <v>1.6</v>
      </c>
      <c r="H907" s="42">
        <v>0</v>
      </c>
      <c r="I907" s="42">
        <v>0</v>
      </c>
      <c r="J907" s="42">
        <v>0</v>
      </c>
      <c r="K907" s="42">
        <v>0</v>
      </c>
      <c r="L907" s="42">
        <v>0</v>
      </c>
      <c r="M907" s="42">
        <v>1</v>
      </c>
      <c r="N907" s="42">
        <v>1</v>
      </c>
      <c r="O907">
        <v>0</v>
      </c>
    </row>
    <row r="908" spans="3:15" x14ac:dyDescent="0.15">
      <c r="C908" s="43" t="s">
        <v>964</v>
      </c>
      <c r="D908" s="42">
        <v>19</v>
      </c>
      <c r="E908" s="42">
        <v>172</v>
      </c>
      <c r="F908" s="42">
        <v>2</v>
      </c>
      <c r="G908" s="42">
        <v>4.3</v>
      </c>
      <c r="H908" s="42">
        <v>0</v>
      </c>
      <c r="I908" s="42">
        <v>0</v>
      </c>
      <c r="J908" s="42">
        <v>391</v>
      </c>
      <c r="K908" s="42">
        <v>1</v>
      </c>
      <c r="L908" s="42">
        <v>1</v>
      </c>
      <c r="M908" s="42">
        <v>1</v>
      </c>
      <c r="N908" s="42">
        <v>0</v>
      </c>
      <c r="O908">
        <v>1</v>
      </c>
    </row>
    <row r="909" spans="3:15" x14ac:dyDescent="0.15">
      <c r="C909" s="43" t="s">
        <v>965</v>
      </c>
      <c r="D909" s="42">
        <v>12</v>
      </c>
      <c r="E909" s="42">
        <v>91</v>
      </c>
      <c r="F909" s="42">
        <v>4</v>
      </c>
      <c r="G909" s="42">
        <v>1.4</v>
      </c>
      <c r="H909" s="42">
        <v>0</v>
      </c>
      <c r="I909" s="42">
        <v>1</v>
      </c>
      <c r="J909" s="42">
        <v>100</v>
      </c>
      <c r="K909" s="42">
        <v>0</v>
      </c>
      <c r="L909" s="42">
        <v>0</v>
      </c>
      <c r="M909" s="42">
        <v>0</v>
      </c>
      <c r="N909" s="42">
        <v>1</v>
      </c>
      <c r="O909">
        <v>0</v>
      </c>
    </row>
    <row r="910" spans="3:15" x14ac:dyDescent="0.15">
      <c r="C910" s="43" t="s">
        <v>966</v>
      </c>
      <c r="D910" s="42">
        <v>35</v>
      </c>
      <c r="E910" s="42">
        <v>90</v>
      </c>
      <c r="F910" s="42">
        <v>4</v>
      </c>
      <c r="G910" s="42">
        <v>1.9</v>
      </c>
      <c r="H910" s="42">
        <v>0</v>
      </c>
      <c r="I910" s="42">
        <v>1</v>
      </c>
      <c r="J910" s="42">
        <v>0</v>
      </c>
      <c r="K910" s="42">
        <v>0</v>
      </c>
      <c r="L910" s="42">
        <v>0</v>
      </c>
      <c r="M910" s="42">
        <v>1</v>
      </c>
      <c r="N910" s="42">
        <v>0</v>
      </c>
      <c r="O910">
        <v>0</v>
      </c>
    </row>
    <row r="911" spans="3:15" x14ac:dyDescent="0.15">
      <c r="C911" s="43" t="s">
        <v>967</v>
      </c>
      <c r="D911" s="42">
        <v>11</v>
      </c>
      <c r="E911" s="42">
        <v>64</v>
      </c>
      <c r="F911" s="42">
        <v>4</v>
      </c>
      <c r="G911" s="42">
        <v>2.1</v>
      </c>
      <c r="H911" s="42">
        <v>0</v>
      </c>
      <c r="I911" s="42">
        <v>0</v>
      </c>
      <c r="J911" s="42">
        <v>0</v>
      </c>
      <c r="K911" s="42">
        <v>0</v>
      </c>
      <c r="L911" s="42">
        <v>0</v>
      </c>
      <c r="M911" s="42">
        <v>0</v>
      </c>
      <c r="N911" s="42">
        <v>0</v>
      </c>
      <c r="O911">
        <v>0</v>
      </c>
    </row>
    <row r="912" spans="3:15" x14ac:dyDescent="0.15">
      <c r="C912" s="43" t="s">
        <v>968</v>
      </c>
      <c r="D912" s="42">
        <v>37</v>
      </c>
      <c r="E912" s="42">
        <v>29</v>
      </c>
      <c r="F912" s="42">
        <v>1</v>
      </c>
      <c r="G912" s="42">
        <v>0.3</v>
      </c>
      <c r="H912" s="42">
        <v>0</v>
      </c>
      <c r="I912" s="42">
        <v>0</v>
      </c>
      <c r="J912" s="42">
        <v>0</v>
      </c>
      <c r="K912" s="42">
        <v>0</v>
      </c>
      <c r="L912" s="42">
        <v>0</v>
      </c>
      <c r="M912" s="42">
        <v>0</v>
      </c>
      <c r="N912" s="42">
        <v>1</v>
      </c>
      <c r="O912">
        <v>0</v>
      </c>
    </row>
    <row r="913" spans="3:15" x14ac:dyDescent="0.15">
      <c r="C913" s="43" t="s">
        <v>969</v>
      </c>
      <c r="D913" s="42">
        <v>22</v>
      </c>
      <c r="E913" s="42">
        <v>73</v>
      </c>
      <c r="F913" s="42">
        <v>1</v>
      </c>
      <c r="G913" s="42">
        <v>0.8</v>
      </c>
      <c r="H913" s="42">
        <v>0</v>
      </c>
      <c r="I913" s="42">
        <v>0</v>
      </c>
      <c r="J913" s="42">
        <v>117</v>
      </c>
      <c r="K913" s="42">
        <v>0</v>
      </c>
      <c r="L913" s="42">
        <v>0</v>
      </c>
      <c r="M913" s="42">
        <v>0</v>
      </c>
      <c r="N913" s="42">
        <v>0</v>
      </c>
      <c r="O913">
        <v>0</v>
      </c>
    </row>
    <row r="914" spans="3:15" x14ac:dyDescent="0.15">
      <c r="C914" s="43" t="s">
        <v>970</v>
      </c>
      <c r="D914" s="42">
        <v>3</v>
      </c>
      <c r="E914" s="42">
        <v>80</v>
      </c>
      <c r="F914" s="42">
        <v>4</v>
      </c>
      <c r="G914" s="42">
        <v>1.8</v>
      </c>
      <c r="H914" s="42">
        <v>0</v>
      </c>
      <c r="I914" s="42">
        <v>1</v>
      </c>
      <c r="J914" s="42">
        <v>0</v>
      </c>
      <c r="K914" s="42">
        <v>0</v>
      </c>
      <c r="L914" s="42">
        <v>0</v>
      </c>
      <c r="M914" s="42">
        <v>1</v>
      </c>
      <c r="N914" s="42">
        <v>1</v>
      </c>
      <c r="O914">
        <v>0</v>
      </c>
    </row>
    <row r="915" spans="3:15" x14ac:dyDescent="0.15">
      <c r="C915" s="43" t="s">
        <v>971</v>
      </c>
      <c r="D915" s="42">
        <v>5</v>
      </c>
      <c r="E915" s="42">
        <v>62</v>
      </c>
      <c r="F915" s="42">
        <v>1</v>
      </c>
      <c r="G915" s="42">
        <v>1.2</v>
      </c>
      <c r="H915" s="42">
        <v>1</v>
      </c>
      <c r="I915" s="42">
        <v>0</v>
      </c>
      <c r="J915" s="42">
        <v>260</v>
      </c>
      <c r="K915" s="42">
        <v>0</v>
      </c>
      <c r="L915" s="42">
        <v>0</v>
      </c>
      <c r="M915" s="42">
        <v>1</v>
      </c>
      <c r="N915" s="42">
        <v>0</v>
      </c>
      <c r="O915">
        <v>0</v>
      </c>
    </row>
    <row r="916" spans="3:15" x14ac:dyDescent="0.15">
      <c r="C916" s="43" t="s">
        <v>972</v>
      </c>
      <c r="D916" s="42">
        <v>29</v>
      </c>
      <c r="E916" s="42">
        <v>61</v>
      </c>
      <c r="F916" s="42">
        <v>4</v>
      </c>
      <c r="G916" s="42">
        <v>2.8</v>
      </c>
      <c r="H916" s="42">
        <v>0</v>
      </c>
      <c r="I916" s="42">
        <v>1</v>
      </c>
      <c r="J916" s="42">
        <v>0</v>
      </c>
      <c r="K916" s="42">
        <v>0</v>
      </c>
      <c r="L916" s="42">
        <v>0</v>
      </c>
      <c r="M916" s="42">
        <v>1</v>
      </c>
      <c r="N916" s="42">
        <v>1</v>
      </c>
      <c r="O916">
        <v>0</v>
      </c>
    </row>
    <row r="917" spans="3:15" x14ac:dyDescent="0.15">
      <c r="C917" s="43" t="s">
        <v>973</v>
      </c>
      <c r="D917" s="42">
        <v>24</v>
      </c>
      <c r="E917" s="42">
        <v>70</v>
      </c>
      <c r="F917" s="42">
        <v>1</v>
      </c>
      <c r="G917" s="42">
        <v>2.9</v>
      </c>
      <c r="H917" s="42">
        <v>1</v>
      </c>
      <c r="I917" s="42">
        <v>0</v>
      </c>
      <c r="J917" s="42">
        <v>0</v>
      </c>
      <c r="K917" s="42">
        <v>0</v>
      </c>
      <c r="L917" s="42">
        <v>0</v>
      </c>
      <c r="M917" s="42">
        <v>0</v>
      </c>
      <c r="N917" s="42">
        <v>0</v>
      </c>
      <c r="O917">
        <v>0</v>
      </c>
    </row>
    <row r="918" spans="3:15" x14ac:dyDescent="0.15">
      <c r="C918" s="43" t="s">
        <v>974</v>
      </c>
      <c r="D918" s="42">
        <v>16</v>
      </c>
      <c r="E918" s="42">
        <v>125</v>
      </c>
      <c r="F918" s="42">
        <v>2</v>
      </c>
      <c r="G918" s="42">
        <v>2.2000000000000002</v>
      </c>
      <c r="H918" s="42">
        <v>1</v>
      </c>
      <c r="I918" s="42">
        <v>0</v>
      </c>
      <c r="J918" s="42">
        <v>0</v>
      </c>
      <c r="K918" s="42">
        <v>0</v>
      </c>
      <c r="L918" s="42">
        <v>0</v>
      </c>
      <c r="M918" s="42">
        <v>1</v>
      </c>
      <c r="N918" s="42">
        <v>0</v>
      </c>
      <c r="O918">
        <v>0</v>
      </c>
    </row>
    <row r="919" spans="3:15" x14ac:dyDescent="0.15">
      <c r="C919" s="43" t="s">
        <v>975</v>
      </c>
      <c r="D919" s="42">
        <v>35</v>
      </c>
      <c r="E919" s="42">
        <v>124</v>
      </c>
      <c r="F919" s="42">
        <v>1</v>
      </c>
      <c r="G919" s="42">
        <v>7.4</v>
      </c>
      <c r="H919" s="42">
        <v>1</v>
      </c>
      <c r="I919" s="42">
        <v>0</v>
      </c>
      <c r="J919" s="42">
        <v>0</v>
      </c>
      <c r="K919" s="42">
        <v>0</v>
      </c>
      <c r="L919" s="42">
        <v>0</v>
      </c>
      <c r="M919" s="42">
        <v>0</v>
      </c>
      <c r="N919" s="42">
        <v>1</v>
      </c>
      <c r="O919">
        <v>0</v>
      </c>
    </row>
    <row r="920" spans="3:15" x14ac:dyDescent="0.15">
      <c r="C920" s="43" t="s">
        <v>976</v>
      </c>
      <c r="D920" s="42">
        <v>41</v>
      </c>
      <c r="E920" s="42">
        <v>144</v>
      </c>
      <c r="F920" s="42">
        <v>1</v>
      </c>
      <c r="G920" s="42">
        <v>2.5</v>
      </c>
      <c r="H920" s="42">
        <v>1</v>
      </c>
      <c r="I920" s="42">
        <v>0</v>
      </c>
      <c r="J920" s="42">
        <v>0</v>
      </c>
      <c r="K920" s="42">
        <v>1</v>
      </c>
      <c r="L920" s="42">
        <v>1</v>
      </c>
      <c r="M920" s="42">
        <v>1</v>
      </c>
      <c r="N920" s="42">
        <v>1</v>
      </c>
      <c r="O920">
        <v>0</v>
      </c>
    </row>
    <row r="921" spans="3:15" x14ac:dyDescent="0.15">
      <c r="C921" s="43" t="s">
        <v>977</v>
      </c>
      <c r="D921" s="42">
        <v>17</v>
      </c>
      <c r="E921" s="42">
        <v>84</v>
      </c>
      <c r="F921" s="42">
        <v>4</v>
      </c>
      <c r="G921" s="42">
        <v>2.6</v>
      </c>
      <c r="H921" s="42">
        <v>0</v>
      </c>
      <c r="I921" s="42">
        <v>0</v>
      </c>
      <c r="J921" s="42">
        <v>289</v>
      </c>
      <c r="K921" s="42">
        <v>1</v>
      </c>
      <c r="L921" s="42">
        <v>1</v>
      </c>
      <c r="M921" s="42">
        <v>1</v>
      </c>
      <c r="N921" s="42">
        <v>1</v>
      </c>
      <c r="O921">
        <v>0</v>
      </c>
    </row>
    <row r="922" spans="3:15" x14ac:dyDescent="0.15">
      <c r="C922" s="43" t="s">
        <v>978</v>
      </c>
      <c r="D922" s="42">
        <v>6</v>
      </c>
      <c r="E922" s="42">
        <v>141</v>
      </c>
      <c r="F922" s="42">
        <v>2</v>
      </c>
      <c r="G922" s="42">
        <v>4.333333333333333</v>
      </c>
      <c r="H922" s="42">
        <v>1</v>
      </c>
      <c r="I922" s="42">
        <v>0</v>
      </c>
      <c r="J922" s="42">
        <v>0</v>
      </c>
      <c r="K922" s="42">
        <v>0</v>
      </c>
      <c r="L922" s="42">
        <v>0</v>
      </c>
      <c r="M922" s="42">
        <v>1</v>
      </c>
      <c r="N922" s="42">
        <v>0</v>
      </c>
      <c r="O922">
        <v>0</v>
      </c>
    </row>
    <row r="923" spans="3:15" x14ac:dyDescent="0.15">
      <c r="C923" s="43" t="s">
        <v>979</v>
      </c>
      <c r="D923" s="42">
        <v>26</v>
      </c>
      <c r="E923" s="42">
        <v>68</v>
      </c>
      <c r="F923" s="42">
        <v>1</v>
      </c>
      <c r="G923" s="42">
        <v>0.8</v>
      </c>
      <c r="H923" s="42">
        <v>0</v>
      </c>
      <c r="I923" s="42">
        <v>0</v>
      </c>
      <c r="J923" s="42">
        <v>0</v>
      </c>
      <c r="K923" s="42">
        <v>0</v>
      </c>
      <c r="L923" s="42">
        <v>0</v>
      </c>
      <c r="M923" s="42">
        <v>1</v>
      </c>
      <c r="N923" s="42">
        <v>1</v>
      </c>
      <c r="O923">
        <v>0</v>
      </c>
    </row>
    <row r="924" spans="3:15" x14ac:dyDescent="0.15">
      <c r="C924" s="43" t="s">
        <v>980</v>
      </c>
      <c r="D924" s="42">
        <v>25</v>
      </c>
      <c r="E924" s="42">
        <v>30</v>
      </c>
      <c r="F924" s="42">
        <v>4</v>
      </c>
      <c r="G924" s="42">
        <v>0.2</v>
      </c>
      <c r="H924" s="42">
        <v>1</v>
      </c>
      <c r="I924" s="42">
        <v>0</v>
      </c>
      <c r="J924" s="42">
        <v>0</v>
      </c>
      <c r="K924" s="42">
        <v>0</v>
      </c>
      <c r="L924" s="42">
        <v>1</v>
      </c>
      <c r="M924" s="42">
        <v>1</v>
      </c>
      <c r="N924" s="42">
        <v>1</v>
      </c>
      <c r="O924">
        <v>0</v>
      </c>
    </row>
    <row r="925" spans="3:15" x14ac:dyDescent="0.15">
      <c r="C925" s="43" t="s">
        <v>981</v>
      </c>
      <c r="D925" s="42">
        <v>29</v>
      </c>
      <c r="E925" s="42">
        <v>73</v>
      </c>
      <c r="F925" s="42">
        <v>2</v>
      </c>
      <c r="G925" s="42">
        <v>2.2999999999999998</v>
      </c>
      <c r="H925" s="42">
        <v>0</v>
      </c>
      <c r="I925" s="42">
        <v>0</v>
      </c>
      <c r="J925" s="42">
        <v>0</v>
      </c>
      <c r="K925" s="42">
        <v>0</v>
      </c>
      <c r="L925" s="42">
        <v>0</v>
      </c>
      <c r="M925" s="42">
        <v>1</v>
      </c>
      <c r="N925" s="42">
        <v>1</v>
      </c>
      <c r="O925">
        <v>0</v>
      </c>
    </row>
    <row r="926" spans="3:15" x14ac:dyDescent="0.15">
      <c r="C926" s="43" t="s">
        <v>982</v>
      </c>
      <c r="D926" s="42">
        <v>19</v>
      </c>
      <c r="E926" s="42">
        <v>128</v>
      </c>
      <c r="F926" s="42">
        <v>1</v>
      </c>
      <c r="G926" s="42">
        <v>4.7</v>
      </c>
      <c r="H926" s="42">
        <v>1</v>
      </c>
      <c r="I926" s="42">
        <v>0</v>
      </c>
      <c r="J926" s="42">
        <v>0</v>
      </c>
      <c r="K926" s="42">
        <v>0</v>
      </c>
      <c r="L926" s="42">
        <v>0</v>
      </c>
      <c r="M926" s="42">
        <v>1</v>
      </c>
      <c r="N926" s="42">
        <v>0</v>
      </c>
      <c r="O926">
        <v>0</v>
      </c>
    </row>
    <row r="927" spans="3:15" x14ac:dyDescent="0.15">
      <c r="C927" s="43" t="s">
        <v>983</v>
      </c>
      <c r="D927" s="42">
        <v>14</v>
      </c>
      <c r="E927" s="42">
        <v>75</v>
      </c>
      <c r="F927" s="42">
        <v>3</v>
      </c>
      <c r="G927" s="42">
        <v>3</v>
      </c>
      <c r="H927" s="42">
        <v>1</v>
      </c>
      <c r="I927" s="42">
        <v>0</v>
      </c>
      <c r="J927" s="42">
        <v>0</v>
      </c>
      <c r="K927" s="42">
        <v>0</v>
      </c>
      <c r="L927" s="42">
        <v>0</v>
      </c>
      <c r="M927" s="42">
        <v>0</v>
      </c>
      <c r="N927" s="42">
        <v>1</v>
      </c>
      <c r="O927">
        <v>0</v>
      </c>
    </row>
    <row r="928" spans="3:15" x14ac:dyDescent="0.15">
      <c r="C928" s="43" t="s">
        <v>984</v>
      </c>
      <c r="D928" s="42">
        <v>20</v>
      </c>
      <c r="E928" s="42">
        <v>94</v>
      </c>
      <c r="F928" s="42">
        <v>3</v>
      </c>
      <c r="G928" s="42">
        <v>0.5</v>
      </c>
      <c r="H928" s="42">
        <v>0</v>
      </c>
      <c r="I928" s="42">
        <v>0</v>
      </c>
      <c r="J928" s="42">
        <v>0</v>
      </c>
      <c r="K928" s="42">
        <v>0</v>
      </c>
      <c r="L928" s="42">
        <v>0</v>
      </c>
      <c r="M928" s="42">
        <v>1</v>
      </c>
      <c r="N928" s="42">
        <v>0</v>
      </c>
      <c r="O928">
        <v>0</v>
      </c>
    </row>
    <row r="929" spans="3:15" x14ac:dyDescent="0.15">
      <c r="C929" s="43" t="s">
        <v>985</v>
      </c>
      <c r="D929" s="42">
        <v>25</v>
      </c>
      <c r="E929" s="42">
        <v>31</v>
      </c>
      <c r="F929" s="42">
        <v>1</v>
      </c>
      <c r="G929" s="42">
        <v>1</v>
      </c>
      <c r="H929" s="42">
        <v>1</v>
      </c>
      <c r="I929" s="42">
        <v>0</v>
      </c>
      <c r="J929" s="42">
        <v>0</v>
      </c>
      <c r="K929" s="42">
        <v>1</v>
      </c>
      <c r="L929" s="42">
        <v>0</v>
      </c>
      <c r="M929" s="42">
        <v>1</v>
      </c>
      <c r="N929" s="42">
        <v>0</v>
      </c>
      <c r="O929">
        <v>0</v>
      </c>
    </row>
    <row r="930" spans="3:15" x14ac:dyDescent="0.15">
      <c r="C930" s="43" t="s">
        <v>986</v>
      </c>
      <c r="D930" s="42">
        <v>31</v>
      </c>
      <c r="E930" s="42">
        <v>23</v>
      </c>
      <c r="F930" s="42">
        <v>2</v>
      </c>
      <c r="G930" s="42">
        <v>0.2</v>
      </c>
      <c r="H930" s="42">
        <v>1</v>
      </c>
      <c r="I930" s="42">
        <v>0</v>
      </c>
      <c r="J930" s="42">
        <v>0</v>
      </c>
      <c r="K930" s="42">
        <v>0</v>
      </c>
      <c r="L930" s="42">
        <v>0</v>
      </c>
      <c r="M930" s="42">
        <v>1</v>
      </c>
      <c r="N930" s="42">
        <v>0</v>
      </c>
      <c r="O930">
        <v>0</v>
      </c>
    </row>
    <row r="931" spans="3:15" x14ac:dyDescent="0.15">
      <c r="C931" s="43" t="s">
        <v>987</v>
      </c>
      <c r="D931" s="42">
        <v>41</v>
      </c>
      <c r="E931" s="42">
        <v>45</v>
      </c>
      <c r="F931" s="42">
        <v>3</v>
      </c>
      <c r="G931" s="42">
        <v>0.1</v>
      </c>
      <c r="H931" s="42">
        <v>0</v>
      </c>
      <c r="I931" s="42">
        <v>0</v>
      </c>
      <c r="J931" s="42">
        <v>0</v>
      </c>
      <c r="K931" s="42">
        <v>0</v>
      </c>
      <c r="L931" s="42">
        <v>0</v>
      </c>
      <c r="M931" s="42">
        <v>1</v>
      </c>
      <c r="N931" s="42">
        <v>0</v>
      </c>
      <c r="O931">
        <v>0</v>
      </c>
    </row>
    <row r="932" spans="3:15" x14ac:dyDescent="0.15">
      <c r="C932" s="43" t="s">
        <v>988</v>
      </c>
      <c r="D932" s="42">
        <v>36</v>
      </c>
      <c r="E932" s="42">
        <v>55</v>
      </c>
      <c r="F932" s="42">
        <v>4</v>
      </c>
      <c r="G932" s="42">
        <v>1.6666666666666667</v>
      </c>
      <c r="H932" s="42">
        <v>0</v>
      </c>
      <c r="I932" s="42">
        <v>0</v>
      </c>
      <c r="J932" s="42">
        <v>0</v>
      </c>
      <c r="K932" s="42">
        <v>0</v>
      </c>
      <c r="L932" s="42">
        <v>0</v>
      </c>
      <c r="M932" s="42">
        <v>0</v>
      </c>
      <c r="N932" s="42">
        <v>1</v>
      </c>
      <c r="O932">
        <v>0</v>
      </c>
    </row>
    <row r="933" spans="3:15" x14ac:dyDescent="0.15">
      <c r="C933" s="43" t="s">
        <v>989</v>
      </c>
      <c r="D933" s="42">
        <v>25</v>
      </c>
      <c r="E933" s="42">
        <v>70</v>
      </c>
      <c r="F933" s="42">
        <v>1</v>
      </c>
      <c r="G933" s="42">
        <v>0.8</v>
      </c>
      <c r="H933" s="42">
        <v>0</v>
      </c>
      <c r="I933" s="42">
        <v>0</v>
      </c>
      <c r="J933" s="42">
        <v>0</v>
      </c>
      <c r="K933" s="42">
        <v>1</v>
      </c>
      <c r="L933" s="42">
        <v>0</v>
      </c>
      <c r="M933" s="42">
        <v>1</v>
      </c>
      <c r="N933" s="42">
        <v>0</v>
      </c>
      <c r="O933">
        <v>0</v>
      </c>
    </row>
    <row r="934" spans="3:15" x14ac:dyDescent="0.15">
      <c r="C934" s="43" t="s">
        <v>990</v>
      </c>
      <c r="D934" s="42">
        <v>8</v>
      </c>
      <c r="E934" s="42">
        <v>164</v>
      </c>
      <c r="F934" s="42">
        <v>4</v>
      </c>
      <c r="G934" s="42">
        <v>7.4</v>
      </c>
      <c r="H934" s="42">
        <v>0</v>
      </c>
      <c r="I934" s="42">
        <v>0</v>
      </c>
      <c r="J934" s="42">
        <v>0</v>
      </c>
      <c r="K934" s="42">
        <v>0</v>
      </c>
      <c r="L934" s="42">
        <v>0</v>
      </c>
      <c r="M934" s="42">
        <v>1</v>
      </c>
      <c r="N934" s="42">
        <v>0</v>
      </c>
      <c r="O934">
        <v>1</v>
      </c>
    </row>
    <row r="935" spans="3:15" x14ac:dyDescent="0.15">
      <c r="C935" s="43" t="s">
        <v>991</v>
      </c>
      <c r="D935" s="42">
        <v>26</v>
      </c>
      <c r="E935" s="42">
        <v>178</v>
      </c>
      <c r="F935" s="42">
        <v>1</v>
      </c>
      <c r="G935" s="42">
        <v>1</v>
      </c>
      <c r="H935" s="42">
        <v>1</v>
      </c>
      <c r="I935" s="42">
        <v>0</v>
      </c>
      <c r="J935" s="42">
        <v>0</v>
      </c>
      <c r="K935" s="42">
        <v>0</v>
      </c>
      <c r="L935" s="42">
        <v>0</v>
      </c>
      <c r="M935" s="42">
        <v>0</v>
      </c>
      <c r="N935" s="42">
        <v>0</v>
      </c>
      <c r="O935">
        <v>0</v>
      </c>
    </row>
    <row r="936" spans="3:15" x14ac:dyDescent="0.15">
      <c r="C936" s="43" t="s">
        <v>992</v>
      </c>
      <c r="D936" s="42">
        <v>27</v>
      </c>
      <c r="E936" s="42">
        <v>45</v>
      </c>
      <c r="F936" s="42">
        <v>1</v>
      </c>
      <c r="G936" s="42">
        <v>1.3</v>
      </c>
      <c r="H936" s="42">
        <v>0</v>
      </c>
      <c r="I936" s="42">
        <v>1</v>
      </c>
      <c r="J936" s="42">
        <v>0</v>
      </c>
      <c r="K936" s="42">
        <v>0</v>
      </c>
      <c r="L936" s="42">
        <v>0</v>
      </c>
      <c r="M936" s="42">
        <v>0</v>
      </c>
      <c r="N936" s="42">
        <v>0</v>
      </c>
      <c r="O936">
        <v>0</v>
      </c>
    </row>
    <row r="937" spans="3:15" x14ac:dyDescent="0.15">
      <c r="C937" s="43" t="s">
        <v>993</v>
      </c>
      <c r="D937" s="42">
        <v>13</v>
      </c>
      <c r="E937" s="42">
        <v>169</v>
      </c>
      <c r="F937" s="42">
        <v>1</v>
      </c>
      <c r="G937" s="42">
        <v>6.8</v>
      </c>
      <c r="H937" s="42">
        <v>0</v>
      </c>
      <c r="I937" s="42">
        <v>0</v>
      </c>
      <c r="J937" s="42">
        <v>0</v>
      </c>
      <c r="K937" s="42">
        <v>0</v>
      </c>
      <c r="L937" s="42">
        <v>1</v>
      </c>
      <c r="M937" s="42">
        <v>1</v>
      </c>
      <c r="N937" s="42">
        <v>1</v>
      </c>
      <c r="O937">
        <v>1</v>
      </c>
    </row>
    <row r="938" spans="3:15" x14ac:dyDescent="0.15">
      <c r="C938" s="43" t="s">
        <v>994</v>
      </c>
      <c r="D938" s="42">
        <v>18</v>
      </c>
      <c r="E938" s="42">
        <v>89</v>
      </c>
      <c r="F938" s="42">
        <v>3</v>
      </c>
      <c r="G938" s="42">
        <v>0.5</v>
      </c>
      <c r="H938" s="42">
        <v>0</v>
      </c>
      <c r="I938" s="42">
        <v>0</v>
      </c>
      <c r="J938" s="42">
        <v>0</v>
      </c>
      <c r="K938" s="42">
        <v>0</v>
      </c>
      <c r="L938" s="42">
        <v>0</v>
      </c>
      <c r="M938" s="42">
        <v>1</v>
      </c>
      <c r="N938" s="42">
        <v>1</v>
      </c>
      <c r="O938">
        <v>0</v>
      </c>
    </row>
    <row r="939" spans="3:15" x14ac:dyDescent="0.15">
      <c r="C939" s="43" t="s">
        <v>995</v>
      </c>
      <c r="D939" s="42">
        <v>25</v>
      </c>
      <c r="E939" s="42">
        <v>185</v>
      </c>
      <c r="F939" s="42">
        <v>1</v>
      </c>
      <c r="G939" s="42">
        <v>1.7</v>
      </c>
      <c r="H939" s="42">
        <v>1</v>
      </c>
      <c r="I939" s="42">
        <v>0</v>
      </c>
      <c r="J939" s="42">
        <v>0</v>
      </c>
      <c r="K939" s="42">
        <v>0</v>
      </c>
      <c r="L939" s="42">
        <v>0</v>
      </c>
      <c r="M939" s="42">
        <v>0</v>
      </c>
      <c r="N939" s="42">
        <v>0</v>
      </c>
      <c r="O939">
        <v>0</v>
      </c>
    </row>
    <row r="940" spans="3:15" x14ac:dyDescent="0.15">
      <c r="C940" s="43" t="s">
        <v>996</v>
      </c>
      <c r="D940" s="42">
        <v>19</v>
      </c>
      <c r="E940" s="42">
        <v>50</v>
      </c>
      <c r="F940" s="42">
        <v>3</v>
      </c>
      <c r="G940" s="42">
        <v>2.7</v>
      </c>
      <c r="H940" s="42">
        <v>0</v>
      </c>
      <c r="I940" s="42">
        <v>1</v>
      </c>
      <c r="J940" s="42">
        <v>0</v>
      </c>
      <c r="K940" s="42">
        <v>0</v>
      </c>
      <c r="L940" s="42">
        <v>0</v>
      </c>
      <c r="M940" s="42">
        <v>1</v>
      </c>
      <c r="N940" s="42">
        <v>0</v>
      </c>
      <c r="O940">
        <v>0</v>
      </c>
    </row>
    <row r="941" spans="3:15" x14ac:dyDescent="0.15">
      <c r="C941" s="43" t="s">
        <v>997</v>
      </c>
      <c r="D941" s="42">
        <v>12</v>
      </c>
      <c r="E941" s="42">
        <v>190</v>
      </c>
      <c r="F941" s="42">
        <v>2</v>
      </c>
      <c r="G941" s="42">
        <v>3</v>
      </c>
      <c r="H941" s="42">
        <v>1</v>
      </c>
      <c r="I941" s="42">
        <v>0</v>
      </c>
      <c r="J941" s="42">
        <v>475</v>
      </c>
      <c r="K941" s="42">
        <v>0</v>
      </c>
      <c r="L941" s="42">
        <v>0</v>
      </c>
      <c r="M941" s="42">
        <v>1</v>
      </c>
      <c r="N941" s="42">
        <v>0</v>
      </c>
      <c r="O941">
        <v>0</v>
      </c>
    </row>
    <row r="942" spans="3:15" x14ac:dyDescent="0.15">
      <c r="C942" s="43" t="s">
        <v>998</v>
      </c>
      <c r="D942" s="42">
        <v>29</v>
      </c>
      <c r="E942" s="42">
        <v>29</v>
      </c>
      <c r="F942" s="42">
        <v>4</v>
      </c>
      <c r="G942" s="42">
        <v>1.5</v>
      </c>
      <c r="H942" s="42">
        <v>0</v>
      </c>
      <c r="I942" s="42">
        <v>0</v>
      </c>
      <c r="J942" s="42">
        <v>79</v>
      </c>
      <c r="K942" s="42">
        <v>0</v>
      </c>
      <c r="L942" s="42">
        <v>0</v>
      </c>
      <c r="M942" s="42">
        <v>1</v>
      </c>
      <c r="N942" s="42">
        <v>0</v>
      </c>
      <c r="O942">
        <v>0</v>
      </c>
    </row>
    <row r="943" spans="3:15" x14ac:dyDescent="0.15">
      <c r="C943" s="43" t="s">
        <v>999</v>
      </c>
      <c r="D943" s="42">
        <v>30</v>
      </c>
      <c r="E943" s="42">
        <v>44</v>
      </c>
      <c r="F943" s="42">
        <v>4</v>
      </c>
      <c r="G943" s="42">
        <v>0.7</v>
      </c>
      <c r="H943" s="42">
        <v>0</v>
      </c>
      <c r="I943" s="42">
        <v>1</v>
      </c>
      <c r="J943" s="42">
        <v>174</v>
      </c>
      <c r="K943" s="42">
        <v>0</v>
      </c>
      <c r="L943" s="42">
        <v>0</v>
      </c>
      <c r="M943" s="42">
        <v>1</v>
      </c>
      <c r="N943" s="42">
        <v>0</v>
      </c>
      <c r="O943">
        <v>0</v>
      </c>
    </row>
    <row r="944" spans="3:15" x14ac:dyDescent="0.15">
      <c r="C944" s="43" t="s">
        <v>1000</v>
      </c>
      <c r="D944" s="42">
        <v>9</v>
      </c>
      <c r="E944" s="42">
        <v>84</v>
      </c>
      <c r="F944" s="42">
        <v>4</v>
      </c>
      <c r="G944" s="42">
        <v>2.2000000000000002</v>
      </c>
      <c r="H944" s="42">
        <v>0</v>
      </c>
      <c r="I944" s="42">
        <v>1</v>
      </c>
      <c r="J944" s="42">
        <v>322</v>
      </c>
      <c r="K944" s="42">
        <v>0</v>
      </c>
      <c r="L944" s="42">
        <v>0</v>
      </c>
      <c r="M944" s="42">
        <v>0</v>
      </c>
      <c r="N944" s="42">
        <v>0</v>
      </c>
      <c r="O944">
        <v>0</v>
      </c>
    </row>
    <row r="945" spans="3:15" x14ac:dyDescent="0.15">
      <c r="C945" s="43" t="s">
        <v>1001</v>
      </c>
      <c r="D945" s="42">
        <v>8</v>
      </c>
      <c r="E945" s="42">
        <v>130</v>
      </c>
      <c r="F945" s="42">
        <v>3</v>
      </c>
      <c r="G945" s="42">
        <v>6.3</v>
      </c>
      <c r="H945" s="42">
        <v>0</v>
      </c>
      <c r="I945" s="42">
        <v>1</v>
      </c>
      <c r="J945" s="42">
        <v>99</v>
      </c>
      <c r="K945" s="42">
        <v>0</v>
      </c>
      <c r="L945" s="42">
        <v>0</v>
      </c>
      <c r="M945" s="42">
        <v>0</v>
      </c>
      <c r="N945" s="42">
        <v>1</v>
      </c>
      <c r="O945">
        <v>1</v>
      </c>
    </row>
    <row r="946" spans="3:15" x14ac:dyDescent="0.15">
      <c r="C946" s="43" t="s">
        <v>1002</v>
      </c>
      <c r="D946" s="42">
        <v>36</v>
      </c>
      <c r="E946" s="42">
        <v>55</v>
      </c>
      <c r="F946" s="42">
        <v>3</v>
      </c>
      <c r="G946" s="42">
        <v>0.9</v>
      </c>
      <c r="H946" s="42">
        <v>0</v>
      </c>
      <c r="I946" s="42">
        <v>0</v>
      </c>
      <c r="J946" s="42">
        <v>197</v>
      </c>
      <c r="K946" s="42">
        <v>0</v>
      </c>
      <c r="L946" s="42">
        <v>0</v>
      </c>
      <c r="M946" s="42">
        <v>0</v>
      </c>
      <c r="N946" s="42">
        <v>0</v>
      </c>
      <c r="O946">
        <v>0</v>
      </c>
    </row>
    <row r="947" spans="3:15" x14ac:dyDescent="0.15">
      <c r="C947" s="43" t="s">
        <v>1003</v>
      </c>
      <c r="D947" s="42">
        <v>27</v>
      </c>
      <c r="E947" s="42">
        <v>34</v>
      </c>
      <c r="F947" s="42">
        <v>2</v>
      </c>
      <c r="G947" s="42">
        <v>0.7</v>
      </c>
      <c r="H947" s="42">
        <v>0</v>
      </c>
      <c r="I947" s="42">
        <v>1</v>
      </c>
      <c r="J947" s="42">
        <v>114</v>
      </c>
      <c r="K947" s="42">
        <v>0</v>
      </c>
      <c r="L947" s="42">
        <v>0</v>
      </c>
      <c r="M947" s="42">
        <v>1</v>
      </c>
      <c r="N947" s="42">
        <v>1</v>
      </c>
      <c r="O947">
        <v>0</v>
      </c>
    </row>
    <row r="948" spans="3:15" x14ac:dyDescent="0.15">
      <c r="C948" s="43" t="s">
        <v>1004</v>
      </c>
      <c r="D948" s="42">
        <v>31</v>
      </c>
      <c r="E948" s="42">
        <v>45</v>
      </c>
      <c r="F948" s="42">
        <v>3</v>
      </c>
      <c r="G948" s="42">
        <v>1.4</v>
      </c>
      <c r="H948" s="42">
        <v>1</v>
      </c>
      <c r="I948" s="42">
        <v>0</v>
      </c>
      <c r="J948" s="42">
        <v>198</v>
      </c>
      <c r="K948" s="42">
        <v>0</v>
      </c>
      <c r="L948" s="42">
        <v>0</v>
      </c>
      <c r="M948" s="42">
        <v>1</v>
      </c>
      <c r="N948" s="42">
        <v>0</v>
      </c>
      <c r="O948">
        <v>0</v>
      </c>
    </row>
    <row r="949" spans="3:15" x14ac:dyDescent="0.15">
      <c r="C949" s="43" t="s">
        <v>1005</v>
      </c>
      <c r="D949" s="42">
        <v>5</v>
      </c>
      <c r="E949" s="42">
        <v>49</v>
      </c>
      <c r="F949" s="42">
        <v>4</v>
      </c>
      <c r="G949" s="42">
        <v>1.8</v>
      </c>
      <c r="H949" s="42">
        <v>0</v>
      </c>
      <c r="I949" s="42">
        <v>0</v>
      </c>
      <c r="J949" s="42">
        <v>0</v>
      </c>
      <c r="K949" s="42">
        <v>0</v>
      </c>
      <c r="L949" s="42">
        <v>0</v>
      </c>
      <c r="M949" s="42">
        <v>1</v>
      </c>
      <c r="N949" s="42">
        <v>1</v>
      </c>
      <c r="O949">
        <v>0</v>
      </c>
    </row>
    <row r="950" spans="3:15" x14ac:dyDescent="0.15">
      <c r="C950" s="43" t="s">
        <v>1006</v>
      </c>
      <c r="D950" s="42">
        <v>10</v>
      </c>
      <c r="E950" s="42">
        <v>104</v>
      </c>
      <c r="F950" s="42">
        <v>3</v>
      </c>
      <c r="G950" s="42">
        <v>0.6</v>
      </c>
      <c r="H950" s="42">
        <v>0</v>
      </c>
      <c r="I950" s="42">
        <v>1</v>
      </c>
      <c r="J950" s="42">
        <v>0</v>
      </c>
      <c r="K950" s="42">
        <v>0</v>
      </c>
      <c r="L950" s="42">
        <v>0</v>
      </c>
      <c r="M950" s="42">
        <v>0</v>
      </c>
      <c r="N950" s="42">
        <v>1</v>
      </c>
      <c r="O950">
        <v>0</v>
      </c>
    </row>
    <row r="951" spans="3:15" x14ac:dyDescent="0.15">
      <c r="C951" s="43" t="s">
        <v>1007</v>
      </c>
      <c r="D951" s="42">
        <v>31</v>
      </c>
      <c r="E951" s="42">
        <v>73</v>
      </c>
      <c r="F951" s="42">
        <v>4</v>
      </c>
      <c r="G951" s="42">
        <v>1.6</v>
      </c>
      <c r="H951" s="42">
        <v>0</v>
      </c>
      <c r="I951" s="42">
        <v>1</v>
      </c>
      <c r="J951" s="42">
        <v>0</v>
      </c>
      <c r="K951" s="42">
        <v>0</v>
      </c>
      <c r="L951" s="42">
        <v>0</v>
      </c>
      <c r="M951" s="42">
        <v>0</v>
      </c>
      <c r="N951" s="42">
        <v>0</v>
      </c>
      <c r="O951">
        <v>0</v>
      </c>
    </row>
    <row r="952" spans="3:15" x14ac:dyDescent="0.15">
      <c r="C952" s="43" t="s">
        <v>1008</v>
      </c>
      <c r="D952" s="42">
        <v>20</v>
      </c>
      <c r="E952" s="42">
        <v>81</v>
      </c>
      <c r="F952" s="42">
        <v>1</v>
      </c>
      <c r="G952" s="42">
        <v>2.6666666666666665</v>
      </c>
      <c r="H952" s="42">
        <v>0</v>
      </c>
      <c r="I952" s="42">
        <v>1</v>
      </c>
      <c r="J952" s="42">
        <v>0</v>
      </c>
      <c r="K952" s="42">
        <v>0</v>
      </c>
      <c r="L952" s="42">
        <v>0</v>
      </c>
      <c r="M952" s="42">
        <v>1</v>
      </c>
      <c r="N952" s="42">
        <v>0</v>
      </c>
      <c r="O952">
        <v>0</v>
      </c>
    </row>
    <row r="953" spans="3:15" x14ac:dyDescent="0.15">
      <c r="C953" s="43" t="s">
        <v>1009</v>
      </c>
      <c r="D953" s="42">
        <v>11</v>
      </c>
      <c r="E953" s="42">
        <v>139</v>
      </c>
      <c r="F953" s="42">
        <v>2</v>
      </c>
      <c r="G953" s="42">
        <v>0.8</v>
      </c>
      <c r="H953" s="42">
        <v>0</v>
      </c>
      <c r="I953" s="42">
        <v>1</v>
      </c>
      <c r="J953" s="42">
        <v>421</v>
      </c>
      <c r="K953" s="42">
        <v>0</v>
      </c>
      <c r="L953" s="42">
        <v>0</v>
      </c>
      <c r="M953" s="42">
        <v>1</v>
      </c>
      <c r="N953" s="42">
        <v>0</v>
      </c>
      <c r="O953">
        <v>1</v>
      </c>
    </row>
    <row r="954" spans="3:15" x14ac:dyDescent="0.15">
      <c r="C954" s="43" t="s">
        <v>1010</v>
      </c>
      <c r="D954" s="42">
        <v>1</v>
      </c>
      <c r="E954" s="42">
        <v>83</v>
      </c>
      <c r="F954" s="42">
        <v>4</v>
      </c>
      <c r="G954" s="42">
        <v>2.1</v>
      </c>
      <c r="H954" s="42">
        <v>0</v>
      </c>
      <c r="I954" s="42">
        <v>0</v>
      </c>
      <c r="J954" s="42">
        <v>0</v>
      </c>
      <c r="K954" s="42">
        <v>0</v>
      </c>
      <c r="L954" s="42">
        <v>0</v>
      </c>
      <c r="M954" s="42">
        <v>1</v>
      </c>
      <c r="N954" s="42">
        <v>1</v>
      </c>
      <c r="O954">
        <v>0</v>
      </c>
    </row>
    <row r="955" spans="3:15" x14ac:dyDescent="0.15">
      <c r="C955" s="43" t="s">
        <v>1011</v>
      </c>
      <c r="D955" s="42">
        <v>30</v>
      </c>
      <c r="E955" s="42">
        <v>73</v>
      </c>
      <c r="F955" s="42">
        <v>4</v>
      </c>
      <c r="G955" s="42">
        <v>3.8</v>
      </c>
      <c r="H955" s="42">
        <v>0</v>
      </c>
      <c r="I955" s="42">
        <v>1</v>
      </c>
      <c r="J955" s="42">
        <v>0</v>
      </c>
      <c r="K955" s="42">
        <v>0</v>
      </c>
      <c r="L955" s="42">
        <v>0</v>
      </c>
      <c r="M955" s="42">
        <v>1</v>
      </c>
      <c r="N955" s="42">
        <v>0</v>
      </c>
      <c r="O955">
        <v>0</v>
      </c>
    </row>
    <row r="956" spans="3:15" x14ac:dyDescent="0.15">
      <c r="C956" s="43" t="s">
        <v>1012</v>
      </c>
      <c r="D956" s="42">
        <v>3</v>
      </c>
      <c r="E956" s="42">
        <v>61</v>
      </c>
      <c r="F956" s="42">
        <v>4</v>
      </c>
      <c r="G956" s="42">
        <v>2</v>
      </c>
      <c r="H956" s="42">
        <v>0</v>
      </c>
      <c r="I956" s="42">
        <v>1</v>
      </c>
      <c r="J956" s="42">
        <v>0</v>
      </c>
      <c r="K956" s="42">
        <v>0</v>
      </c>
      <c r="L956" s="42">
        <v>0</v>
      </c>
      <c r="M956" s="42">
        <v>1</v>
      </c>
      <c r="N956" s="42">
        <v>0</v>
      </c>
      <c r="O956">
        <v>0</v>
      </c>
    </row>
    <row r="957" spans="3:15" x14ac:dyDescent="0.15">
      <c r="C957" s="43" t="s">
        <v>1013</v>
      </c>
      <c r="D957" s="42">
        <v>5</v>
      </c>
      <c r="E957" s="42">
        <v>45</v>
      </c>
      <c r="F957" s="42">
        <v>3</v>
      </c>
      <c r="G957" s="42">
        <v>0.1</v>
      </c>
      <c r="H957" s="42">
        <v>0</v>
      </c>
      <c r="I957" s="42">
        <v>1</v>
      </c>
      <c r="J957" s="42">
        <v>0</v>
      </c>
      <c r="K957" s="42">
        <v>0</v>
      </c>
      <c r="L957" s="42">
        <v>0</v>
      </c>
      <c r="M957" s="42">
        <v>1</v>
      </c>
      <c r="N957" s="42">
        <v>0</v>
      </c>
      <c r="O957">
        <v>0</v>
      </c>
    </row>
    <row r="958" spans="3:15" x14ac:dyDescent="0.15">
      <c r="C958" s="43" t="s">
        <v>1014</v>
      </c>
      <c r="D958" s="42">
        <v>8</v>
      </c>
      <c r="E958" s="42">
        <v>133</v>
      </c>
      <c r="F958" s="42">
        <v>1</v>
      </c>
      <c r="G958" s="42">
        <v>0</v>
      </c>
      <c r="H958" s="42">
        <v>1</v>
      </c>
      <c r="I958" s="42">
        <v>0</v>
      </c>
      <c r="J958" s="42">
        <v>0</v>
      </c>
      <c r="K958" s="42">
        <v>0</v>
      </c>
      <c r="L958" s="42">
        <v>0</v>
      </c>
      <c r="M958" s="42">
        <v>1</v>
      </c>
      <c r="N958" s="42">
        <v>0</v>
      </c>
      <c r="O958">
        <v>0</v>
      </c>
    </row>
    <row r="959" spans="3:15" x14ac:dyDescent="0.15">
      <c r="C959" s="43" t="s">
        <v>1015</v>
      </c>
      <c r="D959" s="42">
        <v>11</v>
      </c>
      <c r="E959" s="42">
        <v>72</v>
      </c>
      <c r="F959" s="42">
        <v>3</v>
      </c>
      <c r="G959" s="42">
        <v>2.6</v>
      </c>
      <c r="H959" s="42">
        <v>0</v>
      </c>
      <c r="I959" s="42">
        <v>1</v>
      </c>
      <c r="J959" s="42">
        <v>0</v>
      </c>
      <c r="K959" s="42">
        <v>0</v>
      </c>
      <c r="L959" s="42">
        <v>0</v>
      </c>
      <c r="M959" s="42">
        <v>1</v>
      </c>
      <c r="N959" s="42">
        <v>0</v>
      </c>
      <c r="O959">
        <v>0</v>
      </c>
    </row>
    <row r="960" spans="3:15" x14ac:dyDescent="0.15">
      <c r="C960" s="43" t="s">
        <v>1016</v>
      </c>
      <c r="D960" s="42">
        <v>3</v>
      </c>
      <c r="E960" s="42">
        <v>105</v>
      </c>
      <c r="F960" s="42">
        <v>1</v>
      </c>
      <c r="G960" s="42">
        <v>3</v>
      </c>
      <c r="H960" s="42">
        <v>0</v>
      </c>
      <c r="I960" s="42">
        <v>1</v>
      </c>
      <c r="J960" s="42">
        <v>0</v>
      </c>
      <c r="K960" s="42">
        <v>1</v>
      </c>
      <c r="L960" s="42">
        <v>0</v>
      </c>
      <c r="M960" s="42">
        <v>0</v>
      </c>
      <c r="N960" s="42">
        <v>0</v>
      </c>
      <c r="O960">
        <v>1</v>
      </c>
    </row>
    <row r="961" spans="3:15" x14ac:dyDescent="0.15">
      <c r="C961" s="43" t="s">
        <v>1017</v>
      </c>
      <c r="D961" s="42">
        <v>6</v>
      </c>
      <c r="E961" s="42">
        <v>64</v>
      </c>
      <c r="F961" s="42">
        <v>4</v>
      </c>
      <c r="G961" s="42">
        <v>3.4</v>
      </c>
      <c r="H961" s="42">
        <v>1</v>
      </c>
      <c r="I961" s="42">
        <v>0</v>
      </c>
      <c r="J961" s="42">
        <v>117</v>
      </c>
      <c r="K961" s="42">
        <v>0</v>
      </c>
      <c r="L961" s="42">
        <v>0</v>
      </c>
      <c r="M961" s="42">
        <v>0</v>
      </c>
      <c r="N961" s="42">
        <v>0</v>
      </c>
      <c r="O961">
        <v>0</v>
      </c>
    </row>
    <row r="962" spans="3:15" x14ac:dyDescent="0.15">
      <c r="C962" s="43" t="s">
        <v>1018</v>
      </c>
      <c r="D962" s="42">
        <v>3</v>
      </c>
      <c r="E962" s="42">
        <v>112</v>
      </c>
      <c r="F962" s="42">
        <v>3</v>
      </c>
      <c r="G962" s="42">
        <v>2.5</v>
      </c>
      <c r="H962" s="42">
        <v>1</v>
      </c>
      <c r="I962" s="42">
        <v>0</v>
      </c>
      <c r="J962" s="42">
        <v>389</v>
      </c>
      <c r="K962" s="42">
        <v>1</v>
      </c>
      <c r="L962" s="42">
        <v>0</v>
      </c>
      <c r="M962" s="42">
        <v>1</v>
      </c>
      <c r="N962" s="42">
        <v>0</v>
      </c>
      <c r="O962">
        <v>0</v>
      </c>
    </row>
    <row r="963" spans="3:15" x14ac:dyDescent="0.15">
      <c r="C963" s="43" t="s">
        <v>1019</v>
      </c>
      <c r="D963" s="42">
        <v>32</v>
      </c>
      <c r="E963" s="42">
        <v>15</v>
      </c>
      <c r="F963" s="42">
        <v>1</v>
      </c>
      <c r="G963" s="42">
        <v>0.1</v>
      </c>
      <c r="H963" s="42">
        <v>0</v>
      </c>
      <c r="I963" s="42">
        <v>1</v>
      </c>
      <c r="J963" s="42">
        <v>0</v>
      </c>
      <c r="K963" s="42">
        <v>0</v>
      </c>
      <c r="L963" s="42">
        <v>0</v>
      </c>
      <c r="M963" s="42">
        <v>1</v>
      </c>
      <c r="N963" s="42">
        <v>0</v>
      </c>
      <c r="O963">
        <v>0</v>
      </c>
    </row>
    <row r="964" spans="3:15" x14ac:dyDescent="0.15">
      <c r="C964" s="43" t="s">
        <v>1020</v>
      </c>
      <c r="D964" s="42">
        <v>23</v>
      </c>
      <c r="E964" s="42">
        <v>34</v>
      </c>
      <c r="F964" s="42">
        <v>4</v>
      </c>
      <c r="G964" s="42">
        <v>0.6</v>
      </c>
      <c r="H964" s="42">
        <v>1</v>
      </c>
      <c r="I964" s="42">
        <v>0</v>
      </c>
      <c r="J964" s="42">
        <v>0</v>
      </c>
      <c r="K964" s="42">
        <v>0</v>
      </c>
      <c r="L964" s="42">
        <v>1</v>
      </c>
      <c r="M964" s="42">
        <v>1</v>
      </c>
      <c r="N964" s="42">
        <v>1</v>
      </c>
      <c r="O964">
        <v>0</v>
      </c>
    </row>
    <row r="965" spans="3:15" x14ac:dyDescent="0.15">
      <c r="C965" s="43" t="s">
        <v>1021</v>
      </c>
      <c r="D965" s="42">
        <v>30</v>
      </c>
      <c r="E965" s="42">
        <v>100</v>
      </c>
      <c r="F965" s="42">
        <v>4</v>
      </c>
      <c r="G965" s="42">
        <v>3.4</v>
      </c>
      <c r="H965" s="42">
        <v>0</v>
      </c>
      <c r="I965" s="42">
        <v>0</v>
      </c>
      <c r="J965" s="42">
        <v>0</v>
      </c>
      <c r="K965" s="42">
        <v>0</v>
      </c>
      <c r="L965" s="42">
        <v>0</v>
      </c>
      <c r="M965" s="42">
        <v>0</v>
      </c>
      <c r="N965" s="42">
        <v>0</v>
      </c>
      <c r="O965">
        <v>1</v>
      </c>
    </row>
    <row r="966" spans="3:15" x14ac:dyDescent="0.15">
      <c r="C966" s="43" t="s">
        <v>1022</v>
      </c>
      <c r="D966" s="42">
        <v>5</v>
      </c>
      <c r="E966" s="42">
        <v>44</v>
      </c>
      <c r="F966" s="42">
        <v>1</v>
      </c>
      <c r="G966" s="42">
        <v>0.2</v>
      </c>
      <c r="H966" s="42">
        <v>0</v>
      </c>
      <c r="I966" s="42">
        <v>0</v>
      </c>
      <c r="J966" s="42">
        <v>0</v>
      </c>
      <c r="K966" s="42">
        <v>0</v>
      </c>
      <c r="L966" s="42">
        <v>0</v>
      </c>
      <c r="M966" s="42">
        <v>1</v>
      </c>
      <c r="N966" s="42">
        <v>0</v>
      </c>
      <c r="O966">
        <v>0</v>
      </c>
    </row>
    <row r="967" spans="3:15" x14ac:dyDescent="0.15">
      <c r="C967" s="43" t="s">
        <v>1023</v>
      </c>
      <c r="D967" s="42">
        <v>34</v>
      </c>
      <c r="E967" s="42">
        <v>52</v>
      </c>
      <c r="F967" s="42">
        <v>2</v>
      </c>
      <c r="G967" s="42">
        <v>1.6</v>
      </c>
      <c r="H967" s="42">
        <v>0</v>
      </c>
      <c r="I967" s="42">
        <v>0</v>
      </c>
      <c r="J967" s="42">
        <v>75</v>
      </c>
      <c r="K967" s="42">
        <v>0</v>
      </c>
      <c r="L967" s="42">
        <v>0</v>
      </c>
      <c r="M967" s="42">
        <v>1</v>
      </c>
      <c r="N967" s="42">
        <v>0</v>
      </c>
      <c r="O967">
        <v>0</v>
      </c>
    </row>
    <row r="968" spans="3:15" x14ac:dyDescent="0.15">
      <c r="C968" s="43" t="s">
        <v>1024</v>
      </c>
      <c r="D968" s="42">
        <v>37</v>
      </c>
      <c r="E968" s="42">
        <v>109</v>
      </c>
      <c r="F968" s="42">
        <v>1</v>
      </c>
      <c r="G968" s="42">
        <v>2</v>
      </c>
      <c r="H968" s="42">
        <v>1</v>
      </c>
      <c r="I968" s="42">
        <v>0</v>
      </c>
      <c r="J968" s="42">
        <v>0</v>
      </c>
      <c r="K968" s="42">
        <v>0</v>
      </c>
      <c r="L968" s="42">
        <v>0</v>
      </c>
      <c r="M968" s="42">
        <v>1</v>
      </c>
      <c r="N968" s="42">
        <v>0</v>
      </c>
      <c r="O968">
        <v>0</v>
      </c>
    </row>
    <row r="969" spans="3:15" x14ac:dyDescent="0.15">
      <c r="C969" s="43" t="s">
        <v>1025</v>
      </c>
      <c r="D969" s="42">
        <v>17</v>
      </c>
      <c r="E969" s="42">
        <v>11</v>
      </c>
      <c r="F969" s="42">
        <v>1</v>
      </c>
      <c r="G969" s="42">
        <v>1</v>
      </c>
      <c r="H969" s="42">
        <v>1</v>
      </c>
      <c r="I969" s="42">
        <v>0</v>
      </c>
      <c r="J969" s="42">
        <v>0</v>
      </c>
      <c r="K969" s="42">
        <v>0</v>
      </c>
      <c r="L969" s="42">
        <v>0</v>
      </c>
      <c r="M969" s="42">
        <v>0</v>
      </c>
      <c r="N969" s="42">
        <v>0</v>
      </c>
      <c r="O969">
        <v>0</v>
      </c>
    </row>
    <row r="970" spans="3:15" x14ac:dyDescent="0.15">
      <c r="C970" s="43" t="s">
        <v>1026</v>
      </c>
      <c r="D970" s="42">
        <v>26</v>
      </c>
      <c r="E970" s="42">
        <v>92</v>
      </c>
      <c r="F970" s="42">
        <v>2</v>
      </c>
      <c r="G970" s="42">
        <v>4.5</v>
      </c>
      <c r="H970" s="42">
        <v>0</v>
      </c>
      <c r="I970" s="42">
        <v>0</v>
      </c>
      <c r="J970" s="42">
        <v>0</v>
      </c>
      <c r="K970" s="42">
        <v>1</v>
      </c>
      <c r="L970" s="42">
        <v>0</v>
      </c>
      <c r="M970" s="42">
        <v>0</v>
      </c>
      <c r="N970" s="42">
        <v>1</v>
      </c>
      <c r="O970">
        <v>0</v>
      </c>
    </row>
    <row r="971" spans="3:15" x14ac:dyDescent="0.15">
      <c r="C971" s="43" t="s">
        <v>1027</v>
      </c>
      <c r="D971" s="42">
        <v>12</v>
      </c>
      <c r="E971" s="42">
        <v>73</v>
      </c>
      <c r="F971" s="42">
        <v>4</v>
      </c>
      <c r="G971" s="42">
        <v>2</v>
      </c>
      <c r="H971" s="42">
        <v>0</v>
      </c>
      <c r="I971" s="42">
        <v>0</v>
      </c>
      <c r="J971" s="42">
        <v>188</v>
      </c>
      <c r="K971" s="42">
        <v>0</v>
      </c>
      <c r="L971" s="42">
        <v>0</v>
      </c>
      <c r="M971" s="42">
        <v>1</v>
      </c>
      <c r="N971" s="42">
        <v>0</v>
      </c>
      <c r="O971">
        <v>0</v>
      </c>
    </row>
    <row r="972" spans="3:15" x14ac:dyDescent="0.15">
      <c r="C972" s="43" t="s">
        <v>1028</v>
      </c>
      <c r="D972" s="42">
        <v>22</v>
      </c>
      <c r="E972" s="42">
        <v>81</v>
      </c>
      <c r="F972" s="42">
        <v>1</v>
      </c>
      <c r="G972" s="42">
        <v>2.9</v>
      </c>
      <c r="H972" s="42">
        <v>1</v>
      </c>
      <c r="I972" s="42">
        <v>0</v>
      </c>
      <c r="J972" s="42">
        <v>138</v>
      </c>
      <c r="K972" s="42">
        <v>0</v>
      </c>
      <c r="L972" s="42">
        <v>0</v>
      </c>
      <c r="M972" s="42">
        <v>0</v>
      </c>
      <c r="N972" s="42">
        <v>0</v>
      </c>
      <c r="O972">
        <v>0</v>
      </c>
    </row>
    <row r="973" spans="3:15" x14ac:dyDescent="0.15">
      <c r="C973" s="43" t="s">
        <v>1029</v>
      </c>
      <c r="D973" s="42">
        <v>37</v>
      </c>
      <c r="E973" s="42">
        <v>141</v>
      </c>
      <c r="F973" s="42">
        <v>2</v>
      </c>
      <c r="G973" s="42">
        <v>6.9</v>
      </c>
      <c r="H973" s="42">
        <v>1</v>
      </c>
      <c r="I973" s="42">
        <v>0</v>
      </c>
      <c r="J973" s="42">
        <v>0</v>
      </c>
      <c r="K973" s="42">
        <v>0</v>
      </c>
      <c r="L973" s="42">
        <v>0</v>
      </c>
      <c r="M973" s="42">
        <v>1</v>
      </c>
      <c r="N973" s="42">
        <v>1</v>
      </c>
      <c r="O973">
        <v>0</v>
      </c>
    </row>
    <row r="974" spans="3:15" x14ac:dyDescent="0.15">
      <c r="C974" s="43" t="s">
        <v>1030</v>
      </c>
      <c r="D974" s="42">
        <v>15</v>
      </c>
      <c r="E974" s="42">
        <v>52</v>
      </c>
      <c r="F974" s="42">
        <v>3</v>
      </c>
      <c r="G974" s="42">
        <v>0.8</v>
      </c>
      <c r="H974" s="42">
        <v>0</v>
      </c>
      <c r="I974" s="42">
        <v>0</v>
      </c>
      <c r="J974" s="42">
        <v>113</v>
      </c>
      <c r="K974" s="42">
        <v>0</v>
      </c>
      <c r="L974" s="42">
        <v>0</v>
      </c>
      <c r="M974" s="42">
        <v>1</v>
      </c>
      <c r="N974" s="42">
        <v>0</v>
      </c>
      <c r="O974">
        <v>0</v>
      </c>
    </row>
    <row r="975" spans="3:15" x14ac:dyDescent="0.15">
      <c r="C975" s="43" t="s">
        <v>1031</v>
      </c>
      <c r="D975" s="42">
        <v>37</v>
      </c>
      <c r="E975" s="42">
        <v>92</v>
      </c>
      <c r="F975" s="42">
        <v>3</v>
      </c>
      <c r="G975" s="42">
        <v>0.5</v>
      </c>
      <c r="H975" s="42">
        <v>1</v>
      </c>
      <c r="I975" s="42">
        <v>0</v>
      </c>
      <c r="J975" s="42">
        <v>310</v>
      </c>
      <c r="K975" s="42">
        <v>0</v>
      </c>
      <c r="L975" s="42">
        <v>0</v>
      </c>
      <c r="M975" s="42">
        <v>1</v>
      </c>
      <c r="N975" s="42">
        <v>0</v>
      </c>
      <c r="O975">
        <v>0</v>
      </c>
    </row>
    <row r="976" spans="3:15" x14ac:dyDescent="0.15">
      <c r="C976" s="43" t="s">
        <v>1032</v>
      </c>
      <c r="D976" s="42">
        <v>17</v>
      </c>
      <c r="E976" s="42">
        <v>38</v>
      </c>
      <c r="F976" s="42">
        <v>4</v>
      </c>
      <c r="G976" s="42">
        <v>2.2000000000000002</v>
      </c>
      <c r="H976" s="42">
        <v>0</v>
      </c>
      <c r="I976" s="42">
        <v>1</v>
      </c>
      <c r="J976" s="42">
        <v>180</v>
      </c>
      <c r="K976" s="42">
        <v>0</v>
      </c>
      <c r="L976" s="42">
        <v>0</v>
      </c>
      <c r="M976" s="42">
        <v>0</v>
      </c>
      <c r="N976" s="42">
        <v>1</v>
      </c>
      <c r="O976">
        <v>0</v>
      </c>
    </row>
    <row r="977" spans="3:15" x14ac:dyDescent="0.15">
      <c r="C977" s="43" t="s">
        <v>1033</v>
      </c>
      <c r="D977" s="42">
        <v>5</v>
      </c>
      <c r="E977" s="42">
        <v>28</v>
      </c>
      <c r="F977" s="42">
        <v>3</v>
      </c>
      <c r="G977" s="42">
        <v>1</v>
      </c>
      <c r="H977" s="42">
        <v>1</v>
      </c>
      <c r="I977" s="42">
        <v>0</v>
      </c>
      <c r="J977" s="42">
        <v>0</v>
      </c>
      <c r="K977" s="42">
        <v>0</v>
      </c>
      <c r="L977" s="42">
        <v>0</v>
      </c>
      <c r="M977" s="42">
        <v>1</v>
      </c>
      <c r="N977" s="42">
        <v>0</v>
      </c>
      <c r="O977">
        <v>0</v>
      </c>
    </row>
    <row r="978" spans="3:15" x14ac:dyDescent="0.15">
      <c r="C978" s="43" t="s">
        <v>1034</v>
      </c>
      <c r="D978" s="42">
        <v>35</v>
      </c>
      <c r="E978" s="42">
        <v>31</v>
      </c>
      <c r="F978" s="42">
        <v>3</v>
      </c>
      <c r="G978" s="42">
        <v>0.4</v>
      </c>
      <c r="H978" s="42">
        <v>0</v>
      </c>
      <c r="I978" s="42">
        <v>1</v>
      </c>
      <c r="J978" s="42">
        <v>0</v>
      </c>
      <c r="K978" s="42">
        <v>0</v>
      </c>
      <c r="L978" s="42">
        <v>0</v>
      </c>
      <c r="M978" s="42">
        <v>1</v>
      </c>
      <c r="N978" s="42">
        <v>1</v>
      </c>
      <c r="O978">
        <v>0</v>
      </c>
    </row>
    <row r="979" spans="3:15" x14ac:dyDescent="0.15">
      <c r="C979" s="43" t="s">
        <v>1035</v>
      </c>
      <c r="D979" s="42">
        <v>23</v>
      </c>
      <c r="E979" s="42">
        <v>32</v>
      </c>
      <c r="F979" s="42">
        <v>4</v>
      </c>
      <c r="G979" s="42">
        <v>1.8</v>
      </c>
      <c r="H979" s="42">
        <v>1</v>
      </c>
      <c r="I979" s="42">
        <v>0</v>
      </c>
      <c r="J979" s="42">
        <v>83</v>
      </c>
      <c r="K979" s="42">
        <v>0</v>
      </c>
      <c r="L979" s="42">
        <v>0</v>
      </c>
      <c r="M979" s="42">
        <v>0</v>
      </c>
      <c r="N979" s="42">
        <v>0</v>
      </c>
      <c r="O979">
        <v>0</v>
      </c>
    </row>
    <row r="980" spans="3:15" x14ac:dyDescent="0.15">
      <c r="C980" s="43" t="s">
        <v>1036</v>
      </c>
      <c r="D980" s="42">
        <v>36</v>
      </c>
      <c r="E980" s="42">
        <v>44</v>
      </c>
      <c r="F980" s="42">
        <v>2</v>
      </c>
      <c r="G980" s="42">
        <v>1</v>
      </c>
      <c r="H980" s="42">
        <v>0</v>
      </c>
      <c r="I980" s="42">
        <v>0</v>
      </c>
      <c r="J980" s="42">
        <v>0</v>
      </c>
      <c r="K980" s="42">
        <v>0</v>
      </c>
      <c r="L980" s="42">
        <v>0</v>
      </c>
      <c r="M980" s="42">
        <v>0</v>
      </c>
      <c r="N980" s="42">
        <v>0</v>
      </c>
      <c r="O980">
        <v>0</v>
      </c>
    </row>
    <row r="981" spans="3:15" x14ac:dyDescent="0.15">
      <c r="C981" s="43" t="s">
        <v>1037</v>
      </c>
      <c r="D981" s="42">
        <v>18</v>
      </c>
      <c r="E981" s="42">
        <v>89</v>
      </c>
      <c r="F981" s="42">
        <v>4</v>
      </c>
      <c r="G981" s="42">
        <v>0.8</v>
      </c>
      <c r="H981" s="42">
        <v>1</v>
      </c>
      <c r="I981" s="42">
        <v>0</v>
      </c>
      <c r="J981" s="42">
        <v>184</v>
      </c>
      <c r="K981" s="42">
        <v>0</v>
      </c>
      <c r="L981" s="42">
        <v>0</v>
      </c>
      <c r="M981" s="42">
        <v>0</v>
      </c>
      <c r="N981" s="42">
        <v>0</v>
      </c>
      <c r="O981">
        <v>0</v>
      </c>
    </row>
    <row r="982" spans="3:15" x14ac:dyDescent="0.15">
      <c r="C982" s="43" t="s">
        <v>1038</v>
      </c>
      <c r="D982" s="42">
        <v>35</v>
      </c>
      <c r="E982" s="42">
        <v>33</v>
      </c>
      <c r="F982" s="42">
        <v>4</v>
      </c>
      <c r="G982" s="42">
        <v>0.4</v>
      </c>
      <c r="H982" s="42">
        <v>1</v>
      </c>
      <c r="I982" s="42">
        <v>0</v>
      </c>
      <c r="J982" s="42">
        <v>131</v>
      </c>
      <c r="K982" s="42">
        <v>0</v>
      </c>
      <c r="L982" s="42">
        <v>0</v>
      </c>
      <c r="M982" s="42">
        <v>0</v>
      </c>
      <c r="N982" s="42">
        <v>1</v>
      </c>
      <c r="O982">
        <v>0</v>
      </c>
    </row>
    <row r="983" spans="3:15" x14ac:dyDescent="0.15">
      <c r="C983" s="43" t="s">
        <v>1039</v>
      </c>
      <c r="D983" s="42">
        <v>27</v>
      </c>
      <c r="E983" s="42">
        <v>62</v>
      </c>
      <c r="F983" s="42">
        <v>4</v>
      </c>
      <c r="G983" s="42">
        <v>1.8</v>
      </c>
      <c r="H983" s="42">
        <v>0</v>
      </c>
      <c r="I983" s="42">
        <v>0</v>
      </c>
      <c r="J983" s="42">
        <v>82</v>
      </c>
      <c r="K983" s="42">
        <v>0</v>
      </c>
      <c r="L983" s="42">
        <v>0</v>
      </c>
      <c r="M983" s="42">
        <v>0</v>
      </c>
      <c r="N983" s="42">
        <v>0</v>
      </c>
      <c r="O983">
        <v>0</v>
      </c>
    </row>
    <row r="984" spans="3:15" x14ac:dyDescent="0.15">
      <c r="C984" s="43" t="s">
        <v>1040</v>
      </c>
      <c r="D984" s="42">
        <v>36</v>
      </c>
      <c r="E984" s="42">
        <v>183</v>
      </c>
      <c r="F984" s="42">
        <v>2</v>
      </c>
      <c r="G984" s="42">
        <v>3.4</v>
      </c>
      <c r="H984" s="42">
        <v>0</v>
      </c>
      <c r="I984" s="42">
        <v>0</v>
      </c>
      <c r="J984" s="42">
        <v>0</v>
      </c>
      <c r="K984" s="42">
        <v>0</v>
      </c>
      <c r="L984" s="42">
        <v>0</v>
      </c>
      <c r="M984" s="42">
        <v>0</v>
      </c>
      <c r="N984" s="42">
        <v>0</v>
      </c>
      <c r="O984">
        <v>1</v>
      </c>
    </row>
    <row r="985" spans="3:15" x14ac:dyDescent="0.15">
      <c r="C985" s="43" t="s">
        <v>1041</v>
      </c>
      <c r="D985" s="42">
        <v>8</v>
      </c>
      <c r="E985" s="42">
        <v>155</v>
      </c>
      <c r="F985" s="42">
        <v>1</v>
      </c>
      <c r="G985" s="42">
        <v>7.4</v>
      </c>
      <c r="H985" s="42">
        <v>0</v>
      </c>
      <c r="I985" s="42">
        <v>0</v>
      </c>
      <c r="J985" s="42">
        <v>0</v>
      </c>
      <c r="K985" s="42">
        <v>0</v>
      </c>
      <c r="L985" s="42">
        <v>0</v>
      </c>
      <c r="M985" s="42">
        <v>0</v>
      </c>
      <c r="N985" s="42">
        <v>0</v>
      </c>
      <c r="O985">
        <v>1</v>
      </c>
    </row>
    <row r="986" spans="3:15" x14ac:dyDescent="0.15">
      <c r="C986" s="43" t="s">
        <v>1042</v>
      </c>
      <c r="D986" s="42">
        <v>38</v>
      </c>
      <c r="E986" s="42">
        <v>100</v>
      </c>
      <c r="F986" s="42">
        <v>4</v>
      </c>
      <c r="G986" s="42">
        <v>1.7</v>
      </c>
      <c r="H986" s="42">
        <v>0</v>
      </c>
      <c r="I986" s="42">
        <v>1</v>
      </c>
      <c r="J986" s="42">
        <v>0</v>
      </c>
      <c r="K986" s="42">
        <v>0</v>
      </c>
      <c r="L986" s="42">
        <v>0</v>
      </c>
      <c r="M986" s="42">
        <v>1</v>
      </c>
      <c r="N986" s="42">
        <v>0</v>
      </c>
      <c r="O986">
        <v>0</v>
      </c>
    </row>
    <row r="987" spans="3:15" x14ac:dyDescent="0.15">
      <c r="C987" s="43" t="s">
        <v>1043</v>
      </c>
      <c r="D987" s="42">
        <v>7</v>
      </c>
      <c r="E987" s="42">
        <v>101</v>
      </c>
      <c r="F987" s="42">
        <v>1</v>
      </c>
      <c r="G987" s="42">
        <v>2.7</v>
      </c>
      <c r="H987" s="42">
        <v>0</v>
      </c>
      <c r="I987" s="42">
        <v>1</v>
      </c>
      <c r="J987" s="42">
        <v>233</v>
      </c>
      <c r="K987" s="42">
        <v>0</v>
      </c>
      <c r="L987" s="42">
        <v>0</v>
      </c>
      <c r="M987" s="42">
        <v>0</v>
      </c>
      <c r="N987" s="42">
        <v>0</v>
      </c>
      <c r="O987">
        <v>0</v>
      </c>
    </row>
    <row r="988" spans="3:15" x14ac:dyDescent="0.15">
      <c r="C988" s="43" t="s">
        <v>1044</v>
      </c>
      <c r="D988" s="42">
        <v>10</v>
      </c>
      <c r="E988" s="42">
        <v>90</v>
      </c>
      <c r="F988" s="42">
        <v>2</v>
      </c>
      <c r="G988" s="42">
        <v>2.7</v>
      </c>
      <c r="H988" s="42">
        <v>1</v>
      </c>
      <c r="I988" s="42">
        <v>0</v>
      </c>
      <c r="J988" s="42">
        <v>0</v>
      </c>
      <c r="K988" s="42">
        <v>0</v>
      </c>
      <c r="L988" s="42">
        <v>0</v>
      </c>
      <c r="M988" s="42">
        <v>1</v>
      </c>
      <c r="N988" s="42">
        <v>0</v>
      </c>
      <c r="O988">
        <v>0</v>
      </c>
    </row>
    <row r="989" spans="3:15" x14ac:dyDescent="0.15">
      <c r="C989" s="43" t="s">
        <v>1045</v>
      </c>
      <c r="D989" s="42">
        <v>25</v>
      </c>
      <c r="E989" s="42">
        <v>68</v>
      </c>
      <c r="F989" s="42">
        <v>2</v>
      </c>
      <c r="G989" s="42">
        <v>1.5</v>
      </c>
      <c r="H989" s="42">
        <v>0</v>
      </c>
      <c r="I989" s="42">
        <v>1</v>
      </c>
      <c r="J989" s="42">
        <v>117</v>
      </c>
      <c r="K989" s="42">
        <v>0</v>
      </c>
      <c r="L989" s="42">
        <v>0</v>
      </c>
      <c r="M989" s="42">
        <v>0</v>
      </c>
      <c r="N989" s="42">
        <v>1</v>
      </c>
      <c r="O989">
        <v>0</v>
      </c>
    </row>
    <row r="990" spans="3:15" x14ac:dyDescent="0.15">
      <c r="C990" s="43" t="s">
        <v>1046</v>
      </c>
      <c r="D990" s="42">
        <v>32</v>
      </c>
      <c r="E990" s="42">
        <v>75</v>
      </c>
      <c r="F990" s="42">
        <v>2</v>
      </c>
      <c r="G990" s="42">
        <v>3.7</v>
      </c>
      <c r="H990" s="42">
        <v>1</v>
      </c>
      <c r="I990" s="42">
        <v>0</v>
      </c>
      <c r="J990" s="42">
        <v>236</v>
      </c>
      <c r="K990" s="42">
        <v>0</v>
      </c>
      <c r="L990" s="42">
        <v>0</v>
      </c>
      <c r="M990" s="42">
        <v>1</v>
      </c>
      <c r="N990" s="42">
        <v>0</v>
      </c>
      <c r="O990">
        <v>0</v>
      </c>
    </row>
    <row r="991" spans="3:15" x14ac:dyDescent="0.15">
      <c r="C991" s="43" t="s">
        <v>1047</v>
      </c>
      <c r="D991" s="42">
        <v>15</v>
      </c>
      <c r="E991" s="42">
        <v>185</v>
      </c>
      <c r="F991" s="42">
        <v>1</v>
      </c>
      <c r="G991" s="42">
        <v>3.6</v>
      </c>
      <c r="H991" s="42">
        <v>0</v>
      </c>
      <c r="I991" s="42">
        <v>1</v>
      </c>
      <c r="J991" s="42">
        <v>0</v>
      </c>
      <c r="K991" s="42">
        <v>0</v>
      </c>
      <c r="L991" s="42">
        <v>0</v>
      </c>
      <c r="M991" s="42">
        <v>0</v>
      </c>
      <c r="N991" s="42">
        <v>0</v>
      </c>
      <c r="O991">
        <v>1</v>
      </c>
    </row>
    <row r="992" spans="3:15" x14ac:dyDescent="0.15">
      <c r="C992" s="43" t="s">
        <v>1048</v>
      </c>
      <c r="D992" s="42">
        <v>6</v>
      </c>
      <c r="E992" s="42">
        <v>21</v>
      </c>
      <c r="F992" s="42">
        <v>1</v>
      </c>
      <c r="G992" s="42">
        <v>0.66666666666666663</v>
      </c>
      <c r="H992" s="42">
        <v>0</v>
      </c>
      <c r="I992" s="42">
        <v>0</v>
      </c>
      <c r="J992" s="42">
        <v>0</v>
      </c>
      <c r="K992" s="42">
        <v>1</v>
      </c>
      <c r="L992" s="42">
        <v>0</v>
      </c>
      <c r="M992" s="42">
        <v>1</v>
      </c>
      <c r="N992" s="42">
        <v>0</v>
      </c>
      <c r="O992">
        <v>0</v>
      </c>
    </row>
    <row r="993" spans="3:15" x14ac:dyDescent="0.15">
      <c r="C993" s="43" t="s">
        <v>1049</v>
      </c>
      <c r="D993" s="42">
        <v>4</v>
      </c>
      <c r="E993" s="42">
        <v>22</v>
      </c>
      <c r="F993" s="42">
        <v>2</v>
      </c>
      <c r="G993" s="42">
        <v>0.9</v>
      </c>
      <c r="H993" s="42">
        <v>0</v>
      </c>
      <c r="I993" s="42">
        <v>0</v>
      </c>
      <c r="J993" s="42">
        <v>110</v>
      </c>
      <c r="K993" s="42">
        <v>0</v>
      </c>
      <c r="L993" s="42">
        <v>0</v>
      </c>
      <c r="M993" s="42">
        <v>0</v>
      </c>
      <c r="N993" s="42">
        <v>0</v>
      </c>
      <c r="O993">
        <v>0</v>
      </c>
    </row>
    <row r="994" spans="3:15" x14ac:dyDescent="0.15">
      <c r="C994" s="43" t="s">
        <v>1050</v>
      </c>
      <c r="D994" s="42">
        <v>5</v>
      </c>
      <c r="E994" s="42">
        <v>35</v>
      </c>
      <c r="F994" s="42">
        <v>1</v>
      </c>
      <c r="G994" s="42">
        <v>0.6</v>
      </c>
      <c r="H994" s="42">
        <v>0</v>
      </c>
      <c r="I994" s="42">
        <v>0</v>
      </c>
      <c r="J994" s="42">
        <v>171</v>
      </c>
      <c r="K994" s="42">
        <v>0</v>
      </c>
      <c r="L994" s="42">
        <v>0</v>
      </c>
      <c r="M994" s="42">
        <v>0</v>
      </c>
      <c r="N994" s="42">
        <v>0</v>
      </c>
      <c r="O994">
        <v>0</v>
      </c>
    </row>
    <row r="995" spans="3:15" x14ac:dyDescent="0.15">
      <c r="C995" s="43" t="s">
        <v>1051</v>
      </c>
      <c r="D995" s="42">
        <v>28</v>
      </c>
      <c r="E995" s="42">
        <v>39</v>
      </c>
      <c r="F995" s="42">
        <v>3</v>
      </c>
      <c r="G995" s="42">
        <v>1.9</v>
      </c>
      <c r="H995" s="42">
        <v>0</v>
      </c>
      <c r="I995" s="42">
        <v>1</v>
      </c>
      <c r="J995" s="42">
        <v>83</v>
      </c>
      <c r="K995" s="42">
        <v>0</v>
      </c>
      <c r="L995" s="42">
        <v>1</v>
      </c>
      <c r="M995" s="42">
        <v>1</v>
      </c>
      <c r="N995" s="42">
        <v>1</v>
      </c>
      <c r="O995">
        <v>0</v>
      </c>
    </row>
    <row r="996" spans="3:15" x14ac:dyDescent="0.15">
      <c r="C996" s="43" t="s">
        <v>1052</v>
      </c>
      <c r="D996" s="42">
        <v>4</v>
      </c>
      <c r="E996" s="42">
        <v>38</v>
      </c>
      <c r="F996" s="42">
        <v>4</v>
      </c>
      <c r="G996" s="42">
        <v>1.6</v>
      </c>
      <c r="H996" s="42">
        <v>1</v>
      </c>
      <c r="I996" s="42">
        <v>0</v>
      </c>
      <c r="J996" s="42">
        <v>0</v>
      </c>
      <c r="K996" s="42">
        <v>0</v>
      </c>
      <c r="L996" s="42">
        <v>0</v>
      </c>
      <c r="M996" s="42">
        <v>0</v>
      </c>
      <c r="N996" s="42">
        <v>0</v>
      </c>
      <c r="O996">
        <v>0</v>
      </c>
    </row>
    <row r="997" spans="3:15" x14ac:dyDescent="0.15">
      <c r="C997" s="43" t="s">
        <v>1053</v>
      </c>
      <c r="D997" s="42">
        <v>10</v>
      </c>
      <c r="E997" s="42">
        <v>43</v>
      </c>
      <c r="F997" s="42">
        <v>1</v>
      </c>
      <c r="G997" s="42">
        <v>1.7</v>
      </c>
      <c r="H997" s="42">
        <v>1</v>
      </c>
      <c r="I997" s="42">
        <v>0</v>
      </c>
      <c r="J997" s="42">
        <v>142</v>
      </c>
      <c r="K997" s="42">
        <v>0</v>
      </c>
      <c r="L997" s="42">
        <v>0</v>
      </c>
      <c r="M997" s="42">
        <v>0</v>
      </c>
      <c r="N997" s="42">
        <v>1</v>
      </c>
      <c r="O997">
        <v>0</v>
      </c>
    </row>
    <row r="998" spans="3:15" x14ac:dyDescent="0.15">
      <c r="C998" s="43" t="s">
        <v>1054</v>
      </c>
      <c r="D998" s="42">
        <v>21</v>
      </c>
      <c r="E998" s="42">
        <v>109</v>
      </c>
      <c r="F998" s="42">
        <v>4</v>
      </c>
      <c r="G998" s="42">
        <v>1.8</v>
      </c>
      <c r="H998" s="42">
        <v>1</v>
      </c>
      <c r="I998" s="42">
        <v>0</v>
      </c>
      <c r="J998" s="42">
        <v>0</v>
      </c>
      <c r="K998" s="42">
        <v>0</v>
      </c>
      <c r="L998" s="42">
        <v>0</v>
      </c>
      <c r="M998" s="42">
        <v>0</v>
      </c>
      <c r="N998" s="42">
        <v>0</v>
      </c>
      <c r="O998">
        <v>1</v>
      </c>
    </row>
    <row r="999" spans="3:15" x14ac:dyDescent="0.15">
      <c r="C999" s="43" t="s">
        <v>1055</v>
      </c>
      <c r="D999" s="42">
        <v>12</v>
      </c>
      <c r="E999" s="42">
        <v>89</v>
      </c>
      <c r="F999" s="42">
        <v>4</v>
      </c>
      <c r="G999" s="42">
        <v>1.4</v>
      </c>
      <c r="H999" s="42">
        <v>0</v>
      </c>
      <c r="I999" s="42">
        <v>1</v>
      </c>
      <c r="J999" s="42">
        <v>0</v>
      </c>
      <c r="K999" s="42">
        <v>0</v>
      </c>
      <c r="L999" s="42">
        <v>0</v>
      </c>
      <c r="M999" s="42">
        <v>0</v>
      </c>
      <c r="N999" s="42">
        <v>0</v>
      </c>
      <c r="O999">
        <v>0</v>
      </c>
    </row>
    <row r="1000" spans="3:15" x14ac:dyDescent="0.15">
      <c r="C1000" s="43" t="s">
        <v>1056</v>
      </c>
      <c r="D1000" s="42">
        <v>16</v>
      </c>
      <c r="E1000" s="42">
        <v>35</v>
      </c>
      <c r="F1000" s="42">
        <v>3</v>
      </c>
      <c r="G1000" s="42">
        <v>1.5</v>
      </c>
      <c r="H1000" s="42">
        <v>1</v>
      </c>
      <c r="I1000" s="42">
        <v>0</v>
      </c>
      <c r="J1000" s="42">
        <v>0</v>
      </c>
      <c r="K1000" s="42">
        <v>0</v>
      </c>
      <c r="L1000" s="42">
        <v>0</v>
      </c>
      <c r="M1000" s="42">
        <v>0</v>
      </c>
      <c r="N1000" s="42">
        <v>0</v>
      </c>
      <c r="O1000">
        <v>0</v>
      </c>
    </row>
    <row r="1001" spans="3:15" x14ac:dyDescent="0.15">
      <c r="C1001" s="43" t="s">
        <v>1057</v>
      </c>
      <c r="D1001" s="42">
        <v>6</v>
      </c>
      <c r="E1001" s="42">
        <v>82</v>
      </c>
      <c r="F1001" s="42">
        <v>2</v>
      </c>
      <c r="G1001" s="42">
        <v>2.5</v>
      </c>
      <c r="H1001" s="42">
        <v>1</v>
      </c>
      <c r="I1001" s="42">
        <v>0</v>
      </c>
      <c r="J1001" s="42">
        <v>0</v>
      </c>
      <c r="K1001" s="42">
        <v>0</v>
      </c>
      <c r="L1001" s="42">
        <v>0</v>
      </c>
      <c r="M1001" s="42">
        <v>0</v>
      </c>
      <c r="N1001" s="42">
        <v>0</v>
      </c>
      <c r="O1001">
        <v>0</v>
      </c>
    </row>
    <row r="1002" spans="3:15" x14ac:dyDescent="0.15">
      <c r="C1002" s="43" t="s">
        <v>1058</v>
      </c>
      <c r="D1002" s="42">
        <v>11</v>
      </c>
      <c r="E1002" s="42">
        <v>72</v>
      </c>
      <c r="F1002" s="42">
        <v>1</v>
      </c>
      <c r="G1002" s="42">
        <v>2.8</v>
      </c>
      <c r="H1002" s="42">
        <v>1</v>
      </c>
      <c r="I1002" s="42">
        <v>0</v>
      </c>
      <c r="J1002" s="42">
        <v>224</v>
      </c>
      <c r="K1002" s="42">
        <v>0</v>
      </c>
      <c r="L1002" s="42">
        <v>0</v>
      </c>
      <c r="M1002" s="42">
        <v>0</v>
      </c>
      <c r="N1002" s="42">
        <v>0</v>
      </c>
      <c r="O1002">
        <v>0</v>
      </c>
    </row>
    <row r="1003" spans="3:15" x14ac:dyDescent="0.15">
      <c r="C1003" s="43" t="s">
        <v>1059</v>
      </c>
      <c r="D1003" s="42">
        <v>17</v>
      </c>
      <c r="E1003" s="42">
        <v>9</v>
      </c>
      <c r="F1003" s="42">
        <v>2</v>
      </c>
      <c r="G1003" s="42">
        <v>0</v>
      </c>
      <c r="H1003" s="42">
        <v>0</v>
      </c>
      <c r="I1003" s="42">
        <v>0</v>
      </c>
      <c r="J1003" s="42">
        <v>0</v>
      </c>
      <c r="K1003" s="42">
        <v>0</v>
      </c>
      <c r="L1003" s="42">
        <v>0</v>
      </c>
      <c r="M1003" s="42">
        <v>0</v>
      </c>
      <c r="N1003" s="42">
        <v>0</v>
      </c>
      <c r="O1003">
        <v>0</v>
      </c>
    </row>
    <row r="1004" spans="3:15" x14ac:dyDescent="0.15">
      <c r="C1004" s="43" t="s">
        <v>1060</v>
      </c>
      <c r="D1004" s="42">
        <v>37</v>
      </c>
      <c r="E1004" s="42">
        <v>53</v>
      </c>
      <c r="F1004" s="42">
        <v>2</v>
      </c>
      <c r="G1004" s="42">
        <v>2.8</v>
      </c>
      <c r="H1004" s="42">
        <v>1</v>
      </c>
      <c r="I1004" s="42">
        <v>0</v>
      </c>
      <c r="J1004" s="42">
        <v>0</v>
      </c>
      <c r="K1004" s="42">
        <v>0</v>
      </c>
      <c r="L1004" s="42">
        <v>0</v>
      </c>
      <c r="M1004" s="42">
        <v>1</v>
      </c>
      <c r="N1004" s="42">
        <v>0</v>
      </c>
      <c r="O1004">
        <v>0</v>
      </c>
    </row>
    <row r="1005" spans="3:15" x14ac:dyDescent="0.15">
      <c r="C1005" s="43" t="s">
        <v>1061</v>
      </c>
      <c r="D1005" s="42">
        <v>13</v>
      </c>
      <c r="E1005" s="42">
        <v>119</v>
      </c>
      <c r="F1005" s="42">
        <v>1</v>
      </c>
      <c r="G1005" s="42">
        <v>3.3</v>
      </c>
      <c r="H1005" s="42">
        <v>0</v>
      </c>
      <c r="I1005" s="42">
        <v>1</v>
      </c>
      <c r="J1005" s="42">
        <v>0</v>
      </c>
      <c r="K1005" s="42">
        <v>0</v>
      </c>
      <c r="L1005" s="42">
        <v>1</v>
      </c>
      <c r="M1005" s="42">
        <v>1</v>
      </c>
      <c r="N1005" s="42">
        <v>1</v>
      </c>
      <c r="O1005">
        <v>1</v>
      </c>
    </row>
    <row r="1006" spans="3:15" x14ac:dyDescent="0.15">
      <c r="C1006" s="43" t="s">
        <v>1062</v>
      </c>
      <c r="D1006" s="42">
        <v>8</v>
      </c>
      <c r="E1006" s="42">
        <v>60</v>
      </c>
      <c r="F1006" s="42">
        <v>4</v>
      </c>
      <c r="G1006" s="42">
        <v>2.2000000000000002</v>
      </c>
      <c r="H1006" s="42">
        <v>0</v>
      </c>
      <c r="I1006" s="42">
        <v>1</v>
      </c>
      <c r="J1006" s="42">
        <v>0</v>
      </c>
      <c r="K1006" s="42">
        <v>0</v>
      </c>
      <c r="L1006" s="42">
        <v>0</v>
      </c>
      <c r="M1006" s="42">
        <v>0</v>
      </c>
      <c r="N1006" s="42">
        <v>1</v>
      </c>
      <c r="O1006">
        <v>0</v>
      </c>
    </row>
    <row r="1007" spans="3:15" x14ac:dyDescent="0.15">
      <c r="C1007" s="43" t="s">
        <v>1063</v>
      </c>
      <c r="D1007" s="42">
        <v>13</v>
      </c>
      <c r="E1007" s="42">
        <v>89</v>
      </c>
      <c r="F1007" s="42">
        <v>2</v>
      </c>
      <c r="G1007" s="42">
        <v>1.7</v>
      </c>
      <c r="H1007" s="42">
        <v>0</v>
      </c>
      <c r="I1007" s="42">
        <v>1</v>
      </c>
      <c r="J1007" s="42">
        <v>314</v>
      </c>
      <c r="K1007" s="42">
        <v>0</v>
      </c>
      <c r="L1007" s="42">
        <v>0</v>
      </c>
      <c r="M1007" s="42">
        <v>0</v>
      </c>
      <c r="N1007" s="42">
        <v>1</v>
      </c>
      <c r="O1007">
        <v>0</v>
      </c>
    </row>
    <row r="1008" spans="3:15" x14ac:dyDescent="0.15">
      <c r="C1008" s="43" t="s">
        <v>1064</v>
      </c>
      <c r="D1008" s="42">
        <v>6</v>
      </c>
      <c r="E1008" s="42">
        <v>179</v>
      </c>
      <c r="F1008" s="42">
        <v>3</v>
      </c>
      <c r="G1008" s="42">
        <v>4.9000000000000004</v>
      </c>
      <c r="H1008" s="42">
        <v>1</v>
      </c>
      <c r="I1008" s="42">
        <v>0</v>
      </c>
      <c r="J1008" s="42">
        <v>142</v>
      </c>
      <c r="K1008" s="42">
        <v>0</v>
      </c>
      <c r="L1008" s="42">
        <v>0</v>
      </c>
      <c r="M1008" s="42">
        <v>1</v>
      </c>
      <c r="N1008" s="42">
        <v>0</v>
      </c>
      <c r="O1008">
        <v>1</v>
      </c>
    </row>
    <row r="1009" spans="3:15" x14ac:dyDescent="0.15">
      <c r="C1009" s="43" t="s">
        <v>1065</v>
      </c>
      <c r="D1009" s="42">
        <v>6</v>
      </c>
      <c r="E1009" s="42">
        <v>29</v>
      </c>
      <c r="F1009" s="42">
        <v>1</v>
      </c>
      <c r="G1009" s="42">
        <v>1.9</v>
      </c>
      <c r="H1009" s="42">
        <v>0</v>
      </c>
      <c r="I1009" s="42">
        <v>0</v>
      </c>
      <c r="J1009" s="42">
        <v>0</v>
      </c>
      <c r="K1009" s="42">
        <v>0</v>
      </c>
      <c r="L1009" s="42">
        <v>0</v>
      </c>
      <c r="M1009" s="42">
        <v>1</v>
      </c>
      <c r="N1009" s="42">
        <v>1</v>
      </c>
      <c r="O1009">
        <v>0</v>
      </c>
    </row>
    <row r="1010" spans="3:15" x14ac:dyDescent="0.15">
      <c r="C1010" s="43" t="s">
        <v>1066</v>
      </c>
      <c r="D1010" s="42">
        <v>28</v>
      </c>
      <c r="E1010" s="42">
        <v>168</v>
      </c>
      <c r="F1010" s="42">
        <v>3</v>
      </c>
      <c r="G1010" s="42">
        <v>6.5</v>
      </c>
      <c r="H1010" s="42">
        <v>0</v>
      </c>
      <c r="I1010" s="42">
        <v>0</v>
      </c>
      <c r="J1010" s="42">
        <v>118</v>
      </c>
      <c r="K1010" s="42">
        <v>0</v>
      </c>
      <c r="L1010" s="42">
        <v>0</v>
      </c>
      <c r="M1010" s="42">
        <v>1</v>
      </c>
      <c r="N1010" s="42">
        <v>0</v>
      </c>
      <c r="O1010">
        <v>1</v>
      </c>
    </row>
    <row r="1011" spans="3:15" x14ac:dyDescent="0.15">
      <c r="C1011" s="43" t="s">
        <v>1067</v>
      </c>
      <c r="D1011" s="42">
        <v>28</v>
      </c>
      <c r="E1011" s="42">
        <v>81</v>
      </c>
      <c r="F1011" s="42">
        <v>3</v>
      </c>
      <c r="G1011" s="42">
        <v>1.8</v>
      </c>
      <c r="H1011" s="42">
        <v>0</v>
      </c>
      <c r="I1011" s="42">
        <v>1</v>
      </c>
      <c r="J1011" s="42">
        <v>0</v>
      </c>
      <c r="K1011" s="42">
        <v>1</v>
      </c>
      <c r="L1011" s="42">
        <v>0</v>
      </c>
      <c r="M1011" s="42">
        <v>0</v>
      </c>
      <c r="N1011" s="42">
        <v>0</v>
      </c>
      <c r="O1011">
        <v>0</v>
      </c>
    </row>
    <row r="1012" spans="3:15" x14ac:dyDescent="0.15">
      <c r="C1012" s="43" t="s">
        <v>1068</v>
      </c>
      <c r="D1012" s="42">
        <v>4</v>
      </c>
      <c r="E1012" s="42">
        <v>115</v>
      </c>
      <c r="F1012" s="42">
        <v>1</v>
      </c>
      <c r="G1012" s="42">
        <v>1.9</v>
      </c>
      <c r="H1012" s="42">
        <v>1</v>
      </c>
      <c r="I1012" s="42">
        <v>0</v>
      </c>
      <c r="J1012" s="42">
        <v>0</v>
      </c>
      <c r="K1012" s="42">
        <v>0</v>
      </c>
      <c r="L1012" s="42">
        <v>0</v>
      </c>
      <c r="M1012" s="42">
        <v>0</v>
      </c>
      <c r="N1012" s="42">
        <v>0</v>
      </c>
      <c r="O1012">
        <v>0</v>
      </c>
    </row>
    <row r="1013" spans="3:15" x14ac:dyDescent="0.15">
      <c r="C1013" s="43" t="s">
        <v>1069</v>
      </c>
      <c r="D1013" s="42">
        <v>23</v>
      </c>
      <c r="E1013" s="42">
        <v>90</v>
      </c>
      <c r="F1013" s="42">
        <v>1</v>
      </c>
      <c r="G1013" s="42">
        <v>2.7</v>
      </c>
      <c r="H1013" s="42">
        <v>1</v>
      </c>
      <c r="I1013" s="42">
        <v>0</v>
      </c>
      <c r="J1013" s="42">
        <v>323</v>
      </c>
      <c r="K1013" s="42">
        <v>0</v>
      </c>
      <c r="L1013" s="42">
        <v>0</v>
      </c>
      <c r="M1013" s="42">
        <v>0</v>
      </c>
      <c r="N1013" s="42">
        <v>0</v>
      </c>
      <c r="O1013">
        <v>0</v>
      </c>
    </row>
    <row r="1014" spans="3:15" x14ac:dyDescent="0.15">
      <c r="C1014" s="43" t="s">
        <v>1070</v>
      </c>
      <c r="D1014" s="42">
        <v>36</v>
      </c>
      <c r="E1014" s="42">
        <v>30</v>
      </c>
      <c r="F1014" s="42">
        <v>3</v>
      </c>
      <c r="G1014" s="42">
        <v>1.3</v>
      </c>
      <c r="H1014" s="42">
        <v>0</v>
      </c>
      <c r="I1014" s="42">
        <v>1</v>
      </c>
      <c r="J1014" s="42">
        <v>0</v>
      </c>
      <c r="K1014" s="42">
        <v>0</v>
      </c>
      <c r="L1014" s="42">
        <v>0</v>
      </c>
      <c r="M1014" s="42">
        <v>0</v>
      </c>
      <c r="N1014" s="42">
        <v>0</v>
      </c>
      <c r="O1014">
        <v>0</v>
      </c>
    </row>
    <row r="1015" spans="3:15" x14ac:dyDescent="0.15">
      <c r="C1015" s="43" t="s">
        <v>1071</v>
      </c>
      <c r="D1015" s="42">
        <v>1</v>
      </c>
      <c r="E1015" s="42">
        <v>85</v>
      </c>
      <c r="F1015" s="42">
        <v>2</v>
      </c>
      <c r="G1015" s="42">
        <v>1.6</v>
      </c>
      <c r="H1015" s="42">
        <v>0</v>
      </c>
      <c r="I1015" s="42">
        <v>0</v>
      </c>
      <c r="J1015" s="42">
        <v>0</v>
      </c>
      <c r="K1015" s="42">
        <v>0</v>
      </c>
      <c r="L1015" s="42">
        <v>0</v>
      </c>
      <c r="M1015" s="42">
        <v>0</v>
      </c>
      <c r="N1015" s="42">
        <v>0</v>
      </c>
      <c r="O1015">
        <v>0</v>
      </c>
    </row>
    <row r="1016" spans="3:15" x14ac:dyDescent="0.15">
      <c r="C1016" s="43" t="s">
        <v>1072</v>
      </c>
      <c r="D1016" s="42">
        <v>16</v>
      </c>
      <c r="E1016" s="42">
        <v>33</v>
      </c>
      <c r="F1016" s="42">
        <v>4</v>
      </c>
      <c r="G1016" s="42">
        <v>0</v>
      </c>
      <c r="H1016" s="42">
        <v>0</v>
      </c>
      <c r="I1016" s="42">
        <v>1</v>
      </c>
      <c r="J1016" s="42">
        <v>0</v>
      </c>
      <c r="K1016" s="42">
        <v>0</v>
      </c>
      <c r="L1016" s="42">
        <v>0</v>
      </c>
      <c r="M1016" s="42">
        <v>1</v>
      </c>
      <c r="N1016" s="42">
        <v>0</v>
      </c>
      <c r="O1016">
        <v>0</v>
      </c>
    </row>
    <row r="1017" spans="3:15" x14ac:dyDescent="0.15">
      <c r="C1017" s="43" t="s">
        <v>1073</v>
      </c>
      <c r="D1017" s="42">
        <v>16</v>
      </c>
      <c r="E1017" s="42">
        <v>13</v>
      </c>
      <c r="F1017" s="42">
        <v>2</v>
      </c>
      <c r="G1017" s="42">
        <v>0</v>
      </c>
      <c r="H1017" s="42">
        <v>0</v>
      </c>
      <c r="I1017" s="42">
        <v>0</v>
      </c>
      <c r="J1017" s="42">
        <v>0</v>
      </c>
      <c r="K1017" s="42">
        <v>0</v>
      </c>
      <c r="L1017" s="42">
        <v>0</v>
      </c>
      <c r="M1017" s="42">
        <v>1</v>
      </c>
      <c r="N1017" s="42">
        <v>0</v>
      </c>
      <c r="O1017">
        <v>0</v>
      </c>
    </row>
    <row r="1018" spans="3:15" x14ac:dyDescent="0.15">
      <c r="C1018" s="43" t="s">
        <v>1074</v>
      </c>
      <c r="D1018" s="42">
        <v>10</v>
      </c>
      <c r="E1018" s="42">
        <v>75</v>
      </c>
      <c r="F1018" s="42">
        <v>4</v>
      </c>
      <c r="G1018" s="42">
        <v>0.7</v>
      </c>
      <c r="H1018" s="42">
        <v>0</v>
      </c>
      <c r="I1018" s="42">
        <v>0</v>
      </c>
      <c r="J1018" s="42">
        <v>0</v>
      </c>
      <c r="K1018" s="42">
        <v>0</v>
      </c>
      <c r="L1018" s="42">
        <v>0</v>
      </c>
      <c r="M1018" s="42">
        <v>1</v>
      </c>
      <c r="N1018" s="42">
        <v>1</v>
      </c>
      <c r="O1018">
        <v>0</v>
      </c>
    </row>
    <row r="1019" spans="3:15" x14ac:dyDescent="0.15">
      <c r="C1019" s="43" t="s">
        <v>1075</v>
      </c>
      <c r="D1019" s="42">
        <v>15</v>
      </c>
      <c r="E1019" s="42">
        <v>41</v>
      </c>
      <c r="F1019" s="42">
        <v>3</v>
      </c>
      <c r="G1019" s="42">
        <v>2.5</v>
      </c>
      <c r="H1019" s="42">
        <v>0</v>
      </c>
      <c r="I1019" s="42">
        <v>1</v>
      </c>
      <c r="J1019" s="42">
        <v>0</v>
      </c>
      <c r="K1019" s="42">
        <v>0</v>
      </c>
      <c r="L1019" s="42">
        <v>0</v>
      </c>
      <c r="M1019" s="42">
        <v>1</v>
      </c>
      <c r="N1019" s="42">
        <v>0</v>
      </c>
      <c r="O1019">
        <v>0</v>
      </c>
    </row>
    <row r="1020" spans="3:15" x14ac:dyDescent="0.15">
      <c r="C1020" s="43" t="s">
        <v>1076</v>
      </c>
      <c r="D1020" s="42">
        <v>20</v>
      </c>
      <c r="E1020" s="42">
        <v>173</v>
      </c>
      <c r="F1020" s="42">
        <v>2</v>
      </c>
      <c r="G1020" s="42">
        <v>1.4</v>
      </c>
      <c r="H1020" s="42">
        <v>1</v>
      </c>
      <c r="I1020" s="42">
        <v>0</v>
      </c>
      <c r="J1020" s="42">
        <v>419</v>
      </c>
      <c r="K1020" s="42">
        <v>0</v>
      </c>
      <c r="L1020" s="42">
        <v>0</v>
      </c>
      <c r="M1020" s="42">
        <v>1</v>
      </c>
      <c r="N1020" s="42">
        <v>0</v>
      </c>
      <c r="O1020">
        <v>0</v>
      </c>
    </row>
    <row r="1021" spans="3:15" x14ac:dyDescent="0.15">
      <c r="C1021" s="43" t="s">
        <v>1077</v>
      </c>
      <c r="D1021" s="42">
        <v>12</v>
      </c>
      <c r="E1021" s="42">
        <v>169</v>
      </c>
      <c r="F1021" s="42">
        <v>2</v>
      </c>
      <c r="G1021" s="42">
        <v>5.2</v>
      </c>
      <c r="H1021" s="42">
        <v>0</v>
      </c>
      <c r="I1021" s="42">
        <v>0</v>
      </c>
      <c r="J1021" s="42">
        <v>249</v>
      </c>
      <c r="K1021" s="42">
        <v>0</v>
      </c>
      <c r="L1021" s="42">
        <v>0</v>
      </c>
      <c r="M1021" s="42">
        <v>1</v>
      </c>
      <c r="N1021" s="42">
        <v>0</v>
      </c>
      <c r="O1021">
        <v>1</v>
      </c>
    </row>
    <row r="1022" spans="3:15" x14ac:dyDescent="0.15">
      <c r="C1022" s="43" t="s">
        <v>1078</v>
      </c>
      <c r="D1022" s="42">
        <v>15</v>
      </c>
      <c r="E1022" s="42">
        <v>32</v>
      </c>
      <c r="F1022" s="42">
        <v>1</v>
      </c>
      <c r="G1022" s="42">
        <v>0.75</v>
      </c>
      <c r="H1022" s="42">
        <v>0</v>
      </c>
      <c r="I1022" s="42">
        <v>0</v>
      </c>
      <c r="J1022" s="42">
        <v>105</v>
      </c>
      <c r="K1022" s="42">
        <v>0</v>
      </c>
      <c r="L1022" s="42">
        <v>0</v>
      </c>
      <c r="M1022" s="42">
        <v>1</v>
      </c>
      <c r="N1022" s="42">
        <v>0</v>
      </c>
      <c r="O1022">
        <v>0</v>
      </c>
    </row>
    <row r="1023" spans="3:15" x14ac:dyDescent="0.15">
      <c r="C1023" s="43" t="s">
        <v>1079</v>
      </c>
      <c r="D1023" s="42">
        <v>10</v>
      </c>
      <c r="E1023" s="42">
        <v>74</v>
      </c>
      <c r="F1023" s="42">
        <v>4</v>
      </c>
      <c r="G1023" s="42">
        <v>1.3</v>
      </c>
      <c r="H1023" s="42">
        <v>1</v>
      </c>
      <c r="I1023" s="42">
        <v>0</v>
      </c>
      <c r="J1023" s="42">
        <v>0</v>
      </c>
      <c r="K1023" s="42">
        <v>0</v>
      </c>
      <c r="L1023" s="42">
        <v>0</v>
      </c>
      <c r="M1023" s="42">
        <v>1</v>
      </c>
      <c r="N1023" s="42">
        <v>0</v>
      </c>
      <c r="O1023">
        <v>0</v>
      </c>
    </row>
    <row r="1024" spans="3:15" x14ac:dyDescent="0.15">
      <c r="C1024" s="43" t="s">
        <v>1080</v>
      </c>
      <c r="D1024" s="42">
        <v>34</v>
      </c>
      <c r="E1024" s="42">
        <v>35</v>
      </c>
      <c r="F1024" s="42">
        <v>1</v>
      </c>
      <c r="G1024" s="42">
        <v>0.2</v>
      </c>
      <c r="H1024" s="42">
        <v>1</v>
      </c>
      <c r="I1024" s="42">
        <v>0</v>
      </c>
      <c r="J1024" s="42">
        <v>0</v>
      </c>
      <c r="K1024" s="42">
        <v>0</v>
      </c>
      <c r="L1024" s="42">
        <v>0</v>
      </c>
      <c r="M1024" s="42">
        <v>1</v>
      </c>
      <c r="N1024" s="42">
        <v>0</v>
      </c>
      <c r="O1024">
        <v>0</v>
      </c>
    </row>
    <row r="1025" spans="3:15" x14ac:dyDescent="0.15">
      <c r="C1025" s="43" t="s">
        <v>1081</v>
      </c>
      <c r="D1025" s="42">
        <v>25</v>
      </c>
      <c r="E1025" s="42">
        <v>31</v>
      </c>
      <c r="F1025" s="42">
        <v>2</v>
      </c>
      <c r="G1025" s="42">
        <v>0.4</v>
      </c>
      <c r="H1025" s="42">
        <v>0</v>
      </c>
      <c r="I1025" s="42">
        <v>0</v>
      </c>
      <c r="J1025" s="42">
        <v>161</v>
      </c>
      <c r="K1025" s="42">
        <v>0</v>
      </c>
      <c r="L1025" s="42">
        <v>0</v>
      </c>
      <c r="M1025" s="42">
        <v>1</v>
      </c>
      <c r="N1025" s="42">
        <v>1</v>
      </c>
      <c r="O1025">
        <v>0</v>
      </c>
    </row>
    <row r="1026" spans="3:15" x14ac:dyDescent="0.15">
      <c r="C1026" s="43" t="s">
        <v>1082</v>
      </c>
      <c r="D1026" s="42">
        <v>20</v>
      </c>
      <c r="E1026" s="42">
        <v>68</v>
      </c>
      <c r="F1026" s="42">
        <v>1</v>
      </c>
      <c r="G1026" s="42">
        <v>0.8</v>
      </c>
      <c r="H1026" s="42">
        <v>0</v>
      </c>
      <c r="I1026" s="42">
        <v>0</v>
      </c>
      <c r="J1026" s="42">
        <v>91</v>
      </c>
      <c r="K1026" s="42">
        <v>0</v>
      </c>
      <c r="L1026" s="42">
        <v>0</v>
      </c>
      <c r="M1026" s="42">
        <v>0</v>
      </c>
      <c r="N1026" s="42">
        <v>0</v>
      </c>
      <c r="O1026">
        <v>0</v>
      </c>
    </row>
    <row r="1027" spans="3:15" x14ac:dyDescent="0.15">
      <c r="C1027" s="43" t="s">
        <v>1083</v>
      </c>
      <c r="D1027" s="42">
        <v>3</v>
      </c>
      <c r="E1027" s="42">
        <v>193</v>
      </c>
      <c r="F1027" s="42">
        <v>3</v>
      </c>
      <c r="G1027" s="42">
        <v>4</v>
      </c>
      <c r="H1027" s="42">
        <v>0</v>
      </c>
      <c r="I1027" s="42">
        <v>1</v>
      </c>
      <c r="J1027" s="42">
        <v>0</v>
      </c>
      <c r="K1027" s="42">
        <v>0</v>
      </c>
      <c r="L1027" s="42">
        <v>0</v>
      </c>
      <c r="M1027" s="42">
        <v>1</v>
      </c>
      <c r="N1027" s="42">
        <v>0</v>
      </c>
      <c r="O1027">
        <v>1</v>
      </c>
    </row>
    <row r="1028" spans="3:15" x14ac:dyDescent="0.15">
      <c r="C1028" s="43" t="s">
        <v>1084</v>
      </c>
      <c r="D1028" s="42">
        <v>6</v>
      </c>
      <c r="E1028" s="42">
        <v>25</v>
      </c>
      <c r="F1028" s="42">
        <v>1</v>
      </c>
      <c r="G1028" s="42">
        <v>0.66666666666666663</v>
      </c>
      <c r="H1028" s="42">
        <v>0</v>
      </c>
      <c r="I1028" s="42">
        <v>0</v>
      </c>
      <c r="J1028" s="42">
        <v>0</v>
      </c>
      <c r="K1028" s="42">
        <v>0</v>
      </c>
      <c r="L1028" s="42">
        <v>0</v>
      </c>
      <c r="M1028" s="42">
        <v>1</v>
      </c>
      <c r="N1028" s="42">
        <v>0</v>
      </c>
      <c r="O1028">
        <v>0</v>
      </c>
    </row>
    <row r="1029" spans="3:15" x14ac:dyDescent="0.15">
      <c r="C1029" s="43" t="s">
        <v>1085</v>
      </c>
      <c r="D1029" s="42">
        <v>34</v>
      </c>
      <c r="E1029" s="42">
        <v>12</v>
      </c>
      <c r="F1029" s="42">
        <v>1</v>
      </c>
      <c r="G1029" s="42">
        <v>0.1</v>
      </c>
      <c r="H1029" s="42">
        <v>0</v>
      </c>
      <c r="I1029" s="42">
        <v>1</v>
      </c>
      <c r="J1029" s="42">
        <v>0</v>
      </c>
      <c r="K1029" s="42">
        <v>0</v>
      </c>
      <c r="L1029" s="42">
        <v>0</v>
      </c>
      <c r="M1029" s="42">
        <v>0</v>
      </c>
      <c r="N1029" s="42">
        <v>1</v>
      </c>
      <c r="O1029">
        <v>0</v>
      </c>
    </row>
    <row r="1030" spans="3:15" x14ac:dyDescent="0.15">
      <c r="C1030" s="43" t="s">
        <v>1086</v>
      </c>
      <c r="D1030" s="42">
        <v>27</v>
      </c>
      <c r="E1030" s="42">
        <v>162</v>
      </c>
      <c r="F1030" s="42">
        <v>1</v>
      </c>
      <c r="G1030" s="42">
        <v>8.1</v>
      </c>
      <c r="H1030" s="42">
        <v>1</v>
      </c>
      <c r="I1030" s="42">
        <v>0</v>
      </c>
      <c r="J1030" s="42">
        <v>0</v>
      </c>
      <c r="K1030" s="42">
        <v>0</v>
      </c>
      <c r="L1030" s="42">
        <v>0</v>
      </c>
      <c r="M1030" s="42">
        <v>1</v>
      </c>
      <c r="N1030" s="42">
        <v>0</v>
      </c>
      <c r="O1030">
        <v>0</v>
      </c>
    </row>
    <row r="1031" spans="3:15" x14ac:dyDescent="0.15">
      <c r="C1031" s="43" t="s">
        <v>1087</v>
      </c>
      <c r="D1031" s="42">
        <v>20</v>
      </c>
      <c r="E1031" s="42">
        <v>38</v>
      </c>
      <c r="F1031" s="42">
        <v>4</v>
      </c>
      <c r="G1031" s="42">
        <v>1.9</v>
      </c>
      <c r="H1031" s="42">
        <v>0</v>
      </c>
      <c r="I1031" s="42">
        <v>0</v>
      </c>
      <c r="J1031" s="42">
        <v>144</v>
      </c>
      <c r="K1031" s="42">
        <v>0</v>
      </c>
      <c r="L1031" s="42">
        <v>0</v>
      </c>
      <c r="M1031" s="42">
        <v>1</v>
      </c>
      <c r="N1031" s="42">
        <v>1</v>
      </c>
      <c r="O1031">
        <v>0</v>
      </c>
    </row>
    <row r="1032" spans="3:15" x14ac:dyDescent="0.15">
      <c r="C1032" s="43" t="s">
        <v>1088</v>
      </c>
      <c r="D1032" s="42">
        <v>18</v>
      </c>
      <c r="E1032" s="42">
        <v>21</v>
      </c>
      <c r="F1032" s="42">
        <v>2</v>
      </c>
      <c r="G1032" s="42">
        <v>1.4</v>
      </c>
      <c r="H1032" s="42">
        <v>0</v>
      </c>
      <c r="I1032" s="42">
        <v>1</v>
      </c>
      <c r="J1032" s="42">
        <v>0</v>
      </c>
      <c r="K1032" s="42">
        <v>0</v>
      </c>
      <c r="L1032" s="42">
        <v>0</v>
      </c>
      <c r="M1032" s="42">
        <v>1</v>
      </c>
      <c r="N1032" s="42">
        <v>1</v>
      </c>
      <c r="O1032">
        <v>0</v>
      </c>
    </row>
    <row r="1033" spans="3:15" x14ac:dyDescent="0.15">
      <c r="C1033" s="43" t="s">
        <v>1089</v>
      </c>
      <c r="D1033" s="42">
        <v>17</v>
      </c>
      <c r="E1033" s="42">
        <v>155</v>
      </c>
      <c r="F1033" s="42">
        <v>1</v>
      </c>
      <c r="G1033" s="42">
        <v>7</v>
      </c>
      <c r="H1033" s="42">
        <v>1</v>
      </c>
      <c r="I1033" s="42">
        <v>0</v>
      </c>
      <c r="J1033" s="42">
        <v>0</v>
      </c>
      <c r="K1033" s="42">
        <v>0</v>
      </c>
      <c r="L1033" s="42">
        <v>0</v>
      </c>
      <c r="M1033" s="42">
        <v>0</v>
      </c>
      <c r="N1033" s="42">
        <v>1</v>
      </c>
      <c r="O1033">
        <v>0</v>
      </c>
    </row>
    <row r="1034" spans="3:15" x14ac:dyDescent="0.15">
      <c r="C1034" s="43" t="s">
        <v>1090</v>
      </c>
      <c r="D1034" s="42">
        <v>16</v>
      </c>
      <c r="E1034" s="42">
        <v>119</v>
      </c>
      <c r="F1034" s="42">
        <v>2</v>
      </c>
      <c r="G1034" s="42">
        <v>4.2</v>
      </c>
      <c r="H1034" s="42">
        <v>0</v>
      </c>
      <c r="I1034" s="42">
        <v>1</v>
      </c>
      <c r="J1034" s="42">
        <v>0</v>
      </c>
      <c r="K1034" s="42">
        <v>0</v>
      </c>
      <c r="L1034" s="42">
        <v>0</v>
      </c>
      <c r="M1034" s="42">
        <v>1</v>
      </c>
      <c r="N1034" s="42">
        <v>0</v>
      </c>
      <c r="O1034">
        <v>1</v>
      </c>
    </row>
    <row r="1035" spans="3:15" x14ac:dyDescent="0.15">
      <c r="C1035" s="43" t="s">
        <v>1091</v>
      </c>
      <c r="D1035" s="42">
        <v>38</v>
      </c>
      <c r="E1035" s="42">
        <v>83</v>
      </c>
      <c r="F1035" s="42">
        <v>2</v>
      </c>
      <c r="G1035" s="42">
        <v>3.4</v>
      </c>
      <c r="H1035" s="42">
        <v>1</v>
      </c>
      <c r="I1035" s="42">
        <v>0</v>
      </c>
      <c r="J1035" s="42">
        <v>0</v>
      </c>
      <c r="K1035" s="42">
        <v>0</v>
      </c>
      <c r="L1035" s="42">
        <v>0</v>
      </c>
      <c r="M1035" s="42">
        <v>0</v>
      </c>
      <c r="N1035" s="42">
        <v>0</v>
      </c>
      <c r="O1035">
        <v>1</v>
      </c>
    </row>
    <row r="1036" spans="3:15" x14ac:dyDescent="0.15">
      <c r="C1036" s="43" t="s">
        <v>1092</v>
      </c>
      <c r="D1036" s="42">
        <v>34</v>
      </c>
      <c r="E1036" s="42">
        <v>41</v>
      </c>
      <c r="F1036" s="42">
        <v>4</v>
      </c>
      <c r="G1036" s="42">
        <v>1.3</v>
      </c>
      <c r="H1036" s="42">
        <v>1</v>
      </c>
      <c r="I1036" s="42">
        <v>0</v>
      </c>
      <c r="J1036" s="42">
        <v>0</v>
      </c>
      <c r="K1036" s="42">
        <v>0</v>
      </c>
      <c r="L1036" s="42">
        <v>0</v>
      </c>
      <c r="M1036" s="42">
        <v>1</v>
      </c>
      <c r="N1036" s="42">
        <v>0</v>
      </c>
      <c r="O1036">
        <v>0</v>
      </c>
    </row>
    <row r="1037" spans="3:15" x14ac:dyDescent="0.15">
      <c r="C1037" s="43" t="s">
        <v>1093</v>
      </c>
      <c r="D1037" s="42">
        <v>32</v>
      </c>
      <c r="E1037" s="42">
        <v>19</v>
      </c>
      <c r="F1037" s="42">
        <v>1</v>
      </c>
      <c r="G1037" s="42">
        <v>1.3</v>
      </c>
      <c r="H1037" s="42">
        <v>1</v>
      </c>
      <c r="I1037" s="42">
        <v>0</v>
      </c>
      <c r="J1037" s="42">
        <v>0</v>
      </c>
      <c r="K1037" s="42">
        <v>0</v>
      </c>
      <c r="L1037" s="42">
        <v>0</v>
      </c>
      <c r="M1037" s="42">
        <v>1</v>
      </c>
      <c r="N1037" s="42">
        <v>0</v>
      </c>
      <c r="O1037">
        <v>0</v>
      </c>
    </row>
    <row r="1038" spans="3:15" x14ac:dyDescent="0.15">
      <c r="C1038" s="43" t="s">
        <v>1094</v>
      </c>
      <c r="D1038" s="42">
        <v>4</v>
      </c>
      <c r="E1038" s="42">
        <v>73</v>
      </c>
      <c r="F1038" s="42">
        <v>1</v>
      </c>
      <c r="G1038" s="42">
        <v>0.8</v>
      </c>
      <c r="H1038" s="42">
        <v>0</v>
      </c>
      <c r="I1038" s="42">
        <v>1</v>
      </c>
      <c r="J1038" s="42">
        <v>0</v>
      </c>
      <c r="K1038" s="42">
        <v>0</v>
      </c>
      <c r="L1038" s="42">
        <v>0</v>
      </c>
      <c r="M1038" s="42">
        <v>1</v>
      </c>
      <c r="N1038" s="42">
        <v>0</v>
      </c>
      <c r="O1038">
        <v>0</v>
      </c>
    </row>
    <row r="1039" spans="3:15" x14ac:dyDescent="0.15">
      <c r="C1039" s="43" t="s">
        <v>1095</v>
      </c>
      <c r="D1039" s="42">
        <v>9</v>
      </c>
      <c r="E1039" s="42">
        <v>160</v>
      </c>
      <c r="F1039" s="42">
        <v>4</v>
      </c>
      <c r="G1039" s="42">
        <v>8</v>
      </c>
      <c r="H1039" s="42">
        <v>0</v>
      </c>
      <c r="I1039" s="42">
        <v>0</v>
      </c>
      <c r="J1039" s="42">
        <v>0</v>
      </c>
      <c r="K1039" s="42">
        <v>0</v>
      </c>
      <c r="L1039" s="42">
        <v>0</v>
      </c>
      <c r="M1039" s="42">
        <v>0</v>
      </c>
      <c r="N1039" s="42">
        <v>1</v>
      </c>
      <c r="O1039">
        <v>1</v>
      </c>
    </row>
    <row r="1040" spans="3:15" x14ac:dyDescent="0.15">
      <c r="C1040" s="43" t="s">
        <v>1096</v>
      </c>
      <c r="D1040" s="42">
        <v>6</v>
      </c>
      <c r="E1040" s="42">
        <v>51</v>
      </c>
      <c r="F1040" s="42">
        <v>4</v>
      </c>
      <c r="G1040" s="42">
        <v>0.2</v>
      </c>
      <c r="H1040" s="42">
        <v>1</v>
      </c>
      <c r="I1040" s="42">
        <v>0</v>
      </c>
      <c r="J1040" s="42">
        <v>154</v>
      </c>
      <c r="K1040" s="42">
        <v>1</v>
      </c>
      <c r="L1040" s="42">
        <v>0</v>
      </c>
      <c r="M1040" s="42">
        <v>0</v>
      </c>
      <c r="N1040" s="42">
        <v>1</v>
      </c>
      <c r="O1040">
        <v>0</v>
      </c>
    </row>
    <row r="1041" spans="3:15" x14ac:dyDescent="0.15">
      <c r="C1041" s="43" t="s">
        <v>1097</v>
      </c>
      <c r="D1041" s="42">
        <v>28</v>
      </c>
      <c r="E1041" s="42">
        <v>83</v>
      </c>
      <c r="F1041" s="42">
        <v>1</v>
      </c>
      <c r="G1041" s="42">
        <v>0</v>
      </c>
      <c r="H1041" s="42">
        <v>1</v>
      </c>
      <c r="I1041" s="42">
        <v>0</v>
      </c>
      <c r="J1041" s="42">
        <v>0</v>
      </c>
      <c r="K1041" s="42">
        <v>0</v>
      </c>
      <c r="L1041" s="42">
        <v>0</v>
      </c>
      <c r="M1041" s="42">
        <v>1</v>
      </c>
      <c r="N1041" s="42">
        <v>0</v>
      </c>
      <c r="O1041">
        <v>0</v>
      </c>
    </row>
    <row r="1042" spans="3:15" x14ac:dyDescent="0.15">
      <c r="C1042" s="43" t="s">
        <v>1098</v>
      </c>
      <c r="D1042" s="42">
        <v>11</v>
      </c>
      <c r="E1042" s="42">
        <v>60</v>
      </c>
      <c r="F1042" s="42">
        <v>2</v>
      </c>
      <c r="G1042" s="42">
        <v>2.8</v>
      </c>
      <c r="H1042" s="42">
        <v>1</v>
      </c>
      <c r="I1042" s="42">
        <v>0</v>
      </c>
      <c r="J1042" s="42">
        <v>181</v>
      </c>
      <c r="K1042" s="42">
        <v>0</v>
      </c>
      <c r="L1042" s="42">
        <v>0</v>
      </c>
      <c r="M1042" s="42">
        <v>0</v>
      </c>
      <c r="N1042" s="42">
        <v>1</v>
      </c>
      <c r="O1042">
        <v>0</v>
      </c>
    </row>
    <row r="1043" spans="3:15" x14ac:dyDescent="0.15">
      <c r="C1043" s="43" t="s">
        <v>1099</v>
      </c>
      <c r="D1043" s="42">
        <v>37</v>
      </c>
      <c r="E1043" s="42">
        <v>48</v>
      </c>
      <c r="F1043" s="42">
        <v>1</v>
      </c>
      <c r="G1043" s="42">
        <v>0.8</v>
      </c>
      <c r="H1043" s="42">
        <v>1</v>
      </c>
      <c r="I1043" s="42">
        <v>0</v>
      </c>
      <c r="J1043" s="42">
        <v>158</v>
      </c>
      <c r="K1043" s="42">
        <v>0</v>
      </c>
      <c r="L1043" s="42">
        <v>0</v>
      </c>
      <c r="M1043" s="42">
        <v>1</v>
      </c>
      <c r="N1043" s="42">
        <v>0</v>
      </c>
      <c r="O1043">
        <v>0</v>
      </c>
    </row>
    <row r="1044" spans="3:15" x14ac:dyDescent="0.15">
      <c r="C1044" s="43" t="s">
        <v>1100</v>
      </c>
      <c r="D1044" s="42">
        <v>35</v>
      </c>
      <c r="E1044" s="42">
        <v>11</v>
      </c>
      <c r="F1044" s="42">
        <v>2</v>
      </c>
      <c r="G1044" s="42">
        <v>1</v>
      </c>
      <c r="H1044" s="42">
        <v>1</v>
      </c>
      <c r="I1044" s="42">
        <v>0</v>
      </c>
      <c r="J1044" s="42">
        <v>0</v>
      </c>
      <c r="K1044" s="42">
        <v>0</v>
      </c>
      <c r="L1044" s="42">
        <v>0</v>
      </c>
      <c r="M1044" s="42">
        <v>0</v>
      </c>
      <c r="N1044" s="42">
        <v>1</v>
      </c>
      <c r="O1044">
        <v>0</v>
      </c>
    </row>
    <row r="1045" spans="3:15" x14ac:dyDescent="0.15">
      <c r="C1045" s="43" t="s">
        <v>1101</v>
      </c>
      <c r="D1045" s="42">
        <v>21</v>
      </c>
      <c r="E1045" s="42">
        <v>68</v>
      </c>
      <c r="F1045" s="42">
        <v>4</v>
      </c>
      <c r="G1045" s="42">
        <v>2.6</v>
      </c>
      <c r="H1045" s="42">
        <v>0</v>
      </c>
      <c r="I1045" s="42">
        <v>0</v>
      </c>
      <c r="J1045" s="42">
        <v>0</v>
      </c>
      <c r="K1045" s="42">
        <v>0</v>
      </c>
      <c r="L1045" s="42">
        <v>0</v>
      </c>
      <c r="M1045" s="42">
        <v>0</v>
      </c>
      <c r="N1045" s="42">
        <v>0</v>
      </c>
      <c r="O1045">
        <v>0</v>
      </c>
    </row>
    <row r="1046" spans="3:15" x14ac:dyDescent="0.15">
      <c r="C1046" s="43" t="s">
        <v>1102</v>
      </c>
      <c r="D1046" s="42">
        <v>13</v>
      </c>
      <c r="E1046" s="42">
        <v>43</v>
      </c>
      <c r="F1046" s="42">
        <v>3</v>
      </c>
      <c r="G1046" s="42">
        <v>2.8</v>
      </c>
      <c r="H1046" s="42">
        <v>1</v>
      </c>
      <c r="I1046" s="42">
        <v>0</v>
      </c>
      <c r="J1046" s="42">
        <v>0</v>
      </c>
      <c r="K1046" s="42">
        <v>0</v>
      </c>
      <c r="L1046" s="42">
        <v>0</v>
      </c>
      <c r="M1046" s="42">
        <v>1</v>
      </c>
      <c r="N1046" s="42">
        <v>0</v>
      </c>
      <c r="O1046">
        <v>0</v>
      </c>
    </row>
    <row r="1047" spans="3:15" x14ac:dyDescent="0.15">
      <c r="C1047" s="43" t="s">
        <v>1103</v>
      </c>
      <c r="D1047" s="42">
        <v>25</v>
      </c>
      <c r="E1047" s="42">
        <v>13</v>
      </c>
      <c r="F1047" s="42">
        <v>2</v>
      </c>
      <c r="G1047" s="42">
        <v>0.7</v>
      </c>
      <c r="H1047" s="42">
        <v>0</v>
      </c>
      <c r="I1047" s="42">
        <v>0</v>
      </c>
      <c r="J1047" s="42">
        <v>0</v>
      </c>
      <c r="K1047" s="42">
        <v>0</v>
      </c>
      <c r="L1047" s="42">
        <v>0</v>
      </c>
      <c r="M1047" s="42">
        <v>0</v>
      </c>
      <c r="N1047" s="42">
        <v>0</v>
      </c>
      <c r="O1047">
        <v>0</v>
      </c>
    </row>
    <row r="1048" spans="3:15" x14ac:dyDescent="0.15">
      <c r="C1048" s="43" t="s">
        <v>1104</v>
      </c>
      <c r="D1048" s="42">
        <v>4</v>
      </c>
      <c r="E1048" s="42">
        <v>204</v>
      </c>
      <c r="F1048" s="42">
        <v>2</v>
      </c>
      <c r="G1048" s="42">
        <v>4.5</v>
      </c>
      <c r="H1048" s="42">
        <v>1</v>
      </c>
      <c r="I1048" s="42">
        <v>0</v>
      </c>
      <c r="J1048" s="42">
        <v>0</v>
      </c>
      <c r="K1048" s="42">
        <v>0</v>
      </c>
      <c r="L1048" s="42">
        <v>0</v>
      </c>
      <c r="M1048" s="42">
        <v>1</v>
      </c>
      <c r="N1048" s="42">
        <v>0</v>
      </c>
      <c r="O1048">
        <v>0</v>
      </c>
    </row>
    <row r="1049" spans="3:15" x14ac:dyDescent="0.15">
      <c r="C1049" s="43" t="s">
        <v>1105</v>
      </c>
      <c r="D1049" s="42">
        <v>37</v>
      </c>
      <c r="E1049" s="42">
        <v>13</v>
      </c>
      <c r="F1049" s="42">
        <v>2</v>
      </c>
      <c r="G1049" s="42">
        <v>0.3</v>
      </c>
      <c r="H1049" s="42">
        <v>0</v>
      </c>
      <c r="I1049" s="42">
        <v>0</v>
      </c>
      <c r="J1049" s="42">
        <v>0</v>
      </c>
      <c r="K1049" s="42">
        <v>0</v>
      </c>
      <c r="L1049" s="42">
        <v>0</v>
      </c>
      <c r="M1049" s="42">
        <v>1</v>
      </c>
      <c r="N1049" s="42">
        <v>0</v>
      </c>
      <c r="O1049">
        <v>0</v>
      </c>
    </row>
    <row r="1050" spans="3:15" x14ac:dyDescent="0.15">
      <c r="C1050" s="43" t="s">
        <v>1106</v>
      </c>
      <c r="D1050" s="42">
        <v>19</v>
      </c>
      <c r="E1050" s="42">
        <v>201</v>
      </c>
      <c r="F1050" s="42">
        <v>2</v>
      </c>
      <c r="G1050" s="42">
        <v>6.666666666666667</v>
      </c>
      <c r="H1050" s="42">
        <v>1</v>
      </c>
      <c r="I1050" s="42">
        <v>0</v>
      </c>
      <c r="J1050" s="42">
        <v>0</v>
      </c>
      <c r="K1050" s="42">
        <v>1</v>
      </c>
      <c r="L1050" s="42">
        <v>0</v>
      </c>
      <c r="M1050" s="42">
        <v>1</v>
      </c>
      <c r="N1050" s="42">
        <v>0</v>
      </c>
      <c r="O1050">
        <v>0</v>
      </c>
    </row>
    <row r="1051" spans="3:15" x14ac:dyDescent="0.15">
      <c r="C1051" s="43" t="s">
        <v>1107</v>
      </c>
      <c r="D1051" s="42">
        <v>37</v>
      </c>
      <c r="E1051" s="42">
        <v>15</v>
      </c>
      <c r="F1051" s="42">
        <v>3</v>
      </c>
      <c r="G1051" s="42">
        <v>0.1</v>
      </c>
      <c r="H1051" s="42">
        <v>0</v>
      </c>
      <c r="I1051" s="42">
        <v>0</v>
      </c>
      <c r="J1051" s="42">
        <v>91</v>
      </c>
      <c r="K1051" s="42">
        <v>0</v>
      </c>
      <c r="L1051" s="42">
        <v>0</v>
      </c>
      <c r="M1051" s="42">
        <v>0</v>
      </c>
      <c r="N1051" s="42">
        <v>0</v>
      </c>
      <c r="O1051">
        <v>0</v>
      </c>
    </row>
    <row r="1052" spans="3:15" x14ac:dyDescent="0.15">
      <c r="C1052" s="43" t="s">
        <v>1108</v>
      </c>
      <c r="D1052" s="42">
        <v>40</v>
      </c>
      <c r="E1052" s="42">
        <v>20</v>
      </c>
      <c r="F1052" s="42">
        <v>3</v>
      </c>
      <c r="G1052" s="42">
        <v>0.5</v>
      </c>
      <c r="H1052" s="42">
        <v>1</v>
      </c>
      <c r="I1052" s="42">
        <v>0</v>
      </c>
      <c r="J1052" s="42">
        <v>102</v>
      </c>
      <c r="K1052" s="42">
        <v>0</v>
      </c>
      <c r="L1052" s="42">
        <v>0</v>
      </c>
      <c r="M1052" s="42">
        <v>1</v>
      </c>
      <c r="N1052" s="42">
        <v>1</v>
      </c>
      <c r="O1052">
        <v>0</v>
      </c>
    </row>
    <row r="1053" spans="3:15" x14ac:dyDescent="0.15">
      <c r="C1053" s="43" t="s">
        <v>1109</v>
      </c>
      <c r="D1053" s="42">
        <v>26</v>
      </c>
      <c r="E1053" s="42">
        <v>13</v>
      </c>
      <c r="F1053" s="42">
        <v>4</v>
      </c>
      <c r="G1053" s="42">
        <v>1</v>
      </c>
      <c r="H1053" s="42">
        <v>1</v>
      </c>
      <c r="I1053" s="42">
        <v>0</v>
      </c>
      <c r="J1053" s="42">
        <v>0</v>
      </c>
      <c r="K1053" s="42">
        <v>0</v>
      </c>
      <c r="L1053" s="42">
        <v>0</v>
      </c>
      <c r="M1053" s="42">
        <v>1</v>
      </c>
      <c r="N1053" s="42">
        <v>0</v>
      </c>
      <c r="O1053">
        <v>0</v>
      </c>
    </row>
    <row r="1054" spans="3:15" x14ac:dyDescent="0.15">
      <c r="C1054" s="43" t="s">
        <v>1110</v>
      </c>
      <c r="D1054" s="42">
        <v>17</v>
      </c>
      <c r="E1054" s="42">
        <v>74</v>
      </c>
      <c r="F1054" s="42">
        <v>3</v>
      </c>
      <c r="G1054" s="42">
        <v>3</v>
      </c>
      <c r="H1054" s="42">
        <v>1</v>
      </c>
      <c r="I1054" s="42">
        <v>0</v>
      </c>
      <c r="J1054" s="42">
        <v>0</v>
      </c>
      <c r="K1054" s="42">
        <v>0</v>
      </c>
      <c r="L1054" s="42">
        <v>0</v>
      </c>
      <c r="M1054" s="42">
        <v>0</v>
      </c>
      <c r="N1054" s="42">
        <v>1</v>
      </c>
      <c r="O1054">
        <v>0</v>
      </c>
    </row>
    <row r="1055" spans="3:15" x14ac:dyDescent="0.15">
      <c r="C1055" s="43" t="s">
        <v>1111</v>
      </c>
      <c r="D1055" s="42">
        <v>39</v>
      </c>
      <c r="E1055" s="42">
        <v>92</v>
      </c>
      <c r="F1055" s="42">
        <v>2</v>
      </c>
      <c r="G1055" s="42">
        <v>0</v>
      </c>
      <c r="H1055" s="42">
        <v>0</v>
      </c>
      <c r="I1055" s="42">
        <v>0</v>
      </c>
      <c r="J1055" s="42">
        <v>0</v>
      </c>
      <c r="K1055" s="42">
        <v>0</v>
      </c>
      <c r="L1055" s="42">
        <v>0</v>
      </c>
      <c r="M1055" s="42">
        <v>1</v>
      </c>
      <c r="N1055" s="42">
        <v>0</v>
      </c>
      <c r="O1055">
        <v>0</v>
      </c>
    </row>
    <row r="1056" spans="3:15" x14ac:dyDescent="0.15">
      <c r="C1056" s="43" t="s">
        <v>1112</v>
      </c>
      <c r="D1056" s="42">
        <v>40</v>
      </c>
      <c r="E1056" s="42">
        <v>171</v>
      </c>
      <c r="F1056" s="42">
        <v>2</v>
      </c>
      <c r="G1056" s="42">
        <v>2.1</v>
      </c>
      <c r="H1056" s="42">
        <v>1</v>
      </c>
      <c r="I1056" s="42">
        <v>0</v>
      </c>
      <c r="J1056" s="42">
        <v>433</v>
      </c>
      <c r="K1056" s="42">
        <v>0</v>
      </c>
      <c r="L1056" s="42">
        <v>0</v>
      </c>
      <c r="M1056" s="42">
        <v>0</v>
      </c>
      <c r="N1056" s="42">
        <v>0</v>
      </c>
      <c r="O1056">
        <v>0</v>
      </c>
    </row>
    <row r="1057" spans="3:15" x14ac:dyDescent="0.15">
      <c r="C1057" s="43" t="s">
        <v>1113</v>
      </c>
      <c r="D1057" s="42">
        <v>17</v>
      </c>
      <c r="E1057" s="42">
        <v>72</v>
      </c>
      <c r="F1057" s="42">
        <v>4</v>
      </c>
      <c r="G1057" s="42">
        <v>1.1000000000000001</v>
      </c>
      <c r="H1057" s="42">
        <v>0</v>
      </c>
      <c r="I1057" s="42">
        <v>1</v>
      </c>
      <c r="J1057" s="42">
        <v>203</v>
      </c>
      <c r="K1057" s="42">
        <v>0</v>
      </c>
      <c r="L1057" s="42">
        <v>0</v>
      </c>
      <c r="M1057" s="42">
        <v>0</v>
      </c>
      <c r="N1057" s="42">
        <v>1</v>
      </c>
      <c r="O1057">
        <v>0</v>
      </c>
    </row>
    <row r="1058" spans="3:15" x14ac:dyDescent="0.15">
      <c r="C1058" s="43" t="s">
        <v>1114</v>
      </c>
      <c r="D1058" s="42">
        <v>19</v>
      </c>
      <c r="E1058" s="42">
        <v>83</v>
      </c>
      <c r="F1058" s="42">
        <v>4</v>
      </c>
      <c r="G1058" s="42">
        <v>3.6</v>
      </c>
      <c r="H1058" s="42">
        <v>0</v>
      </c>
      <c r="I1058" s="42">
        <v>0</v>
      </c>
      <c r="J1058" s="42">
        <v>0</v>
      </c>
      <c r="K1058" s="42">
        <v>0</v>
      </c>
      <c r="L1058" s="42">
        <v>0</v>
      </c>
      <c r="M1058" s="42">
        <v>0</v>
      </c>
      <c r="N1058" s="42">
        <v>1</v>
      </c>
      <c r="O1058">
        <v>1</v>
      </c>
    </row>
    <row r="1059" spans="3:15" x14ac:dyDescent="0.15">
      <c r="C1059" s="43" t="s">
        <v>1115</v>
      </c>
      <c r="D1059" s="42">
        <v>29</v>
      </c>
      <c r="E1059" s="42">
        <v>60</v>
      </c>
      <c r="F1059" s="42">
        <v>3</v>
      </c>
      <c r="G1059" s="42">
        <v>2.2000000000000002</v>
      </c>
      <c r="H1059" s="42">
        <v>0</v>
      </c>
      <c r="I1059" s="42">
        <v>0</v>
      </c>
      <c r="J1059" s="42">
        <v>84</v>
      </c>
      <c r="K1059" s="42">
        <v>0</v>
      </c>
      <c r="L1059" s="42">
        <v>0</v>
      </c>
      <c r="M1059" s="42">
        <v>1</v>
      </c>
      <c r="N1059" s="42">
        <v>0</v>
      </c>
      <c r="O1059">
        <v>0</v>
      </c>
    </row>
    <row r="1060" spans="3:15" x14ac:dyDescent="0.15">
      <c r="C1060" s="43" t="s">
        <v>1116</v>
      </c>
      <c r="D1060" s="42">
        <v>28</v>
      </c>
      <c r="E1060" s="42">
        <v>59</v>
      </c>
      <c r="F1060" s="42">
        <v>2</v>
      </c>
      <c r="G1060" s="42">
        <v>1.9</v>
      </c>
      <c r="H1060" s="42">
        <v>0</v>
      </c>
      <c r="I1060" s="42">
        <v>1</v>
      </c>
      <c r="J1060" s="42">
        <v>0</v>
      </c>
      <c r="K1060" s="42">
        <v>0</v>
      </c>
      <c r="L1060" s="42">
        <v>0</v>
      </c>
      <c r="M1060" s="42">
        <v>1</v>
      </c>
      <c r="N1060" s="42">
        <v>0</v>
      </c>
      <c r="O1060">
        <v>0</v>
      </c>
    </row>
    <row r="1061" spans="3:15" x14ac:dyDescent="0.15">
      <c r="C1061" s="43" t="s">
        <v>1117</v>
      </c>
      <c r="D1061" s="42">
        <v>18</v>
      </c>
      <c r="E1061" s="42">
        <v>115</v>
      </c>
      <c r="F1061" s="42">
        <v>1</v>
      </c>
      <c r="G1061" s="42">
        <v>0.3</v>
      </c>
      <c r="H1061" s="42">
        <v>1</v>
      </c>
      <c r="I1061" s="42">
        <v>0</v>
      </c>
      <c r="J1061" s="42">
        <v>0</v>
      </c>
      <c r="K1061" s="42">
        <v>0</v>
      </c>
      <c r="L1061" s="42">
        <v>0</v>
      </c>
      <c r="M1061" s="42">
        <v>0</v>
      </c>
      <c r="N1061" s="42">
        <v>0</v>
      </c>
      <c r="O1061">
        <v>0</v>
      </c>
    </row>
    <row r="1062" spans="3:15" x14ac:dyDescent="0.15">
      <c r="C1062" s="43" t="s">
        <v>1118</v>
      </c>
      <c r="D1062" s="42">
        <v>31</v>
      </c>
      <c r="E1062" s="42">
        <v>61</v>
      </c>
      <c r="F1062" s="42">
        <v>2</v>
      </c>
      <c r="G1062" s="42">
        <v>1.9</v>
      </c>
      <c r="H1062" s="42">
        <v>0</v>
      </c>
      <c r="I1062" s="42">
        <v>1</v>
      </c>
      <c r="J1062" s="42">
        <v>105</v>
      </c>
      <c r="K1062" s="42">
        <v>0</v>
      </c>
      <c r="L1062" s="42">
        <v>0</v>
      </c>
      <c r="M1062" s="42">
        <v>0</v>
      </c>
      <c r="N1062" s="42">
        <v>0</v>
      </c>
      <c r="O1062">
        <v>0</v>
      </c>
    </row>
    <row r="1063" spans="3:15" x14ac:dyDescent="0.15">
      <c r="C1063" s="43" t="s">
        <v>1119</v>
      </c>
      <c r="D1063" s="42">
        <v>18</v>
      </c>
      <c r="E1063" s="42">
        <v>43</v>
      </c>
      <c r="F1063" s="42">
        <v>2</v>
      </c>
      <c r="G1063" s="42">
        <v>0.7</v>
      </c>
      <c r="H1063" s="42">
        <v>1</v>
      </c>
      <c r="I1063" s="42">
        <v>0</v>
      </c>
      <c r="J1063" s="42">
        <v>163</v>
      </c>
      <c r="K1063" s="42">
        <v>1</v>
      </c>
      <c r="L1063" s="42">
        <v>0</v>
      </c>
      <c r="M1063" s="42">
        <v>0</v>
      </c>
      <c r="N1063" s="42">
        <v>0</v>
      </c>
      <c r="O1063">
        <v>0</v>
      </c>
    </row>
    <row r="1064" spans="3:15" x14ac:dyDescent="0.15">
      <c r="C1064" s="43" t="s">
        <v>1120</v>
      </c>
      <c r="D1064" s="42">
        <v>39</v>
      </c>
      <c r="E1064" s="42">
        <v>83</v>
      </c>
      <c r="F1064" s="42">
        <v>3</v>
      </c>
      <c r="G1064" s="42">
        <v>1.8</v>
      </c>
      <c r="H1064" s="42">
        <v>0</v>
      </c>
      <c r="I1064" s="42">
        <v>1</v>
      </c>
      <c r="J1064" s="42">
        <v>0</v>
      </c>
      <c r="K1064" s="42">
        <v>0</v>
      </c>
      <c r="L1064" s="42">
        <v>0</v>
      </c>
      <c r="M1064" s="42">
        <v>1</v>
      </c>
      <c r="N1064" s="42">
        <v>0</v>
      </c>
      <c r="O1064">
        <v>0</v>
      </c>
    </row>
    <row r="1065" spans="3:15" x14ac:dyDescent="0.15">
      <c r="C1065" s="43" t="s">
        <v>1121</v>
      </c>
      <c r="D1065" s="42">
        <v>3</v>
      </c>
      <c r="E1065" s="42">
        <v>123</v>
      </c>
      <c r="F1065" s="42">
        <v>1</v>
      </c>
      <c r="G1065" s="42">
        <v>0.8</v>
      </c>
      <c r="H1065" s="42">
        <v>1</v>
      </c>
      <c r="I1065" s="42">
        <v>0</v>
      </c>
      <c r="J1065" s="42">
        <v>146</v>
      </c>
      <c r="K1065" s="42">
        <v>0</v>
      </c>
      <c r="L1065" s="42">
        <v>0</v>
      </c>
      <c r="M1065" s="42">
        <v>0</v>
      </c>
      <c r="N1065" s="42">
        <v>0</v>
      </c>
      <c r="O1065">
        <v>0</v>
      </c>
    </row>
    <row r="1066" spans="3:15" x14ac:dyDescent="0.15">
      <c r="C1066" s="43" t="s">
        <v>1122</v>
      </c>
      <c r="D1066" s="42">
        <v>0</v>
      </c>
      <c r="E1066" s="42">
        <v>150</v>
      </c>
      <c r="F1066" s="42">
        <v>2</v>
      </c>
      <c r="G1066" s="42">
        <v>2</v>
      </c>
      <c r="H1066" s="42">
        <v>1</v>
      </c>
      <c r="I1066" s="42">
        <v>0</v>
      </c>
      <c r="J1066" s="42">
        <v>0</v>
      </c>
      <c r="K1066" s="42">
        <v>0</v>
      </c>
      <c r="L1066" s="42">
        <v>0</v>
      </c>
      <c r="M1066" s="42">
        <v>1</v>
      </c>
      <c r="N1066" s="42">
        <v>0</v>
      </c>
      <c r="O1066">
        <v>0</v>
      </c>
    </row>
    <row r="1067" spans="3:15" x14ac:dyDescent="0.15">
      <c r="C1067" s="43" t="s">
        <v>1123</v>
      </c>
      <c r="D1067" s="42">
        <v>4</v>
      </c>
      <c r="E1067" s="42">
        <v>39</v>
      </c>
      <c r="F1067" s="42">
        <v>1</v>
      </c>
      <c r="G1067" s="42">
        <v>1.5</v>
      </c>
      <c r="H1067" s="42">
        <v>1</v>
      </c>
      <c r="I1067" s="42">
        <v>0</v>
      </c>
      <c r="J1067" s="42">
        <v>0</v>
      </c>
      <c r="K1067" s="42">
        <v>0</v>
      </c>
      <c r="L1067" s="42">
        <v>0</v>
      </c>
      <c r="M1067" s="42">
        <v>1</v>
      </c>
      <c r="N1067" s="42">
        <v>0</v>
      </c>
      <c r="O1067">
        <v>0</v>
      </c>
    </row>
    <row r="1068" spans="3:15" x14ac:dyDescent="0.15">
      <c r="C1068" s="43" t="s">
        <v>1124</v>
      </c>
      <c r="D1068" s="42">
        <v>30</v>
      </c>
      <c r="E1068" s="42">
        <v>78</v>
      </c>
      <c r="F1068" s="42">
        <v>4</v>
      </c>
      <c r="G1068" s="42">
        <v>1.6</v>
      </c>
      <c r="H1068" s="42">
        <v>0</v>
      </c>
      <c r="I1068" s="42">
        <v>1</v>
      </c>
      <c r="J1068" s="42">
        <v>0</v>
      </c>
      <c r="K1068" s="42">
        <v>0</v>
      </c>
      <c r="L1068" s="42">
        <v>0</v>
      </c>
      <c r="M1068" s="42">
        <v>1</v>
      </c>
      <c r="N1068" s="42">
        <v>1</v>
      </c>
      <c r="O1068">
        <v>0</v>
      </c>
    </row>
    <row r="1069" spans="3:15" x14ac:dyDescent="0.15">
      <c r="C1069" s="43" t="s">
        <v>1125</v>
      </c>
      <c r="D1069" s="42">
        <v>25</v>
      </c>
      <c r="E1069" s="42">
        <v>80</v>
      </c>
      <c r="F1069" s="42">
        <v>1</v>
      </c>
      <c r="G1069" s="42">
        <v>4.9000000000000004</v>
      </c>
      <c r="H1069" s="42">
        <v>1</v>
      </c>
      <c r="I1069" s="42">
        <v>0</v>
      </c>
      <c r="J1069" s="42">
        <v>0</v>
      </c>
      <c r="K1069" s="42">
        <v>0</v>
      </c>
      <c r="L1069" s="42">
        <v>0</v>
      </c>
      <c r="M1069" s="42">
        <v>0</v>
      </c>
      <c r="N1069" s="42">
        <v>0</v>
      </c>
      <c r="O1069">
        <v>0</v>
      </c>
    </row>
    <row r="1070" spans="3:15" x14ac:dyDescent="0.15">
      <c r="C1070" s="43" t="s">
        <v>1126</v>
      </c>
      <c r="D1070" s="42">
        <v>12</v>
      </c>
      <c r="E1070" s="42">
        <v>93</v>
      </c>
      <c r="F1070" s="42">
        <v>1</v>
      </c>
      <c r="G1070" s="42">
        <v>5.2</v>
      </c>
      <c r="H1070" s="42">
        <v>1</v>
      </c>
      <c r="I1070" s="42">
        <v>0</v>
      </c>
      <c r="J1070" s="42">
        <v>267</v>
      </c>
      <c r="K1070" s="42">
        <v>0</v>
      </c>
      <c r="L1070" s="42">
        <v>0</v>
      </c>
      <c r="M1070" s="42">
        <v>1</v>
      </c>
      <c r="N1070" s="42">
        <v>0</v>
      </c>
      <c r="O1070">
        <v>0</v>
      </c>
    </row>
    <row r="1071" spans="3:15" x14ac:dyDescent="0.15">
      <c r="C1071" s="43" t="s">
        <v>1127</v>
      </c>
      <c r="D1071" s="42">
        <v>5</v>
      </c>
      <c r="E1071" s="42">
        <v>40</v>
      </c>
      <c r="F1071" s="42">
        <v>4</v>
      </c>
      <c r="G1071" s="42">
        <v>1.3</v>
      </c>
      <c r="H1071" s="42">
        <v>0</v>
      </c>
      <c r="I1071" s="42">
        <v>0</v>
      </c>
      <c r="J1071" s="42">
        <v>170</v>
      </c>
      <c r="K1071" s="42">
        <v>0</v>
      </c>
      <c r="L1071" s="42">
        <v>0</v>
      </c>
      <c r="M1071" s="42">
        <v>0</v>
      </c>
      <c r="N1071" s="42">
        <v>0</v>
      </c>
      <c r="O1071">
        <v>0</v>
      </c>
    </row>
    <row r="1072" spans="3:15" x14ac:dyDescent="0.15">
      <c r="C1072" s="43" t="s">
        <v>1128</v>
      </c>
      <c r="D1072" s="42">
        <v>20</v>
      </c>
      <c r="E1072" s="42">
        <v>69</v>
      </c>
      <c r="F1072" s="42">
        <v>3</v>
      </c>
      <c r="G1072" s="42">
        <v>2.1</v>
      </c>
      <c r="H1072" s="42">
        <v>1</v>
      </c>
      <c r="I1072" s="42">
        <v>0</v>
      </c>
      <c r="J1072" s="42">
        <v>0</v>
      </c>
      <c r="K1072" s="42">
        <v>0</v>
      </c>
      <c r="L1072" s="42">
        <v>0</v>
      </c>
      <c r="M1072" s="42">
        <v>0</v>
      </c>
      <c r="N1072" s="42">
        <v>0</v>
      </c>
      <c r="O1072">
        <v>0</v>
      </c>
    </row>
    <row r="1073" spans="3:15" x14ac:dyDescent="0.15">
      <c r="C1073" s="43" t="s">
        <v>1129</v>
      </c>
      <c r="D1073" s="42">
        <v>1</v>
      </c>
      <c r="E1073" s="42">
        <v>54</v>
      </c>
      <c r="F1073" s="42">
        <v>4</v>
      </c>
      <c r="G1073" s="42">
        <v>1.6</v>
      </c>
      <c r="H1073" s="42">
        <v>1</v>
      </c>
      <c r="I1073" s="42">
        <v>0</v>
      </c>
      <c r="J1073" s="42">
        <v>0</v>
      </c>
      <c r="K1073" s="42">
        <v>0</v>
      </c>
      <c r="L1073" s="42">
        <v>0</v>
      </c>
      <c r="M1073" s="42">
        <v>1</v>
      </c>
      <c r="N1073" s="42">
        <v>1</v>
      </c>
      <c r="O1073">
        <v>0</v>
      </c>
    </row>
    <row r="1074" spans="3:15" x14ac:dyDescent="0.15">
      <c r="C1074" s="43" t="s">
        <v>1130</v>
      </c>
      <c r="D1074" s="42">
        <v>30</v>
      </c>
      <c r="E1074" s="42">
        <v>39</v>
      </c>
      <c r="F1074" s="42">
        <v>3</v>
      </c>
      <c r="G1074" s="42">
        <v>1.4</v>
      </c>
      <c r="H1074" s="42">
        <v>1</v>
      </c>
      <c r="I1074" s="42">
        <v>0</v>
      </c>
      <c r="J1074" s="42">
        <v>131</v>
      </c>
      <c r="K1074" s="42">
        <v>0</v>
      </c>
      <c r="L1074" s="42">
        <v>0</v>
      </c>
      <c r="M1074" s="42">
        <v>0</v>
      </c>
      <c r="N1074" s="42">
        <v>1</v>
      </c>
      <c r="O1074">
        <v>0</v>
      </c>
    </row>
    <row r="1075" spans="3:15" x14ac:dyDescent="0.15">
      <c r="C1075" s="43" t="s">
        <v>1131</v>
      </c>
      <c r="D1075" s="42">
        <v>6</v>
      </c>
      <c r="E1075" s="42">
        <v>112</v>
      </c>
      <c r="F1075" s="42">
        <v>4</v>
      </c>
      <c r="G1075" s="42">
        <v>1.8</v>
      </c>
      <c r="H1075" s="42">
        <v>0</v>
      </c>
      <c r="I1075" s="42">
        <v>1</v>
      </c>
      <c r="J1075" s="42">
        <v>0</v>
      </c>
      <c r="K1075" s="42">
        <v>0</v>
      </c>
      <c r="L1075" s="42">
        <v>0</v>
      </c>
      <c r="M1075" s="42">
        <v>1</v>
      </c>
      <c r="N1075" s="42">
        <v>0</v>
      </c>
      <c r="O1075">
        <v>0</v>
      </c>
    </row>
    <row r="1076" spans="3:15" x14ac:dyDescent="0.15">
      <c r="C1076" s="43" t="s">
        <v>1132</v>
      </c>
      <c r="D1076" s="42">
        <v>9</v>
      </c>
      <c r="E1076" s="42">
        <v>31</v>
      </c>
      <c r="F1076" s="42">
        <v>4</v>
      </c>
      <c r="G1076" s="42">
        <v>1.1000000000000001</v>
      </c>
      <c r="H1076" s="42">
        <v>0</v>
      </c>
      <c r="I1076" s="42">
        <v>0</v>
      </c>
      <c r="J1076" s="42">
        <v>0</v>
      </c>
      <c r="K1076" s="42">
        <v>0</v>
      </c>
      <c r="L1076" s="42">
        <v>0</v>
      </c>
      <c r="M1076" s="42">
        <v>1</v>
      </c>
      <c r="N1076" s="42">
        <v>1</v>
      </c>
      <c r="O1076">
        <v>0</v>
      </c>
    </row>
    <row r="1077" spans="3:15" x14ac:dyDescent="0.15">
      <c r="C1077" s="43" t="s">
        <v>1133</v>
      </c>
      <c r="D1077" s="42">
        <v>15</v>
      </c>
      <c r="E1077" s="42">
        <v>168</v>
      </c>
      <c r="F1077" s="42">
        <v>2</v>
      </c>
      <c r="G1077" s="42">
        <v>8</v>
      </c>
      <c r="H1077" s="42">
        <v>1</v>
      </c>
      <c r="I1077" s="42">
        <v>0</v>
      </c>
      <c r="J1077" s="42">
        <v>152</v>
      </c>
      <c r="K1077" s="42">
        <v>1</v>
      </c>
      <c r="L1077" s="42">
        <v>0</v>
      </c>
      <c r="M1077" s="42">
        <v>0</v>
      </c>
      <c r="N1077" s="42">
        <v>0</v>
      </c>
      <c r="O1077">
        <v>0</v>
      </c>
    </row>
    <row r="1078" spans="3:15" x14ac:dyDescent="0.15">
      <c r="C1078" s="43" t="s">
        <v>1134</v>
      </c>
      <c r="D1078" s="42">
        <v>0</v>
      </c>
      <c r="E1078" s="42">
        <v>88</v>
      </c>
      <c r="F1078" s="42">
        <v>2</v>
      </c>
      <c r="G1078" s="42">
        <v>1.8</v>
      </c>
      <c r="H1078" s="42">
        <v>0</v>
      </c>
      <c r="I1078" s="42">
        <v>1</v>
      </c>
      <c r="J1078" s="42">
        <v>319</v>
      </c>
      <c r="K1078" s="42">
        <v>0</v>
      </c>
      <c r="L1078" s="42">
        <v>0</v>
      </c>
      <c r="M1078" s="42">
        <v>1</v>
      </c>
      <c r="N1078" s="42">
        <v>1</v>
      </c>
      <c r="O1078">
        <v>0</v>
      </c>
    </row>
    <row r="1079" spans="3:15" x14ac:dyDescent="0.15">
      <c r="C1079" s="43" t="s">
        <v>1135</v>
      </c>
      <c r="D1079" s="42">
        <v>30</v>
      </c>
      <c r="E1079" s="42">
        <v>141</v>
      </c>
      <c r="F1079" s="42">
        <v>2</v>
      </c>
      <c r="G1079" s="42">
        <v>0.5</v>
      </c>
      <c r="H1079" s="42">
        <v>1</v>
      </c>
      <c r="I1079" s="42">
        <v>0</v>
      </c>
      <c r="J1079" s="42">
        <v>0</v>
      </c>
      <c r="K1079" s="42">
        <v>0</v>
      </c>
      <c r="L1079" s="42">
        <v>0</v>
      </c>
      <c r="M1079" s="42">
        <v>1</v>
      </c>
      <c r="N1079" s="42">
        <v>0</v>
      </c>
      <c r="O1079">
        <v>0</v>
      </c>
    </row>
    <row r="1080" spans="3:15" x14ac:dyDescent="0.15">
      <c r="C1080" s="43" t="s">
        <v>1136</v>
      </c>
      <c r="D1080" s="42">
        <v>15</v>
      </c>
      <c r="E1080" s="42">
        <v>41</v>
      </c>
      <c r="F1080" s="42">
        <v>1</v>
      </c>
      <c r="G1080" s="42">
        <v>2</v>
      </c>
      <c r="H1080" s="42">
        <v>0</v>
      </c>
      <c r="I1080" s="42">
        <v>1</v>
      </c>
      <c r="J1080" s="42">
        <v>176</v>
      </c>
      <c r="K1080" s="42">
        <v>0</v>
      </c>
      <c r="L1080" s="42">
        <v>0</v>
      </c>
      <c r="M1080" s="42">
        <v>1</v>
      </c>
      <c r="N1080" s="42">
        <v>0</v>
      </c>
      <c r="O1080">
        <v>0</v>
      </c>
    </row>
    <row r="1081" spans="3:15" x14ac:dyDescent="0.15">
      <c r="C1081" s="43" t="s">
        <v>1137</v>
      </c>
      <c r="D1081" s="42">
        <v>19</v>
      </c>
      <c r="E1081" s="42">
        <v>113</v>
      </c>
      <c r="F1081" s="42">
        <v>1</v>
      </c>
      <c r="G1081" s="42">
        <v>1.7</v>
      </c>
      <c r="H1081" s="42">
        <v>1</v>
      </c>
      <c r="I1081" s="42">
        <v>0</v>
      </c>
      <c r="J1081" s="42">
        <v>0</v>
      </c>
      <c r="K1081" s="42">
        <v>0</v>
      </c>
      <c r="L1081" s="42">
        <v>0</v>
      </c>
      <c r="M1081" s="42">
        <v>0</v>
      </c>
      <c r="N1081" s="42">
        <v>0</v>
      </c>
      <c r="O1081">
        <v>0</v>
      </c>
    </row>
    <row r="1082" spans="3:15" x14ac:dyDescent="0.15">
      <c r="C1082" s="43" t="s">
        <v>1138</v>
      </c>
      <c r="D1082" s="42">
        <v>23</v>
      </c>
      <c r="E1082" s="42">
        <v>88</v>
      </c>
      <c r="F1082" s="42">
        <v>4</v>
      </c>
      <c r="G1082" s="42">
        <v>1.4</v>
      </c>
      <c r="H1082" s="42">
        <v>0</v>
      </c>
      <c r="I1082" s="42">
        <v>1</v>
      </c>
      <c r="J1082" s="42">
        <v>0</v>
      </c>
      <c r="K1082" s="42">
        <v>0</v>
      </c>
      <c r="L1082" s="42">
        <v>0</v>
      </c>
      <c r="M1082" s="42">
        <v>0</v>
      </c>
      <c r="N1082" s="42">
        <v>0</v>
      </c>
      <c r="O1082">
        <v>0</v>
      </c>
    </row>
    <row r="1083" spans="3:15" x14ac:dyDescent="0.15">
      <c r="C1083" s="43" t="s">
        <v>1139</v>
      </c>
      <c r="D1083" s="42">
        <v>30</v>
      </c>
      <c r="E1083" s="42">
        <v>23</v>
      </c>
      <c r="F1083" s="42">
        <v>2</v>
      </c>
      <c r="G1083" s="42">
        <v>0.4</v>
      </c>
      <c r="H1083" s="42">
        <v>1</v>
      </c>
      <c r="I1083" s="42">
        <v>0</v>
      </c>
      <c r="J1083" s="42">
        <v>0</v>
      </c>
      <c r="K1083" s="42">
        <v>0</v>
      </c>
      <c r="L1083" s="42">
        <v>0</v>
      </c>
      <c r="M1083" s="42">
        <v>0</v>
      </c>
      <c r="N1083" s="42">
        <v>0</v>
      </c>
      <c r="O1083">
        <v>0</v>
      </c>
    </row>
    <row r="1084" spans="3:15" x14ac:dyDescent="0.15">
      <c r="C1084" s="43" t="s">
        <v>1140</v>
      </c>
      <c r="D1084" s="42">
        <v>31</v>
      </c>
      <c r="E1084" s="42">
        <v>53</v>
      </c>
      <c r="F1084" s="42">
        <v>1</v>
      </c>
      <c r="G1084" s="42">
        <v>0.8</v>
      </c>
      <c r="H1084" s="42">
        <v>0</v>
      </c>
      <c r="I1084" s="42">
        <v>1</v>
      </c>
      <c r="J1084" s="42">
        <v>120</v>
      </c>
      <c r="K1084" s="42">
        <v>0</v>
      </c>
      <c r="L1084" s="42">
        <v>0</v>
      </c>
      <c r="M1084" s="42">
        <v>0</v>
      </c>
      <c r="N1084" s="42">
        <v>0</v>
      </c>
      <c r="O1084">
        <v>0</v>
      </c>
    </row>
    <row r="1085" spans="3:15" x14ac:dyDescent="0.15">
      <c r="C1085" s="43" t="s">
        <v>1141</v>
      </c>
      <c r="D1085" s="42">
        <v>6</v>
      </c>
      <c r="E1085" s="42">
        <v>53</v>
      </c>
      <c r="F1085" s="42">
        <v>4</v>
      </c>
      <c r="G1085" s="42">
        <v>2.2000000000000002</v>
      </c>
      <c r="H1085" s="42">
        <v>1</v>
      </c>
      <c r="I1085" s="42">
        <v>0</v>
      </c>
      <c r="J1085" s="42">
        <v>114</v>
      </c>
      <c r="K1085" s="42">
        <v>0</v>
      </c>
      <c r="L1085" s="42">
        <v>0</v>
      </c>
      <c r="M1085" s="42">
        <v>1</v>
      </c>
      <c r="N1085" s="42">
        <v>0</v>
      </c>
      <c r="O1085">
        <v>0</v>
      </c>
    </row>
    <row r="1086" spans="3:15" x14ac:dyDescent="0.15">
      <c r="C1086" s="43" t="s">
        <v>1142</v>
      </c>
      <c r="D1086" s="42">
        <v>6</v>
      </c>
      <c r="E1086" s="42">
        <v>193</v>
      </c>
      <c r="F1086" s="42">
        <v>3</v>
      </c>
      <c r="G1086" s="42">
        <v>6.3</v>
      </c>
      <c r="H1086" s="42">
        <v>0</v>
      </c>
      <c r="I1086" s="42">
        <v>0</v>
      </c>
      <c r="J1086" s="42">
        <v>0</v>
      </c>
      <c r="K1086" s="42">
        <v>0</v>
      </c>
      <c r="L1086" s="42">
        <v>0</v>
      </c>
      <c r="M1086" s="42">
        <v>1</v>
      </c>
      <c r="N1086" s="42">
        <v>0</v>
      </c>
      <c r="O1086">
        <v>1</v>
      </c>
    </row>
    <row r="1087" spans="3:15" x14ac:dyDescent="0.15">
      <c r="C1087" s="43" t="s">
        <v>1143</v>
      </c>
      <c r="D1087" s="42">
        <v>11</v>
      </c>
      <c r="E1087" s="42">
        <v>44</v>
      </c>
      <c r="F1087" s="42">
        <v>2</v>
      </c>
      <c r="G1087" s="42">
        <v>1.1000000000000001</v>
      </c>
      <c r="H1087" s="42">
        <v>0</v>
      </c>
      <c r="I1087" s="42">
        <v>1</v>
      </c>
      <c r="J1087" s="42">
        <v>85</v>
      </c>
      <c r="K1087" s="42">
        <v>0</v>
      </c>
      <c r="L1087" s="42">
        <v>0</v>
      </c>
      <c r="M1087" s="42">
        <v>1</v>
      </c>
      <c r="N1087" s="42">
        <v>0</v>
      </c>
      <c r="O1087">
        <v>0</v>
      </c>
    </row>
    <row r="1088" spans="3:15" x14ac:dyDescent="0.15">
      <c r="C1088" s="43" t="s">
        <v>1144</v>
      </c>
      <c r="D1088" s="42">
        <v>34</v>
      </c>
      <c r="E1088" s="42">
        <v>19</v>
      </c>
      <c r="F1088" s="42">
        <v>1</v>
      </c>
      <c r="G1088" s="42">
        <v>1.2</v>
      </c>
      <c r="H1088" s="42">
        <v>0</v>
      </c>
      <c r="I1088" s="42">
        <v>0</v>
      </c>
      <c r="J1088" s="42">
        <v>0</v>
      </c>
      <c r="K1088" s="42">
        <v>0</v>
      </c>
      <c r="L1088" s="42">
        <v>0</v>
      </c>
      <c r="M1088" s="42">
        <v>0</v>
      </c>
      <c r="N1088" s="42">
        <v>0</v>
      </c>
      <c r="O1088">
        <v>0</v>
      </c>
    </row>
    <row r="1089" spans="3:15" x14ac:dyDescent="0.15">
      <c r="C1089" s="43" t="s">
        <v>1145</v>
      </c>
      <c r="D1089" s="42">
        <v>13</v>
      </c>
      <c r="E1089" s="42">
        <v>168</v>
      </c>
      <c r="F1089" s="42">
        <v>2</v>
      </c>
      <c r="G1089" s="42">
        <v>1.3</v>
      </c>
      <c r="H1089" s="42">
        <v>0</v>
      </c>
      <c r="I1089" s="42">
        <v>0</v>
      </c>
      <c r="J1089" s="42">
        <v>0</v>
      </c>
      <c r="K1089" s="42">
        <v>0</v>
      </c>
      <c r="L1089" s="42">
        <v>0</v>
      </c>
      <c r="M1089" s="42">
        <v>0</v>
      </c>
      <c r="N1089" s="42">
        <v>0</v>
      </c>
      <c r="O1089">
        <v>1</v>
      </c>
    </row>
    <row r="1090" spans="3:15" x14ac:dyDescent="0.15">
      <c r="C1090" s="43" t="s">
        <v>1146</v>
      </c>
      <c r="D1090" s="42">
        <v>10</v>
      </c>
      <c r="E1090" s="42">
        <v>54</v>
      </c>
      <c r="F1090" s="42">
        <v>3</v>
      </c>
      <c r="G1090" s="42">
        <v>2</v>
      </c>
      <c r="H1090" s="42">
        <v>1</v>
      </c>
      <c r="I1090" s="42">
        <v>0</v>
      </c>
      <c r="J1090" s="42">
        <v>0</v>
      </c>
      <c r="K1090" s="42">
        <v>0</v>
      </c>
      <c r="L1090" s="42">
        <v>0</v>
      </c>
      <c r="M1090" s="42">
        <v>0</v>
      </c>
      <c r="N1090" s="42">
        <v>0</v>
      </c>
      <c r="O1090">
        <v>0</v>
      </c>
    </row>
    <row r="1091" spans="3:15" x14ac:dyDescent="0.15">
      <c r="C1091" s="43" t="s">
        <v>1147</v>
      </c>
      <c r="D1091" s="42">
        <v>15</v>
      </c>
      <c r="E1091" s="42">
        <v>72</v>
      </c>
      <c r="F1091" s="42">
        <v>4</v>
      </c>
      <c r="G1091" s="42">
        <v>2.4</v>
      </c>
      <c r="H1091" s="42">
        <v>1</v>
      </c>
      <c r="I1091" s="42">
        <v>0</v>
      </c>
      <c r="J1091" s="42">
        <v>0</v>
      </c>
      <c r="K1091" s="42">
        <v>1</v>
      </c>
      <c r="L1091" s="42">
        <v>0</v>
      </c>
      <c r="M1091" s="42">
        <v>1</v>
      </c>
      <c r="N1091" s="42">
        <v>0</v>
      </c>
      <c r="O1091">
        <v>0</v>
      </c>
    </row>
    <row r="1092" spans="3:15" x14ac:dyDescent="0.15">
      <c r="C1092" s="43" t="s">
        <v>1148</v>
      </c>
      <c r="D1092" s="42">
        <v>19</v>
      </c>
      <c r="E1092" s="42">
        <v>81</v>
      </c>
      <c r="F1092" s="42">
        <v>1</v>
      </c>
      <c r="G1092" s="42">
        <v>0.3</v>
      </c>
      <c r="H1092" s="42">
        <v>1</v>
      </c>
      <c r="I1092" s="42">
        <v>0</v>
      </c>
      <c r="J1092" s="42">
        <v>218</v>
      </c>
      <c r="K1092" s="42">
        <v>0</v>
      </c>
      <c r="L1092" s="42">
        <v>0</v>
      </c>
      <c r="M1092" s="42">
        <v>1</v>
      </c>
      <c r="N1092" s="42">
        <v>0</v>
      </c>
      <c r="O1092">
        <v>0</v>
      </c>
    </row>
    <row r="1093" spans="3:15" x14ac:dyDescent="0.15">
      <c r="C1093" s="43" t="s">
        <v>1149</v>
      </c>
      <c r="D1093" s="42">
        <v>41</v>
      </c>
      <c r="E1093" s="42">
        <v>112</v>
      </c>
      <c r="F1093" s="42">
        <v>1</v>
      </c>
      <c r="G1093" s="42">
        <v>2</v>
      </c>
      <c r="H1093" s="42">
        <v>1</v>
      </c>
      <c r="I1093" s="42">
        <v>0</v>
      </c>
      <c r="J1093" s="42">
        <v>0</v>
      </c>
      <c r="K1093" s="42">
        <v>1</v>
      </c>
      <c r="L1093" s="42">
        <v>0</v>
      </c>
      <c r="M1093" s="42">
        <v>0</v>
      </c>
      <c r="N1093" s="42">
        <v>0</v>
      </c>
      <c r="O1093">
        <v>0</v>
      </c>
    </row>
    <row r="1094" spans="3:15" x14ac:dyDescent="0.15">
      <c r="C1094" s="43" t="s">
        <v>1150</v>
      </c>
      <c r="D1094" s="42">
        <v>35</v>
      </c>
      <c r="E1094" s="42">
        <v>63</v>
      </c>
      <c r="F1094" s="42">
        <v>1</v>
      </c>
      <c r="G1094" s="42">
        <v>1.6</v>
      </c>
      <c r="H1094" s="42">
        <v>1</v>
      </c>
      <c r="I1094" s="42">
        <v>0</v>
      </c>
      <c r="J1094" s="42">
        <v>0</v>
      </c>
      <c r="K1094" s="42">
        <v>0</v>
      </c>
      <c r="L1094" s="42">
        <v>0</v>
      </c>
      <c r="M1094" s="42">
        <v>1</v>
      </c>
      <c r="N1094" s="42">
        <v>0</v>
      </c>
      <c r="O1094">
        <v>0</v>
      </c>
    </row>
    <row r="1095" spans="3:15" x14ac:dyDescent="0.15">
      <c r="C1095" s="43" t="s">
        <v>1151</v>
      </c>
      <c r="D1095" s="42">
        <v>2</v>
      </c>
      <c r="E1095" s="42">
        <v>155</v>
      </c>
      <c r="F1095" s="42">
        <v>1</v>
      </c>
      <c r="G1095" s="42">
        <v>0.8</v>
      </c>
      <c r="H1095" s="42">
        <v>1</v>
      </c>
      <c r="I1095" s="42">
        <v>0</v>
      </c>
      <c r="J1095" s="42">
        <v>0</v>
      </c>
      <c r="K1095" s="42">
        <v>0</v>
      </c>
      <c r="L1095" s="42">
        <v>0</v>
      </c>
      <c r="M1095" s="42">
        <v>0</v>
      </c>
      <c r="N1095" s="42">
        <v>0</v>
      </c>
      <c r="O1095">
        <v>0</v>
      </c>
    </row>
    <row r="1096" spans="3:15" x14ac:dyDescent="0.15">
      <c r="C1096" s="43" t="s">
        <v>1152</v>
      </c>
      <c r="D1096" s="42">
        <v>15</v>
      </c>
      <c r="E1096" s="42">
        <v>14</v>
      </c>
      <c r="F1096" s="42">
        <v>3</v>
      </c>
      <c r="G1096" s="42">
        <v>1</v>
      </c>
      <c r="H1096" s="42">
        <v>0</v>
      </c>
      <c r="I1096" s="42">
        <v>1</v>
      </c>
      <c r="J1096" s="42">
        <v>0</v>
      </c>
      <c r="K1096" s="42">
        <v>1</v>
      </c>
      <c r="L1096" s="42">
        <v>0</v>
      </c>
      <c r="M1096" s="42">
        <v>0</v>
      </c>
      <c r="N1096" s="42">
        <v>0</v>
      </c>
      <c r="O1096">
        <v>0</v>
      </c>
    </row>
    <row r="1097" spans="3:15" x14ac:dyDescent="0.15">
      <c r="C1097" s="43" t="s">
        <v>1153</v>
      </c>
      <c r="D1097" s="42">
        <v>33</v>
      </c>
      <c r="E1097" s="42">
        <v>49</v>
      </c>
      <c r="F1097" s="42">
        <v>4</v>
      </c>
      <c r="G1097" s="42">
        <v>1.7</v>
      </c>
      <c r="H1097" s="42">
        <v>0</v>
      </c>
      <c r="I1097" s="42">
        <v>1</v>
      </c>
      <c r="J1097" s="42">
        <v>104</v>
      </c>
      <c r="K1097" s="42">
        <v>0</v>
      </c>
      <c r="L1097" s="42">
        <v>0</v>
      </c>
      <c r="M1097" s="42">
        <v>1</v>
      </c>
      <c r="N1097" s="42">
        <v>0</v>
      </c>
      <c r="O1097">
        <v>0</v>
      </c>
    </row>
    <row r="1098" spans="3:15" x14ac:dyDescent="0.15">
      <c r="C1098" s="43" t="s">
        <v>1154</v>
      </c>
      <c r="D1098" s="42">
        <v>21</v>
      </c>
      <c r="E1098" s="42">
        <v>15</v>
      </c>
      <c r="F1098" s="42">
        <v>4</v>
      </c>
      <c r="G1098" s="42">
        <v>0.6</v>
      </c>
      <c r="H1098" s="42">
        <v>0</v>
      </c>
      <c r="I1098" s="42">
        <v>0</v>
      </c>
      <c r="J1098" s="42">
        <v>77</v>
      </c>
      <c r="K1098" s="42">
        <v>0</v>
      </c>
      <c r="L1098" s="42">
        <v>0</v>
      </c>
      <c r="M1098" s="42">
        <v>1</v>
      </c>
      <c r="N1098" s="42">
        <v>0</v>
      </c>
      <c r="O1098">
        <v>0</v>
      </c>
    </row>
    <row r="1099" spans="3:15" x14ac:dyDescent="0.15">
      <c r="C1099" s="43" t="s">
        <v>1155</v>
      </c>
      <c r="D1099" s="42">
        <v>37</v>
      </c>
      <c r="E1099" s="42">
        <v>68</v>
      </c>
      <c r="F1099" s="42">
        <v>4</v>
      </c>
      <c r="G1099" s="42">
        <v>2.2999999999999998</v>
      </c>
      <c r="H1099" s="42">
        <v>0</v>
      </c>
      <c r="I1099" s="42">
        <v>0</v>
      </c>
      <c r="J1099" s="42">
        <v>0</v>
      </c>
      <c r="K1099" s="42">
        <v>0</v>
      </c>
      <c r="L1099" s="42">
        <v>0</v>
      </c>
      <c r="M1099" s="42">
        <v>0</v>
      </c>
      <c r="N1099" s="42">
        <v>0</v>
      </c>
      <c r="O1099">
        <v>0</v>
      </c>
    </row>
    <row r="1100" spans="3:15" x14ac:dyDescent="0.15">
      <c r="C1100" s="43" t="s">
        <v>1156</v>
      </c>
      <c r="D1100" s="42">
        <v>10</v>
      </c>
      <c r="E1100" s="42">
        <v>78</v>
      </c>
      <c r="F1100" s="42">
        <v>1</v>
      </c>
      <c r="G1100" s="42">
        <v>2.6</v>
      </c>
      <c r="H1100" s="42">
        <v>0</v>
      </c>
      <c r="I1100" s="42">
        <v>1</v>
      </c>
      <c r="J1100" s="42">
        <v>0</v>
      </c>
      <c r="K1100" s="42">
        <v>0</v>
      </c>
      <c r="L1100" s="42">
        <v>0</v>
      </c>
      <c r="M1100" s="42">
        <v>0</v>
      </c>
      <c r="N1100" s="42">
        <v>0</v>
      </c>
      <c r="O1100">
        <v>0</v>
      </c>
    </row>
    <row r="1101" spans="3:15" x14ac:dyDescent="0.15">
      <c r="C1101" s="43" t="s">
        <v>1157</v>
      </c>
      <c r="D1101" s="42">
        <v>14</v>
      </c>
      <c r="E1101" s="42">
        <v>92</v>
      </c>
      <c r="F1101" s="42">
        <v>2</v>
      </c>
      <c r="G1101" s="42">
        <v>0</v>
      </c>
      <c r="H1101" s="42">
        <v>1</v>
      </c>
      <c r="I1101" s="42">
        <v>0</v>
      </c>
      <c r="J1101" s="42">
        <v>249</v>
      </c>
      <c r="K1101" s="42">
        <v>0</v>
      </c>
      <c r="L1101" s="42">
        <v>0</v>
      </c>
      <c r="M1101" s="42">
        <v>1</v>
      </c>
      <c r="N1101" s="42">
        <v>1</v>
      </c>
      <c r="O1101">
        <v>0</v>
      </c>
    </row>
    <row r="1102" spans="3:15" x14ac:dyDescent="0.15">
      <c r="C1102" s="43" t="s">
        <v>1158</v>
      </c>
      <c r="D1102" s="42">
        <v>27</v>
      </c>
      <c r="E1102" s="42">
        <v>44</v>
      </c>
      <c r="F1102" s="42">
        <v>4</v>
      </c>
      <c r="G1102" s="42">
        <v>1.5</v>
      </c>
      <c r="H1102" s="42">
        <v>0</v>
      </c>
      <c r="I1102" s="42">
        <v>0</v>
      </c>
      <c r="J1102" s="42">
        <v>0</v>
      </c>
      <c r="K1102" s="42">
        <v>0</v>
      </c>
      <c r="L1102" s="42">
        <v>0</v>
      </c>
      <c r="M1102" s="42">
        <v>0</v>
      </c>
      <c r="N1102" s="42">
        <v>0</v>
      </c>
      <c r="O1102">
        <v>0</v>
      </c>
    </row>
    <row r="1103" spans="3:15" x14ac:dyDescent="0.15">
      <c r="C1103" s="43" t="s">
        <v>1159</v>
      </c>
      <c r="D1103" s="42">
        <v>27</v>
      </c>
      <c r="E1103" s="42">
        <v>88</v>
      </c>
      <c r="F1103" s="42">
        <v>1</v>
      </c>
      <c r="G1103" s="42">
        <v>2.6</v>
      </c>
      <c r="H1103" s="42">
        <v>0</v>
      </c>
      <c r="I1103" s="42">
        <v>1</v>
      </c>
      <c r="J1103" s="42">
        <v>0</v>
      </c>
      <c r="K1103" s="42">
        <v>1</v>
      </c>
      <c r="L1103" s="42">
        <v>0</v>
      </c>
      <c r="M1103" s="42">
        <v>0</v>
      </c>
      <c r="N1103" s="42">
        <v>1</v>
      </c>
      <c r="O1103">
        <v>0</v>
      </c>
    </row>
    <row r="1104" spans="3:15" x14ac:dyDescent="0.15">
      <c r="C1104" s="43" t="s">
        <v>1160</v>
      </c>
      <c r="D1104" s="42">
        <v>32</v>
      </c>
      <c r="E1104" s="42">
        <v>53</v>
      </c>
      <c r="F1104" s="42">
        <v>4</v>
      </c>
      <c r="G1104" s="42">
        <v>1.6666666666666667</v>
      </c>
      <c r="H1104" s="42">
        <v>0</v>
      </c>
      <c r="I1104" s="42">
        <v>0</v>
      </c>
      <c r="J1104" s="42">
        <v>142</v>
      </c>
      <c r="K1104" s="42">
        <v>0</v>
      </c>
      <c r="L1104" s="42">
        <v>0</v>
      </c>
      <c r="M1104" s="42">
        <v>0</v>
      </c>
      <c r="N1104" s="42">
        <v>0</v>
      </c>
      <c r="O1104">
        <v>0</v>
      </c>
    </row>
    <row r="1105" spans="3:15" x14ac:dyDescent="0.15">
      <c r="C1105" s="43" t="s">
        <v>1161</v>
      </c>
      <c r="D1105" s="42">
        <v>36</v>
      </c>
      <c r="E1105" s="42">
        <v>48</v>
      </c>
      <c r="F1105" s="42">
        <v>3</v>
      </c>
      <c r="G1105" s="42">
        <v>1.5</v>
      </c>
      <c r="H1105" s="42">
        <v>1</v>
      </c>
      <c r="I1105" s="42">
        <v>0</v>
      </c>
      <c r="J1105" s="42">
        <v>0</v>
      </c>
      <c r="K1105" s="42">
        <v>0</v>
      </c>
      <c r="L1105" s="42">
        <v>0</v>
      </c>
      <c r="M1105" s="42">
        <v>0</v>
      </c>
      <c r="N1105" s="42">
        <v>1</v>
      </c>
      <c r="O1105">
        <v>0</v>
      </c>
    </row>
    <row r="1106" spans="3:15" x14ac:dyDescent="0.15">
      <c r="C1106" s="43" t="s">
        <v>1162</v>
      </c>
      <c r="D1106" s="42">
        <v>2</v>
      </c>
      <c r="E1106" s="42">
        <v>30</v>
      </c>
      <c r="F1106" s="42">
        <v>4</v>
      </c>
      <c r="G1106" s="42">
        <v>1.5</v>
      </c>
      <c r="H1106" s="42">
        <v>0</v>
      </c>
      <c r="I1106" s="42">
        <v>1</v>
      </c>
      <c r="J1106" s="42">
        <v>112</v>
      </c>
      <c r="K1106" s="42">
        <v>0</v>
      </c>
      <c r="L1106" s="42">
        <v>0</v>
      </c>
      <c r="M1106" s="42">
        <v>0</v>
      </c>
      <c r="N1106" s="42">
        <v>1</v>
      </c>
      <c r="O1106">
        <v>0</v>
      </c>
    </row>
    <row r="1107" spans="3:15" x14ac:dyDescent="0.15">
      <c r="C1107" s="43" t="s">
        <v>1163</v>
      </c>
      <c r="D1107" s="42">
        <v>20</v>
      </c>
      <c r="E1107" s="42">
        <v>40</v>
      </c>
      <c r="F1107" s="42">
        <v>1</v>
      </c>
      <c r="G1107" s="42">
        <v>0.5</v>
      </c>
      <c r="H1107" s="42">
        <v>0</v>
      </c>
      <c r="I1107" s="42">
        <v>0</v>
      </c>
      <c r="J1107" s="42">
        <v>0</v>
      </c>
      <c r="K1107" s="42">
        <v>1</v>
      </c>
      <c r="L1107" s="42">
        <v>0</v>
      </c>
      <c r="M1107" s="42">
        <v>1</v>
      </c>
      <c r="N1107" s="42">
        <v>0</v>
      </c>
      <c r="O1107">
        <v>0</v>
      </c>
    </row>
    <row r="1108" spans="3:15" x14ac:dyDescent="0.15">
      <c r="C1108" s="43" t="s">
        <v>1164</v>
      </c>
      <c r="D1108" s="42">
        <v>30</v>
      </c>
      <c r="E1108" s="42">
        <v>44</v>
      </c>
      <c r="F1108" s="42">
        <v>2</v>
      </c>
      <c r="G1108" s="42">
        <v>2</v>
      </c>
      <c r="H1108" s="42">
        <v>0</v>
      </c>
      <c r="I1108" s="42">
        <v>1</v>
      </c>
      <c r="J1108" s="42">
        <v>0</v>
      </c>
      <c r="K1108" s="42">
        <v>0</v>
      </c>
      <c r="L1108" s="42">
        <v>0</v>
      </c>
      <c r="M1108" s="42">
        <v>1</v>
      </c>
      <c r="N1108" s="42">
        <v>0</v>
      </c>
      <c r="O1108">
        <v>0</v>
      </c>
    </row>
    <row r="1109" spans="3:15" x14ac:dyDescent="0.15">
      <c r="C1109" s="43" t="s">
        <v>1165</v>
      </c>
      <c r="D1109" s="42">
        <v>24</v>
      </c>
      <c r="E1109" s="42">
        <v>45</v>
      </c>
      <c r="F1109" s="42">
        <v>3</v>
      </c>
      <c r="G1109" s="42">
        <v>0.6</v>
      </c>
      <c r="H1109" s="42">
        <v>0</v>
      </c>
      <c r="I1109" s="42">
        <v>1</v>
      </c>
      <c r="J1109" s="42">
        <v>117</v>
      </c>
      <c r="K1109" s="42">
        <v>0</v>
      </c>
      <c r="L1109" s="42">
        <v>0</v>
      </c>
      <c r="M1109" s="42">
        <v>1</v>
      </c>
      <c r="N1109" s="42">
        <v>0</v>
      </c>
      <c r="O1109">
        <v>0</v>
      </c>
    </row>
    <row r="1110" spans="3:15" x14ac:dyDescent="0.15">
      <c r="C1110" s="43" t="s">
        <v>1166</v>
      </c>
      <c r="D1110" s="42">
        <v>3</v>
      </c>
      <c r="E1110" s="42">
        <v>30</v>
      </c>
      <c r="F1110" s="42">
        <v>1</v>
      </c>
      <c r="G1110" s="42">
        <v>1</v>
      </c>
      <c r="H1110" s="42">
        <v>0</v>
      </c>
      <c r="I1110" s="42">
        <v>0</v>
      </c>
      <c r="J1110" s="42">
        <v>80</v>
      </c>
      <c r="K1110" s="42">
        <v>0</v>
      </c>
      <c r="L1110" s="42">
        <v>0</v>
      </c>
      <c r="M1110" s="42">
        <v>0</v>
      </c>
      <c r="N1110" s="42">
        <v>0</v>
      </c>
      <c r="O1110">
        <v>0</v>
      </c>
    </row>
    <row r="1111" spans="3:15" x14ac:dyDescent="0.15">
      <c r="C1111" s="43" t="s">
        <v>1167</v>
      </c>
      <c r="D1111" s="42">
        <v>30</v>
      </c>
      <c r="E1111" s="42">
        <v>59</v>
      </c>
      <c r="F1111" s="42">
        <v>3</v>
      </c>
      <c r="G1111" s="42">
        <v>0.8</v>
      </c>
      <c r="H1111" s="42">
        <v>1</v>
      </c>
      <c r="I1111" s="42">
        <v>0</v>
      </c>
      <c r="J1111" s="42">
        <v>159</v>
      </c>
      <c r="K1111" s="42">
        <v>1</v>
      </c>
      <c r="L1111" s="42">
        <v>0</v>
      </c>
      <c r="M1111" s="42">
        <v>1</v>
      </c>
      <c r="N1111" s="42">
        <v>0</v>
      </c>
      <c r="O1111">
        <v>0</v>
      </c>
    </row>
    <row r="1112" spans="3:15" x14ac:dyDescent="0.15">
      <c r="C1112" s="43" t="s">
        <v>1168</v>
      </c>
      <c r="D1112" s="42">
        <v>9</v>
      </c>
      <c r="E1112" s="42">
        <v>45</v>
      </c>
      <c r="F1112" s="42">
        <v>1</v>
      </c>
      <c r="G1112" s="42">
        <v>2</v>
      </c>
      <c r="H1112" s="42">
        <v>1</v>
      </c>
      <c r="I1112" s="42">
        <v>0</v>
      </c>
      <c r="J1112" s="42">
        <v>0</v>
      </c>
      <c r="K1112" s="42">
        <v>0</v>
      </c>
      <c r="L1112" s="42">
        <v>0</v>
      </c>
      <c r="M1112" s="42">
        <v>1</v>
      </c>
      <c r="N1112" s="42">
        <v>1</v>
      </c>
      <c r="O1112">
        <v>0</v>
      </c>
    </row>
    <row r="1113" spans="3:15" x14ac:dyDescent="0.15">
      <c r="C1113" s="43" t="s">
        <v>1169</v>
      </c>
      <c r="D1113" s="42">
        <v>17</v>
      </c>
      <c r="E1113" s="42">
        <v>59</v>
      </c>
      <c r="F1113" s="42">
        <v>3</v>
      </c>
      <c r="G1113" s="42">
        <v>0.9</v>
      </c>
      <c r="H1113" s="42">
        <v>0</v>
      </c>
      <c r="I1113" s="42">
        <v>0</v>
      </c>
      <c r="J1113" s="42">
        <v>87</v>
      </c>
      <c r="K1113" s="42">
        <v>0</v>
      </c>
      <c r="L1113" s="42">
        <v>0</v>
      </c>
      <c r="M1113" s="42">
        <v>1</v>
      </c>
      <c r="N1113" s="42">
        <v>1</v>
      </c>
      <c r="O1113">
        <v>0</v>
      </c>
    </row>
    <row r="1114" spans="3:15" x14ac:dyDescent="0.15">
      <c r="C1114" s="43" t="s">
        <v>1170</v>
      </c>
      <c r="D1114" s="42">
        <v>3</v>
      </c>
      <c r="E1114" s="42">
        <v>39</v>
      </c>
      <c r="F1114" s="42">
        <v>4</v>
      </c>
      <c r="G1114" s="42">
        <v>0.2</v>
      </c>
      <c r="H1114" s="42">
        <v>1</v>
      </c>
      <c r="I1114" s="42">
        <v>0</v>
      </c>
      <c r="J1114" s="42">
        <v>137</v>
      </c>
      <c r="K1114" s="42">
        <v>0</v>
      </c>
      <c r="L1114" s="42">
        <v>0</v>
      </c>
      <c r="M1114" s="42">
        <v>1</v>
      </c>
      <c r="N1114" s="42">
        <v>1</v>
      </c>
      <c r="O1114">
        <v>0</v>
      </c>
    </row>
    <row r="1115" spans="3:15" x14ac:dyDescent="0.15">
      <c r="C1115" s="43" t="s">
        <v>1171</v>
      </c>
      <c r="D1115" s="42">
        <v>6</v>
      </c>
      <c r="E1115" s="42">
        <v>13</v>
      </c>
      <c r="F1115" s="42">
        <v>4</v>
      </c>
      <c r="G1115" s="42">
        <v>0.3</v>
      </c>
      <c r="H1115" s="42">
        <v>1</v>
      </c>
      <c r="I1115" s="42">
        <v>0</v>
      </c>
      <c r="J1115" s="42">
        <v>0</v>
      </c>
      <c r="K1115" s="42">
        <v>0</v>
      </c>
      <c r="L1115" s="42">
        <v>0</v>
      </c>
      <c r="M1115" s="42">
        <v>1</v>
      </c>
      <c r="N1115" s="42">
        <v>1</v>
      </c>
      <c r="O1115">
        <v>0</v>
      </c>
    </row>
    <row r="1116" spans="3:15" x14ac:dyDescent="0.15">
      <c r="C1116" s="43" t="s">
        <v>1172</v>
      </c>
      <c r="D1116" s="42">
        <v>12</v>
      </c>
      <c r="E1116" s="42">
        <v>123</v>
      </c>
      <c r="F1116" s="42">
        <v>2</v>
      </c>
      <c r="G1116" s="42">
        <v>5.6</v>
      </c>
      <c r="H1116" s="42">
        <v>0</v>
      </c>
      <c r="I1116" s="42">
        <v>1</v>
      </c>
      <c r="J1116" s="42">
        <v>0</v>
      </c>
      <c r="K1116" s="42">
        <v>0</v>
      </c>
      <c r="L1116" s="42">
        <v>1</v>
      </c>
      <c r="M1116" s="42">
        <v>1</v>
      </c>
      <c r="N1116" s="42">
        <v>1</v>
      </c>
      <c r="O1116">
        <v>1</v>
      </c>
    </row>
    <row r="1117" spans="3:15" x14ac:dyDescent="0.15">
      <c r="C1117" s="43" t="s">
        <v>1173</v>
      </c>
      <c r="D1117" s="42">
        <v>18</v>
      </c>
      <c r="E1117" s="42">
        <v>141</v>
      </c>
      <c r="F1117" s="42">
        <v>3</v>
      </c>
      <c r="G1117" s="42">
        <v>5</v>
      </c>
      <c r="H1117" s="42">
        <v>0</v>
      </c>
      <c r="I1117" s="42">
        <v>0</v>
      </c>
      <c r="J1117" s="42">
        <v>0</v>
      </c>
      <c r="K1117" s="42">
        <v>1</v>
      </c>
      <c r="L1117" s="42">
        <v>1</v>
      </c>
      <c r="M1117" s="42">
        <v>1</v>
      </c>
      <c r="N1117" s="42">
        <v>0</v>
      </c>
      <c r="O1117">
        <v>1</v>
      </c>
    </row>
    <row r="1118" spans="3:15" x14ac:dyDescent="0.15">
      <c r="C1118" s="43" t="s">
        <v>1174</v>
      </c>
      <c r="D1118" s="42">
        <v>13</v>
      </c>
      <c r="E1118" s="42">
        <v>69</v>
      </c>
      <c r="F1118" s="42">
        <v>3</v>
      </c>
      <c r="G1118" s="42">
        <v>2.3333333333333335</v>
      </c>
      <c r="H1118" s="42">
        <v>0</v>
      </c>
      <c r="I1118" s="42">
        <v>1</v>
      </c>
      <c r="J1118" s="42">
        <v>0</v>
      </c>
      <c r="K1118" s="42">
        <v>0</v>
      </c>
      <c r="L1118" s="42">
        <v>0</v>
      </c>
      <c r="M1118" s="42">
        <v>0</v>
      </c>
      <c r="N1118" s="42">
        <v>0</v>
      </c>
      <c r="O1118">
        <v>0</v>
      </c>
    </row>
    <row r="1119" spans="3:15" x14ac:dyDescent="0.15">
      <c r="C1119" s="43" t="s">
        <v>1175</v>
      </c>
      <c r="D1119" s="42">
        <v>15</v>
      </c>
      <c r="E1119" s="42">
        <v>11</v>
      </c>
      <c r="F1119" s="42">
        <v>1</v>
      </c>
      <c r="G1119" s="42">
        <v>1</v>
      </c>
      <c r="H1119" s="42">
        <v>1</v>
      </c>
      <c r="I1119" s="42">
        <v>0</v>
      </c>
      <c r="J1119" s="42">
        <v>0</v>
      </c>
      <c r="K1119" s="42">
        <v>0</v>
      </c>
      <c r="L1119" s="42">
        <v>0</v>
      </c>
      <c r="M1119" s="42">
        <v>0</v>
      </c>
      <c r="N1119" s="42">
        <v>0</v>
      </c>
      <c r="O1119">
        <v>0</v>
      </c>
    </row>
    <row r="1120" spans="3:15" x14ac:dyDescent="0.15">
      <c r="C1120" s="43" t="s">
        <v>1176</v>
      </c>
      <c r="D1120" s="42">
        <v>17</v>
      </c>
      <c r="E1120" s="42">
        <v>33</v>
      </c>
      <c r="F1120" s="42">
        <v>1</v>
      </c>
      <c r="G1120" s="42">
        <v>0.7</v>
      </c>
      <c r="H1120" s="42">
        <v>1</v>
      </c>
      <c r="I1120" s="42">
        <v>0</v>
      </c>
      <c r="J1120" s="42">
        <v>104</v>
      </c>
      <c r="K1120" s="42">
        <v>0</v>
      </c>
      <c r="L1120" s="42">
        <v>0</v>
      </c>
      <c r="M1120" s="42">
        <v>0</v>
      </c>
      <c r="N1120" s="42">
        <v>0</v>
      </c>
      <c r="O1120">
        <v>0</v>
      </c>
    </row>
    <row r="1121" spans="3:15" x14ac:dyDescent="0.15">
      <c r="C1121" s="43" t="s">
        <v>1177</v>
      </c>
      <c r="D1121" s="42">
        <v>17</v>
      </c>
      <c r="E1121" s="42">
        <v>168</v>
      </c>
      <c r="F1121" s="42">
        <v>2</v>
      </c>
      <c r="G1121" s="42">
        <v>7.9</v>
      </c>
      <c r="H1121" s="42">
        <v>0</v>
      </c>
      <c r="I1121" s="42">
        <v>1</v>
      </c>
      <c r="J1121" s="42">
        <v>0</v>
      </c>
      <c r="K1121" s="42">
        <v>0</v>
      </c>
      <c r="L1121" s="42">
        <v>0</v>
      </c>
      <c r="M1121" s="42">
        <v>1</v>
      </c>
      <c r="N1121" s="42">
        <v>0</v>
      </c>
      <c r="O1121">
        <v>1</v>
      </c>
    </row>
    <row r="1122" spans="3:15" x14ac:dyDescent="0.15">
      <c r="C1122" s="43" t="s">
        <v>1178</v>
      </c>
      <c r="D1122" s="42">
        <v>0</v>
      </c>
      <c r="E1122" s="42">
        <v>48</v>
      </c>
      <c r="F1122" s="42">
        <v>3</v>
      </c>
      <c r="G1122" s="42">
        <v>0.3</v>
      </c>
      <c r="H1122" s="42">
        <v>0</v>
      </c>
      <c r="I1122" s="42">
        <v>0</v>
      </c>
      <c r="J1122" s="42">
        <v>0</v>
      </c>
      <c r="K1122" s="42">
        <v>0</v>
      </c>
      <c r="L1122" s="42">
        <v>0</v>
      </c>
      <c r="M1122" s="42">
        <v>0</v>
      </c>
      <c r="N1122" s="42">
        <v>1</v>
      </c>
      <c r="O1122">
        <v>0</v>
      </c>
    </row>
    <row r="1123" spans="3:15" x14ac:dyDescent="0.15">
      <c r="C1123" s="43" t="s">
        <v>1179</v>
      </c>
      <c r="D1123" s="42">
        <v>10</v>
      </c>
      <c r="E1123" s="42">
        <v>23</v>
      </c>
      <c r="F1123" s="42">
        <v>4</v>
      </c>
      <c r="G1123" s="42">
        <v>0.2</v>
      </c>
      <c r="H1123" s="42">
        <v>0</v>
      </c>
      <c r="I1123" s="42">
        <v>0</v>
      </c>
      <c r="J1123" s="42">
        <v>0</v>
      </c>
      <c r="K1123" s="42">
        <v>0</v>
      </c>
      <c r="L1123" s="42">
        <v>0</v>
      </c>
      <c r="M1123" s="42">
        <v>1</v>
      </c>
      <c r="N1123" s="42">
        <v>0</v>
      </c>
      <c r="O1123">
        <v>0</v>
      </c>
    </row>
    <row r="1124" spans="3:15" x14ac:dyDescent="0.15">
      <c r="C1124" s="43" t="s">
        <v>1180</v>
      </c>
      <c r="D1124" s="42">
        <v>35</v>
      </c>
      <c r="E1124" s="42">
        <v>35</v>
      </c>
      <c r="F1124" s="42">
        <v>3</v>
      </c>
      <c r="G1124" s="42">
        <v>0.2</v>
      </c>
      <c r="H1124" s="42">
        <v>1</v>
      </c>
      <c r="I1124" s="42">
        <v>0</v>
      </c>
      <c r="J1124" s="42">
        <v>169</v>
      </c>
      <c r="K1124" s="42">
        <v>0</v>
      </c>
      <c r="L1124" s="42">
        <v>0</v>
      </c>
      <c r="M1124" s="42">
        <v>1</v>
      </c>
      <c r="N1124" s="42">
        <v>0</v>
      </c>
      <c r="O1124">
        <v>0</v>
      </c>
    </row>
    <row r="1125" spans="3:15" x14ac:dyDescent="0.15">
      <c r="C1125" s="43" t="s">
        <v>1181</v>
      </c>
      <c r="D1125" s="42">
        <v>1</v>
      </c>
      <c r="E1125" s="42">
        <v>102</v>
      </c>
      <c r="F1125" s="42">
        <v>1</v>
      </c>
      <c r="G1125" s="42">
        <v>1.9</v>
      </c>
      <c r="H1125" s="42">
        <v>1</v>
      </c>
      <c r="I1125" s="42">
        <v>0</v>
      </c>
      <c r="J1125" s="42">
        <v>0</v>
      </c>
      <c r="K1125" s="42">
        <v>0</v>
      </c>
      <c r="L1125" s="42">
        <v>0</v>
      </c>
      <c r="M1125" s="42">
        <v>0</v>
      </c>
      <c r="N1125" s="42">
        <v>0</v>
      </c>
      <c r="O1125">
        <v>0</v>
      </c>
    </row>
    <row r="1126" spans="3:15" x14ac:dyDescent="0.15">
      <c r="C1126" s="43" t="s">
        <v>1182</v>
      </c>
      <c r="D1126" s="42">
        <v>5</v>
      </c>
      <c r="E1126" s="42">
        <v>28</v>
      </c>
      <c r="F1126" s="42">
        <v>4</v>
      </c>
      <c r="G1126" s="42">
        <v>0.8</v>
      </c>
      <c r="H1126" s="42">
        <v>1</v>
      </c>
      <c r="I1126" s="42">
        <v>0</v>
      </c>
      <c r="J1126" s="42">
        <v>0</v>
      </c>
      <c r="K1126" s="42">
        <v>0</v>
      </c>
      <c r="L1126" s="42">
        <v>0</v>
      </c>
      <c r="M1126" s="42">
        <v>0</v>
      </c>
      <c r="N1126" s="42">
        <v>0</v>
      </c>
      <c r="O1126">
        <v>0</v>
      </c>
    </row>
    <row r="1127" spans="3:15" x14ac:dyDescent="0.15">
      <c r="C1127" s="43" t="s">
        <v>1183</v>
      </c>
      <c r="D1127" s="42">
        <v>4</v>
      </c>
      <c r="E1127" s="42">
        <v>155</v>
      </c>
      <c r="F1127" s="42">
        <v>1</v>
      </c>
      <c r="G1127" s="42">
        <v>6.333333333333333</v>
      </c>
      <c r="H1127" s="42">
        <v>1</v>
      </c>
      <c r="I1127" s="42">
        <v>0</v>
      </c>
      <c r="J1127" s="42">
        <v>0</v>
      </c>
      <c r="K1127" s="42">
        <v>0</v>
      </c>
      <c r="L1127" s="42">
        <v>0</v>
      </c>
      <c r="M1127" s="42">
        <v>0</v>
      </c>
      <c r="N1127" s="42">
        <v>0</v>
      </c>
      <c r="O1127">
        <v>0</v>
      </c>
    </row>
    <row r="1128" spans="3:15" x14ac:dyDescent="0.15">
      <c r="C1128" s="43" t="s">
        <v>1184</v>
      </c>
      <c r="D1128" s="42">
        <v>1</v>
      </c>
      <c r="E1128" s="42">
        <v>80</v>
      </c>
      <c r="F1128" s="42">
        <v>1</v>
      </c>
      <c r="G1128" s="42">
        <v>0.8</v>
      </c>
      <c r="H1128" s="42">
        <v>0</v>
      </c>
      <c r="I1128" s="42">
        <v>1</v>
      </c>
      <c r="J1128" s="42">
        <v>150</v>
      </c>
      <c r="K1128" s="42">
        <v>0</v>
      </c>
      <c r="L1128" s="42">
        <v>0</v>
      </c>
      <c r="M1128" s="42">
        <v>0</v>
      </c>
      <c r="N1128" s="42">
        <v>0</v>
      </c>
      <c r="O1128">
        <v>0</v>
      </c>
    </row>
    <row r="1129" spans="3:15" x14ac:dyDescent="0.15">
      <c r="C1129" s="43" t="s">
        <v>1185</v>
      </c>
      <c r="D1129" s="42">
        <v>20</v>
      </c>
      <c r="E1129" s="42">
        <v>131</v>
      </c>
      <c r="F1129" s="42">
        <v>1</v>
      </c>
      <c r="G1129" s="42">
        <v>4.9000000000000004</v>
      </c>
      <c r="H1129" s="42">
        <v>0</v>
      </c>
      <c r="I1129" s="42">
        <v>0</v>
      </c>
      <c r="J1129" s="42">
        <v>0</v>
      </c>
      <c r="K1129" s="42">
        <v>0</v>
      </c>
      <c r="L1129" s="42">
        <v>0</v>
      </c>
      <c r="M1129" s="42">
        <v>1</v>
      </c>
      <c r="N1129" s="42">
        <v>0</v>
      </c>
      <c r="O1129">
        <v>1</v>
      </c>
    </row>
    <row r="1130" spans="3:15" x14ac:dyDescent="0.15">
      <c r="C1130" s="43" t="s">
        <v>1186</v>
      </c>
      <c r="D1130" s="42">
        <v>5</v>
      </c>
      <c r="E1130" s="42">
        <v>82</v>
      </c>
      <c r="F1130" s="42">
        <v>4</v>
      </c>
      <c r="G1130" s="42">
        <v>1.8</v>
      </c>
      <c r="H1130" s="42">
        <v>0</v>
      </c>
      <c r="I1130" s="42">
        <v>1</v>
      </c>
      <c r="J1130" s="42">
        <v>0</v>
      </c>
      <c r="K1130" s="42">
        <v>0</v>
      </c>
      <c r="L1130" s="42">
        <v>0</v>
      </c>
      <c r="M1130" s="42">
        <v>1</v>
      </c>
      <c r="N1130" s="42">
        <v>0</v>
      </c>
      <c r="O1130">
        <v>0</v>
      </c>
    </row>
    <row r="1131" spans="3:15" x14ac:dyDescent="0.15">
      <c r="C1131" s="43" t="s">
        <v>1187</v>
      </c>
      <c r="D1131" s="42">
        <v>4</v>
      </c>
      <c r="E1131" s="42">
        <v>35</v>
      </c>
      <c r="F1131" s="42">
        <v>4</v>
      </c>
      <c r="G1131" s="42">
        <v>0.8</v>
      </c>
      <c r="H1131" s="42">
        <v>1</v>
      </c>
      <c r="I1131" s="42">
        <v>0</v>
      </c>
      <c r="J1131" s="42">
        <v>0</v>
      </c>
      <c r="K1131" s="42">
        <v>0</v>
      </c>
      <c r="L1131" s="42">
        <v>0</v>
      </c>
      <c r="M1131" s="42">
        <v>1</v>
      </c>
      <c r="N1131" s="42">
        <v>1</v>
      </c>
      <c r="O1131">
        <v>0</v>
      </c>
    </row>
    <row r="1132" spans="3:15" x14ac:dyDescent="0.15">
      <c r="C1132" s="43" t="s">
        <v>1188</v>
      </c>
      <c r="D1132" s="42">
        <v>11</v>
      </c>
      <c r="E1132" s="42">
        <v>82</v>
      </c>
      <c r="F1132" s="42">
        <v>3</v>
      </c>
      <c r="G1132" s="42">
        <v>0.9</v>
      </c>
      <c r="H1132" s="42">
        <v>0</v>
      </c>
      <c r="I1132" s="42">
        <v>1</v>
      </c>
      <c r="J1132" s="42">
        <v>218</v>
      </c>
      <c r="K1132" s="42">
        <v>0</v>
      </c>
      <c r="L1132" s="42">
        <v>0</v>
      </c>
      <c r="M1132" s="42">
        <v>1</v>
      </c>
      <c r="N1132" s="42">
        <v>1</v>
      </c>
      <c r="O1132">
        <v>0</v>
      </c>
    </row>
    <row r="1133" spans="3:15" x14ac:dyDescent="0.15">
      <c r="C1133" s="43" t="s">
        <v>1189</v>
      </c>
      <c r="D1133" s="42">
        <v>2</v>
      </c>
      <c r="E1133" s="42">
        <v>55</v>
      </c>
      <c r="F1133" s="42">
        <v>4</v>
      </c>
      <c r="G1133" s="42">
        <v>1.7</v>
      </c>
      <c r="H1133" s="42">
        <v>0</v>
      </c>
      <c r="I1133" s="42">
        <v>1</v>
      </c>
      <c r="J1133" s="42">
        <v>0</v>
      </c>
      <c r="K1133" s="42">
        <v>0</v>
      </c>
      <c r="L1133" s="42">
        <v>0</v>
      </c>
      <c r="M1133" s="42">
        <v>1</v>
      </c>
      <c r="N1133" s="42">
        <v>0</v>
      </c>
      <c r="O1133">
        <v>0</v>
      </c>
    </row>
    <row r="1134" spans="3:15" x14ac:dyDescent="0.15">
      <c r="C1134" s="43" t="s">
        <v>1190</v>
      </c>
      <c r="D1134" s="42">
        <v>35</v>
      </c>
      <c r="E1134" s="42">
        <v>88</v>
      </c>
      <c r="F1134" s="42">
        <v>2</v>
      </c>
      <c r="G1134" s="42">
        <v>1.6</v>
      </c>
      <c r="H1134" s="42">
        <v>1</v>
      </c>
      <c r="I1134" s="42">
        <v>0</v>
      </c>
      <c r="J1134" s="42">
        <v>0</v>
      </c>
      <c r="K1134" s="42">
        <v>0</v>
      </c>
      <c r="L1134" s="42">
        <v>0</v>
      </c>
      <c r="M1134" s="42">
        <v>0</v>
      </c>
      <c r="N1134" s="42">
        <v>1</v>
      </c>
      <c r="O1134">
        <v>0</v>
      </c>
    </row>
    <row r="1135" spans="3:15" x14ac:dyDescent="0.15">
      <c r="C1135" s="43" t="s">
        <v>1191</v>
      </c>
      <c r="D1135" s="42">
        <v>38</v>
      </c>
      <c r="E1135" s="42">
        <v>132</v>
      </c>
      <c r="F1135" s="42">
        <v>1</v>
      </c>
      <c r="G1135" s="42">
        <v>2.9</v>
      </c>
      <c r="H1135" s="42">
        <v>1</v>
      </c>
      <c r="I1135" s="42">
        <v>0</v>
      </c>
      <c r="J1135" s="42">
        <v>0</v>
      </c>
      <c r="K1135" s="42">
        <v>0</v>
      </c>
      <c r="L1135" s="42">
        <v>0</v>
      </c>
      <c r="M1135" s="42">
        <v>0</v>
      </c>
      <c r="N1135" s="42">
        <v>0</v>
      </c>
      <c r="O1135">
        <v>0</v>
      </c>
    </row>
    <row r="1136" spans="3:15" x14ac:dyDescent="0.15">
      <c r="C1136" s="43" t="s">
        <v>1192</v>
      </c>
      <c r="D1136" s="42">
        <v>35</v>
      </c>
      <c r="E1136" s="42">
        <v>99</v>
      </c>
      <c r="F1136" s="42">
        <v>1</v>
      </c>
      <c r="G1136" s="42">
        <v>4.8</v>
      </c>
      <c r="H1136" s="42">
        <v>0</v>
      </c>
      <c r="I1136" s="42">
        <v>0</v>
      </c>
      <c r="J1136" s="42">
        <v>255</v>
      </c>
      <c r="K1136" s="42">
        <v>0</v>
      </c>
      <c r="L1136" s="42">
        <v>0</v>
      </c>
      <c r="M1136" s="42">
        <v>0</v>
      </c>
      <c r="N1136" s="42">
        <v>1</v>
      </c>
      <c r="O1136">
        <v>1</v>
      </c>
    </row>
    <row r="1137" spans="3:15" x14ac:dyDescent="0.15">
      <c r="C1137" s="43" t="s">
        <v>1193</v>
      </c>
      <c r="D1137" s="42">
        <v>40</v>
      </c>
      <c r="E1137" s="42">
        <v>114</v>
      </c>
      <c r="F1137" s="42">
        <v>4</v>
      </c>
      <c r="G1137" s="42">
        <v>3.4</v>
      </c>
      <c r="H1137" s="42">
        <v>0</v>
      </c>
      <c r="I1137" s="42">
        <v>1</v>
      </c>
      <c r="J1137" s="42">
        <v>0</v>
      </c>
      <c r="K1137" s="42">
        <v>0</v>
      </c>
      <c r="L1137" s="42">
        <v>0</v>
      </c>
      <c r="M1137" s="42">
        <v>0</v>
      </c>
      <c r="N1137" s="42">
        <v>1</v>
      </c>
      <c r="O1137">
        <v>0</v>
      </c>
    </row>
    <row r="1138" spans="3:15" x14ac:dyDescent="0.15">
      <c r="C1138" s="43" t="s">
        <v>1194</v>
      </c>
      <c r="D1138" s="42">
        <v>8</v>
      </c>
      <c r="E1138" s="42">
        <v>38</v>
      </c>
      <c r="F1138" s="42">
        <v>4</v>
      </c>
      <c r="G1138" s="42">
        <v>1</v>
      </c>
      <c r="H1138" s="42">
        <v>0</v>
      </c>
      <c r="I1138" s="42">
        <v>1</v>
      </c>
      <c r="J1138" s="42">
        <v>0</v>
      </c>
      <c r="K1138" s="42">
        <v>0</v>
      </c>
      <c r="L1138" s="42">
        <v>0</v>
      </c>
      <c r="M1138" s="42">
        <v>1</v>
      </c>
      <c r="N1138" s="42">
        <v>0</v>
      </c>
      <c r="O1138">
        <v>0</v>
      </c>
    </row>
    <row r="1139" spans="3:15" x14ac:dyDescent="0.15">
      <c r="C1139" s="43" t="s">
        <v>1195</v>
      </c>
      <c r="D1139" s="42">
        <v>5</v>
      </c>
      <c r="E1139" s="42">
        <v>85</v>
      </c>
      <c r="F1139" s="42">
        <v>1</v>
      </c>
      <c r="G1139" s="42">
        <v>2.6</v>
      </c>
      <c r="H1139" s="42">
        <v>0</v>
      </c>
      <c r="I1139" s="42">
        <v>1</v>
      </c>
      <c r="J1139" s="42">
        <v>0</v>
      </c>
      <c r="K1139" s="42">
        <v>0</v>
      </c>
      <c r="L1139" s="42">
        <v>0</v>
      </c>
      <c r="M1139" s="42">
        <v>1</v>
      </c>
      <c r="N1139" s="42">
        <v>0</v>
      </c>
      <c r="O1139">
        <v>0</v>
      </c>
    </row>
    <row r="1140" spans="3:15" x14ac:dyDescent="0.15">
      <c r="C1140" s="43" t="s">
        <v>1196</v>
      </c>
      <c r="D1140" s="42">
        <v>29</v>
      </c>
      <c r="E1140" s="42">
        <v>65</v>
      </c>
      <c r="F1140" s="42">
        <v>4</v>
      </c>
      <c r="G1140" s="42">
        <v>1.8</v>
      </c>
      <c r="H1140" s="42">
        <v>0</v>
      </c>
      <c r="I1140" s="42">
        <v>0</v>
      </c>
      <c r="J1140" s="42">
        <v>0</v>
      </c>
      <c r="K1140" s="42">
        <v>0</v>
      </c>
      <c r="L1140" s="42">
        <v>0</v>
      </c>
      <c r="M1140" s="42">
        <v>0</v>
      </c>
      <c r="N1140" s="42">
        <v>1</v>
      </c>
      <c r="O1140">
        <v>0</v>
      </c>
    </row>
    <row r="1141" spans="3:15" x14ac:dyDescent="0.15">
      <c r="C1141" s="43" t="s">
        <v>1197</v>
      </c>
      <c r="D1141" s="42">
        <v>37</v>
      </c>
      <c r="E1141" s="42">
        <v>20</v>
      </c>
      <c r="F1141" s="42">
        <v>1</v>
      </c>
      <c r="G1141" s="42">
        <v>0.8</v>
      </c>
      <c r="H1141" s="42">
        <v>0</v>
      </c>
      <c r="I1141" s="42">
        <v>1</v>
      </c>
      <c r="J1141" s="42">
        <v>0</v>
      </c>
      <c r="K1141" s="42">
        <v>1</v>
      </c>
      <c r="L1141" s="42">
        <v>0</v>
      </c>
      <c r="M1141" s="42">
        <v>0</v>
      </c>
      <c r="N1141" s="42">
        <v>1</v>
      </c>
      <c r="O1141">
        <v>0</v>
      </c>
    </row>
    <row r="1142" spans="3:15" x14ac:dyDescent="0.15">
      <c r="C1142" s="43" t="s">
        <v>1198</v>
      </c>
      <c r="D1142" s="42">
        <v>27</v>
      </c>
      <c r="E1142" s="42">
        <v>43</v>
      </c>
      <c r="F1142" s="42">
        <v>3</v>
      </c>
      <c r="G1142" s="42">
        <v>1</v>
      </c>
      <c r="H1142" s="42">
        <v>0</v>
      </c>
      <c r="I1142" s="42">
        <v>1</v>
      </c>
      <c r="J1142" s="42">
        <v>169</v>
      </c>
      <c r="K1142" s="42">
        <v>0</v>
      </c>
      <c r="L1142" s="42">
        <v>0</v>
      </c>
      <c r="M1142" s="42">
        <v>0</v>
      </c>
      <c r="N1142" s="42">
        <v>0</v>
      </c>
      <c r="O1142">
        <v>0</v>
      </c>
    </row>
    <row r="1143" spans="3:15" x14ac:dyDescent="0.15">
      <c r="C1143" s="43" t="s">
        <v>1199</v>
      </c>
      <c r="D1143" s="42">
        <v>34</v>
      </c>
      <c r="E1143" s="42">
        <v>25</v>
      </c>
      <c r="F1143" s="42">
        <v>2</v>
      </c>
      <c r="G1143" s="42">
        <v>0.3</v>
      </c>
      <c r="H1143" s="42">
        <v>1</v>
      </c>
      <c r="I1143" s="42">
        <v>0</v>
      </c>
      <c r="J1143" s="42">
        <v>123</v>
      </c>
      <c r="K1143" s="42">
        <v>0</v>
      </c>
      <c r="L1143" s="42">
        <v>0</v>
      </c>
      <c r="M1143" s="42">
        <v>1</v>
      </c>
      <c r="N1143" s="42">
        <v>0</v>
      </c>
      <c r="O1143">
        <v>0</v>
      </c>
    </row>
    <row r="1144" spans="3:15" x14ac:dyDescent="0.15">
      <c r="C1144" s="43" t="s">
        <v>1200</v>
      </c>
      <c r="D1144" s="42">
        <v>14</v>
      </c>
      <c r="E1144" s="42">
        <v>54</v>
      </c>
      <c r="F1144" s="42">
        <v>2</v>
      </c>
      <c r="G1144" s="42">
        <v>0.7</v>
      </c>
      <c r="H1144" s="42">
        <v>1</v>
      </c>
      <c r="I1144" s="42">
        <v>0</v>
      </c>
      <c r="J1144" s="42">
        <v>0</v>
      </c>
      <c r="K1144" s="42">
        <v>0</v>
      </c>
      <c r="L1144" s="42">
        <v>0</v>
      </c>
      <c r="M1144" s="42">
        <v>0</v>
      </c>
      <c r="N1144" s="42">
        <v>0</v>
      </c>
      <c r="O1144">
        <v>0</v>
      </c>
    </row>
    <row r="1145" spans="3:15" x14ac:dyDescent="0.15">
      <c r="C1145" s="43" t="s">
        <v>1201</v>
      </c>
      <c r="D1145" s="42">
        <v>36</v>
      </c>
      <c r="E1145" s="42">
        <v>141</v>
      </c>
      <c r="F1145" s="42">
        <v>2</v>
      </c>
      <c r="G1145" s="42">
        <v>2.1</v>
      </c>
      <c r="H1145" s="42">
        <v>1</v>
      </c>
      <c r="I1145" s="42">
        <v>0</v>
      </c>
      <c r="J1145" s="42">
        <v>0</v>
      </c>
      <c r="K1145" s="42">
        <v>0</v>
      </c>
      <c r="L1145" s="42">
        <v>0</v>
      </c>
      <c r="M1145" s="42">
        <v>1</v>
      </c>
      <c r="N1145" s="42">
        <v>1</v>
      </c>
      <c r="O1145">
        <v>0</v>
      </c>
    </row>
    <row r="1146" spans="3:15" x14ac:dyDescent="0.15">
      <c r="C1146" s="43" t="s">
        <v>1202</v>
      </c>
      <c r="D1146" s="42">
        <v>32</v>
      </c>
      <c r="E1146" s="42">
        <v>38</v>
      </c>
      <c r="F1146" s="42">
        <v>1</v>
      </c>
      <c r="G1146" s="42">
        <v>2.2000000000000002</v>
      </c>
      <c r="H1146" s="42">
        <v>0</v>
      </c>
      <c r="I1146" s="42">
        <v>0</v>
      </c>
      <c r="J1146" s="42">
        <v>0</v>
      </c>
      <c r="K1146" s="42">
        <v>0</v>
      </c>
      <c r="L1146" s="42">
        <v>0</v>
      </c>
      <c r="M1146" s="42">
        <v>0</v>
      </c>
      <c r="N1146" s="42">
        <v>0</v>
      </c>
      <c r="O1146">
        <v>0</v>
      </c>
    </row>
    <row r="1147" spans="3:15" x14ac:dyDescent="0.15">
      <c r="C1147" s="43" t="s">
        <v>1203</v>
      </c>
      <c r="D1147" s="42">
        <v>16</v>
      </c>
      <c r="E1147" s="42">
        <v>111</v>
      </c>
      <c r="F1147" s="42">
        <v>2</v>
      </c>
      <c r="G1147" s="42">
        <v>0.4</v>
      </c>
      <c r="H1147" s="42">
        <v>1</v>
      </c>
      <c r="I1147" s="42">
        <v>0</v>
      </c>
      <c r="J1147" s="42">
        <v>0</v>
      </c>
      <c r="K1147" s="42">
        <v>0</v>
      </c>
      <c r="L1147" s="42">
        <v>0</v>
      </c>
      <c r="M1147" s="42">
        <v>0</v>
      </c>
      <c r="N1147" s="42">
        <v>0</v>
      </c>
      <c r="O1147">
        <v>0</v>
      </c>
    </row>
    <row r="1148" spans="3:15" x14ac:dyDescent="0.15">
      <c r="C1148" s="43" t="s">
        <v>1204</v>
      </c>
      <c r="D1148" s="42">
        <v>28</v>
      </c>
      <c r="E1148" s="42">
        <v>60</v>
      </c>
      <c r="F1148" s="42">
        <v>4</v>
      </c>
      <c r="G1148" s="42">
        <v>2.6</v>
      </c>
      <c r="H1148" s="42">
        <v>0</v>
      </c>
      <c r="I1148" s="42">
        <v>0</v>
      </c>
      <c r="J1148" s="42">
        <v>0</v>
      </c>
      <c r="K1148" s="42">
        <v>0</v>
      </c>
      <c r="L1148" s="42">
        <v>0</v>
      </c>
      <c r="M1148" s="42">
        <v>0</v>
      </c>
      <c r="N1148" s="42">
        <v>0</v>
      </c>
      <c r="O1148">
        <v>0</v>
      </c>
    </row>
    <row r="1149" spans="3:15" x14ac:dyDescent="0.15">
      <c r="C1149" s="43" t="s">
        <v>1205</v>
      </c>
      <c r="D1149" s="42">
        <v>28</v>
      </c>
      <c r="E1149" s="42">
        <v>93</v>
      </c>
      <c r="F1149" s="42">
        <v>1</v>
      </c>
      <c r="G1149" s="42">
        <v>4.9000000000000004</v>
      </c>
      <c r="H1149" s="42">
        <v>1</v>
      </c>
      <c r="I1149" s="42">
        <v>0</v>
      </c>
      <c r="J1149" s="42">
        <v>133</v>
      </c>
      <c r="K1149" s="42">
        <v>0</v>
      </c>
      <c r="L1149" s="42">
        <v>1</v>
      </c>
      <c r="M1149" s="42">
        <v>1</v>
      </c>
      <c r="N1149" s="42">
        <v>1</v>
      </c>
      <c r="O1149">
        <v>0</v>
      </c>
    </row>
    <row r="1150" spans="3:15" x14ac:dyDescent="0.15">
      <c r="C1150" s="43" t="s">
        <v>1206</v>
      </c>
      <c r="D1150" s="42">
        <v>19</v>
      </c>
      <c r="E1150" s="42">
        <v>125</v>
      </c>
      <c r="F1150" s="42">
        <v>3</v>
      </c>
      <c r="G1150" s="42">
        <v>2.4</v>
      </c>
      <c r="H1150" s="42">
        <v>1</v>
      </c>
      <c r="I1150" s="42">
        <v>0</v>
      </c>
      <c r="J1150" s="42">
        <v>0</v>
      </c>
      <c r="K1150" s="42">
        <v>0</v>
      </c>
      <c r="L1150" s="42">
        <v>0</v>
      </c>
      <c r="M1150" s="42">
        <v>1</v>
      </c>
      <c r="N1150" s="42">
        <v>0</v>
      </c>
      <c r="O1150">
        <v>1</v>
      </c>
    </row>
    <row r="1151" spans="3:15" x14ac:dyDescent="0.15">
      <c r="C1151" s="43" t="s">
        <v>1207</v>
      </c>
      <c r="D1151" s="42">
        <v>25</v>
      </c>
      <c r="E1151" s="42">
        <v>29</v>
      </c>
      <c r="F1151" s="42">
        <v>2</v>
      </c>
      <c r="G1151" s="42">
        <v>1.3</v>
      </c>
      <c r="H1151" s="42">
        <v>1</v>
      </c>
      <c r="I1151" s="42">
        <v>0</v>
      </c>
      <c r="J1151" s="42">
        <v>0</v>
      </c>
      <c r="K1151" s="42">
        <v>0</v>
      </c>
      <c r="L1151" s="42">
        <v>0</v>
      </c>
      <c r="M1151" s="42">
        <v>0</v>
      </c>
      <c r="N1151" s="42">
        <v>0</v>
      </c>
      <c r="O1151">
        <v>0</v>
      </c>
    </row>
    <row r="1152" spans="3:15" x14ac:dyDescent="0.15">
      <c r="C1152" s="43" t="s">
        <v>1208</v>
      </c>
      <c r="D1152" s="42">
        <v>28</v>
      </c>
      <c r="E1152" s="42">
        <v>79</v>
      </c>
      <c r="F1152" s="42">
        <v>3</v>
      </c>
      <c r="G1152" s="42">
        <v>1.7</v>
      </c>
      <c r="H1152" s="42">
        <v>0</v>
      </c>
      <c r="I1152" s="42">
        <v>1</v>
      </c>
      <c r="J1152" s="42">
        <v>150</v>
      </c>
      <c r="K1152" s="42">
        <v>0</v>
      </c>
      <c r="L1152" s="42">
        <v>0</v>
      </c>
      <c r="M1152" s="42">
        <v>1</v>
      </c>
      <c r="N1152" s="42">
        <v>1</v>
      </c>
      <c r="O1152">
        <v>0</v>
      </c>
    </row>
    <row r="1153" spans="3:15" x14ac:dyDescent="0.15">
      <c r="C1153" s="43" t="s">
        <v>1209</v>
      </c>
      <c r="D1153" s="42">
        <v>27</v>
      </c>
      <c r="E1153" s="42">
        <v>101</v>
      </c>
      <c r="F1153" s="42">
        <v>4</v>
      </c>
      <c r="G1153" s="42">
        <v>4.9000000000000004</v>
      </c>
      <c r="H1153" s="42">
        <v>1</v>
      </c>
      <c r="I1153" s="42">
        <v>0</v>
      </c>
      <c r="J1153" s="42">
        <v>0</v>
      </c>
      <c r="K1153" s="42">
        <v>0</v>
      </c>
      <c r="L1153" s="42">
        <v>0</v>
      </c>
      <c r="M1153" s="42">
        <v>1</v>
      </c>
      <c r="N1153" s="42">
        <v>0</v>
      </c>
      <c r="O1153">
        <v>0</v>
      </c>
    </row>
    <row r="1154" spans="3:15" x14ac:dyDescent="0.15">
      <c r="C1154" s="43" t="s">
        <v>1210</v>
      </c>
      <c r="D1154" s="42">
        <v>23</v>
      </c>
      <c r="E1154" s="42">
        <v>12</v>
      </c>
      <c r="F1154" s="42">
        <v>2</v>
      </c>
      <c r="G1154" s="42">
        <v>0.1</v>
      </c>
      <c r="H1154" s="42">
        <v>0</v>
      </c>
      <c r="I1154" s="42">
        <v>0</v>
      </c>
      <c r="J1154" s="42">
        <v>0</v>
      </c>
      <c r="K1154" s="42">
        <v>1</v>
      </c>
      <c r="L1154" s="42">
        <v>1</v>
      </c>
      <c r="M1154" s="42">
        <v>1</v>
      </c>
      <c r="N1154" s="42">
        <v>0</v>
      </c>
      <c r="O1154">
        <v>0</v>
      </c>
    </row>
    <row r="1155" spans="3:15" x14ac:dyDescent="0.15">
      <c r="C1155" s="43" t="s">
        <v>1211</v>
      </c>
      <c r="D1155" s="42">
        <v>39</v>
      </c>
      <c r="E1155" s="42">
        <v>113</v>
      </c>
      <c r="F1155" s="42">
        <v>1</v>
      </c>
      <c r="G1155" s="42">
        <v>2</v>
      </c>
      <c r="H1155" s="42">
        <v>1</v>
      </c>
      <c r="I1155" s="42">
        <v>0</v>
      </c>
      <c r="J1155" s="42">
        <v>0</v>
      </c>
      <c r="K1155" s="42">
        <v>0</v>
      </c>
      <c r="L1155" s="42">
        <v>0</v>
      </c>
      <c r="M1155" s="42">
        <v>1</v>
      </c>
      <c r="N1155" s="42">
        <v>1</v>
      </c>
      <c r="O1155">
        <v>0</v>
      </c>
    </row>
    <row r="1156" spans="3:15" x14ac:dyDescent="0.15">
      <c r="C1156" s="43" t="s">
        <v>1212</v>
      </c>
      <c r="D1156" s="42">
        <v>8</v>
      </c>
      <c r="E1156" s="42">
        <v>71</v>
      </c>
      <c r="F1156" s="42">
        <v>4</v>
      </c>
      <c r="G1156" s="42">
        <v>1.8</v>
      </c>
      <c r="H1156" s="42">
        <v>0</v>
      </c>
      <c r="I1156" s="42">
        <v>0</v>
      </c>
      <c r="J1156" s="42">
        <v>0</v>
      </c>
      <c r="K1156" s="42">
        <v>0</v>
      </c>
      <c r="L1156" s="42">
        <v>0</v>
      </c>
      <c r="M1156" s="42">
        <v>1</v>
      </c>
      <c r="N1156" s="42">
        <v>0</v>
      </c>
      <c r="O1156">
        <v>0</v>
      </c>
    </row>
    <row r="1157" spans="3:15" x14ac:dyDescent="0.15">
      <c r="C1157" s="43" t="s">
        <v>1213</v>
      </c>
      <c r="D1157" s="42">
        <v>39</v>
      </c>
      <c r="E1157" s="42">
        <v>150</v>
      </c>
      <c r="F1157" s="42">
        <v>2</v>
      </c>
      <c r="G1157" s="42">
        <v>6.9</v>
      </c>
      <c r="H1157" s="42">
        <v>1</v>
      </c>
      <c r="I1157" s="42">
        <v>0</v>
      </c>
      <c r="J1157" s="42">
        <v>196</v>
      </c>
      <c r="K1157" s="42">
        <v>0</v>
      </c>
      <c r="L1157" s="42">
        <v>0</v>
      </c>
      <c r="M1157" s="42">
        <v>0</v>
      </c>
      <c r="N1157" s="42">
        <v>0</v>
      </c>
      <c r="O1157">
        <v>0</v>
      </c>
    </row>
    <row r="1158" spans="3:15" x14ac:dyDescent="0.15">
      <c r="C1158" s="43" t="s">
        <v>1214</v>
      </c>
      <c r="D1158" s="42">
        <v>35</v>
      </c>
      <c r="E1158" s="42">
        <v>59</v>
      </c>
      <c r="F1158" s="42">
        <v>4</v>
      </c>
      <c r="G1158" s="42">
        <v>1.2</v>
      </c>
      <c r="H1158" s="42">
        <v>0</v>
      </c>
      <c r="I1158" s="42">
        <v>1</v>
      </c>
      <c r="J1158" s="42">
        <v>0</v>
      </c>
      <c r="K1158" s="42">
        <v>0</v>
      </c>
      <c r="L1158" s="42">
        <v>0</v>
      </c>
      <c r="M1158" s="42">
        <v>1</v>
      </c>
      <c r="N1158" s="42">
        <v>0</v>
      </c>
      <c r="O1158">
        <v>0</v>
      </c>
    </row>
    <row r="1159" spans="3:15" x14ac:dyDescent="0.15">
      <c r="C1159" s="43" t="s">
        <v>1215</v>
      </c>
      <c r="D1159" s="42">
        <v>19</v>
      </c>
      <c r="E1159" s="42">
        <v>73</v>
      </c>
      <c r="F1159" s="42">
        <v>4</v>
      </c>
      <c r="G1159" s="42">
        <v>2.9</v>
      </c>
      <c r="H1159" s="42">
        <v>1</v>
      </c>
      <c r="I1159" s="42">
        <v>0</v>
      </c>
      <c r="J1159" s="42">
        <v>0</v>
      </c>
      <c r="K1159" s="42">
        <v>0</v>
      </c>
      <c r="L1159" s="42">
        <v>0</v>
      </c>
      <c r="M1159" s="42">
        <v>0</v>
      </c>
      <c r="N1159" s="42">
        <v>0</v>
      </c>
      <c r="O1159">
        <v>0</v>
      </c>
    </row>
    <row r="1160" spans="3:15" x14ac:dyDescent="0.15">
      <c r="C1160" s="43" t="s">
        <v>1216</v>
      </c>
      <c r="D1160" s="42">
        <v>8</v>
      </c>
      <c r="E1160" s="42">
        <v>64</v>
      </c>
      <c r="F1160" s="42">
        <v>4</v>
      </c>
      <c r="G1160" s="42">
        <v>2.1</v>
      </c>
      <c r="H1160" s="42">
        <v>0</v>
      </c>
      <c r="I1160" s="42">
        <v>0</v>
      </c>
      <c r="J1160" s="42">
        <v>164</v>
      </c>
      <c r="K1160" s="42">
        <v>0</v>
      </c>
      <c r="L1160" s="42">
        <v>0</v>
      </c>
      <c r="M1160" s="42">
        <v>1</v>
      </c>
      <c r="N1160" s="42">
        <v>0</v>
      </c>
      <c r="O1160">
        <v>0</v>
      </c>
    </row>
    <row r="1161" spans="3:15" x14ac:dyDescent="0.15">
      <c r="C1161" s="43" t="s">
        <v>1217</v>
      </c>
      <c r="D1161" s="42">
        <v>30</v>
      </c>
      <c r="E1161" s="42">
        <v>40</v>
      </c>
      <c r="F1161" s="42">
        <v>2</v>
      </c>
      <c r="G1161" s="42">
        <v>1</v>
      </c>
      <c r="H1161" s="42">
        <v>0</v>
      </c>
      <c r="I1161" s="42">
        <v>0</v>
      </c>
      <c r="J1161" s="42">
        <v>0</v>
      </c>
      <c r="K1161" s="42">
        <v>0</v>
      </c>
      <c r="L1161" s="42">
        <v>0</v>
      </c>
      <c r="M1161" s="42">
        <v>0</v>
      </c>
      <c r="N1161" s="42">
        <v>0</v>
      </c>
      <c r="O1161">
        <v>0</v>
      </c>
    </row>
    <row r="1162" spans="3:15" x14ac:dyDescent="0.15">
      <c r="C1162" s="43" t="s">
        <v>1218</v>
      </c>
      <c r="D1162" s="42">
        <v>18</v>
      </c>
      <c r="E1162" s="42">
        <v>43</v>
      </c>
      <c r="F1162" s="42">
        <v>1</v>
      </c>
      <c r="G1162" s="42">
        <v>0.7</v>
      </c>
      <c r="H1162" s="42">
        <v>1</v>
      </c>
      <c r="I1162" s="42">
        <v>0</v>
      </c>
      <c r="J1162" s="42">
        <v>136</v>
      </c>
      <c r="K1162" s="42">
        <v>0</v>
      </c>
      <c r="L1162" s="42">
        <v>0</v>
      </c>
      <c r="M1162" s="42">
        <v>0</v>
      </c>
      <c r="N1162" s="42">
        <v>0</v>
      </c>
      <c r="O1162">
        <v>0</v>
      </c>
    </row>
    <row r="1163" spans="3:15" x14ac:dyDescent="0.15">
      <c r="C1163" s="43" t="s">
        <v>1219</v>
      </c>
      <c r="D1163" s="42">
        <v>12</v>
      </c>
      <c r="E1163" s="42">
        <v>48</v>
      </c>
      <c r="F1163" s="42">
        <v>4</v>
      </c>
      <c r="G1163" s="42">
        <v>0.2</v>
      </c>
      <c r="H1163" s="42">
        <v>0</v>
      </c>
      <c r="I1163" s="42">
        <v>0</v>
      </c>
      <c r="J1163" s="42">
        <v>0</v>
      </c>
      <c r="K1163" s="42">
        <v>0</v>
      </c>
      <c r="L1163" s="42">
        <v>0</v>
      </c>
      <c r="M1163" s="42">
        <v>1</v>
      </c>
      <c r="N1163" s="42">
        <v>0</v>
      </c>
      <c r="O1163">
        <v>0</v>
      </c>
    </row>
    <row r="1164" spans="3:15" x14ac:dyDescent="0.15">
      <c r="C1164" s="43" t="s">
        <v>1220</v>
      </c>
      <c r="D1164" s="42">
        <v>28</v>
      </c>
      <c r="E1164" s="42">
        <v>65</v>
      </c>
      <c r="F1164" s="42">
        <v>1</v>
      </c>
      <c r="G1164" s="42">
        <v>0.2</v>
      </c>
      <c r="H1164" s="42">
        <v>1</v>
      </c>
      <c r="I1164" s="42">
        <v>0</v>
      </c>
      <c r="J1164" s="42">
        <v>0</v>
      </c>
      <c r="K1164" s="42">
        <v>0</v>
      </c>
      <c r="L1164" s="42">
        <v>0</v>
      </c>
      <c r="M1164" s="42">
        <v>0</v>
      </c>
      <c r="N1164" s="42">
        <v>1</v>
      </c>
      <c r="O1164">
        <v>0</v>
      </c>
    </row>
    <row r="1165" spans="3:15" x14ac:dyDescent="0.15">
      <c r="C1165" s="43" t="s">
        <v>1221</v>
      </c>
      <c r="D1165" s="42">
        <v>19</v>
      </c>
      <c r="E1165" s="42">
        <v>35</v>
      </c>
      <c r="F1165" s="42">
        <v>3</v>
      </c>
      <c r="G1165" s="42">
        <v>0.5</v>
      </c>
      <c r="H1165" s="42">
        <v>1</v>
      </c>
      <c r="I1165" s="42">
        <v>0</v>
      </c>
      <c r="J1165" s="42">
        <v>0</v>
      </c>
      <c r="K1165" s="42">
        <v>0</v>
      </c>
      <c r="L1165" s="42">
        <v>0</v>
      </c>
      <c r="M1165" s="42">
        <v>1</v>
      </c>
      <c r="N1165" s="42">
        <v>0</v>
      </c>
      <c r="O1165">
        <v>0</v>
      </c>
    </row>
    <row r="1166" spans="3:15" x14ac:dyDescent="0.15">
      <c r="C1166" s="43" t="s">
        <v>1222</v>
      </c>
      <c r="D1166" s="42">
        <v>18</v>
      </c>
      <c r="E1166" s="42">
        <v>85</v>
      </c>
      <c r="F1166" s="42">
        <v>1</v>
      </c>
      <c r="G1166" s="42">
        <v>3.7</v>
      </c>
      <c r="H1166" s="42">
        <v>0</v>
      </c>
      <c r="I1166" s="42">
        <v>0</v>
      </c>
      <c r="J1166" s="42">
        <v>327</v>
      </c>
      <c r="K1166" s="42">
        <v>1</v>
      </c>
      <c r="L1166" s="42">
        <v>0</v>
      </c>
      <c r="M1166" s="42">
        <v>1</v>
      </c>
      <c r="N1166" s="42">
        <v>0</v>
      </c>
      <c r="O1166">
        <v>0</v>
      </c>
    </row>
    <row r="1167" spans="3:15" x14ac:dyDescent="0.15">
      <c r="C1167" s="43" t="s">
        <v>1223</v>
      </c>
      <c r="D1167" s="42">
        <v>5</v>
      </c>
      <c r="E1167" s="42">
        <v>85</v>
      </c>
      <c r="F1167" s="42">
        <v>4</v>
      </c>
      <c r="G1167" s="42">
        <v>4</v>
      </c>
      <c r="H1167" s="42">
        <v>0</v>
      </c>
      <c r="I1167" s="42">
        <v>0</v>
      </c>
      <c r="J1167" s="42">
        <v>0</v>
      </c>
      <c r="K1167" s="42">
        <v>0</v>
      </c>
      <c r="L1167" s="42">
        <v>0</v>
      </c>
      <c r="M1167" s="42">
        <v>1</v>
      </c>
      <c r="N1167" s="42">
        <v>0</v>
      </c>
      <c r="O1167">
        <v>0</v>
      </c>
    </row>
    <row r="1168" spans="3:15" x14ac:dyDescent="0.15">
      <c r="C1168" s="43" t="s">
        <v>1224</v>
      </c>
      <c r="D1168" s="42">
        <v>34</v>
      </c>
      <c r="E1168" s="42">
        <v>22</v>
      </c>
      <c r="F1168" s="42">
        <v>3</v>
      </c>
      <c r="G1168" s="42">
        <v>0.3</v>
      </c>
      <c r="H1168" s="42">
        <v>0</v>
      </c>
      <c r="I1168" s="42">
        <v>0</v>
      </c>
      <c r="J1168" s="42">
        <v>139</v>
      </c>
      <c r="K1168" s="42">
        <v>0</v>
      </c>
      <c r="L1168" s="42">
        <v>0</v>
      </c>
      <c r="M1168" s="42">
        <v>1</v>
      </c>
      <c r="N1168" s="42">
        <v>1</v>
      </c>
      <c r="O1168">
        <v>0</v>
      </c>
    </row>
    <row r="1169" spans="3:15" x14ac:dyDescent="0.15">
      <c r="C1169" s="43" t="s">
        <v>1225</v>
      </c>
      <c r="D1169" s="42">
        <v>9</v>
      </c>
      <c r="E1169" s="42">
        <v>123</v>
      </c>
      <c r="F1169" s="42">
        <v>1</v>
      </c>
      <c r="G1169" s="42">
        <v>1.6</v>
      </c>
      <c r="H1169" s="42">
        <v>0</v>
      </c>
      <c r="I1169" s="42">
        <v>1</v>
      </c>
      <c r="J1169" s="42">
        <v>0</v>
      </c>
      <c r="K1169" s="42">
        <v>0</v>
      </c>
      <c r="L1169" s="42">
        <v>0</v>
      </c>
      <c r="M1169" s="42">
        <v>1</v>
      </c>
      <c r="N1169" s="42">
        <v>0</v>
      </c>
      <c r="O1169">
        <v>1</v>
      </c>
    </row>
    <row r="1170" spans="3:15" x14ac:dyDescent="0.15">
      <c r="C1170" s="43" t="s">
        <v>1226</v>
      </c>
      <c r="D1170" s="42">
        <v>17</v>
      </c>
      <c r="E1170" s="42">
        <v>90</v>
      </c>
      <c r="F1170" s="42">
        <v>1</v>
      </c>
      <c r="G1170" s="42">
        <v>0.1</v>
      </c>
      <c r="H1170" s="42">
        <v>0</v>
      </c>
      <c r="I1170" s="42">
        <v>1</v>
      </c>
      <c r="J1170" s="42">
        <v>0</v>
      </c>
      <c r="K1170" s="42">
        <v>0</v>
      </c>
      <c r="L1170" s="42">
        <v>0</v>
      </c>
      <c r="M1170" s="42">
        <v>0</v>
      </c>
      <c r="N1170" s="42">
        <v>1</v>
      </c>
      <c r="O1170">
        <v>0</v>
      </c>
    </row>
    <row r="1171" spans="3:15" x14ac:dyDescent="0.15">
      <c r="C1171" s="43" t="s">
        <v>1227</v>
      </c>
      <c r="D1171" s="42">
        <v>33</v>
      </c>
      <c r="E1171" s="42">
        <v>80</v>
      </c>
      <c r="F1171" s="42">
        <v>2</v>
      </c>
      <c r="G1171" s="42">
        <v>0.7</v>
      </c>
      <c r="H1171" s="42">
        <v>0</v>
      </c>
      <c r="I1171" s="42">
        <v>1</v>
      </c>
      <c r="J1171" s="42">
        <v>0</v>
      </c>
      <c r="K1171" s="42">
        <v>0</v>
      </c>
      <c r="L1171" s="42">
        <v>0</v>
      </c>
      <c r="M1171" s="42">
        <v>1</v>
      </c>
      <c r="N1171" s="42">
        <v>0</v>
      </c>
      <c r="O1171">
        <v>0</v>
      </c>
    </row>
    <row r="1172" spans="3:15" x14ac:dyDescent="0.15">
      <c r="C1172" s="43" t="s">
        <v>1228</v>
      </c>
      <c r="D1172" s="42">
        <v>13</v>
      </c>
      <c r="E1172" s="42">
        <v>50</v>
      </c>
      <c r="F1172" s="42">
        <v>3</v>
      </c>
      <c r="G1172" s="42">
        <v>0.5</v>
      </c>
      <c r="H1172" s="42">
        <v>0</v>
      </c>
      <c r="I1172" s="42">
        <v>0</v>
      </c>
      <c r="J1172" s="42">
        <v>0</v>
      </c>
      <c r="K1172" s="42">
        <v>0</v>
      </c>
      <c r="L1172" s="42">
        <v>0</v>
      </c>
      <c r="M1172" s="42">
        <v>0</v>
      </c>
      <c r="N1172" s="42">
        <v>0</v>
      </c>
      <c r="O1172">
        <v>0</v>
      </c>
    </row>
    <row r="1173" spans="3:15" x14ac:dyDescent="0.15">
      <c r="C1173" s="43" t="s">
        <v>1229</v>
      </c>
      <c r="D1173" s="42">
        <v>1</v>
      </c>
      <c r="E1173" s="42">
        <v>28</v>
      </c>
      <c r="F1173" s="42">
        <v>1</v>
      </c>
      <c r="G1173" s="42">
        <v>1</v>
      </c>
      <c r="H1173" s="42">
        <v>0</v>
      </c>
      <c r="I1173" s="42">
        <v>0</v>
      </c>
      <c r="J1173" s="42">
        <v>0</v>
      </c>
      <c r="K1173" s="42">
        <v>0</v>
      </c>
      <c r="L1173" s="42">
        <v>0</v>
      </c>
      <c r="M1173" s="42">
        <v>1</v>
      </c>
      <c r="N1173" s="42">
        <v>0</v>
      </c>
      <c r="O1173">
        <v>0</v>
      </c>
    </row>
    <row r="1174" spans="3:15" x14ac:dyDescent="0.15">
      <c r="C1174" s="43" t="s">
        <v>1230</v>
      </c>
      <c r="D1174" s="42">
        <v>39</v>
      </c>
      <c r="E1174" s="42">
        <v>170</v>
      </c>
      <c r="F1174" s="42">
        <v>3</v>
      </c>
      <c r="G1174" s="42">
        <v>7.9</v>
      </c>
      <c r="H1174" s="42">
        <v>0</v>
      </c>
      <c r="I1174" s="42">
        <v>0</v>
      </c>
      <c r="J1174" s="42">
        <v>99</v>
      </c>
      <c r="K1174" s="42">
        <v>0</v>
      </c>
      <c r="L1174" s="42">
        <v>1</v>
      </c>
      <c r="M1174" s="42">
        <v>1</v>
      </c>
      <c r="N1174" s="42">
        <v>0</v>
      </c>
      <c r="O1174">
        <v>1</v>
      </c>
    </row>
    <row r="1175" spans="3:15" x14ac:dyDescent="0.15">
      <c r="C1175" s="43" t="s">
        <v>1231</v>
      </c>
      <c r="D1175" s="42">
        <v>18</v>
      </c>
      <c r="E1175" s="42">
        <v>31</v>
      </c>
      <c r="F1175" s="42">
        <v>1</v>
      </c>
      <c r="G1175" s="42">
        <v>0.3</v>
      </c>
      <c r="H1175" s="42">
        <v>0</v>
      </c>
      <c r="I1175" s="42">
        <v>0</v>
      </c>
      <c r="J1175" s="42">
        <v>0</v>
      </c>
      <c r="K1175" s="42">
        <v>0</v>
      </c>
      <c r="L1175" s="42">
        <v>0</v>
      </c>
      <c r="M1175" s="42">
        <v>0</v>
      </c>
      <c r="N1175" s="42">
        <v>1</v>
      </c>
      <c r="O1175">
        <v>0</v>
      </c>
    </row>
    <row r="1176" spans="3:15" x14ac:dyDescent="0.15">
      <c r="C1176" s="43" t="s">
        <v>1232</v>
      </c>
      <c r="D1176" s="42">
        <v>20</v>
      </c>
      <c r="E1176" s="42">
        <v>85</v>
      </c>
      <c r="F1176" s="42">
        <v>4</v>
      </c>
      <c r="G1176" s="42">
        <v>1.1000000000000001</v>
      </c>
      <c r="H1176" s="42">
        <v>0</v>
      </c>
      <c r="I1176" s="42">
        <v>1</v>
      </c>
      <c r="J1176" s="42">
        <v>0</v>
      </c>
      <c r="K1176" s="42">
        <v>1</v>
      </c>
      <c r="L1176" s="42">
        <v>0</v>
      </c>
      <c r="M1176" s="42">
        <v>1</v>
      </c>
      <c r="N1176" s="42">
        <v>0</v>
      </c>
      <c r="O1176">
        <v>0</v>
      </c>
    </row>
    <row r="1177" spans="3:15" x14ac:dyDescent="0.15">
      <c r="C1177" s="43" t="s">
        <v>1233</v>
      </c>
      <c r="D1177" s="42">
        <v>21</v>
      </c>
      <c r="E1177" s="42">
        <v>69</v>
      </c>
      <c r="F1177" s="42">
        <v>4</v>
      </c>
      <c r="G1177" s="42">
        <v>1.9</v>
      </c>
      <c r="H1177" s="42">
        <v>1</v>
      </c>
      <c r="I1177" s="42">
        <v>0</v>
      </c>
      <c r="J1177" s="42">
        <v>0</v>
      </c>
      <c r="K1177" s="42">
        <v>0</v>
      </c>
      <c r="L1177" s="42">
        <v>0</v>
      </c>
      <c r="M1177" s="42">
        <v>0</v>
      </c>
      <c r="N1177" s="42">
        <v>0</v>
      </c>
      <c r="O1177">
        <v>0</v>
      </c>
    </row>
    <row r="1178" spans="3:15" x14ac:dyDescent="0.15">
      <c r="C1178" s="43" t="s">
        <v>1234</v>
      </c>
      <c r="D1178" s="42">
        <v>23</v>
      </c>
      <c r="E1178" s="42">
        <v>83</v>
      </c>
      <c r="F1178" s="42">
        <v>1</v>
      </c>
      <c r="G1178" s="42">
        <v>0.3</v>
      </c>
      <c r="H1178" s="42">
        <v>1</v>
      </c>
      <c r="I1178" s="42">
        <v>0</v>
      </c>
      <c r="J1178" s="42">
        <v>0</v>
      </c>
      <c r="K1178" s="42">
        <v>0</v>
      </c>
      <c r="L1178" s="42">
        <v>0</v>
      </c>
      <c r="M1178" s="42">
        <v>1</v>
      </c>
      <c r="N1178" s="42">
        <v>1</v>
      </c>
      <c r="O1178">
        <v>0</v>
      </c>
    </row>
    <row r="1179" spans="3:15" x14ac:dyDescent="0.15">
      <c r="C1179" s="43" t="s">
        <v>1235</v>
      </c>
      <c r="D1179" s="42">
        <v>17</v>
      </c>
      <c r="E1179" s="42">
        <v>44</v>
      </c>
      <c r="F1179" s="42">
        <v>1</v>
      </c>
      <c r="G1179" s="42">
        <v>0.3</v>
      </c>
      <c r="H1179" s="42">
        <v>0</v>
      </c>
      <c r="I1179" s="42">
        <v>0</v>
      </c>
      <c r="J1179" s="42">
        <v>0</v>
      </c>
      <c r="K1179" s="42">
        <v>0</v>
      </c>
      <c r="L1179" s="42">
        <v>0</v>
      </c>
      <c r="M1179" s="42">
        <v>1</v>
      </c>
      <c r="N1179" s="42">
        <v>0</v>
      </c>
      <c r="O1179">
        <v>0</v>
      </c>
    </row>
    <row r="1180" spans="3:15" x14ac:dyDescent="0.15">
      <c r="C1180" s="43" t="s">
        <v>1236</v>
      </c>
      <c r="D1180" s="42">
        <v>14</v>
      </c>
      <c r="E1180" s="42">
        <v>51</v>
      </c>
      <c r="F1180" s="42">
        <v>3</v>
      </c>
      <c r="G1180" s="42">
        <v>2.3333333333333335</v>
      </c>
      <c r="H1180" s="42">
        <v>0</v>
      </c>
      <c r="I1180" s="42">
        <v>1</v>
      </c>
      <c r="J1180" s="42">
        <v>0</v>
      </c>
      <c r="K1180" s="42">
        <v>0</v>
      </c>
      <c r="L1180" s="42">
        <v>0</v>
      </c>
      <c r="M1180" s="42">
        <v>1</v>
      </c>
      <c r="N1180" s="42">
        <v>0</v>
      </c>
      <c r="O1180">
        <v>0</v>
      </c>
    </row>
    <row r="1181" spans="3:15" x14ac:dyDescent="0.15">
      <c r="C1181" s="43" t="s">
        <v>1237</v>
      </c>
      <c r="D1181" s="42">
        <v>37</v>
      </c>
      <c r="E1181" s="42">
        <v>42</v>
      </c>
      <c r="F1181" s="42">
        <v>3</v>
      </c>
      <c r="G1181" s="42">
        <v>1.5</v>
      </c>
      <c r="H1181" s="42">
        <v>1</v>
      </c>
      <c r="I1181" s="42">
        <v>0</v>
      </c>
      <c r="J1181" s="42">
        <v>0</v>
      </c>
      <c r="K1181" s="42">
        <v>0</v>
      </c>
      <c r="L1181" s="42">
        <v>0</v>
      </c>
      <c r="M1181" s="42">
        <v>1</v>
      </c>
      <c r="N1181" s="42">
        <v>0</v>
      </c>
      <c r="O1181">
        <v>0</v>
      </c>
    </row>
    <row r="1182" spans="3:15" x14ac:dyDescent="0.15">
      <c r="C1182" s="43" t="s">
        <v>1238</v>
      </c>
      <c r="D1182" s="42">
        <v>14</v>
      </c>
      <c r="E1182" s="42">
        <v>80</v>
      </c>
      <c r="F1182" s="42">
        <v>2</v>
      </c>
      <c r="G1182" s="42">
        <v>2.7</v>
      </c>
      <c r="H1182" s="42">
        <v>1</v>
      </c>
      <c r="I1182" s="42">
        <v>0</v>
      </c>
      <c r="J1182" s="42">
        <v>0</v>
      </c>
      <c r="K1182" s="42">
        <v>0</v>
      </c>
      <c r="L1182" s="42">
        <v>0</v>
      </c>
      <c r="M1182" s="42">
        <v>1</v>
      </c>
      <c r="N1182" s="42">
        <v>0</v>
      </c>
      <c r="O1182">
        <v>0</v>
      </c>
    </row>
    <row r="1183" spans="3:15" x14ac:dyDescent="0.15">
      <c r="C1183" s="43" t="s">
        <v>1239</v>
      </c>
      <c r="D1183" s="42">
        <v>36</v>
      </c>
      <c r="E1183" s="42">
        <v>15</v>
      </c>
      <c r="F1183" s="42">
        <v>4</v>
      </c>
      <c r="G1183" s="42">
        <v>0.4</v>
      </c>
      <c r="H1183" s="42">
        <v>0</v>
      </c>
      <c r="I1183" s="42">
        <v>1</v>
      </c>
      <c r="J1183" s="42">
        <v>0</v>
      </c>
      <c r="K1183" s="42">
        <v>0</v>
      </c>
      <c r="L1183" s="42">
        <v>0</v>
      </c>
      <c r="M1183" s="42">
        <v>0</v>
      </c>
      <c r="N1183" s="42">
        <v>0</v>
      </c>
      <c r="O1183">
        <v>0</v>
      </c>
    </row>
    <row r="1184" spans="3:15" x14ac:dyDescent="0.15">
      <c r="C1184" s="43" t="s">
        <v>1240</v>
      </c>
      <c r="D1184" s="42">
        <v>0</v>
      </c>
      <c r="E1184" s="42">
        <v>33</v>
      </c>
      <c r="F1184" s="42">
        <v>4</v>
      </c>
      <c r="G1184" s="42">
        <v>1</v>
      </c>
      <c r="H1184" s="42">
        <v>0</v>
      </c>
      <c r="I1184" s="42">
        <v>0</v>
      </c>
      <c r="J1184" s="42">
        <v>0</v>
      </c>
      <c r="K1184" s="42">
        <v>0</v>
      </c>
      <c r="L1184" s="42">
        <v>0</v>
      </c>
      <c r="M1184" s="42">
        <v>0</v>
      </c>
      <c r="N1184" s="42">
        <v>0</v>
      </c>
      <c r="O1184">
        <v>0</v>
      </c>
    </row>
    <row r="1185" spans="3:15" x14ac:dyDescent="0.15">
      <c r="C1185" s="43" t="s">
        <v>1241</v>
      </c>
      <c r="D1185" s="42">
        <v>22</v>
      </c>
      <c r="E1185" s="42">
        <v>183</v>
      </c>
      <c r="F1185" s="42">
        <v>1</v>
      </c>
      <c r="G1185" s="42">
        <v>3.1</v>
      </c>
      <c r="H1185" s="42">
        <v>0</v>
      </c>
      <c r="I1185" s="42">
        <v>1</v>
      </c>
      <c r="J1185" s="42">
        <v>0</v>
      </c>
      <c r="K1185" s="42">
        <v>0</v>
      </c>
      <c r="L1185" s="42">
        <v>1</v>
      </c>
      <c r="M1185" s="42">
        <v>1</v>
      </c>
      <c r="N1185" s="42">
        <v>1</v>
      </c>
      <c r="O1185">
        <v>1</v>
      </c>
    </row>
    <row r="1186" spans="3:15" x14ac:dyDescent="0.15">
      <c r="C1186" s="43" t="s">
        <v>1242</v>
      </c>
      <c r="D1186" s="42">
        <v>21</v>
      </c>
      <c r="E1186" s="42">
        <v>174</v>
      </c>
      <c r="F1186" s="42">
        <v>4</v>
      </c>
      <c r="G1186" s="42">
        <v>3.2</v>
      </c>
      <c r="H1186" s="42">
        <v>0</v>
      </c>
      <c r="I1186" s="42">
        <v>0</v>
      </c>
      <c r="J1186" s="42">
        <v>0</v>
      </c>
      <c r="K1186" s="42">
        <v>0</v>
      </c>
      <c r="L1186" s="42">
        <v>0</v>
      </c>
      <c r="M1186" s="42">
        <v>0</v>
      </c>
      <c r="N1186" s="42">
        <v>0</v>
      </c>
      <c r="O1186">
        <v>1</v>
      </c>
    </row>
    <row r="1187" spans="3:15" x14ac:dyDescent="0.15">
      <c r="C1187" s="43" t="s">
        <v>1243</v>
      </c>
      <c r="D1187" s="42">
        <v>19</v>
      </c>
      <c r="E1187" s="42">
        <v>35</v>
      </c>
      <c r="F1187" s="42">
        <v>4</v>
      </c>
      <c r="G1187" s="42">
        <v>0</v>
      </c>
      <c r="H1187" s="42">
        <v>0</v>
      </c>
      <c r="I1187" s="42">
        <v>1</v>
      </c>
      <c r="J1187" s="42">
        <v>0</v>
      </c>
      <c r="K1187" s="42">
        <v>0</v>
      </c>
      <c r="L1187" s="42">
        <v>0</v>
      </c>
      <c r="M1187" s="42">
        <v>1</v>
      </c>
      <c r="N1187" s="42">
        <v>0</v>
      </c>
      <c r="O1187">
        <v>0</v>
      </c>
    </row>
    <row r="1188" spans="3:15" x14ac:dyDescent="0.15">
      <c r="C1188" s="43" t="s">
        <v>1244</v>
      </c>
      <c r="D1188" s="42">
        <v>11</v>
      </c>
      <c r="E1188" s="42">
        <v>152</v>
      </c>
      <c r="F1188" s="42">
        <v>2</v>
      </c>
      <c r="G1188" s="42">
        <v>3.9</v>
      </c>
      <c r="H1188" s="42">
        <v>1</v>
      </c>
      <c r="I1188" s="42">
        <v>0</v>
      </c>
      <c r="J1188" s="42">
        <v>159</v>
      </c>
      <c r="K1188" s="42">
        <v>0</v>
      </c>
      <c r="L1188" s="42">
        <v>0</v>
      </c>
      <c r="M1188" s="42">
        <v>0</v>
      </c>
      <c r="N1188" s="42">
        <v>1</v>
      </c>
      <c r="O1188">
        <v>0</v>
      </c>
    </row>
    <row r="1189" spans="3:15" x14ac:dyDescent="0.15">
      <c r="C1189" s="43" t="s">
        <v>1245</v>
      </c>
      <c r="D1189" s="42">
        <v>40</v>
      </c>
      <c r="E1189" s="42">
        <v>129</v>
      </c>
      <c r="F1189" s="42">
        <v>1</v>
      </c>
      <c r="G1189" s="42">
        <v>1.3</v>
      </c>
      <c r="H1189" s="42">
        <v>1</v>
      </c>
      <c r="I1189" s="42">
        <v>0</v>
      </c>
      <c r="J1189" s="42">
        <v>0</v>
      </c>
      <c r="K1189" s="42">
        <v>0</v>
      </c>
      <c r="L1189" s="42">
        <v>0</v>
      </c>
      <c r="M1189" s="42">
        <v>1</v>
      </c>
      <c r="N1189" s="42">
        <v>1</v>
      </c>
      <c r="O1189">
        <v>0</v>
      </c>
    </row>
    <row r="1190" spans="3:15" x14ac:dyDescent="0.15">
      <c r="C1190" s="43" t="s">
        <v>1246</v>
      </c>
      <c r="D1190" s="42">
        <v>29</v>
      </c>
      <c r="E1190" s="42">
        <v>41</v>
      </c>
      <c r="F1190" s="42">
        <v>4</v>
      </c>
      <c r="G1190" s="42">
        <v>2.5</v>
      </c>
      <c r="H1190" s="42">
        <v>0</v>
      </c>
      <c r="I1190" s="42">
        <v>1</v>
      </c>
      <c r="J1190" s="42">
        <v>0</v>
      </c>
      <c r="K1190" s="42">
        <v>0</v>
      </c>
      <c r="L1190" s="42">
        <v>0</v>
      </c>
      <c r="M1190" s="42">
        <v>0</v>
      </c>
      <c r="N1190" s="42">
        <v>0</v>
      </c>
      <c r="O1190">
        <v>0</v>
      </c>
    </row>
    <row r="1191" spans="3:15" x14ac:dyDescent="0.15">
      <c r="C1191" s="43" t="s">
        <v>1247</v>
      </c>
      <c r="D1191" s="42">
        <v>29</v>
      </c>
      <c r="E1191" s="42">
        <v>59</v>
      </c>
      <c r="F1191" s="42">
        <v>2</v>
      </c>
      <c r="G1191" s="42">
        <v>2.2999999999999998</v>
      </c>
      <c r="H1191" s="42">
        <v>0</v>
      </c>
      <c r="I1191" s="42">
        <v>0</v>
      </c>
      <c r="J1191" s="42">
        <v>152</v>
      </c>
      <c r="K1191" s="42">
        <v>0</v>
      </c>
      <c r="L1191" s="42">
        <v>0</v>
      </c>
      <c r="M1191" s="42">
        <v>1</v>
      </c>
      <c r="N1191" s="42">
        <v>0</v>
      </c>
      <c r="O1191">
        <v>0</v>
      </c>
    </row>
    <row r="1192" spans="3:15" x14ac:dyDescent="0.15">
      <c r="C1192" s="43" t="s">
        <v>1248</v>
      </c>
      <c r="D1192" s="42">
        <v>23</v>
      </c>
      <c r="E1192" s="42">
        <v>45</v>
      </c>
      <c r="F1192" s="42">
        <v>1</v>
      </c>
      <c r="G1192" s="42">
        <v>0.3</v>
      </c>
      <c r="H1192" s="42">
        <v>1</v>
      </c>
      <c r="I1192" s="42">
        <v>0</v>
      </c>
      <c r="J1192" s="42">
        <v>0</v>
      </c>
      <c r="K1192" s="42">
        <v>0</v>
      </c>
      <c r="L1192" s="42">
        <v>0</v>
      </c>
      <c r="M1192" s="42">
        <v>1</v>
      </c>
      <c r="N1192" s="42">
        <v>1</v>
      </c>
      <c r="O1192">
        <v>0</v>
      </c>
    </row>
    <row r="1193" spans="3:15" x14ac:dyDescent="0.15">
      <c r="C1193" s="43" t="s">
        <v>1249</v>
      </c>
      <c r="D1193" s="42">
        <v>4</v>
      </c>
      <c r="E1193" s="42">
        <v>159</v>
      </c>
      <c r="F1193" s="42">
        <v>1</v>
      </c>
      <c r="G1193" s="42">
        <v>1.5</v>
      </c>
      <c r="H1193" s="42">
        <v>1</v>
      </c>
      <c r="I1193" s="42">
        <v>0</v>
      </c>
      <c r="J1193" s="42">
        <v>0</v>
      </c>
      <c r="K1193" s="42">
        <v>0</v>
      </c>
      <c r="L1193" s="42">
        <v>0</v>
      </c>
      <c r="M1193" s="42">
        <v>1</v>
      </c>
      <c r="N1193" s="42">
        <v>1</v>
      </c>
      <c r="O1193">
        <v>0</v>
      </c>
    </row>
    <row r="1194" spans="3:15" x14ac:dyDescent="0.15">
      <c r="C1194" s="43" t="s">
        <v>1250</v>
      </c>
      <c r="D1194" s="42">
        <v>4</v>
      </c>
      <c r="E1194" s="42">
        <v>60</v>
      </c>
      <c r="F1194" s="42">
        <v>4</v>
      </c>
      <c r="G1194" s="42">
        <v>2.2000000000000002</v>
      </c>
      <c r="H1194" s="42">
        <v>0</v>
      </c>
      <c r="I1194" s="42">
        <v>1</v>
      </c>
      <c r="J1194" s="42">
        <v>0</v>
      </c>
      <c r="K1194" s="42">
        <v>0</v>
      </c>
      <c r="L1194" s="42">
        <v>0</v>
      </c>
      <c r="M1194" s="42">
        <v>1</v>
      </c>
      <c r="N1194" s="42">
        <v>0</v>
      </c>
      <c r="O1194">
        <v>0</v>
      </c>
    </row>
    <row r="1195" spans="3:15" x14ac:dyDescent="0.15">
      <c r="C1195" s="43" t="s">
        <v>1251</v>
      </c>
      <c r="D1195" s="42">
        <v>16</v>
      </c>
      <c r="E1195" s="42">
        <v>104</v>
      </c>
      <c r="F1195" s="42">
        <v>1</v>
      </c>
      <c r="G1195" s="42">
        <v>1</v>
      </c>
      <c r="H1195" s="42">
        <v>0</v>
      </c>
      <c r="I1195" s="42">
        <v>0</v>
      </c>
      <c r="J1195" s="42">
        <v>0</v>
      </c>
      <c r="K1195" s="42">
        <v>0</v>
      </c>
      <c r="L1195" s="42">
        <v>0</v>
      </c>
      <c r="M1195" s="42">
        <v>1</v>
      </c>
      <c r="N1195" s="42">
        <v>0</v>
      </c>
      <c r="O1195">
        <v>0</v>
      </c>
    </row>
    <row r="1196" spans="3:15" x14ac:dyDescent="0.15">
      <c r="C1196" s="43" t="s">
        <v>1252</v>
      </c>
      <c r="D1196" s="42">
        <v>12</v>
      </c>
      <c r="E1196" s="42">
        <v>142</v>
      </c>
      <c r="F1196" s="42">
        <v>3</v>
      </c>
      <c r="G1196" s="42">
        <v>2.2999999999999998</v>
      </c>
      <c r="H1196" s="42">
        <v>0</v>
      </c>
      <c r="I1196" s="42">
        <v>1</v>
      </c>
      <c r="J1196" s="42">
        <v>0</v>
      </c>
      <c r="K1196" s="42">
        <v>0</v>
      </c>
      <c r="L1196" s="42">
        <v>1</v>
      </c>
      <c r="M1196" s="42">
        <v>1</v>
      </c>
      <c r="N1196" s="42">
        <v>1</v>
      </c>
      <c r="O1196">
        <v>1</v>
      </c>
    </row>
    <row r="1197" spans="3:15" x14ac:dyDescent="0.15">
      <c r="C1197" s="43" t="s">
        <v>1253</v>
      </c>
      <c r="D1197" s="42">
        <v>31</v>
      </c>
      <c r="E1197" s="42">
        <v>65</v>
      </c>
      <c r="F1197" s="42">
        <v>4</v>
      </c>
      <c r="G1197" s="42">
        <v>2.6</v>
      </c>
      <c r="H1197" s="42">
        <v>0</v>
      </c>
      <c r="I1197" s="42">
        <v>0</v>
      </c>
      <c r="J1197" s="42">
        <v>0</v>
      </c>
      <c r="K1197" s="42">
        <v>0</v>
      </c>
      <c r="L1197" s="42">
        <v>0</v>
      </c>
      <c r="M1197" s="42">
        <v>0</v>
      </c>
      <c r="N1197" s="42">
        <v>1</v>
      </c>
      <c r="O1197">
        <v>0</v>
      </c>
    </row>
    <row r="1198" spans="3:15" x14ac:dyDescent="0.15">
      <c r="C1198" s="43" t="s">
        <v>1254</v>
      </c>
      <c r="D1198" s="42">
        <v>8</v>
      </c>
      <c r="E1198" s="42">
        <v>38</v>
      </c>
      <c r="F1198" s="42">
        <v>4</v>
      </c>
      <c r="G1198" s="42">
        <v>1</v>
      </c>
      <c r="H1198" s="42">
        <v>0</v>
      </c>
      <c r="I1198" s="42">
        <v>1</v>
      </c>
      <c r="J1198" s="42">
        <v>124</v>
      </c>
      <c r="K1198" s="42">
        <v>0</v>
      </c>
      <c r="L1198" s="42">
        <v>0</v>
      </c>
      <c r="M1198" s="42">
        <v>1</v>
      </c>
      <c r="N1198" s="42">
        <v>0</v>
      </c>
      <c r="O1198">
        <v>0</v>
      </c>
    </row>
    <row r="1199" spans="3:15" x14ac:dyDescent="0.15">
      <c r="C1199" s="43" t="s">
        <v>1255</v>
      </c>
      <c r="D1199" s="42">
        <v>3</v>
      </c>
      <c r="E1199" s="42">
        <v>85</v>
      </c>
      <c r="F1199" s="42">
        <v>1</v>
      </c>
      <c r="G1199" s="42">
        <v>0.8</v>
      </c>
      <c r="H1199" s="42">
        <v>0</v>
      </c>
      <c r="I1199" s="42">
        <v>1</v>
      </c>
      <c r="J1199" s="42">
        <v>0</v>
      </c>
      <c r="K1199" s="42">
        <v>0</v>
      </c>
      <c r="L1199" s="42">
        <v>0</v>
      </c>
      <c r="M1199" s="42">
        <v>1</v>
      </c>
      <c r="N1199" s="42">
        <v>1</v>
      </c>
      <c r="O1199">
        <v>0</v>
      </c>
    </row>
    <row r="1200" spans="3:15" x14ac:dyDescent="0.15">
      <c r="C1200" s="43" t="s">
        <v>1256</v>
      </c>
      <c r="D1200" s="42">
        <v>33</v>
      </c>
      <c r="E1200" s="42">
        <v>72</v>
      </c>
      <c r="F1200" s="42">
        <v>2</v>
      </c>
      <c r="G1200" s="42">
        <v>0.7</v>
      </c>
      <c r="H1200" s="42">
        <v>0</v>
      </c>
      <c r="I1200" s="42">
        <v>1</v>
      </c>
      <c r="J1200" s="42">
        <v>226</v>
      </c>
      <c r="K1200" s="42">
        <v>0</v>
      </c>
      <c r="L1200" s="42">
        <v>0</v>
      </c>
      <c r="M1200" s="42">
        <v>0</v>
      </c>
      <c r="N1200" s="42">
        <v>0</v>
      </c>
      <c r="O1200">
        <v>0</v>
      </c>
    </row>
    <row r="1201" spans="3:15" x14ac:dyDescent="0.15">
      <c r="C1201" s="43" t="s">
        <v>1257</v>
      </c>
      <c r="D1201" s="42">
        <v>38</v>
      </c>
      <c r="E1201" s="42">
        <v>30</v>
      </c>
      <c r="F1201" s="42">
        <v>3</v>
      </c>
      <c r="G1201" s="42">
        <v>0.1</v>
      </c>
      <c r="H1201" s="42">
        <v>0</v>
      </c>
      <c r="I1201" s="42">
        <v>0</v>
      </c>
      <c r="J1201" s="42">
        <v>128</v>
      </c>
      <c r="K1201" s="42">
        <v>0</v>
      </c>
      <c r="L1201" s="42">
        <v>0</v>
      </c>
      <c r="M1201" s="42">
        <v>1</v>
      </c>
      <c r="N1201" s="42">
        <v>0</v>
      </c>
      <c r="O1201">
        <v>0</v>
      </c>
    </row>
    <row r="1202" spans="3:15" x14ac:dyDescent="0.15">
      <c r="C1202" s="43" t="s">
        <v>1258</v>
      </c>
      <c r="D1202" s="42">
        <v>4</v>
      </c>
      <c r="E1202" s="42">
        <v>43</v>
      </c>
      <c r="F1202" s="42">
        <v>1</v>
      </c>
      <c r="G1202" s="42">
        <v>1</v>
      </c>
      <c r="H1202" s="42">
        <v>0</v>
      </c>
      <c r="I1202" s="42">
        <v>0</v>
      </c>
      <c r="J1202" s="42">
        <v>102</v>
      </c>
      <c r="K1202" s="42">
        <v>0</v>
      </c>
      <c r="L1202" s="42">
        <v>0</v>
      </c>
      <c r="M1202" s="42">
        <v>0</v>
      </c>
      <c r="N1202" s="42">
        <v>0</v>
      </c>
      <c r="O1202">
        <v>0</v>
      </c>
    </row>
    <row r="1203" spans="3:15" x14ac:dyDescent="0.15">
      <c r="C1203" s="43" t="s">
        <v>1259</v>
      </c>
      <c r="D1203" s="42">
        <v>6</v>
      </c>
      <c r="E1203" s="42">
        <v>35</v>
      </c>
      <c r="F1203" s="42">
        <v>2</v>
      </c>
      <c r="G1203" s="42">
        <v>0.3</v>
      </c>
      <c r="H1203" s="42">
        <v>1</v>
      </c>
      <c r="I1203" s="42">
        <v>0</v>
      </c>
      <c r="J1203" s="42">
        <v>0</v>
      </c>
      <c r="K1203" s="42">
        <v>0</v>
      </c>
      <c r="L1203" s="42">
        <v>0</v>
      </c>
      <c r="M1203" s="42">
        <v>0</v>
      </c>
      <c r="N1203" s="42">
        <v>1</v>
      </c>
      <c r="O1203">
        <v>0</v>
      </c>
    </row>
    <row r="1204" spans="3:15" x14ac:dyDescent="0.15">
      <c r="C1204" s="43" t="s">
        <v>1260</v>
      </c>
      <c r="D1204" s="42">
        <v>20</v>
      </c>
      <c r="E1204" s="42">
        <v>124</v>
      </c>
      <c r="F1204" s="42">
        <v>1</v>
      </c>
      <c r="G1204" s="42">
        <v>4.7</v>
      </c>
      <c r="H1204" s="42">
        <v>1</v>
      </c>
      <c r="I1204" s="42">
        <v>0</v>
      </c>
      <c r="J1204" s="42">
        <v>0</v>
      </c>
      <c r="K1204" s="42">
        <v>0</v>
      </c>
      <c r="L1204" s="42">
        <v>0</v>
      </c>
      <c r="M1204" s="42">
        <v>1</v>
      </c>
      <c r="N1204" s="42">
        <v>1</v>
      </c>
      <c r="O1204">
        <v>0</v>
      </c>
    </row>
    <row r="1205" spans="3:15" x14ac:dyDescent="0.15">
      <c r="C1205" s="43" t="s">
        <v>1261</v>
      </c>
      <c r="D1205" s="42">
        <v>18</v>
      </c>
      <c r="E1205" s="42">
        <v>90</v>
      </c>
      <c r="F1205" s="42">
        <v>4</v>
      </c>
      <c r="G1205" s="42">
        <v>0.8</v>
      </c>
      <c r="H1205" s="42">
        <v>1</v>
      </c>
      <c r="I1205" s="42">
        <v>0</v>
      </c>
      <c r="J1205" s="42">
        <v>245</v>
      </c>
      <c r="K1205" s="42">
        <v>1</v>
      </c>
      <c r="L1205" s="42">
        <v>0</v>
      </c>
      <c r="M1205" s="42">
        <v>0</v>
      </c>
      <c r="N1205" s="42">
        <v>0</v>
      </c>
      <c r="O1205">
        <v>0</v>
      </c>
    </row>
    <row r="1206" spans="3:15" x14ac:dyDescent="0.15">
      <c r="C1206" s="43" t="s">
        <v>1262</v>
      </c>
      <c r="D1206" s="42">
        <v>19</v>
      </c>
      <c r="E1206" s="42">
        <v>81</v>
      </c>
      <c r="F1206" s="42">
        <v>2</v>
      </c>
      <c r="G1206" s="42">
        <v>3.2</v>
      </c>
      <c r="H1206" s="42">
        <v>1</v>
      </c>
      <c r="I1206" s="42">
        <v>0</v>
      </c>
      <c r="J1206" s="42">
        <v>0</v>
      </c>
      <c r="K1206" s="42">
        <v>0</v>
      </c>
      <c r="L1206" s="42">
        <v>0</v>
      </c>
      <c r="M1206" s="42">
        <v>0</v>
      </c>
      <c r="N1206" s="42">
        <v>0</v>
      </c>
      <c r="O1206">
        <v>0</v>
      </c>
    </row>
    <row r="1207" spans="3:15" x14ac:dyDescent="0.15">
      <c r="C1207" s="43" t="s">
        <v>1263</v>
      </c>
      <c r="D1207" s="42">
        <v>24</v>
      </c>
      <c r="E1207" s="42">
        <v>21</v>
      </c>
      <c r="F1207" s="42">
        <v>2</v>
      </c>
      <c r="G1207" s="42">
        <v>1</v>
      </c>
      <c r="H1207" s="42">
        <v>0</v>
      </c>
      <c r="I1207" s="42">
        <v>1</v>
      </c>
      <c r="J1207" s="42">
        <v>0</v>
      </c>
      <c r="K1207" s="42">
        <v>0</v>
      </c>
      <c r="L1207" s="42">
        <v>0</v>
      </c>
      <c r="M1207" s="42">
        <v>1</v>
      </c>
      <c r="N1207" s="42">
        <v>0</v>
      </c>
      <c r="O1207">
        <v>0</v>
      </c>
    </row>
    <row r="1208" spans="3:15" x14ac:dyDescent="0.15">
      <c r="C1208" s="43" t="s">
        <v>1264</v>
      </c>
      <c r="D1208" s="42">
        <v>5</v>
      </c>
      <c r="E1208" s="42">
        <v>68</v>
      </c>
      <c r="F1208" s="42">
        <v>4</v>
      </c>
      <c r="G1208" s="42">
        <v>1.8</v>
      </c>
      <c r="H1208" s="42">
        <v>0</v>
      </c>
      <c r="I1208" s="42">
        <v>0</v>
      </c>
      <c r="J1208" s="42">
        <v>0</v>
      </c>
      <c r="K1208" s="42">
        <v>0</v>
      </c>
      <c r="L1208" s="42">
        <v>0</v>
      </c>
      <c r="M1208" s="42">
        <v>0</v>
      </c>
      <c r="N1208" s="42">
        <v>0</v>
      </c>
      <c r="O1208">
        <v>0</v>
      </c>
    </row>
    <row r="1209" spans="3:15" x14ac:dyDescent="0.15">
      <c r="C1209" s="43" t="s">
        <v>1265</v>
      </c>
      <c r="D1209" s="42">
        <v>20</v>
      </c>
      <c r="E1209" s="42">
        <v>75</v>
      </c>
      <c r="F1209" s="42">
        <v>4</v>
      </c>
      <c r="G1209" s="42">
        <v>1.9</v>
      </c>
      <c r="H1209" s="42">
        <v>1</v>
      </c>
      <c r="I1209" s="42">
        <v>0</v>
      </c>
      <c r="J1209" s="42">
        <v>0</v>
      </c>
      <c r="K1209" s="42">
        <v>0</v>
      </c>
      <c r="L1209" s="42">
        <v>0</v>
      </c>
      <c r="M1209" s="42">
        <v>0</v>
      </c>
      <c r="N1209" s="42">
        <v>0</v>
      </c>
      <c r="O1209">
        <v>0</v>
      </c>
    </row>
    <row r="1210" spans="3:15" x14ac:dyDescent="0.15">
      <c r="C1210" s="43" t="s">
        <v>1266</v>
      </c>
      <c r="D1210" s="42">
        <v>32</v>
      </c>
      <c r="E1210" s="42">
        <v>8</v>
      </c>
      <c r="F1210" s="42">
        <v>2</v>
      </c>
      <c r="G1210" s="42">
        <v>0.3</v>
      </c>
      <c r="H1210" s="42">
        <v>1</v>
      </c>
      <c r="I1210" s="42">
        <v>0</v>
      </c>
      <c r="J1210" s="42">
        <v>0</v>
      </c>
      <c r="K1210" s="42">
        <v>0</v>
      </c>
      <c r="L1210" s="42">
        <v>0</v>
      </c>
      <c r="M1210" s="42">
        <v>1</v>
      </c>
      <c r="N1210" s="42">
        <v>1</v>
      </c>
      <c r="O1210">
        <v>0</v>
      </c>
    </row>
    <row r="1211" spans="3:15" x14ac:dyDescent="0.15">
      <c r="C1211" s="43" t="s">
        <v>1267</v>
      </c>
      <c r="D1211" s="42">
        <v>29</v>
      </c>
      <c r="E1211" s="42">
        <v>74</v>
      </c>
      <c r="F1211" s="42">
        <v>3</v>
      </c>
      <c r="G1211" s="42">
        <v>2</v>
      </c>
      <c r="H1211" s="42">
        <v>0</v>
      </c>
      <c r="I1211" s="42">
        <v>1</v>
      </c>
      <c r="J1211" s="42">
        <v>0</v>
      </c>
      <c r="K1211" s="42">
        <v>0</v>
      </c>
      <c r="L1211" s="42">
        <v>0</v>
      </c>
      <c r="M1211" s="42">
        <v>0</v>
      </c>
      <c r="N1211" s="42">
        <v>0</v>
      </c>
      <c r="O1211">
        <v>0</v>
      </c>
    </row>
    <row r="1212" spans="3:15" x14ac:dyDescent="0.15">
      <c r="C1212" s="43" t="s">
        <v>1268</v>
      </c>
      <c r="D1212" s="42">
        <v>7</v>
      </c>
      <c r="E1212" s="42">
        <v>123</v>
      </c>
      <c r="F1212" s="42">
        <v>2</v>
      </c>
      <c r="G1212" s="42">
        <v>2.9</v>
      </c>
      <c r="H1212" s="42">
        <v>0</v>
      </c>
      <c r="I1212" s="42">
        <v>1</v>
      </c>
      <c r="J1212" s="42">
        <v>0</v>
      </c>
      <c r="K1212" s="42">
        <v>0</v>
      </c>
      <c r="L1212" s="42">
        <v>0</v>
      </c>
      <c r="M1212" s="42">
        <v>1</v>
      </c>
      <c r="N1212" s="42">
        <v>0</v>
      </c>
      <c r="O1212">
        <v>1</v>
      </c>
    </row>
    <row r="1213" spans="3:15" x14ac:dyDescent="0.15">
      <c r="C1213" s="43" t="s">
        <v>1269</v>
      </c>
      <c r="D1213" s="42">
        <v>28</v>
      </c>
      <c r="E1213" s="42">
        <v>81</v>
      </c>
      <c r="F1213" s="42">
        <v>3</v>
      </c>
      <c r="G1213" s="42">
        <v>1.8</v>
      </c>
      <c r="H1213" s="42">
        <v>0</v>
      </c>
      <c r="I1213" s="42">
        <v>1</v>
      </c>
      <c r="J1213" s="42">
        <v>275</v>
      </c>
      <c r="K1213" s="42">
        <v>0</v>
      </c>
      <c r="L1213" s="42">
        <v>0</v>
      </c>
      <c r="M1213" s="42">
        <v>0</v>
      </c>
      <c r="N1213" s="42">
        <v>0</v>
      </c>
      <c r="O1213">
        <v>0</v>
      </c>
    </row>
    <row r="1214" spans="3:15" x14ac:dyDescent="0.15">
      <c r="C1214" s="43" t="s">
        <v>1270</v>
      </c>
      <c r="D1214" s="42">
        <v>3</v>
      </c>
      <c r="E1214" s="42">
        <v>90</v>
      </c>
      <c r="F1214" s="42">
        <v>2</v>
      </c>
      <c r="G1214" s="42">
        <v>3.3</v>
      </c>
      <c r="H1214" s="42">
        <v>1</v>
      </c>
      <c r="I1214" s="42">
        <v>0</v>
      </c>
      <c r="J1214" s="42">
        <v>0</v>
      </c>
      <c r="K1214" s="42">
        <v>0</v>
      </c>
      <c r="L1214" s="42">
        <v>0</v>
      </c>
      <c r="M1214" s="42">
        <v>1</v>
      </c>
      <c r="N1214" s="42">
        <v>1</v>
      </c>
      <c r="O1214">
        <v>0</v>
      </c>
    </row>
    <row r="1215" spans="3:15" x14ac:dyDescent="0.15">
      <c r="C1215" s="43" t="s">
        <v>1271</v>
      </c>
      <c r="D1215" s="42">
        <v>34</v>
      </c>
      <c r="E1215" s="42">
        <v>65</v>
      </c>
      <c r="F1215" s="42">
        <v>4</v>
      </c>
      <c r="G1215" s="42">
        <v>2.2000000000000002</v>
      </c>
      <c r="H1215" s="42">
        <v>1</v>
      </c>
      <c r="I1215" s="42">
        <v>0</v>
      </c>
      <c r="J1215" s="42">
        <v>0</v>
      </c>
      <c r="K1215" s="42">
        <v>0</v>
      </c>
      <c r="L1215" s="42">
        <v>0</v>
      </c>
      <c r="M1215" s="42">
        <v>1</v>
      </c>
      <c r="N1215" s="42">
        <v>0</v>
      </c>
      <c r="O1215">
        <v>0</v>
      </c>
    </row>
    <row r="1216" spans="3:15" x14ac:dyDescent="0.15">
      <c r="C1216" s="43" t="s">
        <v>1272</v>
      </c>
      <c r="D1216" s="42">
        <v>9</v>
      </c>
      <c r="E1216" s="42">
        <v>79</v>
      </c>
      <c r="F1216" s="42">
        <v>1</v>
      </c>
      <c r="G1216" s="42">
        <v>0.1</v>
      </c>
      <c r="H1216" s="42">
        <v>1</v>
      </c>
      <c r="I1216" s="42">
        <v>0</v>
      </c>
      <c r="J1216" s="42">
        <v>0</v>
      </c>
      <c r="K1216" s="42">
        <v>0</v>
      </c>
      <c r="L1216" s="42">
        <v>0</v>
      </c>
      <c r="M1216" s="42">
        <v>1</v>
      </c>
      <c r="N1216" s="42">
        <v>0</v>
      </c>
      <c r="O1216">
        <v>0</v>
      </c>
    </row>
    <row r="1217" spans="3:15" x14ac:dyDescent="0.15">
      <c r="C1217" s="43" t="s">
        <v>1273</v>
      </c>
      <c r="D1217" s="42">
        <v>5</v>
      </c>
      <c r="E1217" s="42">
        <v>85</v>
      </c>
      <c r="F1217" s="42">
        <v>3</v>
      </c>
      <c r="G1217" s="42">
        <v>2.5</v>
      </c>
      <c r="H1217" s="42">
        <v>1</v>
      </c>
      <c r="I1217" s="42">
        <v>0</v>
      </c>
      <c r="J1217" s="42">
        <v>0</v>
      </c>
      <c r="K1217" s="42">
        <v>0</v>
      </c>
      <c r="L1217" s="42">
        <v>0</v>
      </c>
      <c r="M1217" s="42">
        <v>1</v>
      </c>
      <c r="N1217" s="42">
        <v>1</v>
      </c>
      <c r="O1217">
        <v>0</v>
      </c>
    </row>
    <row r="1218" spans="3:15" x14ac:dyDescent="0.15">
      <c r="C1218" s="43" t="s">
        <v>1274</v>
      </c>
      <c r="D1218" s="42">
        <v>19</v>
      </c>
      <c r="E1218" s="42">
        <v>24</v>
      </c>
      <c r="F1218" s="42">
        <v>3</v>
      </c>
      <c r="G1218" s="42">
        <v>0.66666666666666663</v>
      </c>
      <c r="H1218" s="42">
        <v>0</v>
      </c>
      <c r="I1218" s="42">
        <v>1</v>
      </c>
      <c r="J1218" s="42">
        <v>0</v>
      </c>
      <c r="K1218" s="42">
        <v>0</v>
      </c>
      <c r="L1218" s="42">
        <v>0</v>
      </c>
      <c r="M1218" s="42">
        <v>1</v>
      </c>
      <c r="N1218" s="42">
        <v>0</v>
      </c>
      <c r="O1218">
        <v>0</v>
      </c>
    </row>
    <row r="1219" spans="3:15" x14ac:dyDescent="0.15">
      <c r="C1219" s="43" t="s">
        <v>1275</v>
      </c>
      <c r="D1219" s="42">
        <v>29</v>
      </c>
      <c r="E1219" s="42">
        <v>68</v>
      </c>
      <c r="F1219" s="42">
        <v>3</v>
      </c>
      <c r="G1219" s="42">
        <v>1.6</v>
      </c>
      <c r="H1219" s="42">
        <v>0</v>
      </c>
      <c r="I1219" s="42">
        <v>0</v>
      </c>
      <c r="J1219" s="42">
        <v>0</v>
      </c>
      <c r="K1219" s="42">
        <v>0</v>
      </c>
      <c r="L1219" s="42">
        <v>0</v>
      </c>
      <c r="M1219" s="42">
        <v>1</v>
      </c>
      <c r="N1219" s="42">
        <v>1</v>
      </c>
      <c r="O1219">
        <v>0</v>
      </c>
    </row>
    <row r="1220" spans="3:15" x14ac:dyDescent="0.15">
      <c r="C1220" s="43" t="s">
        <v>1276</v>
      </c>
      <c r="D1220" s="42">
        <v>3</v>
      </c>
      <c r="E1220" s="42">
        <v>82</v>
      </c>
      <c r="F1220" s="42">
        <v>2</v>
      </c>
      <c r="G1220" s="42">
        <v>0.2</v>
      </c>
      <c r="H1220" s="42">
        <v>1</v>
      </c>
      <c r="I1220" s="42">
        <v>0</v>
      </c>
      <c r="J1220" s="42">
        <v>0</v>
      </c>
      <c r="K1220" s="42">
        <v>0</v>
      </c>
      <c r="L1220" s="42">
        <v>0</v>
      </c>
      <c r="M1220" s="42">
        <v>0</v>
      </c>
      <c r="N1220" s="42">
        <v>1</v>
      </c>
      <c r="O1220">
        <v>0</v>
      </c>
    </row>
    <row r="1221" spans="3:15" x14ac:dyDescent="0.15">
      <c r="C1221" s="43" t="s">
        <v>1277</v>
      </c>
      <c r="D1221" s="42">
        <v>22</v>
      </c>
      <c r="E1221" s="42">
        <v>33</v>
      </c>
      <c r="F1221" s="42">
        <v>1</v>
      </c>
      <c r="G1221" s="42">
        <v>1.4</v>
      </c>
      <c r="H1221" s="42">
        <v>0</v>
      </c>
      <c r="I1221" s="42">
        <v>0</v>
      </c>
      <c r="J1221" s="42">
        <v>0</v>
      </c>
      <c r="K1221" s="42">
        <v>0</v>
      </c>
      <c r="L1221" s="42">
        <v>0</v>
      </c>
      <c r="M1221" s="42">
        <v>1</v>
      </c>
      <c r="N1221" s="42">
        <v>0</v>
      </c>
      <c r="O1221">
        <v>0</v>
      </c>
    </row>
    <row r="1222" spans="3:15" x14ac:dyDescent="0.15">
      <c r="C1222" s="43" t="s">
        <v>1278</v>
      </c>
      <c r="D1222" s="42">
        <v>32</v>
      </c>
      <c r="E1222" s="42">
        <v>48</v>
      </c>
      <c r="F1222" s="42">
        <v>1</v>
      </c>
      <c r="G1222" s="42">
        <v>1.6</v>
      </c>
      <c r="H1222" s="42">
        <v>0</v>
      </c>
      <c r="I1222" s="42">
        <v>0</v>
      </c>
      <c r="J1222" s="42">
        <v>0</v>
      </c>
      <c r="K1222" s="42">
        <v>0</v>
      </c>
      <c r="L1222" s="42">
        <v>0</v>
      </c>
      <c r="M1222" s="42">
        <v>0</v>
      </c>
      <c r="N1222" s="42">
        <v>1</v>
      </c>
      <c r="O1222">
        <v>0</v>
      </c>
    </row>
    <row r="1223" spans="3:15" x14ac:dyDescent="0.15">
      <c r="C1223" s="43" t="s">
        <v>1279</v>
      </c>
      <c r="D1223" s="42">
        <v>33</v>
      </c>
      <c r="E1223" s="42">
        <v>45</v>
      </c>
      <c r="F1223" s="42">
        <v>1</v>
      </c>
      <c r="G1223" s="42">
        <v>1.8</v>
      </c>
      <c r="H1223" s="42">
        <v>0</v>
      </c>
      <c r="I1223" s="42">
        <v>0</v>
      </c>
      <c r="J1223" s="42">
        <v>195</v>
      </c>
      <c r="K1223" s="42">
        <v>0</v>
      </c>
      <c r="L1223" s="42">
        <v>0</v>
      </c>
      <c r="M1223" s="42">
        <v>0</v>
      </c>
      <c r="N1223" s="42">
        <v>0</v>
      </c>
      <c r="O1223">
        <v>0</v>
      </c>
    </row>
    <row r="1224" spans="3:15" x14ac:dyDescent="0.15">
      <c r="C1224" s="43" t="s">
        <v>1280</v>
      </c>
      <c r="D1224" s="42">
        <v>32</v>
      </c>
      <c r="E1224" s="42">
        <v>173</v>
      </c>
      <c r="F1224" s="42">
        <v>1</v>
      </c>
      <c r="G1224" s="42">
        <v>4.5999999999999996</v>
      </c>
      <c r="H1224" s="42">
        <v>0</v>
      </c>
      <c r="I1224" s="42">
        <v>1</v>
      </c>
      <c r="J1224" s="42">
        <v>88</v>
      </c>
      <c r="K1224" s="42">
        <v>0</v>
      </c>
      <c r="L1224" s="42">
        <v>1</v>
      </c>
      <c r="M1224" s="42">
        <v>1</v>
      </c>
      <c r="N1224" s="42">
        <v>0</v>
      </c>
      <c r="O1224">
        <v>1</v>
      </c>
    </row>
    <row r="1225" spans="3:15" x14ac:dyDescent="0.15">
      <c r="C1225" s="43" t="s">
        <v>1281</v>
      </c>
      <c r="D1225" s="42">
        <v>5</v>
      </c>
      <c r="E1225" s="42">
        <v>112</v>
      </c>
      <c r="F1225" s="42">
        <v>4</v>
      </c>
      <c r="G1225" s="42">
        <v>5</v>
      </c>
      <c r="H1225" s="42">
        <v>0</v>
      </c>
      <c r="I1225" s="42">
        <v>1</v>
      </c>
      <c r="J1225" s="42">
        <v>0</v>
      </c>
      <c r="K1225" s="42">
        <v>0</v>
      </c>
      <c r="L1225" s="42">
        <v>0</v>
      </c>
      <c r="M1225" s="42">
        <v>0</v>
      </c>
      <c r="N1225" s="42">
        <v>1</v>
      </c>
      <c r="O1225">
        <v>1</v>
      </c>
    </row>
    <row r="1226" spans="3:15" x14ac:dyDescent="0.15">
      <c r="C1226" s="43" t="s">
        <v>1282</v>
      </c>
      <c r="D1226" s="42">
        <v>0</v>
      </c>
      <c r="E1226" s="42">
        <v>60</v>
      </c>
      <c r="F1226" s="42">
        <v>4</v>
      </c>
      <c r="G1226" s="42">
        <v>1.6</v>
      </c>
      <c r="H1226" s="42">
        <v>1</v>
      </c>
      <c r="I1226" s="42">
        <v>0</v>
      </c>
      <c r="J1226" s="42">
        <v>0</v>
      </c>
      <c r="K1226" s="42">
        <v>0</v>
      </c>
      <c r="L1226" s="42">
        <v>0</v>
      </c>
      <c r="M1226" s="42">
        <v>1</v>
      </c>
      <c r="N1226" s="42">
        <v>0</v>
      </c>
      <c r="O1226">
        <v>0</v>
      </c>
    </row>
    <row r="1227" spans="3:15" x14ac:dyDescent="0.15">
      <c r="C1227" s="43" t="s">
        <v>1283</v>
      </c>
      <c r="D1227" s="42">
        <v>17</v>
      </c>
      <c r="E1227" s="42">
        <v>44</v>
      </c>
      <c r="F1227" s="42">
        <v>1</v>
      </c>
      <c r="G1227" s="42">
        <v>0.2</v>
      </c>
      <c r="H1227" s="42">
        <v>1</v>
      </c>
      <c r="I1227" s="42">
        <v>0</v>
      </c>
      <c r="J1227" s="42">
        <v>0</v>
      </c>
      <c r="K1227" s="42">
        <v>1</v>
      </c>
      <c r="L1227" s="42">
        <v>1</v>
      </c>
      <c r="M1227" s="42">
        <v>1</v>
      </c>
      <c r="N1227" s="42">
        <v>0</v>
      </c>
      <c r="O1227">
        <v>0</v>
      </c>
    </row>
    <row r="1228" spans="3:15" x14ac:dyDescent="0.15">
      <c r="C1228" s="43" t="s">
        <v>1284</v>
      </c>
      <c r="D1228" s="42">
        <v>7</v>
      </c>
      <c r="E1228" s="42">
        <v>15</v>
      </c>
      <c r="F1228" s="42">
        <v>3</v>
      </c>
      <c r="G1228" s="42">
        <v>0.9</v>
      </c>
      <c r="H1228" s="42">
        <v>0</v>
      </c>
      <c r="I1228" s="42">
        <v>0</v>
      </c>
      <c r="J1228" s="42">
        <v>0</v>
      </c>
      <c r="K1228" s="42">
        <v>0</v>
      </c>
      <c r="L1228" s="42">
        <v>0</v>
      </c>
      <c r="M1228" s="42">
        <v>1</v>
      </c>
      <c r="N1228" s="42">
        <v>0</v>
      </c>
      <c r="O1228">
        <v>0</v>
      </c>
    </row>
    <row r="1229" spans="3:15" x14ac:dyDescent="0.15">
      <c r="C1229" s="43" t="s">
        <v>1285</v>
      </c>
      <c r="D1229" s="42">
        <v>5</v>
      </c>
      <c r="E1229" s="42">
        <v>93</v>
      </c>
      <c r="F1229" s="42">
        <v>2</v>
      </c>
      <c r="G1229" s="42">
        <v>3.1</v>
      </c>
      <c r="H1229" s="42">
        <v>0</v>
      </c>
      <c r="I1229" s="42">
        <v>1</v>
      </c>
      <c r="J1229" s="42">
        <v>0</v>
      </c>
      <c r="K1229" s="42">
        <v>0</v>
      </c>
      <c r="L1229" s="42">
        <v>0</v>
      </c>
      <c r="M1229" s="42">
        <v>1</v>
      </c>
      <c r="N1229" s="42">
        <v>0</v>
      </c>
      <c r="O1229">
        <v>1</v>
      </c>
    </row>
    <row r="1230" spans="3:15" x14ac:dyDescent="0.15">
      <c r="C1230" s="43" t="s">
        <v>1286</v>
      </c>
      <c r="D1230" s="42">
        <v>2</v>
      </c>
      <c r="E1230" s="42">
        <v>78</v>
      </c>
      <c r="F1230" s="42">
        <v>4</v>
      </c>
      <c r="G1230" s="42">
        <v>0.2</v>
      </c>
      <c r="H1230" s="42">
        <v>1</v>
      </c>
      <c r="I1230" s="42">
        <v>0</v>
      </c>
      <c r="J1230" s="42">
        <v>87</v>
      </c>
      <c r="K1230" s="42">
        <v>0</v>
      </c>
      <c r="L1230" s="42">
        <v>0</v>
      </c>
      <c r="M1230" s="42">
        <v>0</v>
      </c>
      <c r="N1230" s="42">
        <v>0</v>
      </c>
      <c r="O1230">
        <v>0</v>
      </c>
    </row>
    <row r="1231" spans="3:15" x14ac:dyDescent="0.15">
      <c r="C1231" s="43" t="s">
        <v>1287</v>
      </c>
      <c r="D1231" s="42">
        <v>25</v>
      </c>
      <c r="E1231" s="42">
        <v>41</v>
      </c>
      <c r="F1231" s="42">
        <v>4</v>
      </c>
      <c r="G1231" s="42">
        <v>1.8</v>
      </c>
      <c r="H1231" s="42">
        <v>1</v>
      </c>
      <c r="I1231" s="42">
        <v>0</v>
      </c>
      <c r="J1231" s="42">
        <v>0</v>
      </c>
      <c r="K1231" s="42">
        <v>0</v>
      </c>
      <c r="L1231" s="42">
        <v>0</v>
      </c>
      <c r="M1231" s="42">
        <v>0</v>
      </c>
      <c r="N1231" s="42">
        <v>0</v>
      </c>
      <c r="O1231">
        <v>0</v>
      </c>
    </row>
    <row r="1232" spans="3:15" x14ac:dyDescent="0.15">
      <c r="C1232" s="43" t="s">
        <v>1288</v>
      </c>
      <c r="D1232" s="42">
        <v>9</v>
      </c>
      <c r="E1232" s="42">
        <v>122</v>
      </c>
      <c r="F1232" s="42">
        <v>1</v>
      </c>
      <c r="G1232" s="42">
        <v>0</v>
      </c>
      <c r="H1232" s="42">
        <v>1</v>
      </c>
      <c r="I1232" s="42">
        <v>0</v>
      </c>
      <c r="J1232" s="42">
        <v>0</v>
      </c>
      <c r="K1232" s="42">
        <v>0</v>
      </c>
      <c r="L1232" s="42">
        <v>0</v>
      </c>
      <c r="M1232" s="42">
        <v>1</v>
      </c>
      <c r="N1232" s="42">
        <v>0</v>
      </c>
      <c r="O1232">
        <v>0</v>
      </c>
    </row>
    <row r="1233" spans="3:15" x14ac:dyDescent="0.15">
      <c r="C1233" s="43" t="s">
        <v>1289</v>
      </c>
      <c r="D1233" s="42">
        <v>29</v>
      </c>
      <c r="E1233" s="42">
        <v>129</v>
      </c>
      <c r="F1233" s="42">
        <v>4</v>
      </c>
      <c r="G1233" s="42">
        <v>4.2</v>
      </c>
      <c r="H1233" s="42">
        <v>0</v>
      </c>
      <c r="I1233" s="42">
        <v>0</v>
      </c>
      <c r="J1233" s="42">
        <v>0</v>
      </c>
      <c r="K1233" s="42">
        <v>0</v>
      </c>
      <c r="L1233" s="42">
        <v>0</v>
      </c>
      <c r="M1233" s="42">
        <v>0</v>
      </c>
      <c r="N1233" s="42">
        <v>0</v>
      </c>
      <c r="O1233">
        <v>1</v>
      </c>
    </row>
    <row r="1234" spans="3:15" x14ac:dyDescent="0.15">
      <c r="C1234" s="43" t="s">
        <v>1290</v>
      </c>
      <c r="D1234" s="42">
        <v>39</v>
      </c>
      <c r="E1234" s="42">
        <v>160</v>
      </c>
      <c r="F1234" s="42">
        <v>2</v>
      </c>
      <c r="G1234" s="42">
        <v>2.1</v>
      </c>
      <c r="H1234" s="42">
        <v>1</v>
      </c>
      <c r="I1234" s="42">
        <v>0</v>
      </c>
      <c r="J1234" s="42">
        <v>0</v>
      </c>
      <c r="K1234" s="42">
        <v>0</v>
      </c>
      <c r="L1234" s="42">
        <v>0</v>
      </c>
      <c r="M1234" s="42">
        <v>1</v>
      </c>
      <c r="N1234" s="42">
        <v>1</v>
      </c>
      <c r="O1234">
        <v>0</v>
      </c>
    </row>
    <row r="1235" spans="3:15" x14ac:dyDescent="0.15">
      <c r="C1235" s="43" t="s">
        <v>1291</v>
      </c>
      <c r="D1235" s="42">
        <v>32</v>
      </c>
      <c r="E1235" s="42">
        <v>23</v>
      </c>
      <c r="F1235" s="42">
        <v>2</v>
      </c>
      <c r="G1235" s="42">
        <v>0.2</v>
      </c>
      <c r="H1235" s="42">
        <v>0</v>
      </c>
      <c r="I1235" s="42">
        <v>0</v>
      </c>
      <c r="J1235" s="42">
        <v>0</v>
      </c>
      <c r="K1235" s="42">
        <v>0</v>
      </c>
      <c r="L1235" s="42">
        <v>0</v>
      </c>
      <c r="M1235" s="42">
        <v>0</v>
      </c>
      <c r="N1235" s="42">
        <v>0</v>
      </c>
      <c r="O1235">
        <v>0</v>
      </c>
    </row>
    <row r="1236" spans="3:15" x14ac:dyDescent="0.15">
      <c r="C1236" s="43" t="s">
        <v>1292</v>
      </c>
      <c r="D1236" s="42">
        <v>18</v>
      </c>
      <c r="E1236" s="42">
        <v>41</v>
      </c>
      <c r="F1236" s="42">
        <v>1</v>
      </c>
      <c r="G1236" s="42">
        <v>1.8</v>
      </c>
      <c r="H1236" s="42">
        <v>1</v>
      </c>
      <c r="I1236" s="42">
        <v>0</v>
      </c>
      <c r="J1236" s="42">
        <v>94</v>
      </c>
      <c r="K1236" s="42">
        <v>0</v>
      </c>
      <c r="L1236" s="42">
        <v>0</v>
      </c>
      <c r="M1236" s="42">
        <v>1</v>
      </c>
      <c r="N1236" s="42">
        <v>0</v>
      </c>
      <c r="O1236">
        <v>0</v>
      </c>
    </row>
    <row r="1237" spans="3:15" x14ac:dyDescent="0.15">
      <c r="C1237" s="43" t="s">
        <v>1293</v>
      </c>
      <c r="D1237" s="42">
        <v>29</v>
      </c>
      <c r="E1237" s="42">
        <v>172</v>
      </c>
      <c r="F1237" s="42">
        <v>1</v>
      </c>
      <c r="G1237" s="42">
        <v>5.2</v>
      </c>
      <c r="H1237" s="42">
        <v>0</v>
      </c>
      <c r="I1237" s="42">
        <v>1</v>
      </c>
      <c r="J1237" s="42">
        <v>0</v>
      </c>
      <c r="K1237" s="42">
        <v>0</v>
      </c>
      <c r="L1237" s="42">
        <v>0</v>
      </c>
      <c r="M1237" s="42">
        <v>0</v>
      </c>
      <c r="N1237" s="42">
        <v>0</v>
      </c>
      <c r="O1237">
        <v>1</v>
      </c>
    </row>
    <row r="1238" spans="3:15" x14ac:dyDescent="0.15">
      <c r="C1238" s="43" t="s">
        <v>1294</v>
      </c>
      <c r="D1238" s="42">
        <v>3</v>
      </c>
      <c r="E1238" s="42">
        <v>52</v>
      </c>
      <c r="F1238" s="42">
        <v>4</v>
      </c>
      <c r="G1238" s="42">
        <v>2.2000000000000002</v>
      </c>
      <c r="H1238" s="42">
        <v>1</v>
      </c>
      <c r="I1238" s="42">
        <v>0</v>
      </c>
      <c r="J1238" s="42">
        <v>230</v>
      </c>
      <c r="K1238" s="42">
        <v>0</v>
      </c>
      <c r="L1238" s="42">
        <v>0</v>
      </c>
      <c r="M1238" s="42">
        <v>1</v>
      </c>
      <c r="N1238" s="42">
        <v>0</v>
      </c>
      <c r="O1238">
        <v>0</v>
      </c>
    </row>
    <row r="1239" spans="3:15" x14ac:dyDescent="0.15">
      <c r="C1239" s="43" t="s">
        <v>1295</v>
      </c>
      <c r="D1239" s="42">
        <v>0</v>
      </c>
      <c r="E1239" s="42">
        <v>88</v>
      </c>
      <c r="F1239" s="42">
        <v>3</v>
      </c>
      <c r="G1239" s="42">
        <v>0.8</v>
      </c>
      <c r="H1239" s="42">
        <v>1</v>
      </c>
      <c r="I1239" s="42">
        <v>0</v>
      </c>
      <c r="J1239" s="42">
        <v>134</v>
      </c>
      <c r="K1239" s="42">
        <v>0</v>
      </c>
      <c r="L1239" s="42">
        <v>0</v>
      </c>
      <c r="M1239" s="42">
        <v>0</v>
      </c>
      <c r="N1239" s="42">
        <v>0</v>
      </c>
      <c r="O1239">
        <v>0</v>
      </c>
    </row>
    <row r="1240" spans="3:15" x14ac:dyDescent="0.15">
      <c r="C1240" s="43" t="s">
        <v>1296</v>
      </c>
      <c r="D1240" s="42">
        <v>32</v>
      </c>
      <c r="E1240" s="42">
        <v>124</v>
      </c>
      <c r="F1240" s="42">
        <v>1</v>
      </c>
      <c r="G1240" s="42">
        <v>0.2</v>
      </c>
      <c r="H1240" s="42">
        <v>0</v>
      </c>
      <c r="I1240" s="42">
        <v>1</v>
      </c>
      <c r="J1240" s="42">
        <v>0</v>
      </c>
      <c r="K1240" s="42">
        <v>0</v>
      </c>
      <c r="L1240" s="42">
        <v>0</v>
      </c>
      <c r="M1240" s="42">
        <v>1</v>
      </c>
      <c r="N1240" s="42">
        <v>0</v>
      </c>
      <c r="O1240">
        <v>1</v>
      </c>
    </row>
    <row r="1241" spans="3:15" x14ac:dyDescent="0.15">
      <c r="C1241" s="43" t="s">
        <v>1297</v>
      </c>
      <c r="D1241" s="42">
        <v>39</v>
      </c>
      <c r="E1241" s="42">
        <v>22</v>
      </c>
      <c r="F1241" s="42">
        <v>4</v>
      </c>
      <c r="G1241" s="42">
        <v>0.6</v>
      </c>
      <c r="H1241" s="42">
        <v>0</v>
      </c>
      <c r="I1241" s="42">
        <v>1</v>
      </c>
      <c r="J1241" s="42">
        <v>0</v>
      </c>
      <c r="K1241" s="42">
        <v>0</v>
      </c>
      <c r="L1241" s="42">
        <v>0</v>
      </c>
      <c r="M1241" s="42">
        <v>0</v>
      </c>
      <c r="N1241" s="42">
        <v>0</v>
      </c>
      <c r="O1241">
        <v>0</v>
      </c>
    </row>
    <row r="1242" spans="3:15" x14ac:dyDescent="0.15">
      <c r="C1242" s="43" t="s">
        <v>1298</v>
      </c>
      <c r="D1242" s="42">
        <v>13</v>
      </c>
      <c r="E1242" s="42">
        <v>105</v>
      </c>
      <c r="F1242" s="42">
        <v>1</v>
      </c>
      <c r="G1242" s="42">
        <v>0.8</v>
      </c>
      <c r="H1242" s="42">
        <v>0</v>
      </c>
      <c r="I1242" s="42">
        <v>1</v>
      </c>
      <c r="J1242" s="42">
        <v>0</v>
      </c>
      <c r="K1242" s="42">
        <v>0</v>
      </c>
      <c r="L1242" s="42">
        <v>0</v>
      </c>
      <c r="M1242" s="42">
        <v>0</v>
      </c>
      <c r="N1242" s="42">
        <v>1</v>
      </c>
      <c r="O1242">
        <v>0</v>
      </c>
    </row>
    <row r="1243" spans="3:15" x14ac:dyDescent="0.15">
      <c r="C1243" s="43" t="s">
        <v>1299</v>
      </c>
      <c r="D1243" s="42">
        <v>9</v>
      </c>
      <c r="E1243" s="42">
        <v>63</v>
      </c>
      <c r="F1243" s="42">
        <v>2</v>
      </c>
      <c r="G1243" s="42">
        <v>1.8</v>
      </c>
      <c r="H1243" s="42">
        <v>1</v>
      </c>
      <c r="I1243" s="42">
        <v>0</v>
      </c>
      <c r="J1243" s="42">
        <v>0</v>
      </c>
      <c r="K1243" s="42">
        <v>0</v>
      </c>
      <c r="L1243" s="42">
        <v>0</v>
      </c>
      <c r="M1243" s="42">
        <v>1</v>
      </c>
      <c r="N1243" s="42">
        <v>0</v>
      </c>
      <c r="O1243">
        <v>0</v>
      </c>
    </row>
    <row r="1244" spans="3:15" x14ac:dyDescent="0.15">
      <c r="C1244" s="43" t="s">
        <v>1300</v>
      </c>
      <c r="D1244" s="42">
        <v>26</v>
      </c>
      <c r="E1244" s="42">
        <v>63</v>
      </c>
      <c r="F1244" s="42">
        <v>2</v>
      </c>
      <c r="G1244" s="42">
        <v>1.5</v>
      </c>
      <c r="H1244" s="42">
        <v>0</v>
      </c>
      <c r="I1244" s="42">
        <v>1</v>
      </c>
      <c r="J1244" s="42">
        <v>0</v>
      </c>
      <c r="K1244" s="42">
        <v>1</v>
      </c>
      <c r="L1244" s="42">
        <v>0</v>
      </c>
      <c r="M1244" s="42">
        <v>1</v>
      </c>
      <c r="N1244" s="42">
        <v>0</v>
      </c>
      <c r="O1244">
        <v>0</v>
      </c>
    </row>
    <row r="1245" spans="3:15" x14ac:dyDescent="0.15">
      <c r="C1245" s="43" t="s">
        <v>1301</v>
      </c>
      <c r="D1245" s="42">
        <v>16</v>
      </c>
      <c r="E1245" s="42">
        <v>64</v>
      </c>
      <c r="F1245" s="42">
        <v>3</v>
      </c>
      <c r="G1245" s="42">
        <v>0.5</v>
      </c>
      <c r="H1245" s="42">
        <v>0</v>
      </c>
      <c r="I1245" s="42">
        <v>0</v>
      </c>
      <c r="J1245" s="42">
        <v>247</v>
      </c>
      <c r="K1245" s="42">
        <v>0</v>
      </c>
      <c r="L1245" s="42">
        <v>0</v>
      </c>
      <c r="M1245" s="42">
        <v>0</v>
      </c>
      <c r="N1245" s="42">
        <v>0</v>
      </c>
      <c r="O1245">
        <v>0</v>
      </c>
    </row>
    <row r="1246" spans="3:15" x14ac:dyDescent="0.15">
      <c r="C1246" s="43" t="s">
        <v>1302</v>
      </c>
      <c r="D1246" s="42">
        <v>2</v>
      </c>
      <c r="E1246" s="42">
        <v>19</v>
      </c>
      <c r="F1246" s="42">
        <v>4</v>
      </c>
      <c r="G1246" s="42">
        <v>0.4</v>
      </c>
      <c r="H1246" s="42">
        <v>1</v>
      </c>
      <c r="I1246" s="42">
        <v>0</v>
      </c>
      <c r="J1246" s="42">
        <v>0</v>
      </c>
      <c r="K1246" s="42">
        <v>0</v>
      </c>
      <c r="L1246" s="42">
        <v>0</v>
      </c>
      <c r="M1246" s="42">
        <v>1</v>
      </c>
      <c r="N1246" s="42">
        <v>1</v>
      </c>
      <c r="O1246">
        <v>0</v>
      </c>
    </row>
    <row r="1247" spans="3:15" x14ac:dyDescent="0.15">
      <c r="C1247" s="43" t="s">
        <v>1303</v>
      </c>
      <c r="D1247" s="42">
        <v>22</v>
      </c>
      <c r="E1247" s="42">
        <v>82</v>
      </c>
      <c r="F1247" s="42">
        <v>1</v>
      </c>
      <c r="G1247" s="42">
        <v>2.6666666666666665</v>
      </c>
      <c r="H1247" s="42">
        <v>0</v>
      </c>
      <c r="I1247" s="42">
        <v>1</v>
      </c>
      <c r="J1247" s="42">
        <v>125</v>
      </c>
      <c r="K1247" s="42">
        <v>0</v>
      </c>
      <c r="L1247" s="42">
        <v>0</v>
      </c>
      <c r="M1247" s="42">
        <v>1</v>
      </c>
      <c r="N1247" s="42">
        <v>0</v>
      </c>
      <c r="O1247">
        <v>0</v>
      </c>
    </row>
    <row r="1248" spans="3:15" x14ac:dyDescent="0.15">
      <c r="C1248" s="43" t="s">
        <v>1304</v>
      </c>
      <c r="D1248" s="42">
        <v>9</v>
      </c>
      <c r="E1248" s="42">
        <v>93</v>
      </c>
      <c r="F1248" s="42">
        <v>1</v>
      </c>
      <c r="G1248" s="42">
        <v>0</v>
      </c>
      <c r="H1248" s="42">
        <v>1</v>
      </c>
      <c r="I1248" s="42">
        <v>0</v>
      </c>
      <c r="J1248" s="42">
        <v>0</v>
      </c>
      <c r="K1248" s="42">
        <v>0</v>
      </c>
      <c r="L1248" s="42">
        <v>0</v>
      </c>
      <c r="M1248" s="42">
        <v>1</v>
      </c>
      <c r="N1248" s="42">
        <v>0</v>
      </c>
      <c r="O1248">
        <v>0</v>
      </c>
    </row>
    <row r="1249" spans="3:15" x14ac:dyDescent="0.15">
      <c r="C1249" s="43" t="s">
        <v>1305</v>
      </c>
      <c r="D1249" s="42">
        <v>5</v>
      </c>
      <c r="E1249" s="42">
        <v>51</v>
      </c>
      <c r="F1249" s="42">
        <v>1</v>
      </c>
      <c r="G1249" s="42">
        <v>1</v>
      </c>
      <c r="H1249" s="42">
        <v>1</v>
      </c>
      <c r="I1249" s="42">
        <v>0</v>
      </c>
      <c r="J1249" s="42">
        <v>0</v>
      </c>
      <c r="K1249" s="42">
        <v>0</v>
      </c>
      <c r="L1249" s="42">
        <v>0</v>
      </c>
      <c r="M1249" s="42">
        <v>1</v>
      </c>
      <c r="N1249" s="42">
        <v>0</v>
      </c>
      <c r="O1249">
        <v>0</v>
      </c>
    </row>
    <row r="1250" spans="3:15" x14ac:dyDescent="0.15">
      <c r="C1250" s="43" t="s">
        <v>1306</v>
      </c>
      <c r="D1250" s="42">
        <v>2</v>
      </c>
      <c r="E1250" s="42">
        <v>29</v>
      </c>
      <c r="F1250" s="42">
        <v>4</v>
      </c>
      <c r="G1250" s="42">
        <v>1.5</v>
      </c>
      <c r="H1250" s="42">
        <v>0</v>
      </c>
      <c r="I1250" s="42">
        <v>1</v>
      </c>
      <c r="J1250" s="42">
        <v>0</v>
      </c>
      <c r="K1250" s="42">
        <v>0</v>
      </c>
      <c r="L1250" s="42">
        <v>0</v>
      </c>
      <c r="M1250" s="42">
        <v>0</v>
      </c>
      <c r="N1250" s="42">
        <v>1</v>
      </c>
      <c r="O1250">
        <v>0</v>
      </c>
    </row>
    <row r="1251" spans="3:15" x14ac:dyDescent="0.15">
      <c r="C1251" s="43" t="s">
        <v>1307</v>
      </c>
      <c r="D1251" s="42">
        <v>25</v>
      </c>
      <c r="E1251" s="42">
        <v>22</v>
      </c>
      <c r="F1251" s="42">
        <v>4</v>
      </c>
      <c r="G1251" s="42">
        <v>0.2</v>
      </c>
      <c r="H1251" s="42">
        <v>1</v>
      </c>
      <c r="I1251" s="42">
        <v>0</v>
      </c>
      <c r="J1251" s="42">
        <v>83</v>
      </c>
      <c r="K1251" s="42">
        <v>0</v>
      </c>
      <c r="L1251" s="42">
        <v>0</v>
      </c>
      <c r="M1251" s="42">
        <v>1</v>
      </c>
      <c r="N1251" s="42">
        <v>0</v>
      </c>
      <c r="O1251">
        <v>0</v>
      </c>
    </row>
    <row r="1252" spans="3:15" x14ac:dyDescent="0.15">
      <c r="C1252" s="43" t="s">
        <v>1308</v>
      </c>
      <c r="D1252" s="42">
        <v>3</v>
      </c>
      <c r="E1252" s="42">
        <v>41</v>
      </c>
      <c r="F1252" s="42">
        <v>4</v>
      </c>
      <c r="G1252" s="42">
        <v>0.2</v>
      </c>
      <c r="H1252" s="42">
        <v>1</v>
      </c>
      <c r="I1252" s="42">
        <v>0</v>
      </c>
      <c r="J1252" s="42">
        <v>0</v>
      </c>
      <c r="K1252" s="42">
        <v>0</v>
      </c>
      <c r="L1252" s="42">
        <v>0</v>
      </c>
      <c r="M1252" s="42">
        <v>1</v>
      </c>
      <c r="N1252" s="42">
        <v>0</v>
      </c>
      <c r="O1252">
        <v>0</v>
      </c>
    </row>
    <row r="1253" spans="3:15" x14ac:dyDescent="0.15">
      <c r="C1253" s="43" t="s">
        <v>1309</v>
      </c>
      <c r="D1253" s="42">
        <v>39</v>
      </c>
      <c r="E1253" s="42">
        <v>42</v>
      </c>
      <c r="F1253" s="42">
        <v>3</v>
      </c>
      <c r="G1253" s="42">
        <v>0.5</v>
      </c>
      <c r="H1253" s="42">
        <v>0</v>
      </c>
      <c r="I1253" s="42">
        <v>1</v>
      </c>
      <c r="J1253" s="42">
        <v>116</v>
      </c>
      <c r="K1253" s="42">
        <v>0</v>
      </c>
      <c r="L1253" s="42">
        <v>0</v>
      </c>
      <c r="M1253" s="42">
        <v>1</v>
      </c>
      <c r="N1253" s="42">
        <v>0</v>
      </c>
      <c r="O1253">
        <v>0</v>
      </c>
    </row>
    <row r="1254" spans="3:15" x14ac:dyDescent="0.15">
      <c r="C1254" s="43" t="s">
        <v>1310</v>
      </c>
      <c r="D1254" s="42">
        <v>35</v>
      </c>
      <c r="E1254" s="42">
        <v>119</v>
      </c>
      <c r="F1254" s="42">
        <v>2</v>
      </c>
      <c r="G1254" s="42">
        <v>3.9</v>
      </c>
      <c r="H1254" s="42">
        <v>1</v>
      </c>
      <c r="I1254" s="42">
        <v>0</v>
      </c>
      <c r="J1254" s="42">
        <v>0</v>
      </c>
      <c r="K1254" s="42">
        <v>1</v>
      </c>
      <c r="L1254" s="42">
        <v>0</v>
      </c>
      <c r="M1254" s="42">
        <v>1</v>
      </c>
      <c r="N1254" s="42">
        <v>0</v>
      </c>
      <c r="O1254">
        <v>0</v>
      </c>
    </row>
    <row r="1255" spans="3:15" x14ac:dyDescent="0.15">
      <c r="C1255" s="43" t="s">
        <v>1311</v>
      </c>
      <c r="D1255" s="42">
        <v>27</v>
      </c>
      <c r="E1255" s="42">
        <v>72</v>
      </c>
      <c r="F1255" s="42">
        <v>2</v>
      </c>
      <c r="G1255" s="42">
        <v>1.5</v>
      </c>
      <c r="H1255" s="42">
        <v>0</v>
      </c>
      <c r="I1255" s="42">
        <v>1</v>
      </c>
      <c r="J1255" s="42">
        <v>0</v>
      </c>
      <c r="K1255" s="42">
        <v>0</v>
      </c>
      <c r="L1255" s="42">
        <v>0</v>
      </c>
      <c r="M1255" s="42">
        <v>1</v>
      </c>
      <c r="N1255" s="42">
        <v>0</v>
      </c>
      <c r="O1255">
        <v>0</v>
      </c>
    </row>
    <row r="1256" spans="3:15" x14ac:dyDescent="0.15">
      <c r="C1256" s="43" t="s">
        <v>1312</v>
      </c>
      <c r="D1256" s="42">
        <v>23</v>
      </c>
      <c r="E1256" s="42">
        <v>58</v>
      </c>
      <c r="F1256" s="42">
        <v>4</v>
      </c>
      <c r="G1256" s="42">
        <v>2.6</v>
      </c>
      <c r="H1256" s="42">
        <v>1</v>
      </c>
      <c r="I1256" s="42">
        <v>0</v>
      </c>
      <c r="J1256" s="42">
        <v>188</v>
      </c>
      <c r="K1256" s="42">
        <v>0</v>
      </c>
      <c r="L1256" s="42">
        <v>0</v>
      </c>
      <c r="M1256" s="42">
        <v>0</v>
      </c>
      <c r="N1256" s="42">
        <v>0</v>
      </c>
      <c r="O1256">
        <v>0</v>
      </c>
    </row>
    <row r="1257" spans="3:15" x14ac:dyDescent="0.15">
      <c r="C1257" s="43" t="s">
        <v>1313</v>
      </c>
      <c r="D1257" s="42">
        <v>3</v>
      </c>
      <c r="E1257" s="42">
        <v>135</v>
      </c>
      <c r="F1257" s="42">
        <v>2</v>
      </c>
      <c r="G1257" s="42">
        <v>3.3</v>
      </c>
      <c r="H1257" s="42">
        <v>1</v>
      </c>
      <c r="I1257" s="42">
        <v>0</v>
      </c>
      <c r="J1257" s="42">
        <v>0</v>
      </c>
      <c r="K1257" s="42">
        <v>0</v>
      </c>
      <c r="L1257" s="42">
        <v>0</v>
      </c>
      <c r="M1257" s="42">
        <v>0</v>
      </c>
      <c r="N1257" s="42">
        <v>1</v>
      </c>
      <c r="O1257">
        <v>0</v>
      </c>
    </row>
    <row r="1258" spans="3:15" x14ac:dyDescent="0.15">
      <c r="C1258" s="43" t="s">
        <v>1314</v>
      </c>
      <c r="D1258" s="42">
        <v>29</v>
      </c>
      <c r="E1258" s="42">
        <v>24</v>
      </c>
      <c r="F1258" s="42">
        <v>2</v>
      </c>
      <c r="G1258" s="42">
        <v>0.2</v>
      </c>
      <c r="H1258" s="42">
        <v>1</v>
      </c>
      <c r="I1258" s="42">
        <v>0</v>
      </c>
      <c r="J1258" s="42">
        <v>0</v>
      </c>
      <c r="K1258" s="42">
        <v>0</v>
      </c>
      <c r="L1258" s="42">
        <v>0</v>
      </c>
      <c r="M1258" s="42">
        <v>0</v>
      </c>
      <c r="N1258" s="42">
        <v>1</v>
      </c>
      <c r="O1258">
        <v>0</v>
      </c>
    </row>
    <row r="1259" spans="3:15" x14ac:dyDescent="0.15">
      <c r="C1259" s="43" t="s">
        <v>1315</v>
      </c>
      <c r="D1259" s="42">
        <v>39</v>
      </c>
      <c r="E1259" s="42">
        <v>73</v>
      </c>
      <c r="F1259" s="42">
        <v>3</v>
      </c>
      <c r="G1259" s="42">
        <v>2.4</v>
      </c>
      <c r="H1259" s="42">
        <v>1</v>
      </c>
      <c r="I1259" s="42">
        <v>0</v>
      </c>
      <c r="J1259" s="42">
        <v>185</v>
      </c>
      <c r="K1259" s="42">
        <v>0</v>
      </c>
      <c r="L1259" s="42">
        <v>0</v>
      </c>
      <c r="M1259" s="42">
        <v>0</v>
      </c>
      <c r="N1259" s="42">
        <v>0</v>
      </c>
      <c r="O1259">
        <v>0</v>
      </c>
    </row>
    <row r="1260" spans="3:15" x14ac:dyDescent="0.15">
      <c r="C1260" s="43" t="s">
        <v>1316</v>
      </c>
      <c r="D1260" s="42">
        <v>12</v>
      </c>
      <c r="E1260" s="42">
        <v>38</v>
      </c>
      <c r="F1260" s="42">
        <v>1</v>
      </c>
      <c r="G1260" s="42">
        <v>1.5</v>
      </c>
      <c r="H1260" s="42">
        <v>0</v>
      </c>
      <c r="I1260" s="42">
        <v>1</v>
      </c>
      <c r="J1260" s="42">
        <v>0</v>
      </c>
      <c r="K1260" s="42">
        <v>0</v>
      </c>
      <c r="L1260" s="42">
        <v>0</v>
      </c>
      <c r="M1260" s="42">
        <v>0</v>
      </c>
      <c r="N1260" s="42">
        <v>0</v>
      </c>
      <c r="O1260">
        <v>0</v>
      </c>
    </row>
    <row r="1261" spans="3:15" x14ac:dyDescent="0.15">
      <c r="C1261" s="43" t="s">
        <v>1317</v>
      </c>
      <c r="D1261" s="42">
        <v>19</v>
      </c>
      <c r="E1261" s="42">
        <v>60</v>
      </c>
      <c r="F1261" s="42">
        <v>1</v>
      </c>
      <c r="G1261" s="42">
        <v>0.7</v>
      </c>
      <c r="H1261" s="42">
        <v>0</v>
      </c>
      <c r="I1261" s="42">
        <v>0</v>
      </c>
      <c r="J1261" s="42">
        <v>159</v>
      </c>
      <c r="K1261" s="42">
        <v>0</v>
      </c>
      <c r="L1261" s="42">
        <v>0</v>
      </c>
      <c r="M1261" s="42">
        <v>1</v>
      </c>
      <c r="N1261" s="42">
        <v>0</v>
      </c>
      <c r="O1261">
        <v>0</v>
      </c>
    </row>
    <row r="1262" spans="3:15" x14ac:dyDescent="0.15">
      <c r="C1262" s="43" t="s">
        <v>1318</v>
      </c>
      <c r="D1262" s="42">
        <v>27</v>
      </c>
      <c r="E1262" s="42">
        <v>33</v>
      </c>
      <c r="F1262" s="42">
        <v>2</v>
      </c>
      <c r="G1262" s="42">
        <v>2</v>
      </c>
      <c r="H1262" s="42">
        <v>0</v>
      </c>
      <c r="I1262" s="42">
        <v>1</v>
      </c>
      <c r="J1262" s="42">
        <v>0</v>
      </c>
      <c r="K1262" s="42">
        <v>0</v>
      </c>
      <c r="L1262" s="42">
        <v>0</v>
      </c>
      <c r="M1262" s="42">
        <v>1</v>
      </c>
      <c r="N1262" s="42">
        <v>0</v>
      </c>
      <c r="O1262">
        <v>0</v>
      </c>
    </row>
    <row r="1263" spans="3:15" x14ac:dyDescent="0.15">
      <c r="C1263" s="43" t="s">
        <v>1319</v>
      </c>
      <c r="D1263" s="42">
        <v>5</v>
      </c>
      <c r="E1263" s="42">
        <v>178</v>
      </c>
      <c r="F1263" s="42">
        <v>2</v>
      </c>
      <c r="G1263" s="42">
        <v>6.7</v>
      </c>
      <c r="H1263" s="42">
        <v>1</v>
      </c>
      <c r="I1263" s="42">
        <v>0</v>
      </c>
      <c r="J1263" s="42">
        <v>0</v>
      </c>
      <c r="K1263" s="42">
        <v>0</v>
      </c>
      <c r="L1263" s="42">
        <v>0</v>
      </c>
      <c r="M1263" s="42">
        <v>0</v>
      </c>
      <c r="N1263" s="42">
        <v>0</v>
      </c>
      <c r="O1263">
        <v>0</v>
      </c>
    </row>
    <row r="1264" spans="3:15" x14ac:dyDescent="0.15">
      <c r="C1264" s="43" t="s">
        <v>1320</v>
      </c>
      <c r="D1264" s="42">
        <v>39</v>
      </c>
      <c r="E1264" s="42">
        <v>35</v>
      </c>
      <c r="F1264" s="42">
        <v>1</v>
      </c>
      <c r="G1264" s="42">
        <v>1.5</v>
      </c>
      <c r="H1264" s="42">
        <v>0</v>
      </c>
      <c r="I1264" s="42">
        <v>1</v>
      </c>
      <c r="J1264" s="42">
        <v>0</v>
      </c>
      <c r="K1264" s="42">
        <v>1</v>
      </c>
      <c r="L1264" s="42">
        <v>0</v>
      </c>
      <c r="M1264" s="42">
        <v>0</v>
      </c>
      <c r="N1264" s="42">
        <v>0</v>
      </c>
      <c r="O1264">
        <v>0</v>
      </c>
    </row>
    <row r="1265" spans="3:15" x14ac:dyDescent="0.15">
      <c r="C1265" s="43" t="s">
        <v>1321</v>
      </c>
      <c r="D1265" s="42">
        <v>0</v>
      </c>
      <c r="E1265" s="42">
        <v>15</v>
      </c>
      <c r="F1265" s="42">
        <v>4</v>
      </c>
      <c r="G1265" s="42">
        <v>0.4</v>
      </c>
      <c r="H1265" s="42">
        <v>1</v>
      </c>
      <c r="I1265" s="42">
        <v>0</v>
      </c>
      <c r="J1265" s="42">
        <v>0</v>
      </c>
      <c r="K1265" s="42">
        <v>0</v>
      </c>
      <c r="L1265" s="42">
        <v>0</v>
      </c>
      <c r="M1265" s="42">
        <v>0</v>
      </c>
      <c r="N1265" s="42">
        <v>1</v>
      </c>
      <c r="O1265">
        <v>0</v>
      </c>
    </row>
    <row r="1266" spans="3:15" x14ac:dyDescent="0.15">
      <c r="C1266" s="43" t="s">
        <v>1322</v>
      </c>
      <c r="D1266" s="42">
        <v>8</v>
      </c>
      <c r="E1266" s="42">
        <v>8</v>
      </c>
      <c r="F1266" s="42">
        <v>3</v>
      </c>
      <c r="G1266" s="42">
        <v>0.1</v>
      </c>
      <c r="H1266" s="42">
        <v>0</v>
      </c>
      <c r="I1266" s="42">
        <v>1</v>
      </c>
      <c r="J1266" s="42">
        <v>83</v>
      </c>
      <c r="K1266" s="42">
        <v>0</v>
      </c>
      <c r="L1266" s="42">
        <v>0</v>
      </c>
      <c r="M1266" s="42">
        <v>1</v>
      </c>
      <c r="N1266" s="42">
        <v>0</v>
      </c>
      <c r="O1266">
        <v>0</v>
      </c>
    </row>
    <row r="1267" spans="3:15" x14ac:dyDescent="0.15">
      <c r="C1267" s="43" t="s">
        <v>1323</v>
      </c>
      <c r="D1267" s="42">
        <v>21</v>
      </c>
      <c r="E1267" s="42">
        <v>52</v>
      </c>
      <c r="F1267" s="42">
        <v>3</v>
      </c>
      <c r="G1267" s="42">
        <v>2.7</v>
      </c>
      <c r="H1267" s="42">
        <v>0</v>
      </c>
      <c r="I1267" s="42">
        <v>1</v>
      </c>
      <c r="J1267" s="42">
        <v>228</v>
      </c>
      <c r="K1267" s="42">
        <v>0</v>
      </c>
      <c r="L1267" s="42">
        <v>0</v>
      </c>
      <c r="M1267" s="42">
        <v>0</v>
      </c>
      <c r="N1267" s="42">
        <v>1</v>
      </c>
      <c r="O1267">
        <v>0</v>
      </c>
    </row>
    <row r="1268" spans="3:15" x14ac:dyDescent="0.15">
      <c r="C1268" s="43" t="s">
        <v>1324</v>
      </c>
      <c r="D1268" s="42">
        <v>17</v>
      </c>
      <c r="E1268" s="42">
        <v>138</v>
      </c>
      <c r="F1268" s="42">
        <v>3</v>
      </c>
      <c r="G1268" s="42">
        <v>6.9</v>
      </c>
      <c r="H1268" s="42">
        <v>0</v>
      </c>
      <c r="I1268" s="42">
        <v>1</v>
      </c>
      <c r="J1268" s="42">
        <v>0</v>
      </c>
      <c r="K1268" s="42">
        <v>0</v>
      </c>
      <c r="L1268" s="42">
        <v>0</v>
      </c>
      <c r="M1268" s="42">
        <v>1</v>
      </c>
      <c r="N1268" s="42">
        <v>0</v>
      </c>
      <c r="O1268">
        <v>1</v>
      </c>
    </row>
    <row r="1269" spans="3:15" x14ac:dyDescent="0.15">
      <c r="C1269" s="43" t="s">
        <v>1325</v>
      </c>
      <c r="D1269" s="42">
        <v>11</v>
      </c>
      <c r="E1269" s="42">
        <v>34</v>
      </c>
      <c r="F1269" s="42">
        <v>3</v>
      </c>
      <c r="G1269" s="42">
        <v>0.2</v>
      </c>
      <c r="H1269" s="42">
        <v>0</v>
      </c>
      <c r="I1269" s="42">
        <v>1</v>
      </c>
      <c r="J1269" s="42">
        <v>0</v>
      </c>
      <c r="K1269" s="42">
        <v>0</v>
      </c>
      <c r="L1269" s="42">
        <v>0</v>
      </c>
      <c r="M1269" s="42">
        <v>0</v>
      </c>
      <c r="N1269" s="42">
        <v>0</v>
      </c>
      <c r="O1269">
        <v>0</v>
      </c>
    </row>
    <row r="1270" spans="3:15" x14ac:dyDescent="0.15">
      <c r="C1270" s="43" t="s">
        <v>1326</v>
      </c>
      <c r="D1270" s="42">
        <v>9</v>
      </c>
      <c r="E1270" s="42">
        <v>68</v>
      </c>
      <c r="F1270" s="42">
        <v>1</v>
      </c>
      <c r="G1270" s="42">
        <v>2.8</v>
      </c>
      <c r="H1270" s="42">
        <v>1</v>
      </c>
      <c r="I1270" s="42">
        <v>0</v>
      </c>
      <c r="J1270" s="42">
        <v>0</v>
      </c>
      <c r="K1270" s="42">
        <v>0</v>
      </c>
      <c r="L1270" s="42">
        <v>0</v>
      </c>
      <c r="M1270" s="42">
        <v>1</v>
      </c>
      <c r="N1270" s="42">
        <v>0</v>
      </c>
      <c r="O1270">
        <v>0</v>
      </c>
    </row>
    <row r="1271" spans="3:15" x14ac:dyDescent="0.15">
      <c r="C1271" s="43" t="s">
        <v>1327</v>
      </c>
      <c r="D1271" s="42">
        <v>33</v>
      </c>
      <c r="E1271" s="42">
        <v>122</v>
      </c>
      <c r="F1271" s="42">
        <v>4</v>
      </c>
      <c r="G1271" s="42">
        <v>0.2</v>
      </c>
      <c r="H1271" s="42">
        <v>0</v>
      </c>
      <c r="I1271" s="42">
        <v>1</v>
      </c>
      <c r="J1271" s="42">
        <v>0</v>
      </c>
      <c r="K1271" s="42">
        <v>0</v>
      </c>
      <c r="L1271" s="42">
        <v>1</v>
      </c>
      <c r="M1271" s="42">
        <v>1</v>
      </c>
      <c r="N1271" s="42">
        <v>0</v>
      </c>
      <c r="O1271">
        <v>1</v>
      </c>
    </row>
    <row r="1272" spans="3:15" x14ac:dyDescent="0.15">
      <c r="C1272" s="43" t="s">
        <v>1328</v>
      </c>
      <c r="D1272" s="42">
        <v>39</v>
      </c>
      <c r="E1272" s="42">
        <v>160</v>
      </c>
      <c r="F1272" s="42">
        <v>2</v>
      </c>
      <c r="G1272" s="42">
        <v>2.1</v>
      </c>
      <c r="H1272" s="42">
        <v>1</v>
      </c>
      <c r="I1272" s="42">
        <v>0</v>
      </c>
      <c r="J1272" s="42">
        <v>0</v>
      </c>
      <c r="K1272" s="42">
        <v>0</v>
      </c>
      <c r="L1272" s="42">
        <v>0</v>
      </c>
      <c r="M1272" s="42">
        <v>0</v>
      </c>
      <c r="N1272" s="42">
        <v>1</v>
      </c>
      <c r="O1272">
        <v>0</v>
      </c>
    </row>
    <row r="1273" spans="3:15" x14ac:dyDescent="0.15">
      <c r="C1273" s="43" t="s">
        <v>1329</v>
      </c>
      <c r="D1273" s="42">
        <v>8</v>
      </c>
      <c r="E1273" s="42">
        <v>8</v>
      </c>
      <c r="F1273" s="42">
        <v>4</v>
      </c>
      <c r="G1273" s="42">
        <v>0.7</v>
      </c>
      <c r="H1273" s="42">
        <v>0</v>
      </c>
      <c r="I1273" s="42">
        <v>1</v>
      </c>
      <c r="J1273" s="42">
        <v>0</v>
      </c>
      <c r="K1273" s="42">
        <v>1</v>
      </c>
      <c r="L1273" s="42">
        <v>0</v>
      </c>
      <c r="M1273" s="42">
        <v>1</v>
      </c>
      <c r="N1273" s="42">
        <v>0</v>
      </c>
      <c r="O1273">
        <v>0</v>
      </c>
    </row>
    <row r="1274" spans="3:15" x14ac:dyDescent="0.15">
      <c r="C1274" s="43" t="s">
        <v>1330</v>
      </c>
      <c r="D1274" s="42">
        <v>33</v>
      </c>
      <c r="E1274" s="42">
        <v>81</v>
      </c>
      <c r="F1274" s="42">
        <v>2</v>
      </c>
      <c r="G1274" s="42">
        <v>0</v>
      </c>
      <c r="H1274" s="42">
        <v>0</v>
      </c>
      <c r="I1274" s="42">
        <v>0</v>
      </c>
      <c r="J1274" s="42">
        <v>0</v>
      </c>
      <c r="K1274" s="42">
        <v>0</v>
      </c>
      <c r="L1274" s="42">
        <v>0</v>
      </c>
      <c r="M1274" s="42">
        <v>1</v>
      </c>
      <c r="N1274" s="42">
        <v>0</v>
      </c>
      <c r="O1274">
        <v>0</v>
      </c>
    </row>
    <row r="1275" spans="3:15" x14ac:dyDescent="0.15">
      <c r="C1275" s="43" t="s">
        <v>1331</v>
      </c>
      <c r="D1275" s="42">
        <v>4</v>
      </c>
      <c r="E1275" s="42">
        <v>59</v>
      </c>
      <c r="F1275" s="42">
        <v>4</v>
      </c>
      <c r="G1275" s="42">
        <v>2.2000000000000002</v>
      </c>
      <c r="H1275" s="42">
        <v>1</v>
      </c>
      <c r="I1275" s="42">
        <v>0</v>
      </c>
      <c r="J1275" s="42">
        <v>232</v>
      </c>
      <c r="K1275" s="42">
        <v>0</v>
      </c>
      <c r="L1275" s="42">
        <v>0</v>
      </c>
      <c r="M1275" s="42">
        <v>1</v>
      </c>
      <c r="N1275" s="42">
        <v>1</v>
      </c>
      <c r="O1275">
        <v>0</v>
      </c>
    </row>
    <row r="1276" spans="3:15" x14ac:dyDescent="0.15">
      <c r="C1276" s="43" t="s">
        <v>1332</v>
      </c>
      <c r="D1276" s="42">
        <v>27</v>
      </c>
      <c r="E1276" s="42">
        <v>90</v>
      </c>
      <c r="F1276" s="42">
        <v>2</v>
      </c>
      <c r="G1276" s="42">
        <v>4.5</v>
      </c>
      <c r="H1276" s="42">
        <v>0</v>
      </c>
      <c r="I1276" s="42">
        <v>0</v>
      </c>
      <c r="J1276" s="42">
        <v>0</v>
      </c>
      <c r="K1276" s="42">
        <v>0</v>
      </c>
      <c r="L1276" s="42">
        <v>0</v>
      </c>
      <c r="M1276" s="42">
        <v>1</v>
      </c>
      <c r="N1276" s="42">
        <v>0</v>
      </c>
      <c r="O1276">
        <v>0</v>
      </c>
    </row>
    <row r="1277" spans="3:15" x14ac:dyDescent="0.15">
      <c r="C1277" s="43" t="s">
        <v>1333</v>
      </c>
      <c r="D1277" s="42">
        <v>17</v>
      </c>
      <c r="E1277" s="42">
        <v>45</v>
      </c>
      <c r="F1277" s="42">
        <v>1</v>
      </c>
      <c r="G1277" s="42">
        <v>1.8</v>
      </c>
      <c r="H1277" s="42">
        <v>1</v>
      </c>
      <c r="I1277" s="42">
        <v>0</v>
      </c>
      <c r="J1277" s="42">
        <v>172</v>
      </c>
      <c r="K1277" s="42">
        <v>1</v>
      </c>
      <c r="L1277" s="42">
        <v>0</v>
      </c>
      <c r="M1277" s="42">
        <v>1</v>
      </c>
      <c r="N1277" s="42">
        <v>0</v>
      </c>
      <c r="O1277">
        <v>0</v>
      </c>
    </row>
    <row r="1278" spans="3:15" x14ac:dyDescent="0.15">
      <c r="C1278" s="43" t="s">
        <v>1334</v>
      </c>
      <c r="D1278" s="42">
        <v>25</v>
      </c>
      <c r="E1278" s="42">
        <v>69</v>
      </c>
      <c r="F1278" s="42">
        <v>1</v>
      </c>
      <c r="G1278" s="42">
        <v>0.3</v>
      </c>
      <c r="H1278" s="42">
        <v>1</v>
      </c>
      <c r="I1278" s="42">
        <v>0</v>
      </c>
      <c r="J1278" s="42">
        <v>0</v>
      </c>
      <c r="K1278" s="42">
        <v>0</v>
      </c>
      <c r="L1278" s="42">
        <v>0</v>
      </c>
      <c r="M1278" s="42">
        <v>1</v>
      </c>
      <c r="N1278" s="42">
        <v>1</v>
      </c>
      <c r="O1278">
        <v>0</v>
      </c>
    </row>
    <row r="1279" spans="3:15" x14ac:dyDescent="0.15">
      <c r="C1279" s="43" t="s">
        <v>1335</v>
      </c>
      <c r="D1279" s="42">
        <v>32</v>
      </c>
      <c r="E1279" s="42">
        <v>39</v>
      </c>
      <c r="F1279" s="42">
        <v>4</v>
      </c>
      <c r="G1279" s="42">
        <v>0.9</v>
      </c>
      <c r="H1279" s="42">
        <v>1</v>
      </c>
      <c r="I1279" s="42">
        <v>0</v>
      </c>
      <c r="J1279" s="42">
        <v>0</v>
      </c>
      <c r="K1279" s="42">
        <v>0</v>
      </c>
      <c r="L1279" s="42">
        <v>0</v>
      </c>
      <c r="M1279" s="42">
        <v>1</v>
      </c>
      <c r="N1279" s="42">
        <v>1</v>
      </c>
      <c r="O1279">
        <v>0</v>
      </c>
    </row>
    <row r="1280" spans="3:15" x14ac:dyDescent="0.15">
      <c r="C1280" s="43" t="s">
        <v>1336</v>
      </c>
      <c r="D1280" s="42">
        <v>15</v>
      </c>
      <c r="E1280" s="42">
        <v>80</v>
      </c>
      <c r="F1280" s="42">
        <v>1</v>
      </c>
      <c r="G1280" s="42">
        <v>5.2</v>
      </c>
      <c r="H1280" s="42">
        <v>1</v>
      </c>
      <c r="I1280" s="42">
        <v>0</v>
      </c>
      <c r="J1280" s="42">
        <v>0</v>
      </c>
      <c r="K1280" s="42">
        <v>0</v>
      </c>
      <c r="L1280" s="42">
        <v>0</v>
      </c>
      <c r="M1280" s="42">
        <v>0</v>
      </c>
      <c r="N1280" s="42">
        <v>0</v>
      </c>
      <c r="O1280">
        <v>0</v>
      </c>
    </row>
    <row r="1281" spans="3:15" x14ac:dyDescent="0.15">
      <c r="C1281" s="43" t="s">
        <v>1337</v>
      </c>
      <c r="D1281" s="42">
        <v>21</v>
      </c>
      <c r="E1281" s="42">
        <v>78</v>
      </c>
      <c r="F1281" s="42">
        <v>3</v>
      </c>
      <c r="G1281" s="42">
        <v>2</v>
      </c>
      <c r="H1281" s="42">
        <v>0</v>
      </c>
      <c r="I1281" s="42">
        <v>1</v>
      </c>
      <c r="J1281" s="42">
        <v>0</v>
      </c>
      <c r="K1281" s="42">
        <v>0</v>
      </c>
      <c r="L1281" s="42">
        <v>0</v>
      </c>
      <c r="M1281" s="42">
        <v>1</v>
      </c>
      <c r="N1281" s="42">
        <v>1</v>
      </c>
      <c r="O1281">
        <v>0</v>
      </c>
    </row>
    <row r="1282" spans="3:15" x14ac:dyDescent="0.15">
      <c r="C1282" s="43" t="s">
        <v>1338</v>
      </c>
      <c r="D1282" s="42">
        <v>36</v>
      </c>
      <c r="E1282" s="42">
        <v>41</v>
      </c>
      <c r="F1282" s="42">
        <v>4</v>
      </c>
      <c r="G1282" s="42">
        <v>1.3</v>
      </c>
      <c r="H1282" s="42">
        <v>1</v>
      </c>
      <c r="I1282" s="42">
        <v>0</v>
      </c>
      <c r="J1282" s="42">
        <v>174</v>
      </c>
      <c r="K1282" s="42">
        <v>0</v>
      </c>
      <c r="L1282" s="42">
        <v>0</v>
      </c>
      <c r="M1282" s="42">
        <v>1</v>
      </c>
      <c r="N1282" s="42">
        <v>1</v>
      </c>
      <c r="O1282">
        <v>0</v>
      </c>
    </row>
    <row r="1283" spans="3:15" x14ac:dyDescent="0.15">
      <c r="C1283" s="43" t="s">
        <v>1339</v>
      </c>
      <c r="D1283" s="42">
        <v>12</v>
      </c>
      <c r="E1283" s="42">
        <v>188</v>
      </c>
      <c r="F1283" s="42">
        <v>2</v>
      </c>
      <c r="G1283" s="42">
        <v>6.5</v>
      </c>
      <c r="H1283" s="42">
        <v>1</v>
      </c>
      <c r="I1283" s="42">
        <v>0</v>
      </c>
      <c r="J1283" s="42">
        <v>0</v>
      </c>
      <c r="K1283" s="42">
        <v>0</v>
      </c>
      <c r="L1283" s="42">
        <v>0</v>
      </c>
      <c r="M1283" s="42">
        <v>1</v>
      </c>
      <c r="N1283" s="42">
        <v>1</v>
      </c>
      <c r="O1283">
        <v>0</v>
      </c>
    </row>
    <row r="1284" spans="3:15" x14ac:dyDescent="0.15">
      <c r="C1284" s="43" t="s">
        <v>1340</v>
      </c>
      <c r="D1284" s="42">
        <v>27</v>
      </c>
      <c r="E1284" s="42">
        <v>89</v>
      </c>
      <c r="F1284" s="42">
        <v>1</v>
      </c>
      <c r="G1284" s="42">
        <v>0.8</v>
      </c>
      <c r="H1284" s="42">
        <v>0</v>
      </c>
      <c r="I1284" s="42">
        <v>0</v>
      </c>
      <c r="J1284" s="42">
        <v>0</v>
      </c>
      <c r="K1284" s="42">
        <v>1</v>
      </c>
      <c r="L1284" s="42">
        <v>0</v>
      </c>
      <c r="M1284" s="42">
        <v>1</v>
      </c>
      <c r="N1284" s="42">
        <v>0</v>
      </c>
      <c r="O1284">
        <v>0</v>
      </c>
    </row>
    <row r="1285" spans="3:15" x14ac:dyDescent="0.15">
      <c r="C1285" s="43" t="s">
        <v>1341</v>
      </c>
      <c r="D1285" s="42">
        <v>25</v>
      </c>
      <c r="E1285" s="42">
        <v>42</v>
      </c>
      <c r="F1285" s="42">
        <v>3</v>
      </c>
      <c r="G1285" s="42">
        <v>1.7</v>
      </c>
      <c r="H1285" s="42">
        <v>0</v>
      </c>
      <c r="I1285" s="42">
        <v>1</v>
      </c>
      <c r="J1285" s="42">
        <v>0</v>
      </c>
      <c r="K1285" s="42">
        <v>0</v>
      </c>
      <c r="L1285" s="42">
        <v>0</v>
      </c>
      <c r="M1285" s="42">
        <v>1</v>
      </c>
      <c r="N1285" s="42">
        <v>0</v>
      </c>
      <c r="O1285">
        <v>0</v>
      </c>
    </row>
    <row r="1286" spans="3:15" x14ac:dyDescent="0.15">
      <c r="C1286" s="43" t="s">
        <v>1342</v>
      </c>
      <c r="D1286" s="42">
        <v>9</v>
      </c>
      <c r="E1286" s="42">
        <v>14</v>
      </c>
      <c r="F1286" s="42">
        <v>3</v>
      </c>
      <c r="G1286" s="42">
        <v>0.9</v>
      </c>
      <c r="H1286" s="42">
        <v>0</v>
      </c>
      <c r="I1286" s="42">
        <v>0</v>
      </c>
      <c r="J1286" s="42">
        <v>114</v>
      </c>
      <c r="K1286" s="42">
        <v>0</v>
      </c>
      <c r="L1286" s="42">
        <v>0</v>
      </c>
      <c r="M1286" s="42">
        <v>0</v>
      </c>
      <c r="N1286" s="42">
        <v>0</v>
      </c>
      <c r="O1286">
        <v>0</v>
      </c>
    </row>
    <row r="1287" spans="3:15" x14ac:dyDescent="0.15">
      <c r="C1287" s="43" t="s">
        <v>1343</v>
      </c>
      <c r="D1287" s="42">
        <v>23</v>
      </c>
      <c r="E1287" s="42">
        <v>125</v>
      </c>
      <c r="F1287" s="42">
        <v>1</v>
      </c>
      <c r="G1287" s="42">
        <v>7.3</v>
      </c>
      <c r="H1287" s="42">
        <v>1</v>
      </c>
      <c r="I1287" s="42">
        <v>0</v>
      </c>
      <c r="J1287" s="42">
        <v>0</v>
      </c>
      <c r="K1287" s="42">
        <v>0</v>
      </c>
      <c r="L1287" s="42">
        <v>0</v>
      </c>
      <c r="M1287" s="42">
        <v>0</v>
      </c>
      <c r="N1287" s="42">
        <v>0</v>
      </c>
      <c r="O1287">
        <v>0</v>
      </c>
    </row>
    <row r="1288" spans="3:15" x14ac:dyDescent="0.15">
      <c r="C1288" s="43" t="s">
        <v>1344</v>
      </c>
      <c r="D1288" s="42">
        <v>28</v>
      </c>
      <c r="E1288" s="42">
        <v>90</v>
      </c>
      <c r="F1288" s="42">
        <v>1</v>
      </c>
      <c r="G1288" s="42">
        <v>2.6</v>
      </c>
      <c r="H1288" s="42">
        <v>0</v>
      </c>
      <c r="I1288" s="42">
        <v>1</v>
      </c>
      <c r="J1288" s="42">
        <v>0</v>
      </c>
      <c r="K1288" s="42">
        <v>1</v>
      </c>
      <c r="L1288" s="42">
        <v>0</v>
      </c>
      <c r="M1288" s="42">
        <v>1</v>
      </c>
      <c r="N1288" s="42">
        <v>0</v>
      </c>
      <c r="O1288">
        <v>0</v>
      </c>
    </row>
    <row r="1289" spans="3:15" x14ac:dyDescent="0.15">
      <c r="C1289" s="43" t="s">
        <v>1345</v>
      </c>
      <c r="D1289" s="42">
        <v>37</v>
      </c>
      <c r="E1289" s="42">
        <v>41</v>
      </c>
      <c r="F1289" s="42">
        <v>3</v>
      </c>
      <c r="G1289" s="42">
        <v>0.9</v>
      </c>
      <c r="H1289" s="42">
        <v>0</v>
      </c>
      <c r="I1289" s="42">
        <v>0</v>
      </c>
      <c r="J1289" s="42">
        <v>0</v>
      </c>
      <c r="K1289" s="42">
        <v>0</v>
      </c>
      <c r="L1289" s="42">
        <v>0</v>
      </c>
      <c r="M1289" s="42">
        <v>1</v>
      </c>
      <c r="N1289" s="42">
        <v>1</v>
      </c>
      <c r="O1289">
        <v>0</v>
      </c>
    </row>
    <row r="1290" spans="3:15" x14ac:dyDescent="0.15">
      <c r="C1290" s="43" t="s">
        <v>1346</v>
      </c>
      <c r="D1290" s="42">
        <v>25</v>
      </c>
      <c r="E1290" s="42">
        <v>181</v>
      </c>
      <c r="F1290" s="42">
        <v>1</v>
      </c>
      <c r="G1290" s="42">
        <v>1.7</v>
      </c>
      <c r="H1290" s="42">
        <v>1</v>
      </c>
      <c r="I1290" s="42">
        <v>0</v>
      </c>
      <c r="J1290" s="42">
        <v>0</v>
      </c>
      <c r="K1290" s="42">
        <v>0</v>
      </c>
      <c r="L1290" s="42">
        <v>0</v>
      </c>
      <c r="M1290" s="42">
        <v>1</v>
      </c>
      <c r="N1290" s="42">
        <v>1</v>
      </c>
      <c r="O1290">
        <v>0</v>
      </c>
    </row>
    <row r="1291" spans="3:15" x14ac:dyDescent="0.15">
      <c r="C1291" s="43" t="s">
        <v>1347</v>
      </c>
      <c r="D1291" s="42">
        <v>5</v>
      </c>
      <c r="E1291" s="42">
        <v>135</v>
      </c>
      <c r="F1291" s="42">
        <v>2</v>
      </c>
      <c r="G1291" s="42">
        <v>0.6</v>
      </c>
      <c r="H1291" s="42">
        <v>1</v>
      </c>
      <c r="I1291" s="42">
        <v>0</v>
      </c>
      <c r="J1291" s="42">
        <v>0</v>
      </c>
      <c r="K1291" s="42">
        <v>0</v>
      </c>
      <c r="L1291" s="42">
        <v>0</v>
      </c>
      <c r="M1291" s="42">
        <v>0</v>
      </c>
      <c r="N1291" s="42">
        <v>0</v>
      </c>
      <c r="O1291">
        <v>0</v>
      </c>
    </row>
    <row r="1292" spans="3:15" x14ac:dyDescent="0.15">
      <c r="C1292" s="43" t="s">
        <v>1348</v>
      </c>
      <c r="D1292" s="42">
        <v>16</v>
      </c>
      <c r="E1292" s="42">
        <v>23</v>
      </c>
      <c r="F1292" s="42">
        <v>2</v>
      </c>
      <c r="G1292" s="42">
        <v>1.4</v>
      </c>
      <c r="H1292" s="42">
        <v>0</v>
      </c>
      <c r="I1292" s="42">
        <v>1</v>
      </c>
      <c r="J1292" s="42">
        <v>0</v>
      </c>
      <c r="K1292" s="42">
        <v>1</v>
      </c>
      <c r="L1292" s="42">
        <v>0</v>
      </c>
      <c r="M1292" s="42">
        <v>1</v>
      </c>
      <c r="N1292" s="42">
        <v>0</v>
      </c>
      <c r="O1292">
        <v>0</v>
      </c>
    </row>
    <row r="1293" spans="3:15" x14ac:dyDescent="0.15">
      <c r="C1293" s="43" t="s">
        <v>1349</v>
      </c>
      <c r="D1293" s="42">
        <v>17</v>
      </c>
      <c r="E1293" s="42">
        <v>28</v>
      </c>
      <c r="F1293" s="42">
        <v>1</v>
      </c>
      <c r="G1293" s="42">
        <v>0.7</v>
      </c>
      <c r="H1293" s="42">
        <v>1</v>
      </c>
      <c r="I1293" s="42">
        <v>0</v>
      </c>
      <c r="J1293" s="42">
        <v>0</v>
      </c>
      <c r="K1293" s="42">
        <v>0</v>
      </c>
      <c r="L1293" s="42">
        <v>0</v>
      </c>
      <c r="M1293" s="42">
        <v>0</v>
      </c>
      <c r="N1293" s="42">
        <v>1</v>
      </c>
      <c r="O1293">
        <v>0</v>
      </c>
    </row>
    <row r="1294" spans="3:15" x14ac:dyDescent="0.15">
      <c r="C1294" s="43" t="s">
        <v>1350</v>
      </c>
      <c r="D1294" s="42">
        <v>41</v>
      </c>
      <c r="E1294" s="42">
        <v>121</v>
      </c>
      <c r="F1294" s="42">
        <v>2</v>
      </c>
      <c r="G1294" s="42">
        <v>2.1</v>
      </c>
      <c r="H1294" s="42">
        <v>1</v>
      </c>
      <c r="I1294" s="42">
        <v>0</v>
      </c>
      <c r="J1294" s="42">
        <v>0</v>
      </c>
      <c r="K1294" s="42">
        <v>0</v>
      </c>
      <c r="L1294" s="42">
        <v>0</v>
      </c>
      <c r="M1294" s="42">
        <v>1</v>
      </c>
      <c r="N1294" s="42">
        <v>0</v>
      </c>
      <c r="O1294">
        <v>0</v>
      </c>
    </row>
    <row r="1295" spans="3:15" x14ac:dyDescent="0.15">
      <c r="C1295" s="43" t="s">
        <v>1351</v>
      </c>
      <c r="D1295" s="42">
        <v>18</v>
      </c>
      <c r="E1295" s="42">
        <v>50</v>
      </c>
      <c r="F1295" s="42">
        <v>4</v>
      </c>
      <c r="G1295" s="42">
        <v>1.9</v>
      </c>
      <c r="H1295" s="42">
        <v>0</v>
      </c>
      <c r="I1295" s="42">
        <v>0</v>
      </c>
      <c r="J1295" s="42">
        <v>0</v>
      </c>
      <c r="K1295" s="42">
        <v>0</v>
      </c>
      <c r="L1295" s="42">
        <v>0</v>
      </c>
      <c r="M1295" s="42">
        <v>0</v>
      </c>
      <c r="N1295" s="42">
        <v>0</v>
      </c>
      <c r="O1295">
        <v>0</v>
      </c>
    </row>
    <row r="1296" spans="3:15" x14ac:dyDescent="0.15">
      <c r="C1296" s="43" t="s">
        <v>1352</v>
      </c>
      <c r="D1296" s="42">
        <v>22</v>
      </c>
      <c r="E1296" s="42">
        <v>79</v>
      </c>
      <c r="F1296" s="42">
        <v>3</v>
      </c>
      <c r="G1296" s="42">
        <v>0.7</v>
      </c>
      <c r="H1296" s="42">
        <v>0</v>
      </c>
      <c r="I1296" s="42">
        <v>1</v>
      </c>
      <c r="J1296" s="42">
        <v>0</v>
      </c>
      <c r="K1296" s="42">
        <v>0</v>
      </c>
      <c r="L1296" s="42">
        <v>0</v>
      </c>
      <c r="M1296" s="42">
        <v>1</v>
      </c>
      <c r="N1296" s="42">
        <v>0</v>
      </c>
      <c r="O1296">
        <v>0</v>
      </c>
    </row>
    <row r="1297" spans="3:15" x14ac:dyDescent="0.15">
      <c r="C1297" s="43" t="s">
        <v>1353</v>
      </c>
      <c r="D1297" s="42">
        <v>38</v>
      </c>
      <c r="E1297" s="42">
        <v>78</v>
      </c>
      <c r="F1297" s="42">
        <v>1</v>
      </c>
      <c r="G1297" s="42">
        <v>1.8</v>
      </c>
      <c r="H1297" s="42">
        <v>0</v>
      </c>
      <c r="I1297" s="42">
        <v>0</v>
      </c>
      <c r="J1297" s="42">
        <v>0</v>
      </c>
      <c r="K1297" s="42">
        <v>0</v>
      </c>
      <c r="L1297" s="42">
        <v>0</v>
      </c>
      <c r="M1297" s="42">
        <v>0</v>
      </c>
      <c r="N1297" s="42">
        <v>0</v>
      </c>
      <c r="O1297">
        <v>0</v>
      </c>
    </row>
    <row r="1298" spans="3:15" x14ac:dyDescent="0.15">
      <c r="C1298" s="43" t="s">
        <v>1354</v>
      </c>
      <c r="D1298" s="42">
        <v>16</v>
      </c>
      <c r="E1298" s="42">
        <v>161</v>
      </c>
      <c r="F1298" s="42">
        <v>3</v>
      </c>
      <c r="G1298" s="42">
        <v>8</v>
      </c>
      <c r="H1298" s="42">
        <v>0</v>
      </c>
      <c r="I1298" s="42">
        <v>1</v>
      </c>
      <c r="J1298" s="42">
        <v>0</v>
      </c>
      <c r="K1298" s="42">
        <v>0</v>
      </c>
      <c r="L1298" s="42">
        <v>1</v>
      </c>
      <c r="M1298" s="42">
        <v>1</v>
      </c>
      <c r="N1298" s="42">
        <v>1</v>
      </c>
      <c r="O1298">
        <v>1</v>
      </c>
    </row>
    <row r="1299" spans="3:15" x14ac:dyDescent="0.15">
      <c r="C1299" s="43" t="s">
        <v>1355</v>
      </c>
      <c r="D1299" s="42">
        <v>10</v>
      </c>
      <c r="E1299" s="42">
        <v>42</v>
      </c>
      <c r="F1299" s="42">
        <v>4</v>
      </c>
      <c r="G1299" s="42">
        <v>1.2</v>
      </c>
      <c r="H1299" s="42">
        <v>0</v>
      </c>
      <c r="I1299" s="42">
        <v>1</v>
      </c>
      <c r="J1299" s="42">
        <v>0</v>
      </c>
      <c r="K1299" s="42">
        <v>0</v>
      </c>
      <c r="L1299" s="42">
        <v>0</v>
      </c>
      <c r="M1299" s="42">
        <v>1</v>
      </c>
      <c r="N1299" s="42">
        <v>1</v>
      </c>
      <c r="O1299">
        <v>0</v>
      </c>
    </row>
    <row r="1300" spans="3:15" x14ac:dyDescent="0.15">
      <c r="C1300" s="43" t="s">
        <v>1356</v>
      </c>
      <c r="D1300" s="42">
        <v>24</v>
      </c>
      <c r="E1300" s="42">
        <v>91</v>
      </c>
      <c r="F1300" s="42">
        <v>1</v>
      </c>
      <c r="G1300" s="42">
        <v>2.8</v>
      </c>
      <c r="H1300" s="42">
        <v>0</v>
      </c>
      <c r="I1300" s="42">
        <v>1</v>
      </c>
      <c r="J1300" s="42">
        <v>0</v>
      </c>
      <c r="K1300" s="42">
        <v>0</v>
      </c>
      <c r="L1300" s="42">
        <v>0</v>
      </c>
      <c r="M1300" s="42">
        <v>0</v>
      </c>
      <c r="N1300" s="42">
        <v>0</v>
      </c>
      <c r="O1300">
        <v>0</v>
      </c>
    </row>
    <row r="1301" spans="3:15" x14ac:dyDescent="0.15">
      <c r="C1301" s="43" t="s">
        <v>1357</v>
      </c>
      <c r="D1301" s="42">
        <v>39</v>
      </c>
      <c r="E1301" s="42">
        <v>75</v>
      </c>
      <c r="F1301" s="42">
        <v>4</v>
      </c>
      <c r="G1301" s="42">
        <v>0.1</v>
      </c>
      <c r="H1301" s="42">
        <v>0</v>
      </c>
      <c r="I1301" s="42">
        <v>1</v>
      </c>
      <c r="J1301" s="42">
        <v>0</v>
      </c>
      <c r="K1301" s="42">
        <v>0</v>
      </c>
      <c r="L1301" s="42">
        <v>1</v>
      </c>
      <c r="M1301" s="42">
        <v>1</v>
      </c>
      <c r="N1301" s="42">
        <v>1</v>
      </c>
      <c r="O1301">
        <v>0</v>
      </c>
    </row>
    <row r="1302" spans="3:15" x14ac:dyDescent="0.15">
      <c r="C1302" s="43" t="s">
        <v>1358</v>
      </c>
      <c r="D1302" s="42">
        <v>4</v>
      </c>
      <c r="E1302" s="42">
        <v>103</v>
      </c>
      <c r="F1302" s="42">
        <v>2</v>
      </c>
      <c r="G1302" s="42">
        <v>2.5</v>
      </c>
      <c r="H1302" s="42">
        <v>1</v>
      </c>
      <c r="I1302" s="42">
        <v>0</v>
      </c>
      <c r="J1302" s="42">
        <v>0</v>
      </c>
      <c r="K1302" s="42">
        <v>0</v>
      </c>
      <c r="L1302" s="42">
        <v>0</v>
      </c>
      <c r="M1302" s="42">
        <v>1</v>
      </c>
      <c r="N1302" s="42">
        <v>1</v>
      </c>
      <c r="O1302">
        <v>0</v>
      </c>
    </row>
    <row r="1303" spans="3:15" x14ac:dyDescent="0.15">
      <c r="C1303" s="43" t="s">
        <v>1359</v>
      </c>
      <c r="D1303" s="42">
        <v>29</v>
      </c>
      <c r="E1303" s="42">
        <v>10</v>
      </c>
      <c r="F1303" s="42">
        <v>2</v>
      </c>
      <c r="G1303" s="42">
        <v>0.4</v>
      </c>
      <c r="H1303" s="42">
        <v>1</v>
      </c>
      <c r="I1303" s="42">
        <v>0</v>
      </c>
      <c r="J1303" s="42">
        <v>0</v>
      </c>
      <c r="K1303" s="42">
        <v>0</v>
      </c>
      <c r="L1303" s="42">
        <v>0</v>
      </c>
      <c r="M1303" s="42">
        <v>0</v>
      </c>
      <c r="N1303" s="42">
        <v>0</v>
      </c>
      <c r="O1303">
        <v>0</v>
      </c>
    </row>
    <row r="1304" spans="3:15" x14ac:dyDescent="0.15">
      <c r="C1304" s="43" t="s">
        <v>1360</v>
      </c>
      <c r="D1304" s="42">
        <v>19</v>
      </c>
      <c r="E1304" s="42">
        <v>34</v>
      </c>
      <c r="F1304" s="42">
        <v>1</v>
      </c>
      <c r="G1304" s="42">
        <v>0.3</v>
      </c>
      <c r="H1304" s="42">
        <v>0</v>
      </c>
      <c r="I1304" s="42">
        <v>0</v>
      </c>
      <c r="J1304" s="42">
        <v>78</v>
      </c>
      <c r="K1304" s="42">
        <v>0</v>
      </c>
      <c r="L1304" s="42">
        <v>0</v>
      </c>
      <c r="M1304" s="42">
        <v>1</v>
      </c>
      <c r="N1304" s="42">
        <v>0</v>
      </c>
      <c r="O1304">
        <v>0</v>
      </c>
    </row>
    <row r="1305" spans="3:15" x14ac:dyDescent="0.15">
      <c r="C1305" s="43" t="s">
        <v>1361</v>
      </c>
      <c r="D1305" s="42">
        <v>25</v>
      </c>
      <c r="E1305" s="42">
        <v>93</v>
      </c>
      <c r="F1305" s="42">
        <v>1</v>
      </c>
      <c r="G1305" s="42">
        <v>2.7</v>
      </c>
      <c r="H1305" s="42">
        <v>1</v>
      </c>
      <c r="I1305" s="42">
        <v>0</v>
      </c>
      <c r="J1305" s="42">
        <v>0</v>
      </c>
      <c r="K1305" s="42">
        <v>1</v>
      </c>
      <c r="L1305" s="42">
        <v>0</v>
      </c>
      <c r="M1305" s="42">
        <v>1</v>
      </c>
      <c r="N1305" s="42">
        <v>0</v>
      </c>
      <c r="O1305">
        <v>0</v>
      </c>
    </row>
    <row r="1306" spans="3:15" x14ac:dyDescent="0.15">
      <c r="C1306" s="43" t="s">
        <v>1362</v>
      </c>
      <c r="D1306" s="42">
        <v>9</v>
      </c>
      <c r="E1306" s="42">
        <v>44</v>
      </c>
      <c r="F1306" s="42">
        <v>3</v>
      </c>
      <c r="G1306" s="42">
        <v>0.9</v>
      </c>
      <c r="H1306" s="42">
        <v>1</v>
      </c>
      <c r="I1306" s="42">
        <v>0</v>
      </c>
      <c r="J1306" s="42">
        <v>89</v>
      </c>
      <c r="K1306" s="42">
        <v>0</v>
      </c>
      <c r="L1306" s="42">
        <v>0</v>
      </c>
      <c r="M1306" s="42">
        <v>0</v>
      </c>
      <c r="N1306" s="42">
        <v>0</v>
      </c>
      <c r="O1306">
        <v>0</v>
      </c>
    </row>
    <row r="1307" spans="3:15" x14ac:dyDescent="0.15">
      <c r="C1307" s="43" t="s">
        <v>1363</v>
      </c>
      <c r="D1307" s="42">
        <v>35</v>
      </c>
      <c r="E1307" s="42">
        <v>41</v>
      </c>
      <c r="F1307" s="42">
        <v>4</v>
      </c>
      <c r="G1307" s="42">
        <v>1.7</v>
      </c>
      <c r="H1307" s="42">
        <v>0</v>
      </c>
      <c r="I1307" s="42">
        <v>1</v>
      </c>
      <c r="J1307" s="42">
        <v>0</v>
      </c>
      <c r="K1307" s="42">
        <v>1</v>
      </c>
      <c r="L1307" s="42">
        <v>0</v>
      </c>
      <c r="M1307" s="42">
        <v>1</v>
      </c>
      <c r="N1307" s="42">
        <v>0</v>
      </c>
      <c r="O1307">
        <v>0</v>
      </c>
    </row>
    <row r="1308" spans="3:15" x14ac:dyDescent="0.15">
      <c r="C1308" s="43" t="s">
        <v>1364</v>
      </c>
      <c r="D1308" s="42">
        <v>30</v>
      </c>
      <c r="E1308" s="42">
        <v>28</v>
      </c>
      <c r="F1308" s="42">
        <v>1</v>
      </c>
      <c r="G1308" s="42">
        <v>1.5</v>
      </c>
      <c r="H1308" s="42">
        <v>0</v>
      </c>
      <c r="I1308" s="42">
        <v>0</v>
      </c>
      <c r="J1308" s="42">
        <v>124</v>
      </c>
      <c r="K1308" s="42">
        <v>1</v>
      </c>
      <c r="L1308" s="42">
        <v>0</v>
      </c>
      <c r="M1308" s="42">
        <v>1</v>
      </c>
      <c r="N1308" s="42">
        <v>0</v>
      </c>
      <c r="O1308">
        <v>0</v>
      </c>
    </row>
    <row r="1309" spans="3:15" x14ac:dyDescent="0.15">
      <c r="C1309" s="43" t="s">
        <v>1365</v>
      </c>
      <c r="D1309" s="42">
        <v>27</v>
      </c>
      <c r="E1309" s="42">
        <v>38</v>
      </c>
      <c r="F1309" s="42">
        <v>2</v>
      </c>
      <c r="G1309" s="42">
        <v>1</v>
      </c>
      <c r="H1309" s="42">
        <v>0</v>
      </c>
      <c r="I1309" s="42">
        <v>0</v>
      </c>
      <c r="J1309" s="42">
        <v>164</v>
      </c>
      <c r="K1309" s="42">
        <v>0</v>
      </c>
      <c r="L1309" s="42">
        <v>0</v>
      </c>
      <c r="M1309" s="42">
        <v>1</v>
      </c>
      <c r="N1309" s="42">
        <v>0</v>
      </c>
      <c r="O1309">
        <v>0</v>
      </c>
    </row>
    <row r="1310" spans="3:15" x14ac:dyDescent="0.15">
      <c r="C1310" s="43" t="s">
        <v>1366</v>
      </c>
      <c r="D1310" s="42">
        <v>29</v>
      </c>
      <c r="E1310" s="42">
        <v>58</v>
      </c>
      <c r="F1310" s="42">
        <v>4</v>
      </c>
      <c r="G1310" s="42">
        <v>1.3</v>
      </c>
      <c r="H1310" s="42">
        <v>0</v>
      </c>
      <c r="I1310" s="42">
        <v>0</v>
      </c>
      <c r="J1310" s="42">
        <v>0</v>
      </c>
      <c r="K1310" s="42">
        <v>0</v>
      </c>
      <c r="L1310" s="42">
        <v>0</v>
      </c>
      <c r="M1310" s="42">
        <v>0</v>
      </c>
      <c r="N1310" s="42">
        <v>0</v>
      </c>
      <c r="O1310">
        <v>0</v>
      </c>
    </row>
    <row r="1311" spans="3:15" x14ac:dyDescent="0.15">
      <c r="C1311" s="43" t="s">
        <v>1367</v>
      </c>
      <c r="D1311" s="42">
        <v>29</v>
      </c>
      <c r="E1311" s="42">
        <v>23</v>
      </c>
      <c r="F1311" s="42">
        <v>1</v>
      </c>
      <c r="G1311" s="42">
        <v>1.5</v>
      </c>
      <c r="H1311" s="42">
        <v>0</v>
      </c>
      <c r="I1311" s="42">
        <v>1</v>
      </c>
      <c r="J1311" s="42">
        <v>0</v>
      </c>
      <c r="K1311" s="42">
        <v>0</v>
      </c>
      <c r="L1311" s="42">
        <v>0</v>
      </c>
      <c r="M1311" s="42">
        <v>0</v>
      </c>
      <c r="N1311" s="42">
        <v>0</v>
      </c>
      <c r="O1311">
        <v>0</v>
      </c>
    </row>
    <row r="1312" spans="3:15" x14ac:dyDescent="0.15">
      <c r="C1312" s="43" t="s">
        <v>1368</v>
      </c>
      <c r="D1312" s="42">
        <v>27</v>
      </c>
      <c r="E1312" s="42">
        <v>33</v>
      </c>
      <c r="F1312" s="42">
        <v>2</v>
      </c>
      <c r="G1312" s="42">
        <v>0.7</v>
      </c>
      <c r="H1312" s="42">
        <v>0</v>
      </c>
      <c r="I1312" s="42">
        <v>1</v>
      </c>
      <c r="J1312" s="42">
        <v>0</v>
      </c>
      <c r="K1312" s="42">
        <v>0</v>
      </c>
      <c r="L1312" s="42">
        <v>0</v>
      </c>
      <c r="M1312" s="42">
        <v>0</v>
      </c>
      <c r="N1312" s="42">
        <v>1</v>
      </c>
      <c r="O1312">
        <v>0</v>
      </c>
    </row>
    <row r="1313" spans="3:15" x14ac:dyDescent="0.15">
      <c r="C1313" s="43" t="s">
        <v>1369</v>
      </c>
      <c r="D1313" s="42">
        <v>20</v>
      </c>
      <c r="E1313" s="42">
        <v>55</v>
      </c>
      <c r="F1313" s="42">
        <v>1</v>
      </c>
      <c r="G1313" s="42">
        <v>0.3</v>
      </c>
      <c r="H1313" s="42">
        <v>1</v>
      </c>
      <c r="I1313" s="42">
        <v>0</v>
      </c>
      <c r="J1313" s="42">
        <v>0</v>
      </c>
      <c r="K1313" s="42">
        <v>0</v>
      </c>
      <c r="L1313" s="42">
        <v>0</v>
      </c>
      <c r="M1313" s="42">
        <v>1</v>
      </c>
      <c r="N1313" s="42">
        <v>1</v>
      </c>
      <c r="O1313">
        <v>0</v>
      </c>
    </row>
    <row r="1314" spans="3:15" x14ac:dyDescent="0.15">
      <c r="C1314" s="43" t="s">
        <v>1370</v>
      </c>
      <c r="D1314" s="42">
        <v>7</v>
      </c>
      <c r="E1314" s="42">
        <v>30</v>
      </c>
      <c r="F1314" s="42">
        <v>2</v>
      </c>
      <c r="G1314" s="42">
        <v>2</v>
      </c>
      <c r="H1314" s="42">
        <v>0</v>
      </c>
      <c r="I1314" s="42">
        <v>0</v>
      </c>
      <c r="J1314" s="42">
        <v>132</v>
      </c>
      <c r="K1314" s="42">
        <v>0</v>
      </c>
      <c r="L1314" s="42">
        <v>0</v>
      </c>
      <c r="M1314" s="42">
        <v>0</v>
      </c>
      <c r="N1314" s="42">
        <v>0</v>
      </c>
      <c r="O1314">
        <v>0</v>
      </c>
    </row>
    <row r="1315" spans="3:15" x14ac:dyDescent="0.15">
      <c r="C1315" s="43" t="s">
        <v>1371</v>
      </c>
      <c r="D1315" s="42">
        <v>29</v>
      </c>
      <c r="E1315" s="42">
        <v>79</v>
      </c>
      <c r="F1315" s="42">
        <v>3</v>
      </c>
      <c r="G1315" s="42">
        <v>0.8</v>
      </c>
      <c r="H1315" s="42">
        <v>1</v>
      </c>
      <c r="I1315" s="42">
        <v>0</v>
      </c>
      <c r="J1315" s="42">
        <v>0</v>
      </c>
      <c r="K1315" s="42">
        <v>0</v>
      </c>
      <c r="L1315" s="42">
        <v>0</v>
      </c>
      <c r="M1315" s="42">
        <v>1</v>
      </c>
      <c r="N1315" s="42">
        <v>0</v>
      </c>
      <c r="O1315">
        <v>0</v>
      </c>
    </row>
    <row r="1316" spans="3:15" x14ac:dyDescent="0.15">
      <c r="C1316" s="43" t="s">
        <v>1372</v>
      </c>
      <c r="D1316" s="42">
        <v>24</v>
      </c>
      <c r="E1316" s="42">
        <v>51</v>
      </c>
      <c r="F1316" s="42">
        <v>1</v>
      </c>
      <c r="G1316" s="42">
        <v>1.3</v>
      </c>
      <c r="H1316" s="42">
        <v>0</v>
      </c>
      <c r="I1316" s="42">
        <v>1</v>
      </c>
      <c r="J1316" s="42">
        <v>0</v>
      </c>
      <c r="K1316" s="42">
        <v>0</v>
      </c>
      <c r="L1316" s="42">
        <v>0</v>
      </c>
      <c r="M1316" s="42">
        <v>0</v>
      </c>
      <c r="N1316" s="42">
        <v>0</v>
      </c>
      <c r="O1316">
        <v>0</v>
      </c>
    </row>
    <row r="1317" spans="3:15" x14ac:dyDescent="0.15">
      <c r="C1317" s="43" t="s">
        <v>1373</v>
      </c>
      <c r="D1317" s="42">
        <v>20</v>
      </c>
      <c r="E1317" s="42">
        <v>82</v>
      </c>
      <c r="F1317" s="42">
        <v>3</v>
      </c>
      <c r="G1317" s="42">
        <v>0.7</v>
      </c>
      <c r="H1317" s="42">
        <v>0</v>
      </c>
      <c r="I1317" s="42">
        <v>1</v>
      </c>
      <c r="J1317" s="42">
        <v>0</v>
      </c>
      <c r="K1317" s="42">
        <v>0</v>
      </c>
      <c r="L1317" s="42">
        <v>0</v>
      </c>
      <c r="M1317" s="42">
        <v>1</v>
      </c>
      <c r="N1317" s="42">
        <v>1</v>
      </c>
      <c r="O1317">
        <v>0</v>
      </c>
    </row>
    <row r="1318" spans="3:15" x14ac:dyDescent="0.15">
      <c r="C1318" s="43" t="s">
        <v>1374</v>
      </c>
      <c r="D1318" s="42">
        <v>7</v>
      </c>
      <c r="E1318" s="42">
        <v>28</v>
      </c>
      <c r="F1318" s="42">
        <v>4</v>
      </c>
      <c r="G1318" s="42">
        <v>1.1000000000000001</v>
      </c>
      <c r="H1318" s="42">
        <v>0</v>
      </c>
      <c r="I1318" s="42">
        <v>0</v>
      </c>
      <c r="J1318" s="42">
        <v>0</v>
      </c>
      <c r="K1318" s="42">
        <v>0</v>
      </c>
      <c r="L1318" s="42">
        <v>0</v>
      </c>
      <c r="M1318" s="42">
        <v>0</v>
      </c>
      <c r="N1318" s="42">
        <v>0</v>
      </c>
      <c r="O1318">
        <v>0</v>
      </c>
    </row>
    <row r="1319" spans="3:15" x14ac:dyDescent="0.15">
      <c r="C1319" s="43" t="s">
        <v>1375</v>
      </c>
      <c r="D1319" s="42">
        <v>21</v>
      </c>
      <c r="E1319" s="42">
        <v>79</v>
      </c>
      <c r="F1319" s="42">
        <v>3</v>
      </c>
      <c r="G1319" s="42">
        <v>1.1000000000000001</v>
      </c>
      <c r="H1319" s="42">
        <v>1</v>
      </c>
      <c r="I1319" s="42">
        <v>0</v>
      </c>
      <c r="J1319" s="42">
        <v>185</v>
      </c>
      <c r="K1319" s="42">
        <v>0</v>
      </c>
      <c r="L1319" s="42">
        <v>0</v>
      </c>
      <c r="M1319" s="42">
        <v>1</v>
      </c>
      <c r="N1319" s="42">
        <v>1</v>
      </c>
      <c r="O1319">
        <v>0</v>
      </c>
    </row>
    <row r="1320" spans="3:15" x14ac:dyDescent="0.15">
      <c r="C1320" s="43" t="s">
        <v>1376</v>
      </c>
      <c r="D1320" s="42">
        <v>13</v>
      </c>
      <c r="E1320" s="42">
        <v>88</v>
      </c>
      <c r="F1320" s="42">
        <v>4</v>
      </c>
      <c r="G1320" s="42">
        <v>1.4</v>
      </c>
      <c r="H1320" s="42">
        <v>0</v>
      </c>
      <c r="I1320" s="42">
        <v>1</v>
      </c>
      <c r="J1320" s="42">
        <v>0</v>
      </c>
      <c r="K1320" s="42">
        <v>0</v>
      </c>
      <c r="L1320" s="42">
        <v>0</v>
      </c>
      <c r="M1320" s="42">
        <v>1</v>
      </c>
      <c r="N1320" s="42">
        <v>1</v>
      </c>
      <c r="O1320">
        <v>0</v>
      </c>
    </row>
    <row r="1321" spans="3:15" x14ac:dyDescent="0.15">
      <c r="C1321" s="43" t="s">
        <v>1377</v>
      </c>
      <c r="D1321" s="42">
        <v>29</v>
      </c>
      <c r="E1321" s="42">
        <v>20</v>
      </c>
      <c r="F1321" s="42">
        <v>4</v>
      </c>
      <c r="G1321" s="42">
        <v>0.2</v>
      </c>
      <c r="H1321" s="42">
        <v>1</v>
      </c>
      <c r="I1321" s="42">
        <v>0</v>
      </c>
      <c r="J1321" s="42">
        <v>0</v>
      </c>
      <c r="K1321" s="42">
        <v>0</v>
      </c>
      <c r="L1321" s="42">
        <v>0</v>
      </c>
      <c r="M1321" s="42">
        <v>1</v>
      </c>
      <c r="N1321" s="42">
        <v>0</v>
      </c>
      <c r="O1321">
        <v>0</v>
      </c>
    </row>
    <row r="1322" spans="3:15" x14ac:dyDescent="0.15">
      <c r="C1322" s="43" t="s">
        <v>1378</v>
      </c>
      <c r="D1322" s="42">
        <v>1</v>
      </c>
      <c r="E1322" s="42">
        <v>98</v>
      </c>
      <c r="F1322" s="42">
        <v>1</v>
      </c>
      <c r="G1322" s="42">
        <v>5.4</v>
      </c>
      <c r="H1322" s="42">
        <v>1</v>
      </c>
      <c r="I1322" s="42">
        <v>0</v>
      </c>
      <c r="J1322" s="42">
        <v>0</v>
      </c>
      <c r="K1322" s="42">
        <v>0</v>
      </c>
      <c r="L1322" s="42">
        <v>0</v>
      </c>
      <c r="M1322" s="42">
        <v>1</v>
      </c>
      <c r="N1322" s="42">
        <v>0</v>
      </c>
      <c r="O1322">
        <v>0</v>
      </c>
    </row>
    <row r="1323" spans="3:15" x14ac:dyDescent="0.15">
      <c r="C1323" s="43" t="s">
        <v>1379</v>
      </c>
      <c r="D1323" s="42">
        <v>0</v>
      </c>
      <c r="E1323" s="42">
        <v>51</v>
      </c>
      <c r="F1323" s="42">
        <v>3</v>
      </c>
      <c r="G1323" s="42">
        <v>0.3</v>
      </c>
      <c r="H1323" s="42">
        <v>0</v>
      </c>
      <c r="I1323" s="42">
        <v>0</v>
      </c>
      <c r="J1323" s="42">
        <v>0</v>
      </c>
      <c r="K1323" s="42">
        <v>0</v>
      </c>
      <c r="L1323" s="42">
        <v>0</v>
      </c>
      <c r="M1323" s="42">
        <v>1</v>
      </c>
      <c r="N1323" s="42">
        <v>0</v>
      </c>
      <c r="O1323">
        <v>0</v>
      </c>
    </row>
    <row r="1324" spans="3:15" x14ac:dyDescent="0.15">
      <c r="C1324" s="43" t="s">
        <v>1380</v>
      </c>
      <c r="D1324" s="42">
        <v>25</v>
      </c>
      <c r="E1324" s="42">
        <v>132</v>
      </c>
      <c r="F1324" s="42">
        <v>1</v>
      </c>
      <c r="G1324" s="42">
        <v>0.3</v>
      </c>
      <c r="H1324" s="42">
        <v>1</v>
      </c>
      <c r="I1324" s="42">
        <v>0</v>
      </c>
      <c r="J1324" s="42">
        <v>0</v>
      </c>
      <c r="K1324" s="42">
        <v>0</v>
      </c>
      <c r="L1324" s="42">
        <v>0</v>
      </c>
      <c r="M1324" s="42">
        <v>1</v>
      </c>
      <c r="N1324" s="42">
        <v>0</v>
      </c>
      <c r="O1324">
        <v>0</v>
      </c>
    </row>
    <row r="1325" spans="3:15" x14ac:dyDescent="0.15">
      <c r="C1325" s="43" t="s">
        <v>1381</v>
      </c>
      <c r="D1325" s="42">
        <v>15</v>
      </c>
      <c r="E1325" s="42">
        <v>45</v>
      </c>
      <c r="F1325" s="42">
        <v>1</v>
      </c>
      <c r="G1325" s="42">
        <v>0.7</v>
      </c>
      <c r="H1325" s="42">
        <v>1</v>
      </c>
      <c r="I1325" s="42">
        <v>0</v>
      </c>
      <c r="J1325" s="42">
        <v>0</v>
      </c>
      <c r="K1325" s="42">
        <v>0</v>
      </c>
      <c r="L1325" s="42">
        <v>0</v>
      </c>
      <c r="M1325" s="42">
        <v>1</v>
      </c>
      <c r="N1325" s="42">
        <v>0</v>
      </c>
      <c r="O1325">
        <v>0</v>
      </c>
    </row>
    <row r="1326" spans="3:15" x14ac:dyDescent="0.15">
      <c r="C1326" s="43" t="s">
        <v>1382</v>
      </c>
      <c r="D1326" s="42">
        <v>5</v>
      </c>
      <c r="E1326" s="42">
        <v>129</v>
      </c>
      <c r="F1326" s="42">
        <v>3</v>
      </c>
      <c r="G1326" s="42">
        <v>5.9</v>
      </c>
      <c r="H1326" s="42">
        <v>0</v>
      </c>
      <c r="I1326" s="42">
        <v>0</v>
      </c>
      <c r="J1326" s="42">
        <v>319</v>
      </c>
      <c r="K1326" s="42">
        <v>1</v>
      </c>
      <c r="L1326" s="42">
        <v>1</v>
      </c>
      <c r="M1326" s="42">
        <v>0</v>
      </c>
      <c r="N1326" s="42">
        <v>1</v>
      </c>
      <c r="O1326">
        <v>1</v>
      </c>
    </row>
    <row r="1327" spans="3:15" x14ac:dyDescent="0.15">
      <c r="C1327" s="43" t="s">
        <v>1383</v>
      </c>
      <c r="D1327" s="42">
        <v>19</v>
      </c>
      <c r="E1327" s="42">
        <v>58</v>
      </c>
      <c r="F1327" s="42">
        <v>2</v>
      </c>
      <c r="G1327" s="42">
        <v>3.2</v>
      </c>
      <c r="H1327" s="42">
        <v>1</v>
      </c>
      <c r="I1327" s="42">
        <v>0</v>
      </c>
      <c r="J1327" s="42">
        <v>0</v>
      </c>
      <c r="K1327" s="42">
        <v>0</v>
      </c>
      <c r="L1327" s="42">
        <v>0</v>
      </c>
      <c r="M1327" s="42">
        <v>1</v>
      </c>
      <c r="N1327" s="42">
        <v>0</v>
      </c>
      <c r="O1327">
        <v>0</v>
      </c>
    </row>
    <row r="1328" spans="3:15" x14ac:dyDescent="0.15">
      <c r="C1328" s="43" t="s">
        <v>1384</v>
      </c>
      <c r="D1328" s="42">
        <v>36</v>
      </c>
      <c r="E1328" s="42">
        <v>41</v>
      </c>
      <c r="F1328" s="42">
        <v>2</v>
      </c>
      <c r="G1328" s="42">
        <v>1</v>
      </c>
      <c r="H1328" s="42">
        <v>0</v>
      </c>
      <c r="I1328" s="42">
        <v>0</v>
      </c>
      <c r="J1328" s="42">
        <v>154</v>
      </c>
      <c r="K1328" s="42">
        <v>1</v>
      </c>
      <c r="L1328" s="42">
        <v>0</v>
      </c>
      <c r="M1328" s="42">
        <v>1</v>
      </c>
      <c r="N1328" s="42">
        <v>0</v>
      </c>
      <c r="O1328">
        <v>0</v>
      </c>
    </row>
    <row r="1329" spans="3:15" x14ac:dyDescent="0.15">
      <c r="C1329" s="43" t="s">
        <v>1385</v>
      </c>
      <c r="D1329" s="42">
        <v>19</v>
      </c>
      <c r="E1329" s="42">
        <v>29</v>
      </c>
      <c r="F1329" s="42">
        <v>3</v>
      </c>
      <c r="G1329" s="42">
        <v>0.5</v>
      </c>
      <c r="H1329" s="42">
        <v>1</v>
      </c>
      <c r="I1329" s="42">
        <v>0</v>
      </c>
      <c r="J1329" s="42">
        <v>97</v>
      </c>
      <c r="K1329" s="42">
        <v>0</v>
      </c>
      <c r="L1329" s="42">
        <v>0</v>
      </c>
      <c r="M1329" s="42">
        <v>1</v>
      </c>
      <c r="N1329" s="42">
        <v>0</v>
      </c>
      <c r="O1329">
        <v>0</v>
      </c>
    </row>
    <row r="1330" spans="3:15" x14ac:dyDescent="0.15">
      <c r="C1330" s="43" t="s">
        <v>1386</v>
      </c>
      <c r="D1330" s="42">
        <v>2</v>
      </c>
      <c r="E1330" s="42">
        <v>48</v>
      </c>
      <c r="F1330" s="42">
        <v>3</v>
      </c>
      <c r="G1330" s="42">
        <v>0.7</v>
      </c>
      <c r="H1330" s="42">
        <v>0</v>
      </c>
      <c r="I1330" s="42">
        <v>1</v>
      </c>
      <c r="J1330" s="42">
        <v>0</v>
      </c>
      <c r="K1330" s="42">
        <v>0</v>
      </c>
      <c r="L1330" s="42">
        <v>0</v>
      </c>
      <c r="M1330" s="42">
        <v>1</v>
      </c>
      <c r="N1330" s="42">
        <v>0</v>
      </c>
      <c r="O1330">
        <v>0</v>
      </c>
    </row>
    <row r="1331" spans="3:15" x14ac:dyDescent="0.15">
      <c r="C1331" s="43" t="s">
        <v>1387</v>
      </c>
      <c r="D1331" s="42">
        <v>31</v>
      </c>
      <c r="E1331" s="42">
        <v>41</v>
      </c>
      <c r="F1331" s="42">
        <v>1</v>
      </c>
      <c r="G1331" s="42">
        <v>0.2</v>
      </c>
      <c r="H1331" s="42">
        <v>1</v>
      </c>
      <c r="I1331" s="42">
        <v>0</v>
      </c>
      <c r="J1331" s="42">
        <v>0</v>
      </c>
      <c r="K1331" s="42">
        <v>0</v>
      </c>
      <c r="L1331" s="42">
        <v>0</v>
      </c>
      <c r="M1331" s="42">
        <v>1</v>
      </c>
      <c r="N1331" s="42">
        <v>1</v>
      </c>
      <c r="O1331">
        <v>0</v>
      </c>
    </row>
    <row r="1332" spans="3:15" x14ac:dyDescent="0.15">
      <c r="C1332" s="43" t="s">
        <v>1388</v>
      </c>
      <c r="D1332" s="42">
        <v>26</v>
      </c>
      <c r="E1332" s="42">
        <v>23</v>
      </c>
      <c r="F1332" s="42">
        <v>4</v>
      </c>
      <c r="G1332" s="42">
        <v>0.2</v>
      </c>
      <c r="H1332" s="42">
        <v>1</v>
      </c>
      <c r="I1332" s="42">
        <v>0</v>
      </c>
      <c r="J1332" s="42">
        <v>0</v>
      </c>
      <c r="K1332" s="42">
        <v>0</v>
      </c>
      <c r="L1332" s="42">
        <v>0</v>
      </c>
      <c r="M1332" s="42">
        <v>0</v>
      </c>
      <c r="N1332" s="42">
        <v>1</v>
      </c>
      <c r="O1332">
        <v>0</v>
      </c>
    </row>
    <row r="1333" spans="3:15" x14ac:dyDescent="0.15">
      <c r="C1333" s="43" t="s">
        <v>1389</v>
      </c>
      <c r="D1333" s="42">
        <v>18</v>
      </c>
      <c r="E1333" s="42">
        <v>122</v>
      </c>
      <c r="F1333" s="42">
        <v>1</v>
      </c>
      <c r="G1333" s="42">
        <v>7</v>
      </c>
      <c r="H1333" s="42">
        <v>1</v>
      </c>
      <c r="I1333" s="42">
        <v>0</v>
      </c>
      <c r="J1333" s="42">
        <v>0</v>
      </c>
      <c r="K1333" s="42">
        <v>0</v>
      </c>
      <c r="L1333" s="42">
        <v>0</v>
      </c>
      <c r="M1333" s="42">
        <v>1</v>
      </c>
      <c r="N1333" s="42">
        <v>1</v>
      </c>
      <c r="O1333">
        <v>0</v>
      </c>
    </row>
    <row r="1334" spans="3:15" x14ac:dyDescent="0.15">
      <c r="C1334" s="43" t="s">
        <v>1390</v>
      </c>
      <c r="D1334" s="42">
        <v>29</v>
      </c>
      <c r="E1334" s="42">
        <v>120</v>
      </c>
      <c r="F1334" s="42">
        <v>4</v>
      </c>
      <c r="G1334" s="42">
        <v>2.7</v>
      </c>
      <c r="H1334" s="42">
        <v>0</v>
      </c>
      <c r="I1334" s="42">
        <v>1</v>
      </c>
      <c r="J1334" s="42">
        <v>111</v>
      </c>
      <c r="K1334" s="42">
        <v>1</v>
      </c>
      <c r="L1334" s="42">
        <v>1</v>
      </c>
      <c r="M1334" s="42">
        <v>1</v>
      </c>
      <c r="N1334" s="42">
        <v>0</v>
      </c>
      <c r="O1334">
        <v>1</v>
      </c>
    </row>
    <row r="1335" spans="3:15" x14ac:dyDescent="0.15">
      <c r="C1335" s="43" t="s">
        <v>1391</v>
      </c>
      <c r="D1335" s="42">
        <v>23</v>
      </c>
      <c r="E1335" s="42">
        <v>39</v>
      </c>
      <c r="F1335" s="42">
        <v>3</v>
      </c>
      <c r="G1335" s="42">
        <v>1</v>
      </c>
      <c r="H1335" s="42">
        <v>0</v>
      </c>
      <c r="I1335" s="42">
        <v>0</v>
      </c>
      <c r="J1335" s="42">
        <v>87</v>
      </c>
      <c r="K1335" s="42">
        <v>0</v>
      </c>
      <c r="L1335" s="42">
        <v>0</v>
      </c>
      <c r="M1335" s="42">
        <v>1</v>
      </c>
      <c r="N1335" s="42">
        <v>0</v>
      </c>
      <c r="O1335">
        <v>0</v>
      </c>
    </row>
    <row r="1336" spans="3:15" x14ac:dyDescent="0.15">
      <c r="C1336" s="43" t="s">
        <v>1392</v>
      </c>
      <c r="D1336" s="42">
        <v>9</v>
      </c>
      <c r="E1336" s="42">
        <v>55</v>
      </c>
      <c r="F1336" s="42">
        <v>3</v>
      </c>
      <c r="G1336" s="42">
        <v>2.2999999999999998</v>
      </c>
      <c r="H1336" s="42">
        <v>1</v>
      </c>
      <c r="I1336" s="42">
        <v>0</v>
      </c>
      <c r="J1336" s="42">
        <v>0</v>
      </c>
      <c r="K1336" s="42">
        <v>1</v>
      </c>
      <c r="L1336" s="42">
        <v>1</v>
      </c>
      <c r="M1336" s="42">
        <v>1</v>
      </c>
      <c r="N1336" s="42">
        <v>1</v>
      </c>
      <c r="O1336">
        <v>0</v>
      </c>
    </row>
    <row r="1337" spans="3:15" x14ac:dyDescent="0.15">
      <c r="C1337" s="43" t="s">
        <v>1393</v>
      </c>
      <c r="D1337" s="42">
        <v>20</v>
      </c>
      <c r="E1337" s="42">
        <v>70</v>
      </c>
      <c r="F1337" s="42">
        <v>4</v>
      </c>
      <c r="G1337" s="42">
        <v>1.9</v>
      </c>
      <c r="H1337" s="42">
        <v>1</v>
      </c>
      <c r="I1337" s="42">
        <v>0</v>
      </c>
      <c r="J1337" s="42">
        <v>0</v>
      </c>
      <c r="K1337" s="42">
        <v>0</v>
      </c>
      <c r="L1337" s="42">
        <v>0</v>
      </c>
      <c r="M1337" s="42">
        <v>1</v>
      </c>
      <c r="N1337" s="42">
        <v>0</v>
      </c>
      <c r="O1337">
        <v>0</v>
      </c>
    </row>
    <row r="1338" spans="3:15" x14ac:dyDescent="0.15">
      <c r="C1338" s="43" t="s">
        <v>1394</v>
      </c>
      <c r="D1338" s="42">
        <v>9</v>
      </c>
      <c r="E1338" s="42">
        <v>41</v>
      </c>
      <c r="F1338" s="42">
        <v>3</v>
      </c>
      <c r="G1338" s="42">
        <v>2</v>
      </c>
      <c r="H1338" s="42">
        <v>1</v>
      </c>
      <c r="I1338" s="42">
        <v>0</v>
      </c>
      <c r="J1338" s="42">
        <v>108</v>
      </c>
      <c r="K1338" s="42">
        <v>0</v>
      </c>
      <c r="L1338" s="42">
        <v>0</v>
      </c>
      <c r="M1338" s="42">
        <v>1</v>
      </c>
      <c r="N1338" s="42">
        <v>0</v>
      </c>
      <c r="O1338">
        <v>0</v>
      </c>
    </row>
    <row r="1339" spans="3:15" x14ac:dyDescent="0.15">
      <c r="C1339" s="43" t="s">
        <v>1395</v>
      </c>
      <c r="D1339" s="42">
        <v>26</v>
      </c>
      <c r="E1339" s="42">
        <v>48</v>
      </c>
      <c r="F1339" s="42">
        <v>4</v>
      </c>
      <c r="G1339" s="42">
        <v>0.1</v>
      </c>
      <c r="H1339" s="42">
        <v>0</v>
      </c>
      <c r="I1339" s="42">
        <v>0</v>
      </c>
      <c r="J1339" s="42">
        <v>0</v>
      </c>
      <c r="K1339" s="42">
        <v>0</v>
      </c>
      <c r="L1339" s="42">
        <v>0</v>
      </c>
      <c r="M1339" s="42">
        <v>0</v>
      </c>
      <c r="N1339" s="42">
        <v>1</v>
      </c>
      <c r="O1339">
        <v>0</v>
      </c>
    </row>
    <row r="1340" spans="3:15" x14ac:dyDescent="0.15">
      <c r="C1340" s="43" t="s">
        <v>1396</v>
      </c>
      <c r="D1340" s="42">
        <v>13</v>
      </c>
      <c r="E1340" s="42">
        <v>52</v>
      </c>
      <c r="F1340" s="42">
        <v>3</v>
      </c>
      <c r="G1340" s="42">
        <v>0.5</v>
      </c>
      <c r="H1340" s="42">
        <v>0</v>
      </c>
      <c r="I1340" s="42">
        <v>0</v>
      </c>
      <c r="J1340" s="42">
        <v>0</v>
      </c>
      <c r="K1340" s="42">
        <v>1</v>
      </c>
      <c r="L1340" s="42">
        <v>0</v>
      </c>
      <c r="M1340" s="42">
        <v>0</v>
      </c>
      <c r="N1340" s="42">
        <v>1</v>
      </c>
      <c r="O1340">
        <v>0</v>
      </c>
    </row>
    <row r="1341" spans="3:15" x14ac:dyDescent="0.15">
      <c r="C1341" s="43" t="s">
        <v>1397</v>
      </c>
      <c r="D1341" s="42">
        <v>32</v>
      </c>
      <c r="E1341" s="42">
        <v>85</v>
      </c>
      <c r="F1341" s="42">
        <v>3</v>
      </c>
      <c r="G1341" s="42">
        <v>2.6666666666666665</v>
      </c>
      <c r="H1341" s="42">
        <v>1</v>
      </c>
      <c r="I1341" s="42">
        <v>0</v>
      </c>
      <c r="J1341" s="42">
        <v>0</v>
      </c>
      <c r="K1341" s="42">
        <v>1</v>
      </c>
      <c r="L1341" s="42">
        <v>0</v>
      </c>
      <c r="M1341" s="42">
        <v>1</v>
      </c>
      <c r="N1341" s="42">
        <v>0</v>
      </c>
      <c r="O1341">
        <v>0</v>
      </c>
    </row>
    <row r="1342" spans="3:15" x14ac:dyDescent="0.15">
      <c r="C1342" s="43" t="s">
        <v>1398</v>
      </c>
      <c r="D1342" s="42">
        <v>10</v>
      </c>
      <c r="E1342" s="42">
        <v>61</v>
      </c>
      <c r="F1342" s="42">
        <v>4</v>
      </c>
      <c r="G1342" s="42">
        <v>2.1</v>
      </c>
      <c r="H1342" s="42">
        <v>0</v>
      </c>
      <c r="I1342" s="42">
        <v>0</v>
      </c>
      <c r="J1342" s="42">
        <v>0</v>
      </c>
      <c r="K1342" s="42">
        <v>0</v>
      </c>
      <c r="L1342" s="42">
        <v>0</v>
      </c>
      <c r="M1342" s="42">
        <v>1</v>
      </c>
      <c r="N1342" s="42">
        <v>0</v>
      </c>
      <c r="O1342">
        <v>0</v>
      </c>
    </row>
    <row r="1343" spans="3:15" x14ac:dyDescent="0.15">
      <c r="C1343" s="43" t="s">
        <v>1399</v>
      </c>
      <c r="D1343" s="42">
        <v>33</v>
      </c>
      <c r="E1343" s="42">
        <v>73</v>
      </c>
      <c r="F1343" s="42">
        <v>2</v>
      </c>
      <c r="G1343" s="42">
        <v>1.7</v>
      </c>
      <c r="H1343" s="42">
        <v>0</v>
      </c>
      <c r="I1343" s="42">
        <v>0</v>
      </c>
      <c r="J1343" s="42">
        <v>0</v>
      </c>
      <c r="K1343" s="42">
        <v>0</v>
      </c>
      <c r="L1343" s="42">
        <v>0</v>
      </c>
      <c r="M1343" s="42">
        <v>1</v>
      </c>
      <c r="N1343" s="42">
        <v>1</v>
      </c>
      <c r="O1343">
        <v>0</v>
      </c>
    </row>
    <row r="1344" spans="3:15" x14ac:dyDescent="0.15">
      <c r="C1344" s="43" t="s">
        <v>1400</v>
      </c>
      <c r="D1344" s="42">
        <v>38</v>
      </c>
      <c r="E1344" s="42">
        <v>28</v>
      </c>
      <c r="F1344" s="42">
        <v>2</v>
      </c>
      <c r="G1344" s="42">
        <v>0.5</v>
      </c>
      <c r="H1344" s="42">
        <v>0</v>
      </c>
      <c r="I1344" s="42">
        <v>1</v>
      </c>
      <c r="J1344" s="42">
        <v>89</v>
      </c>
      <c r="K1344" s="42">
        <v>0</v>
      </c>
      <c r="L1344" s="42">
        <v>0</v>
      </c>
      <c r="M1344" s="42">
        <v>1</v>
      </c>
      <c r="N1344" s="42">
        <v>0</v>
      </c>
      <c r="O1344">
        <v>0</v>
      </c>
    </row>
    <row r="1345" spans="3:15" x14ac:dyDescent="0.15">
      <c r="C1345" s="43" t="s">
        <v>1401</v>
      </c>
      <c r="D1345" s="42">
        <v>29</v>
      </c>
      <c r="E1345" s="42">
        <v>22</v>
      </c>
      <c r="F1345" s="42">
        <v>2</v>
      </c>
      <c r="G1345" s="42">
        <v>0.4</v>
      </c>
      <c r="H1345" s="42">
        <v>1</v>
      </c>
      <c r="I1345" s="42">
        <v>0</v>
      </c>
      <c r="J1345" s="42">
        <v>0</v>
      </c>
      <c r="K1345" s="42">
        <v>0</v>
      </c>
      <c r="L1345" s="42">
        <v>0</v>
      </c>
      <c r="M1345" s="42">
        <v>1</v>
      </c>
      <c r="N1345" s="42">
        <v>0</v>
      </c>
      <c r="O1345">
        <v>0</v>
      </c>
    </row>
    <row r="1346" spans="3:15" x14ac:dyDescent="0.15">
      <c r="C1346" s="43" t="s">
        <v>1402</v>
      </c>
      <c r="D1346" s="42">
        <v>33</v>
      </c>
      <c r="E1346" s="42">
        <v>93</v>
      </c>
      <c r="F1346" s="42">
        <v>2</v>
      </c>
      <c r="G1346" s="42">
        <v>0.7</v>
      </c>
      <c r="H1346" s="42">
        <v>0</v>
      </c>
      <c r="I1346" s="42">
        <v>1</v>
      </c>
      <c r="J1346" s="42">
        <v>0</v>
      </c>
      <c r="K1346" s="42">
        <v>0</v>
      </c>
      <c r="L1346" s="42">
        <v>0</v>
      </c>
      <c r="M1346" s="42">
        <v>0</v>
      </c>
      <c r="N1346" s="42">
        <v>0</v>
      </c>
      <c r="O1346">
        <v>0</v>
      </c>
    </row>
    <row r="1347" spans="3:15" x14ac:dyDescent="0.15">
      <c r="C1347" s="43" t="s">
        <v>1403</v>
      </c>
      <c r="D1347" s="42">
        <v>13</v>
      </c>
      <c r="E1347" s="42">
        <v>70</v>
      </c>
      <c r="F1347" s="42">
        <v>2</v>
      </c>
      <c r="G1347" s="42">
        <v>2.7</v>
      </c>
      <c r="H1347" s="42">
        <v>1</v>
      </c>
      <c r="I1347" s="42">
        <v>0</v>
      </c>
      <c r="J1347" s="42">
        <v>0</v>
      </c>
      <c r="K1347" s="42">
        <v>0</v>
      </c>
      <c r="L1347" s="42">
        <v>0</v>
      </c>
      <c r="M1347" s="42">
        <v>0</v>
      </c>
      <c r="N1347" s="42">
        <v>0</v>
      </c>
      <c r="O1347">
        <v>0</v>
      </c>
    </row>
    <row r="1348" spans="3:15" x14ac:dyDescent="0.15">
      <c r="C1348" s="43" t="s">
        <v>1404</v>
      </c>
      <c r="D1348" s="42">
        <v>25</v>
      </c>
      <c r="E1348" s="42">
        <v>190</v>
      </c>
      <c r="F1348" s="42">
        <v>2</v>
      </c>
      <c r="G1348" s="42">
        <v>4.2</v>
      </c>
      <c r="H1348" s="42">
        <v>0</v>
      </c>
      <c r="I1348" s="42">
        <v>1</v>
      </c>
      <c r="J1348" s="42">
        <v>0</v>
      </c>
      <c r="K1348" s="42">
        <v>0</v>
      </c>
      <c r="L1348" s="42">
        <v>0</v>
      </c>
      <c r="M1348" s="42">
        <v>1</v>
      </c>
      <c r="N1348" s="42">
        <v>0</v>
      </c>
      <c r="O1348">
        <v>1</v>
      </c>
    </row>
    <row r="1349" spans="3:15" x14ac:dyDescent="0.15">
      <c r="C1349" s="43" t="s">
        <v>1405</v>
      </c>
      <c r="D1349" s="42">
        <v>2</v>
      </c>
      <c r="E1349" s="42">
        <v>72</v>
      </c>
      <c r="F1349" s="42">
        <v>4</v>
      </c>
      <c r="G1349" s="42">
        <v>2.6</v>
      </c>
      <c r="H1349" s="42">
        <v>1</v>
      </c>
      <c r="I1349" s="42">
        <v>0</v>
      </c>
      <c r="J1349" s="42">
        <v>0</v>
      </c>
      <c r="K1349" s="42">
        <v>0</v>
      </c>
      <c r="L1349" s="42">
        <v>0</v>
      </c>
      <c r="M1349" s="42">
        <v>1</v>
      </c>
      <c r="N1349" s="42">
        <v>0</v>
      </c>
      <c r="O1349">
        <v>0</v>
      </c>
    </row>
    <row r="1350" spans="3:15" x14ac:dyDescent="0.15">
      <c r="C1350" s="43" t="s">
        <v>1406</v>
      </c>
      <c r="D1350" s="42">
        <v>27</v>
      </c>
      <c r="E1350" s="42">
        <v>15</v>
      </c>
      <c r="F1350" s="42">
        <v>4</v>
      </c>
      <c r="G1350" s="42">
        <v>0.8</v>
      </c>
      <c r="H1350" s="42">
        <v>1</v>
      </c>
      <c r="I1350" s="42">
        <v>0</v>
      </c>
      <c r="J1350" s="42">
        <v>101</v>
      </c>
      <c r="K1350" s="42">
        <v>0</v>
      </c>
      <c r="L1350" s="42">
        <v>0</v>
      </c>
      <c r="M1350" s="42">
        <v>0</v>
      </c>
      <c r="N1350" s="42">
        <v>0</v>
      </c>
      <c r="O1350">
        <v>0</v>
      </c>
    </row>
    <row r="1351" spans="3:15" x14ac:dyDescent="0.15">
      <c r="C1351" s="43" t="s">
        <v>1407</v>
      </c>
      <c r="D1351" s="42">
        <v>24</v>
      </c>
      <c r="E1351" s="42">
        <v>84</v>
      </c>
      <c r="F1351" s="42">
        <v>3</v>
      </c>
      <c r="G1351" s="42">
        <v>0.7</v>
      </c>
      <c r="H1351" s="42">
        <v>1</v>
      </c>
      <c r="I1351" s="42">
        <v>0</v>
      </c>
      <c r="J1351" s="42">
        <v>166</v>
      </c>
      <c r="K1351" s="42">
        <v>0</v>
      </c>
      <c r="L1351" s="42">
        <v>0</v>
      </c>
      <c r="M1351" s="42">
        <v>1</v>
      </c>
      <c r="N1351" s="42">
        <v>0</v>
      </c>
      <c r="O1351">
        <v>0</v>
      </c>
    </row>
    <row r="1352" spans="3:15" x14ac:dyDescent="0.15">
      <c r="C1352" s="43" t="s">
        <v>1408</v>
      </c>
      <c r="D1352" s="42">
        <v>29</v>
      </c>
      <c r="E1352" s="42">
        <v>154</v>
      </c>
      <c r="F1352" s="42">
        <v>4</v>
      </c>
      <c r="G1352" s="42">
        <v>7.4</v>
      </c>
      <c r="H1352" s="42">
        <v>0</v>
      </c>
      <c r="I1352" s="42">
        <v>0</v>
      </c>
      <c r="J1352" s="42">
        <v>0</v>
      </c>
      <c r="K1352" s="42">
        <v>0</v>
      </c>
      <c r="L1352" s="42">
        <v>0</v>
      </c>
      <c r="M1352" s="42">
        <v>0</v>
      </c>
      <c r="N1352" s="42">
        <v>0</v>
      </c>
      <c r="O1352">
        <v>1</v>
      </c>
    </row>
    <row r="1353" spans="3:15" x14ac:dyDescent="0.15">
      <c r="C1353" s="43" t="s">
        <v>1409</v>
      </c>
      <c r="D1353" s="42">
        <v>34</v>
      </c>
      <c r="E1353" s="42">
        <v>42</v>
      </c>
      <c r="F1353" s="42">
        <v>4</v>
      </c>
      <c r="G1353" s="42">
        <v>1.5</v>
      </c>
      <c r="H1353" s="42">
        <v>1</v>
      </c>
      <c r="I1353" s="42">
        <v>0</v>
      </c>
      <c r="J1353" s="42">
        <v>0</v>
      </c>
      <c r="K1353" s="42">
        <v>0</v>
      </c>
      <c r="L1353" s="42">
        <v>0</v>
      </c>
      <c r="M1353" s="42">
        <v>1</v>
      </c>
      <c r="N1353" s="42">
        <v>1</v>
      </c>
      <c r="O1353">
        <v>0</v>
      </c>
    </row>
    <row r="1354" spans="3:15" x14ac:dyDescent="0.15">
      <c r="C1354" s="43" t="s">
        <v>1410</v>
      </c>
      <c r="D1354" s="42">
        <v>17</v>
      </c>
      <c r="E1354" s="42">
        <v>141</v>
      </c>
      <c r="F1354" s="42">
        <v>2</v>
      </c>
      <c r="G1354" s="42">
        <v>7.6</v>
      </c>
      <c r="H1354" s="42">
        <v>1</v>
      </c>
      <c r="I1354" s="42">
        <v>0</v>
      </c>
      <c r="J1354" s="42">
        <v>92</v>
      </c>
      <c r="K1354" s="42">
        <v>0</v>
      </c>
      <c r="L1354" s="42">
        <v>0</v>
      </c>
      <c r="M1354" s="42">
        <v>0</v>
      </c>
      <c r="N1354" s="42">
        <v>0</v>
      </c>
      <c r="O1354">
        <v>0</v>
      </c>
    </row>
    <row r="1355" spans="3:15" x14ac:dyDescent="0.15">
      <c r="C1355" s="43" t="s">
        <v>1411</v>
      </c>
      <c r="D1355" s="42">
        <v>13</v>
      </c>
      <c r="E1355" s="42">
        <v>58</v>
      </c>
      <c r="F1355" s="42">
        <v>3</v>
      </c>
      <c r="G1355" s="42">
        <v>2.1</v>
      </c>
      <c r="H1355" s="42">
        <v>1</v>
      </c>
      <c r="I1355" s="42">
        <v>0</v>
      </c>
      <c r="J1355" s="42">
        <v>169</v>
      </c>
      <c r="K1355" s="42">
        <v>0</v>
      </c>
      <c r="L1355" s="42">
        <v>0</v>
      </c>
      <c r="M1355" s="42">
        <v>1</v>
      </c>
      <c r="N1355" s="42">
        <v>0</v>
      </c>
      <c r="O1355">
        <v>0</v>
      </c>
    </row>
    <row r="1356" spans="3:15" x14ac:dyDescent="0.15">
      <c r="C1356" s="43" t="s">
        <v>1412</v>
      </c>
      <c r="D1356" s="42">
        <v>12</v>
      </c>
      <c r="E1356" s="42">
        <v>138</v>
      </c>
      <c r="F1356" s="42">
        <v>2</v>
      </c>
      <c r="G1356" s="42">
        <v>0</v>
      </c>
      <c r="H1356" s="42">
        <v>1</v>
      </c>
      <c r="I1356" s="42">
        <v>0</v>
      </c>
      <c r="J1356" s="42">
        <v>0</v>
      </c>
      <c r="K1356" s="42">
        <v>1</v>
      </c>
      <c r="L1356" s="42">
        <v>0</v>
      </c>
      <c r="M1356" s="42">
        <v>1</v>
      </c>
      <c r="N1356" s="42">
        <v>0</v>
      </c>
      <c r="O1356">
        <v>0</v>
      </c>
    </row>
    <row r="1357" spans="3:15" x14ac:dyDescent="0.15">
      <c r="C1357" s="43" t="s">
        <v>1413</v>
      </c>
      <c r="D1357" s="42">
        <v>14</v>
      </c>
      <c r="E1357" s="42">
        <v>74</v>
      </c>
      <c r="F1357" s="42">
        <v>3</v>
      </c>
      <c r="G1357" s="42">
        <v>3</v>
      </c>
      <c r="H1357" s="42">
        <v>1</v>
      </c>
      <c r="I1357" s="42">
        <v>0</v>
      </c>
      <c r="J1357" s="42">
        <v>0</v>
      </c>
      <c r="K1357" s="42">
        <v>0</v>
      </c>
      <c r="L1357" s="42">
        <v>0</v>
      </c>
      <c r="M1357" s="42">
        <v>0</v>
      </c>
      <c r="N1357" s="42">
        <v>0</v>
      </c>
      <c r="O1357">
        <v>0</v>
      </c>
    </row>
    <row r="1358" spans="3:15" x14ac:dyDescent="0.15">
      <c r="C1358" s="43" t="s">
        <v>1414</v>
      </c>
      <c r="D1358" s="42">
        <v>7</v>
      </c>
      <c r="E1358" s="42">
        <v>143</v>
      </c>
      <c r="F1358" s="42">
        <v>3</v>
      </c>
      <c r="G1358" s="42">
        <v>2.9</v>
      </c>
      <c r="H1358" s="42">
        <v>0</v>
      </c>
      <c r="I1358" s="42">
        <v>0</v>
      </c>
      <c r="J1358" s="42">
        <v>0</v>
      </c>
      <c r="K1358" s="42">
        <v>0</v>
      </c>
      <c r="L1358" s="42">
        <v>0</v>
      </c>
      <c r="M1358" s="42">
        <v>1</v>
      </c>
      <c r="N1358" s="42">
        <v>0</v>
      </c>
      <c r="O1358">
        <v>1</v>
      </c>
    </row>
    <row r="1359" spans="3:15" x14ac:dyDescent="0.15">
      <c r="C1359" s="43" t="s">
        <v>1415</v>
      </c>
      <c r="D1359" s="42">
        <v>38</v>
      </c>
      <c r="E1359" s="42">
        <v>59</v>
      </c>
      <c r="F1359" s="42">
        <v>1</v>
      </c>
      <c r="G1359" s="42">
        <v>2.5</v>
      </c>
      <c r="H1359" s="42">
        <v>0</v>
      </c>
      <c r="I1359" s="42">
        <v>0</v>
      </c>
      <c r="J1359" s="42">
        <v>220</v>
      </c>
      <c r="K1359" s="42">
        <v>0</v>
      </c>
      <c r="L1359" s="42">
        <v>0</v>
      </c>
      <c r="M1359" s="42">
        <v>0</v>
      </c>
      <c r="N1359" s="42">
        <v>0</v>
      </c>
      <c r="O1359">
        <v>0</v>
      </c>
    </row>
    <row r="1360" spans="3:15" x14ac:dyDescent="0.15">
      <c r="C1360" s="43" t="s">
        <v>1416</v>
      </c>
      <c r="D1360" s="42">
        <v>24</v>
      </c>
      <c r="E1360" s="42">
        <v>51</v>
      </c>
      <c r="F1360" s="42">
        <v>1</v>
      </c>
      <c r="G1360" s="42">
        <v>1.3</v>
      </c>
      <c r="H1360" s="42">
        <v>0</v>
      </c>
      <c r="I1360" s="42">
        <v>1</v>
      </c>
      <c r="J1360" s="42">
        <v>98</v>
      </c>
      <c r="K1360" s="42">
        <v>0</v>
      </c>
      <c r="L1360" s="42">
        <v>0</v>
      </c>
      <c r="M1360" s="42">
        <v>0</v>
      </c>
      <c r="N1360" s="42">
        <v>1</v>
      </c>
      <c r="O1360">
        <v>0</v>
      </c>
    </row>
    <row r="1361" spans="3:15" x14ac:dyDescent="0.15">
      <c r="C1361" s="43" t="s">
        <v>1417</v>
      </c>
      <c r="D1361" s="42">
        <v>28</v>
      </c>
      <c r="E1361" s="42">
        <v>21</v>
      </c>
      <c r="F1361" s="42">
        <v>1</v>
      </c>
      <c r="G1361" s="42">
        <v>0.5</v>
      </c>
      <c r="H1361" s="42">
        <v>0</v>
      </c>
      <c r="I1361" s="42">
        <v>1</v>
      </c>
      <c r="J1361" s="42">
        <v>0</v>
      </c>
      <c r="K1361" s="42">
        <v>1</v>
      </c>
      <c r="L1361" s="42">
        <v>0</v>
      </c>
      <c r="M1361" s="42">
        <v>0</v>
      </c>
      <c r="N1361" s="42">
        <v>1</v>
      </c>
      <c r="O1361">
        <v>0</v>
      </c>
    </row>
    <row r="1362" spans="3:15" x14ac:dyDescent="0.15">
      <c r="C1362" s="43" t="s">
        <v>1418</v>
      </c>
      <c r="D1362" s="42">
        <v>20</v>
      </c>
      <c r="E1362" s="42">
        <v>55</v>
      </c>
      <c r="F1362" s="42">
        <v>4</v>
      </c>
      <c r="G1362" s="42">
        <v>1.9</v>
      </c>
      <c r="H1362" s="42">
        <v>0</v>
      </c>
      <c r="I1362" s="42">
        <v>0</v>
      </c>
      <c r="J1362" s="42">
        <v>164</v>
      </c>
      <c r="K1362" s="42">
        <v>1</v>
      </c>
      <c r="L1362" s="42">
        <v>0</v>
      </c>
      <c r="M1362" s="42">
        <v>0</v>
      </c>
      <c r="N1362" s="42">
        <v>0</v>
      </c>
      <c r="O1362">
        <v>0</v>
      </c>
    </row>
    <row r="1363" spans="3:15" x14ac:dyDescent="0.15">
      <c r="C1363" s="43" t="s">
        <v>1419</v>
      </c>
      <c r="D1363" s="42">
        <v>24</v>
      </c>
      <c r="E1363" s="42">
        <v>81</v>
      </c>
      <c r="F1363" s="42">
        <v>3</v>
      </c>
      <c r="G1363" s="42">
        <v>0.7</v>
      </c>
      <c r="H1363" s="42">
        <v>1</v>
      </c>
      <c r="I1363" s="42">
        <v>0</v>
      </c>
      <c r="J1363" s="42">
        <v>0</v>
      </c>
      <c r="K1363" s="42">
        <v>0</v>
      </c>
      <c r="L1363" s="42">
        <v>0</v>
      </c>
      <c r="M1363" s="42">
        <v>0</v>
      </c>
      <c r="N1363" s="42">
        <v>0</v>
      </c>
      <c r="O1363">
        <v>0</v>
      </c>
    </row>
    <row r="1364" spans="3:15" x14ac:dyDescent="0.15">
      <c r="C1364" s="43" t="s">
        <v>1420</v>
      </c>
      <c r="D1364" s="42">
        <v>24</v>
      </c>
      <c r="E1364" s="42">
        <v>12</v>
      </c>
      <c r="F1364" s="42">
        <v>3</v>
      </c>
      <c r="G1364" s="42">
        <v>0.4</v>
      </c>
      <c r="H1364" s="42">
        <v>1</v>
      </c>
      <c r="I1364" s="42">
        <v>0</v>
      </c>
      <c r="J1364" s="42">
        <v>0</v>
      </c>
      <c r="K1364" s="42">
        <v>0</v>
      </c>
      <c r="L1364" s="42">
        <v>0</v>
      </c>
      <c r="M1364" s="42">
        <v>0</v>
      </c>
      <c r="N1364" s="42">
        <v>0</v>
      </c>
      <c r="O1364">
        <v>0</v>
      </c>
    </row>
    <row r="1365" spans="3:15" x14ac:dyDescent="0.15">
      <c r="C1365" s="43" t="s">
        <v>1421</v>
      </c>
      <c r="D1365" s="42">
        <v>14</v>
      </c>
      <c r="E1365" s="42">
        <v>64</v>
      </c>
      <c r="F1365" s="42">
        <v>4</v>
      </c>
      <c r="G1365" s="42">
        <v>0.2</v>
      </c>
      <c r="H1365" s="42">
        <v>0</v>
      </c>
      <c r="I1365" s="42">
        <v>0</v>
      </c>
      <c r="J1365" s="42">
        <v>0</v>
      </c>
      <c r="K1365" s="42">
        <v>0</v>
      </c>
      <c r="L1365" s="42">
        <v>0</v>
      </c>
      <c r="M1365" s="42">
        <v>1</v>
      </c>
      <c r="N1365" s="42">
        <v>1</v>
      </c>
      <c r="O1365">
        <v>0</v>
      </c>
    </row>
    <row r="1366" spans="3:15" x14ac:dyDescent="0.15">
      <c r="C1366" s="43" t="s">
        <v>1422</v>
      </c>
      <c r="D1366" s="42">
        <v>3</v>
      </c>
      <c r="E1366" s="42">
        <v>109</v>
      </c>
      <c r="F1366" s="42">
        <v>2</v>
      </c>
      <c r="G1366" s="42">
        <v>2.5</v>
      </c>
      <c r="H1366" s="42">
        <v>1</v>
      </c>
      <c r="I1366" s="42">
        <v>0</v>
      </c>
      <c r="J1366" s="42">
        <v>0</v>
      </c>
      <c r="K1366" s="42">
        <v>0</v>
      </c>
      <c r="L1366" s="42">
        <v>0</v>
      </c>
      <c r="M1366" s="42">
        <v>1</v>
      </c>
      <c r="N1366" s="42">
        <v>0</v>
      </c>
      <c r="O1366">
        <v>0</v>
      </c>
    </row>
    <row r="1367" spans="3:15" x14ac:dyDescent="0.15">
      <c r="C1367" s="43" t="s">
        <v>1423</v>
      </c>
      <c r="D1367" s="42">
        <v>23</v>
      </c>
      <c r="E1367" s="42">
        <v>194</v>
      </c>
      <c r="F1367" s="42">
        <v>4</v>
      </c>
      <c r="G1367" s="42">
        <v>8.3000000000000007</v>
      </c>
      <c r="H1367" s="42">
        <v>0</v>
      </c>
      <c r="I1367" s="42">
        <v>1</v>
      </c>
      <c r="J1367" s="42">
        <v>0</v>
      </c>
      <c r="K1367" s="42">
        <v>0</v>
      </c>
      <c r="L1367" s="42">
        <v>0</v>
      </c>
      <c r="M1367" s="42">
        <v>0</v>
      </c>
      <c r="N1367" s="42">
        <v>1</v>
      </c>
      <c r="O1367">
        <v>1</v>
      </c>
    </row>
    <row r="1368" spans="3:15" x14ac:dyDescent="0.15">
      <c r="C1368" s="43" t="s">
        <v>1424</v>
      </c>
      <c r="D1368" s="42">
        <v>2</v>
      </c>
      <c r="E1368" s="42">
        <v>205</v>
      </c>
      <c r="F1368" s="42">
        <v>1</v>
      </c>
      <c r="G1368" s="42">
        <v>6.333333333333333</v>
      </c>
      <c r="H1368" s="42">
        <v>1</v>
      </c>
      <c r="I1368" s="42">
        <v>0</v>
      </c>
      <c r="J1368" s="42">
        <v>271</v>
      </c>
      <c r="K1368" s="42">
        <v>0</v>
      </c>
      <c r="L1368" s="42">
        <v>0</v>
      </c>
      <c r="M1368" s="42">
        <v>0</v>
      </c>
      <c r="N1368" s="42">
        <v>1</v>
      </c>
      <c r="O1368">
        <v>0</v>
      </c>
    </row>
    <row r="1369" spans="3:15" x14ac:dyDescent="0.15">
      <c r="C1369" s="43" t="s">
        <v>1425</v>
      </c>
      <c r="D1369" s="42">
        <v>6</v>
      </c>
      <c r="E1369" s="42">
        <v>73</v>
      </c>
      <c r="F1369" s="42">
        <v>4</v>
      </c>
      <c r="G1369" s="42">
        <v>2.2000000000000002</v>
      </c>
      <c r="H1369" s="42">
        <v>0</v>
      </c>
      <c r="I1369" s="42">
        <v>1</v>
      </c>
      <c r="J1369" s="42">
        <v>0</v>
      </c>
      <c r="K1369" s="42">
        <v>0</v>
      </c>
      <c r="L1369" s="42">
        <v>0</v>
      </c>
      <c r="M1369" s="42">
        <v>0</v>
      </c>
      <c r="N1369" s="42">
        <v>0</v>
      </c>
      <c r="O1369">
        <v>0</v>
      </c>
    </row>
    <row r="1370" spans="3:15" x14ac:dyDescent="0.15">
      <c r="C1370" s="43" t="s">
        <v>1426</v>
      </c>
      <c r="D1370" s="42">
        <v>0</v>
      </c>
      <c r="E1370" s="42">
        <v>35</v>
      </c>
      <c r="F1370" s="42">
        <v>3</v>
      </c>
      <c r="G1370" s="42">
        <v>0.1</v>
      </c>
      <c r="H1370" s="42">
        <v>0</v>
      </c>
      <c r="I1370" s="42">
        <v>1</v>
      </c>
      <c r="J1370" s="42">
        <v>0</v>
      </c>
      <c r="K1370" s="42">
        <v>1</v>
      </c>
      <c r="L1370" s="42">
        <v>0</v>
      </c>
      <c r="M1370" s="42">
        <v>1</v>
      </c>
      <c r="N1370" s="42">
        <v>0</v>
      </c>
      <c r="O1370">
        <v>0</v>
      </c>
    </row>
    <row r="1371" spans="3:15" x14ac:dyDescent="0.15">
      <c r="C1371" s="43" t="s">
        <v>1427</v>
      </c>
      <c r="D1371" s="42">
        <v>5</v>
      </c>
      <c r="E1371" s="42">
        <v>69</v>
      </c>
      <c r="F1371" s="42">
        <v>1</v>
      </c>
      <c r="G1371" s="42">
        <v>0.8</v>
      </c>
      <c r="H1371" s="42">
        <v>0</v>
      </c>
      <c r="I1371" s="42">
        <v>1</v>
      </c>
      <c r="J1371" s="42">
        <v>0</v>
      </c>
      <c r="K1371" s="42">
        <v>1</v>
      </c>
      <c r="L1371" s="42">
        <v>0</v>
      </c>
      <c r="M1371" s="42">
        <v>1</v>
      </c>
      <c r="N1371" s="42">
        <v>0</v>
      </c>
      <c r="O1371">
        <v>0</v>
      </c>
    </row>
    <row r="1372" spans="3:15" x14ac:dyDescent="0.15">
      <c r="C1372" s="43" t="s">
        <v>1428</v>
      </c>
      <c r="D1372" s="42">
        <v>14</v>
      </c>
      <c r="E1372" s="42">
        <v>42</v>
      </c>
      <c r="F1372" s="42">
        <v>1</v>
      </c>
      <c r="G1372" s="42">
        <v>2</v>
      </c>
      <c r="H1372" s="42">
        <v>0</v>
      </c>
      <c r="I1372" s="42">
        <v>1</v>
      </c>
      <c r="J1372" s="42">
        <v>81</v>
      </c>
      <c r="K1372" s="42">
        <v>0</v>
      </c>
      <c r="L1372" s="42">
        <v>0</v>
      </c>
      <c r="M1372" s="42">
        <v>1</v>
      </c>
      <c r="N1372" s="42">
        <v>0</v>
      </c>
      <c r="O1372">
        <v>0</v>
      </c>
    </row>
    <row r="1373" spans="3:15" x14ac:dyDescent="0.15">
      <c r="C1373" s="43" t="s">
        <v>1429</v>
      </c>
      <c r="D1373" s="42">
        <v>23</v>
      </c>
      <c r="E1373" s="42">
        <v>22</v>
      </c>
      <c r="F1373" s="42">
        <v>4</v>
      </c>
      <c r="G1373" s="42">
        <v>0.6</v>
      </c>
      <c r="H1373" s="42">
        <v>1</v>
      </c>
      <c r="I1373" s="42">
        <v>0</v>
      </c>
      <c r="J1373" s="42">
        <v>0</v>
      </c>
      <c r="K1373" s="42">
        <v>0</v>
      </c>
      <c r="L1373" s="42">
        <v>0</v>
      </c>
      <c r="M1373" s="42">
        <v>1</v>
      </c>
      <c r="N1373" s="42">
        <v>1</v>
      </c>
      <c r="O1373">
        <v>0</v>
      </c>
    </row>
    <row r="1374" spans="3:15" x14ac:dyDescent="0.15">
      <c r="C1374" s="43" t="s">
        <v>1430</v>
      </c>
      <c r="D1374" s="42">
        <v>30</v>
      </c>
      <c r="E1374" s="42">
        <v>48</v>
      </c>
      <c r="F1374" s="42">
        <v>1</v>
      </c>
      <c r="G1374" s="42">
        <v>2.2000000000000002</v>
      </c>
      <c r="H1374" s="42">
        <v>0</v>
      </c>
      <c r="I1374" s="42">
        <v>0</v>
      </c>
      <c r="J1374" s="42">
        <v>0</v>
      </c>
      <c r="K1374" s="42">
        <v>0</v>
      </c>
      <c r="L1374" s="42">
        <v>0</v>
      </c>
      <c r="M1374" s="42">
        <v>1</v>
      </c>
      <c r="N1374" s="42">
        <v>1</v>
      </c>
      <c r="O1374">
        <v>0</v>
      </c>
    </row>
    <row r="1375" spans="3:15" x14ac:dyDescent="0.15">
      <c r="C1375" s="43" t="s">
        <v>1431</v>
      </c>
      <c r="D1375" s="42">
        <v>25</v>
      </c>
      <c r="E1375" s="42">
        <v>34</v>
      </c>
      <c r="F1375" s="42">
        <v>1</v>
      </c>
      <c r="G1375" s="42">
        <v>1.3</v>
      </c>
      <c r="H1375" s="42">
        <v>0</v>
      </c>
      <c r="I1375" s="42">
        <v>1</v>
      </c>
      <c r="J1375" s="42">
        <v>0</v>
      </c>
      <c r="K1375" s="42">
        <v>0</v>
      </c>
      <c r="L1375" s="42">
        <v>0</v>
      </c>
      <c r="M1375" s="42">
        <v>1</v>
      </c>
      <c r="N1375" s="42">
        <v>0</v>
      </c>
      <c r="O1375">
        <v>0</v>
      </c>
    </row>
    <row r="1376" spans="3:15" x14ac:dyDescent="0.15">
      <c r="C1376" s="43" t="s">
        <v>1432</v>
      </c>
      <c r="D1376" s="42">
        <v>21</v>
      </c>
      <c r="E1376" s="42">
        <v>30</v>
      </c>
      <c r="F1376" s="42">
        <v>1</v>
      </c>
      <c r="G1376" s="42">
        <v>1.4</v>
      </c>
      <c r="H1376" s="42">
        <v>0</v>
      </c>
      <c r="I1376" s="42">
        <v>0</v>
      </c>
      <c r="J1376" s="42">
        <v>112</v>
      </c>
      <c r="K1376" s="42">
        <v>1</v>
      </c>
      <c r="L1376" s="42">
        <v>0</v>
      </c>
      <c r="M1376" s="42">
        <v>0</v>
      </c>
      <c r="N1376" s="42">
        <v>0</v>
      </c>
      <c r="O1376">
        <v>0</v>
      </c>
    </row>
    <row r="1377" spans="3:15" x14ac:dyDescent="0.15">
      <c r="C1377" s="43" t="s">
        <v>1433</v>
      </c>
      <c r="D1377" s="42">
        <v>32</v>
      </c>
      <c r="E1377" s="42">
        <v>65</v>
      </c>
      <c r="F1377" s="42">
        <v>3</v>
      </c>
      <c r="G1377" s="42">
        <v>2.2000000000000002</v>
      </c>
      <c r="H1377" s="42">
        <v>0</v>
      </c>
      <c r="I1377" s="42">
        <v>0</v>
      </c>
      <c r="J1377" s="42">
        <v>0</v>
      </c>
      <c r="K1377" s="42">
        <v>0</v>
      </c>
      <c r="L1377" s="42">
        <v>0</v>
      </c>
      <c r="M1377" s="42">
        <v>0</v>
      </c>
      <c r="N1377" s="42">
        <v>0</v>
      </c>
      <c r="O1377">
        <v>0</v>
      </c>
    </row>
    <row r="1378" spans="3:15" x14ac:dyDescent="0.15">
      <c r="C1378" s="43" t="s">
        <v>1434</v>
      </c>
      <c r="D1378" s="42">
        <v>7</v>
      </c>
      <c r="E1378" s="42">
        <v>10</v>
      </c>
      <c r="F1378" s="42">
        <v>1</v>
      </c>
      <c r="G1378" s="42">
        <v>0.5</v>
      </c>
      <c r="H1378" s="42">
        <v>0</v>
      </c>
      <c r="I1378" s="42">
        <v>0</v>
      </c>
      <c r="J1378" s="42">
        <v>81</v>
      </c>
      <c r="K1378" s="42">
        <v>0</v>
      </c>
      <c r="L1378" s="42">
        <v>0</v>
      </c>
      <c r="M1378" s="42">
        <v>1</v>
      </c>
      <c r="N1378" s="42">
        <v>0</v>
      </c>
      <c r="O1378">
        <v>0</v>
      </c>
    </row>
    <row r="1379" spans="3:15" x14ac:dyDescent="0.15">
      <c r="C1379" s="43" t="s">
        <v>1435</v>
      </c>
      <c r="D1379" s="42">
        <v>27</v>
      </c>
      <c r="E1379" s="42">
        <v>81</v>
      </c>
      <c r="F1379" s="42">
        <v>1</v>
      </c>
      <c r="G1379" s="42">
        <v>1.3</v>
      </c>
      <c r="H1379" s="42">
        <v>0</v>
      </c>
      <c r="I1379" s="42">
        <v>0</v>
      </c>
      <c r="J1379" s="42">
        <v>293</v>
      </c>
      <c r="K1379" s="42">
        <v>0</v>
      </c>
      <c r="L1379" s="42">
        <v>0</v>
      </c>
      <c r="M1379" s="42">
        <v>0</v>
      </c>
      <c r="N1379" s="42">
        <v>1</v>
      </c>
      <c r="O1379">
        <v>0</v>
      </c>
    </row>
    <row r="1380" spans="3:15" x14ac:dyDescent="0.15">
      <c r="C1380" s="43" t="s">
        <v>1436</v>
      </c>
      <c r="D1380" s="42">
        <v>0</v>
      </c>
      <c r="E1380" s="42">
        <v>21</v>
      </c>
      <c r="F1380" s="42">
        <v>4</v>
      </c>
      <c r="G1380" s="42">
        <v>0.4</v>
      </c>
      <c r="H1380" s="42">
        <v>1</v>
      </c>
      <c r="I1380" s="42">
        <v>0</v>
      </c>
      <c r="J1380" s="42">
        <v>90</v>
      </c>
      <c r="K1380" s="42">
        <v>0</v>
      </c>
      <c r="L1380" s="42">
        <v>0</v>
      </c>
      <c r="M1380" s="42">
        <v>1</v>
      </c>
      <c r="N1380" s="42">
        <v>0</v>
      </c>
      <c r="O1380">
        <v>0</v>
      </c>
    </row>
    <row r="1381" spans="3:15" x14ac:dyDescent="0.15">
      <c r="C1381" s="43" t="s">
        <v>1437</v>
      </c>
      <c r="D1381" s="42">
        <v>21</v>
      </c>
      <c r="E1381" s="42">
        <v>125</v>
      </c>
      <c r="F1381" s="42">
        <v>1</v>
      </c>
      <c r="G1381" s="42">
        <v>5.7</v>
      </c>
      <c r="H1381" s="42">
        <v>1</v>
      </c>
      <c r="I1381" s="42">
        <v>0</v>
      </c>
      <c r="J1381" s="42">
        <v>112</v>
      </c>
      <c r="K1381" s="42">
        <v>1</v>
      </c>
      <c r="L1381" s="42">
        <v>0</v>
      </c>
      <c r="M1381" s="42">
        <v>0</v>
      </c>
      <c r="N1381" s="42">
        <v>0</v>
      </c>
      <c r="O1381">
        <v>0</v>
      </c>
    </row>
    <row r="1382" spans="3:15" x14ac:dyDescent="0.15">
      <c r="C1382" s="43" t="s">
        <v>1438</v>
      </c>
      <c r="D1382" s="42">
        <v>24</v>
      </c>
      <c r="E1382" s="42">
        <v>83</v>
      </c>
      <c r="F1382" s="42">
        <v>2</v>
      </c>
      <c r="G1382" s="42">
        <v>0.4</v>
      </c>
      <c r="H1382" s="42">
        <v>0</v>
      </c>
      <c r="I1382" s="42">
        <v>0</v>
      </c>
      <c r="J1382" s="42">
        <v>0</v>
      </c>
      <c r="K1382" s="42">
        <v>0</v>
      </c>
      <c r="L1382" s="42">
        <v>0</v>
      </c>
      <c r="M1382" s="42">
        <v>1</v>
      </c>
      <c r="N1382" s="42">
        <v>0</v>
      </c>
      <c r="O1382">
        <v>0</v>
      </c>
    </row>
    <row r="1383" spans="3:15" x14ac:dyDescent="0.15">
      <c r="C1383" s="43" t="s">
        <v>1439</v>
      </c>
      <c r="D1383" s="42">
        <v>5</v>
      </c>
      <c r="E1383" s="42">
        <v>141</v>
      </c>
      <c r="F1383" s="42">
        <v>1</v>
      </c>
      <c r="G1383" s="42">
        <v>0.8</v>
      </c>
      <c r="H1383" s="42">
        <v>1</v>
      </c>
      <c r="I1383" s="42">
        <v>0</v>
      </c>
      <c r="J1383" s="42">
        <v>0</v>
      </c>
      <c r="K1383" s="42">
        <v>0</v>
      </c>
      <c r="L1383" s="42">
        <v>0</v>
      </c>
      <c r="M1383" s="42">
        <v>1</v>
      </c>
      <c r="N1383" s="42">
        <v>0</v>
      </c>
      <c r="O1383">
        <v>0</v>
      </c>
    </row>
    <row r="1384" spans="3:15" x14ac:dyDescent="0.15">
      <c r="C1384" s="43" t="s">
        <v>1440</v>
      </c>
      <c r="D1384" s="42">
        <v>2</v>
      </c>
      <c r="E1384" s="42">
        <v>40</v>
      </c>
      <c r="F1384" s="42">
        <v>1</v>
      </c>
      <c r="G1384" s="42">
        <v>1</v>
      </c>
      <c r="H1384" s="42">
        <v>0</v>
      </c>
      <c r="I1384" s="42">
        <v>0</v>
      </c>
      <c r="J1384" s="42">
        <v>0</v>
      </c>
      <c r="K1384" s="42">
        <v>0</v>
      </c>
      <c r="L1384" s="42">
        <v>0</v>
      </c>
      <c r="M1384" s="42">
        <v>1</v>
      </c>
      <c r="N1384" s="42">
        <v>0</v>
      </c>
      <c r="O1384">
        <v>0</v>
      </c>
    </row>
    <row r="1385" spans="3:15" x14ac:dyDescent="0.15">
      <c r="C1385" s="43" t="s">
        <v>1441</v>
      </c>
      <c r="D1385" s="42">
        <v>11</v>
      </c>
      <c r="E1385" s="42">
        <v>69</v>
      </c>
      <c r="F1385" s="42">
        <v>3</v>
      </c>
      <c r="G1385" s="42">
        <v>2.1</v>
      </c>
      <c r="H1385" s="42">
        <v>1</v>
      </c>
      <c r="I1385" s="42">
        <v>0</v>
      </c>
      <c r="J1385" s="42">
        <v>0</v>
      </c>
      <c r="K1385" s="42">
        <v>1</v>
      </c>
      <c r="L1385" s="42">
        <v>0</v>
      </c>
      <c r="M1385" s="42">
        <v>0</v>
      </c>
      <c r="N1385" s="42">
        <v>0</v>
      </c>
      <c r="O1385">
        <v>0</v>
      </c>
    </row>
    <row r="1386" spans="3:15" x14ac:dyDescent="0.15">
      <c r="C1386" s="43" t="s">
        <v>1442</v>
      </c>
      <c r="D1386" s="42">
        <v>34</v>
      </c>
      <c r="E1386" s="42">
        <v>152</v>
      </c>
      <c r="F1386" s="42">
        <v>4</v>
      </c>
      <c r="G1386" s="42">
        <v>3.6</v>
      </c>
      <c r="H1386" s="42">
        <v>0</v>
      </c>
      <c r="I1386" s="42">
        <v>0</v>
      </c>
      <c r="J1386" s="42">
        <v>0</v>
      </c>
      <c r="K1386" s="42">
        <v>0</v>
      </c>
      <c r="L1386" s="42">
        <v>0</v>
      </c>
      <c r="M1386" s="42">
        <v>0</v>
      </c>
      <c r="N1386" s="42">
        <v>0</v>
      </c>
      <c r="O1386">
        <v>1</v>
      </c>
    </row>
    <row r="1387" spans="3:15" x14ac:dyDescent="0.15">
      <c r="C1387" s="43" t="s">
        <v>1443</v>
      </c>
      <c r="D1387" s="42">
        <v>30</v>
      </c>
      <c r="E1387" s="42">
        <v>158</v>
      </c>
      <c r="F1387" s="42">
        <v>4</v>
      </c>
      <c r="G1387" s="42">
        <v>6.1</v>
      </c>
      <c r="H1387" s="42">
        <v>1</v>
      </c>
      <c r="I1387" s="42">
        <v>0</v>
      </c>
      <c r="J1387" s="42">
        <v>0</v>
      </c>
      <c r="K1387" s="42">
        <v>0</v>
      </c>
      <c r="L1387" s="42">
        <v>0</v>
      </c>
      <c r="M1387" s="42">
        <v>0</v>
      </c>
      <c r="N1387" s="42">
        <v>0</v>
      </c>
      <c r="O1387">
        <v>1</v>
      </c>
    </row>
    <row r="1388" spans="3:15" x14ac:dyDescent="0.15">
      <c r="C1388" s="43" t="s">
        <v>1444</v>
      </c>
      <c r="D1388" s="42">
        <v>38</v>
      </c>
      <c r="E1388" s="42">
        <v>43</v>
      </c>
      <c r="F1388" s="42">
        <v>4</v>
      </c>
      <c r="G1388" s="42">
        <v>1.2</v>
      </c>
      <c r="H1388" s="42">
        <v>0</v>
      </c>
      <c r="I1388" s="42">
        <v>1</v>
      </c>
      <c r="J1388" s="42">
        <v>0</v>
      </c>
      <c r="K1388" s="42">
        <v>0</v>
      </c>
      <c r="L1388" s="42">
        <v>0</v>
      </c>
      <c r="M1388" s="42">
        <v>1</v>
      </c>
      <c r="N1388" s="42">
        <v>0</v>
      </c>
      <c r="O1388">
        <v>0</v>
      </c>
    </row>
    <row r="1389" spans="3:15" x14ac:dyDescent="0.15">
      <c r="C1389" s="43" t="s">
        <v>1445</v>
      </c>
      <c r="D1389" s="42">
        <v>37</v>
      </c>
      <c r="E1389" s="42">
        <v>32</v>
      </c>
      <c r="F1389" s="42">
        <v>3</v>
      </c>
      <c r="G1389" s="42">
        <v>0.2</v>
      </c>
      <c r="H1389" s="42">
        <v>1</v>
      </c>
      <c r="I1389" s="42">
        <v>0</v>
      </c>
      <c r="J1389" s="42">
        <v>0</v>
      </c>
      <c r="K1389" s="42">
        <v>1</v>
      </c>
      <c r="L1389" s="42">
        <v>0</v>
      </c>
      <c r="M1389" s="42">
        <v>0</v>
      </c>
      <c r="N1389" s="42">
        <v>1</v>
      </c>
      <c r="O1389">
        <v>0</v>
      </c>
    </row>
    <row r="1390" spans="3:15" x14ac:dyDescent="0.15">
      <c r="C1390" s="43" t="s">
        <v>1446</v>
      </c>
      <c r="D1390" s="42">
        <v>28</v>
      </c>
      <c r="E1390" s="42">
        <v>18</v>
      </c>
      <c r="F1390" s="42">
        <v>1</v>
      </c>
      <c r="G1390" s="42">
        <v>0.3</v>
      </c>
      <c r="H1390" s="42">
        <v>1</v>
      </c>
      <c r="I1390" s="42">
        <v>0</v>
      </c>
      <c r="J1390" s="42">
        <v>120</v>
      </c>
      <c r="K1390" s="42">
        <v>0</v>
      </c>
      <c r="L1390" s="42">
        <v>0</v>
      </c>
      <c r="M1390" s="42">
        <v>1</v>
      </c>
      <c r="N1390" s="42">
        <v>0</v>
      </c>
      <c r="O1390">
        <v>0</v>
      </c>
    </row>
    <row r="1391" spans="3:15" x14ac:dyDescent="0.15">
      <c r="C1391" s="43" t="s">
        <v>1447</v>
      </c>
      <c r="D1391" s="42">
        <v>11</v>
      </c>
      <c r="E1391" s="42">
        <v>34</v>
      </c>
      <c r="F1391" s="42">
        <v>1</v>
      </c>
      <c r="G1391" s="42">
        <v>1.5</v>
      </c>
      <c r="H1391" s="42">
        <v>0</v>
      </c>
      <c r="I1391" s="42">
        <v>1</v>
      </c>
      <c r="J1391" s="42">
        <v>0</v>
      </c>
      <c r="K1391" s="42">
        <v>0</v>
      </c>
      <c r="L1391" s="42">
        <v>0</v>
      </c>
      <c r="M1391" s="42">
        <v>0</v>
      </c>
      <c r="N1391" s="42">
        <v>0</v>
      </c>
      <c r="O1391">
        <v>0</v>
      </c>
    </row>
    <row r="1392" spans="3:15" x14ac:dyDescent="0.15">
      <c r="C1392" s="43" t="s">
        <v>1448</v>
      </c>
      <c r="D1392" s="42">
        <v>34</v>
      </c>
      <c r="E1392" s="42">
        <v>101</v>
      </c>
      <c r="F1392" s="42">
        <v>3</v>
      </c>
      <c r="G1392" s="42">
        <v>4.4000000000000004</v>
      </c>
      <c r="H1392" s="42">
        <v>1</v>
      </c>
      <c r="I1392" s="42">
        <v>0</v>
      </c>
      <c r="J1392" s="42">
        <v>0</v>
      </c>
      <c r="K1392" s="42">
        <v>0</v>
      </c>
      <c r="L1392" s="42">
        <v>0</v>
      </c>
      <c r="M1392" s="42">
        <v>1</v>
      </c>
      <c r="N1392" s="42">
        <v>1</v>
      </c>
      <c r="O1392">
        <v>0</v>
      </c>
    </row>
    <row r="1393" spans="3:15" x14ac:dyDescent="0.15">
      <c r="C1393" s="43" t="s">
        <v>1449</v>
      </c>
      <c r="D1393" s="42">
        <v>17</v>
      </c>
      <c r="E1393" s="42">
        <v>91</v>
      </c>
      <c r="F1393" s="42">
        <v>1</v>
      </c>
      <c r="G1393" s="42">
        <v>5.7</v>
      </c>
      <c r="H1393" s="42">
        <v>1</v>
      </c>
      <c r="I1393" s="42">
        <v>0</v>
      </c>
      <c r="J1393" s="42">
        <v>0</v>
      </c>
      <c r="K1393" s="42">
        <v>0</v>
      </c>
      <c r="L1393" s="42">
        <v>0</v>
      </c>
      <c r="M1393" s="42">
        <v>1</v>
      </c>
      <c r="N1393" s="42">
        <v>0</v>
      </c>
      <c r="O1393">
        <v>0</v>
      </c>
    </row>
    <row r="1394" spans="3:15" x14ac:dyDescent="0.15">
      <c r="C1394" s="43" t="s">
        <v>1450</v>
      </c>
      <c r="D1394" s="42">
        <v>26</v>
      </c>
      <c r="E1394" s="42">
        <v>38</v>
      </c>
      <c r="F1394" s="42">
        <v>4</v>
      </c>
      <c r="G1394" s="42">
        <v>0.9</v>
      </c>
      <c r="H1394" s="42">
        <v>0</v>
      </c>
      <c r="I1394" s="42">
        <v>1</v>
      </c>
      <c r="J1394" s="42">
        <v>0</v>
      </c>
      <c r="K1394" s="42">
        <v>0</v>
      </c>
      <c r="L1394" s="42">
        <v>0</v>
      </c>
      <c r="M1394" s="42">
        <v>1</v>
      </c>
      <c r="N1394" s="42">
        <v>0</v>
      </c>
      <c r="O1394">
        <v>0</v>
      </c>
    </row>
    <row r="1395" spans="3:15" x14ac:dyDescent="0.15">
      <c r="C1395" s="43" t="s">
        <v>1451</v>
      </c>
      <c r="D1395" s="42">
        <v>34</v>
      </c>
      <c r="E1395" s="42">
        <v>21</v>
      </c>
      <c r="F1395" s="42">
        <v>3</v>
      </c>
      <c r="G1395" s="42">
        <v>1.3</v>
      </c>
      <c r="H1395" s="42">
        <v>0</v>
      </c>
      <c r="I1395" s="42">
        <v>1</v>
      </c>
      <c r="J1395" s="42">
        <v>0</v>
      </c>
      <c r="K1395" s="42">
        <v>0</v>
      </c>
      <c r="L1395" s="42">
        <v>0</v>
      </c>
      <c r="M1395" s="42">
        <v>1</v>
      </c>
      <c r="N1395" s="42">
        <v>1</v>
      </c>
      <c r="O1395">
        <v>0</v>
      </c>
    </row>
    <row r="1396" spans="3:15" x14ac:dyDescent="0.15">
      <c r="C1396" s="43" t="s">
        <v>1452</v>
      </c>
      <c r="D1396" s="42">
        <v>37</v>
      </c>
      <c r="E1396" s="42">
        <v>58</v>
      </c>
      <c r="F1396" s="42">
        <v>4</v>
      </c>
      <c r="G1396" s="42">
        <v>1.7</v>
      </c>
      <c r="H1396" s="42">
        <v>1</v>
      </c>
      <c r="I1396" s="42">
        <v>0</v>
      </c>
      <c r="J1396" s="42">
        <v>0</v>
      </c>
      <c r="K1396" s="42">
        <v>0</v>
      </c>
      <c r="L1396" s="42">
        <v>0</v>
      </c>
      <c r="M1396" s="42">
        <v>1</v>
      </c>
      <c r="N1396" s="42">
        <v>0</v>
      </c>
      <c r="O1396">
        <v>0</v>
      </c>
    </row>
    <row r="1397" spans="3:15" x14ac:dyDescent="0.15">
      <c r="C1397" s="43" t="s">
        <v>1453</v>
      </c>
      <c r="D1397" s="42">
        <v>30</v>
      </c>
      <c r="E1397" s="42">
        <v>81</v>
      </c>
      <c r="F1397" s="42">
        <v>4</v>
      </c>
      <c r="G1397" s="42">
        <v>3.8</v>
      </c>
      <c r="H1397" s="42">
        <v>0</v>
      </c>
      <c r="I1397" s="42">
        <v>1</v>
      </c>
      <c r="J1397" s="42">
        <v>0</v>
      </c>
      <c r="K1397" s="42">
        <v>0</v>
      </c>
      <c r="L1397" s="42">
        <v>0</v>
      </c>
      <c r="M1397" s="42">
        <v>1</v>
      </c>
      <c r="N1397" s="42">
        <v>0</v>
      </c>
      <c r="O1397">
        <v>0</v>
      </c>
    </row>
    <row r="1398" spans="3:15" x14ac:dyDescent="0.15">
      <c r="C1398" s="43" t="s">
        <v>1454</v>
      </c>
      <c r="D1398" s="42">
        <v>20</v>
      </c>
      <c r="E1398" s="42">
        <v>72</v>
      </c>
      <c r="F1398" s="42">
        <v>2</v>
      </c>
      <c r="G1398" s="42">
        <v>0.8</v>
      </c>
      <c r="H1398" s="42">
        <v>0</v>
      </c>
      <c r="I1398" s="42">
        <v>0</v>
      </c>
      <c r="J1398" s="42">
        <v>0</v>
      </c>
      <c r="K1398" s="42">
        <v>0</v>
      </c>
      <c r="L1398" s="42">
        <v>0</v>
      </c>
      <c r="M1398" s="42">
        <v>1</v>
      </c>
      <c r="N1398" s="42">
        <v>1</v>
      </c>
      <c r="O1398">
        <v>0</v>
      </c>
    </row>
    <row r="1399" spans="3:15" x14ac:dyDescent="0.15">
      <c r="C1399" s="43" t="s">
        <v>1455</v>
      </c>
      <c r="D1399" s="42">
        <v>9</v>
      </c>
      <c r="E1399" s="42">
        <v>8</v>
      </c>
      <c r="F1399" s="42">
        <v>1</v>
      </c>
      <c r="G1399" s="42">
        <v>0.4</v>
      </c>
      <c r="H1399" s="42">
        <v>0</v>
      </c>
      <c r="I1399" s="42">
        <v>1</v>
      </c>
      <c r="J1399" s="42">
        <v>0</v>
      </c>
      <c r="K1399" s="42">
        <v>0</v>
      </c>
      <c r="L1399" s="42">
        <v>0</v>
      </c>
      <c r="M1399" s="42">
        <v>1</v>
      </c>
      <c r="N1399" s="42">
        <v>0</v>
      </c>
      <c r="O1399">
        <v>0</v>
      </c>
    </row>
    <row r="1400" spans="3:15" x14ac:dyDescent="0.15">
      <c r="C1400" s="43" t="s">
        <v>1456</v>
      </c>
      <c r="D1400" s="42">
        <v>36</v>
      </c>
      <c r="E1400" s="42">
        <v>69</v>
      </c>
      <c r="F1400" s="42">
        <v>2</v>
      </c>
      <c r="G1400" s="42">
        <v>1.7</v>
      </c>
      <c r="H1400" s="42">
        <v>0</v>
      </c>
      <c r="I1400" s="42">
        <v>0</v>
      </c>
      <c r="J1400" s="42">
        <v>0</v>
      </c>
      <c r="K1400" s="42">
        <v>0</v>
      </c>
      <c r="L1400" s="42">
        <v>0</v>
      </c>
      <c r="M1400" s="42">
        <v>1</v>
      </c>
      <c r="N1400" s="42">
        <v>0</v>
      </c>
      <c r="O1400">
        <v>0</v>
      </c>
    </row>
    <row r="1401" spans="3:15" x14ac:dyDescent="0.15">
      <c r="C1401" s="43" t="s">
        <v>1457</v>
      </c>
      <c r="D1401" s="42">
        <v>3</v>
      </c>
      <c r="E1401" s="42">
        <v>29</v>
      </c>
      <c r="F1401" s="42">
        <v>4</v>
      </c>
      <c r="G1401" s="42">
        <v>0.8</v>
      </c>
      <c r="H1401" s="42">
        <v>1</v>
      </c>
      <c r="I1401" s="42">
        <v>0</v>
      </c>
      <c r="J1401" s="42">
        <v>135</v>
      </c>
      <c r="K1401" s="42">
        <v>0</v>
      </c>
      <c r="L1401" s="42">
        <v>0</v>
      </c>
      <c r="M1401" s="42">
        <v>1</v>
      </c>
      <c r="N1401" s="42">
        <v>0</v>
      </c>
      <c r="O1401">
        <v>0</v>
      </c>
    </row>
    <row r="1402" spans="3:15" x14ac:dyDescent="0.15">
      <c r="C1402" s="43" t="s">
        <v>1458</v>
      </c>
      <c r="D1402" s="42">
        <v>3</v>
      </c>
      <c r="E1402" s="42">
        <v>31</v>
      </c>
      <c r="F1402" s="42">
        <v>4</v>
      </c>
      <c r="G1402" s="42">
        <v>0.3</v>
      </c>
      <c r="H1402" s="42">
        <v>0</v>
      </c>
      <c r="I1402" s="42">
        <v>1</v>
      </c>
      <c r="J1402" s="42">
        <v>0</v>
      </c>
      <c r="K1402" s="42">
        <v>0</v>
      </c>
      <c r="L1402" s="42">
        <v>0</v>
      </c>
      <c r="M1402" s="42">
        <v>1</v>
      </c>
      <c r="N1402" s="42">
        <v>0</v>
      </c>
      <c r="O1402">
        <v>0</v>
      </c>
    </row>
    <row r="1403" spans="3:15" x14ac:dyDescent="0.15">
      <c r="C1403" s="43" t="s">
        <v>1459</v>
      </c>
      <c r="D1403" s="42">
        <v>32</v>
      </c>
      <c r="E1403" s="42">
        <v>165</v>
      </c>
      <c r="F1403" s="42">
        <v>4</v>
      </c>
      <c r="G1403" s="42">
        <v>2.7</v>
      </c>
      <c r="H1403" s="42">
        <v>0</v>
      </c>
      <c r="I1403" s="42">
        <v>0</v>
      </c>
      <c r="J1403" s="42">
        <v>0</v>
      </c>
      <c r="K1403" s="42">
        <v>0</v>
      </c>
      <c r="L1403" s="42">
        <v>0</v>
      </c>
      <c r="M1403" s="42">
        <v>1</v>
      </c>
      <c r="N1403" s="42">
        <v>0</v>
      </c>
      <c r="O1403">
        <v>1</v>
      </c>
    </row>
    <row r="1404" spans="3:15" x14ac:dyDescent="0.15">
      <c r="C1404" s="43" t="s">
        <v>1460</v>
      </c>
      <c r="D1404" s="42">
        <v>28</v>
      </c>
      <c r="E1404" s="42">
        <v>79</v>
      </c>
      <c r="F1404" s="42">
        <v>4</v>
      </c>
      <c r="G1404" s="42">
        <v>2.6</v>
      </c>
      <c r="H1404" s="42">
        <v>0</v>
      </c>
      <c r="I1404" s="42">
        <v>0</v>
      </c>
      <c r="J1404" s="42">
        <v>0</v>
      </c>
      <c r="K1404" s="42">
        <v>0</v>
      </c>
      <c r="L1404" s="42">
        <v>0</v>
      </c>
      <c r="M1404" s="42">
        <v>0</v>
      </c>
      <c r="N1404" s="42">
        <v>0</v>
      </c>
      <c r="O1404">
        <v>0</v>
      </c>
    </row>
    <row r="1405" spans="3:15" x14ac:dyDescent="0.15">
      <c r="C1405" s="43" t="s">
        <v>1461</v>
      </c>
      <c r="D1405" s="42">
        <v>15</v>
      </c>
      <c r="E1405" s="42">
        <v>59</v>
      </c>
      <c r="F1405" s="42">
        <v>4</v>
      </c>
      <c r="G1405" s="42">
        <v>0.2</v>
      </c>
      <c r="H1405" s="42">
        <v>0</v>
      </c>
      <c r="I1405" s="42">
        <v>0</v>
      </c>
      <c r="J1405" s="42">
        <v>0</v>
      </c>
      <c r="K1405" s="42">
        <v>0</v>
      </c>
      <c r="L1405" s="42">
        <v>0</v>
      </c>
      <c r="M1405" s="42">
        <v>0</v>
      </c>
      <c r="N1405" s="42">
        <v>0</v>
      </c>
      <c r="O1405">
        <v>0</v>
      </c>
    </row>
    <row r="1406" spans="3:15" x14ac:dyDescent="0.15">
      <c r="C1406" s="43" t="s">
        <v>1462</v>
      </c>
      <c r="D1406" s="42">
        <v>18</v>
      </c>
      <c r="E1406" s="42">
        <v>145</v>
      </c>
      <c r="F1406" s="42">
        <v>2</v>
      </c>
      <c r="G1406" s="42">
        <v>8</v>
      </c>
      <c r="H1406" s="42">
        <v>1</v>
      </c>
      <c r="I1406" s="42">
        <v>0</v>
      </c>
      <c r="J1406" s="42">
        <v>505</v>
      </c>
      <c r="K1406" s="42">
        <v>0</v>
      </c>
      <c r="L1406" s="42">
        <v>0</v>
      </c>
      <c r="M1406" s="42">
        <v>0</v>
      </c>
      <c r="N1406" s="42">
        <v>0</v>
      </c>
      <c r="O1406">
        <v>0</v>
      </c>
    </row>
    <row r="1407" spans="3:15" x14ac:dyDescent="0.15">
      <c r="C1407" s="43" t="s">
        <v>1463</v>
      </c>
      <c r="D1407" s="42">
        <v>6</v>
      </c>
      <c r="E1407" s="42">
        <v>141</v>
      </c>
      <c r="F1407" s="42">
        <v>2</v>
      </c>
      <c r="G1407" s="42">
        <v>4.333333333333333</v>
      </c>
      <c r="H1407" s="42">
        <v>1</v>
      </c>
      <c r="I1407" s="42">
        <v>0</v>
      </c>
      <c r="J1407" s="42">
        <v>0</v>
      </c>
      <c r="K1407" s="42">
        <v>0</v>
      </c>
      <c r="L1407" s="42">
        <v>0</v>
      </c>
      <c r="M1407" s="42">
        <v>0</v>
      </c>
      <c r="N1407" s="42">
        <v>0</v>
      </c>
      <c r="O1407">
        <v>0</v>
      </c>
    </row>
    <row r="1408" spans="3:15" x14ac:dyDescent="0.15">
      <c r="C1408" s="43" t="s">
        <v>1464</v>
      </c>
      <c r="D1408" s="42">
        <v>29</v>
      </c>
      <c r="E1408" s="42">
        <v>65</v>
      </c>
      <c r="F1408" s="42">
        <v>4</v>
      </c>
      <c r="G1408" s="42">
        <v>2.8</v>
      </c>
      <c r="H1408" s="42">
        <v>0</v>
      </c>
      <c r="I1408" s="42">
        <v>1</v>
      </c>
      <c r="J1408" s="42">
        <v>0</v>
      </c>
      <c r="K1408" s="42">
        <v>0</v>
      </c>
      <c r="L1408" s="42">
        <v>0</v>
      </c>
      <c r="M1408" s="42">
        <v>1</v>
      </c>
      <c r="N1408" s="42">
        <v>0</v>
      </c>
      <c r="O1408">
        <v>0</v>
      </c>
    </row>
    <row r="1409" spans="3:15" x14ac:dyDescent="0.15">
      <c r="C1409" s="43" t="s">
        <v>1465</v>
      </c>
      <c r="D1409" s="42">
        <v>35</v>
      </c>
      <c r="E1409" s="42">
        <v>50</v>
      </c>
      <c r="F1409" s="42">
        <v>3</v>
      </c>
      <c r="G1409" s="42">
        <v>1.4</v>
      </c>
      <c r="H1409" s="42">
        <v>0</v>
      </c>
      <c r="I1409" s="42">
        <v>0</v>
      </c>
      <c r="J1409" s="42">
        <v>112</v>
      </c>
      <c r="K1409" s="42">
        <v>0</v>
      </c>
      <c r="L1409" s="42">
        <v>0</v>
      </c>
      <c r="M1409" s="42">
        <v>1</v>
      </c>
      <c r="N1409" s="42">
        <v>0</v>
      </c>
      <c r="O1409">
        <v>0</v>
      </c>
    </row>
    <row r="1410" spans="3:15" x14ac:dyDescent="0.15">
      <c r="C1410" s="43" t="s">
        <v>1466</v>
      </c>
      <c r="D1410" s="42">
        <v>23</v>
      </c>
      <c r="E1410" s="42">
        <v>119</v>
      </c>
      <c r="F1410" s="42">
        <v>1</v>
      </c>
      <c r="G1410" s="42">
        <v>7.3</v>
      </c>
      <c r="H1410" s="42">
        <v>1</v>
      </c>
      <c r="I1410" s="42">
        <v>0</v>
      </c>
      <c r="J1410" s="42">
        <v>398</v>
      </c>
      <c r="K1410" s="42">
        <v>0</v>
      </c>
      <c r="L1410" s="42">
        <v>0</v>
      </c>
      <c r="M1410" s="42">
        <v>0</v>
      </c>
      <c r="N1410" s="42">
        <v>0</v>
      </c>
      <c r="O1410">
        <v>0</v>
      </c>
    </row>
    <row r="1411" spans="3:15" x14ac:dyDescent="0.15">
      <c r="C1411" s="43" t="s">
        <v>1467</v>
      </c>
      <c r="D1411" s="42">
        <v>31</v>
      </c>
      <c r="E1411" s="42">
        <v>74</v>
      </c>
      <c r="F1411" s="42">
        <v>3</v>
      </c>
      <c r="G1411" s="42">
        <v>1.6</v>
      </c>
      <c r="H1411" s="42">
        <v>0</v>
      </c>
      <c r="I1411" s="42">
        <v>0</v>
      </c>
      <c r="J1411" s="42">
        <v>0</v>
      </c>
      <c r="K1411" s="42">
        <v>0</v>
      </c>
      <c r="L1411" s="42">
        <v>0</v>
      </c>
      <c r="M1411" s="42">
        <v>1</v>
      </c>
      <c r="N1411" s="42">
        <v>1</v>
      </c>
      <c r="O1411">
        <v>0</v>
      </c>
    </row>
    <row r="1412" spans="3:15" x14ac:dyDescent="0.15">
      <c r="C1412" s="43" t="s">
        <v>1468</v>
      </c>
      <c r="D1412" s="42">
        <v>32</v>
      </c>
      <c r="E1412" s="42">
        <v>125</v>
      </c>
      <c r="F1412" s="42">
        <v>3</v>
      </c>
      <c r="G1412" s="42">
        <v>0.6</v>
      </c>
      <c r="H1412" s="42">
        <v>1</v>
      </c>
      <c r="I1412" s="42">
        <v>0</v>
      </c>
      <c r="J1412" s="42">
        <v>342</v>
      </c>
      <c r="K1412" s="42">
        <v>0</v>
      </c>
      <c r="L1412" s="42">
        <v>1</v>
      </c>
      <c r="M1412" s="42">
        <v>1</v>
      </c>
      <c r="N1412" s="42">
        <v>1</v>
      </c>
      <c r="O1412">
        <v>1</v>
      </c>
    </row>
    <row r="1413" spans="3:15" x14ac:dyDescent="0.15">
      <c r="C1413" s="43" t="s">
        <v>1469</v>
      </c>
      <c r="D1413" s="42">
        <v>10</v>
      </c>
      <c r="E1413" s="42">
        <v>31</v>
      </c>
      <c r="F1413" s="42">
        <v>4</v>
      </c>
      <c r="G1413" s="42">
        <v>1.2</v>
      </c>
      <c r="H1413" s="42">
        <v>0</v>
      </c>
      <c r="I1413" s="42">
        <v>1</v>
      </c>
      <c r="J1413" s="42">
        <v>0</v>
      </c>
      <c r="K1413" s="42">
        <v>0</v>
      </c>
      <c r="L1413" s="42">
        <v>0</v>
      </c>
      <c r="M1413" s="42">
        <v>0</v>
      </c>
      <c r="N1413" s="42">
        <v>0</v>
      </c>
      <c r="O1413">
        <v>0</v>
      </c>
    </row>
    <row r="1414" spans="3:15" x14ac:dyDescent="0.15">
      <c r="C1414" s="43" t="s">
        <v>1470</v>
      </c>
      <c r="D1414" s="42">
        <v>13</v>
      </c>
      <c r="E1414" s="42">
        <v>33</v>
      </c>
      <c r="F1414" s="42">
        <v>1</v>
      </c>
      <c r="G1414" s="42">
        <v>0.75</v>
      </c>
      <c r="H1414" s="42">
        <v>0</v>
      </c>
      <c r="I1414" s="42">
        <v>0</v>
      </c>
      <c r="J1414" s="42">
        <v>0</v>
      </c>
      <c r="K1414" s="42">
        <v>0</v>
      </c>
      <c r="L1414" s="42">
        <v>0</v>
      </c>
      <c r="M1414" s="42">
        <v>0</v>
      </c>
      <c r="N1414" s="42">
        <v>0</v>
      </c>
      <c r="O1414">
        <v>0</v>
      </c>
    </row>
    <row r="1415" spans="3:15" x14ac:dyDescent="0.15">
      <c r="C1415" s="43" t="s">
        <v>1471</v>
      </c>
      <c r="D1415" s="42">
        <v>32</v>
      </c>
      <c r="E1415" s="42">
        <v>39</v>
      </c>
      <c r="F1415" s="42">
        <v>4</v>
      </c>
      <c r="G1415" s="42">
        <v>0.9</v>
      </c>
      <c r="H1415" s="42">
        <v>1</v>
      </c>
      <c r="I1415" s="42">
        <v>0</v>
      </c>
      <c r="J1415" s="42">
        <v>147</v>
      </c>
      <c r="K1415" s="42">
        <v>0</v>
      </c>
      <c r="L1415" s="42">
        <v>0</v>
      </c>
      <c r="M1415" s="42">
        <v>0</v>
      </c>
      <c r="N1415" s="42">
        <v>0</v>
      </c>
      <c r="O1415">
        <v>0</v>
      </c>
    </row>
    <row r="1416" spans="3:15" x14ac:dyDescent="0.15">
      <c r="C1416" s="43" t="s">
        <v>1472</v>
      </c>
      <c r="D1416" s="42">
        <v>29</v>
      </c>
      <c r="E1416" s="42">
        <v>99</v>
      </c>
      <c r="F1416" s="42">
        <v>2</v>
      </c>
      <c r="G1416" s="42">
        <v>1.4</v>
      </c>
      <c r="H1416" s="42">
        <v>1</v>
      </c>
      <c r="I1416" s="42">
        <v>0</v>
      </c>
      <c r="J1416" s="42">
        <v>264</v>
      </c>
      <c r="K1416" s="42">
        <v>0</v>
      </c>
      <c r="L1416" s="42">
        <v>0</v>
      </c>
      <c r="M1416" s="42">
        <v>1</v>
      </c>
      <c r="N1416" s="42">
        <v>1</v>
      </c>
      <c r="O1416">
        <v>0</v>
      </c>
    </row>
    <row r="1417" spans="3:15" x14ac:dyDescent="0.15">
      <c r="C1417" s="43" t="s">
        <v>1473</v>
      </c>
      <c r="D1417" s="42">
        <v>26</v>
      </c>
      <c r="E1417" s="42">
        <v>190</v>
      </c>
      <c r="F1417" s="42">
        <v>3</v>
      </c>
      <c r="G1417" s="42">
        <v>2.1</v>
      </c>
      <c r="H1417" s="42">
        <v>0</v>
      </c>
      <c r="I1417" s="42">
        <v>0</v>
      </c>
      <c r="J1417" s="42">
        <v>240</v>
      </c>
      <c r="K1417" s="42">
        <v>0</v>
      </c>
      <c r="L1417" s="42">
        <v>0</v>
      </c>
      <c r="M1417" s="42">
        <v>1</v>
      </c>
      <c r="N1417" s="42">
        <v>0</v>
      </c>
      <c r="O1417">
        <v>1</v>
      </c>
    </row>
    <row r="1418" spans="3:15" x14ac:dyDescent="0.15">
      <c r="C1418" s="43" t="s">
        <v>1474</v>
      </c>
      <c r="D1418" s="42">
        <v>33</v>
      </c>
      <c r="E1418" s="42">
        <v>182</v>
      </c>
      <c r="F1418" s="42">
        <v>2</v>
      </c>
      <c r="G1418" s="42">
        <v>3.3</v>
      </c>
      <c r="H1418" s="42">
        <v>0</v>
      </c>
      <c r="I1418" s="42">
        <v>0</v>
      </c>
      <c r="J1418" s="42">
        <v>372</v>
      </c>
      <c r="K1418" s="42">
        <v>0</v>
      </c>
      <c r="L1418" s="42">
        <v>0</v>
      </c>
      <c r="M1418" s="42">
        <v>0</v>
      </c>
      <c r="N1418" s="42">
        <v>0</v>
      </c>
      <c r="O1418">
        <v>1</v>
      </c>
    </row>
    <row r="1419" spans="3:15" x14ac:dyDescent="0.15">
      <c r="C1419" s="43" t="s">
        <v>1475</v>
      </c>
      <c r="D1419" s="42">
        <v>14</v>
      </c>
      <c r="E1419" s="42">
        <v>44</v>
      </c>
      <c r="F1419" s="42">
        <v>3</v>
      </c>
      <c r="G1419" s="42">
        <v>2</v>
      </c>
      <c r="H1419" s="42">
        <v>0</v>
      </c>
      <c r="I1419" s="42">
        <v>0</v>
      </c>
      <c r="J1419" s="42">
        <v>180</v>
      </c>
      <c r="K1419" s="42">
        <v>1</v>
      </c>
      <c r="L1419" s="42">
        <v>1</v>
      </c>
      <c r="M1419" s="42">
        <v>1</v>
      </c>
      <c r="N1419" s="42">
        <v>1</v>
      </c>
      <c r="O1419">
        <v>0</v>
      </c>
    </row>
    <row r="1420" spans="3:15" x14ac:dyDescent="0.15">
      <c r="C1420" s="43" t="s">
        <v>1476</v>
      </c>
      <c r="D1420" s="42">
        <v>35</v>
      </c>
      <c r="E1420" s="42">
        <v>42</v>
      </c>
      <c r="F1420" s="42">
        <v>1</v>
      </c>
      <c r="G1420" s="42">
        <v>1.8</v>
      </c>
      <c r="H1420" s="42">
        <v>0</v>
      </c>
      <c r="I1420" s="42">
        <v>0</v>
      </c>
      <c r="J1420" s="42">
        <v>0</v>
      </c>
      <c r="K1420" s="42">
        <v>0</v>
      </c>
      <c r="L1420" s="42">
        <v>0</v>
      </c>
      <c r="M1420" s="42">
        <v>1</v>
      </c>
      <c r="N1420" s="42">
        <v>0</v>
      </c>
      <c r="O1420">
        <v>0</v>
      </c>
    </row>
    <row r="1421" spans="3:15" x14ac:dyDescent="0.15">
      <c r="C1421" s="43" t="s">
        <v>1477</v>
      </c>
      <c r="D1421" s="42">
        <v>25</v>
      </c>
      <c r="E1421" s="42">
        <v>180</v>
      </c>
      <c r="F1421" s="42">
        <v>2</v>
      </c>
      <c r="G1421" s="42">
        <v>9</v>
      </c>
      <c r="H1421" s="42">
        <v>0</v>
      </c>
      <c r="I1421" s="42">
        <v>1</v>
      </c>
      <c r="J1421" s="42">
        <v>297</v>
      </c>
      <c r="K1421" s="42">
        <v>0</v>
      </c>
      <c r="L1421" s="42">
        <v>0</v>
      </c>
      <c r="M1421" s="42">
        <v>1</v>
      </c>
      <c r="N1421" s="42">
        <v>0</v>
      </c>
      <c r="O1421">
        <v>1</v>
      </c>
    </row>
    <row r="1422" spans="3:15" x14ac:dyDescent="0.15">
      <c r="C1422" s="43" t="s">
        <v>1478</v>
      </c>
      <c r="D1422" s="42">
        <v>35</v>
      </c>
      <c r="E1422" s="42">
        <v>55</v>
      </c>
      <c r="F1422" s="42">
        <v>1</v>
      </c>
      <c r="G1422" s="42">
        <v>1.8</v>
      </c>
      <c r="H1422" s="42">
        <v>0</v>
      </c>
      <c r="I1422" s="42">
        <v>0</v>
      </c>
      <c r="J1422" s="42">
        <v>0</v>
      </c>
      <c r="K1422" s="42">
        <v>1</v>
      </c>
      <c r="L1422" s="42">
        <v>0</v>
      </c>
      <c r="M1422" s="42">
        <v>0</v>
      </c>
      <c r="N1422" s="42">
        <v>0</v>
      </c>
      <c r="O1422">
        <v>0</v>
      </c>
    </row>
    <row r="1423" spans="3:15" x14ac:dyDescent="0.15">
      <c r="C1423" s="43" t="s">
        <v>1479</v>
      </c>
      <c r="D1423" s="42">
        <v>17</v>
      </c>
      <c r="E1423" s="42">
        <v>69</v>
      </c>
      <c r="F1423" s="42">
        <v>4</v>
      </c>
      <c r="G1423" s="42">
        <v>2.9</v>
      </c>
      <c r="H1423" s="42">
        <v>1</v>
      </c>
      <c r="I1423" s="42">
        <v>0</v>
      </c>
      <c r="J1423" s="42">
        <v>0</v>
      </c>
      <c r="K1423" s="42">
        <v>0</v>
      </c>
      <c r="L1423" s="42">
        <v>0</v>
      </c>
      <c r="M1423" s="42">
        <v>1</v>
      </c>
      <c r="N1423" s="42">
        <v>1</v>
      </c>
      <c r="O1423">
        <v>0</v>
      </c>
    </row>
    <row r="1424" spans="3:15" x14ac:dyDescent="0.15">
      <c r="C1424" s="43" t="s">
        <v>1480</v>
      </c>
      <c r="D1424" s="42">
        <v>30</v>
      </c>
      <c r="E1424" s="42">
        <v>22</v>
      </c>
      <c r="F1424" s="42">
        <v>1</v>
      </c>
      <c r="G1424" s="42">
        <v>1.5</v>
      </c>
      <c r="H1424" s="42">
        <v>0</v>
      </c>
      <c r="I1424" s="42">
        <v>1</v>
      </c>
      <c r="J1424" s="42">
        <v>91</v>
      </c>
      <c r="K1424" s="42">
        <v>0</v>
      </c>
      <c r="L1424" s="42">
        <v>0</v>
      </c>
      <c r="M1424" s="42">
        <v>0</v>
      </c>
      <c r="N1424" s="42">
        <v>1</v>
      </c>
      <c r="O1424">
        <v>0</v>
      </c>
    </row>
    <row r="1425" spans="3:15" x14ac:dyDescent="0.15">
      <c r="C1425" s="43" t="s">
        <v>1481</v>
      </c>
      <c r="D1425" s="42">
        <v>13</v>
      </c>
      <c r="E1425" s="42">
        <v>30</v>
      </c>
      <c r="F1425" s="42">
        <v>3</v>
      </c>
      <c r="G1425" s="42">
        <v>0.2</v>
      </c>
      <c r="H1425" s="42">
        <v>0</v>
      </c>
      <c r="I1425" s="42">
        <v>1</v>
      </c>
      <c r="J1425" s="42">
        <v>0</v>
      </c>
      <c r="K1425" s="42">
        <v>0</v>
      </c>
      <c r="L1425" s="42">
        <v>0</v>
      </c>
      <c r="M1425" s="42">
        <v>0</v>
      </c>
      <c r="N1425" s="42">
        <v>0</v>
      </c>
      <c r="O1425">
        <v>0</v>
      </c>
    </row>
    <row r="1426" spans="3:15" x14ac:dyDescent="0.15">
      <c r="C1426" s="43" t="s">
        <v>1482</v>
      </c>
      <c r="D1426" s="42">
        <v>23</v>
      </c>
      <c r="E1426" s="42">
        <v>33</v>
      </c>
      <c r="F1426" s="42">
        <v>1</v>
      </c>
      <c r="G1426" s="42">
        <v>1</v>
      </c>
      <c r="H1426" s="42">
        <v>1</v>
      </c>
      <c r="I1426" s="42">
        <v>0</v>
      </c>
      <c r="J1426" s="42">
        <v>0</v>
      </c>
      <c r="K1426" s="42">
        <v>0</v>
      </c>
      <c r="L1426" s="42">
        <v>0</v>
      </c>
      <c r="M1426" s="42">
        <v>1</v>
      </c>
      <c r="N1426" s="42">
        <v>1</v>
      </c>
      <c r="O1426">
        <v>0</v>
      </c>
    </row>
    <row r="1427" spans="3:15" x14ac:dyDescent="0.15">
      <c r="C1427" s="43" t="s">
        <v>1483</v>
      </c>
      <c r="D1427" s="42">
        <v>16</v>
      </c>
      <c r="E1427" s="42">
        <v>89</v>
      </c>
      <c r="F1427" s="42">
        <v>4</v>
      </c>
      <c r="G1427" s="42">
        <v>0.8</v>
      </c>
      <c r="H1427" s="42">
        <v>1</v>
      </c>
      <c r="I1427" s="42">
        <v>0</v>
      </c>
      <c r="J1427" s="42">
        <v>155</v>
      </c>
      <c r="K1427" s="42">
        <v>0</v>
      </c>
      <c r="L1427" s="42">
        <v>0</v>
      </c>
      <c r="M1427" s="42">
        <v>1</v>
      </c>
      <c r="N1427" s="42">
        <v>0</v>
      </c>
      <c r="O1427">
        <v>0</v>
      </c>
    </row>
    <row r="1428" spans="3:15" x14ac:dyDescent="0.15">
      <c r="C1428" s="43" t="s">
        <v>1484</v>
      </c>
      <c r="D1428" s="42">
        <v>23</v>
      </c>
      <c r="E1428" s="42">
        <v>45</v>
      </c>
      <c r="F1428" s="42">
        <v>1</v>
      </c>
      <c r="G1428" s="42">
        <v>1.3</v>
      </c>
      <c r="H1428" s="42">
        <v>0</v>
      </c>
      <c r="I1428" s="42">
        <v>1</v>
      </c>
      <c r="J1428" s="42">
        <v>0</v>
      </c>
      <c r="K1428" s="42">
        <v>0</v>
      </c>
      <c r="L1428" s="42">
        <v>0</v>
      </c>
      <c r="M1428" s="42">
        <v>1</v>
      </c>
      <c r="N1428" s="42">
        <v>0</v>
      </c>
      <c r="O1428">
        <v>0</v>
      </c>
    </row>
    <row r="1429" spans="3:15" x14ac:dyDescent="0.15">
      <c r="C1429" s="43" t="s">
        <v>1485</v>
      </c>
      <c r="D1429" s="42">
        <v>20</v>
      </c>
      <c r="E1429" s="42">
        <v>118</v>
      </c>
      <c r="F1429" s="42">
        <v>1</v>
      </c>
      <c r="G1429" s="42">
        <v>5.7</v>
      </c>
      <c r="H1429" s="42">
        <v>1</v>
      </c>
      <c r="I1429" s="42">
        <v>0</v>
      </c>
      <c r="J1429" s="42">
        <v>0</v>
      </c>
      <c r="K1429" s="42">
        <v>0</v>
      </c>
      <c r="L1429" s="42">
        <v>1</v>
      </c>
      <c r="M1429" s="42">
        <v>1</v>
      </c>
      <c r="N1429" s="42">
        <v>1</v>
      </c>
      <c r="O1429">
        <v>0</v>
      </c>
    </row>
    <row r="1430" spans="3:15" x14ac:dyDescent="0.15">
      <c r="C1430" s="43" t="s">
        <v>1486</v>
      </c>
      <c r="D1430" s="42">
        <v>2</v>
      </c>
      <c r="E1430" s="42">
        <v>42</v>
      </c>
      <c r="F1430" s="42">
        <v>1</v>
      </c>
      <c r="G1430" s="42">
        <v>1.5</v>
      </c>
      <c r="H1430" s="42">
        <v>1</v>
      </c>
      <c r="I1430" s="42">
        <v>0</v>
      </c>
      <c r="J1430" s="42">
        <v>0</v>
      </c>
      <c r="K1430" s="42">
        <v>0</v>
      </c>
      <c r="L1430" s="42">
        <v>0</v>
      </c>
      <c r="M1430" s="42">
        <v>1</v>
      </c>
      <c r="N1430" s="42">
        <v>1</v>
      </c>
      <c r="O1430">
        <v>0</v>
      </c>
    </row>
    <row r="1431" spans="3:15" x14ac:dyDescent="0.15">
      <c r="C1431" s="43" t="s">
        <v>1487</v>
      </c>
      <c r="D1431" s="42">
        <v>35</v>
      </c>
      <c r="E1431" s="42">
        <v>152</v>
      </c>
      <c r="F1431" s="42">
        <v>3</v>
      </c>
      <c r="G1431" s="42">
        <v>3.3</v>
      </c>
      <c r="H1431" s="42">
        <v>0</v>
      </c>
      <c r="I1431" s="42">
        <v>0</v>
      </c>
      <c r="J1431" s="42">
        <v>0</v>
      </c>
      <c r="K1431" s="42">
        <v>0</v>
      </c>
      <c r="L1431" s="42">
        <v>0</v>
      </c>
      <c r="M1431" s="42">
        <v>1</v>
      </c>
      <c r="N1431" s="42">
        <v>0</v>
      </c>
      <c r="O1431">
        <v>1</v>
      </c>
    </row>
    <row r="1432" spans="3:15" x14ac:dyDescent="0.15">
      <c r="C1432" s="43" t="s">
        <v>1488</v>
      </c>
      <c r="D1432" s="42">
        <v>23</v>
      </c>
      <c r="E1432" s="42">
        <v>79</v>
      </c>
      <c r="F1432" s="42">
        <v>3</v>
      </c>
      <c r="G1432" s="42">
        <v>0.7</v>
      </c>
      <c r="H1432" s="42">
        <v>0</v>
      </c>
      <c r="I1432" s="42">
        <v>1</v>
      </c>
      <c r="J1432" s="42">
        <v>151</v>
      </c>
      <c r="K1432" s="42">
        <v>0</v>
      </c>
      <c r="L1432" s="42">
        <v>0</v>
      </c>
      <c r="M1432" s="42">
        <v>1</v>
      </c>
      <c r="N1432" s="42">
        <v>0</v>
      </c>
      <c r="O1432">
        <v>0</v>
      </c>
    </row>
    <row r="1433" spans="3:15" x14ac:dyDescent="0.15">
      <c r="C1433" s="43" t="s">
        <v>1489</v>
      </c>
      <c r="D1433" s="42">
        <v>10</v>
      </c>
      <c r="E1433" s="42">
        <v>33</v>
      </c>
      <c r="F1433" s="42">
        <v>4</v>
      </c>
      <c r="G1433" s="42">
        <v>1.7</v>
      </c>
      <c r="H1433" s="42">
        <v>1</v>
      </c>
      <c r="I1433" s="42">
        <v>0</v>
      </c>
      <c r="J1433" s="42">
        <v>87</v>
      </c>
      <c r="K1433" s="42">
        <v>0</v>
      </c>
      <c r="L1433" s="42">
        <v>0</v>
      </c>
      <c r="M1433" s="42">
        <v>1</v>
      </c>
      <c r="N1433" s="42">
        <v>0</v>
      </c>
      <c r="O1433">
        <v>0</v>
      </c>
    </row>
    <row r="1434" spans="3:15" x14ac:dyDescent="0.15">
      <c r="C1434" s="43" t="s">
        <v>1490</v>
      </c>
      <c r="D1434" s="42">
        <v>32</v>
      </c>
      <c r="E1434" s="42">
        <v>51</v>
      </c>
      <c r="F1434" s="42">
        <v>1</v>
      </c>
      <c r="G1434" s="42">
        <v>2.8</v>
      </c>
      <c r="H1434" s="42">
        <v>0</v>
      </c>
      <c r="I1434" s="42">
        <v>1</v>
      </c>
      <c r="J1434" s="42">
        <v>0</v>
      </c>
      <c r="K1434" s="42">
        <v>0</v>
      </c>
      <c r="L1434" s="42">
        <v>0</v>
      </c>
      <c r="M1434" s="42">
        <v>1</v>
      </c>
      <c r="N1434" s="42">
        <v>0</v>
      </c>
      <c r="O1434">
        <v>0</v>
      </c>
    </row>
    <row r="1435" spans="3:15" x14ac:dyDescent="0.15">
      <c r="C1435" s="43" t="s">
        <v>1491</v>
      </c>
      <c r="D1435" s="42">
        <v>4</v>
      </c>
      <c r="E1435" s="42">
        <v>40</v>
      </c>
      <c r="F1435" s="42">
        <v>4</v>
      </c>
      <c r="G1435" s="42">
        <v>2.1</v>
      </c>
      <c r="H1435" s="42">
        <v>0</v>
      </c>
      <c r="I1435" s="42">
        <v>0</v>
      </c>
      <c r="J1435" s="42">
        <v>0</v>
      </c>
      <c r="K1435" s="42">
        <v>0</v>
      </c>
      <c r="L1435" s="42">
        <v>0</v>
      </c>
      <c r="M1435" s="42">
        <v>1</v>
      </c>
      <c r="N1435" s="42">
        <v>1</v>
      </c>
      <c r="O1435">
        <v>0</v>
      </c>
    </row>
    <row r="1436" spans="3:15" x14ac:dyDescent="0.15">
      <c r="C1436" s="43" t="s">
        <v>1492</v>
      </c>
      <c r="D1436" s="42">
        <v>15</v>
      </c>
      <c r="E1436" s="42">
        <v>62</v>
      </c>
      <c r="F1436" s="42">
        <v>4</v>
      </c>
      <c r="G1436" s="42">
        <v>2.4</v>
      </c>
      <c r="H1436" s="42">
        <v>1</v>
      </c>
      <c r="I1436" s="42">
        <v>0</v>
      </c>
      <c r="J1436" s="42">
        <v>86</v>
      </c>
      <c r="K1436" s="42">
        <v>0</v>
      </c>
      <c r="L1436" s="42">
        <v>0</v>
      </c>
      <c r="M1436" s="42">
        <v>0</v>
      </c>
      <c r="N1436" s="42">
        <v>0</v>
      </c>
      <c r="O1436">
        <v>0</v>
      </c>
    </row>
    <row r="1437" spans="3:15" x14ac:dyDescent="0.15">
      <c r="C1437" s="43" t="s">
        <v>1493</v>
      </c>
      <c r="D1437" s="42">
        <v>1</v>
      </c>
      <c r="E1437" s="42">
        <v>78</v>
      </c>
      <c r="F1437" s="42">
        <v>4</v>
      </c>
      <c r="G1437" s="42">
        <v>2.2999999999999998</v>
      </c>
      <c r="H1437" s="42">
        <v>0</v>
      </c>
      <c r="I1437" s="42">
        <v>0</v>
      </c>
      <c r="J1437" s="42">
        <v>157</v>
      </c>
      <c r="K1437" s="42">
        <v>1</v>
      </c>
      <c r="L1437" s="42">
        <v>0</v>
      </c>
      <c r="M1437" s="42">
        <v>1</v>
      </c>
      <c r="N1437" s="42">
        <v>0</v>
      </c>
      <c r="O1437">
        <v>0</v>
      </c>
    </row>
    <row r="1438" spans="3:15" x14ac:dyDescent="0.15">
      <c r="C1438" s="43" t="s">
        <v>1494</v>
      </c>
      <c r="D1438" s="42">
        <v>37</v>
      </c>
      <c r="E1438" s="42">
        <v>20</v>
      </c>
      <c r="F1438" s="42">
        <v>3</v>
      </c>
      <c r="G1438" s="42">
        <v>0.4</v>
      </c>
      <c r="H1438" s="42">
        <v>0</v>
      </c>
      <c r="I1438" s="42">
        <v>1</v>
      </c>
      <c r="J1438" s="42">
        <v>94</v>
      </c>
      <c r="K1438" s="42">
        <v>0</v>
      </c>
      <c r="L1438" s="42">
        <v>0</v>
      </c>
      <c r="M1438" s="42">
        <v>0</v>
      </c>
      <c r="N1438" s="42">
        <v>0</v>
      </c>
      <c r="O1438">
        <v>0</v>
      </c>
    </row>
    <row r="1439" spans="3:15" x14ac:dyDescent="0.15">
      <c r="C1439" s="43" t="s">
        <v>1495</v>
      </c>
      <c r="D1439" s="42">
        <v>11</v>
      </c>
      <c r="E1439" s="42">
        <v>81</v>
      </c>
      <c r="F1439" s="42">
        <v>1</v>
      </c>
      <c r="G1439" s="42">
        <v>2.8</v>
      </c>
      <c r="H1439" s="42">
        <v>0</v>
      </c>
      <c r="I1439" s="42">
        <v>0</v>
      </c>
      <c r="J1439" s="42">
        <v>145</v>
      </c>
      <c r="K1439" s="42">
        <v>0</v>
      </c>
      <c r="L1439" s="42">
        <v>0</v>
      </c>
      <c r="M1439" s="42">
        <v>0</v>
      </c>
      <c r="N1439" s="42">
        <v>0</v>
      </c>
      <c r="O1439">
        <v>0</v>
      </c>
    </row>
    <row r="1440" spans="3:15" x14ac:dyDescent="0.15">
      <c r="C1440" s="43" t="s">
        <v>1496</v>
      </c>
      <c r="D1440" s="42">
        <v>18</v>
      </c>
      <c r="E1440" s="42">
        <v>33</v>
      </c>
      <c r="F1440" s="42">
        <v>1</v>
      </c>
      <c r="G1440" s="42">
        <v>1.4</v>
      </c>
      <c r="H1440" s="42">
        <v>0</v>
      </c>
      <c r="I1440" s="42">
        <v>0</v>
      </c>
      <c r="J1440" s="42">
        <v>0</v>
      </c>
      <c r="K1440" s="42">
        <v>0</v>
      </c>
      <c r="L1440" s="42">
        <v>0</v>
      </c>
      <c r="M1440" s="42">
        <v>1</v>
      </c>
      <c r="N1440" s="42">
        <v>0</v>
      </c>
      <c r="O1440">
        <v>0</v>
      </c>
    </row>
    <row r="1441" spans="3:15" x14ac:dyDescent="0.15">
      <c r="C1441" s="43" t="s">
        <v>1497</v>
      </c>
      <c r="D1441" s="42">
        <v>29</v>
      </c>
      <c r="E1441" s="42">
        <v>55</v>
      </c>
      <c r="F1441" s="42">
        <v>1</v>
      </c>
      <c r="G1441" s="42">
        <v>0.2</v>
      </c>
      <c r="H1441" s="42">
        <v>1</v>
      </c>
      <c r="I1441" s="42">
        <v>0</v>
      </c>
      <c r="J1441" s="42">
        <v>151</v>
      </c>
      <c r="K1441" s="42">
        <v>0</v>
      </c>
      <c r="L1441" s="42">
        <v>0</v>
      </c>
      <c r="M1441" s="42">
        <v>1</v>
      </c>
      <c r="N1441" s="42">
        <v>0</v>
      </c>
      <c r="O1441">
        <v>0</v>
      </c>
    </row>
    <row r="1442" spans="3:15" x14ac:dyDescent="0.15">
      <c r="C1442" s="43" t="s">
        <v>1498</v>
      </c>
      <c r="D1442" s="42">
        <v>1</v>
      </c>
      <c r="E1442" s="42">
        <v>51</v>
      </c>
      <c r="F1442" s="42">
        <v>2</v>
      </c>
      <c r="G1442" s="42">
        <v>1.75</v>
      </c>
      <c r="H1442" s="42">
        <v>0</v>
      </c>
      <c r="I1442" s="42">
        <v>0</v>
      </c>
      <c r="J1442" s="42">
        <v>0</v>
      </c>
      <c r="K1442" s="42">
        <v>0</v>
      </c>
      <c r="L1442" s="42">
        <v>0</v>
      </c>
      <c r="M1442" s="42">
        <v>0</v>
      </c>
      <c r="N1442" s="42">
        <v>0</v>
      </c>
      <c r="O1442">
        <v>0</v>
      </c>
    </row>
    <row r="1443" spans="3:15" x14ac:dyDescent="0.15">
      <c r="C1443" s="43" t="s">
        <v>1499</v>
      </c>
      <c r="D1443" s="42">
        <v>33</v>
      </c>
      <c r="E1443" s="42">
        <v>45</v>
      </c>
      <c r="F1443" s="42">
        <v>3</v>
      </c>
      <c r="G1443" s="42">
        <v>1.5</v>
      </c>
      <c r="H1443" s="42">
        <v>1</v>
      </c>
      <c r="I1443" s="42">
        <v>0</v>
      </c>
      <c r="J1443" s="42">
        <v>181</v>
      </c>
      <c r="K1443" s="42">
        <v>1</v>
      </c>
      <c r="L1443" s="42">
        <v>1</v>
      </c>
      <c r="M1443" s="42">
        <v>1</v>
      </c>
      <c r="N1443" s="42">
        <v>1</v>
      </c>
      <c r="O1443">
        <v>0</v>
      </c>
    </row>
    <row r="1444" spans="3:15" x14ac:dyDescent="0.15">
      <c r="C1444" s="43" t="s">
        <v>1500</v>
      </c>
      <c r="D1444" s="42">
        <v>8</v>
      </c>
      <c r="E1444" s="42">
        <v>183</v>
      </c>
      <c r="F1444" s="42">
        <v>1</v>
      </c>
      <c r="G1444" s="42">
        <v>6</v>
      </c>
      <c r="H1444" s="42">
        <v>1</v>
      </c>
      <c r="I1444" s="42">
        <v>0</v>
      </c>
      <c r="J1444" s="42">
        <v>0</v>
      </c>
      <c r="K1444" s="42">
        <v>0</v>
      </c>
      <c r="L1444" s="42">
        <v>0</v>
      </c>
      <c r="M1444" s="42">
        <v>0</v>
      </c>
      <c r="N1444" s="42">
        <v>0</v>
      </c>
      <c r="O1444">
        <v>0</v>
      </c>
    </row>
    <row r="1445" spans="3:15" x14ac:dyDescent="0.15">
      <c r="C1445" s="43" t="s">
        <v>1501</v>
      </c>
      <c r="D1445" s="42">
        <v>2</v>
      </c>
      <c r="E1445" s="42">
        <v>93</v>
      </c>
      <c r="F1445" s="42">
        <v>2</v>
      </c>
      <c r="G1445" s="42">
        <v>0.2</v>
      </c>
      <c r="H1445" s="42">
        <v>1</v>
      </c>
      <c r="I1445" s="42">
        <v>0</v>
      </c>
      <c r="J1445" s="42">
        <v>0</v>
      </c>
      <c r="K1445" s="42">
        <v>0</v>
      </c>
      <c r="L1445" s="42">
        <v>0</v>
      </c>
      <c r="M1445" s="42">
        <v>0</v>
      </c>
      <c r="N1445" s="42">
        <v>0</v>
      </c>
      <c r="O1445">
        <v>0</v>
      </c>
    </row>
    <row r="1446" spans="3:15" x14ac:dyDescent="0.15">
      <c r="C1446" s="43" t="s">
        <v>1502</v>
      </c>
      <c r="D1446" s="42">
        <v>29</v>
      </c>
      <c r="E1446" s="42">
        <v>34</v>
      </c>
      <c r="F1446" s="42">
        <v>4</v>
      </c>
      <c r="G1446" s="42">
        <v>0.1</v>
      </c>
      <c r="H1446" s="42">
        <v>0</v>
      </c>
      <c r="I1446" s="42">
        <v>0</v>
      </c>
      <c r="J1446" s="42">
        <v>0</v>
      </c>
      <c r="K1446" s="42">
        <v>0</v>
      </c>
      <c r="L1446" s="42">
        <v>0</v>
      </c>
      <c r="M1446" s="42">
        <v>1</v>
      </c>
      <c r="N1446" s="42">
        <v>0</v>
      </c>
      <c r="O1446">
        <v>0</v>
      </c>
    </row>
    <row r="1447" spans="3:15" x14ac:dyDescent="0.15">
      <c r="C1447" s="43" t="s">
        <v>1503</v>
      </c>
      <c r="D1447" s="42">
        <v>7</v>
      </c>
      <c r="E1447" s="42">
        <v>192</v>
      </c>
      <c r="F1447" s="42">
        <v>1</v>
      </c>
      <c r="G1447" s="42">
        <v>0</v>
      </c>
      <c r="H1447" s="42">
        <v>0</v>
      </c>
      <c r="I1447" s="42">
        <v>1</v>
      </c>
      <c r="J1447" s="42">
        <v>0</v>
      </c>
      <c r="K1447" s="42">
        <v>0</v>
      </c>
      <c r="L1447" s="42">
        <v>0</v>
      </c>
      <c r="M1447" s="42">
        <v>1</v>
      </c>
      <c r="N1447" s="42">
        <v>0</v>
      </c>
      <c r="O1447">
        <v>1</v>
      </c>
    </row>
    <row r="1448" spans="3:15" x14ac:dyDescent="0.15">
      <c r="C1448" s="43" t="s">
        <v>1504</v>
      </c>
      <c r="D1448" s="42">
        <v>16</v>
      </c>
      <c r="E1448" s="42">
        <v>85</v>
      </c>
      <c r="F1448" s="42">
        <v>1</v>
      </c>
      <c r="G1448" s="42">
        <v>4</v>
      </c>
      <c r="H1448" s="42">
        <v>0</v>
      </c>
      <c r="I1448" s="42">
        <v>0</v>
      </c>
      <c r="J1448" s="42">
        <v>0</v>
      </c>
      <c r="K1448" s="42">
        <v>0</v>
      </c>
      <c r="L1448" s="42">
        <v>0</v>
      </c>
      <c r="M1448" s="42">
        <v>1</v>
      </c>
      <c r="N1448" s="42">
        <v>1</v>
      </c>
      <c r="O1448">
        <v>0</v>
      </c>
    </row>
    <row r="1449" spans="3:15" x14ac:dyDescent="0.15">
      <c r="C1449" s="43" t="s">
        <v>1505</v>
      </c>
      <c r="D1449" s="42">
        <v>16</v>
      </c>
      <c r="E1449" s="42">
        <v>29</v>
      </c>
      <c r="F1449" s="42">
        <v>1</v>
      </c>
      <c r="G1449" s="42">
        <v>2</v>
      </c>
      <c r="H1449" s="42">
        <v>0</v>
      </c>
      <c r="I1449" s="42">
        <v>1</v>
      </c>
      <c r="J1449" s="42">
        <v>0</v>
      </c>
      <c r="K1449" s="42">
        <v>0</v>
      </c>
      <c r="L1449" s="42">
        <v>0</v>
      </c>
      <c r="M1449" s="42">
        <v>1</v>
      </c>
      <c r="N1449" s="42">
        <v>0</v>
      </c>
      <c r="O1449">
        <v>0</v>
      </c>
    </row>
    <row r="1450" spans="3:15" x14ac:dyDescent="0.15">
      <c r="C1450" s="43" t="s">
        <v>1506</v>
      </c>
      <c r="D1450" s="42">
        <v>5</v>
      </c>
      <c r="E1450" s="42">
        <v>195</v>
      </c>
      <c r="F1450" s="42">
        <v>1</v>
      </c>
      <c r="G1450" s="42">
        <v>4.3</v>
      </c>
      <c r="H1450" s="42">
        <v>1</v>
      </c>
      <c r="I1450" s="42">
        <v>0</v>
      </c>
      <c r="J1450" s="42">
        <v>0</v>
      </c>
      <c r="K1450" s="42">
        <v>0</v>
      </c>
      <c r="L1450" s="42">
        <v>0</v>
      </c>
      <c r="M1450" s="42">
        <v>0</v>
      </c>
      <c r="N1450" s="42">
        <v>0</v>
      </c>
      <c r="O1450">
        <v>0</v>
      </c>
    </row>
    <row r="1451" spans="3:15" x14ac:dyDescent="0.15">
      <c r="C1451" s="43" t="s">
        <v>1507</v>
      </c>
      <c r="D1451" s="42">
        <v>11</v>
      </c>
      <c r="E1451" s="42">
        <v>93</v>
      </c>
      <c r="F1451" s="42">
        <v>2</v>
      </c>
      <c r="G1451" s="42">
        <v>2.7</v>
      </c>
      <c r="H1451" s="42">
        <v>1</v>
      </c>
      <c r="I1451" s="42">
        <v>0</v>
      </c>
      <c r="J1451" s="42">
        <v>0</v>
      </c>
      <c r="K1451" s="42">
        <v>0</v>
      </c>
      <c r="L1451" s="42">
        <v>0</v>
      </c>
      <c r="M1451" s="42">
        <v>1</v>
      </c>
      <c r="N1451" s="42">
        <v>1</v>
      </c>
      <c r="O1451">
        <v>0</v>
      </c>
    </row>
    <row r="1452" spans="3:15" x14ac:dyDescent="0.15">
      <c r="C1452" s="43" t="s">
        <v>1508</v>
      </c>
      <c r="D1452" s="42">
        <v>16</v>
      </c>
      <c r="E1452" s="42">
        <v>81</v>
      </c>
      <c r="F1452" s="42">
        <v>2</v>
      </c>
      <c r="G1452" s="42">
        <v>0.4</v>
      </c>
      <c r="H1452" s="42">
        <v>1</v>
      </c>
      <c r="I1452" s="42">
        <v>0</v>
      </c>
      <c r="J1452" s="42">
        <v>0</v>
      </c>
      <c r="K1452" s="42">
        <v>0</v>
      </c>
      <c r="L1452" s="42">
        <v>0</v>
      </c>
      <c r="M1452" s="42">
        <v>0</v>
      </c>
      <c r="N1452" s="42">
        <v>1</v>
      </c>
      <c r="O1452">
        <v>0</v>
      </c>
    </row>
    <row r="1453" spans="3:15" x14ac:dyDescent="0.15">
      <c r="C1453" s="43" t="s">
        <v>1509</v>
      </c>
      <c r="D1453" s="42">
        <v>7</v>
      </c>
      <c r="E1453" s="42">
        <v>132</v>
      </c>
      <c r="F1453" s="42">
        <v>4</v>
      </c>
      <c r="G1453" s="42">
        <v>1.1000000000000001</v>
      </c>
      <c r="H1453" s="42">
        <v>0</v>
      </c>
      <c r="I1453" s="42">
        <v>1</v>
      </c>
      <c r="J1453" s="42">
        <v>412</v>
      </c>
      <c r="K1453" s="42">
        <v>0</v>
      </c>
      <c r="L1453" s="42">
        <v>0</v>
      </c>
      <c r="M1453" s="42">
        <v>1</v>
      </c>
      <c r="N1453" s="42">
        <v>0</v>
      </c>
      <c r="O1453">
        <v>1</v>
      </c>
    </row>
    <row r="1454" spans="3:15" x14ac:dyDescent="0.15">
      <c r="C1454" s="43" t="s">
        <v>1510</v>
      </c>
      <c r="D1454" s="42">
        <v>5</v>
      </c>
      <c r="E1454" s="42">
        <v>171</v>
      </c>
      <c r="F1454" s="42">
        <v>2</v>
      </c>
      <c r="G1454" s="42">
        <v>1.9</v>
      </c>
      <c r="H1454" s="42">
        <v>0</v>
      </c>
      <c r="I1454" s="42">
        <v>1</v>
      </c>
      <c r="J1454" s="42">
        <v>0</v>
      </c>
      <c r="K1454" s="42">
        <v>0</v>
      </c>
      <c r="L1454" s="42">
        <v>0</v>
      </c>
      <c r="M1454" s="42">
        <v>0</v>
      </c>
      <c r="N1454" s="42">
        <v>0</v>
      </c>
      <c r="O1454">
        <v>1</v>
      </c>
    </row>
    <row r="1455" spans="3:15" x14ac:dyDescent="0.15">
      <c r="C1455" s="43" t="s">
        <v>1511</v>
      </c>
      <c r="D1455" s="42">
        <v>31</v>
      </c>
      <c r="E1455" s="42">
        <v>68</v>
      </c>
      <c r="F1455" s="42">
        <v>2</v>
      </c>
      <c r="G1455" s="42">
        <v>0</v>
      </c>
      <c r="H1455" s="42">
        <v>0</v>
      </c>
      <c r="I1455" s="42">
        <v>0</v>
      </c>
      <c r="J1455" s="42">
        <v>0</v>
      </c>
      <c r="K1455" s="42">
        <v>1</v>
      </c>
      <c r="L1455" s="42">
        <v>0</v>
      </c>
      <c r="M1455" s="42">
        <v>1</v>
      </c>
      <c r="N1455" s="42">
        <v>0</v>
      </c>
      <c r="O1455">
        <v>0</v>
      </c>
    </row>
    <row r="1456" spans="3:15" x14ac:dyDescent="0.15">
      <c r="C1456" s="43" t="s">
        <v>1512</v>
      </c>
      <c r="D1456" s="42">
        <v>9</v>
      </c>
      <c r="E1456" s="42">
        <v>31</v>
      </c>
      <c r="F1456" s="42">
        <v>4</v>
      </c>
      <c r="G1456" s="42">
        <v>1</v>
      </c>
      <c r="H1456" s="42">
        <v>0</v>
      </c>
      <c r="I1456" s="42">
        <v>1</v>
      </c>
      <c r="J1456" s="42">
        <v>0</v>
      </c>
      <c r="K1456" s="42">
        <v>1</v>
      </c>
      <c r="L1456" s="42">
        <v>0</v>
      </c>
      <c r="M1456" s="42">
        <v>1</v>
      </c>
      <c r="N1456" s="42">
        <v>0</v>
      </c>
      <c r="O1456">
        <v>0</v>
      </c>
    </row>
    <row r="1457" spans="3:15" x14ac:dyDescent="0.15">
      <c r="C1457" s="43" t="s">
        <v>1513</v>
      </c>
      <c r="D1457" s="42">
        <v>18</v>
      </c>
      <c r="E1457" s="42">
        <v>145</v>
      </c>
      <c r="F1457" s="42">
        <v>1</v>
      </c>
      <c r="G1457" s="42">
        <v>1.7</v>
      </c>
      <c r="H1457" s="42">
        <v>1</v>
      </c>
      <c r="I1457" s="42">
        <v>0</v>
      </c>
      <c r="J1457" s="42">
        <v>132</v>
      </c>
      <c r="K1457" s="42">
        <v>0</v>
      </c>
      <c r="L1457" s="42">
        <v>0</v>
      </c>
      <c r="M1457" s="42">
        <v>1</v>
      </c>
      <c r="N1457" s="42">
        <v>1</v>
      </c>
      <c r="O1457">
        <v>0</v>
      </c>
    </row>
    <row r="1458" spans="3:15" x14ac:dyDescent="0.15">
      <c r="C1458" s="43" t="s">
        <v>1514</v>
      </c>
      <c r="D1458" s="42">
        <v>4</v>
      </c>
      <c r="E1458" s="42">
        <v>32</v>
      </c>
      <c r="F1458" s="42">
        <v>3</v>
      </c>
      <c r="G1458" s="42">
        <v>1</v>
      </c>
      <c r="H1458" s="42">
        <v>0</v>
      </c>
      <c r="I1458" s="42">
        <v>1</v>
      </c>
      <c r="J1458" s="42">
        <v>0</v>
      </c>
      <c r="K1458" s="42">
        <v>0</v>
      </c>
      <c r="L1458" s="42">
        <v>0</v>
      </c>
      <c r="M1458" s="42">
        <v>0</v>
      </c>
      <c r="N1458" s="42">
        <v>0</v>
      </c>
      <c r="O1458">
        <v>0</v>
      </c>
    </row>
    <row r="1459" spans="3:15" x14ac:dyDescent="0.15">
      <c r="C1459" s="43" t="s">
        <v>1515</v>
      </c>
      <c r="D1459" s="42">
        <v>32</v>
      </c>
      <c r="E1459" s="42">
        <v>40</v>
      </c>
      <c r="F1459" s="42">
        <v>3</v>
      </c>
      <c r="G1459" s="42">
        <v>1.7</v>
      </c>
      <c r="H1459" s="42">
        <v>1</v>
      </c>
      <c r="I1459" s="42">
        <v>0</v>
      </c>
      <c r="J1459" s="42">
        <v>0</v>
      </c>
      <c r="K1459" s="42">
        <v>0</v>
      </c>
      <c r="L1459" s="42">
        <v>0</v>
      </c>
      <c r="M1459" s="42">
        <v>1</v>
      </c>
      <c r="N1459" s="42">
        <v>1</v>
      </c>
      <c r="O1459">
        <v>0</v>
      </c>
    </row>
    <row r="1460" spans="3:15" x14ac:dyDescent="0.15">
      <c r="C1460" s="43" t="s">
        <v>1516</v>
      </c>
      <c r="D1460" s="42">
        <v>36</v>
      </c>
      <c r="E1460" s="42">
        <v>93</v>
      </c>
      <c r="F1460" s="42">
        <v>1</v>
      </c>
      <c r="G1460" s="42">
        <v>4.3</v>
      </c>
      <c r="H1460" s="42">
        <v>1</v>
      </c>
      <c r="I1460" s="42">
        <v>0</v>
      </c>
      <c r="J1460" s="42">
        <v>0</v>
      </c>
      <c r="K1460" s="42">
        <v>0</v>
      </c>
      <c r="L1460" s="42">
        <v>0</v>
      </c>
      <c r="M1460" s="42">
        <v>1</v>
      </c>
      <c r="N1460" s="42">
        <v>0</v>
      </c>
      <c r="O1460">
        <v>0</v>
      </c>
    </row>
    <row r="1461" spans="3:15" x14ac:dyDescent="0.15">
      <c r="C1461" s="43" t="s">
        <v>1517</v>
      </c>
      <c r="D1461" s="42">
        <v>37</v>
      </c>
      <c r="E1461" s="42">
        <v>42</v>
      </c>
      <c r="F1461" s="42">
        <v>2</v>
      </c>
      <c r="G1461" s="42">
        <v>0.7</v>
      </c>
      <c r="H1461" s="42">
        <v>0</v>
      </c>
      <c r="I1461" s="42">
        <v>0</v>
      </c>
      <c r="J1461" s="42">
        <v>115</v>
      </c>
      <c r="K1461" s="42">
        <v>0</v>
      </c>
      <c r="L1461" s="42">
        <v>0</v>
      </c>
      <c r="M1461" s="42">
        <v>1</v>
      </c>
      <c r="N1461" s="42">
        <v>0</v>
      </c>
      <c r="O1461">
        <v>0</v>
      </c>
    </row>
    <row r="1462" spans="3:15" x14ac:dyDescent="0.15">
      <c r="C1462" s="43" t="s">
        <v>1518</v>
      </c>
      <c r="D1462" s="42">
        <v>31</v>
      </c>
      <c r="E1462" s="42">
        <v>13</v>
      </c>
      <c r="F1462" s="42">
        <v>4</v>
      </c>
      <c r="G1462" s="42">
        <v>0.9</v>
      </c>
      <c r="H1462" s="42">
        <v>0</v>
      </c>
      <c r="I1462" s="42">
        <v>1</v>
      </c>
      <c r="J1462" s="42">
        <v>76</v>
      </c>
      <c r="K1462" s="42">
        <v>0</v>
      </c>
      <c r="L1462" s="42">
        <v>1</v>
      </c>
      <c r="M1462" s="42">
        <v>1</v>
      </c>
      <c r="N1462" s="42">
        <v>1</v>
      </c>
      <c r="O1462">
        <v>0</v>
      </c>
    </row>
    <row r="1463" spans="3:15" x14ac:dyDescent="0.15">
      <c r="C1463" s="43" t="s">
        <v>1519</v>
      </c>
      <c r="D1463" s="42">
        <v>10</v>
      </c>
      <c r="E1463" s="42">
        <v>13</v>
      </c>
      <c r="F1463" s="42">
        <v>4</v>
      </c>
      <c r="G1463" s="42">
        <v>1</v>
      </c>
      <c r="H1463" s="42">
        <v>1</v>
      </c>
      <c r="I1463" s="42">
        <v>0</v>
      </c>
      <c r="J1463" s="42">
        <v>95</v>
      </c>
      <c r="K1463" s="42">
        <v>1</v>
      </c>
      <c r="L1463" s="42">
        <v>0</v>
      </c>
      <c r="M1463" s="42">
        <v>1</v>
      </c>
      <c r="N1463" s="42">
        <v>0</v>
      </c>
      <c r="O1463">
        <v>0</v>
      </c>
    </row>
    <row r="1464" spans="3:15" x14ac:dyDescent="0.15">
      <c r="C1464" s="43" t="s">
        <v>1520</v>
      </c>
      <c r="D1464" s="42">
        <v>3</v>
      </c>
      <c r="E1464" s="42">
        <v>52</v>
      </c>
      <c r="F1464" s="42">
        <v>4</v>
      </c>
      <c r="G1464" s="42">
        <v>1.7</v>
      </c>
      <c r="H1464" s="42">
        <v>0</v>
      </c>
      <c r="I1464" s="42">
        <v>1</v>
      </c>
      <c r="J1464" s="42">
        <v>0</v>
      </c>
      <c r="K1464" s="42">
        <v>0</v>
      </c>
      <c r="L1464" s="42">
        <v>0</v>
      </c>
      <c r="M1464" s="42">
        <v>0</v>
      </c>
      <c r="N1464" s="42">
        <v>0</v>
      </c>
      <c r="O1464">
        <v>0</v>
      </c>
    </row>
    <row r="1465" spans="3:15" x14ac:dyDescent="0.15">
      <c r="C1465" s="43" t="s">
        <v>1521</v>
      </c>
      <c r="D1465" s="42">
        <v>33</v>
      </c>
      <c r="E1465" s="42">
        <v>25</v>
      </c>
      <c r="F1465" s="42">
        <v>2</v>
      </c>
      <c r="G1465" s="42">
        <v>1</v>
      </c>
      <c r="H1465" s="42">
        <v>1</v>
      </c>
      <c r="I1465" s="42">
        <v>0</v>
      </c>
      <c r="J1465" s="42">
        <v>0</v>
      </c>
      <c r="K1465" s="42">
        <v>0</v>
      </c>
      <c r="L1465" s="42">
        <v>0</v>
      </c>
      <c r="M1465" s="42">
        <v>1</v>
      </c>
      <c r="N1465" s="42">
        <v>0</v>
      </c>
      <c r="O1465">
        <v>0</v>
      </c>
    </row>
    <row r="1466" spans="3:15" x14ac:dyDescent="0.15">
      <c r="C1466" s="43" t="s">
        <v>1522</v>
      </c>
      <c r="D1466" s="42">
        <v>2</v>
      </c>
      <c r="E1466" s="42">
        <v>30</v>
      </c>
      <c r="F1466" s="42">
        <v>4</v>
      </c>
      <c r="G1466" s="42">
        <v>1</v>
      </c>
      <c r="H1466" s="42">
        <v>0</v>
      </c>
      <c r="I1466" s="42">
        <v>0</v>
      </c>
      <c r="J1466" s="42">
        <v>0</v>
      </c>
      <c r="K1466" s="42">
        <v>0</v>
      </c>
      <c r="L1466" s="42">
        <v>0</v>
      </c>
      <c r="M1466" s="42">
        <v>0</v>
      </c>
      <c r="N1466" s="42">
        <v>0</v>
      </c>
      <c r="O1466">
        <v>0</v>
      </c>
    </row>
    <row r="1467" spans="3:15" x14ac:dyDescent="0.15">
      <c r="C1467" s="43" t="s">
        <v>1523</v>
      </c>
      <c r="D1467" s="42">
        <v>28</v>
      </c>
      <c r="E1467" s="42">
        <v>15</v>
      </c>
      <c r="F1467" s="42">
        <v>1</v>
      </c>
      <c r="G1467" s="42">
        <v>0.2</v>
      </c>
      <c r="H1467" s="42">
        <v>1</v>
      </c>
      <c r="I1467" s="42">
        <v>0</v>
      </c>
      <c r="J1467" s="42">
        <v>0</v>
      </c>
      <c r="K1467" s="42">
        <v>0</v>
      </c>
      <c r="L1467" s="42">
        <v>0</v>
      </c>
      <c r="M1467" s="42">
        <v>1</v>
      </c>
      <c r="N1467" s="42">
        <v>0</v>
      </c>
      <c r="O1467">
        <v>0</v>
      </c>
    </row>
    <row r="1468" spans="3:15" x14ac:dyDescent="0.15">
      <c r="C1468" s="43" t="s">
        <v>1524</v>
      </c>
      <c r="D1468" s="42">
        <v>1</v>
      </c>
      <c r="E1468" s="42">
        <v>74</v>
      </c>
      <c r="F1468" s="42">
        <v>4</v>
      </c>
      <c r="G1468" s="42">
        <v>1.8</v>
      </c>
      <c r="H1468" s="42">
        <v>0</v>
      </c>
      <c r="I1468" s="42">
        <v>1</v>
      </c>
      <c r="J1468" s="42">
        <v>112</v>
      </c>
      <c r="K1468" s="42">
        <v>0</v>
      </c>
      <c r="L1468" s="42">
        <v>0</v>
      </c>
      <c r="M1468" s="42">
        <v>1</v>
      </c>
      <c r="N1468" s="42">
        <v>1</v>
      </c>
      <c r="O1468">
        <v>0</v>
      </c>
    </row>
    <row r="1469" spans="3:15" x14ac:dyDescent="0.15">
      <c r="C1469" s="43" t="s">
        <v>1525</v>
      </c>
      <c r="D1469" s="42">
        <v>10</v>
      </c>
      <c r="E1469" s="42">
        <v>21</v>
      </c>
      <c r="F1469" s="42">
        <v>1</v>
      </c>
      <c r="G1469" s="42">
        <v>0.5</v>
      </c>
      <c r="H1469" s="42">
        <v>0</v>
      </c>
      <c r="I1469" s="42">
        <v>0</v>
      </c>
      <c r="J1469" s="42">
        <v>0</v>
      </c>
      <c r="K1469" s="42">
        <v>0</v>
      </c>
      <c r="L1469" s="42">
        <v>0</v>
      </c>
      <c r="M1469" s="42">
        <v>1</v>
      </c>
      <c r="N1469" s="42">
        <v>0</v>
      </c>
      <c r="O1469">
        <v>0</v>
      </c>
    </row>
    <row r="1470" spans="3:15" x14ac:dyDescent="0.15">
      <c r="C1470" s="43" t="s">
        <v>1526</v>
      </c>
      <c r="D1470" s="42">
        <v>20</v>
      </c>
      <c r="E1470" s="42">
        <v>38</v>
      </c>
      <c r="F1470" s="42">
        <v>3</v>
      </c>
      <c r="G1470" s="42">
        <v>2.5</v>
      </c>
      <c r="H1470" s="42">
        <v>0</v>
      </c>
      <c r="I1470" s="42">
        <v>1</v>
      </c>
      <c r="J1470" s="42">
        <v>0</v>
      </c>
      <c r="K1470" s="42">
        <v>0</v>
      </c>
      <c r="L1470" s="42">
        <v>0</v>
      </c>
      <c r="M1470" s="42">
        <v>0</v>
      </c>
      <c r="N1470" s="42">
        <v>0</v>
      </c>
      <c r="O1470">
        <v>0</v>
      </c>
    </row>
    <row r="1471" spans="3:15" x14ac:dyDescent="0.15">
      <c r="C1471" s="43" t="s">
        <v>1527</v>
      </c>
      <c r="D1471" s="42">
        <v>24</v>
      </c>
      <c r="E1471" s="42">
        <v>25</v>
      </c>
      <c r="F1471" s="42">
        <v>4</v>
      </c>
      <c r="G1471" s="42">
        <v>0.4</v>
      </c>
      <c r="H1471" s="42">
        <v>0</v>
      </c>
      <c r="I1471" s="42">
        <v>0</v>
      </c>
      <c r="J1471" s="42">
        <v>115</v>
      </c>
      <c r="K1471" s="42">
        <v>0</v>
      </c>
      <c r="L1471" s="42">
        <v>0</v>
      </c>
      <c r="M1471" s="42">
        <v>0</v>
      </c>
      <c r="N1471" s="42">
        <v>0</v>
      </c>
      <c r="O1471">
        <v>0</v>
      </c>
    </row>
    <row r="1472" spans="3:15" x14ac:dyDescent="0.15">
      <c r="C1472" s="43" t="s">
        <v>1528</v>
      </c>
      <c r="D1472" s="42">
        <v>3</v>
      </c>
      <c r="E1472" s="42">
        <v>45</v>
      </c>
      <c r="F1472" s="42">
        <v>4</v>
      </c>
      <c r="G1472" s="42">
        <v>0.2</v>
      </c>
      <c r="H1472" s="42">
        <v>1</v>
      </c>
      <c r="I1472" s="42">
        <v>0</v>
      </c>
      <c r="J1472" s="42">
        <v>158</v>
      </c>
      <c r="K1472" s="42">
        <v>0</v>
      </c>
      <c r="L1472" s="42">
        <v>0</v>
      </c>
      <c r="M1472" s="42">
        <v>1</v>
      </c>
      <c r="N1472" s="42">
        <v>1</v>
      </c>
      <c r="O1472">
        <v>0</v>
      </c>
    </row>
    <row r="1473" spans="3:15" x14ac:dyDescent="0.15">
      <c r="C1473" s="43" t="s">
        <v>1529</v>
      </c>
      <c r="D1473" s="42">
        <v>21</v>
      </c>
      <c r="E1473" s="42">
        <v>159</v>
      </c>
      <c r="F1473" s="42">
        <v>3</v>
      </c>
      <c r="G1473" s="42">
        <v>1.9</v>
      </c>
      <c r="H1473" s="42">
        <v>0</v>
      </c>
      <c r="I1473" s="42">
        <v>0</v>
      </c>
      <c r="J1473" s="42">
        <v>315</v>
      </c>
      <c r="K1473" s="42">
        <v>0</v>
      </c>
      <c r="L1473" s="42">
        <v>0</v>
      </c>
      <c r="M1473" s="42">
        <v>1</v>
      </c>
      <c r="N1473" s="42">
        <v>0</v>
      </c>
      <c r="O1473">
        <v>1</v>
      </c>
    </row>
    <row r="1474" spans="3:15" x14ac:dyDescent="0.15">
      <c r="C1474" s="43" t="s">
        <v>1530</v>
      </c>
      <c r="D1474" s="42">
        <v>24</v>
      </c>
      <c r="E1474" s="42">
        <v>82</v>
      </c>
      <c r="F1474" s="42">
        <v>3</v>
      </c>
      <c r="G1474" s="42">
        <v>3</v>
      </c>
      <c r="H1474" s="42">
        <v>0</v>
      </c>
      <c r="I1474" s="42">
        <v>1</v>
      </c>
      <c r="J1474" s="42">
        <v>0</v>
      </c>
      <c r="K1474" s="42">
        <v>0</v>
      </c>
      <c r="L1474" s="42">
        <v>0</v>
      </c>
      <c r="M1474" s="42">
        <v>1</v>
      </c>
      <c r="N1474" s="42">
        <v>0</v>
      </c>
      <c r="O1474">
        <v>0</v>
      </c>
    </row>
    <row r="1475" spans="3:15" x14ac:dyDescent="0.15">
      <c r="C1475" s="43" t="s">
        <v>1531</v>
      </c>
      <c r="D1475" s="42">
        <v>31</v>
      </c>
      <c r="E1475" s="42">
        <v>103</v>
      </c>
      <c r="F1475" s="42">
        <v>3</v>
      </c>
      <c r="G1475" s="42">
        <v>1.8</v>
      </c>
      <c r="H1475" s="42">
        <v>0</v>
      </c>
      <c r="I1475" s="42">
        <v>1</v>
      </c>
      <c r="J1475" s="42">
        <v>364</v>
      </c>
      <c r="K1475" s="42">
        <v>0</v>
      </c>
      <c r="L1475" s="42">
        <v>0</v>
      </c>
      <c r="M1475" s="42">
        <v>0</v>
      </c>
      <c r="N1475" s="42">
        <v>0</v>
      </c>
      <c r="O1475">
        <v>0</v>
      </c>
    </row>
    <row r="1476" spans="3:15" x14ac:dyDescent="0.15">
      <c r="C1476" s="43" t="s">
        <v>1532</v>
      </c>
      <c r="D1476" s="42">
        <v>28</v>
      </c>
      <c r="E1476" s="42">
        <v>101</v>
      </c>
      <c r="F1476" s="42">
        <v>2</v>
      </c>
      <c r="G1476" s="42">
        <v>0.3</v>
      </c>
      <c r="H1476" s="42">
        <v>1</v>
      </c>
      <c r="I1476" s="42">
        <v>0</v>
      </c>
      <c r="J1476" s="42">
        <v>0</v>
      </c>
      <c r="K1476" s="42">
        <v>0</v>
      </c>
      <c r="L1476" s="42">
        <v>0</v>
      </c>
      <c r="M1476" s="42">
        <v>0</v>
      </c>
      <c r="N1476" s="42">
        <v>0</v>
      </c>
      <c r="O1476">
        <v>0</v>
      </c>
    </row>
    <row r="1477" spans="3:15" x14ac:dyDescent="0.15">
      <c r="C1477" s="43" t="s">
        <v>1533</v>
      </c>
      <c r="D1477" s="42">
        <v>38</v>
      </c>
      <c r="E1477" s="42">
        <v>161</v>
      </c>
      <c r="F1477" s="42">
        <v>1</v>
      </c>
      <c r="G1477" s="42">
        <v>2.9</v>
      </c>
      <c r="H1477" s="42">
        <v>1</v>
      </c>
      <c r="I1477" s="42">
        <v>0</v>
      </c>
      <c r="J1477" s="42">
        <v>0</v>
      </c>
      <c r="K1477" s="42">
        <v>1</v>
      </c>
      <c r="L1477" s="42">
        <v>1</v>
      </c>
      <c r="M1477" s="42">
        <v>1</v>
      </c>
      <c r="N1477" s="42">
        <v>1</v>
      </c>
      <c r="O1477">
        <v>0</v>
      </c>
    </row>
    <row r="1478" spans="3:15" x14ac:dyDescent="0.15">
      <c r="C1478" s="43" t="s">
        <v>1534</v>
      </c>
      <c r="D1478" s="42">
        <v>4</v>
      </c>
      <c r="E1478" s="42">
        <v>73</v>
      </c>
      <c r="F1478" s="42">
        <v>3</v>
      </c>
      <c r="G1478" s="42">
        <v>3.3</v>
      </c>
      <c r="H1478" s="42">
        <v>1</v>
      </c>
      <c r="I1478" s="42">
        <v>0</v>
      </c>
      <c r="J1478" s="42">
        <v>0</v>
      </c>
      <c r="K1478" s="42">
        <v>0</v>
      </c>
      <c r="L1478" s="42">
        <v>1</v>
      </c>
      <c r="M1478" s="42">
        <v>1</v>
      </c>
      <c r="N1478" s="42">
        <v>1</v>
      </c>
      <c r="O1478">
        <v>1</v>
      </c>
    </row>
    <row r="1479" spans="3:15" x14ac:dyDescent="0.15">
      <c r="C1479" s="43" t="s">
        <v>1535</v>
      </c>
      <c r="D1479" s="42">
        <v>7</v>
      </c>
      <c r="E1479" s="42">
        <v>55</v>
      </c>
      <c r="F1479" s="42">
        <v>4</v>
      </c>
      <c r="G1479" s="42">
        <v>2</v>
      </c>
      <c r="H1479" s="42">
        <v>0</v>
      </c>
      <c r="I1479" s="42">
        <v>1</v>
      </c>
      <c r="J1479" s="42">
        <v>0</v>
      </c>
      <c r="K1479" s="42">
        <v>0</v>
      </c>
      <c r="L1479" s="42">
        <v>0</v>
      </c>
      <c r="M1479" s="42">
        <v>1</v>
      </c>
      <c r="N1479" s="42">
        <v>0</v>
      </c>
      <c r="O1479">
        <v>0</v>
      </c>
    </row>
    <row r="1480" spans="3:15" x14ac:dyDescent="0.15">
      <c r="C1480" s="43" t="s">
        <v>1536</v>
      </c>
      <c r="D1480" s="42">
        <v>6</v>
      </c>
      <c r="E1480" s="42">
        <v>90</v>
      </c>
      <c r="F1480" s="42">
        <v>4</v>
      </c>
      <c r="G1480" s="42">
        <v>1.8</v>
      </c>
      <c r="H1480" s="42">
        <v>0</v>
      </c>
      <c r="I1480" s="42">
        <v>0</v>
      </c>
      <c r="J1480" s="42">
        <v>0</v>
      </c>
      <c r="K1480" s="42">
        <v>1</v>
      </c>
      <c r="L1480" s="42">
        <v>0</v>
      </c>
      <c r="M1480" s="42">
        <v>0</v>
      </c>
      <c r="N1480" s="42">
        <v>0</v>
      </c>
      <c r="O1480">
        <v>0</v>
      </c>
    </row>
    <row r="1481" spans="3:15" x14ac:dyDescent="0.15">
      <c r="C1481" s="43" t="s">
        <v>1537</v>
      </c>
      <c r="D1481" s="42">
        <v>19</v>
      </c>
      <c r="E1481" s="42">
        <v>83</v>
      </c>
      <c r="F1481" s="42">
        <v>2</v>
      </c>
      <c r="G1481" s="42">
        <v>1.7</v>
      </c>
      <c r="H1481" s="42">
        <v>0</v>
      </c>
      <c r="I1481" s="42">
        <v>1</v>
      </c>
      <c r="J1481" s="42">
        <v>0</v>
      </c>
      <c r="K1481" s="42">
        <v>0</v>
      </c>
      <c r="L1481" s="42">
        <v>0</v>
      </c>
      <c r="M1481" s="42">
        <v>1</v>
      </c>
      <c r="N1481" s="42">
        <v>0</v>
      </c>
      <c r="O1481">
        <v>0</v>
      </c>
    </row>
    <row r="1482" spans="3:15" x14ac:dyDescent="0.15">
      <c r="C1482" s="43" t="s">
        <v>1538</v>
      </c>
      <c r="D1482" s="42">
        <v>35</v>
      </c>
      <c r="E1482" s="42">
        <v>43</v>
      </c>
      <c r="F1482" s="42">
        <v>3</v>
      </c>
      <c r="G1482" s="42">
        <v>0.9</v>
      </c>
      <c r="H1482" s="42">
        <v>0</v>
      </c>
      <c r="I1482" s="42">
        <v>0</v>
      </c>
      <c r="J1482" s="42">
        <v>0</v>
      </c>
      <c r="K1482" s="42">
        <v>0</v>
      </c>
      <c r="L1482" s="42">
        <v>0</v>
      </c>
      <c r="M1482" s="42">
        <v>1</v>
      </c>
      <c r="N1482" s="42">
        <v>1</v>
      </c>
      <c r="O1482">
        <v>0</v>
      </c>
    </row>
    <row r="1483" spans="3:15" x14ac:dyDescent="0.15">
      <c r="C1483" s="43" t="s">
        <v>1539</v>
      </c>
      <c r="D1483" s="42">
        <v>9</v>
      </c>
      <c r="E1483" s="42">
        <v>20</v>
      </c>
      <c r="F1483" s="42">
        <v>2</v>
      </c>
      <c r="G1483" s="42">
        <v>1.4</v>
      </c>
      <c r="H1483" s="42">
        <v>0</v>
      </c>
      <c r="I1483" s="42">
        <v>0</v>
      </c>
      <c r="J1483" s="42">
        <v>0</v>
      </c>
      <c r="K1483" s="42">
        <v>0</v>
      </c>
      <c r="L1483" s="42">
        <v>0</v>
      </c>
      <c r="M1483" s="42">
        <v>1</v>
      </c>
      <c r="N1483" s="42">
        <v>1</v>
      </c>
      <c r="O1483">
        <v>0</v>
      </c>
    </row>
    <row r="1484" spans="3:15" x14ac:dyDescent="0.15">
      <c r="C1484" s="43" t="s">
        <v>1540</v>
      </c>
      <c r="D1484" s="42">
        <v>32</v>
      </c>
      <c r="E1484" s="42">
        <v>21</v>
      </c>
      <c r="F1484" s="42">
        <v>3</v>
      </c>
      <c r="G1484" s="42">
        <v>0.1</v>
      </c>
      <c r="H1484" s="42">
        <v>0</v>
      </c>
      <c r="I1484" s="42">
        <v>1</v>
      </c>
      <c r="J1484" s="42">
        <v>0</v>
      </c>
      <c r="K1484" s="42">
        <v>1</v>
      </c>
      <c r="L1484" s="42">
        <v>1</v>
      </c>
      <c r="M1484" s="42">
        <v>1</v>
      </c>
      <c r="N1484" s="42">
        <v>0</v>
      </c>
      <c r="O1484">
        <v>0</v>
      </c>
    </row>
    <row r="1485" spans="3:15" x14ac:dyDescent="0.15">
      <c r="C1485" s="43" t="s">
        <v>1541</v>
      </c>
      <c r="D1485" s="42">
        <v>20</v>
      </c>
      <c r="E1485" s="42">
        <v>29</v>
      </c>
      <c r="F1485" s="42">
        <v>3</v>
      </c>
      <c r="G1485" s="42">
        <v>0.5</v>
      </c>
      <c r="H1485" s="42">
        <v>0</v>
      </c>
      <c r="I1485" s="42">
        <v>1</v>
      </c>
      <c r="J1485" s="42">
        <v>0</v>
      </c>
      <c r="K1485" s="42">
        <v>0</v>
      </c>
      <c r="L1485" s="42">
        <v>0</v>
      </c>
      <c r="M1485" s="42">
        <v>0</v>
      </c>
      <c r="N1485" s="42">
        <v>0</v>
      </c>
      <c r="O1485">
        <v>0</v>
      </c>
    </row>
    <row r="1486" spans="3:15" x14ac:dyDescent="0.15">
      <c r="C1486" s="43" t="s">
        <v>1542</v>
      </c>
      <c r="D1486" s="42">
        <v>30</v>
      </c>
      <c r="E1486" s="42">
        <v>84</v>
      </c>
      <c r="F1486" s="42">
        <v>2</v>
      </c>
      <c r="G1486" s="42">
        <v>3.7</v>
      </c>
      <c r="H1486" s="42">
        <v>1</v>
      </c>
      <c r="I1486" s="42">
        <v>0</v>
      </c>
      <c r="J1486" s="42">
        <v>304</v>
      </c>
      <c r="K1486" s="42">
        <v>1</v>
      </c>
      <c r="L1486" s="42">
        <v>0</v>
      </c>
      <c r="M1486" s="42">
        <v>1</v>
      </c>
      <c r="N1486" s="42">
        <v>0</v>
      </c>
      <c r="O1486">
        <v>0</v>
      </c>
    </row>
    <row r="1487" spans="3:15" x14ac:dyDescent="0.15">
      <c r="C1487" s="43" t="s">
        <v>1543</v>
      </c>
      <c r="D1487" s="42">
        <v>18</v>
      </c>
      <c r="E1487" s="42">
        <v>81</v>
      </c>
      <c r="F1487" s="42">
        <v>4</v>
      </c>
      <c r="G1487" s="42">
        <v>2.4</v>
      </c>
      <c r="H1487" s="42">
        <v>1</v>
      </c>
      <c r="I1487" s="42">
        <v>0</v>
      </c>
      <c r="J1487" s="42">
        <v>0</v>
      </c>
      <c r="K1487" s="42">
        <v>0</v>
      </c>
      <c r="L1487" s="42">
        <v>0</v>
      </c>
      <c r="M1487" s="42">
        <v>0</v>
      </c>
      <c r="N1487" s="42">
        <v>0</v>
      </c>
      <c r="O1487">
        <v>0</v>
      </c>
    </row>
    <row r="1488" spans="3:15" x14ac:dyDescent="0.15">
      <c r="C1488" s="43" t="s">
        <v>1544</v>
      </c>
      <c r="D1488" s="42">
        <v>14</v>
      </c>
      <c r="E1488" s="42">
        <v>38</v>
      </c>
      <c r="F1488" s="42">
        <v>3</v>
      </c>
      <c r="G1488" s="42">
        <v>1</v>
      </c>
      <c r="H1488" s="42">
        <v>0</v>
      </c>
      <c r="I1488" s="42">
        <v>1</v>
      </c>
      <c r="J1488" s="42">
        <v>150</v>
      </c>
      <c r="K1488" s="42">
        <v>0</v>
      </c>
      <c r="L1488" s="42">
        <v>0</v>
      </c>
      <c r="M1488" s="42">
        <v>1</v>
      </c>
      <c r="N1488" s="42">
        <v>0</v>
      </c>
      <c r="O1488">
        <v>0</v>
      </c>
    </row>
    <row r="1489" spans="3:15" x14ac:dyDescent="0.15">
      <c r="C1489" s="43" t="s">
        <v>1545</v>
      </c>
      <c r="D1489" s="42">
        <v>30</v>
      </c>
      <c r="E1489" s="42">
        <v>18</v>
      </c>
      <c r="F1489" s="42">
        <v>1</v>
      </c>
      <c r="G1489" s="42">
        <v>0.3</v>
      </c>
      <c r="H1489" s="42">
        <v>1</v>
      </c>
      <c r="I1489" s="42">
        <v>0</v>
      </c>
      <c r="J1489" s="42">
        <v>0</v>
      </c>
      <c r="K1489" s="42">
        <v>1</v>
      </c>
      <c r="L1489" s="42">
        <v>1</v>
      </c>
      <c r="M1489" s="42">
        <v>1</v>
      </c>
      <c r="N1489" s="42">
        <v>0</v>
      </c>
      <c r="O1489">
        <v>0</v>
      </c>
    </row>
    <row r="1490" spans="3:15" x14ac:dyDescent="0.15">
      <c r="C1490" s="43" t="s">
        <v>1546</v>
      </c>
      <c r="D1490" s="42">
        <v>8</v>
      </c>
      <c r="E1490" s="42">
        <v>141</v>
      </c>
      <c r="F1490" s="42">
        <v>2</v>
      </c>
      <c r="G1490" s="42">
        <v>4.333333333333333</v>
      </c>
      <c r="H1490" s="42">
        <v>1</v>
      </c>
      <c r="I1490" s="42">
        <v>0</v>
      </c>
      <c r="J1490" s="42">
        <v>0</v>
      </c>
      <c r="K1490" s="42">
        <v>0</v>
      </c>
      <c r="L1490" s="42">
        <v>0</v>
      </c>
      <c r="M1490" s="42">
        <v>0</v>
      </c>
      <c r="N1490" s="42">
        <v>0</v>
      </c>
      <c r="O1490">
        <v>0</v>
      </c>
    </row>
    <row r="1491" spans="3:15" x14ac:dyDescent="0.15">
      <c r="C1491" s="43" t="s">
        <v>1547</v>
      </c>
      <c r="D1491" s="42">
        <v>0</v>
      </c>
      <c r="E1491" s="42">
        <v>112</v>
      </c>
      <c r="F1491" s="42">
        <v>2</v>
      </c>
      <c r="G1491" s="42">
        <v>2</v>
      </c>
      <c r="H1491" s="42">
        <v>1</v>
      </c>
      <c r="I1491" s="42">
        <v>0</v>
      </c>
      <c r="J1491" s="42">
        <v>241</v>
      </c>
      <c r="K1491" s="42">
        <v>0</v>
      </c>
      <c r="L1491" s="42">
        <v>0</v>
      </c>
      <c r="M1491" s="42">
        <v>1</v>
      </c>
      <c r="N1491" s="42">
        <v>0</v>
      </c>
      <c r="O1491">
        <v>0</v>
      </c>
    </row>
    <row r="1492" spans="3:15" x14ac:dyDescent="0.15">
      <c r="C1492" s="43" t="s">
        <v>1548</v>
      </c>
      <c r="D1492" s="42">
        <v>9</v>
      </c>
      <c r="E1492" s="42">
        <v>138</v>
      </c>
      <c r="F1492" s="42">
        <v>2</v>
      </c>
      <c r="G1492" s="42">
        <v>7.8</v>
      </c>
      <c r="H1492" s="42">
        <v>1</v>
      </c>
      <c r="I1492" s="42">
        <v>0</v>
      </c>
      <c r="J1492" s="42">
        <v>227</v>
      </c>
      <c r="K1492" s="42">
        <v>0</v>
      </c>
      <c r="L1492" s="42">
        <v>0</v>
      </c>
      <c r="M1492" s="42">
        <v>1</v>
      </c>
      <c r="N1492" s="42">
        <v>0</v>
      </c>
      <c r="O1492">
        <v>0</v>
      </c>
    </row>
    <row r="1493" spans="3:15" x14ac:dyDescent="0.15">
      <c r="C1493" s="43" t="s">
        <v>1549</v>
      </c>
      <c r="D1493" s="42">
        <v>9</v>
      </c>
      <c r="E1493" s="42">
        <v>118</v>
      </c>
      <c r="F1493" s="42">
        <v>2</v>
      </c>
      <c r="G1493" s="42">
        <v>6</v>
      </c>
      <c r="H1493" s="42">
        <v>0</v>
      </c>
      <c r="I1493" s="42">
        <v>0</v>
      </c>
      <c r="J1493" s="42">
        <v>246</v>
      </c>
      <c r="K1493" s="42">
        <v>0</v>
      </c>
      <c r="L1493" s="42">
        <v>1</v>
      </c>
      <c r="M1493" s="42">
        <v>1</v>
      </c>
      <c r="N1493" s="42">
        <v>1</v>
      </c>
      <c r="O1493">
        <v>1</v>
      </c>
    </row>
    <row r="1494" spans="3:15" x14ac:dyDescent="0.15">
      <c r="C1494" s="43" t="s">
        <v>1550</v>
      </c>
      <c r="D1494" s="42">
        <v>18</v>
      </c>
      <c r="E1494" s="42">
        <v>75</v>
      </c>
      <c r="F1494" s="42">
        <v>3</v>
      </c>
      <c r="G1494" s="42">
        <v>2.3333333333333335</v>
      </c>
      <c r="H1494" s="42">
        <v>1</v>
      </c>
      <c r="I1494" s="42">
        <v>0</v>
      </c>
      <c r="J1494" s="42">
        <v>0</v>
      </c>
      <c r="K1494" s="42">
        <v>0</v>
      </c>
      <c r="L1494" s="42">
        <v>0</v>
      </c>
      <c r="M1494" s="42">
        <v>0</v>
      </c>
      <c r="N1494" s="42">
        <v>1</v>
      </c>
      <c r="O1494">
        <v>0</v>
      </c>
    </row>
    <row r="1495" spans="3:15" x14ac:dyDescent="0.15">
      <c r="C1495" s="43" t="s">
        <v>1551</v>
      </c>
      <c r="D1495" s="42">
        <v>19</v>
      </c>
      <c r="E1495" s="42">
        <v>49</v>
      </c>
      <c r="F1495" s="42">
        <v>4</v>
      </c>
      <c r="G1495" s="42">
        <v>1.9</v>
      </c>
      <c r="H1495" s="42">
        <v>0</v>
      </c>
      <c r="I1495" s="42">
        <v>0</v>
      </c>
      <c r="J1495" s="42">
        <v>89</v>
      </c>
      <c r="K1495" s="42">
        <v>0</v>
      </c>
      <c r="L1495" s="42">
        <v>0</v>
      </c>
      <c r="M1495" s="42">
        <v>1</v>
      </c>
      <c r="N1495" s="42">
        <v>0</v>
      </c>
      <c r="O1495">
        <v>0</v>
      </c>
    </row>
    <row r="1496" spans="3:15" x14ac:dyDescent="0.15">
      <c r="C1496" s="43" t="s">
        <v>1552</v>
      </c>
      <c r="D1496" s="42">
        <v>24</v>
      </c>
      <c r="E1496" s="42">
        <v>162</v>
      </c>
      <c r="F1496" s="42">
        <v>4</v>
      </c>
      <c r="G1496" s="42">
        <v>3.3</v>
      </c>
      <c r="H1496" s="42">
        <v>0</v>
      </c>
      <c r="I1496" s="42">
        <v>1</v>
      </c>
      <c r="J1496" s="42">
        <v>446</v>
      </c>
      <c r="K1496" s="42">
        <v>0</v>
      </c>
      <c r="L1496" s="42">
        <v>1</v>
      </c>
      <c r="M1496" s="42">
        <v>1</v>
      </c>
      <c r="N1496" s="42">
        <v>0</v>
      </c>
      <c r="O1496">
        <v>1</v>
      </c>
    </row>
    <row r="1497" spans="3:15" x14ac:dyDescent="0.15">
      <c r="C1497" s="43" t="s">
        <v>1553</v>
      </c>
      <c r="D1497" s="42">
        <v>32</v>
      </c>
      <c r="E1497" s="42">
        <v>40</v>
      </c>
      <c r="F1497" s="42">
        <v>4</v>
      </c>
      <c r="G1497" s="42">
        <v>2.5</v>
      </c>
      <c r="H1497" s="42">
        <v>0</v>
      </c>
      <c r="I1497" s="42">
        <v>1</v>
      </c>
      <c r="J1497" s="42">
        <v>0</v>
      </c>
      <c r="K1497" s="42">
        <v>0</v>
      </c>
      <c r="L1497" s="42">
        <v>0</v>
      </c>
      <c r="M1497" s="42">
        <v>1</v>
      </c>
      <c r="N1497" s="42">
        <v>0</v>
      </c>
      <c r="O1497">
        <v>0</v>
      </c>
    </row>
    <row r="1498" spans="3:15" x14ac:dyDescent="0.15">
      <c r="C1498" s="43" t="s">
        <v>1554</v>
      </c>
      <c r="D1498" s="42">
        <v>34</v>
      </c>
      <c r="E1498" s="42">
        <v>44</v>
      </c>
      <c r="F1498" s="42">
        <v>4</v>
      </c>
      <c r="G1498" s="42">
        <v>2.2000000000000002</v>
      </c>
      <c r="H1498" s="42">
        <v>1</v>
      </c>
      <c r="I1498" s="42">
        <v>0</v>
      </c>
      <c r="J1498" s="42">
        <v>0</v>
      </c>
      <c r="K1498" s="42">
        <v>1</v>
      </c>
      <c r="L1498" s="42">
        <v>0</v>
      </c>
      <c r="M1498" s="42">
        <v>0</v>
      </c>
      <c r="N1498" s="42">
        <v>0</v>
      </c>
      <c r="O1498">
        <v>0</v>
      </c>
    </row>
    <row r="1499" spans="3:15" x14ac:dyDescent="0.15">
      <c r="C1499" s="43" t="s">
        <v>1555</v>
      </c>
      <c r="D1499" s="42">
        <v>4</v>
      </c>
      <c r="E1499" s="42">
        <v>81</v>
      </c>
      <c r="F1499" s="42">
        <v>3</v>
      </c>
      <c r="G1499" s="42">
        <v>1.5</v>
      </c>
      <c r="H1499" s="42">
        <v>1</v>
      </c>
      <c r="I1499" s="42">
        <v>0</v>
      </c>
      <c r="J1499" s="42">
        <v>276</v>
      </c>
      <c r="K1499" s="42">
        <v>0</v>
      </c>
      <c r="L1499" s="42">
        <v>0</v>
      </c>
      <c r="M1499" s="42">
        <v>1</v>
      </c>
      <c r="N1499" s="42">
        <v>0</v>
      </c>
      <c r="O1499">
        <v>0</v>
      </c>
    </row>
    <row r="1500" spans="3:15" x14ac:dyDescent="0.15">
      <c r="C1500" s="43" t="s">
        <v>1556</v>
      </c>
      <c r="D1500" s="42">
        <v>14</v>
      </c>
      <c r="E1500" s="42">
        <v>22</v>
      </c>
      <c r="F1500" s="42">
        <v>2</v>
      </c>
      <c r="G1500" s="42">
        <v>0.3</v>
      </c>
      <c r="H1500" s="42">
        <v>0</v>
      </c>
      <c r="I1500" s="42">
        <v>1</v>
      </c>
      <c r="J1500" s="42">
        <v>0</v>
      </c>
      <c r="K1500" s="42">
        <v>0</v>
      </c>
      <c r="L1500" s="42">
        <v>0</v>
      </c>
      <c r="M1500" s="42">
        <v>1</v>
      </c>
      <c r="N1500" s="42">
        <v>0</v>
      </c>
      <c r="O1500">
        <v>0</v>
      </c>
    </row>
    <row r="1501" spans="3:15" x14ac:dyDescent="0.15">
      <c r="C1501" s="43" t="s">
        <v>1557</v>
      </c>
      <c r="D1501" s="42">
        <v>3</v>
      </c>
      <c r="E1501" s="42">
        <v>55</v>
      </c>
      <c r="F1501" s="42">
        <v>4</v>
      </c>
      <c r="G1501" s="42">
        <v>1.7</v>
      </c>
      <c r="H1501" s="42">
        <v>0</v>
      </c>
      <c r="I1501" s="42">
        <v>1</v>
      </c>
      <c r="J1501" s="42">
        <v>0</v>
      </c>
      <c r="K1501" s="42">
        <v>0</v>
      </c>
      <c r="L1501" s="42">
        <v>0</v>
      </c>
      <c r="M1501" s="42">
        <v>1</v>
      </c>
      <c r="N1501" s="42">
        <v>1</v>
      </c>
      <c r="O1501">
        <v>0</v>
      </c>
    </row>
    <row r="1502" spans="3:15" x14ac:dyDescent="0.15">
      <c r="C1502" s="43" t="s">
        <v>1558</v>
      </c>
      <c r="D1502" s="42">
        <v>34</v>
      </c>
      <c r="E1502" s="42">
        <v>114</v>
      </c>
      <c r="F1502" s="42">
        <v>2</v>
      </c>
      <c r="G1502" s="42">
        <v>6.9</v>
      </c>
      <c r="H1502" s="42">
        <v>1</v>
      </c>
      <c r="I1502" s="42">
        <v>0</v>
      </c>
      <c r="J1502" s="42">
        <v>0</v>
      </c>
      <c r="K1502" s="42">
        <v>0</v>
      </c>
      <c r="L1502" s="42">
        <v>0</v>
      </c>
      <c r="M1502" s="42">
        <v>1</v>
      </c>
      <c r="N1502" s="42">
        <v>0</v>
      </c>
      <c r="O1502">
        <v>0</v>
      </c>
    </row>
    <row r="1503" spans="3:15" x14ac:dyDescent="0.15">
      <c r="C1503" s="43" t="s">
        <v>1559</v>
      </c>
      <c r="D1503" s="42">
        <v>16</v>
      </c>
      <c r="E1503" s="42">
        <v>85</v>
      </c>
      <c r="F1503" s="42">
        <v>4</v>
      </c>
      <c r="G1503" s="42">
        <v>0.2</v>
      </c>
      <c r="H1503" s="42">
        <v>0</v>
      </c>
      <c r="I1503" s="42">
        <v>0</v>
      </c>
      <c r="J1503" s="42">
        <v>0</v>
      </c>
      <c r="K1503" s="42">
        <v>0</v>
      </c>
      <c r="L1503" s="42">
        <v>0</v>
      </c>
      <c r="M1503" s="42">
        <v>1</v>
      </c>
      <c r="N1503" s="42">
        <v>1</v>
      </c>
      <c r="O1503">
        <v>0</v>
      </c>
    </row>
    <row r="1504" spans="3:15" x14ac:dyDescent="0.15">
      <c r="C1504" s="43" t="s">
        <v>1560</v>
      </c>
      <c r="D1504" s="42">
        <v>14</v>
      </c>
      <c r="E1504" s="42">
        <v>101</v>
      </c>
      <c r="F1504" s="42">
        <v>2</v>
      </c>
      <c r="G1504" s="42">
        <v>0.4</v>
      </c>
      <c r="H1504" s="42">
        <v>1</v>
      </c>
      <c r="I1504" s="42">
        <v>0</v>
      </c>
      <c r="J1504" s="42">
        <v>0</v>
      </c>
      <c r="K1504" s="42">
        <v>0</v>
      </c>
      <c r="L1504" s="42">
        <v>0</v>
      </c>
      <c r="M1504" s="42">
        <v>1</v>
      </c>
      <c r="N1504" s="42">
        <v>1</v>
      </c>
      <c r="O1504">
        <v>0</v>
      </c>
    </row>
    <row r="1505" spans="3:15" x14ac:dyDescent="0.15">
      <c r="C1505" s="43" t="s">
        <v>1561</v>
      </c>
      <c r="D1505" s="42">
        <v>23</v>
      </c>
      <c r="E1505" s="42">
        <v>85</v>
      </c>
      <c r="F1505" s="42">
        <v>1</v>
      </c>
      <c r="G1505" s="42">
        <v>2.6666666666666665</v>
      </c>
      <c r="H1505" s="42">
        <v>0</v>
      </c>
      <c r="I1505" s="42">
        <v>1</v>
      </c>
      <c r="J1505" s="42">
        <v>0</v>
      </c>
      <c r="K1505" s="42">
        <v>0</v>
      </c>
      <c r="L1505" s="42">
        <v>0</v>
      </c>
      <c r="M1505" s="42">
        <v>1</v>
      </c>
      <c r="N1505" s="42">
        <v>0</v>
      </c>
      <c r="O1505">
        <v>0</v>
      </c>
    </row>
    <row r="1506" spans="3:15" x14ac:dyDescent="0.15">
      <c r="C1506" s="43" t="s">
        <v>1562</v>
      </c>
      <c r="D1506" s="42">
        <v>6</v>
      </c>
      <c r="E1506" s="42">
        <v>184</v>
      </c>
      <c r="F1506" s="42">
        <v>1</v>
      </c>
      <c r="G1506" s="42">
        <v>6</v>
      </c>
      <c r="H1506" s="42">
        <v>1</v>
      </c>
      <c r="I1506" s="42">
        <v>0</v>
      </c>
      <c r="J1506" s="42">
        <v>0</v>
      </c>
      <c r="K1506" s="42">
        <v>0</v>
      </c>
      <c r="L1506" s="42">
        <v>0</v>
      </c>
      <c r="M1506" s="42">
        <v>1</v>
      </c>
      <c r="N1506" s="42">
        <v>0</v>
      </c>
      <c r="O1506">
        <v>0</v>
      </c>
    </row>
    <row r="1507" spans="3:15" x14ac:dyDescent="0.15">
      <c r="C1507" s="43" t="s">
        <v>1563</v>
      </c>
      <c r="D1507" s="42">
        <v>29</v>
      </c>
      <c r="E1507" s="42">
        <v>119</v>
      </c>
      <c r="F1507" s="42">
        <v>3</v>
      </c>
      <c r="G1507" s="42">
        <v>2</v>
      </c>
      <c r="H1507" s="42">
        <v>1</v>
      </c>
      <c r="I1507" s="42">
        <v>0</v>
      </c>
      <c r="J1507" s="42">
        <v>0</v>
      </c>
      <c r="K1507" s="42">
        <v>1</v>
      </c>
      <c r="L1507" s="42">
        <v>1</v>
      </c>
      <c r="M1507" s="42">
        <v>0</v>
      </c>
      <c r="N1507" s="42">
        <v>0</v>
      </c>
      <c r="O1507">
        <v>1</v>
      </c>
    </row>
    <row r="1508" spans="3:15" x14ac:dyDescent="0.15">
      <c r="C1508" s="43" t="s">
        <v>1564</v>
      </c>
      <c r="D1508" s="42">
        <v>32</v>
      </c>
      <c r="E1508" s="42">
        <v>85</v>
      </c>
      <c r="F1508" s="42">
        <v>2</v>
      </c>
      <c r="G1508" s="42">
        <v>2</v>
      </c>
      <c r="H1508" s="42">
        <v>1</v>
      </c>
      <c r="I1508" s="42">
        <v>0</v>
      </c>
      <c r="J1508" s="42">
        <v>161</v>
      </c>
      <c r="K1508" s="42">
        <v>1</v>
      </c>
      <c r="L1508" s="42">
        <v>1</v>
      </c>
      <c r="M1508" s="42">
        <v>1</v>
      </c>
      <c r="N1508" s="42">
        <v>1</v>
      </c>
      <c r="O1508">
        <v>0</v>
      </c>
    </row>
    <row r="1509" spans="3:15" x14ac:dyDescent="0.15">
      <c r="C1509" s="43" t="s">
        <v>1565</v>
      </c>
      <c r="D1509" s="42">
        <v>36</v>
      </c>
      <c r="E1509" s="42">
        <v>41</v>
      </c>
      <c r="F1509" s="42">
        <v>2</v>
      </c>
      <c r="G1509" s="42">
        <v>1.5</v>
      </c>
      <c r="H1509" s="42">
        <v>1</v>
      </c>
      <c r="I1509" s="42">
        <v>0</v>
      </c>
      <c r="J1509" s="42">
        <v>0</v>
      </c>
      <c r="K1509" s="42">
        <v>0</v>
      </c>
      <c r="L1509" s="42">
        <v>0</v>
      </c>
      <c r="M1509" s="42">
        <v>0</v>
      </c>
      <c r="N1509" s="42">
        <v>0</v>
      </c>
      <c r="O1509">
        <v>0</v>
      </c>
    </row>
    <row r="1510" spans="3:15" x14ac:dyDescent="0.15">
      <c r="C1510" s="43" t="s">
        <v>1566</v>
      </c>
      <c r="D1510" s="42">
        <v>28</v>
      </c>
      <c r="E1510" s="42">
        <v>53</v>
      </c>
      <c r="F1510" s="42">
        <v>4</v>
      </c>
      <c r="G1510" s="42">
        <v>2.8</v>
      </c>
      <c r="H1510" s="42">
        <v>0</v>
      </c>
      <c r="I1510" s="42">
        <v>1</v>
      </c>
      <c r="J1510" s="42">
        <v>0</v>
      </c>
      <c r="K1510" s="42">
        <v>1</v>
      </c>
      <c r="L1510" s="42">
        <v>0</v>
      </c>
      <c r="M1510" s="42">
        <v>0</v>
      </c>
      <c r="N1510" s="42">
        <v>0</v>
      </c>
      <c r="O1510">
        <v>0</v>
      </c>
    </row>
    <row r="1511" spans="3:15" x14ac:dyDescent="0.15">
      <c r="C1511" s="43" t="s">
        <v>1567</v>
      </c>
      <c r="D1511" s="42">
        <v>17</v>
      </c>
      <c r="E1511" s="42">
        <v>49</v>
      </c>
      <c r="F1511" s="42">
        <v>4</v>
      </c>
      <c r="G1511" s="42">
        <v>2.2000000000000002</v>
      </c>
      <c r="H1511" s="42">
        <v>0</v>
      </c>
      <c r="I1511" s="42">
        <v>1</v>
      </c>
      <c r="J1511" s="42">
        <v>0</v>
      </c>
      <c r="K1511" s="42">
        <v>0</v>
      </c>
      <c r="L1511" s="42">
        <v>0</v>
      </c>
      <c r="M1511" s="42">
        <v>0</v>
      </c>
      <c r="N1511" s="42">
        <v>0</v>
      </c>
      <c r="O1511">
        <v>0</v>
      </c>
    </row>
    <row r="1512" spans="3:15" x14ac:dyDescent="0.15">
      <c r="C1512" s="43" t="s">
        <v>1568</v>
      </c>
      <c r="D1512" s="42">
        <v>4</v>
      </c>
      <c r="E1512" s="42">
        <v>183</v>
      </c>
      <c r="F1512" s="42">
        <v>3</v>
      </c>
      <c r="G1512" s="42">
        <v>8.3000000000000007</v>
      </c>
      <c r="H1512" s="42">
        <v>0</v>
      </c>
      <c r="I1512" s="42">
        <v>0</v>
      </c>
      <c r="J1512" s="42">
        <v>0</v>
      </c>
      <c r="K1512" s="42">
        <v>0</v>
      </c>
      <c r="L1512" s="42">
        <v>0</v>
      </c>
      <c r="M1512" s="42">
        <v>1</v>
      </c>
      <c r="N1512" s="42">
        <v>0</v>
      </c>
      <c r="O1512">
        <v>1</v>
      </c>
    </row>
    <row r="1513" spans="3:15" x14ac:dyDescent="0.15">
      <c r="C1513" s="43" t="s">
        <v>1569</v>
      </c>
      <c r="D1513" s="42">
        <v>27</v>
      </c>
      <c r="E1513" s="42">
        <v>94</v>
      </c>
      <c r="F1513" s="42">
        <v>1</v>
      </c>
      <c r="G1513" s="42">
        <v>2.8</v>
      </c>
      <c r="H1513" s="42">
        <v>0</v>
      </c>
      <c r="I1513" s="42">
        <v>1</v>
      </c>
      <c r="J1513" s="42">
        <v>333</v>
      </c>
      <c r="K1513" s="42">
        <v>0</v>
      </c>
      <c r="L1513" s="42">
        <v>0</v>
      </c>
      <c r="M1513" s="42">
        <v>1</v>
      </c>
      <c r="N1513" s="42">
        <v>0</v>
      </c>
      <c r="O1513">
        <v>0</v>
      </c>
    </row>
    <row r="1514" spans="3:15" x14ac:dyDescent="0.15">
      <c r="C1514" s="43" t="s">
        <v>1570</v>
      </c>
      <c r="D1514" s="42">
        <v>6</v>
      </c>
      <c r="E1514" s="42">
        <v>41</v>
      </c>
      <c r="F1514" s="42">
        <v>2</v>
      </c>
      <c r="G1514" s="42">
        <v>2</v>
      </c>
      <c r="H1514" s="42">
        <v>0</v>
      </c>
      <c r="I1514" s="42">
        <v>0</v>
      </c>
      <c r="J1514" s="42">
        <v>0</v>
      </c>
      <c r="K1514" s="42">
        <v>0</v>
      </c>
      <c r="L1514" s="42">
        <v>0</v>
      </c>
      <c r="M1514" s="42">
        <v>0</v>
      </c>
      <c r="N1514" s="42">
        <v>0</v>
      </c>
      <c r="O1514">
        <v>0</v>
      </c>
    </row>
    <row r="1515" spans="3:15" x14ac:dyDescent="0.15">
      <c r="C1515" s="43" t="s">
        <v>1571</v>
      </c>
      <c r="D1515" s="42">
        <v>29</v>
      </c>
      <c r="E1515" s="42">
        <v>98</v>
      </c>
      <c r="F1515" s="42">
        <v>3</v>
      </c>
      <c r="G1515" s="42">
        <v>1.8</v>
      </c>
      <c r="H1515" s="42">
        <v>0</v>
      </c>
      <c r="I1515" s="42">
        <v>1</v>
      </c>
      <c r="J1515" s="42">
        <v>0</v>
      </c>
      <c r="K1515" s="42">
        <v>0</v>
      </c>
      <c r="L1515" s="42">
        <v>0</v>
      </c>
      <c r="M1515" s="42">
        <v>0</v>
      </c>
      <c r="N1515" s="42">
        <v>0</v>
      </c>
      <c r="O1515">
        <v>0</v>
      </c>
    </row>
    <row r="1516" spans="3:15" x14ac:dyDescent="0.15">
      <c r="C1516" s="43" t="s">
        <v>1572</v>
      </c>
      <c r="D1516" s="42">
        <v>13</v>
      </c>
      <c r="E1516" s="42">
        <v>113</v>
      </c>
      <c r="F1516" s="42">
        <v>4</v>
      </c>
      <c r="G1516" s="42">
        <v>1.7</v>
      </c>
      <c r="H1516" s="42">
        <v>0</v>
      </c>
      <c r="I1516" s="42">
        <v>1</v>
      </c>
      <c r="J1516" s="42">
        <v>0</v>
      </c>
      <c r="K1516" s="42">
        <v>0</v>
      </c>
      <c r="L1516" s="42">
        <v>0</v>
      </c>
      <c r="M1516" s="42">
        <v>0</v>
      </c>
      <c r="N1516" s="42">
        <v>1</v>
      </c>
      <c r="O1516">
        <v>1</v>
      </c>
    </row>
    <row r="1517" spans="3:15" x14ac:dyDescent="0.15">
      <c r="C1517" s="43" t="s">
        <v>1573</v>
      </c>
      <c r="D1517" s="42">
        <v>22</v>
      </c>
      <c r="E1517" s="42">
        <v>198</v>
      </c>
      <c r="F1517" s="42">
        <v>2</v>
      </c>
      <c r="G1517" s="42">
        <v>6.666666666666667</v>
      </c>
      <c r="H1517" s="42">
        <v>1</v>
      </c>
      <c r="I1517" s="42">
        <v>0</v>
      </c>
      <c r="J1517" s="42">
        <v>0</v>
      </c>
      <c r="K1517" s="42">
        <v>0</v>
      </c>
      <c r="L1517" s="42">
        <v>0</v>
      </c>
      <c r="M1517" s="42">
        <v>0</v>
      </c>
      <c r="N1517" s="42">
        <v>1</v>
      </c>
      <c r="O1517">
        <v>0</v>
      </c>
    </row>
    <row r="1518" spans="3:15" x14ac:dyDescent="0.15">
      <c r="C1518" s="43" t="s">
        <v>1574</v>
      </c>
      <c r="D1518" s="42">
        <v>36</v>
      </c>
      <c r="E1518" s="42">
        <v>61</v>
      </c>
      <c r="F1518" s="42">
        <v>2</v>
      </c>
      <c r="G1518" s="42">
        <v>2.8</v>
      </c>
      <c r="H1518" s="42">
        <v>1</v>
      </c>
      <c r="I1518" s="42">
        <v>0</v>
      </c>
      <c r="J1518" s="42">
        <v>0</v>
      </c>
      <c r="K1518" s="42">
        <v>0</v>
      </c>
      <c r="L1518" s="42">
        <v>0</v>
      </c>
      <c r="M1518" s="42">
        <v>0</v>
      </c>
      <c r="N1518" s="42">
        <v>0</v>
      </c>
      <c r="O1518">
        <v>0</v>
      </c>
    </row>
    <row r="1519" spans="3:15" x14ac:dyDescent="0.15">
      <c r="C1519" s="43" t="s">
        <v>1575</v>
      </c>
      <c r="D1519" s="42">
        <v>15</v>
      </c>
      <c r="E1519" s="42">
        <v>75</v>
      </c>
      <c r="F1519" s="42">
        <v>1</v>
      </c>
      <c r="G1519" s="42">
        <v>1.5</v>
      </c>
      <c r="H1519" s="42">
        <v>0</v>
      </c>
      <c r="I1519" s="42">
        <v>0</v>
      </c>
      <c r="J1519" s="42">
        <v>0</v>
      </c>
      <c r="K1519" s="42">
        <v>0</v>
      </c>
      <c r="L1519" s="42">
        <v>0</v>
      </c>
      <c r="M1519" s="42">
        <v>1</v>
      </c>
      <c r="N1519" s="42">
        <v>0</v>
      </c>
      <c r="O1519">
        <v>0</v>
      </c>
    </row>
    <row r="1520" spans="3:15" x14ac:dyDescent="0.15">
      <c r="C1520" s="43" t="s">
        <v>1576</v>
      </c>
      <c r="D1520" s="42">
        <v>16</v>
      </c>
      <c r="E1520" s="42">
        <v>191</v>
      </c>
      <c r="F1520" s="42">
        <v>3</v>
      </c>
      <c r="G1520" s="42">
        <v>4.8</v>
      </c>
      <c r="H1520" s="42">
        <v>0</v>
      </c>
      <c r="I1520" s="42">
        <v>1</v>
      </c>
      <c r="J1520" s="42">
        <v>0</v>
      </c>
      <c r="K1520" s="42">
        <v>1</v>
      </c>
      <c r="L1520" s="42">
        <v>1</v>
      </c>
      <c r="M1520" s="42">
        <v>1</v>
      </c>
      <c r="N1520" s="42">
        <v>0</v>
      </c>
      <c r="O1520">
        <v>1</v>
      </c>
    </row>
    <row r="1521" spans="3:15" x14ac:dyDescent="0.15">
      <c r="C1521" s="43" t="s">
        <v>1577</v>
      </c>
      <c r="D1521" s="42">
        <v>33</v>
      </c>
      <c r="E1521" s="42">
        <v>68</v>
      </c>
      <c r="F1521" s="42">
        <v>2</v>
      </c>
      <c r="G1521" s="42">
        <v>2.2999999999999998</v>
      </c>
      <c r="H1521" s="42">
        <v>0</v>
      </c>
      <c r="I1521" s="42">
        <v>0</v>
      </c>
      <c r="J1521" s="42">
        <v>128</v>
      </c>
      <c r="K1521" s="42">
        <v>1</v>
      </c>
      <c r="L1521" s="42">
        <v>0</v>
      </c>
      <c r="M1521" s="42">
        <v>1</v>
      </c>
      <c r="N1521" s="42">
        <v>0</v>
      </c>
      <c r="O1521">
        <v>0</v>
      </c>
    </row>
    <row r="1522" spans="3:15" x14ac:dyDescent="0.15">
      <c r="C1522" s="43" t="s">
        <v>1578</v>
      </c>
      <c r="D1522" s="42">
        <v>11</v>
      </c>
      <c r="E1522" s="42">
        <v>15</v>
      </c>
      <c r="F1522" s="42">
        <v>2</v>
      </c>
      <c r="G1522" s="42">
        <v>0.3</v>
      </c>
      <c r="H1522" s="42">
        <v>0</v>
      </c>
      <c r="I1522" s="42">
        <v>1</v>
      </c>
      <c r="J1522" s="42">
        <v>119</v>
      </c>
      <c r="K1522" s="42">
        <v>0</v>
      </c>
      <c r="L1522" s="42">
        <v>0</v>
      </c>
      <c r="M1522" s="42">
        <v>0</v>
      </c>
      <c r="N1522" s="42">
        <v>0</v>
      </c>
      <c r="O1522">
        <v>0</v>
      </c>
    </row>
    <row r="1523" spans="3:15" x14ac:dyDescent="0.15">
      <c r="C1523" s="43" t="s">
        <v>1579</v>
      </c>
      <c r="D1523" s="42">
        <v>27</v>
      </c>
      <c r="E1523" s="42">
        <v>188</v>
      </c>
      <c r="F1523" s="42">
        <v>2</v>
      </c>
      <c r="G1523" s="42">
        <v>6.9</v>
      </c>
      <c r="H1523" s="42">
        <v>0</v>
      </c>
      <c r="I1523" s="42">
        <v>1</v>
      </c>
      <c r="J1523" s="42">
        <v>343</v>
      </c>
      <c r="K1523" s="42">
        <v>0</v>
      </c>
      <c r="L1523" s="42">
        <v>0</v>
      </c>
      <c r="M1523" s="42">
        <v>1</v>
      </c>
      <c r="N1523" s="42">
        <v>0</v>
      </c>
      <c r="O1523">
        <v>1</v>
      </c>
    </row>
    <row r="1524" spans="3:15" x14ac:dyDescent="0.15">
      <c r="C1524" s="43" t="s">
        <v>1580</v>
      </c>
      <c r="D1524" s="42">
        <v>7</v>
      </c>
      <c r="E1524" s="42">
        <v>128</v>
      </c>
      <c r="F1524" s="42">
        <v>1</v>
      </c>
      <c r="G1524" s="42">
        <v>6</v>
      </c>
      <c r="H1524" s="42">
        <v>1</v>
      </c>
      <c r="I1524" s="42">
        <v>0</v>
      </c>
      <c r="J1524" s="42">
        <v>0</v>
      </c>
      <c r="K1524" s="42">
        <v>0</v>
      </c>
      <c r="L1524" s="42">
        <v>0</v>
      </c>
      <c r="M1524" s="42">
        <v>0</v>
      </c>
      <c r="N1524" s="42">
        <v>0</v>
      </c>
      <c r="O1524">
        <v>0</v>
      </c>
    </row>
    <row r="1525" spans="3:15" x14ac:dyDescent="0.15">
      <c r="C1525" s="43" t="s">
        <v>1581</v>
      </c>
      <c r="D1525" s="42">
        <v>15</v>
      </c>
      <c r="E1525" s="42">
        <v>175</v>
      </c>
      <c r="F1525" s="42">
        <v>2</v>
      </c>
      <c r="G1525" s="42">
        <v>3.3</v>
      </c>
      <c r="H1525" s="42">
        <v>1</v>
      </c>
      <c r="I1525" s="42">
        <v>0</v>
      </c>
      <c r="J1525" s="42">
        <v>0</v>
      </c>
      <c r="K1525" s="42">
        <v>0</v>
      </c>
      <c r="L1525" s="42">
        <v>0</v>
      </c>
      <c r="M1525" s="42">
        <v>1</v>
      </c>
      <c r="N1525" s="42">
        <v>0</v>
      </c>
      <c r="O1525">
        <v>0</v>
      </c>
    </row>
    <row r="1526" spans="3:15" x14ac:dyDescent="0.15">
      <c r="C1526" s="43" t="s">
        <v>1582</v>
      </c>
      <c r="D1526" s="42">
        <v>36</v>
      </c>
      <c r="E1526" s="42">
        <v>84</v>
      </c>
      <c r="F1526" s="42">
        <v>2</v>
      </c>
      <c r="G1526" s="42">
        <v>2.8</v>
      </c>
      <c r="H1526" s="42">
        <v>1</v>
      </c>
      <c r="I1526" s="42">
        <v>0</v>
      </c>
      <c r="J1526" s="42">
        <v>0</v>
      </c>
      <c r="K1526" s="42">
        <v>0</v>
      </c>
      <c r="L1526" s="42">
        <v>0</v>
      </c>
      <c r="M1526" s="42">
        <v>1</v>
      </c>
      <c r="N1526" s="42">
        <v>0</v>
      </c>
      <c r="O1526">
        <v>0</v>
      </c>
    </row>
    <row r="1527" spans="3:15" x14ac:dyDescent="0.15">
      <c r="C1527" s="43" t="s">
        <v>1583</v>
      </c>
      <c r="D1527" s="42">
        <v>37</v>
      </c>
      <c r="E1527" s="42">
        <v>40</v>
      </c>
      <c r="F1527" s="42">
        <v>4</v>
      </c>
      <c r="G1527" s="42">
        <v>2.2000000000000002</v>
      </c>
      <c r="H1527" s="42">
        <v>1</v>
      </c>
      <c r="I1527" s="42">
        <v>0</v>
      </c>
      <c r="J1527" s="42">
        <v>0</v>
      </c>
      <c r="K1527" s="42">
        <v>1</v>
      </c>
      <c r="L1527" s="42">
        <v>1</v>
      </c>
      <c r="M1527" s="42">
        <v>1</v>
      </c>
      <c r="N1527" s="42">
        <v>1</v>
      </c>
      <c r="O1527">
        <v>0</v>
      </c>
    </row>
    <row r="1528" spans="3:15" x14ac:dyDescent="0.15">
      <c r="C1528" s="43" t="s">
        <v>1584</v>
      </c>
      <c r="D1528" s="42">
        <v>21</v>
      </c>
      <c r="E1528" s="42">
        <v>61</v>
      </c>
      <c r="F1528" s="42">
        <v>3</v>
      </c>
      <c r="G1528" s="42">
        <v>0.7</v>
      </c>
      <c r="H1528" s="42">
        <v>1</v>
      </c>
      <c r="I1528" s="42">
        <v>0</v>
      </c>
      <c r="J1528" s="42">
        <v>0</v>
      </c>
      <c r="K1528" s="42">
        <v>1</v>
      </c>
      <c r="L1528" s="42">
        <v>1</v>
      </c>
      <c r="M1528" s="42">
        <v>1</v>
      </c>
      <c r="N1528" s="42">
        <v>1</v>
      </c>
      <c r="O1528">
        <v>0</v>
      </c>
    </row>
    <row r="1529" spans="3:15" x14ac:dyDescent="0.15">
      <c r="C1529" s="43" t="s">
        <v>1585</v>
      </c>
      <c r="D1529" s="42">
        <v>10</v>
      </c>
      <c r="E1529" s="42">
        <v>79</v>
      </c>
      <c r="F1529" s="42">
        <v>4</v>
      </c>
      <c r="G1529" s="42">
        <v>2.1</v>
      </c>
      <c r="H1529" s="42">
        <v>0</v>
      </c>
      <c r="I1529" s="42">
        <v>0</v>
      </c>
      <c r="J1529" s="42">
        <v>182</v>
      </c>
      <c r="K1529" s="42">
        <v>0</v>
      </c>
      <c r="L1529" s="42">
        <v>0</v>
      </c>
      <c r="M1529" s="42">
        <v>1</v>
      </c>
      <c r="N1529" s="42">
        <v>0</v>
      </c>
      <c r="O1529">
        <v>0</v>
      </c>
    </row>
    <row r="1530" spans="3:15" x14ac:dyDescent="0.15">
      <c r="C1530" s="43" t="s">
        <v>1586</v>
      </c>
      <c r="D1530" s="42">
        <v>31</v>
      </c>
      <c r="E1530" s="42">
        <v>81</v>
      </c>
      <c r="F1530" s="42">
        <v>3</v>
      </c>
      <c r="G1530" s="42">
        <v>2.6666666666666665</v>
      </c>
      <c r="H1530" s="42">
        <v>1</v>
      </c>
      <c r="I1530" s="42">
        <v>0</v>
      </c>
      <c r="J1530" s="42">
        <v>0</v>
      </c>
      <c r="K1530" s="42">
        <v>0</v>
      </c>
      <c r="L1530" s="42">
        <v>0</v>
      </c>
      <c r="M1530" s="42">
        <v>1</v>
      </c>
      <c r="N1530" s="42">
        <v>0</v>
      </c>
      <c r="O1530">
        <v>0</v>
      </c>
    </row>
    <row r="1531" spans="3:15" x14ac:dyDescent="0.15">
      <c r="C1531" s="43" t="s">
        <v>1587</v>
      </c>
      <c r="D1531" s="42">
        <v>25</v>
      </c>
      <c r="E1531" s="42">
        <v>18</v>
      </c>
      <c r="F1531" s="42">
        <v>1</v>
      </c>
      <c r="G1531" s="42">
        <v>0.3</v>
      </c>
      <c r="H1531" s="42">
        <v>0</v>
      </c>
      <c r="I1531" s="42">
        <v>0</v>
      </c>
      <c r="J1531" s="42">
        <v>93</v>
      </c>
      <c r="K1531" s="42">
        <v>0</v>
      </c>
      <c r="L1531" s="42">
        <v>0</v>
      </c>
      <c r="M1531" s="42">
        <v>0</v>
      </c>
      <c r="N1531" s="42">
        <v>1</v>
      </c>
      <c r="O1531">
        <v>0</v>
      </c>
    </row>
    <row r="1532" spans="3:15" x14ac:dyDescent="0.15">
      <c r="C1532" s="43" t="s">
        <v>1588</v>
      </c>
      <c r="D1532" s="42">
        <v>35</v>
      </c>
      <c r="E1532" s="42">
        <v>95</v>
      </c>
      <c r="F1532" s="42">
        <v>1</v>
      </c>
      <c r="G1532" s="42">
        <v>3.8</v>
      </c>
      <c r="H1532" s="42">
        <v>1</v>
      </c>
      <c r="I1532" s="42">
        <v>0</v>
      </c>
      <c r="J1532" s="42">
        <v>0</v>
      </c>
      <c r="K1532" s="42">
        <v>0</v>
      </c>
      <c r="L1532" s="42">
        <v>0</v>
      </c>
      <c r="M1532" s="42">
        <v>1</v>
      </c>
      <c r="N1532" s="42">
        <v>1</v>
      </c>
      <c r="O1532">
        <v>0</v>
      </c>
    </row>
    <row r="1533" spans="3:15" x14ac:dyDescent="0.15">
      <c r="C1533" s="43" t="s">
        <v>1589</v>
      </c>
      <c r="D1533" s="42">
        <v>21</v>
      </c>
      <c r="E1533" s="42">
        <v>140</v>
      </c>
      <c r="F1533" s="42">
        <v>2</v>
      </c>
      <c r="G1533" s="42">
        <v>7.6</v>
      </c>
      <c r="H1533" s="42">
        <v>1</v>
      </c>
      <c r="I1533" s="42">
        <v>0</v>
      </c>
      <c r="J1533" s="42">
        <v>132</v>
      </c>
      <c r="K1533" s="42">
        <v>0</v>
      </c>
      <c r="L1533" s="42">
        <v>0</v>
      </c>
      <c r="M1533" s="42">
        <v>0</v>
      </c>
      <c r="N1533" s="42">
        <v>0</v>
      </c>
      <c r="O1533">
        <v>0</v>
      </c>
    </row>
    <row r="1534" spans="3:15" x14ac:dyDescent="0.15">
      <c r="C1534" s="43" t="s">
        <v>1590</v>
      </c>
      <c r="D1534" s="42">
        <v>12</v>
      </c>
      <c r="E1534" s="42">
        <v>84</v>
      </c>
      <c r="F1534" s="42">
        <v>1</v>
      </c>
      <c r="G1534" s="42">
        <v>0.8</v>
      </c>
      <c r="H1534" s="42">
        <v>0</v>
      </c>
      <c r="I1534" s="42">
        <v>1</v>
      </c>
      <c r="J1534" s="42">
        <v>0</v>
      </c>
      <c r="K1534" s="42">
        <v>0</v>
      </c>
      <c r="L1534" s="42">
        <v>0</v>
      </c>
      <c r="M1534" s="42">
        <v>1</v>
      </c>
      <c r="N1534" s="42">
        <v>1</v>
      </c>
      <c r="O1534">
        <v>0</v>
      </c>
    </row>
    <row r="1535" spans="3:15" x14ac:dyDescent="0.15">
      <c r="C1535" s="43" t="s">
        <v>1591</v>
      </c>
      <c r="D1535" s="42">
        <v>27</v>
      </c>
      <c r="E1535" s="42">
        <v>35</v>
      </c>
      <c r="F1535" s="42">
        <v>4</v>
      </c>
      <c r="G1535" s="42">
        <v>0.2</v>
      </c>
      <c r="H1535" s="42">
        <v>0</v>
      </c>
      <c r="I1535" s="42">
        <v>1</v>
      </c>
      <c r="J1535" s="42">
        <v>0</v>
      </c>
      <c r="K1535" s="42">
        <v>0</v>
      </c>
      <c r="L1535" s="42">
        <v>0</v>
      </c>
      <c r="M1535" s="42">
        <v>1</v>
      </c>
      <c r="N1535" s="42">
        <v>0</v>
      </c>
      <c r="O1535">
        <v>0</v>
      </c>
    </row>
    <row r="1536" spans="3:15" x14ac:dyDescent="0.15">
      <c r="C1536" s="43" t="s">
        <v>1592</v>
      </c>
      <c r="D1536" s="42">
        <v>0</v>
      </c>
      <c r="E1536" s="42">
        <v>149</v>
      </c>
      <c r="F1536" s="42">
        <v>1</v>
      </c>
      <c r="G1536" s="42">
        <v>6.333333333333333</v>
      </c>
      <c r="H1536" s="42">
        <v>1</v>
      </c>
      <c r="I1536" s="42">
        <v>0</v>
      </c>
      <c r="J1536" s="42">
        <v>305</v>
      </c>
      <c r="K1536" s="42">
        <v>0</v>
      </c>
      <c r="L1536" s="42">
        <v>0</v>
      </c>
      <c r="M1536" s="42">
        <v>0</v>
      </c>
      <c r="N1536" s="42">
        <v>1</v>
      </c>
      <c r="O1536">
        <v>0</v>
      </c>
    </row>
    <row r="1537" spans="3:15" x14ac:dyDescent="0.15">
      <c r="C1537" s="43" t="s">
        <v>1593</v>
      </c>
      <c r="D1537" s="42">
        <v>4</v>
      </c>
      <c r="E1537" s="42">
        <v>69</v>
      </c>
      <c r="F1537" s="42">
        <v>3</v>
      </c>
      <c r="G1537" s="42">
        <v>0.7</v>
      </c>
      <c r="H1537" s="42">
        <v>0</v>
      </c>
      <c r="I1537" s="42">
        <v>1</v>
      </c>
      <c r="J1537" s="42">
        <v>80</v>
      </c>
      <c r="K1537" s="42">
        <v>0</v>
      </c>
      <c r="L1537" s="42">
        <v>0</v>
      </c>
      <c r="M1537" s="42">
        <v>1</v>
      </c>
      <c r="N1537" s="42">
        <v>0</v>
      </c>
      <c r="O1537">
        <v>0</v>
      </c>
    </row>
    <row r="1538" spans="3:15" x14ac:dyDescent="0.15">
      <c r="C1538" s="43" t="s">
        <v>1594</v>
      </c>
      <c r="D1538" s="42">
        <v>27</v>
      </c>
      <c r="E1538" s="42">
        <v>145</v>
      </c>
      <c r="F1538" s="42">
        <v>2</v>
      </c>
      <c r="G1538" s="42">
        <v>6.1</v>
      </c>
      <c r="H1538" s="42">
        <v>0</v>
      </c>
      <c r="I1538" s="42">
        <v>0</v>
      </c>
      <c r="J1538" s="42">
        <v>294</v>
      </c>
      <c r="K1538" s="42">
        <v>0</v>
      </c>
      <c r="L1538" s="42">
        <v>1</v>
      </c>
      <c r="M1538" s="42">
        <v>1</v>
      </c>
      <c r="N1538" s="42">
        <v>1</v>
      </c>
      <c r="O1538">
        <v>1</v>
      </c>
    </row>
    <row r="1539" spans="3:15" x14ac:dyDescent="0.15">
      <c r="C1539" s="43" t="s">
        <v>1595</v>
      </c>
      <c r="D1539" s="42">
        <v>2</v>
      </c>
      <c r="E1539" s="42">
        <v>38</v>
      </c>
      <c r="F1539" s="42">
        <v>1</v>
      </c>
      <c r="G1539" s="42">
        <v>2</v>
      </c>
      <c r="H1539" s="42">
        <v>0</v>
      </c>
      <c r="I1539" s="42">
        <v>1</v>
      </c>
      <c r="J1539" s="42">
        <v>0</v>
      </c>
      <c r="K1539" s="42">
        <v>0</v>
      </c>
      <c r="L1539" s="42">
        <v>0</v>
      </c>
      <c r="M1539" s="42">
        <v>0</v>
      </c>
      <c r="N1539" s="42">
        <v>0</v>
      </c>
      <c r="O1539">
        <v>0</v>
      </c>
    </row>
    <row r="1540" spans="3:15" x14ac:dyDescent="0.15">
      <c r="C1540" s="43" t="s">
        <v>1596</v>
      </c>
      <c r="D1540" s="42">
        <v>2</v>
      </c>
      <c r="E1540" s="42">
        <v>170</v>
      </c>
      <c r="F1540" s="42">
        <v>3</v>
      </c>
      <c r="G1540" s="42">
        <v>4.7</v>
      </c>
      <c r="H1540" s="42">
        <v>1</v>
      </c>
      <c r="I1540" s="42">
        <v>0</v>
      </c>
      <c r="J1540" s="42">
        <v>0</v>
      </c>
      <c r="K1540" s="42">
        <v>0</v>
      </c>
      <c r="L1540" s="42">
        <v>0</v>
      </c>
      <c r="M1540" s="42">
        <v>1</v>
      </c>
      <c r="N1540" s="42">
        <v>0</v>
      </c>
      <c r="O1540">
        <v>1</v>
      </c>
    </row>
    <row r="1541" spans="3:15" x14ac:dyDescent="0.15">
      <c r="C1541" s="43" t="s">
        <v>1597</v>
      </c>
      <c r="D1541" s="42">
        <v>24</v>
      </c>
      <c r="E1541" s="42">
        <v>61</v>
      </c>
      <c r="F1541" s="42">
        <v>4</v>
      </c>
      <c r="G1541" s="42">
        <v>2</v>
      </c>
      <c r="H1541" s="42">
        <v>0</v>
      </c>
      <c r="I1541" s="42">
        <v>0</v>
      </c>
      <c r="J1541" s="42">
        <v>0</v>
      </c>
      <c r="K1541" s="42">
        <v>1</v>
      </c>
      <c r="L1541" s="42">
        <v>0</v>
      </c>
      <c r="M1541" s="42">
        <v>1</v>
      </c>
      <c r="N1541" s="42">
        <v>0</v>
      </c>
      <c r="O1541">
        <v>0</v>
      </c>
    </row>
    <row r="1542" spans="3:15" x14ac:dyDescent="0.15">
      <c r="C1542" s="43" t="s">
        <v>1598</v>
      </c>
      <c r="D1542" s="42">
        <v>30</v>
      </c>
      <c r="E1542" s="42">
        <v>185</v>
      </c>
      <c r="F1542" s="42">
        <v>1</v>
      </c>
      <c r="G1542" s="42">
        <v>2.9</v>
      </c>
      <c r="H1542" s="42">
        <v>1</v>
      </c>
      <c r="I1542" s="42">
        <v>0</v>
      </c>
      <c r="J1542" s="42">
        <v>0</v>
      </c>
      <c r="K1542" s="42">
        <v>0</v>
      </c>
      <c r="L1542" s="42">
        <v>0</v>
      </c>
      <c r="M1542" s="42">
        <v>0</v>
      </c>
      <c r="N1542" s="42">
        <v>0</v>
      </c>
      <c r="O1542">
        <v>0</v>
      </c>
    </row>
    <row r="1543" spans="3:15" x14ac:dyDescent="0.15">
      <c r="C1543" s="43" t="s">
        <v>1599</v>
      </c>
      <c r="D1543" s="42">
        <v>35</v>
      </c>
      <c r="E1543" s="42">
        <v>23</v>
      </c>
      <c r="F1543" s="42">
        <v>1</v>
      </c>
      <c r="G1543" s="42">
        <v>1.5</v>
      </c>
      <c r="H1543" s="42">
        <v>0</v>
      </c>
      <c r="I1543" s="42">
        <v>0</v>
      </c>
      <c r="J1543" s="42">
        <v>0</v>
      </c>
      <c r="K1543" s="42">
        <v>0</v>
      </c>
      <c r="L1543" s="42">
        <v>0</v>
      </c>
      <c r="M1543" s="42">
        <v>1</v>
      </c>
      <c r="N1543" s="42">
        <v>0</v>
      </c>
      <c r="O1543">
        <v>0</v>
      </c>
    </row>
    <row r="1544" spans="3:15" x14ac:dyDescent="0.15">
      <c r="C1544" s="43" t="s">
        <v>1600</v>
      </c>
      <c r="D1544" s="42">
        <v>10</v>
      </c>
      <c r="E1544" s="42">
        <v>93</v>
      </c>
      <c r="F1544" s="42">
        <v>1</v>
      </c>
      <c r="G1544" s="42">
        <v>2.8</v>
      </c>
      <c r="H1544" s="42">
        <v>0</v>
      </c>
      <c r="I1544" s="42">
        <v>0</v>
      </c>
      <c r="J1544" s="42">
        <v>0</v>
      </c>
      <c r="K1544" s="42">
        <v>0</v>
      </c>
      <c r="L1544" s="42">
        <v>0</v>
      </c>
      <c r="M1544" s="42">
        <v>1</v>
      </c>
      <c r="N1544" s="42">
        <v>0</v>
      </c>
      <c r="O1544">
        <v>0</v>
      </c>
    </row>
    <row r="1545" spans="3:15" x14ac:dyDescent="0.15">
      <c r="C1545" s="43" t="s">
        <v>1601</v>
      </c>
      <c r="D1545" s="42">
        <v>11</v>
      </c>
      <c r="E1545" s="42">
        <v>84</v>
      </c>
      <c r="F1545" s="42">
        <v>2</v>
      </c>
      <c r="G1545" s="42">
        <v>1.8</v>
      </c>
      <c r="H1545" s="42">
        <v>1</v>
      </c>
      <c r="I1545" s="42">
        <v>0</v>
      </c>
      <c r="J1545" s="42">
        <v>0</v>
      </c>
      <c r="K1545" s="42">
        <v>0</v>
      </c>
      <c r="L1545" s="42">
        <v>0</v>
      </c>
      <c r="M1545" s="42">
        <v>1</v>
      </c>
      <c r="N1545" s="42">
        <v>1</v>
      </c>
      <c r="O1545">
        <v>0</v>
      </c>
    </row>
    <row r="1546" spans="3:15" x14ac:dyDescent="0.15">
      <c r="C1546" s="43" t="s">
        <v>1602</v>
      </c>
      <c r="D1546" s="42">
        <v>13</v>
      </c>
      <c r="E1546" s="42">
        <v>75</v>
      </c>
      <c r="F1546" s="42">
        <v>3</v>
      </c>
      <c r="G1546" s="42">
        <v>2.1</v>
      </c>
      <c r="H1546" s="42">
        <v>1</v>
      </c>
      <c r="I1546" s="42">
        <v>0</v>
      </c>
      <c r="J1546" s="42">
        <v>224</v>
      </c>
      <c r="K1546" s="42">
        <v>0</v>
      </c>
      <c r="L1546" s="42">
        <v>0</v>
      </c>
      <c r="M1546" s="42">
        <v>1</v>
      </c>
      <c r="N1546" s="42">
        <v>0</v>
      </c>
      <c r="O1546">
        <v>0</v>
      </c>
    </row>
    <row r="1547" spans="3:15" x14ac:dyDescent="0.15">
      <c r="C1547" s="43" t="s">
        <v>1603</v>
      </c>
      <c r="D1547" s="42">
        <v>4</v>
      </c>
      <c r="E1547" s="42">
        <v>24</v>
      </c>
      <c r="F1547" s="42">
        <v>1</v>
      </c>
      <c r="G1547" s="42">
        <v>0.4</v>
      </c>
      <c r="H1547" s="42">
        <v>0</v>
      </c>
      <c r="I1547" s="42">
        <v>1</v>
      </c>
      <c r="J1547" s="42">
        <v>81</v>
      </c>
      <c r="K1547" s="42">
        <v>0</v>
      </c>
      <c r="L1547" s="42">
        <v>0</v>
      </c>
      <c r="M1547" s="42">
        <v>1</v>
      </c>
      <c r="N1547" s="42">
        <v>0</v>
      </c>
      <c r="O1547">
        <v>0</v>
      </c>
    </row>
  </sheetData>
  <mergeCells count="29">
    <mergeCell ref="B4:C4"/>
    <mergeCell ref="D4:E4"/>
    <mergeCell ref="F4:G4"/>
    <mergeCell ref="B3:G3"/>
    <mergeCell ref="J3:M3"/>
    <mergeCell ref="C23:I23"/>
    <mergeCell ref="C24:E24"/>
    <mergeCell ref="C25:E25"/>
    <mergeCell ref="C26:E26"/>
    <mergeCell ref="C27:E27"/>
    <mergeCell ref="F24:I24"/>
    <mergeCell ref="F25:I25"/>
    <mergeCell ref="F26:I26"/>
    <mergeCell ref="F27:I27"/>
    <mergeCell ref="C18:P18"/>
    <mergeCell ref="C19:D19"/>
    <mergeCell ref="C20:D20"/>
    <mergeCell ref="C21:D21"/>
    <mergeCell ref="E19:P19"/>
    <mergeCell ref="E21:P21"/>
    <mergeCell ref="C12:K12"/>
    <mergeCell ref="C13:F13"/>
    <mergeCell ref="C14:F14"/>
    <mergeCell ref="C15:F15"/>
    <mergeCell ref="C16:F16"/>
    <mergeCell ref="G13:K13"/>
    <mergeCell ref="G14:K14"/>
    <mergeCell ref="G15:K15"/>
    <mergeCell ref="G16:K16"/>
  </mergeCells>
  <hyperlinks>
    <hyperlink ref="B4" location="'OSPartition'!$B$10:$B$10" display="Inputs" xr:uid="{B12A1E28-BD2A-084C-9B97-0C12C9740A4E}"/>
    <hyperlink ref="D4" location="'OSPartition'!$B$29:$B$29" display="Partition Summary" xr:uid="{4DBA82C3-2E17-8149-A072-790E985C7906}"/>
    <hyperlink ref="F4" location="'OSPartition'!$B$39:$B$39" display="Partitioned Data" xr:uid="{2D22918D-F0AA-8D4D-8ABA-277F5C0D1F81}"/>
  </hyperlinks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8C9EEF-15C2-8747-A430-C941FB8AE179}">
  <dimension ref="B1:CV95"/>
  <sheetViews>
    <sheetView showGridLines="0" tabSelected="1" topLeftCell="A70" workbookViewId="0"/>
  </sheetViews>
  <sheetFormatPr baseColWidth="10" defaultRowHeight="13" x14ac:dyDescent="0.15"/>
  <cols>
    <col min="3" max="3" width="11" customWidth="1"/>
    <col min="16" max="16" width="26" bestFit="1" customWidth="1"/>
  </cols>
  <sheetData>
    <row r="1" spans="2:100" ht="19" x14ac:dyDescent="0.25">
      <c r="B1" s="40" t="s">
        <v>1805</v>
      </c>
      <c r="N1" t="s">
        <v>1782</v>
      </c>
      <c r="CV1" s="55" t="s">
        <v>1810</v>
      </c>
    </row>
    <row r="3" spans="2:100" ht="16" x14ac:dyDescent="0.2">
      <c r="B3" s="65" t="s">
        <v>49</v>
      </c>
      <c r="C3" s="66"/>
      <c r="D3" s="66"/>
      <c r="E3" s="66"/>
      <c r="F3" s="66"/>
      <c r="G3" s="66"/>
      <c r="H3" s="66"/>
      <c r="I3" s="66"/>
      <c r="J3" s="66"/>
      <c r="K3" s="66"/>
      <c r="L3" s="66"/>
      <c r="M3" s="67"/>
      <c r="P3" s="65" t="s">
        <v>50</v>
      </c>
      <c r="Q3" s="66"/>
      <c r="R3" s="66"/>
      <c r="S3" s="67"/>
    </row>
    <row r="4" spans="2:100" ht="14" x14ac:dyDescent="0.2">
      <c r="B4" s="50" t="s">
        <v>74</v>
      </c>
      <c r="C4" s="48"/>
      <c r="D4" s="50" t="s">
        <v>1797</v>
      </c>
      <c r="E4" s="48"/>
      <c r="F4" s="50" t="s">
        <v>1798</v>
      </c>
      <c r="G4" s="48"/>
      <c r="H4" s="50" t="s">
        <v>1799</v>
      </c>
      <c r="I4" s="48"/>
      <c r="J4" s="50" t="s">
        <v>1605</v>
      </c>
      <c r="K4" s="48"/>
      <c r="L4" s="50" t="s">
        <v>1684</v>
      </c>
      <c r="M4" s="48"/>
      <c r="P4" s="53" t="s">
        <v>86</v>
      </c>
      <c r="Q4" s="53" t="s">
        <v>87</v>
      </c>
      <c r="R4" s="53" t="s">
        <v>52</v>
      </c>
      <c r="S4" s="53" t="s">
        <v>53</v>
      </c>
    </row>
    <row r="5" spans="2:100" ht="14" x14ac:dyDescent="0.2">
      <c r="B5" s="50" t="s">
        <v>1685</v>
      </c>
      <c r="C5" s="48"/>
      <c r="D5" s="50" t="s">
        <v>1686</v>
      </c>
      <c r="E5" s="48"/>
      <c r="F5" s="50" t="s">
        <v>1687</v>
      </c>
      <c r="G5" s="48"/>
      <c r="H5" s="50" t="s">
        <v>1688</v>
      </c>
      <c r="I5" s="48"/>
      <c r="J5" s="57"/>
      <c r="K5" s="64"/>
      <c r="L5" s="57"/>
      <c r="M5" s="64"/>
      <c r="P5" s="45">
        <v>1391</v>
      </c>
      <c r="Q5" s="45">
        <v>40</v>
      </c>
      <c r="R5" s="45">
        <v>116</v>
      </c>
      <c r="S5" s="45">
        <v>1547</v>
      </c>
    </row>
    <row r="10" spans="2:100" ht="19" x14ac:dyDescent="0.25">
      <c r="B10" s="41" t="s">
        <v>74</v>
      </c>
    </row>
    <row r="12" spans="2:100" ht="16" x14ac:dyDescent="0.2">
      <c r="C12" s="51" t="s">
        <v>54</v>
      </c>
      <c r="D12" s="51"/>
      <c r="E12" s="51"/>
      <c r="F12" s="51"/>
      <c r="G12" s="51"/>
      <c r="H12" s="51"/>
      <c r="I12" s="51"/>
      <c r="J12" s="51"/>
      <c r="K12" s="51"/>
    </row>
    <row r="13" spans="2:100" ht="14" x14ac:dyDescent="0.2">
      <c r="C13" s="52" t="s">
        <v>55</v>
      </c>
      <c r="D13" s="52"/>
      <c r="E13" s="52"/>
      <c r="F13" s="35"/>
      <c r="G13" s="44" t="s">
        <v>56</v>
      </c>
      <c r="H13" s="44"/>
      <c r="I13" s="44"/>
      <c r="J13" s="44"/>
      <c r="K13" s="44"/>
    </row>
    <row r="14" spans="2:100" ht="14" x14ac:dyDescent="0.2">
      <c r="C14" s="52" t="s">
        <v>57</v>
      </c>
      <c r="D14" s="52"/>
      <c r="E14" s="52"/>
      <c r="F14" s="35"/>
      <c r="G14" s="44" t="s">
        <v>1765</v>
      </c>
      <c r="H14" s="44"/>
      <c r="I14" s="44"/>
      <c r="J14" s="44"/>
      <c r="K14" s="44"/>
    </row>
    <row r="15" spans="2:100" ht="14" x14ac:dyDescent="0.2">
      <c r="C15" s="52" t="s">
        <v>1754</v>
      </c>
      <c r="D15" s="52"/>
      <c r="E15" s="52"/>
      <c r="F15" s="35"/>
      <c r="G15" s="44" t="s">
        <v>1766</v>
      </c>
      <c r="H15" s="44"/>
      <c r="I15" s="44"/>
      <c r="J15" s="44"/>
      <c r="K15" s="44"/>
    </row>
    <row r="16" spans="2:100" ht="14" x14ac:dyDescent="0.2">
      <c r="C16" s="52" t="s">
        <v>1755</v>
      </c>
      <c r="D16" s="52"/>
      <c r="E16" s="52"/>
      <c r="F16" s="35"/>
      <c r="G16" s="44">
        <v>256</v>
      </c>
      <c r="H16" s="44"/>
      <c r="I16" s="44"/>
      <c r="J16" s="44"/>
      <c r="K16" s="44"/>
    </row>
    <row r="17" spans="3:15" ht="14" x14ac:dyDescent="0.2">
      <c r="C17" s="52" t="s">
        <v>1756</v>
      </c>
      <c r="D17" s="52"/>
      <c r="E17" s="52"/>
      <c r="F17" s="35"/>
      <c r="G17" s="44" t="s">
        <v>1767</v>
      </c>
      <c r="H17" s="44"/>
      <c r="I17" s="44"/>
      <c r="J17" s="44"/>
      <c r="K17" s="44"/>
    </row>
    <row r="18" spans="3:15" ht="14" x14ac:dyDescent="0.2">
      <c r="C18" s="52" t="s">
        <v>1757</v>
      </c>
      <c r="D18" s="52"/>
      <c r="E18" s="52"/>
      <c r="F18" s="35"/>
      <c r="G18" s="44">
        <v>1250</v>
      </c>
      <c r="H18" s="44"/>
      <c r="I18" s="44"/>
      <c r="J18" s="44"/>
      <c r="K18" s="44"/>
    </row>
    <row r="20" spans="3:15" ht="16" x14ac:dyDescent="0.2">
      <c r="C20" s="51" t="s">
        <v>78</v>
      </c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</row>
    <row r="21" spans="3:15" ht="14" x14ac:dyDescent="0.2">
      <c r="C21" s="52" t="s">
        <v>79</v>
      </c>
      <c r="D21" s="35"/>
      <c r="E21" s="44">
        <v>11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</row>
    <row r="22" spans="3:15" ht="14" x14ac:dyDescent="0.2">
      <c r="C22" s="52" t="s">
        <v>80</v>
      </c>
      <c r="D22" s="35"/>
      <c r="E22" s="45" t="s">
        <v>18</v>
      </c>
      <c r="F22" s="45" t="s">
        <v>2</v>
      </c>
      <c r="G22" s="45" t="s">
        <v>22</v>
      </c>
      <c r="H22" s="45" t="s">
        <v>21</v>
      </c>
      <c r="I22" s="45" t="s">
        <v>43</v>
      </c>
      <c r="J22" s="45" t="s">
        <v>44</v>
      </c>
      <c r="K22" s="45" t="s">
        <v>7</v>
      </c>
      <c r="L22" s="45" t="s">
        <v>6</v>
      </c>
      <c r="M22" s="45" t="s">
        <v>5</v>
      </c>
      <c r="N22" s="45" t="s">
        <v>19</v>
      </c>
      <c r="O22" s="45" t="s">
        <v>20</v>
      </c>
    </row>
    <row r="23" spans="3:15" ht="14" x14ac:dyDescent="0.2">
      <c r="C23" s="52" t="s">
        <v>1806</v>
      </c>
      <c r="D23" s="3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</row>
    <row r="24" spans="3:15" ht="14" x14ac:dyDescent="0.2">
      <c r="C24" s="52" t="s">
        <v>81</v>
      </c>
      <c r="D24" s="35"/>
      <c r="E24" s="46" t="s">
        <v>8</v>
      </c>
      <c r="F24" s="46"/>
      <c r="G24" s="46"/>
      <c r="H24" s="46"/>
      <c r="I24" s="46"/>
      <c r="J24" s="46"/>
      <c r="K24" s="46"/>
      <c r="L24" s="46"/>
      <c r="M24" s="46"/>
      <c r="N24" s="46"/>
      <c r="O24" s="46"/>
    </row>
    <row r="26" spans="3:15" ht="16" x14ac:dyDescent="0.2">
      <c r="C26" s="51" t="s">
        <v>1758</v>
      </c>
      <c r="D26" s="51"/>
      <c r="E26" s="51"/>
      <c r="F26" s="51"/>
      <c r="G26" s="51"/>
      <c r="H26" s="51"/>
      <c r="I26" s="51"/>
    </row>
    <row r="27" spans="3:15" ht="14" x14ac:dyDescent="0.2">
      <c r="C27" s="52" t="s">
        <v>1759</v>
      </c>
      <c r="D27" s="52"/>
      <c r="E27" s="35"/>
      <c r="F27" s="44" t="b">
        <v>0</v>
      </c>
      <c r="G27" s="44"/>
      <c r="H27" s="44"/>
      <c r="I27" s="44"/>
    </row>
    <row r="29" spans="3:15" ht="16" x14ac:dyDescent="0.2">
      <c r="C29" s="51" t="s">
        <v>1807</v>
      </c>
      <c r="D29" s="51"/>
      <c r="E29" s="51"/>
      <c r="F29" s="51"/>
      <c r="G29" s="51"/>
      <c r="H29" s="51"/>
      <c r="I29" s="51"/>
    </row>
    <row r="30" spans="3:15" ht="14" x14ac:dyDescent="0.2">
      <c r="C30" s="52" t="s">
        <v>1808</v>
      </c>
      <c r="D30" s="52"/>
      <c r="E30" s="35"/>
      <c r="F30" s="44" t="b">
        <v>1</v>
      </c>
      <c r="G30" s="44"/>
      <c r="H30" s="44"/>
      <c r="I30" s="44"/>
    </row>
    <row r="32" spans="3:15" ht="16" x14ac:dyDescent="0.2">
      <c r="C32" s="51" t="s">
        <v>1809</v>
      </c>
      <c r="D32" s="51"/>
      <c r="E32" s="51"/>
      <c r="F32" s="51"/>
      <c r="G32" s="51"/>
      <c r="H32" s="51"/>
      <c r="I32" s="51"/>
    </row>
    <row r="33" spans="3:9" ht="14" x14ac:dyDescent="0.2">
      <c r="C33" s="52" t="s">
        <v>1811</v>
      </c>
      <c r="D33" s="52"/>
      <c r="E33" s="35"/>
      <c r="F33" s="44">
        <v>50</v>
      </c>
      <c r="G33" s="44"/>
      <c r="H33" s="44"/>
      <c r="I33" s="44"/>
    </row>
    <row r="34" spans="3:9" ht="14" x14ac:dyDescent="0.2">
      <c r="C34" s="52" t="s">
        <v>1761</v>
      </c>
      <c r="D34" s="52"/>
      <c r="E34" s="35"/>
      <c r="F34" s="44" t="s">
        <v>1764</v>
      </c>
      <c r="G34" s="44"/>
      <c r="H34" s="44"/>
      <c r="I34" s="44"/>
    </row>
    <row r="36" spans="3:9" ht="16" x14ac:dyDescent="0.2">
      <c r="C36" s="51" t="s">
        <v>1812</v>
      </c>
      <c r="D36" s="51"/>
      <c r="E36" s="51"/>
      <c r="F36" s="51"/>
      <c r="G36" s="51"/>
      <c r="H36" s="51"/>
      <c r="I36" s="51"/>
    </row>
    <row r="37" spans="3:9" ht="14" x14ac:dyDescent="0.2">
      <c r="C37" s="52" t="s">
        <v>1763</v>
      </c>
      <c r="D37" s="52"/>
      <c r="E37" s="35"/>
      <c r="F37" s="44">
        <v>2</v>
      </c>
      <c r="G37" s="44"/>
      <c r="H37" s="44"/>
      <c r="I37" s="44"/>
    </row>
    <row r="38" spans="3:9" ht="14" x14ac:dyDescent="0.2">
      <c r="C38" s="52" t="s">
        <v>1741</v>
      </c>
      <c r="D38" s="52"/>
      <c r="E38" s="35"/>
      <c r="F38" s="44">
        <v>1</v>
      </c>
      <c r="G38" s="44"/>
      <c r="H38" s="44"/>
      <c r="I38" s="44"/>
    </row>
    <row r="39" spans="3:9" ht="14" x14ac:dyDescent="0.2">
      <c r="C39" s="52" t="s">
        <v>1742</v>
      </c>
      <c r="D39" s="52"/>
      <c r="E39" s="35"/>
      <c r="F39" s="44">
        <v>0.5</v>
      </c>
      <c r="G39" s="44"/>
      <c r="H39" s="44"/>
      <c r="I39" s="44"/>
    </row>
    <row r="41" spans="3:9" ht="16" x14ac:dyDescent="0.2">
      <c r="C41" s="51" t="s">
        <v>1813</v>
      </c>
      <c r="D41" s="51"/>
      <c r="E41" s="51"/>
      <c r="F41" s="51"/>
      <c r="G41" s="51"/>
      <c r="H41" s="51"/>
      <c r="I41" s="51"/>
    </row>
    <row r="42" spans="3:9" ht="14" x14ac:dyDescent="0.2">
      <c r="C42" s="52" t="s">
        <v>1814</v>
      </c>
      <c r="D42" s="52"/>
      <c r="E42" s="35"/>
      <c r="F42" s="44" t="b">
        <v>0</v>
      </c>
      <c r="G42" s="44"/>
      <c r="H42" s="44"/>
      <c r="I42" s="44"/>
    </row>
    <row r="43" spans="3:9" ht="14" x14ac:dyDescent="0.2">
      <c r="C43" s="52" t="s">
        <v>1815</v>
      </c>
      <c r="D43" s="52"/>
      <c r="E43" s="35"/>
      <c r="F43" s="44" t="b">
        <v>0</v>
      </c>
      <c r="G43" s="44"/>
      <c r="H43" s="44"/>
      <c r="I43" s="44"/>
    </row>
    <row r="44" spans="3:9" ht="14" x14ac:dyDescent="0.2">
      <c r="C44" s="52" t="s">
        <v>1816</v>
      </c>
      <c r="D44" s="52"/>
      <c r="E44" s="35"/>
      <c r="F44" s="44" t="b">
        <v>0</v>
      </c>
      <c r="G44" s="44"/>
      <c r="H44" s="44"/>
      <c r="I44" s="44"/>
    </row>
    <row r="46" spans="3:9" ht="16" x14ac:dyDescent="0.2">
      <c r="C46" s="51" t="s">
        <v>1772</v>
      </c>
      <c r="D46" s="51"/>
      <c r="E46" s="51"/>
      <c r="F46" s="51"/>
      <c r="G46" s="51"/>
    </row>
    <row r="47" spans="3:9" ht="14" x14ac:dyDescent="0.2">
      <c r="C47" s="46" t="s">
        <v>1773</v>
      </c>
      <c r="D47" s="46"/>
      <c r="E47" s="46"/>
      <c r="F47" s="46"/>
      <c r="G47" s="46"/>
    </row>
    <row r="48" spans="3:9" ht="14" x14ac:dyDescent="0.2">
      <c r="C48" s="46" t="s">
        <v>1774</v>
      </c>
      <c r="D48" s="46"/>
      <c r="E48" s="46"/>
      <c r="F48" s="46"/>
      <c r="G48" s="46"/>
    </row>
    <row r="49" spans="2:7" ht="14" x14ac:dyDescent="0.2">
      <c r="C49" s="46" t="s">
        <v>1775</v>
      </c>
      <c r="D49" s="46"/>
      <c r="E49" s="46"/>
      <c r="F49" s="46"/>
      <c r="G49" s="46"/>
    </row>
    <row r="50" spans="2:7" ht="14" x14ac:dyDescent="0.2">
      <c r="C50" s="46" t="s">
        <v>1776</v>
      </c>
      <c r="D50" s="46"/>
      <c r="E50" s="46"/>
      <c r="F50" s="46"/>
      <c r="G50" s="46"/>
    </row>
    <row r="51" spans="2:7" ht="14" x14ac:dyDescent="0.2">
      <c r="C51" s="47" t="s">
        <v>1777</v>
      </c>
      <c r="D51" s="62"/>
      <c r="E51" s="62"/>
      <c r="F51" s="62"/>
      <c r="G51" s="63"/>
    </row>
    <row r="54" spans="2:7" ht="19" x14ac:dyDescent="0.25">
      <c r="B54" s="41" t="s">
        <v>1797</v>
      </c>
    </row>
    <row r="56" spans="2:7" x14ac:dyDescent="0.15">
      <c r="C56" s="43" t="s">
        <v>1734</v>
      </c>
      <c r="D56" t="s">
        <v>1743</v>
      </c>
    </row>
    <row r="57" spans="2:7" x14ac:dyDescent="0.15">
      <c r="C57" s="43" t="s">
        <v>1817</v>
      </c>
      <c r="D57">
        <v>5</v>
      </c>
    </row>
    <row r="58" spans="2:7" x14ac:dyDescent="0.15">
      <c r="C58" s="43" t="s">
        <v>1818</v>
      </c>
      <c r="D58">
        <v>244</v>
      </c>
    </row>
    <row r="59" spans="2:7" x14ac:dyDescent="0.15">
      <c r="C59" s="43" t="s">
        <v>1819</v>
      </c>
      <c r="D59">
        <v>121.76690785619425</v>
      </c>
    </row>
    <row r="60" spans="2:7" x14ac:dyDescent="0.15">
      <c r="C60" s="43" t="s">
        <v>1820</v>
      </c>
      <c r="D60">
        <v>0.65688962088180702</v>
      </c>
    </row>
    <row r="62" spans="2:7" ht="19" x14ac:dyDescent="0.25">
      <c r="B62" s="41" t="s">
        <v>1798</v>
      </c>
    </row>
    <row r="64" spans="2:7" x14ac:dyDescent="0.15">
      <c r="C64" s="43" t="s">
        <v>1821</v>
      </c>
      <c r="D64" t="s">
        <v>1822</v>
      </c>
      <c r="E64" t="s">
        <v>1823</v>
      </c>
    </row>
    <row r="65" spans="3:5" x14ac:dyDescent="0.15">
      <c r="C65" s="43" t="s">
        <v>1824</v>
      </c>
      <c r="D65" s="42">
        <v>3.464422201723083</v>
      </c>
      <c r="E65" t="b">
        <v>1</v>
      </c>
    </row>
    <row r="66" spans="3:5" x14ac:dyDescent="0.15">
      <c r="C66" s="43" t="s">
        <v>18</v>
      </c>
      <c r="D66" s="42">
        <v>243.48227133814615</v>
      </c>
      <c r="E66" t="b">
        <v>1</v>
      </c>
    </row>
    <row r="67" spans="3:5" x14ac:dyDescent="0.15">
      <c r="C67" s="43" t="s">
        <v>2</v>
      </c>
      <c r="D67" s="42">
        <v>1664.7155532976521</v>
      </c>
      <c r="E67" t="b">
        <v>1</v>
      </c>
    </row>
    <row r="68" spans="3:5" x14ac:dyDescent="0.15">
      <c r="C68" s="43" t="s">
        <v>22</v>
      </c>
      <c r="D68" s="42">
        <v>24.278242533096655</v>
      </c>
      <c r="E68" t="b">
        <v>1</v>
      </c>
    </row>
    <row r="69" spans="3:5" x14ac:dyDescent="0.15">
      <c r="C69" s="43" t="s">
        <v>21</v>
      </c>
      <c r="D69" s="42">
        <v>27.573251215117498</v>
      </c>
      <c r="E69" t="b">
        <v>1</v>
      </c>
    </row>
    <row r="70" spans="3:5" x14ac:dyDescent="0.15">
      <c r="C70" s="43" t="s">
        <v>43</v>
      </c>
      <c r="D70" s="42">
        <v>7.5869699855731128</v>
      </c>
      <c r="E70" t="b">
        <v>1</v>
      </c>
    </row>
    <row r="71" spans="3:5" x14ac:dyDescent="0.15">
      <c r="C71" s="43" t="s">
        <v>44</v>
      </c>
      <c r="D71" s="42">
        <v>6.560147823028073</v>
      </c>
      <c r="E71" t="b">
        <v>1</v>
      </c>
    </row>
    <row r="72" spans="3:5" x14ac:dyDescent="0.15">
      <c r="C72" s="43" t="s">
        <v>7</v>
      </c>
      <c r="D72" s="42">
        <v>2555.6830789438663</v>
      </c>
      <c r="E72" t="b">
        <v>1</v>
      </c>
    </row>
    <row r="73" spans="3:5" x14ac:dyDescent="0.15">
      <c r="C73" s="43" t="s">
        <v>6</v>
      </c>
      <c r="D73" s="42">
        <v>5.178464869699412</v>
      </c>
      <c r="E73" t="b">
        <v>1</v>
      </c>
    </row>
    <row r="74" spans="3:5" x14ac:dyDescent="0.15">
      <c r="C74" s="43" t="s">
        <v>5</v>
      </c>
      <c r="D74" s="42">
        <v>4.4503622410983654</v>
      </c>
      <c r="E74" t="b">
        <v>1</v>
      </c>
    </row>
    <row r="75" spans="3:5" x14ac:dyDescent="0.15">
      <c r="C75" s="43" t="s">
        <v>19</v>
      </c>
      <c r="D75" s="42">
        <v>8.0208297190233644</v>
      </c>
      <c r="E75" t="b">
        <v>1</v>
      </c>
    </row>
    <row r="76" spans="3:5" x14ac:dyDescent="0.15">
      <c r="C76" s="43" t="s">
        <v>20</v>
      </c>
      <c r="D76" s="42">
        <v>7.2472972677582863</v>
      </c>
      <c r="E76" t="b">
        <v>1</v>
      </c>
    </row>
    <row r="79" spans="3:5" x14ac:dyDescent="0.15">
      <c r="C79" s="43" t="s">
        <v>1825</v>
      </c>
      <c r="D79" t="s">
        <v>95</v>
      </c>
    </row>
    <row r="80" spans="3:5" x14ac:dyDescent="0.15">
      <c r="C80" s="43" t="s">
        <v>1826</v>
      </c>
      <c r="D80">
        <v>1.4527075093726619E-10</v>
      </c>
    </row>
    <row r="81" spans="2:4" ht="19" x14ac:dyDescent="0.25">
      <c r="B81" s="41" t="s">
        <v>1799</v>
      </c>
    </row>
    <row r="83" spans="2:4" x14ac:dyDescent="0.15">
      <c r="C83" s="43" t="s">
        <v>1821</v>
      </c>
      <c r="D83" t="s">
        <v>1827</v>
      </c>
    </row>
    <row r="84" spans="2:4" x14ac:dyDescent="0.15">
      <c r="C84" s="43" t="s">
        <v>1824</v>
      </c>
      <c r="D84">
        <v>-7.1828619693180675</v>
      </c>
    </row>
    <row r="85" spans="2:4" x14ac:dyDescent="0.15">
      <c r="C85" s="43" t="s">
        <v>18</v>
      </c>
      <c r="D85">
        <v>1.2235344177340682E-2</v>
      </c>
    </row>
    <row r="86" spans="2:4" x14ac:dyDescent="0.15">
      <c r="C86" s="43" t="s">
        <v>2</v>
      </c>
      <c r="D86">
        <v>5.1023299303707866E-2</v>
      </c>
    </row>
    <row r="87" spans="2:4" x14ac:dyDescent="0.15">
      <c r="C87" s="43" t="s">
        <v>22</v>
      </c>
      <c r="D87">
        <v>0.57046350228991027</v>
      </c>
    </row>
    <row r="88" spans="2:4" x14ac:dyDescent="0.15">
      <c r="C88" s="43" t="s">
        <v>21</v>
      </c>
      <c r="D88">
        <v>0.31919104884057437</v>
      </c>
    </row>
    <row r="89" spans="2:4" x14ac:dyDescent="0.15">
      <c r="C89" s="43" t="s">
        <v>43</v>
      </c>
      <c r="D89">
        <v>-2.67717107324528</v>
      </c>
    </row>
    <row r="90" spans="2:4" x14ac:dyDescent="0.15">
      <c r="C90" s="43" t="s">
        <v>44</v>
      </c>
      <c r="D90">
        <v>-0.54440226895223953</v>
      </c>
    </row>
    <row r="91" spans="2:4" x14ac:dyDescent="0.15">
      <c r="C91" s="43" t="s">
        <v>7</v>
      </c>
      <c r="D91">
        <v>9.7945872411900532E-4</v>
      </c>
    </row>
    <row r="92" spans="2:4" x14ac:dyDescent="0.15">
      <c r="C92" s="43" t="s">
        <v>6</v>
      </c>
      <c r="D92">
        <v>-1.5412326785786934</v>
      </c>
    </row>
    <row r="93" spans="2:4" x14ac:dyDescent="0.15">
      <c r="C93" s="43" t="s">
        <v>5</v>
      </c>
      <c r="D93">
        <v>4.1978134210317348</v>
      </c>
    </row>
    <row r="94" spans="2:4" x14ac:dyDescent="0.15">
      <c r="C94" s="43" t="s">
        <v>19</v>
      </c>
      <c r="D94">
        <v>-0.30309196172249325</v>
      </c>
    </row>
    <row r="95" spans="2:4" x14ac:dyDescent="0.15">
      <c r="C95" s="43" t="s">
        <v>20</v>
      </c>
      <c r="D95">
        <v>-0.12678153704421283</v>
      </c>
    </row>
  </sheetData>
  <mergeCells count="65">
    <mergeCell ref="B3:M3"/>
    <mergeCell ref="P3:S3"/>
    <mergeCell ref="B5:C5"/>
    <mergeCell ref="D5:E5"/>
    <mergeCell ref="F5:G5"/>
    <mergeCell ref="H5:I5"/>
    <mergeCell ref="J5:K5"/>
    <mergeCell ref="L5:M5"/>
    <mergeCell ref="B4:C4"/>
    <mergeCell ref="D4:E4"/>
    <mergeCell ref="F4:G4"/>
    <mergeCell ref="H4:I4"/>
    <mergeCell ref="J4:K4"/>
    <mergeCell ref="L4:M4"/>
    <mergeCell ref="C46:G46"/>
    <mergeCell ref="C47:G47"/>
    <mergeCell ref="C48:G48"/>
    <mergeCell ref="C49:G49"/>
    <mergeCell ref="C50:G50"/>
    <mergeCell ref="C51:G51"/>
    <mergeCell ref="C41:I41"/>
    <mergeCell ref="C42:E42"/>
    <mergeCell ref="C43:E43"/>
    <mergeCell ref="C44:E44"/>
    <mergeCell ref="F42:I42"/>
    <mergeCell ref="F43:I43"/>
    <mergeCell ref="F44:I44"/>
    <mergeCell ref="C37:E37"/>
    <mergeCell ref="C38:E38"/>
    <mergeCell ref="C39:E39"/>
    <mergeCell ref="F37:I37"/>
    <mergeCell ref="F38:I38"/>
    <mergeCell ref="F39:I39"/>
    <mergeCell ref="C32:I32"/>
    <mergeCell ref="C33:E33"/>
    <mergeCell ref="C34:E34"/>
    <mergeCell ref="F33:I33"/>
    <mergeCell ref="F34:I34"/>
    <mergeCell ref="C36:I36"/>
    <mergeCell ref="C26:I26"/>
    <mergeCell ref="C27:E27"/>
    <mergeCell ref="F27:I27"/>
    <mergeCell ref="C29:I29"/>
    <mergeCell ref="C30:E30"/>
    <mergeCell ref="F30:I30"/>
    <mergeCell ref="C20:O20"/>
    <mergeCell ref="C21:D21"/>
    <mergeCell ref="C22:D22"/>
    <mergeCell ref="C23:D23"/>
    <mergeCell ref="C24:D24"/>
    <mergeCell ref="E21:O21"/>
    <mergeCell ref="E24:O24"/>
    <mergeCell ref="C18:F18"/>
    <mergeCell ref="G13:K13"/>
    <mergeCell ref="G14:K14"/>
    <mergeCell ref="G15:K15"/>
    <mergeCell ref="G16:K16"/>
    <mergeCell ref="G17:K17"/>
    <mergeCell ref="G18:K18"/>
    <mergeCell ref="C12:K12"/>
    <mergeCell ref="C13:F13"/>
    <mergeCell ref="C14:F14"/>
    <mergeCell ref="C15:F15"/>
    <mergeCell ref="C16:F16"/>
    <mergeCell ref="C17:F17"/>
  </mergeCells>
  <hyperlinks>
    <hyperlink ref="B4" location="'LogReg_Output'!$B$10:$B$10" display="Inputs" xr:uid="{90C63240-C397-7443-98A9-9624675BA766}"/>
    <hyperlink ref="D4" location="'LogReg_Output'!$B$54:$B$54" display="Regression Summary" xr:uid="{91E63ECB-BD59-4143-AABD-E9016EA2BAF4}"/>
    <hyperlink ref="F4" location="'LogReg_Output'!$B$62:$B$62" display="Predictor Screening" xr:uid="{8D2B09E1-4540-2742-9F37-3B9103243984}"/>
    <hyperlink ref="H4" location="'LogReg_Output'!$B$81:$B$81" display="Coefficients" xr:uid="{1AD87B64-E692-0E46-AFA4-B50690327764}"/>
    <hyperlink ref="J4" location="'LogReg_Stored'!$B$10:$B$10" display="PMML Model" xr:uid="{8DF021E3-C507-2B4B-B863-DC0EDA39897B}"/>
    <hyperlink ref="L4" location="'LogReg_TrainingScore'!$B$10:$B$10" display="Training: Classification Summary" xr:uid="{DDFB16EC-A58C-B745-A614-DAA9ED102FA4}"/>
    <hyperlink ref="B5" location="'LogReg_TrainingScore'!$B$34:$B$34" display="Training: Classification Details" xr:uid="{E80CBE12-690C-824A-A4A9-BA3856F09309}"/>
    <hyperlink ref="D5" location="'LogReg_ValidationLiftChart'!$B$10:$B$10" display="Validation: Charts" xr:uid="{E4BAD1A4-AD71-0E45-806E-961D08E16144}"/>
    <hyperlink ref="F5" location="'LogReg_ValidationScore'!$B$10:$B$10" display="Validation: Classification Summary" xr:uid="{E1CB3655-6F66-2A42-B824-99C47109B423}"/>
    <hyperlink ref="H5" location="'LogReg_ValidationScore'!$B$34:$B$34" display="Validation: Classification Details" xr:uid="{B2F42BCC-A21F-A547-9ACB-646FA2A0AE33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E8E6A-0216-FC42-A560-42CD485AF038}">
  <dimension ref="B1:S292"/>
  <sheetViews>
    <sheetView showGridLines="0" workbookViewId="0">
      <selection activeCell="C36" sqref="C36:G292"/>
    </sheetView>
  </sheetViews>
  <sheetFormatPr baseColWidth="10" defaultRowHeight="13" x14ac:dyDescent="0.15"/>
  <cols>
    <col min="3" max="3" width="17" customWidth="1"/>
    <col min="4" max="4" width="15.33203125" customWidth="1"/>
    <col min="5" max="5" width="24.6640625" customWidth="1"/>
    <col min="6" max="7" width="13" customWidth="1"/>
    <col min="16" max="16" width="13.83203125" bestFit="1" customWidth="1"/>
  </cols>
  <sheetData>
    <row r="1" spans="2:19" ht="19" x14ac:dyDescent="0.25">
      <c r="B1" s="40" t="s">
        <v>1804</v>
      </c>
      <c r="N1" t="s">
        <v>1782</v>
      </c>
    </row>
    <row r="3" spans="2:19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P3" s="54" t="s">
        <v>50</v>
      </c>
      <c r="Q3" s="54"/>
      <c r="R3" s="54"/>
      <c r="S3" s="54"/>
    </row>
    <row r="4" spans="2:19" ht="14" x14ac:dyDescent="0.2">
      <c r="B4" s="49" t="s">
        <v>74</v>
      </c>
      <c r="C4" s="49"/>
      <c r="D4" s="49" t="s">
        <v>1797</v>
      </c>
      <c r="E4" s="49"/>
      <c r="F4" s="49" t="s">
        <v>1798</v>
      </c>
      <c r="G4" s="49"/>
      <c r="H4" s="49" t="s">
        <v>1799</v>
      </c>
      <c r="I4" s="49"/>
      <c r="J4" s="49" t="s">
        <v>1605</v>
      </c>
      <c r="K4" s="49"/>
      <c r="L4" s="49" t="s">
        <v>1684</v>
      </c>
      <c r="M4" s="49"/>
      <c r="P4" s="53" t="s">
        <v>86</v>
      </c>
      <c r="Q4" s="53" t="s">
        <v>87</v>
      </c>
      <c r="R4" s="53" t="s">
        <v>52</v>
      </c>
      <c r="S4" s="53" t="s">
        <v>53</v>
      </c>
    </row>
    <row r="5" spans="2:19" ht="14" x14ac:dyDescent="0.2">
      <c r="B5" s="49" t="s">
        <v>1685</v>
      </c>
      <c r="C5" s="49"/>
      <c r="D5" s="49" t="s">
        <v>1686</v>
      </c>
      <c r="E5" s="49"/>
      <c r="F5" s="49" t="s">
        <v>1687</v>
      </c>
      <c r="G5" s="49"/>
      <c r="H5" s="49" t="s">
        <v>1688</v>
      </c>
      <c r="I5" s="49"/>
      <c r="J5" s="56"/>
      <c r="K5" s="56"/>
      <c r="L5" s="56"/>
      <c r="M5" s="56"/>
      <c r="P5" s="45">
        <v>1391</v>
      </c>
      <c r="Q5" s="45">
        <v>40</v>
      </c>
      <c r="R5" s="45">
        <v>116</v>
      </c>
      <c r="S5" s="45">
        <v>1547</v>
      </c>
    </row>
    <row r="10" spans="2:19" ht="19" x14ac:dyDescent="0.25">
      <c r="B10" s="41" t="s">
        <v>1684</v>
      </c>
    </row>
    <row r="12" spans="2:19" ht="16" x14ac:dyDescent="0.2">
      <c r="C12" s="51" t="s">
        <v>1729</v>
      </c>
      <c r="D12" s="51"/>
      <c r="E12" s="51"/>
    </row>
    <row r="13" spans="2:19" x14ac:dyDescent="0.15">
      <c r="C13" s="43" t="s">
        <v>1746</v>
      </c>
      <c r="D13" t="s">
        <v>1750</v>
      </c>
      <c r="E13" t="s">
        <v>1751</v>
      </c>
    </row>
    <row r="14" spans="2:19" x14ac:dyDescent="0.15">
      <c r="C14" s="43">
        <v>0</v>
      </c>
      <c r="D14" s="42">
        <v>118</v>
      </c>
      <c r="E14">
        <v>10</v>
      </c>
    </row>
    <row r="15" spans="2:19" x14ac:dyDescent="0.15">
      <c r="C15" s="43">
        <v>1</v>
      </c>
      <c r="D15" s="42">
        <v>13</v>
      </c>
      <c r="E15">
        <v>115</v>
      </c>
    </row>
    <row r="17" spans="3:6" ht="16" x14ac:dyDescent="0.2">
      <c r="C17" s="51" t="s">
        <v>1730</v>
      </c>
      <c r="D17" s="51"/>
      <c r="E17" s="51"/>
      <c r="F17" s="51"/>
    </row>
    <row r="18" spans="3:6" x14ac:dyDescent="0.15">
      <c r="C18" t="s">
        <v>1731</v>
      </c>
      <c r="D18" t="s">
        <v>1719</v>
      </c>
      <c r="E18" t="s">
        <v>1744</v>
      </c>
      <c r="F18" t="s">
        <v>1745</v>
      </c>
    </row>
    <row r="19" spans="3:6" x14ac:dyDescent="0.15">
      <c r="C19" s="43">
        <v>0</v>
      </c>
      <c r="D19">
        <f>SUM($D$14:$E$14)</f>
        <v>128</v>
      </c>
      <c r="E19">
        <f>SUM($D$14:$E$14) - $D$14</f>
        <v>10</v>
      </c>
      <c r="F19">
        <f>IF($D$19=0,"Undefined",$E$19*100 / $D$19)</f>
        <v>7.8125</v>
      </c>
    </row>
    <row r="20" spans="3:6" x14ac:dyDescent="0.15">
      <c r="C20" s="43">
        <v>1</v>
      </c>
      <c r="D20">
        <f>SUM($D$15:$E$15)</f>
        <v>128</v>
      </c>
      <c r="E20">
        <f>SUM($D$15:$E$15) - $E$15</f>
        <v>13</v>
      </c>
      <c r="F20">
        <f>IF($D$20=0,"Undefined",$E$20*100 / $D$20)</f>
        <v>10.15625</v>
      </c>
    </row>
    <row r="21" spans="3:6" x14ac:dyDescent="0.15">
      <c r="C21" s="43" t="s">
        <v>1732</v>
      </c>
      <c r="D21">
        <f>SUM($D$19:$D$20)</f>
        <v>256</v>
      </c>
      <c r="E21">
        <f>SUM($E$19:$E$20)</f>
        <v>23</v>
      </c>
      <c r="F21">
        <f>IF($D$21=0,"Undefined",$E$21*100 / $D$21)</f>
        <v>8.984375</v>
      </c>
    </row>
    <row r="23" spans="3:6" ht="16" x14ac:dyDescent="0.2">
      <c r="C23" s="51" t="s">
        <v>1733</v>
      </c>
      <c r="D23" s="51"/>
    </row>
    <row r="24" spans="3:6" x14ac:dyDescent="0.15">
      <c r="C24" t="s">
        <v>1734</v>
      </c>
      <c r="D24" t="s">
        <v>1743</v>
      </c>
    </row>
    <row r="25" spans="3:6" x14ac:dyDescent="0.15">
      <c r="C25" t="s">
        <v>1735</v>
      </c>
      <c r="D25">
        <v>233</v>
      </c>
    </row>
    <row r="26" spans="3:6" x14ac:dyDescent="0.15">
      <c r="C26" t="s">
        <v>1736</v>
      </c>
      <c r="D26">
        <v>91.015625</v>
      </c>
    </row>
    <row r="27" spans="3:6" x14ac:dyDescent="0.15">
      <c r="C27" t="s">
        <v>1737</v>
      </c>
      <c r="D27">
        <v>0.921875</v>
      </c>
    </row>
    <row r="28" spans="3:6" x14ac:dyDescent="0.15">
      <c r="C28" t="s">
        <v>1738</v>
      </c>
      <c r="D28">
        <v>0.8984375</v>
      </c>
    </row>
    <row r="29" spans="3:6" x14ac:dyDescent="0.15">
      <c r="C29" t="s">
        <v>1739</v>
      </c>
      <c r="D29">
        <v>0.92</v>
      </c>
    </row>
    <row r="30" spans="3:6" x14ac:dyDescent="0.15">
      <c r="C30" t="s">
        <v>1740</v>
      </c>
      <c r="D30">
        <v>0.90909090909090917</v>
      </c>
    </row>
    <row r="31" spans="3:6" x14ac:dyDescent="0.15">
      <c r="C31" t="s">
        <v>1741</v>
      </c>
      <c r="D31">
        <v>1</v>
      </c>
    </row>
    <row r="32" spans="3:6" x14ac:dyDescent="0.15">
      <c r="C32" t="s">
        <v>1742</v>
      </c>
      <c r="D32">
        <v>0.5</v>
      </c>
    </row>
    <row r="34" spans="2:7" ht="19" x14ac:dyDescent="0.25">
      <c r="B34" s="41" t="s">
        <v>1685</v>
      </c>
    </row>
    <row r="36" spans="2:7" x14ac:dyDescent="0.15">
      <c r="C36" s="43" t="s">
        <v>97</v>
      </c>
      <c r="D36" t="s">
        <v>8</v>
      </c>
      <c r="E36" t="s">
        <v>1747</v>
      </c>
      <c r="F36" t="s">
        <v>1749</v>
      </c>
      <c r="G36" t="s">
        <v>1748</v>
      </c>
    </row>
    <row r="37" spans="2:7" x14ac:dyDescent="0.15">
      <c r="C37" s="43" t="s">
        <v>98</v>
      </c>
      <c r="D37" s="42">
        <v>0</v>
      </c>
      <c r="E37" s="42">
        <v>0</v>
      </c>
      <c r="F37" s="42">
        <v>1.4676380628658654E-2</v>
      </c>
      <c r="G37">
        <v>0.98532361937134139</v>
      </c>
    </row>
    <row r="38" spans="2:7" x14ac:dyDescent="0.15">
      <c r="C38" s="43" t="s">
        <v>99</v>
      </c>
      <c r="D38" s="42">
        <v>0</v>
      </c>
      <c r="E38" s="42">
        <v>0</v>
      </c>
      <c r="F38" s="42">
        <v>4.1299473198423307E-4</v>
      </c>
      <c r="G38">
        <v>0.9995870052680158</v>
      </c>
    </row>
    <row r="39" spans="2:7" x14ac:dyDescent="0.15">
      <c r="C39" s="43" t="s">
        <v>100</v>
      </c>
      <c r="D39" s="42">
        <v>1</v>
      </c>
      <c r="E39" s="42">
        <v>1</v>
      </c>
      <c r="F39" s="42">
        <v>0.99993825460852803</v>
      </c>
      <c r="G39">
        <v>6.1745391471967892E-5</v>
      </c>
    </row>
    <row r="40" spans="2:7" x14ac:dyDescent="0.15">
      <c r="C40" s="43" t="s">
        <v>101</v>
      </c>
      <c r="D40" s="42">
        <v>0</v>
      </c>
      <c r="E40" s="42">
        <v>0</v>
      </c>
      <c r="F40" s="42">
        <v>7.005768384430569E-2</v>
      </c>
      <c r="G40">
        <v>0.92994231615569434</v>
      </c>
    </row>
    <row r="41" spans="2:7" x14ac:dyDescent="0.15">
      <c r="C41" s="43" t="s">
        <v>102</v>
      </c>
      <c r="D41" s="42">
        <v>1</v>
      </c>
      <c r="E41" s="42">
        <v>1</v>
      </c>
      <c r="F41" s="42">
        <v>0.99908750815481973</v>
      </c>
      <c r="G41">
        <v>9.1249184518027437E-4</v>
      </c>
    </row>
    <row r="42" spans="2:7" x14ac:dyDescent="0.15">
      <c r="C42" s="43" t="s">
        <v>103</v>
      </c>
      <c r="D42" s="42">
        <v>0</v>
      </c>
      <c r="E42" s="42">
        <v>0</v>
      </c>
      <c r="F42" s="42">
        <v>2.5872834846767712E-2</v>
      </c>
      <c r="G42">
        <v>0.97412716515323228</v>
      </c>
    </row>
    <row r="43" spans="2:7" x14ac:dyDescent="0.15">
      <c r="C43" s="43" t="s">
        <v>104</v>
      </c>
      <c r="D43" s="42">
        <v>1</v>
      </c>
      <c r="E43" s="42">
        <v>1</v>
      </c>
      <c r="F43" s="42">
        <v>0.999142086610467</v>
      </c>
      <c r="G43">
        <v>8.5791338953300489E-4</v>
      </c>
    </row>
    <row r="44" spans="2:7" x14ac:dyDescent="0.15">
      <c r="C44" s="43" t="s">
        <v>105</v>
      </c>
      <c r="D44" s="42">
        <v>0</v>
      </c>
      <c r="E44" s="42">
        <v>0</v>
      </c>
      <c r="F44" s="42">
        <v>0.15390968117584991</v>
      </c>
      <c r="G44">
        <v>0.84609031882415009</v>
      </c>
    </row>
    <row r="45" spans="2:7" x14ac:dyDescent="0.15">
      <c r="C45" s="43" t="s">
        <v>106</v>
      </c>
      <c r="D45" s="42">
        <v>0</v>
      </c>
      <c r="E45" s="42">
        <v>0</v>
      </c>
      <c r="F45" s="42">
        <v>9.1175058704846421E-2</v>
      </c>
      <c r="G45">
        <v>0.90882494129515357</v>
      </c>
    </row>
    <row r="46" spans="2:7" x14ac:dyDescent="0.15">
      <c r="C46" s="43" t="s">
        <v>107</v>
      </c>
      <c r="D46" s="42">
        <v>0</v>
      </c>
      <c r="E46" s="42">
        <v>0</v>
      </c>
      <c r="F46" s="42">
        <v>9.4083584481814853E-3</v>
      </c>
      <c r="G46">
        <v>0.99059164155181856</v>
      </c>
    </row>
    <row r="47" spans="2:7" x14ac:dyDescent="0.15">
      <c r="C47" s="43" t="s">
        <v>108</v>
      </c>
      <c r="D47" s="42">
        <v>1</v>
      </c>
      <c r="E47" s="42">
        <v>1</v>
      </c>
      <c r="F47" s="42">
        <v>0.96964641909770055</v>
      </c>
      <c r="G47">
        <v>3.0353580902299448E-2</v>
      </c>
    </row>
    <row r="48" spans="2:7" x14ac:dyDescent="0.15">
      <c r="C48" s="43" t="s">
        <v>109</v>
      </c>
      <c r="D48" s="42">
        <v>1</v>
      </c>
      <c r="E48" s="42">
        <v>1</v>
      </c>
      <c r="F48" s="42">
        <v>0.76227411820847024</v>
      </c>
      <c r="G48">
        <v>0.23772588179152976</v>
      </c>
    </row>
    <row r="49" spans="3:7" x14ac:dyDescent="0.15">
      <c r="C49" s="43" t="s">
        <v>110</v>
      </c>
      <c r="D49" s="42">
        <v>1</v>
      </c>
      <c r="E49" s="42">
        <v>1</v>
      </c>
      <c r="F49" s="42">
        <v>0.99870785847019272</v>
      </c>
      <c r="G49">
        <v>1.292141529807278E-3</v>
      </c>
    </row>
    <row r="50" spans="3:7" x14ac:dyDescent="0.15">
      <c r="C50" s="43" t="s">
        <v>111</v>
      </c>
      <c r="D50" s="42">
        <v>1</v>
      </c>
      <c r="E50" s="42">
        <v>1</v>
      </c>
      <c r="F50" s="42">
        <v>0.99303608761532391</v>
      </c>
      <c r="G50">
        <v>6.9639123846760853E-3</v>
      </c>
    </row>
    <row r="51" spans="3:7" x14ac:dyDescent="0.15">
      <c r="C51" s="43" t="s">
        <v>112</v>
      </c>
      <c r="D51" s="42">
        <v>0</v>
      </c>
      <c r="E51" s="42">
        <v>0</v>
      </c>
      <c r="F51" s="42">
        <v>3.9843819032168949E-3</v>
      </c>
      <c r="G51">
        <v>0.99601561809678307</v>
      </c>
    </row>
    <row r="52" spans="3:7" x14ac:dyDescent="0.15">
      <c r="C52" s="43" t="s">
        <v>113</v>
      </c>
      <c r="D52" s="42">
        <v>0</v>
      </c>
      <c r="E52" s="42">
        <v>0</v>
      </c>
      <c r="F52" s="42">
        <v>0.30115805636547555</v>
      </c>
      <c r="G52">
        <v>0.69884194363452445</v>
      </c>
    </row>
    <row r="53" spans="3:7" x14ac:dyDescent="0.15">
      <c r="C53" s="43" t="s">
        <v>114</v>
      </c>
      <c r="D53" s="42">
        <v>1</v>
      </c>
      <c r="E53" s="42">
        <v>1</v>
      </c>
      <c r="F53" s="42">
        <v>0.99955238130757462</v>
      </c>
      <c r="G53">
        <v>4.4761869242537777E-4</v>
      </c>
    </row>
    <row r="54" spans="3:7" x14ac:dyDescent="0.15">
      <c r="C54" s="43" t="s">
        <v>115</v>
      </c>
      <c r="D54" s="42">
        <v>0</v>
      </c>
      <c r="E54" s="42">
        <v>0</v>
      </c>
      <c r="F54" s="42">
        <v>1.0809353856900576E-2</v>
      </c>
      <c r="G54">
        <v>0.98919064614309937</v>
      </c>
    </row>
    <row r="55" spans="3:7" x14ac:dyDescent="0.15">
      <c r="C55" s="43" t="s">
        <v>116</v>
      </c>
      <c r="D55" s="42">
        <v>0</v>
      </c>
      <c r="E55" s="42">
        <v>0</v>
      </c>
      <c r="F55" s="42">
        <v>6.3832090274743031E-3</v>
      </c>
      <c r="G55">
        <v>0.99361679097252564</v>
      </c>
    </row>
    <row r="56" spans="3:7" x14ac:dyDescent="0.15">
      <c r="C56" s="43" t="s">
        <v>117</v>
      </c>
      <c r="D56" s="42">
        <v>1</v>
      </c>
      <c r="E56" s="42">
        <v>1</v>
      </c>
      <c r="F56" s="42">
        <v>0.89608162617019149</v>
      </c>
      <c r="G56">
        <v>0.10391837382980851</v>
      </c>
    </row>
    <row r="57" spans="3:7" x14ac:dyDescent="0.15">
      <c r="C57" s="43" t="s">
        <v>118</v>
      </c>
      <c r="D57" s="42">
        <v>0</v>
      </c>
      <c r="E57" s="42">
        <v>0</v>
      </c>
      <c r="F57" s="42">
        <v>2.1250668427081777E-3</v>
      </c>
      <c r="G57">
        <v>0.99787493315729181</v>
      </c>
    </row>
    <row r="58" spans="3:7" x14ac:dyDescent="0.15">
      <c r="C58" s="43" t="s">
        <v>119</v>
      </c>
      <c r="D58" s="42">
        <v>0</v>
      </c>
      <c r="E58" s="42">
        <v>0</v>
      </c>
      <c r="F58" s="42">
        <v>0.23828403362875425</v>
      </c>
      <c r="G58">
        <v>0.76171596637124572</v>
      </c>
    </row>
    <row r="59" spans="3:7" x14ac:dyDescent="0.15">
      <c r="C59" s="43" t="s">
        <v>120</v>
      </c>
      <c r="D59" s="42">
        <v>0</v>
      </c>
      <c r="E59" s="42">
        <v>0</v>
      </c>
      <c r="F59" s="42">
        <v>7.9901316479985256E-3</v>
      </c>
      <c r="G59">
        <v>0.99200986835200144</v>
      </c>
    </row>
    <row r="60" spans="3:7" x14ac:dyDescent="0.15">
      <c r="C60" s="43" t="s">
        <v>121</v>
      </c>
      <c r="D60" s="42">
        <v>1</v>
      </c>
      <c r="E60" s="42">
        <v>1</v>
      </c>
      <c r="F60" s="42">
        <v>0.99972833676031114</v>
      </c>
      <c r="G60">
        <v>2.7166323968885742E-4</v>
      </c>
    </row>
    <row r="61" spans="3:7" x14ac:dyDescent="0.15">
      <c r="C61" s="43" t="s">
        <v>122</v>
      </c>
      <c r="D61" s="42">
        <v>0</v>
      </c>
      <c r="E61" s="42">
        <v>0</v>
      </c>
      <c r="F61" s="42">
        <v>9.1901189356245732E-3</v>
      </c>
      <c r="G61">
        <v>0.9908098810643754</v>
      </c>
    </row>
    <row r="62" spans="3:7" x14ac:dyDescent="0.15">
      <c r="C62" s="43" t="s">
        <v>123</v>
      </c>
      <c r="D62" s="42">
        <v>0</v>
      </c>
      <c r="E62" s="42">
        <v>0</v>
      </c>
      <c r="F62" s="42">
        <v>2.3379882562257127E-2</v>
      </c>
      <c r="G62">
        <v>0.97662011743774291</v>
      </c>
    </row>
    <row r="63" spans="3:7" x14ac:dyDescent="0.15">
      <c r="C63" s="43" t="s">
        <v>124</v>
      </c>
      <c r="D63" s="42">
        <v>1</v>
      </c>
      <c r="E63" s="42">
        <v>1</v>
      </c>
      <c r="F63" s="42">
        <v>0.8249618140645667</v>
      </c>
      <c r="G63">
        <v>0.1750381859354333</v>
      </c>
    </row>
    <row r="64" spans="3:7" x14ac:dyDescent="0.15">
      <c r="C64" s="61" t="s">
        <v>125</v>
      </c>
      <c r="D64" s="60">
        <v>1</v>
      </c>
      <c r="E64" s="60">
        <v>0</v>
      </c>
      <c r="F64" s="60">
        <v>0.46028937233297534</v>
      </c>
      <c r="G64" s="59">
        <v>0.53971062766702471</v>
      </c>
    </row>
    <row r="65" spans="3:7" x14ac:dyDescent="0.15">
      <c r="C65" s="43" t="s">
        <v>126</v>
      </c>
      <c r="D65" s="42">
        <v>1</v>
      </c>
      <c r="E65" s="42">
        <v>1</v>
      </c>
      <c r="F65" s="42">
        <v>0.99630995041450099</v>
      </c>
      <c r="G65">
        <v>3.6900495854990112E-3</v>
      </c>
    </row>
    <row r="66" spans="3:7" x14ac:dyDescent="0.15">
      <c r="C66" s="43" t="s">
        <v>127</v>
      </c>
      <c r="D66" s="42">
        <v>1</v>
      </c>
      <c r="E66" s="42">
        <v>1</v>
      </c>
      <c r="F66" s="42">
        <v>0.90920440281813009</v>
      </c>
      <c r="G66">
        <v>9.0795597181869914E-2</v>
      </c>
    </row>
    <row r="67" spans="3:7" x14ac:dyDescent="0.15">
      <c r="C67" s="43" t="s">
        <v>128</v>
      </c>
      <c r="D67" s="42">
        <v>0</v>
      </c>
      <c r="E67" s="42">
        <v>0</v>
      </c>
      <c r="F67" s="42">
        <v>2.1812046643739945E-2</v>
      </c>
      <c r="G67">
        <v>0.97818795335626008</v>
      </c>
    </row>
    <row r="68" spans="3:7" x14ac:dyDescent="0.15">
      <c r="C68" s="43" t="s">
        <v>129</v>
      </c>
      <c r="D68" s="42">
        <v>0</v>
      </c>
      <c r="E68" s="42">
        <v>0</v>
      </c>
      <c r="F68" s="42">
        <v>0.1505307771462302</v>
      </c>
      <c r="G68">
        <v>0.8494692228537698</v>
      </c>
    </row>
    <row r="69" spans="3:7" x14ac:dyDescent="0.15">
      <c r="C69" s="43" t="s">
        <v>130</v>
      </c>
      <c r="D69" s="42">
        <v>0</v>
      </c>
      <c r="E69" s="42">
        <v>0</v>
      </c>
      <c r="F69" s="42">
        <v>5.2800265659258092E-2</v>
      </c>
      <c r="G69">
        <v>0.94719973434074189</v>
      </c>
    </row>
    <row r="70" spans="3:7" x14ac:dyDescent="0.15">
      <c r="C70" s="43" t="s">
        <v>131</v>
      </c>
      <c r="D70" s="42">
        <v>1</v>
      </c>
      <c r="E70" s="42">
        <v>1</v>
      </c>
      <c r="F70" s="42">
        <v>0.98475333445538005</v>
      </c>
      <c r="G70">
        <v>1.5246665544619953E-2</v>
      </c>
    </row>
    <row r="71" spans="3:7" x14ac:dyDescent="0.15">
      <c r="C71" s="43" t="s">
        <v>132</v>
      </c>
      <c r="D71" s="42">
        <v>0</v>
      </c>
      <c r="E71" s="42">
        <v>0</v>
      </c>
      <c r="F71" s="42">
        <v>9.6919678290660768E-2</v>
      </c>
      <c r="G71">
        <v>0.90308032170933927</v>
      </c>
    </row>
    <row r="72" spans="3:7" x14ac:dyDescent="0.15">
      <c r="C72" s="43" t="s">
        <v>133</v>
      </c>
      <c r="D72" s="42">
        <v>0</v>
      </c>
      <c r="E72" s="42">
        <v>0</v>
      </c>
      <c r="F72" s="42">
        <v>1.6143395782724503E-3</v>
      </c>
      <c r="G72">
        <v>0.99838566042172749</v>
      </c>
    </row>
    <row r="73" spans="3:7" x14ac:dyDescent="0.15">
      <c r="C73" s="43" t="s">
        <v>134</v>
      </c>
      <c r="D73" s="42">
        <v>1</v>
      </c>
      <c r="E73" s="42">
        <v>1</v>
      </c>
      <c r="F73" s="42">
        <v>0.99784215026558687</v>
      </c>
      <c r="G73">
        <v>2.1578497344131309E-3</v>
      </c>
    </row>
    <row r="74" spans="3:7" x14ac:dyDescent="0.15">
      <c r="C74" s="61" t="s">
        <v>135</v>
      </c>
      <c r="D74" s="60">
        <v>0</v>
      </c>
      <c r="E74" s="60">
        <v>1</v>
      </c>
      <c r="F74" s="60">
        <v>0.66292491330818815</v>
      </c>
      <c r="G74" s="59">
        <v>0.33707508669181185</v>
      </c>
    </row>
    <row r="75" spans="3:7" x14ac:dyDescent="0.15">
      <c r="C75" s="43" t="s">
        <v>136</v>
      </c>
      <c r="D75" s="42">
        <v>0</v>
      </c>
      <c r="E75" s="42">
        <v>0</v>
      </c>
      <c r="F75" s="42">
        <v>7.1656149942087568E-3</v>
      </c>
      <c r="G75">
        <v>0.99283438500579124</v>
      </c>
    </row>
    <row r="76" spans="3:7" x14ac:dyDescent="0.15">
      <c r="C76" s="43" t="s">
        <v>137</v>
      </c>
      <c r="D76" s="42">
        <v>0</v>
      </c>
      <c r="E76" s="42">
        <v>0</v>
      </c>
      <c r="F76" s="42">
        <v>2.6010372771082847E-2</v>
      </c>
      <c r="G76">
        <v>0.97398962722891713</v>
      </c>
    </row>
    <row r="77" spans="3:7" x14ac:dyDescent="0.15">
      <c r="C77" s="43" t="s">
        <v>138</v>
      </c>
      <c r="D77" s="42">
        <v>1</v>
      </c>
      <c r="E77" s="42">
        <v>1</v>
      </c>
      <c r="F77" s="42">
        <v>0.99827323427023196</v>
      </c>
      <c r="G77">
        <v>1.7267657297680428E-3</v>
      </c>
    </row>
    <row r="78" spans="3:7" x14ac:dyDescent="0.15">
      <c r="C78" s="43" t="s">
        <v>139</v>
      </c>
      <c r="D78" s="42">
        <v>1</v>
      </c>
      <c r="E78" s="42">
        <v>1</v>
      </c>
      <c r="F78" s="42">
        <v>0.96126715153524933</v>
      </c>
      <c r="G78">
        <v>3.8732848464750669E-2</v>
      </c>
    </row>
    <row r="79" spans="3:7" x14ac:dyDescent="0.15">
      <c r="C79" s="43" t="s">
        <v>140</v>
      </c>
      <c r="D79" s="42">
        <v>1</v>
      </c>
      <c r="E79" s="42">
        <v>1</v>
      </c>
      <c r="F79" s="42">
        <v>0.99968866994102668</v>
      </c>
      <c r="G79">
        <v>3.1133005897332477E-4</v>
      </c>
    </row>
    <row r="80" spans="3:7" x14ac:dyDescent="0.15">
      <c r="C80" s="43" t="s">
        <v>141</v>
      </c>
      <c r="D80" s="42">
        <v>1</v>
      </c>
      <c r="E80" s="42">
        <v>1</v>
      </c>
      <c r="F80" s="42">
        <v>0.86153806919142706</v>
      </c>
      <c r="G80">
        <v>0.13846193080857294</v>
      </c>
    </row>
    <row r="81" spans="3:7" x14ac:dyDescent="0.15">
      <c r="C81" s="61" t="s">
        <v>142</v>
      </c>
      <c r="D81" s="60">
        <v>1</v>
      </c>
      <c r="E81" s="60">
        <v>0</v>
      </c>
      <c r="F81" s="60">
        <v>0.45751459972921094</v>
      </c>
      <c r="G81" s="59">
        <v>0.54248540027078906</v>
      </c>
    </row>
    <row r="82" spans="3:7" x14ac:dyDescent="0.15">
      <c r="C82" s="61" t="s">
        <v>143</v>
      </c>
      <c r="D82" s="60">
        <v>1</v>
      </c>
      <c r="E82" s="60">
        <v>0</v>
      </c>
      <c r="F82" s="60">
        <v>0.48410580220275518</v>
      </c>
      <c r="G82" s="59">
        <v>0.51589419779724488</v>
      </c>
    </row>
    <row r="83" spans="3:7" x14ac:dyDescent="0.15">
      <c r="C83" s="43" t="s">
        <v>144</v>
      </c>
      <c r="D83" s="42">
        <v>0</v>
      </c>
      <c r="E83" s="42">
        <v>0</v>
      </c>
      <c r="F83" s="42">
        <v>8.9823187597749766E-4</v>
      </c>
      <c r="G83">
        <v>0.99910176812402252</v>
      </c>
    </row>
    <row r="84" spans="3:7" x14ac:dyDescent="0.15">
      <c r="C84" s="43" t="s">
        <v>145</v>
      </c>
      <c r="D84" s="42">
        <v>1</v>
      </c>
      <c r="E84" s="42">
        <v>1</v>
      </c>
      <c r="F84" s="42">
        <v>0.63394814411920919</v>
      </c>
      <c r="G84">
        <v>0.36605185588079081</v>
      </c>
    </row>
    <row r="85" spans="3:7" x14ac:dyDescent="0.15">
      <c r="C85" s="43" t="s">
        <v>146</v>
      </c>
      <c r="D85" s="42">
        <v>0</v>
      </c>
      <c r="E85" s="42">
        <v>0</v>
      </c>
      <c r="F85" s="42">
        <v>4.3904001096488399E-2</v>
      </c>
      <c r="G85">
        <v>0.9560959989035116</v>
      </c>
    </row>
    <row r="86" spans="3:7" x14ac:dyDescent="0.15">
      <c r="C86" s="43" t="s">
        <v>147</v>
      </c>
      <c r="D86" s="42">
        <v>1</v>
      </c>
      <c r="E86" s="42">
        <v>1</v>
      </c>
      <c r="F86" s="42">
        <v>0.91954449335331712</v>
      </c>
      <c r="G86">
        <v>8.0455506646682884E-2</v>
      </c>
    </row>
    <row r="87" spans="3:7" x14ac:dyDescent="0.15">
      <c r="C87" s="43" t="s">
        <v>148</v>
      </c>
      <c r="D87" s="42">
        <v>0</v>
      </c>
      <c r="E87" s="42">
        <v>0</v>
      </c>
      <c r="F87" s="42">
        <v>0.10383512717940627</v>
      </c>
      <c r="G87">
        <v>0.89616487282059376</v>
      </c>
    </row>
    <row r="88" spans="3:7" x14ac:dyDescent="0.15">
      <c r="C88" s="43" t="s">
        <v>149</v>
      </c>
      <c r="D88" s="42">
        <v>0</v>
      </c>
      <c r="E88" s="42">
        <v>0</v>
      </c>
      <c r="F88" s="42">
        <v>0.1691927560964161</v>
      </c>
      <c r="G88">
        <v>0.83080724390358385</v>
      </c>
    </row>
    <row r="89" spans="3:7" x14ac:dyDescent="0.15">
      <c r="C89" s="61" t="s">
        <v>150</v>
      </c>
      <c r="D89" s="60">
        <v>1</v>
      </c>
      <c r="E89" s="60">
        <v>0</v>
      </c>
      <c r="F89" s="60">
        <v>0.15948811877569352</v>
      </c>
      <c r="G89" s="59">
        <v>0.84051188122430642</v>
      </c>
    </row>
    <row r="90" spans="3:7" x14ac:dyDescent="0.15">
      <c r="C90" s="43" t="s">
        <v>151</v>
      </c>
      <c r="D90" s="42">
        <v>0</v>
      </c>
      <c r="E90" s="42">
        <v>0</v>
      </c>
      <c r="F90" s="42">
        <v>1.12951347796824E-2</v>
      </c>
      <c r="G90">
        <v>0.98870486522031764</v>
      </c>
    </row>
    <row r="91" spans="3:7" x14ac:dyDescent="0.15">
      <c r="C91" s="43" t="s">
        <v>152</v>
      </c>
      <c r="D91" s="42">
        <v>0</v>
      </c>
      <c r="E91" s="42">
        <v>0</v>
      </c>
      <c r="F91" s="42">
        <v>4.4893342853036741E-2</v>
      </c>
      <c r="G91">
        <v>0.9551066571469633</v>
      </c>
    </row>
    <row r="92" spans="3:7" x14ac:dyDescent="0.15">
      <c r="C92" s="43" t="s">
        <v>153</v>
      </c>
      <c r="D92" s="42">
        <v>0</v>
      </c>
      <c r="E92" s="42">
        <v>0</v>
      </c>
      <c r="F92" s="42">
        <v>0.11469037650572966</v>
      </c>
      <c r="G92">
        <v>0.88530962349427034</v>
      </c>
    </row>
    <row r="93" spans="3:7" x14ac:dyDescent="0.15">
      <c r="C93" s="43" t="s">
        <v>154</v>
      </c>
      <c r="D93" s="42">
        <v>1</v>
      </c>
      <c r="E93" s="42">
        <v>1</v>
      </c>
      <c r="F93" s="42">
        <v>0.96166560971378012</v>
      </c>
      <c r="G93">
        <v>3.8334390286219877E-2</v>
      </c>
    </row>
    <row r="94" spans="3:7" x14ac:dyDescent="0.15">
      <c r="C94" s="43" t="s">
        <v>155</v>
      </c>
      <c r="D94" s="42">
        <v>0</v>
      </c>
      <c r="E94" s="42">
        <v>0</v>
      </c>
      <c r="F94" s="42">
        <v>2.5810266113129251E-2</v>
      </c>
      <c r="G94">
        <v>0.9741897338868708</v>
      </c>
    </row>
    <row r="95" spans="3:7" x14ac:dyDescent="0.15">
      <c r="C95" s="43" t="s">
        <v>156</v>
      </c>
      <c r="D95" s="42">
        <v>0</v>
      </c>
      <c r="E95" s="42">
        <v>0</v>
      </c>
      <c r="F95" s="42">
        <v>1.9304322166783568E-2</v>
      </c>
      <c r="G95">
        <v>0.98069567783321643</v>
      </c>
    </row>
    <row r="96" spans="3:7" x14ac:dyDescent="0.15">
      <c r="C96" s="43" t="s">
        <v>157</v>
      </c>
      <c r="D96" s="42">
        <v>0</v>
      </c>
      <c r="E96" s="42">
        <v>0</v>
      </c>
      <c r="F96" s="42">
        <v>6.4371642859599079E-2</v>
      </c>
      <c r="G96">
        <v>0.93562835714040093</v>
      </c>
    </row>
    <row r="97" spans="3:7" x14ac:dyDescent="0.15">
      <c r="C97" s="43" t="s">
        <v>158</v>
      </c>
      <c r="D97" s="42">
        <v>1</v>
      </c>
      <c r="E97" s="42">
        <v>1</v>
      </c>
      <c r="F97" s="42">
        <v>0.90067015468358569</v>
      </c>
      <c r="G97">
        <v>9.9329845316414311E-2</v>
      </c>
    </row>
    <row r="98" spans="3:7" x14ac:dyDescent="0.15">
      <c r="C98" s="43" t="s">
        <v>159</v>
      </c>
      <c r="D98" s="42">
        <v>1</v>
      </c>
      <c r="E98" s="42">
        <v>1</v>
      </c>
      <c r="F98" s="42">
        <v>0.96295765689537738</v>
      </c>
      <c r="G98">
        <v>3.7042343104622621E-2</v>
      </c>
    </row>
    <row r="99" spans="3:7" x14ac:dyDescent="0.15">
      <c r="C99" s="43" t="s">
        <v>160</v>
      </c>
      <c r="D99" s="42">
        <v>1</v>
      </c>
      <c r="E99" s="42">
        <v>1</v>
      </c>
      <c r="F99" s="42">
        <v>0.99763375423551215</v>
      </c>
      <c r="G99">
        <v>2.366245764487851E-3</v>
      </c>
    </row>
    <row r="100" spans="3:7" x14ac:dyDescent="0.15">
      <c r="C100" s="43" t="s">
        <v>161</v>
      </c>
      <c r="D100" s="42">
        <v>0</v>
      </c>
      <c r="E100" s="42">
        <v>0</v>
      </c>
      <c r="F100" s="42">
        <v>3.315524584234289E-2</v>
      </c>
      <c r="G100">
        <v>0.96684475415765714</v>
      </c>
    </row>
    <row r="101" spans="3:7" x14ac:dyDescent="0.15">
      <c r="C101" s="43" t="s">
        <v>162</v>
      </c>
      <c r="D101" s="42">
        <v>1</v>
      </c>
      <c r="E101" s="42">
        <v>1</v>
      </c>
      <c r="F101" s="42">
        <v>0.67308086309782222</v>
      </c>
      <c r="G101">
        <v>0.32691913690217778</v>
      </c>
    </row>
    <row r="102" spans="3:7" x14ac:dyDescent="0.15">
      <c r="C102" s="43" t="s">
        <v>163</v>
      </c>
      <c r="D102" s="42">
        <v>0</v>
      </c>
      <c r="E102" s="42">
        <v>0</v>
      </c>
      <c r="F102" s="42">
        <v>1.7481117449020572E-2</v>
      </c>
      <c r="G102">
        <v>0.98251888255097941</v>
      </c>
    </row>
    <row r="103" spans="3:7" x14ac:dyDescent="0.15">
      <c r="C103" s="43" t="s">
        <v>164</v>
      </c>
      <c r="D103" s="42">
        <v>1</v>
      </c>
      <c r="E103" s="42">
        <v>1</v>
      </c>
      <c r="F103" s="42">
        <v>0.69800913663050501</v>
      </c>
      <c r="G103">
        <v>0.30199086336949499</v>
      </c>
    </row>
    <row r="104" spans="3:7" x14ac:dyDescent="0.15">
      <c r="C104" s="43" t="s">
        <v>165</v>
      </c>
      <c r="D104" s="42">
        <v>1</v>
      </c>
      <c r="E104" s="42">
        <v>1</v>
      </c>
      <c r="F104" s="42">
        <v>0.98720262789050506</v>
      </c>
      <c r="G104">
        <v>1.2797372109494942E-2</v>
      </c>
    </row>
    <row r="105" spans="3:7" x14ac:dyDescent="0.15">
      <c r="C105" s="43" t="s">
        <v>166</v>
      </c>
      <c r="D105" s="42">
        <v>1</v>
      </c>
      <c r="E105" s="42">
        <v>1</v>
      </c>
      <c r="F105" s="42">
        <v>0.68169135245300527</v>
      </c>
      <c r="G105">
        <v>0.31830864754699473</v>
      </c>
    </row>
    <row r="106" spans="3:7" x14ac:dyDescent="0.15">
      <c r="C106" s="43" t="s">
        <v>167</v>
      </c>
      <c r="D106" s="42">
        <v>0</v>
      </c>
      <c r="E106" s="42">
        <v>0</v>
      </c>
      <c r="F106" s="42">
        <v>9.6844840636940335E-2</v>
      </c>
      <c r="G106">
        <v>0.90315515936305968</v>
      </c>
    </row>
    <row r="107" spans="3:7" x14ac:dyDescent="0.15">
      <c r="C107" s="43" t="s">
        <v>168</v>
      </c>
      <c r="D107" s="42">
        <v>0</v>
      </c>
      <c r="E107" s="42">
        <v>0</v>
      </c>
      <c r="F107" s="42">
        <v>9.9937024142907529E-3</v>
      </c>
      <c r="G107">
        <v>0.99000629758570924</v>
      </c>
    </row>
    <row r="108" spans="3:7" x14ac:dyDescent="0.15">
      <c r="C108" s="43" t="s">
        <v>169</v>
      </c>
      <c r="D108" s="42">
        <v>1</v>
      </c>
      <c r="E108" s="42">
        <v>1</v>
      </c>
      <c r="F108" s="42">
        <v>0.99958906376698964</v>
      </c>
      <c r="G108">
        <v>4.1093623301036164E-4</v>
      </c>
    </row>
    <row r="109" spans="3:7" x14ac:dyDescent="0.15">
      <c r="C109" s="43" t="s">
        <v>170</v>
      </c>
      <c r="D109" s="42">
        <v>1</v>
      </c>
      <c r="E109" s="42">
        <v>1</v>
      </c>
      <c r="F109" s="42">
        <v>0.99851261685912041</v>
      </c>
      <c r="G109">
        <v>1.4873831408795946E-3</v>
      </c>
    </row>
    <row r="110" spans="3:7" x14ac:dyDescent="0.15">
      <c r="C110" s="43" t="s">
        <v>171</v>
      </c>
      <c r="D110" s="42">
        <v>1</v>
      </c>
      <c r="E110" s="42">
        <v>1</v>
      </c>
      <c r="F110" s="42">
        <v>0.98017452929734461</v>
      </c>
      <c r="G110">
        <v>1.982547070265539E-2</v>
      </c>
    </row>
    <row r="111" spans="3:7" x14ac:dyDescent="0.15">
      <c r="C111" s="43" t="s">
        <v>172</v>
      </c>
      <c r="D111" s="42">
        <v>1</v>
      </c>
      <c r="E111" s="42">
        <v>1</v>
      </c>
      <c r="F111" s="42">
        <v>0.98391206965599942</v>
      </c>
      <c r="G111">
        <v>1.6087930344000578E-2</v>
      </c>
    </row>
    <row r="112" spans="3:7" x14ac:dyDescent="0.15">
      <c r="C112" s="43" t="s">
        <v>173</v>
      </c>
      <c r="D112" s="42">
        <v>0</v>
      </c>
      <c r="E112" s="42">
        <v>0</v>
      </c>
      <c r="F112" s="42">
        <v>7.3709804547028275E-3</v>
      </c>
      <c r="G112">
        <v>0.99262901954529714</v>
      </c>
    </row>
    <row r="113" spans="3:7" x14ac:dyDescent="0.15">
      <c r="C113" s="43" t="s">
        <v>174</v>
      </c>
      <c r="D113" s="42">
        <v>0</v>
      </c>
      <c r="E113" s="42">
        <v>0</v>
      </c>
      <c r="F113" s="42">
        <v>1.8562234393482851E-3</v>
      </c>
      <c r="G113">
        <v>0.99814377656065167</v>
      </c>
    </row>
    <row r="114" spans="3:7" x14ac:dyDescent="0.15">
      <c r="C114" s="43" t="s">
        <v>175</v>
      </c>
      <c r="D114" s="42">
        <v>0</v>
      </c>
      <c r="E114" s="42">
        <v>0</v>
      </c>
      <c r="F114" s="42">
        <v>8.9553829626029633E-4</v>
      </c>
      <c r="G114">
        <v>0.99910446170373968</v>
      </c>
    </row>
    <row r="115" spans="3:7" x14ac:dyDescent="0.15">
      <c r="C115" s="43" t="s">
        <v>176</v>
      </c>
      <c r="D115" s="42">
        <v>0</v>
      </c>
      <c r="E115" s="42">
        <v>0</v>
      </c>
      <c r="F115" s="42">
        <v>0.3047796314054112</v>
      </c>
      <c r="G115">
        <v>0.6952203685945888</v>
      </c>
    </row>
    <row r="116" spans="3:7" x14ac:dyDescent="0.15">
      <c r="C116" s="43" t="s">
        <v>177</v>
      </c>
      <c r="D116" s="42">
        <v>1</v>
      </c>
      <c r="E116" s="42">
        <v>1</v>
      </c>
      <c r="F116" s="42">
        <v>0.99901802935379058</v>
      </c>
      <c r="G116">
        <v>9.8197064620941799E-4</v>
      </c>
    </row>
    <row r="117" spans="3:7" x14ac:dyDescent="0.15">
      <c r="C117" s="43" t="s">
        <v>178</v>
      </c>
      <c r="D117" s="42">
        <v>1</v>
      </c>
      <c r="E117" s="42">
        <v>1</v>
      </c>
      <c r="F117" s="42">
        <v>0.95937107525940313</v>
      </c>
      <c r="G117">
        <v>4.0628924740596872E-2</v>
      </c>
    </row>
    <row r="118" spans="3:7" x14ac:dyDescent="0.15">
      <c r="C118" s="43" t="s">
        <v>179</v>
      </c>
      <c r="D118" s="42">
        <v>0</v>
      </c>
      <c r="E118" s="42">
        <v>0</v>
      </c>
      <c r="F118" s="42">
        <v>0.13078369407040494</v>
      </c>
      <c r="G118">
        <v>0.86921630592959509</v>
      </c>
    </row>
    <row r="119" spans="3:7" x14ac:dyDescent="0.15">
      <c r="C119" s="43" t="s">
        <v>180</v>
      </c>
      <c r="D119" s="42">
        <v>1</v>
      </c>
      <c r="E119" s="42">
        <v>1</v>
      </c>
      <c r="F119" s="42">
        <v>0.98970819045223402</v>
      </c>
      <c r="G119">
        <v>1.0291809547765984E-2</v>
      </c>
    </row>
    <row r="120" spans="3:7" x14ac:dyDescent="0.15">
      <c r="C120" s="43" t="s">
        <v>181</v>
      </c>
      <c r="D120" s="42">
        <v>0</v>
      </c>
      <c r="E120" s="42">
        <v>0</v>
      </c>
      <c r="F120" s="42">
        <v>2.8942312834129649E-2</v>
      </c>
      <c r="G120">
        <v>0.97105768716587038</v>
      </c>
    </row>
    <row r="121" spans="3:7" x14ac:dyDescent="0.15">
      <c r="C121" s="43" t="s">
        <v>182</v>
      </c>
      <c r="D121" s="42">
        <v>0</v>
      </c>
      <c r="E121" s="42">
        <v>0</v>
      </c>
      <c r="F121" s="42">
        <v>0.14775069770795252</v>
      </c>
      <c r="G121">
        <v>0.85224930229204743</v>
      </c>
    </row>
    <row r="122" spans="3:7" x14ac:dyDescent="0.15">
      <c r="C122" s="43" t="s">
        <v>183</v>
      </c>
      <c r="D122" s="42">
        <v>1</v>
      </c>
      <c r="E122" s="42">
        <v>1</v>
      </c>
      <c r="F122" s="42">
        <v>0.99927285611646988</v>
      </c>
      <c r="G122">
        <v>7.271438835301236E-4</v>
      </c>
    </row>
    <row r="123" spans="3:7" x14ac:dyDescent="0.15">
      <c r="C123" s="43" t="s">
        <v>184</v>
      </c>
      <c r="D123" s="42">
        <v>1</v>
      </c>
      <c r="E123" s="42">
        <v>1</v>
      </c>
      <c r="F123" s="42">
        <v>0.78006964144459356</v>
      </c>
      <c r="G123">
        <v>0.21993035855540644</v>
      </c>
    </row>
    <row r="124" spans="3:7" x14ac:dyDescent="0.15">
      <c r="C124" s="43" t="s">
        <v>185</v>
      </c>
      <c r="D124" s="42">
        <v>1</v>
      </c>
      <c r="E124" s="42">
        <v>1</v>
      </c>
      <c r="F124" s="42">
        <v>0.9182382228604703</v>
      </c>
      <c r="G124">
        <v>8.1761777139529701E-2</v>
      </c>
    </row>
    <row r="125" spans="3:7" x14ac:dyDescent="0.15">
      <c r="C125" s="43" t="s">
        <v>186</v>
      </c>
      <c r="D125" s="42">
        <v>0</v>
      </c>
      <c r="E125" s="42">
        <v>0</v>
      </c>
      <c r="F125" s="42">
        <v>4.9022903671172384E-4</v>
      </c>
      <c r="G125">
        <v>0.9995097709632883</v>
      </c>
    </row>
    <row r="126" spans="3:7" x14ac:dyDescent="0.15">
      <c r="C126" s="43" t="s">
        <v>187</v>
      </c>
      <c r="D126" s="42">
        <v>1</v>
      </c>
      <c r="E126" s="42">
        <v>1</v>
      </c>
      <c r="F126" s="42">
        <v>0.93332821628472507</v>
      </c>
      <c r="G126">
        <v>6.6671783715274935E-2</v>
      </c>
    </row>
    <row r="127" spans="3:7" x14ac:dyDescent="0.15">
      <c r="C127" s="43" t="s">
        <v>188</v>
      </c>
      <c r="D127" s="42">
        <v>1</v>
      </c>
      <c r="E127" s="42">
        <v>1</v>
      </c>
      <c r="F127" s="42">
        <v>0.93991202809514596</v>
      </c>
      <c r="G127">
        <v>6.0087971904854043E-2</v>
      </c>
    </row>
    <row r="128" spans="3:7" x14ac:dyDescent="0.15">
      <c r="C128" s="61" t="s">
        <v>189</v>
      </c>
      <c r="D128" s="60">
        <v>1</v>
      </c>
      <c r="E128" s="60">
        <v>0</v>
      </c>
      <c r="F128" s="60">
        <v>9.4441198271102741E-2</v>
      </c>
      <c r="G128" s="59">
        <v>0.90555880172889724</v>
      </c>
    </row>
    <row r="129" spans="3:7" x14ac:dyDescent="0.15">
      <c r="C129" s="43" t="s">
        <v>190</v>
      </c>
      <c r="D129" s="42">
        <v>1</v>
      </c>
      <c r="E129" s="42">
        <v>1</v>
      </c>
      <c r="F129" s="42">
        <v>0.97004351340319284</v>
      </c>
      <c r="G129">
        <v>2.9956486596807164E-2</v>
      </c>
    </row>
    <row r="130" spans="3:7" x14ac:dyDescent="0.15">
      <c r="C130" s="43" t="s">
        <v>191</v>
      </c>
      <c r="D130" s="42">
        <v>1</v>
      </c>
      <c r="E130" s="42">
        <v>1</v>
      </c>
      <c r="F130" s="42">
        <v>0.99991950930102236</v>
      </c>
      <c r="G130">
        <v>8.0490698977642161E-5</v>
      </c>
    </row>
    <row r="131" spans="3:7" x14ac:dyDescent="0.15">
      <c r="C131" s="43" t="s">
        <v>192</v>
      </c>
      <c r="D131" s="42">
        <v>1</v>
      </c>
      <c r="E131" s="42">
        <v>1</v>
      </c>
      <c r="F131" s="42">
        <v>0.99376614368014926</v>
      </c>
      <c r="G131">
        <v>6.2338563198507391E-3</v>
      </c>
    </row>
    <row r="132" spans="3:7" x14ac:dyDescent="0.15">
      <c r="C132" s="43" t="s">
        <v>193</v>
      </c>
      <c r="D132" s="42">
        <v>1</v>
      </c>
      <c r="E132" s="42">
        <v>1</v>
      </c>
      <c r="F132" s="42">
        <v>0.73081913192446712</v>
      </c>
      <c r="G132">
        <v>0.26918086807553288</v>
      </c>
    </row>
    <row r="133" spans="3:7" x14ac:dyDescent="0.15">
      <c r="C133" s="61" t="s">
        <v>194</v>
      </c>
      <c r="D133" s="60">
        <v>1</v>
      </c>
      <c r="E133" s="60">
        <v>0</v>
      </c>
      <c r="F133" s="60">
        <v>0.35999858830764819</v>
      </c>
      <c r="G133" s="59">
        <v>0.64000141169235181</v>
      </c>
    </row>
    <row r="134" spans="3:7" x14ac:dyDescent="0.15">
      <c r="C134" s="43" t="s">
        <v>195</v>
      </c>
      <c r="D134" s="42">
        <v>0</v>
      </c>
      <c r="E134" s="42">
        <v>0</v>
      </c>
      <c r="F134" s="42">
        <v>0.13715059353587652</v>
      </c>
      <c r="G134">
        <v>0.86284940646412345</v>
      </c>
    </row>
    <row r="135" spans="3:7" x14ac:dyDescent="0.15">
      <c r="C135" s="43" t="s">
        <v>196</v>
      </c>
      <c r="D135" s="42">
        <v>0</v>
      </c>
      <c r="E135" s="42">
        <v>0</v>
      </c>
      <c r="F135" s="42">
        <v>0.10795884652503554</v>
      </c>
      <c r="G135">
        <v>0.89204115347496449</v>
      </c>
    </row>
    <row r="136" spans="3:7" x14ac:dyDescent="0.15">
      <c r="C136" s="43" t="s">
        <v>197</v>
      </c>
      <c r="D136" s="42">
        <v>0</v>
      </c>
      <c r="E136" s="42">
        <v>0</v>
      </c>
      <c r="F136" s="42">
        <v>4.1212927639135352E-2</v>
      </c>
      <c r="G136">
        <v>0.95878707236086469</v>
      </c>
    </row>
    <row r="137" spans="3:7" x14ac:dyDescent="0.15">
      <c r="C137" s="43" t="s">
        <v>198</v>
      </c>
      <c r="D137" s="42">
        <v>0</v>
      </c>
      <c r="E137" s="42">
        <v>0</v>
      </c>
      <c r="F137" s="42">
        <v>0.1640994623165605</v>
      </c>
      <c r="G137">
        <v>0.83590053768343953</v>
      </c>
    </row>
    <row r="138" spans="3:7" x14ac:dyDescent="0.15">
      <c r="C138" s="43" t="s">
        <v>199</v>
      </c>
      <c r="D138" s="42">
        <v>0</v>
      </c>
      <c r="E138" s="42">
        <v>0</v>
      </c>
      <c r="F138" s="42">
        <v>0.15772625971235543</v>
      </c>
      <c r="G138">
        <v>0.84227374028764457</v>
      </c>
    </row>
    <row r="139" spans="3:7" x14ac:dyDescent="0.15">
      <c r="C139" s="43" t="s">
        <v>200</v>
      </c>
      <c r="D139" s="42">
        <v>0</v>
      </c>
      <c r="E139" s="42">
        <v>0</v>
      </c>
      <c r="F139" s="42">
        <v>0.20506142852507381</v>
      </c>
      <c r="G139">
        <v>0.79493857147492619</v>
      </c>
    </row>
    <row r="140" spans="3:7" x14ac:dyDescent="0.15">
      <c r="C140" s="43" t="s">
        <v>201</v>
      </c>
      <c r="D140" s="42">
        <v>0</v>
      </c>
      <c r="E140" s="42">
        <v>0</v>
      </c>
      <c r="F140" s="42">
        <v>0.35273035438422645</v>
      </c>
      <c r="G140">
        <v>0.6472696456157736</v>
      </c>
    </row>
    <row r="141" spans="3:7" x14ac:dyDescent="0.15">
      <c r="C141" s="61" t="s">
        <v>202</v>
      </c>
      <c r="D141" s="60">
        <v>0</v>
      </c>
      <c r="E141" s="60">
        <v>1</v>
      </c>
      <c r="F141" s="60">
        <v>0.74744427804052849</v>
      </c>
      <c r="G141" s="59">
        <v>0.25255572195947151</v>
      </c>
    </row>
    <row r="142" spans="3:7" x14ac:dyDescent="0.15">
      <c r="C142" s="43" t="s">
        <v>203</v>
      </c>
      <c r="D142" s="42">
        <v>0</v>
      </c>
      <c r="E142" s="42">
        <v>0</v>
      </c>
      <c r="F142" s="42">
        <v>1.3241113324530074E-3</v>
      </c>
      <c r="G142">
        <v>0.99867588866754697</v>
      </c>
    </row>
    <row r="143" spans="3:7" x14ac:dyDescent="0.15">
      <c r="C143" s="61" t="s">
        <v>204</v>
      </c>
      <c r="D143" s="60">
        <v>1</v>
      </c>
      <c r="E143" s="60">
        <v>0</v>
      </c>
      <c r="F143" s="60">
        <v>0.45763431825562667</v>
      </c>
      <c r="G143" s="59">
        <v>0.54236568174437338</v>
      </c>
    </row>
    <row r="144" spans="3:7" x14ac:dyDescent="0.15">
      <c r="C144" s="43" t="s">
        <v>205</v>
      </c>
      <c r="D144" s="42">
        <v>1</v>
      </c>
      <c r="E144" s="42">
        <v>1</v>
      </c>
      <c r="F144" s="42">
        <v>0.9122387799062881</v>
      </c>
      <c r="G144">
        <v>8.77612200937119E-2</v>
      </c>
    </row>
    <row r="145" spans="3:7" x14ac:dyDescent="0.15">
      <c r="C145" s="43" t="s">
        <v>206</v>
      </c>
      <c r="D145" s="42">
        <v>0</v>
      </c>
      <c r="E145" s="42">
        <v>0</v>
      </c>
      <c r="F145" s="42">
        <v>1.5241544125635267E-3</v>
      </c>
      <c r="G145">
        <v>0.99847584558743652</v>
      </c>
    </row>
    <row r="146" spans="3:7" x14ac:dyDescent="0.15">
      <c r="C146" s="61" t="s">
        <v>207</v>
      </c>
      <c r="D146" s="60">
        <v>1</v>
      </c>
      <c r="E146" s="60">
        <v>0</v>
      </c>
      <c r="F146" s="60">
        <v>2.0672826176286029E-2</v>
      </c>
      <c r="G146" s="59">
        <v>0.97932717382371393</v>
      </c>
    </row>
    <row r="147" spans="3:7" x14ac:dyDescent="0.15">
      <c r="C147" s="43" t="s">
        <v>208</v>
      </c>
      <c r="D147" s="42">
        <v>0</v>
      </c>
      <c r="E147" s="42">
        <v>0</v>
      </c>
      <c r="F147" s="42">
        <v>2.7286566869817681E-2</v>
      </c>
      <c r="G147">
        <v>0.97271343313018233</v>
      </c>
    </row>
    <row r="148" spans="3:7" x14ac:dyDescent="0.15">
      <c r="C148" s="43" t="s">
        <v>209</v>
      </c>
      <c r="D148" s="42">
        <v>0</v>
      </c>
      <c r="E148" s="42">
        <v>0</v>
      </c>
      <c r="F148" s="42">
        <v>0.28036334017082254</v>
      </c>
      <c r="G148">
        <v>0.71963665982917746</v>
      </c>
    </row>
    <row r="149" spans="3:7" x14ac:dyDescent="0.15">
      <c r="C149" s="43" t="s">
        <v>210</v>
      </c>
      <c r="D149" s="42">
        <v>1</v>
      </c>
      <c r="E149" s="42">
        <v>1</v>
      </c>
      <c r="F149" s="42">
        <v>0.62484025828250034</v>
      </c>
      <c r="G149">
        <v>0.37515974171749966</v>
      </c>
    </row>
    <row r="150" spans="3:7" x14ac:dyDescent="0.15">
      <c r="C150" s="43" t="s">
        <v>211</v>
      </c>
      <c r="D150" s="42">
        <v>0</v>
      </c>
      <c r="E150" s="42">
        <v>0</v>
      </c>
      <c r="F150" s="42">
        <v>3.2169966496170032E-3</v>
      </c>
      <c r="G150">
        <v>0.99678300335038295</v>
      </c>
    </row>
    <row r="151" spans="3:7" x14ac:dyDescent="0.15">
      <c r="C151" s="43" t="s">
        <v>212</v>
      </c>
      <c r="D151" s="42">
        <v>1</v>
      </c>
      <c r="E151" s="42">
        <v>1</v>
      </c>
      <c r="F151" s="42">
        <v>0.99980517748547115</v>
      </c>
      <c r="G151">
        <v>1.9482251452884736E-4</v>
      </c>
    </row>
    <row r="152" spans="3:7" x14ac:dyDescent="0.15">
      <c r="C152" s="43" t="s">
        <v>213</v>
      </c>
      <c r="D152" s="42">
        <v>0</v>
      </c>
      <c r="E152" s="42">
        <v>0</v>
      </c>
      <c r="F152" s="42">
        <v>0.22699262712096466</v>
      </c>
      <c r="G152">
        <v>0.77300737287903531</v>
      </c>
    </row>
    <row r="153" spans="3:7" x14ac:dyDescent="0.15">
      <c r="C153" s="43" t="s">
        <v>214</v>
      </c>
      <c r="D153" s="42">
        <v>1</v>
      </c>
      <c r="E153" s="42">
        <v>1</v>
      </c>
      <c r="F153" s="42">
        <v>0.98971562975013327</v>
      </c>
      <c r="G153">
        <v>1.0284370249866726E-2</v>
      </c>
    </row>
    <row r="154" spans="3:7" x14ac:dyDescent="0.15">
      <c r="C154" s="43" t="s">
        <v>215</v>
      </c>
      <c r="D154" s="42">
        <v>0</v>
      </c>
      <c r="E154" s="42">
        <v>0</v>
      </c>
      <c r="F154" s="42">
        <v>2.4738691382507321E-2</v>
      </c>
      <c r="G154">
        <v>0.97526130861749272</v>
      </c>
    </row>
    <row r="155" spans="3:7" x14ac:dyDescent="0.15">
      <c r="C155" s="43" t="s">
        <v>216</v>
      </c>
      <c r="D155" s="42">
        <v>0</v>
      </c>
      <c r="E155" s="42">
        <v>0</v>
      </c>
      <c r="F155" s="42">
        <v>1.229669019006643E-2</v>
      </c>
      <c r="G155">
        <v>0.98770330980993359</v>
      </c>
    </row>
    <row r="156" spans="3:7" x14ac:dyDescent="0.15">
      <c r="C156" s="43" t="s">
        <v>217</v>
      </c>
      <c r="D156" s="42">
        <v>1</v>
      </c>
      <c r="E156" s="42">
        <v>1</v>
      </c>
      <c r="F156" s="42">
        <v>0.99985767329289976</v>
      </c>
      <c r="G156">
        <v>1.4232670710023765E-4</v>
      </c>
    </row>
    <row r="157" spans="3:7" x14ac:dyDescent="0.15">
      <c r="C157" s="43" t="s">
        <v>218</v>
      </c>
      <c r="D157" s="42">
        <v>1</v>
      </c>
      <c r="E157" s="42">
        <v>1</v>
      </c>
      <c r="F157" s="42">
        <v>0.78230371487571659</v>
      </c>
      <c r="G157">
        <v>0.21769628512428341</v>
      </c>
    </row>
    <row r="158" spans="3:7" x14ac:dyDescent="0.15">
      <c r="C158" s="43" t="s">
        <v>219</v>
      </c>
      <c r="D158" s="42">
        <v>0</v>
      </c>
      <c r="E158" s="42">
        <v>0</v>
      </c>
      <c r="F158" s="42">
        <v>5.2639185829450083E-2</v>
      </c>
      <c r="G158">
        <v>0.94736081417054996</v>
      </c>
    </row>
    <row r="159" spans="3:7" x14ac:dyDescent="0.15">
      <c r="C159" s="43" t="s">
        <v>220</v>
      </c>
      <c r="D159" s="42">
        <v>0</v>
      </c>
      <c r="E159" s="42">
        <v>0</v>
      </c>
      <c r="F159" s="42">
        <v>0.32118845155430614</v>
      </c>
      <c r="G159">
        <v>0.6788115484456938</v>
      </c>
    </row>
    <row r="160" spans="3:7" x14ac:dyDescent="0.15">
      <c r="C160" s="61" t="s">
        <v>221</v>
      </c>
      <c r="D160" s="60">
        <v>0</v>
      </c>
      <c r="E160" s="60">
        <v>1</v>
      </c>
      <c r="F160" s="60">
        <v>0.91305622662457497</v>
      </c>
      <c r="G160" s="59">
        <v>8.6943773375425026E-2</v>
      </c>
    </row>
    <row r="161" spans="3:7" x14ac:dyDescent="0.15">
      <c r="C161" s="43" t="s">
        <v>222</v>
      </c>
      <c r="D161" s="42">
        <v>1</v>
      </c>
      <c r="E161" s="42">
        <v>1</v>
      </c>
      <c r="F161" s="42">
        <v>0.99983509207297561</v>
      </c>
      <c r="G161">
        <v>1.6490792702439361E-4</v>
      </c>
    </row>
    <row r="162" spans="3:7" x14ac:dyDescent="0.15">
      <c r="C162" s="43" t="s">
        <v>223</v>
      </c>
      <c r="D162" s="42">
        <v>1</v>
      </c>
      <c r="E162" s="42">
        <v>1</v>
      </c>
      <c r="F162" s="42">
        <v>0.99671144906957942</v>
      </c>
      <c r="G162">
        <v>3.2885509304205751E-3</v>
      </c>
    </row>
    <row r="163" spans="3:7" x14ac:dyDescent="0.15">
      <c r="C163" s="43" t="s">
        <v>224</v>
      </c>
      <c r="D163" s="42">
        <v>0</v>
      </c>
      <c r="E163" s="42">
        <v>0</v>
      </c>
      <c r="F163" s="42">
        <v>3.3145464500107906E-2</v>
      </c>
      <c r="G163">
        <v>0.96685453549989209</v>
      </c>
    </row>
    <row r="164" spans="3:7" x14ac:dyDescent="0.15">
      <c r="C164" s="43" t="s">
        <v>225</v>
      </c>
      <c r="D164" s="42">
        <v>1</v>
      </c>
      <c r="E164" s="42">
        <v>1</v>
      </c>
      <c r="F164" s="42">
        <v>0.98578509222683219</v>
      </c>
      <c r="G164">
        <v>1.4214907773167806E-2</v>
      </c>
    </row>
    <row r="165" spans="3:7" x14ac:dyDescent="0.15">
      <c r="C165" s="43" t="s">
        <v>226</v>
      </c>
      <c r="D165" s="42">
        <v>0</v>
      </c>
      <c r="E165" s="42">
        <v>0</v>
      </c>
      <c r="F165" s="42">
        <v>1.3354072100965773E-3</v>
      </c>
      <c r="G165">
        <v>0.99866459278990338</v>
      </c>
    </row>
    <row r="166" spans="3:7" x14ac:dyDescent="0.15">
      <c r="C166" s="43" t="s">
        <v>227</v>
      </c>
      <c r="D166" s="42">
        <v>1</v>
      </c>
      <c r="E166" s="42">
        <v>1</v>
      </c>
      <c r="F166" s="42">
        <v>0.98816080624022973</v>
      </c>
      <c r="G166">
        <v>1.1839193759770272E-2</v>
      </c>
    </row>
    <row r="167" spans="3:7" x14ac:dyDescent="0.15">
      <c r="C167" s="43" t="s">
        <v>228</v>
      </c>
      <c r="D167" s="42">
        <v>1</v>
      </c>
      <c r="E167" s="42">
        <v>1</v>
      </c>
      <c r="F167" s="42">
        <v>0.99410133553518565</v>
      </c>
      <c r="G167">
        <v>5.8986644648143516E-3</v>
      </c>
    </row>
    <row r="168" spans="3:7" x14ac:dyDescent="0.15">
      <c r="C168" s="43" t="s">
        <v>229</v>
      </c>
      <c r="D168" s="42">
        <v>1</v>
      </c>
      <c r="E168" s="42">
        <v>1</v>
      </c>
      <c r="F168" s="42">
        <v>0.99887819144236756</v>
      </c>
      <c r="G168">
        <v>1.1218085576324421E-3</v>
      </c>
    </row>
    <row r="169" spans="3:7" x14ac:dyDescent="0.15">
      <c r="C169" s="43" t="s">
        <v>230</v>
      </c>
      <c r="D169" s="42">
        <v>0</v>
      </c>
      <c r="E169" s="42">
        <v>0</v>
      </c>
      <c r="F169" s="42">
        <v>7.9632013524227208E-3</v>
      </c>
      <c r="G169">
        <v>0.99203679864757732</v>
      </c>
    </row>
    <row r="170" spans="3:7" x14ac:dyDescent="0.15">
      <c r="C170" s="43" t="s">
        <v>231</v>
      </c>
      <c r="D170" s="42">
        <v>0</v>
      </c>
      <c r="E170" s="42">
        <v>0</v>
      </c>
      <c r="F170" s="42">
        <v>1.4229779237055908E-2</v>
      </c>
      <c r="G170">
        <v>0.98577022076294407</v>
      </c>
    </row>
    <row r="171" spans="3:7" x14ac:dyDescent="0.15">
      <c r="C171" s="43" t="s">
        <v>232</v>
      </c>
      <c r="D171" s="42">
        <v>0</v>
      </c>
      <c r="E171" s="42">
        <v>0</v>
      </c>
      <c r="F171" s="42">
        <v>1.1833381373158033E-2</v>
      </c>
      <c r="G171">
        <v>0.98816661862684196</v>
      </c>
    </row>
    <row r="172" spans="3:7" x14ac:dyDescent="0.15">
      <c r="C172" s="43" t="s">
        <v>233</v>
      </c>
      <c r="D172" s="42">
        <v>1</v>
      </c>
      <c r="E172" s="42">
        <v>1</v>
      </c>
      <c r="F172" s="42">
        <v>0.9483606283750049</v>
      </c>
      <c r="G172">
        <v>5.1639371624995101E-2</v>
      </c>
    </row>
    <row r="173" spans="3:7" x14ac:dyDescent="0.15">
      <c r="C173" s="43" t="s">
        <v>234</v>
      </c>
      <c r="D173" s="42">
        <v>1</v>
      </c>
      <c r="E173" s="42">
        <v>1</v>
      </c>
      <c r="F173" s="42">
        <v>0.92595731211235988</v>
      </c>
      <c r="G173">
        <v>7.4042687887640124E-2</v>
      </c>
    </row>
    <row r="174" spans="3:7" x14ac:dyDescent="0.15">
      <c r="C174" s="43" t="s">
        <v>235</v>
      </c>
      <c r="D174" s="42">
        <v>1</v>
      </c>
      <c r="E174" s="42">
        <v>1</v>
      </c>
      <c r="F174" s="42">
        <v>0.99176897215253756</v>
      </c>
      <c r="G174">
        <v>8.2310278474624354E-3</v>
      </c>
    </row>
    <row r="175" spans="3:7" x14ac:dyDescent="0.15">
      <c r="C175" s="43" t="s">
        <v>236</v>
      </c>
      <c r="D175" s="42">
        <v>1</v>
      </c>
      <c r="E175" s="42">
        <v>1</v>
      </c>
      <c r="F175" s="42">
        <v>0.99628775073131093</v>
      </c>
      <c r="G175">
        <v>3.7122492686890718E-3</v>
      </c>
    </row>
    <row r="176" spans="3:7" x14ac:dyDescent="0.15">
      <c r="C176" s="43" t="s">
        <v>237</v>
      </c>
      <c r="D176" s="42">
        <v>1</v>
      </c>
      <c r="E176" s="42">
        <v>1</v>
      </c>
      <c r="F176" s="42">
        <v>0.9997187186509161</v>
      </c>
      <c r="G176">
        <v>2.8128134908389502E-4</v>
      </c>
    </row>
    <row r="177" spans="3:7" x14ac:dyDescent="0.15">
      <c r="C177" s="43" t="s">
        <v>238</v>
      </c>
      <c r="D177" s="42">
        <v>1</v>
      </c>
      <c r="E177" s="42">
        <v>1</v>
      </c>
      <c r="F177" s="42">
        <v>0.90259507951801388</v>
      </c>
      <c r="G177">
        <v>9.7404920481986124E-2</v>
      </c>
    </row>
    <row r="178" spans="3:7" x14ac:dyDescent="0.15">
      <c r="C178" s="43" t="s">
        <v>239</v>
      </c>
      <c r="D178" s="42">
        <v>0</v>
      </c>
      <c r="E178" s="42">
        <v>0</v>
      </c>
      <c r="F178" s="42">
        <v>1.8597337193532852E-3</v>
      </c>
      <c r="G178">
        <v>0.99814026628064667</v>
      </c>
    </row>
    <row r="179" spans="3:7" x14ac:dyDescent="0.15">
      <c r="C179" s="43" t="s">
        <v>240</v>
      </c>
      <c r="D179" s="42">
        <v>1</v>
      </c>
      <c r="E179" s="42">
        <v>1</v>
      </c>
      <c r="F179" s="42">
        <v>0.99900564631052247</v>
      </c>
      <c r="G179">
        <v>9.94353689477534E-4</v>
      </c>
    </row>
    <row r="180" spans="3:7" x14ac:dyDescent="0.15">
      <c r="C180" s="43" t="s">
        <v>241</v>
      </c>
      <c r="D180" s="42">
        <v>0</v>
      </c>
      <c r="E180" s="42">
        <v>0</v>
      </c>
      <c r="F180" s="42">
        <v>2.8152302952897286E-2</v>
      </c>
      <c r="G180">
        <v>0.97184769704710272</v>
      </c>
    </row>
    <row r="181" spans="3:7" x14ac:dyDescent="0.15">
      <c r="C181" s="43" t="s">
        <v>242</v>
      </c>
      <c r="D181" s="42">
        <v>1</v>
      </c>
      <c r="E181" s="42">
        <v>1</v>
      </c>
      <c r="F181" s="42">
        <v>0.99990101106138563</v>
      </c>
      <c r="G181">
        <v>9.8988938614374966E-5</v>
      </c>
    </row>
    <row r="182" spans="3:7" x14ac:dyDescent="0.15">
      <c r="C182" s="43" t="s">
        <v>243</v>
      </c>
      <c r="D182" s="42">
        <v>1</v>
      </c>
      <c r="E182" s="42">
        <v>1</v>
      </c>
      <c r="F182" s="42">
        <v>0.53573850090173092</v>
      </c>
      <c r="G182">
        <v>0.46426149909826908</v>
      </c>
    </row>
    <row r="183" spans="3:7" x14ac:dyDescent="0.15">
      <c r="C183" s="43" t="s">
        <v>244</v>
      </c>
      <c r="D183" s="42">
        <v>0</v>
      </c>
      <c r="E183" s="42">
        <v>0</v>
      </c>
      <c r="F183" s="42">
        <v>3.0770827742004025E-2</v>
      </c>
      <c r="G183">
        <v>0.96922917225799599</v>
      </c>
    </row>
    <row r="184" spans="3:7" x14ac:dyDescent="0.15">
      <c r="C184" s="43" t="s">
        <v>245</v>
      </c>
      <c r="D184" s="42">
        <v>1</v>
      </c>
      <c r="E184" s="42">
        <v>1</v>
      </c>
      <c r="F184" s="42">
        <v>0.97935974537719039</v>
      </c>
      <c r="G184">
        <v>2.0640254622809606E-2</v>
      </c>
    </row>
    <row r="185" spans="3:7" x14ac:dyDescent="0.15">
      <c r="C185" s="43" t="s">
        <v>246</v>
      </c>
      <c r="D185" s="42">
        <v>1</v>
      </c>
      <c r="E185" s="42">
        <v>1</v>
      </c>
      <c r="F185" s="42">
        <v>0.79405764605860651</v>
      </c>
      <c r="G185">
        <v>0.20594235394139349</v>
      </c>
    </row>
    <row r="186" spans="3:7" x14ac:dyDescent="0.15">
      <c r="C186" s="43" t="s">
        <v>247</v>
      </c>
      <c r="D186" s="42">
        <v>0</v>
      </c>
      <c r="E186" s="42">
        <v>0</v>
      </c>
      <c r="F186" s="42">
        <v>0.16801373803475125</v>
      </c>
      <c r="G186">
        <v>0.83198626196524872</v>
      </c>
    </row>
    <row r="187" spans="3:7" x14ac:dyDescent="0.15">
      <c r="C187" s="43" t="s">
        <v>248</v>
      </c>
      <c r="D187" s="42">
        <v>1</v>
      </c>
      <c r="E187" s="42">
        <v>1</v>
      </c>
      <c r="F187" s="42">
        <v>0.92537391189857598</v>
      </c>
      <c r="G187">
        <v>7.4626088101424015E-2</v>
      </c>
    </row>
    <row r="188" spans="3:7" x14ac:dyDescent="0.15">
      <c r="C188" s="43" t="s">
        <v>249</v>
      </c>
      <c r="D188" s="42">
        <v>0</v>
      </c>
      <c r="E188" s="42">
        <v>0</v>
      </c>
      <c r="F188" s="42">
        <v>1.0066899796758089E-2</v>
      </c>
      <c r="G188">
        <v>0.98993310020324188</v>
      </c>
    </row>
    <row r="189" spans="3:7" x14ac:dyDescent="0.15">
      <c r="C189" s="43" t="s">
        <v>250</v>
      </c>
      <c r="D189" s="42">
        <v>0</v>
      </c>
      <c r="E189" s="42">
        <v>0</v>
      </c>
      <c r="F189" s="42">
        <v>0.14582914218425186</v>
      </c>
      <c r="G189">
        <v>0.85417085781574809</v>
      </c>
    </row>
    <row r="190" spans="3:7" x14ac:dyDescent="0.15">
      <c r="C190" s="43" t="s">
        <v>251</v>
      </c>
      <c r="D190" s="42">
        <v>1</v>
      </c>
      <c r="E190" s="42">
        <v>1</v>
      </c>
      <c r="F190" s="42">
        <v>0.72051680311917143</v>
      </c>
      <c r="G190">
        <v>0.27948319688082857</v>
      </c>
    </row>
    <row r="191" spans="3:7" x14ac:dyDescent="0.15">
      <c r="C191" s="43" t="s">
        <v>252</v>
      </c>
      <c r="D191" s="42">
        <v>0</v>
      </c>
      <c r="E191" s="42">
        <v>0</v>
      </c>
      <c r="F191" s="42">
        <v>2.8766186036232561E-2</v>
      </c>
      <c r="G191">
        <v>0.9712338139637674</v>
      </c>
    </row>
    <row r="192" spans="3:7" x14ac:dyDescent="0.15">
      <c r="C192" s="43" t="s">
        <v>253</v>
      </c>
      <c r="D192" s="42">
        <v>1</v>
      </c>
      <c r="E192" s="42">
        <v>1</v>
      </c>
      <c r="F192" s="42">
        <v>0.99884698706577324</v>
      </c>
      <c r="G192">
        <v>1.1530129342267603E-3</v>
      </c>
    </row>
    <row r="193" spans="3:7" x14ac:dyDescent="0.15">
      <c r="C193" s="43" t="s">
        <v>254</v>
      </c>
      <c r="D193" s="42">
        <v>1</v>
      </c>
      <c r="E193" s="42">
        <v>1</v>
      </c>
      <c r="F193" s="42">
        <v>0.99600132521259088</v>
      </c>
      <c r="G193">
        <v>3.9986747874091177E-3</v>
      </c>
    </row>
    <row r="194" spans="3:7" x14ac:dyDescent="0.15">
      <c r="C194" s="43" t="s">
        <v>255</v>
      </c>
      <c r="D194" s="42">
        <v>1</v>
      </c>
      <c r="E194" s="42">
        <v>1</v>
      </c>
      <c r="F194" s="42">
        <v>0.99986593119598755</v>
      </c>
      <c r="G194">
        <v>1.3406880401245491E-4</v>
      </c>
    </row>
    <row r="195" spans="3:7" x14ac:dyDescent="0.15">
      <c r="C195" s="43" t="s">
        <v>256</v>
      </c>
      <c r="D195" s="42">
        <v>1</v>
      </c>
      <c r="E195" s="42">
        <v>1</v>
      </c>
      <c r="F195" s="42">
        <v>0.81034040845071009</v>
      </c>
      <c r="G195">
        <v>0.18965959154928991</v>
      </c>
    </row>
    <row r="196" spans="3:7" x14ac:dyDescent="0.15">
      <c r="C196" s="43" t="s">
        <v>257</v>
      </c>
      <c r="D196" s="42">
        <v>1</v>
      </c>
      <c r="E196" s="42">
        <v>1</v>
      </c>
      <c r="F196" s="42">
        <v>0.77165941360335844</v>
      </c>
      <c r="G196">
        <v>0.22834058639664156</v>
      </c>
    </row>
    <row r="197" spans="3:7" x14ac:dyDescent="0.15">
      <c r="C197" s="43" t="s">
        <v>258</v>
      </c>
      <c r="D197" s="42">
        <v>1</v>
      </c>
      <c r="E197" s="42">
        <v>1</v>
      </c>
      <c r="F197" s="42">
        <v>0.9990702697270788</v>
      </c>
      <c r="G197">
        <v>9.2973027292120314E-4</v>
      </c>
    </row>
    <row r="198" spans="3:7" x14ac:dyDescent="0.15">
      <c r="C198" s="61" t="s">
        <v>259</v>
      </c>
      <c r="D198" s="60">
        <v>0</v>
      </c>
      <c r="E198" s="60">
        <v>1</v>
      </c>
      <c r="F198" s="60">
        <v>0.9803239440759185</v>
      </c>
      <c r="G198" s="59">
        <v>1.9676055924081504E-2</v>
      </c>
    </row>
    <row r="199" spans="3:7" x14ac:dyDescent="0.15">
      <c r="C199" s="43" t="s">
        <v>260</v>
      </c>
      <c r="D199" s="42">
        <v>0</v>
      </c>
      <c r="E199" s="42">
        <v>0</v>
      </c>
      <c r="F199" s="42">
        <v>1.4520818776797005E-2</v>
      </c>
      <c r="G199">
        <v>0.98547918122320299</v>
      </c>
    </row>
    <row r="200" spans="3:7" x14ac:dyDescent="0.15">
      <c r="C200" s="43" t="s">
        <v>261</v>
      </c>
      <c r="D200" s="42">
        <v>0</v>
      </c>
      <c r="E200" s="42">
        <v>0</v>
      </c>
      <c r="F200" s="42">
        <v>0.21777876098998675</v>
      </c>
      <c r="G200">
        <v>0.78222123901001328</v>
      </c>
    </row>
    <row r="201" spans="3:7" x14ac:dyDescent="0.15">
      <c r="C201" s="43" t="s">
        <v>262</v>
      </c>
      <c r="D201" s="42">
        <v>0</v>
      </c>
      <c r="E201" s="42">
        <v>0</v>
      </c>
      <c r="F201" s="42">
        <v>0.16146473270244169</v>
      </c>
      <c r="G201">
        <v>0.83853526729755834</v>
      </c>
    </row>
    <row r="202" spans="3:7" x14ac:dyDescent="0.15">
      <c r="C202" s="43" t="s">
        <v>263</v>
      </c>
      <c r="D202" s="42">
        <v>1</v>
      </c>
      <c r="E202" s="42">
        <v>1</v>
      </c>
      <c r="F202" s="42">
        <v>0.98705317912175272</v>
      </c>
      <c r="G202">
        <v>1.2946820878247278E-2</v>
      </c>
    </row>
    <row r="203" spans="3:7" x14ac:dyDescent="0.15">
      <c r="C203" s="43" t="s">
        <v>264</v>
      </c>
      <c r="D203" s="42">
        <v>0</v>
      </c>
      <c r="E203" s="42">
        <v>0</v>
      </c>
      <c r="F203" s="42">
        <v>1.1392675931822411E-2</v>
      </c>
      <c r="G203">
        <v>0.98860732406817764</v>
      </c>
    </row>
    <row r="204" spans="3:7" x14ac:dyDescent="0.15">
      <c r="C204" s="43" t="s">
        <v>265</v>
      </c>
      <c r="D204" s="42">
        <v>0</v>
      </c>
      <c r="E204" s="42">
        <v>0</v>
      </c>
      <c r="F204" s="42">
        <v>3.4753429341133554E-2</v>
      </c>
      <c r="G204">
        <v>0.96524657065886643</v>
      </c>
    </row>
    <row r="205" spans="3:7" x14ac:dyDescent="0.15">
      <c r="C205" s="43" t="s">
        <v>266</v>
      </c>
      <c r="D205" s="42">
        <v>1</v>
      </c>
      <c r="E205" s="42">
        <v>1</v>
      </c>
      <c r="F205" s="42">
        <v>0.99800979022753245</v>
      </c>
      <c r="G205">
        <v>1.9902097724675549E-3</v>
      </c>
    </row>
    <row r="206" spans="3:7" x14ac:dyDescent="0.15">
      <c r="C206" s="43" t="s">
        <v>267</v>
      </c>
      <c r="D206" s="42">
        <v>0</v>
      </c>
      <c r="E206" s="42">
        <v>0</v>
      </c>
      <c r="F206" s="42">
        <v>0.1642187394934016</v>
      </c>
      <c r="G206">
        <v>0.8357812605065984</v>
      </c>
    </row>
    <row r="207" spans="3:7" x14ac:dyDescent="0.15">
      <c r="C207" s="43" t="s">
        <v>268</v>
      </c>
      <c r="D207" s="42">
        <v>1</v>
      </c>
      <c r="E207" s="42">
        <v>1</v>
      </c>
      <c r="F207" s="42">
        <v>0.94919248785841348</v>
      </c>
      <c r="G207">
        <v>5.0807512141586519E-2</v>
      </c>
    </row>
    <row r="208" spans="3:7" x14ac:dyDescent="0.15">
      <c r="C208" s="43" t="s">
        <v>269</v>
      </c>
      <c r="D208" s="42">
        <v>1</v>
      </c>
      <c r="E208" s="42">
        <v>1</v>
      </c>
      <c r="F208" s="42">
        <v>0.98968173564188444</v>
      </c>
      <c r="G208">
        <v>1.0318264358115559E-2</v>
      </c>
    </row>
    <row r="209" spans="3:7" x14ac:dyDescent="0.15">
      <c r="C209" s="61" t="s">
        <v>270</v>
      </c>
      <c r="D209" s="60">
        <v>0</v>
      </c>
      <c r="E209" s="60">
        <v>1</v>
      </c>
      <c r="F209" s="60">
        <v>0.895228257606696</v>
      </c>
      <c r="G209" s="59">
        <v>0.104771742393304</v>
      </c>
    </row>
    <row r="210" spans="3:7" x14ac:dyDescent="0.15">
      <c r="C210" s="43" t="s">
        <v>271</v>
      </c>
      <c r="D210" s="42">
        <v>1</v>
      </c>
      <c r="E210" s="42">
        <v>1</v>
      </c>
      <c r="F210" s="42">
        <v>0.9906986246309929</v>
      </c>
      <c r="G210">
        <v>9.3013753690071033E-3</v>
      </c>
    </row>
    <row r="211" spans="3:7" x14ac:dyDescent="0.15">
      <c r="C211" s="43" t="s">
        <v>272</v>
      </c>
      <c r="D211" s="42">
        <v>0</v>
      </c>
      <c r="E211" s="42">
        <v>0</v>
      </c>
      <c r="F211" s="42">
        <v>6.3377078637140869E-3</v>
      </c>
      <c r="G211">
        <v>0.99366229213628587</v>
      </c>
    </row>
    <row r="212" spans="3:7" x14ac:dyDescent="0.15">
      <c r="C212" s="43" t="s">
        <v>273</v>
      </c>
      <c r="D212" s="42">
        <v>0</v>
      </c>
      <c r="E212" s="42">
        <v>0</v>
      </c>
      <c r="F212" s="42">
        <v>0.42271874628057116</v>
      </c>
      <c r="G212">
        <v>0.57728125371942884</v>
      </c>
    </row>
    <row r="213" spans="3:7" x14ac:dyDescent="0.15">
      <c r="C213" s="43" t="s">
        <v>274</v>
      </c>
      <c r="D213" s="42">
        <v>1</v>
      </c>
      <c r="E213" s="42">
        <v>1</v>
      </c>
      <c r="F213" s="42">
        <v>0.97714148608752038</v>
      </c>
      <c r="G213">
        <v>2.2858513912479617E-2</v>
      </c>
    </row>
    <row r="214" spans="3:7" x14ac:dyDescent="0.15">
      <c r="C214" s="43" t="s">
        <v>275</v>
      </c>
      <c r="D214" s="42">
        <v>0</v>
      </c>
      <c r="E214" s="42">
        <v>0</v>
      </c>
      <c r="F214" s="42">
        <v>0.14384318508154287</v>
      </c>
      <c r="G214">
        <v>0.85615681491845708</v>
      </c>
    </row>
    <row r="215" spans="3:7" x14ac:dyDescent="0.15">
      <c r="C215" s="43" t="s">
        <v>276</v>
      </c>
      <c r="D215" s="42">
        <v>0</v>
      </c>
      <c r="E215" s="42">
        <v>0</v>
      </c>
      <c r="F215" s="42">
        <v>0.41472254442305989</v>
      </c>
      <c r="G215">
        <v>0.58527745557694011</v>
      </c>
    </row>
    <row r="216" spans="3:7" x14ac:dyDescent="0.15">
      <c r="C216" s="43" t="s">
        <v>277</v>
      </c>
      <c r="D216" s="42">
        <v>0</v>
      </c>
      <c r="E216" s="42">
        <v>0</v>
      </c>
      <c r="F216" s="42">
        <v>0.10344861447572432</v>
      </c>
      <c r="G216">
        <v>0.89655138552427571</v>
      </c>
    </row>
    <row r="217" spans="3:7" x14ac:dyDescent="0.15">
      <c r="C217" s="43" t="s">
        <v>278</v>
      </c>
      <c r="D217" s="42">
        <v>1</v>
      </c>
      <c r="E217" s="42">
        <v>1</v>
      </c>
      <c r="F217" s="42">
        <v>0.987924379972422</v>
      </c>
      <c r="G217">
        <v>1.2075620027578005E-2</v>
      </c>
    </row>
    <row r="218" spans="3:7" x14ac:dyDescent="0.15">
      <c r="C218" s="43" t="s">
        <v>279</v>
      </c>
      <c r="D218" s="42">
        <v>0</v>
      </c>
      <c r="E218" s="42">
        <v>0</v>
      </c>
      <c r="F218" s="42">
        <v>1.0126723459284033E-2</v>
      </c>
      <c r="G218">
        <v>0.989873276540716</v>
      </c>
    </row>
    <row r="219" spans="3:7" x14ac:dyDescent="0.15">
      <c r="C219" s="43" t="s">
        <v>280</v>
      </c>
      <c r="D219" s="42">
        <v>1</v>
      </c>
      <c r="E219" s="42">
        <v>1</v>
      </c>
      <c r="F219" s="42">
        <v>0.98220453574771049</v>
      </c>
      <c r="G219">
        <v>1.7795464252289506E-2</v>
      </c>
    </row>
    <row r="220" spans="3:7" x14ac:dyDescent="0.15">
      <c r="C220" s="43" t="s">
        <v>281</v>
      </c>
      <c r="D220" s="42">
        <v>0</v>
      </c>
      <c r="E220" s="42">
        <v>0</v>
      </c>
      <c r="F220" s="42">
        <v>3.9974041199459139E-2</v>
      </c>
      <c r="G220">
        <v>0.96002595880054087</v>
      </c>
    </row>
    <row r="221" spans="3:7" x14ac:dyDescent="0.15">
      <c r="C221" s="43" t="s">
        <v>282</v>
      </c>
      <c r="D221" s="42">
        <v>0</v>
      </c>
      <c r="E221" s="42">
        <v>0</v>
      </c>
      <c r="F221" s="42">
        <v>0.1096433575215062</v>
      </c>
      <c r="G221">
        <v>0.89035664247849378</v>
      </c>
    </row>
    <row r="222" spans="3:7" x14ac:dyDescent="0.15">
      <c r="C222" s="43" t="s">
        <v>283</v>
      </c>
      <c r="D222" s="42">
        <v>1</v>
      </c>
      <c r="E222" s="42">
        <v>1</v>
      </c>
      <c r="F222" s="42">
        <v>0.97174035918560198</v>
      </c>
      <c r="G222">
        <v>2.8259640814398024E-2</v>
      </c>
    </row>
    <row r="223" spans="3:7" x14ac:dyDescent="0.15">
      <c r="C223" s="43" t="s">
        <v>284</v>
      </c>
      <c r="D223" s="42">
        <v>1</v>
      </c>
      <c r="E223" s="42">
        <v>1</v>
      </c>
      <c r="F223" s="42">
        <v>0.99963210954989346</v>
      </c>
      <c r="G223">
        <v>3.6789045010654498E-4</v>
      </c>
    </row>
    <row r="224" spans="3:7" x14ac:dyDescent="0.15">
      <c r="C224" s="43" t="s">
        <v>285</v>
      </c>
      <c r="D224" s="42">
        <v>1</v>
      </c>
      <c r="E224" s="42">
        <v>1</v>
      </c>
      <c r="F224" s="42">
        <v>0.89032826834135903</v>
      </c>
      <c r="G224">
        <v>0.10967173165864097</v>
      </c>
    </row>
    <row r="225" spans="3:7" x14ac:dyDescent="0.15">
      <c r="C225" s="43" t="s">
        <v>286</v>
      </c>
      <c r="D225" s="42">
        <v>0</v>
      </c>
      <c r="E225" s="42">
        <v>0</v>
      </c>
      <c r="F225" s="42">
        <v>0.38684420066515551</v>
      </c>
      <c r="G225">
        <v>0.61315579933484443</v>
      </c>
    </row>
    <row r="226" spans="3:7" x14ac:dyDescent="0.15">
      <c r="C226" s="43" t="s">
        <v>287</v>
      </c>
      <c r="D226" s="42">
        <v>0</v>
      </c>
      <c r="E226" s="42">
        <v>0</v>
      </c>
      <c r="F226" s="42">
        <v>0.13011311752970389</v>
      </c>
      <c r="G226">
        <v>0.86988688247029611</v>
      </c>
    </row>
    <row r="227" spans="3:7" x14ac:dyDescent="0.15">
      <c r="C227" s="43" t="s">
        <v>288</v>
      </c>
      <c r="D227" s="42">
        <v>0</v>
      </c>
      <c r="E227" s="42">
        <v>0</v>
      </c>
      <c r="F227" s="42">
        <v>2.2612957164157278E-2</v>
      </c>
      <c r="G227">
        <v>0.97738704283584277</v>
      </c>
    </row>
    <row r="228" spans="3:7" x14ac:dyDescent="0.15">
      <c r="C228" s="43" t="s">
        <v>289</v>
      </c>
      <c r="D228" s="42">
        <v>1</v>
      </c>
      <c r="E228" s="42">
        <v>1</v>
      </c>
      <c r="F228" s="42">
        <v>0.99992596545673984</v>
      </c>
      <c r="G228">
        <v>7.403454326015968E-5</v>
      </c>
    </row>
    <row r="229" spans="3:7" x14ac:dyDescent="0.15">
      <c r="C229" s="43" t="s">
        <v>290</v>
      </c>
      <c r="D229" s="42">
        <v>0</v>
      </c>
      <c r="E229" s="42">
        <v>0</v>
      </c>
      <c r="F229" s="42">
        <v>0.36288901916380167</v>
      </c>
      <c r="G229">
        <v>0.63711098083619833</v>
      </c>
    </row>
    <row r="230" spans="3:7" x14ac:dyDescent="0.15">
      <c r="C230" s="43" t="s">
        <v>291</v>
      </c>
      <c r="D230" s="42">
        <v>1</v>
      </c>
      <c r="E230" s="42">
        <v>1</v>
      </c>
      <c r="F230" s="42">
        <v>0.99952014541548329</v>
      </c>
      <c r="G230">
        <v>4.7985458451671459E-4</v>
      </c>
    </row>
    <row r="231" spans="3:7" x14ac:dyDescent="0.15">
      <c r="C231" s="43" t="s">
        <v>292</v>
      </c>
      <c r="D231" s="42">
        <v>0</v>
      </c>
      <c r="E231" s="42">
        <v>0</v>
      </c>
      <c r="F231" s="42">
        <v>0.13962591539454855</v>
      </c>
      <c r="G231">
        <v>0.86037408460545151</v>
      </c>
    </row>
    <row r="232" spans="3:7" x14ac:dyDescent="0.15">
      <c r="C232" s="43" t="s">
        <v>293</v>
      </c>
      <c r="D232" s="42">
        <v>0</v>
      </c>
      <c r="E232" s="42">
        <v>0</v>
      </c>
      <c r="F232" s="42">
        <v>6.2926755511894233E-4</v>
      </c>
      <c r="G232">
        <v>0.99937073244488106</v>
      </c>
    </row>
    <row r="233" spans="3:7" x14ac:dyDescent="0.15">
      <c r="C233" s="43" t="s">
        <v>294</v>
      </c>
      <c r="D233" s="42">
        <v>1</v>
      </c>
      <c r="E233" s="42">
        <v>1</v>
      </c>
      <c r="F233" s="42">
        <v>0.90531022951002516</v>
      </c>
      <c r="G233">
        <v>9.4689770489974845E-2</v>
      </c>
    </row>
    <row r="234" spans="3:7" x14ac:dyDescent="0.15">
      <c r="C234" s="61" t="s">
        <v>295</v>
      </c>
      <c r="D234" s="60">
        <v>1</v>
      </c>
      <c r="E234" s="60">
        <v>0</v>
      </c>
      <c r="F234" s="60">
        <v>6.703802402807069E-3</v>
      </c>
      <c r="G234" s="59">
        <v>0.9932961975971929</v>
      </c>
    </row>
    <row r="235" spans="3:7" x14ac:dyDescent="0.15">
      <c r="C235" s="43" t="s">
        <v>296</v>
      </c>
      <c r="D235" s="42">
        <v>0</v>
      </c>
      <c r="E235" s="42">
        <v>0</v>
      </c>
      <c r="F235" s="42">
        <v>3.2398200085846852E-2</v>
      </c>
      <c r="G235">
        <v>0.96760179991415318</v>
      </c>
    </row>
    <row r="236" spans="3:7" x14ac:dyDescent="0.15">
      <c r="C236" s="61" t="s">
        <v>297</v>
      </c>
      <c r="D236" s="60">
        <v>1</v>
      </c>
      <c r="E236" s="60">
        <v>0</v>
      </c>
      <c r="F236" s="60">
        <v>0.36434044946401134</v>
      </c>
      <c r="G236" s="59">
        <v>0.63565955053598866</v>
      </c>
    </row>
    <row r="237" spans="3:7" x14ac:dyDescent="0.15">
      <c r="C237" s="43" t="s">
        <v>298</v>
      </c>
      <c r="D237" s="42">
        <v>1</v>
      </c>
      <c r="E237" s="42">
        <v>1</v>
      </c>
      <c r="F237" s="42">
        <v>0.81731015637776105</v>
      </c>
      <c r="G237">
        <v>0.18268984362223895</v>
      </c>
    </row>
    <row r="238" spans="3:7" x14ac:dyDescent="0.15">
      <c r="C238" s="43" t="s">
        <v>299</v>
      </c>
      <c r="D238" s="42">
        <v>1</v>
      </c>
      <c r="E238" s="42">
        <v>1</v>
      </c>
      <c r="F238" s="42">
        <v>0.58820268920260421</v>
      </c>
      <c r="G238">
        <v>0.41179731079739579</v>
      </c>
    </row>
    <row r="239" spans="3:7" x14ac:dyDescent="0.15">
      <c r="C239" s="43" t="s">
        <v>300</v>
      </c>
      <c r="D239" s="42">
        <v>1</v>
      </c>
      <c r="E239" s="42">
        <v>1</v>
      </c>
      <c r="F239" s="42">
        <v>0.91884654994861659</v>
      </c>
      <c r="G239">
        <v>8.1153450051383413E-2</v>
      </c>
    </row>
    <row r="240" spans="3:7" x14ac:dyDescent="0.15">
      <c r="C240" s="43" t="s">
        <v>301</v>
      </c>
      <c r="D240" s="42">
        <v>1</v>
      </c>
      <c r="E240" s="42">
        <v>1</v>
      </c>
      <c r="F240" s="42">
        <v>0.99878117253234067</v>
      </c>
      <c r="G240">
        <v>1.2188274676593336E-3</v>
      </c>
    </row>
    <row r="241" spans="3:7" x14ac:dyDescent="0.15">
      <c r="C241" s="43" t="s">
        <v>302</v>
      </c>
      <c r="D241" s="42">
        <v>0</v>
      </c>
      <c r="E241" s="42">
        <v>0</v>
      </c>
      <c r="F241" s="42">
        <v>8.090769230467125E-2</v>
      </c>
      <c r="G241">
        <v>0.91909230769532879</v>
      </c>
    </row>
    <row r="242" spans="3:7" x14ac:dyDescent="0.15">
      <c r="C242" s="61" t="s">
        <v>303</v>
      </c>
      <c r="D242" s="60">
        <v>0</v>
      </c>
      <c r="E242" s="60">
        <v>1</v>
      </c>
      <c r="F242" s="60">
        <v>0.52638662956182747</v>
      </c>
      <c r="G242" s="59">
        <v>0.47361337043817253</v>
      </c>
    </row>
    <row r="243" spans="3:7" x14ac:dyDescent="0.15">
      <c r="C243" s="43" t="s">
        <v>304</v>
      </c>
      <c r="D243" s="42">
        <v>0</v>
      </c>
      <c r="E243" s="42">
        <v>0</v>
      </c>
      <c r="F243" s="42">
        <v>1.4992989587824712E-2</v>
      </c>
      <c r="G243">
        <v>0.98500701041217531</v>
      </c>
    </row>
    <row r="244" spans="3:7" x14ac:dyDescent="0.15">
      <c r="C244" s="61" t="s">
        <v>305</v>
      </c>
      <c r="D244" s="60">
        <v>0</v>
      </c>
      <c r="E244" s="60">
        <v>1</v>
      </c>
      <c r="F244" s="60">
        <v>0.54335333720441337</v>
      </c>
      <c r="G244" s="59">
        <v>0.45664666279558663</v>
      </c>
    </row>
    <row r="245" spans="3:7" x14ac:dyDescent="0.15">
      <c r="C245" s="43" t="s">
        <v>306</v>
      </c>
      <c r="D245" s="42">
        <v>1</v>
      </c>
      <c r="E245" s="42">
        <v>1</v>
      </c>
      <c r="F245" s="42">
        <v>0.75817758855823414</v>
      </c>
      <c r="G245">
        <v>0.24182241144176586</v>
      </c>
    </row>
    <row r="246" spans="3:7" x14ac:dyDescent="0.15">
      <c r="C246" s="43" t="s">
        <v>307</v>
      </c>
      <c r="D246" s="42">
        <v>0</v>
      </c>
      <c r="E246" s="42">
        <v>0</v>
      </c>
      <c r="F246" s="42">
        <v>1.4795435976781308E-3</v>
      </c>
      <c r="G246">
        <v>0.9985204564023219</v>
      </c>
    </row>
    <row r="247" spans="3:7" x14ac:dyDescent="0.15">
      <c r="C247" s="43" t="s">
        <v>308</v>
      </c>
      <c r="D247" s="42">
        <v>0</v>
      </c>
      <c r="E247" s="42">
        <v>0</v>
      </c>
      <c r="F247" s="42">
        <v>0.12508929098397245</v>
      </c>
      <c r="G247">
        <v>0.87491070901602752</v>
      </c>
    </row>
    <row r="248" spans="3:7" x14ac:dyDescent="0.15">
      <c r="C248" s="43" t="s">
        <v>309</v>
      </c>
      <c r="D248" s="42">
        <v>1</v>
      </c>
      <c r="E248" s="42">
        <v>1</v>
      </c>
      <c r="F248" s="42">
        <v>0.99823842958690734</v>
      </c>
      <c r="G248">
        <v>1.7615704130926613E-3</v>
      </c>
    </row>
    <row r="249" spans="3:7" x14ac:dyDescent="0.15">
      <c r="C249" s="43" t="s">
        <v>310</v>
      </c>
      <c r="D249" s="42">
        <v>0</v>
      </c>
      <c r="E249" s="42">
        <v>0</v>
      </c>
      <c r="F249" s="42">
        <v>6.6550474988684256E-3</v>
      </c>
      <c r="G249">
        <v>0.99334495250113153</v>
      </c>
    </row>
    <row r="250" spans="3:7" x14ac:dyDescent="0.15">
      <c r="C250" s="43" t="s">
        <v>311</v>
      </c>
      <c r="D250" s="42">
        <v>1</v>
      </c>
      <c r="E250" s="42">
        <v>1</v>
      </c>
      <c r="F250" s="42">
        <v>0.99579759081565522</v>
      </c>
      <c r="G250">
        <v>4.2024091843447797E-3</v>
      </c>
    </row>
    <row r="251" spans="3:7" x14ac:dyDescent="0.15">
      <c r="C251" s="43" t="s">
        <v>312</v>
      </c>
      <c r="D251" s="42">
        <v>1</v>
      </c>
      <c r="E251" s="42">
        <v>1</v>
      </c>
      <c r="F251" s="42">
        <v>0.95815054402489408</v>
      </c>
      <c r="G251">
        <v>4.184945597510592E-2</v>
      </c>
    </row>
    <row r="252" spans="3:7" x14ac:dyDescent="0.15">
      <c r="C252" s="43" t="s">
        <v>313</v>
      </c>
      <c r="D252" s="42">
        <v>1</v>
      </c>
      <c r="E252" s="42">
        <v>1</v>
      </c>
      <c r="F252" s="42">
        <v>0.98838970633692946</v>
      </c>
      <c r="G252">
        <v>1.1610293663070537E-2</v>
      </c>
    </row>
    <row r="253" spans="3:7" x14ac:dyDescent="0.15">
      <c r="C253" s="43" t="s">
        <v>314</v>
      </c>
      <c r="D253" s="42">
        <v>1</v>
      </c>
      <c r="E253" s="42">
        <v>1</v>
      </c>
      <c r="F253" s="42">
        <v>0.99737026443506482</v>
      </c>
      <c r="G253">
        <v>2.6297355649351761E-3</v>
      </c>
    </row>
    <row r="254" spans="3:7" x14ac:dyDescent="0.15">
      <c r="C254" s="43" t="s">
        <v>315</v>
      </c>
      <c r="D254" s="42">
        <v>0</v>
      </c>
      <c r="E254" s="42">
        <v>0</v>
      </c>
      <c r="F254" s="42">
        <v>1.7835096485554062E-3</v>
      </c>
      <c r="G254">
        <v>0.99821649035144455</v>
      </c>
    </row>
    <row r="255" spans="3:7" x14ac:dyDescent="0.15">
      <c r="C255" s="43" t="s">
        <v>316</v>
      </c>
      <c r="D255" s="42">
        <v>1</v>
      </c>
      <c r="E255" s="42">
        <v>1</v>
      </c>
      <c r="F255" s="42">
        <v>0.55506806881370629</v>
      </c>
      <c r="G255">
        <v>0.44493193118629371</v>
      </c>
    </row>
    <row r="256" spans="3:7" x14ac:dyDescent="0.15">
      <c r="C256" s="43" t="s">
        <v>317</v>
      </c>
      <c r="D256" s="42">
        <v>0</v>
      </c>
      <c r="E256" s="42">
        <v>0</v>
      </c>
      <c r="F256" s="42">
        <v>3.7818305523373355E-2</v>
      </c>
      <c r="G256">
        <v>0.9621816944766266</v>
      </c>
    </row>
    <row r="257" spans="3:7" x14ac:dyDescent="0.15">
      <c r="C257" s="43" t="s">
        <v>318</v>
      </c>
      <c r="D257" s="42">
        <v>0</v>
      </c>
      <c r="E257" s="42">
        <v>0</v>
      </c>
      <c r="F257" s="42">
        <v>3.9045450814784423E-2</v>
      </c>
      <c r="G257">
        <v>0.96095454918521561</v>
      </c>
    </row>
    <row r="258" spans="3:7" x14ac:dyDescent="0.15">
      <c r="C258" s="43" t="s">
        <v>319</v>
      </c>
      <c r="D258" s="42">
        <v>0</v>
      </c>
      <c r="E258" s="42">
        <v>0</v>
      </c>
      <c r="F258" s="42">
        <v>6.2988582430485406E-3</v>
      </c>
      <c r="G258">
        <v>0.99370114175695146</v>
      </c>
    </row>
    <row r="259" spans="3:7" x14ac:dyDescent="0.15">
      <c r="C259" s="43" t="s">
        <v>320</v>
      </c>
      <c r="D259" s="42">
        <v>0</v>
      </c>
      <c r="E259" s="42">
        <v>0</v>
      </c>
      <c r="F259" s="42">
        <v>0.16744704074074465</v>
      </c>
      <c r="G259">
        <v>0.83255295925925532</v>
      </c>
    </row>
    <row r="260" spans="3:7" x14ac:dyDescent="0.15">
      <c r="C260" s="61" t="s">
        <v>321</v>
      </c>
      <c r="D260" s="60">
        <v>0</v>
      </c>
      <c r="E260" s="60">
        <v>1</v>
      </c>
      <c r="F260" s="60">
        <v>0.82136992288654176</v>
      </c>
      <c r="G260" s="59">
        <v>0.17863007711345824</v>
      </c>
    </row>
    <row r="261" spans="3:7" x14ac:dyDescent="0.15">
      <c r="C261" s="43" t="s">
        <v>322</v>
      </c>
      <c r="D261" s="42">
        <v>0</v>
      </c>
      <c r="E261" s="42">
        <v>0</v>
      </c>
      <c r="F261" s="42">
        <v>2.8114731702557033E-3</v>
      </c>
      <c r="G261">
        <v>0.99718852682974435</v>
      </c>
    </row>
    <row r="262" spans="3:7" x14ac:dyDescent="0.15">
      <c r="C262" s="43" t="s">
        <v>323</v>
      </c>
      <c r="D262" s="42">
        <v>1</v>
      </c>
      <c r="E262" s="42">
        <v>1</v>
      </c>
      <c r="F262" s="42">
        <v>0.96153830869841839</v>
      </c>
      <c r="G262">
        <v>3.8461691301581613E-2</v>
      </c>
    </row>
    <row r="263" spans="3:7" x14ac:dyDescent="0.15">
      <c r="C263" s="43" t="s">
        <v>324</v>
      </c>
      <c r="D263" s="42">
        <v>0</v>
      </c>
      <c r="E263" s="42">
        <v>0</v>
      </c>
      <c r="F263" s="42">
        <v>6.4661171633418946E-2</v>
      </c>
      <c r="G263">
        <v>0.93533882836658111</v>
      </c>
    </row>
    <row r="264" spans="3:7" x14ac:dyDescent="0.15">
      <c r="C264" s="43" t="s">
        <v>325</v>
      </c>
      <c r="D264" s="42">
        <v>0</v>
      </c>
      <c r="E264" s="42">
        <v>0</v>
      </c>
      <c r="F264" s="42">
        <v>2.1803951405996013E-2</v>
      </c>
      <c r="G264">
        <v>0.978196048594004</v>
      </c>
    </row>
    <row r="265" spans="3:7" x14ac:dyDescent="0.15">
      <c r="C265" s="43" t="s">
        <v>326</v>
      </c>
      <c r="D265" s="42">
        <v>0</v>
      </c>
      <c r="E265" s="42">
        <v>0</v>
      </c>
      <c r="F265" s="42">
        <v>4.2093048174636369E-2</v>
      </c>
      <c r="G265">
        <v>0.95790695182536367</v>
      </c>
    </row>
    <row r="266" spans="3:7" x14ac:dyDescent="0.15">
      <c r="C266" s="43" t="s">
        <v>327</v>
      </c>
      <c r="D266" s="42">
        <v>0</v>
      </c>
      <c r="E266" s="42">
        <v>0</v>
      </c>
      <c r="F266" s="42">
        <v>9.8249075721656403E-3</v>
      </c>
      <c r="G266">
        <v>0.99017509242783441</v>
      </c>
    </row>
    <row r="267" spans="3:7" x14ac:dyDescent="0.15">
      <c r="C267" s="61" t="s">
        <v>328</v>
      </c>
      <c r="D267" s="60">
        <v>0</v>
      </c>
      <c r="E267" s="60">
        <v>1</v>
      </c>
      <c r="F267" s="60">
        <v>0.66149051691052463</v>
      </c>
      <c r="G267" s="59">
        <v>0.33850948308947537</v>
      </c>
    </row>
    <row r="268" spans="3:7" x14ac:dyDescent="0.15">
      <c r="C268" s="43" t="s">
        <v>329</v>
      </c>
      <c r="D268" s="42">
        <v>0</v>
      </c>
      <c r="E268" s="42">
        <v>0</v>
      </c>
      <c r="F268" s="42">
        <v>8.833809557508971E-3</v>
      </c>
      <c r="G268">
        <v>0.99116619044249099</v>
      </c>
    </row>
    <row r="269" spans="3:7" x14ac:dyDescent="0.15">
      <c r="C269" s="43" t="s">
        <v>330</v>
      </c>
      <c r="D269" s="42">
        <v>0</v>
      </c>
      <c r="E269" s="42">
        <v>0</v>
      </c>
      <c r="F269" s="42">
        <v>2.7820016135262382E-3</v>
      </c>
      <c r="G269">
        <v>0.99721799838647374</v>
      </c>
    </row>
    <row r="270" spans="3:7" x14ac:dyDescent="0.15">
      <c r="C270" s="43" t="s">
        <v>331</v>
      </c>
      <c r="D270" s="42">
        <v>1</v>
      </c>
      <c r="E270" s="42">
        <v>1</v>
      </c>
      <c r="F270" s="42">
        <v>0.98052973802583465</v>
      </c>
      <c r="G270">
        <v>1.9470261974165348E-2</v>
      </c>
    </row>
    <row r="271" spans="3:7" x14ac:dyDescent="0.15">
      <c r="C271" s="43" t="s">
        <v>332</v>
      </c>
      <c r="D271" s="42">
        <v>1</v>
      </c>
      <c r="E271" s="42">
        <v>1</v>
      </c>
      <c r="F271" s="42">
        <v>0.53193523309566815</v>
      </c>
      <c r="G271">
        <v>0.46806476690433185</v>
      </c>
    </row>
    <row r="272" spans="3:7" x14ac:dyDescent="0.15">
      <c r="C272" s="43" t="s">
        <v>333</v>
      </c>
      <c r="D272" s="42">
        <v>1</v>
      </c>
      <c r="E272" s="42">
        <v>1</v>
      </c>
      <c r="F272" s="42">
        <v>0.5779501668231275</v>
      </c>
      <c r="G272">
        <v>0.4220498331768725</v>
      </c>
    </row>
    <row r="273" spans="3:7" x14ac:dyDescent="0.15">
      <c r="C273" s="43" t="s">
        <v>334</v>
      </c>
      <c r="D273" s="42">
        <v>0</v>
      </c>
      <c r="E273" s="42">
        <v>0</v>
      </c>
      <c r="F273" s="42">
        <v>0.24730334638879717</v>
      </c>
      <c r="G273">
        <v>0.75269665361120286</v>
      </c>
    </row>
    <row r="274" spans="3:7" x14ac:dyDescent="0.15">
      <c r="C274" s="43" t="s">
        <v>335</v>
      </c>
      <c r="D274" s="42">
        <v>0</v>
      </c>
      <c r="E274" s="42">
        <v>0</v>
      </c>
      <c r="F274" s="42">
        <v>0.4373538190293611</v>
      </c>
      <c r="G274">
        <v>0.5626461809706389</v>
      </c>
    </row>
    <row r="275" spans="3:7" x14ac:dyDescent="0.15">
      <c r="C275" s="61" t="s">
        <v>336</v>
      </c>
      <c r="D275" s="60">
        <v>1</v>
      </c>
      <c r="E275" s="60">
        <v>0</v>
      </c>
      <c r="F275" s="60">
        <v>0.4848286544344973</v>
      </c>
      <c r="G275" s="59">
        <v>0.5151713455655027</v>
      </c>
    </row>
    <row r="276" spans="3:7" x14ac:dyDescent="0.15">
      <c r="C276" s="43" t="s">
        <v>337</v>
      </c>
      <c r="D276" s="42">
        <v>0</v>
      </c>
      <c r="E276" s="42">
        <v>0</v>
      </c>
      <c r="F276" s="42">
        <v>0.47261078594230121</v>
      </c>
      <c r="G276">
        <v>0.52738921405769879</v>
      </c>
    </row>
    <row r="277" spans="3:7" x14ac:dyDescent="0.15">
      <c r="C277" s="43" t="s">
        <v>338</v>
      </c>
      <c r="D277" s="42">
        <v>1</v>
      </c>
      <c r="E277" s="42">
        <v>1</v>
      </c>
      <c r="F277" s="42">
        <v>0.98735866732864241</v>
      </c>
      <c r="G277">
        <v>1.2641332671357586E-2</v>
      </c>
    </row>
    <row r="278" spans="3:7" x14ac:dyDescent="0.15">
      <c r="C278" s="43" t="s">
        <v>339</v>
      </c>
      <c r="D278" s="42">
        <v>1</v>
      </c>
      <c r="E278" s="42">
        <v>1</v>
      </c>
      <c r="F278" s="42">
        <v>0.99204449282432439</v>
      </c>
      <c r="G278">
        <v>7.9555071756756135E-3</v>
      </c>
    </row>
    <row r="279" spans="3:7" x14ac:dyDescent="0.15">
      <c r="C279" s="43" t="s">
        <v>340</v>
      </c>
      <c r="D279" s="42">
        <v>0</v>
      </c>
      <c r="E279" s="42">
        <v>0</v>
      </c>
      <c r="F279" s="42">
        <v>0.17302625029431845</v>
      </c>
      <c r="G279">
        <v>0.82697374970568149</v>
      </c>
    </row>
    <row r="280" spans="3:7" x14ac:dyDescent="0.15">
      <c r="C280" s="61" t="s">
        <v>341</v>
      </c>
      <c r="D280" s="60">
        <v>1</v>
      </c>
      <c r="E280" s="60">
        <v>0</v>
      </c>
      <c r="F280" s="60">
        <v>0.47096716238532277</v>
      </c>
      <c r="G280" s="59">
        <v>0.52903283761467723</v>
      </c>
    </row>
    <row r="281" spans="3:7" x14ac:dyDescent="0.15">
      <c r="C281" s="43" t="s">
        <v>342</v>
      </c>
      <c r="D281" s="42">
        <v>1</v>
      </c>
      <c r="E281" s="42">
        <v>1</v>
      </c>
      <c r="F281" s="42">
        <v>0.94454962477661586</v>
      </c>
      <c r="G281">
        <v>5.5450375223384141E-2</v>
      </c>
    </row>
    <row r="282" spans="3:7" x14ac:dyDescent="0.15">
      <c r="C282" s="43" t="s">
        <v>343</v>
      </c>
      <c r="D282" s="42">
        <v>1</v>
      </c>
      <c r="E282" s="42">
        <v>1</v>
      </c>
      <c r="F282" s="42">
        <v>0.93752651252568675</v>
      </c>
      <c r="G282">
        <v>6.247348747431325E-2</v>
      </c>
    </row>
    <row r="283" spans="3:7" x14ac:dyDescent="0.15">
      <c r="C283" s="43" t="s">
        <v>344</v>
      </c>
      <c r="D283" s="42">
        <v>1</v>
      </c>
      <c r="E283" s="42">
        <v>1</v>
      </c>
      <c r="F283" s="42">
        <v>0.98845547591600003</v>
      </c>
      <c r="G283">
        <v>1.1544524083999974E-2</v>
      </c>
    </row>
    <row r="284" spans="3:7" x14ac:dyDescent="0.15">
      <c r="C284" s="61" t="s">
        <v>345</v>
      </c>
      <c r="D284" s="60">
        <v>0</v>
      </c>
      <c r="E284" s="60">
        <v>1</v>
      </c>
      <c r="F284" s="60">
        <v>0.83593876551874269</v>
      </c>
      <c r="G284" s="59">
        <v>0.16406123448125731</v>
      </c>
    </row>
    <row r="285" spans="3:7" x14ac:dyDescent="0.15">
      <c r="C285" s="43" t="s">
        <v>346</v>
      </c>
      <c r="D285" s="42">
        <v>1</v>
      </c>
      <c r="E285" s="42">
        <v>1</v>
      </c>
      <c r="F285" s="42">
        <v>0.97436340611548311</v>
      </c>
      <c r="G285">
        <v>2.5636593884516889E-2</v>
      </c>
    </row>
    <row r="286" spans="3:7" x14ac:dyDescent="0.15">
      <c r="C286" s="43" t="s">
        <v>347</v>
      </c>
      <c r="D286" s="42">
        <v>0</v>
      </c>
      <c r="E286" s="42">
        <v>0</v>
      </c>
      <c r="F286" s="42">
        <v>0.17112057603514552</v>
      </c>
      <c r="G286">
        <v>0.82887942396485448</v>
      </c>
    </row>
    <row r="287" spans="3:7" x14ac:dyDescent="0.15">
      <c r="C287" s="43" t="s">
        <v>348</v>
      </c>
      <c r="D287" s="42">
        <v>0</v>
      </c>
      <c r="E287" s="42">
        <v>0</v>
      </c>
      <c r="F287" s="42">
        <v>7.7128835124573407E-3</v>
      </c>
      <c r="G287">
        <v>0.99228711648754264</v>
      </c>
    </row>
    <row r="288" spans="3:7" x14ac:dyDescent="0.15">
      <c r="C288" s="43" t="s">
        <v>349</v>
      </c>
      <c r="D288" s="42">
        <v>1</v>
      </c>
      <c r="E288" s="42">
        <v>1</v>
      </c>
      <c r="F288" s="42">
        <v>0.60947433098070869</v>
      </c>
      <c r="G288">
        <v>0.39052566901929131</v>
      </c>
    </row>
    <row r="289" spans="3:7" x14ac:dyDescent="0.15">
      <c r="C289" s="43" t="s">
        <v>350</v>
      </c>
      <c r="D289" s="42">
        <v>1</v>
      </c>
      <c r="E289" s="42">
        <v>1</v>
      </c>
      <c r="F289" s="42">
        <v>0.98805724292211006</v>
      </c>
      <c r="G289">
        <v>1.1942757077889943E-2</v>
      </c>
    </row>
    <row r="290" spans="3:7" x14ac:dyDescent="0.15">
      <c r="C290" s="43" t="s">
        <v>351</v>
      </c>
      <c r="D290" s="42">
        <v>1</v>
      </c>
      <c r="E290" s="42">
        <v>1</v>
      </c>
      <c r="F290" s="42">
        <v>0.99784960463253936</v>
      </c>
      <c r="G290">
        <v>2.1503953674606446E-3</v>
      </c>
    </row>
    <row r="291" spans="3:7" x14ac:dyDescent="0.15">
      <c r="C291" s="61" t="s">
        <v>352</v>
      </c>
      <c r="D291" s="60">
        <v>1</v>
      </c>
      <c r="E291" s="60">
        <v>0</v>
      </c>
      <c r="F291" s="60">
        <v>0.2314359719980725</v>
      </c>
      <c r="G291" s="59">
        <v>0.76856402800192747</v>
      </c>
    </row>
    <row r="292" spans="3:7" x14ac:dyDescent="0.15">
      <c r="C292" s="43" t="s">
        <v>353</v>
      </c>
      <c r="D292" s="42">
        <v>1</v>
      </c>
      <c r="E292" s="42">
        <v>1</v>
      </c>
      <c r="F292" s="42">
        <v>0.99870500359493697</v>
      </c>
      <c r="G292">
        <v>1.2949964050630314E-3</v>
      </c>
    </row>
  </sheetData>
  <mergeCells count="17">
    <mergeCell ref="B3:M3"/>
    <mergeCell ref="P3:S3"/>
    <mergeCell ref="H4:I4"/>
    <mergeCell ref="J4:K4"/>
    <mergeCell ref="L4:M4"/>
    <mergeCell ref="B5:C5"/>
    <mergeCell ref="D5:E5"/>
    <mergeCell ref="F5:G5"/>
    <mergeCell ref="H5:I5"/>
    <mergeCell ref="J5:K5"/>
    <mergeCell ref="L5:M5"/>
    <mergeCell ref="C12:E12"/>
    <mergeCell ref="C17:F17"/>
    <mergeCell ref="C23:D23"/>
    <mergeCell ref="B4:C4"/>
    <mergeCell ref="D4:E4"/>
    <mergeCell ref="F4:G4"/>
  </mergeCells>
  <hyperlinks>
    <hyperlink ref="B4" location="'LogReg_Output'!$B$10:$B$10" display="Inputs" xr:uid="{943AF97F-C1D3-BD42-96D8-A2D27491CF24}"/>
    <hyperlink ref="D4" location="'LogReg_Output'!$B$54:$B$54" display="Regression Summary" xr:uid="{E45B5214-6970-A14A-8039-28C62A172BE8}"/>
    <hyperlink ref="F4" location="'LogReg_Output'!$B$62:$B$62" display="Predictor Screening" xr:uid="{4C1CD05B-6338-7140-922C-699DE6C8FD28}"/>
    <hyperlink ref="H4" location="'LogReg_Output'!$B$81:$B$81" display="Coefficients" xr:uid="{D9C03089-CB8A-E04A-86DE-994F21E28F7F}"/>
    <hyperlink ref="J4" location="'LogReg_Stored'!$B$10:$B$10" display="PMML Model" xr:uid="{E820E9BD-EB51-8642-8997-7803CBFDE071}"/>
    <hyperlink ref="L4" location="'LogReg_TrainingScore'!$B$10:$B$10" display="Training: Classification Summary" xr:uid="{68E91538-8D91-5945-9509-5FEF05967EA0}"/>
    <hyperlink ref="B5" location="'LogReg_TrainingScore'!$B$34:$B$34" display="Training: Classification Details" xr:uid="{91EBD6AD-E62E-9149-97DE-0B565469FB76}"/>
    <hyperlink ref="D5" location="'LogReg_ValidationLiftChart'!$B$10:$B$10" display="Validation: Charts" xr:uid="{AAE6E071-65F8-A545-973A-6245582656E7}"/>
    <hyperlink ref="F5" location="'LogReg_ValidationScore'!$B$10:$B$10" display="Validation: Classification Summary" xr:uid="{91D8D599-AE1E-0F40-88AB-880D6B7395AF}"/>
    <hyperlink ref="H5" location="'LogReg_ValidationScore'!$B$34:$B$34" display="Validation: Classification Details" xr:uid="{60700D34-92E3-1545-A4B0-65FC0C5666FC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46016-D872-3444-890D-F2250FE4B98D}">
  <dimension ref="B1:S1286"/>
  <sheetViews>
    <sheetView showGridLines="0" workbookViewId="0">
      <selection activeCell="C36" sqref="C36:G1286"/>
    </sheetView>
  </sheetViews>
  <sheetFormatPr baseColWidth="10" defaultRowHeight="13" x14ac:dyDescent="0.15"/>
  <cols>
    <col min="3" max="3" width="17" customWidth="1"/>
    <col min="4" max="4" width="15.33203125" customWidth="1"/>
    <col min="5" max="5" width="24.6640625" customWidth="1"/>
    <col min="6" max="7" width="13" customWidth="1"/>
    <col min="16" max="16" width="13.83203125" bestFit="1" customWidth="1"/>
  </cols>
  <sheetData>
    <row r="1" spans="2:19" ht="19" x14ac:dyDescent="0.25">
      <c r="B1" s="40" t="s">
        <v>1803</v>
      </c>
      <c r="N1" t="s">
        <v>1782</v>
      </c>
    </row>
    <row r="3" spans="2:19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P3" s="54" t="s">
        <v>50</v>
      </c>
      <c r="Q3" s="54"/>
      <c r="R3" s="54"/>
      <c r="S3" s="54"/>
    </row>
    <row r="4" spans="2:19" ht="14" x14ac:dyDescent="0.2">
      <c r="B4" s="49" t="s">
        <v>74</v>
      </c>
      <c r="C4" s="49"/>
      <c r="D4" s="49" t="s">
        <v>1797</v>
      </c>
      <c r="E4" s="49"/>
      <c r="F4" s="49" t="s">
        <v>1798</v>
      </c>
      <c r="G4" s="49"/>
      <c r="H4" s="49" t="s">
        <v>1799</v>
      </c>
      <c r="I4" s="49"/>
      <c r="J4" s="49" t="s">
        <v>1605</v>
      </c>
      <c r="K4" s="49"/>
      <c r="L4" s="49" t="s">
        <v>1684</v>
      </c>
      <c r="M4" s="49"/>
      <c r="P4" s="53" t="s">
        <v>86</v>
      </c>
      <c r="Q4" s="53" t="s">
        <v>87</v>
      </c>
      <c r="R4" s="53" t="s">
        <v>52</v>
      </c>
      <c r="S4" s="53" t="s">
        <v>53</v>
      </c>
    </row>
    <row r="5" spans="2:19" ht="14" x14ac:dyDescent="0.2">
      <c r="B5" s="49" t="s">
        <v>1685</v>
      </c>
      <c r="C5" s="49"/>
      <c r="D5" s="49" t="s">
        <v>1686</v>
      </c>
      <c r="E5" s="49"/>
      <c r="F5" s="49" t="s">
        <v>1687</v>
      </c>
      <c r="G5" s="49"/>
      <c r="H5" s="49" t="s">
        <v>1688</v>
      </c>
      <c r="I5" s="49"/>
      <c r="J5" s="56"/>
      <c r="K5" s="56"/>
      <c r="L5" s="56"/>
      <c r="M5" s="56"/>
      <c r="P5" s="45">
        <v>1391</v>
      </c>
      <c r="Q5" s="45">
        <v>40</v>
      </c>
      <c r="R5" s="45">
        <v>116</v>
      </c>
      <c r="S5" s="45">
        <v>1547</v>
      </c>
    </row>
    <row r="10" spans="2:19" ht="19" x14ac:dyDescent="0.25">
      <c r="B10" s="41" t="s">
        <v>1687</v>
      </c>
    </row>
    <row r="12" spans="2:19" ht="16" x14ac:dyDescent="0.2">
      <c r="C12" s="51" t="s">
        <v>1729</v>
      </c>
      <c r="D12" s="51"/>
      <c r="E12" s="51"/>
    </row>
    <row r="13" spans="2:19" x14ac:dyDescent="0.15">
      <c r="C13" s="43" t="s">
        <v>1746</v>
      </c>
      <c r="D13" t="s">
        <v>1750</v>
      </c>
      <c r="E13" t="s">
        <v>1751</v>
      </c>
    </row>
    <row r="14" spans="2:19" x14ac:dyDescent="0.15">
      <c r="C14" s="43">
        <v>0</v>
      </c>
      <c r="D14" s="42">
        <v>1017</v>
      </c>
      <c r="E14">
        <v>105</v>
      </c>
    </row>
    <row r="15" spans="2:19" x14ac:dyDescent="0.15">
      <c r="C15" s="43">
        <v>1</v>
      </c>
      <c r="D15" s="42">
        <v>18</v>
      </c>
      <c r="E15">
        <v>110</v>
      </c>
    </row>
    <row r="17" spans="3:6" ht="16" x14ac:dyDescent="0.2">
      <c r="C17" s="51" t="s">
        <v>1730</v>
      </c>
      <c r="D17" s="51"/>
      <c r="E17" s="51"/>
      <c r="F17" s="51"/>
    </row>
    <row r="18" spans="3:6" x14ac:dyDescent="0.15">
      <c r="C18" t="s">
        <v>1731</v>
      </c>
      <c r="D18" t="s">
        <v>1719</v>
      </c>
      <c r="E18" t="s">
        <v>1744</v>
      </c>
      <c r="F18" t="s">
        <v>1745</v>
      </c>
    </row>
    <row r="19" spans="3:6" x14ac:dyDescent="0.15">
      <c r="C19" s="43">
        <v>0</v>
      </c>
      <c r="D19">
        <f>SUM($D$14:$E$14)</f>
        <v>1122</v>
      </c>
      <c r="E19">
        <f>SUM($D$14:$E$14) - $D$14</f>
        <v>105</v>
      </c>
      <c r="F19">
        <f>IF($D$19=0,"Undefined",$E$19*100 / $D$19)</f>
        <v>9.3582887700534751</v>
      </c>
    </row>
    <row r="20" spans="3:6" x14ac:dyDescent="0.15">
      <c r="C20" s="43">
        <v>1</v>
      </c>
      <c r="D20">
        <f>SUM($D$15:$E$15)</f>
        <v>128</v>
      </c>
      <c r="E20">
        <f>SUM($D$15:$E$15) - $E$15</f>
        <v>18</v>
      </c>
      <c r="F20">
        <f>IF($D$20=0,"Undefined",$E$20*100 / $D$20)</f>
        <v>14.0625</v>
      </c>
    </row>
    <row r="21" spans="3:6" x14ac:dyDescent="0.15">
      <c r="C21" s="43" t="s">
        <v>1732</v>
      </c>
      <c r="D21">
        <f>SUM($D$19:$D$20)</f>
        <v>1250</v>
      </c>
      <c r="E21">
        <f>SUM($E$19:$E$20)</f>
        <v>123</v>
      </c>
      <c r="F21">
        <f>IF($D$21=0,"Undefined",$E$21*100 / $D$21)</f>
        <v>9.84</v>
      </c>
    </row>
    <row r="23" spans="3:6" ht="16" x14ac:dyDescent="0.2">
      <c r="C23" s="51" t="s">
        <v>1733</v>
      </c>
      <c r="D23" s="51"/>
    </row>
    <row r="24" spans="3:6" x14ac:dyDescent="0.15">
      <c r="C24" t="s">
        <v>1734</v>
      </c>
      <c r="D24" t="s">
        <v>1743</v>
      </c>
    </row>
    <row r="25" spans="3:6" x14ac:dyDescent="0.15">
      <c r="C25" t="s">
        <v>1735</v>
      </c>
      <c r="D25">
        <v>1127</v>
      </c>
    </row>
    <row r="26" spans="3:6" x14ac:dyDescent="0.15">
      <c r="C26" t="s">
        <v>1736</v>
      </c>
      <c r="D26">
        <v>90.16</v>
      </c>
    </row>
    <row r="27" spans="3:6" x14ac:dyDescent="0.15">
      <c r="C27" t="s">
        <v>1737</v>
      </c>
      <c r="D27">
        <v>0.9064171122994652</v>
      </c>
    </row>
    <row r="28" spans="3:6" x14ac:dyDescent="0.15">
      <c r="C28" t="s">
        <v>1738</v>
      </c>
      <c r="D28">
        <v>0.859375</v>
      </c>
    </row>
    <row r="29" spans="3:6" x14ac:dyDescent="0.15">
      <c r="C29" t="s">
        <v>1739</v>
      </c>
      <c r="D29">
        <v>0.51162790697674421</v>
      </c>
    </row>
    <row r="30" spans="3:6" x14ac:dyDescent="0.15">
      <c r="C30" t="s">
        <v>1740</v>
      </c>
      <c r="D30">
        <v>0.64139941690962099</v>
      </c>
    </row>
    <row r="31" spans="3:6" x14ac:dyDescent="0.15">
      <c r="C31" t="s">
        <v>1741</v>
      </c>
      <c r="D31">
        <v>1</v>
      </c>
    </row>
    <row r="32" spans="3:6" x14ac:dyDescent="0.15">
      <c r="C32" t="s">
        <v>1742</v>
      </c>
      <c r="D32">
        <v>0.5</v>
      </c>
    </row>
    <row r="34" spans="2:7" ht="19" x14ac:dyDescent="0.25">
      <c r="B34" s="41" t="s">
        <v>1688</v>
      </c>
    </row>
    <row r="36" spans="2:7" x14ac:dyDescent="0.15">
      <c r="C36" s="43" t="s">
        <v>97</v>
      </c>
      <c r="D36" t="s">
        <v>8</v>
      </c>
      <c r="E36" t="s">
        <v>1747</v>
      </c>
      <c r="F36" t="s">
        <v>1749</v>
      </c>
      <c r="G36" t="s">
        <v>1748</v>
      </c>
    </row>
    <row r="37" spans="2:7" x14ac:dyDescent="0.15">
      <c r="C37" s="43" t="s">
        <v>354</v>
      </c>
      <c r="D37" s="42">
        <v>0</v>
      </c>
      <c r="E37" s="42">
        <v>0</v>
      </c>
      <c r="F37" s="42">
        <v>0.14549922229520401</v>
      </c>
      <c r="G37">
        <v>0.85450077770479593</v>
      </c>
    </row>
    <row r="38" spans="2:7" x14ac:dyDescent="0.15">
      <c r="C38" s="43" t="s">
        <v>355</v>
      </c>
      <c r="D38" s="42">
        <v>0</v>
      </c>
      <c r="E38" s="42">
        <v>0</v>
      </c>
      <c r="F38" s="42">
        <v>4.1556366977935095E-3</v>
      </c>
      <c r="G38">
        <v>0.99584436330220649</v>
      </c>
    </row>
    <row r="39" spans="2:7" x14ac:dyDescent="0.15">
      <c r="C39" s="43" t="s">
        <v>356</v>
      </c>
      <c r="D39" s="42">
        <v>0</v>
      </c>
      <c r="E39" s="42">
        <v>0</v>
      </c>
      <c r="F39" s="42">
        <v>0.22034499853353384</v>
      </c>
      <c r="G39">
        <v>0.77965500146646616</v>
      </c>
    </row>
    <row r="40" spans="2:7" x14ac:dyDescent="0.15">
      <c r="C40" s="43" t="s">
        <v>357</v>
      </c>
      <c r="D40" s="42">
        <v>0</v>
      </c>
      <c r="E40" s="42">
        <v>0</v>
      </c>
      <c r="F40" s="42">
        <v>3.5869509040135784E-2</v>
      </c>
      <c r="G40">
        <v>0.96413049095986425</v>
      </c>
    </row>
    <row r="41" spans="2:7" x14ac:dyDescent="0.15">
      <c r="C41" s="61" t="s">
        <v>358</v>
      </c>
      <c r="D41" s="60">
        <v>0</v>
      </c>
      <c r="E41" s="60">
        <v>1</v>
      </c>
      <c r="F41" s="60">
        <v>0.55130948987817208</v>
      </c>
      <c r="G41" s="59">
        <v>0.44869051012182792</v>
      </c>
    </row>
    <row r="42" spans="2:7" x14ac:dyDescent="0.15">
      <c r="C42" s="43" t="s">
        <v>359</v>
      </c>
      <c r="D42" s="42">
        <v>0</v>
      </c>
      <c r="E42" s="42">
        <v>0</v>
      </c>
      <c r="F42" s="42">
        <v>9.1542726336020383E-2</v>
      </c>
      <c r="G42">
        <v>0.90845727366397966</v>
      </c>
    </row>
    <row r="43" spans="2:7" x14ac:dyDescent="0.15">
      <c r="C43" s="43" t="s">
        <v>360</v>
      </c>
      <c r="D43" s="42">
        <v>0</v>
      </c>
      <c r="E43" s="42">
        <v>0</v>
      </c>
      <c r="F43" s="42">
        <v>1.1899345902840976E-2</v>
      </c>
      <c r="G43">
        <v>0.98810065409715897</v>
      </c>
    </row>
    <row r="44" spans="2:7" x14ac:dyDescent="0.15">
      <c r="C44" s="43" t="s">
        <v>361</v>
      </c>
      <c r="D44" s="42">
        <v>0</v>
      </c>
      <c r="E44" s="42">
        <v>0</v>
      </c>
      <c r="F44" s="42">
        <v>0.23887128925544515</v>
      </c>
      <c r="G44">
        <v>0.76112871074455479</v>
      </c>
    </row>
    <row r="45" spans="2:7" x14ac:dyDescent="0.15">
      <c r="C45" s="43" t="s">
        <v>362</v>
      </c>
      <c r="D45" s="42">
        <v>0</v>
      </c>
      <c r="E45" s="42">
        <v>0</v>
      </c>
      <c r="F45" s="42">
        <v>1.6045941912051331E-2</v>
      </c>
      <c r="G45">
        <v>0.98395405808794867</v>
      </c>
    </row>
    <row r="46" spans="2:7" x14ac:dyDescent="0.15">
      <c r="C46" s="43" t="s">
        <v>363</v>
      </c>
      <c r="D46" s="42">
        <v>0</v>
      </c>
      <c r="E46" s="42">
        <v>0</v>
      </c>
      <c r="F46" s="42">
        <v>1.2604642991890323E-2</v>
      </c>
      <c r="G46">
        <v>0.98739535700810965</v>
      </c>
    </row>
    <row r="47" spans="2:7" x14ac:dyDescent="0.15">
      <c r="C47" s="61" t="s">
        <v>364</v>
      </c>
      <c r="D47" s="60">
        <v>0</v>
      </c>
      <c r="E47" s="60">
        <v>1</v>
      </c>
      <c r="F47" s="60">
        <v>0.85483850441236442</v>
      </c>
      <c r="G47" s="59">
        <v>0.14516149558763558</v>
      </c>
    </row>
    <row r="48" spans="2:7" x14ac:dyDescent="0.15">
      <c r="C48" s="43" t="s">
        <v>365</v>
      </c>
      <c r="D48" s="42">
        <v>0</v>
      </c>
      <c r="E48" s="42">
        <v>0</v>
      </c>
      <c r="F48" s="42">
        <v>4.4251003991393461E-3</v>
      </c>
      <c r="G48">
        <v>0.99557489960086065</v>
      </c>
    </row>
    <row r="49" spans="3:7" x14ac:dyDescent="0.15">
      <c r="C49" s="61" t="s">
        <v>366</v>
      </c>
      <c r="D49" s="60">
        <v>0</v>
      </c>
      <c r="E49" s="60">
        <v>1</v>
      </c>
      <c r="F49" s="60">
        <v>0.5259537653795513</v>
      </c>
      <c r="G49" s="59">
        <v>0.4740462346204487</v>
      </c>
    </row>
    <row r="50" spans="3:7" x14ac:dyDescent="0.15">
      <c r="C50" s="61" t="s">
        <v>367</v>
      </c>
      <c r="D50" s="60">
        <v>0</v>
      </c>
      <c r="E50" s="60">
        <v>1</v>
      </c>
      <c r="F50" s="60">
        <v>0.50625143912858073</v>
      </c>
      <c r="G50" s="59">
        <v>0.49374856087141927</v>
      </c>
    </row>
    <row r="51" spans="3:7" x14ac:dyDescent="0.15">
      <c r="C51" s="43" t="s">
        <v>368</v>
      </c>
      <c r="D51" s="42">
        <v>0</v>
      </c>
      <c r="E51" s="42">
        <v>0</v>
      </c>
      <c r="F51" s="42">
        <v>7.504417354104476E-3</v>
      </c>
      <c r="G51">
        <v>0.99249558264589555</v>
      </c>
    </row>
    <row r="52" spans="3:7" x14ac:dyDescent="0.15">
      <c r="C52" s="43" t="s">
        <v>369</v>
      </c>
      <c r="D52" s="42">
        <v>0</v>
      </c>
      <c r="E52" s="42">
        <v>0</v>
      </c>
      <c r="F52" s="42">
        <v>0.40645000014987387</v>
      </c>
      <c r="G52">
        <v>0.59354999985012613</v>
      </c>
    </row>
    <row r="53" spans="3:7" x14ac:dyDescent="0.15">
      <c r="C53" s="43" t="s">
        <v>370</v>
      </c>
      <c r="D53" s="42">
        <v>0</v>
      </c>
      <c r="E53" s="42">
        <v>0</v>
      </c>
      <c r="F53" s="42">
        <v>7.5587135332757432E-2</v>
      </c>
      <c r="G53">
        <v>0.9244128646672426</v>
      </c>
    </row>
    <row r="54" spans="3:7" x14ac:dyDescent="0.15">
      <c r="C54" s="43" t="s">
        <v>371</v>
      </c>
      <c r="D54" s="42">
        <v>0</v>
      </c>
      <c r="E54" s="42">
        <v>0</v>
      </c>
      <c r="F54" s="42">
        <v>8.1799124995778613E-2</v>
      </c>
      <c r="G54">
        <v>0.91820087500422143</v>
      </c>
    </row>
    <row r="55" spans="3:7" x14ac:dyDescent="0.15">
      <c r="C55" s="43" t="s">
        <v>372</v>
      </c>
      <c r="D55" s="42">
        <v>0</v>
      </c>
      <c r="E55" s="42">
        <v>0</v>
      </c>
      <c r="F55" s="42">
        <v>2.8643362492858638E-2</v>
      </c>
      <c r="G55">
        <v>0.97135663750714141</v>
      </c>
    </row>
    <row r="56" spans="3:7" x14ac:dyDescent="0.15">
      <c r="C56" s="43" t="s">
        <v>373</v>
      </c>
      <c r="D56" s="42">
        <v>0</v>
      </c>
      <c r="E56" s="42">
        <v>0</v>
      </c>
      <c r="F56" s="42">
        <v>3.8876248654417127E-2</v>
      </c>
      <c r="G56">
        <v>0.96112375134558292</v>
      </c>
    </row>
    <row r="57" spans="3:7" x14ac:dyDescent="0.15">
      <c r="C57" s="43" t="s">
        <v>374</v>
      </c>
      <c r="D57" s="42">
        <v>0</v>
      </c>
      <c r="E57" s="42">
        <v>0</v>
      </c>
      <c r="F57" s="42">
        <v>9.6539024211469912E-2</v>
      </c>
      <c r="G57">
        <v>0.90346097578853013</v>
      </c>
    </row>
    <row r="58" spans="3:7" x14ac:dyDescent="0.15">
      <c r="C58" s="43" t="s">
        <v>375</v>
      </c>
      <c r="D58" s="42">
        <v>0</v>
      </c>
      <c r="E58" s="42">
        <v>0</v>
      </c>
      <c r="F58" s="42">
        <v>0.14988544014060537</v>
      </c>
      <c r="G58">
        <v>0.85011455985939466</v>
      </c>
    </row>
    <row r="59" spans="3:7" x14ac:dyDescent="0.15">
      <c r="C59" s="43" t="s">
        <v>376</v>
      </c>
      <c r="D59" s="42">
        <v>0</v>
      </c>
      <c r="E59" s="42">
        <v>0</v>
      </c>
      <c r="F59" s="42">
        <v>0.21214484999579125</v>
      </c>
      <c r="G59">
        <v>0.7878551500042088</v>
      </c>
    </row>
    <row r="60" spans="3:7" x14ac:dyDescent="0.15">
      <c r="C60" s="61" t="s">
        <v>377</v>
      </c>
      <c r="D60" s="60">
        <v>0</v>
      </c>
      <c r="E60" s="60">
        <v>1</v>
      </c>
      <c r="F60" s="60">
        <v>0.74719798430420536</v>
      </c>
      <c r="G60" s="59">
        <v>0.25280201569579464</v>
      </c>
    </row>
    <row r="61" spans="3:7" x14ac:dyDescent="0.15">
      <c r="C61" s="61" t="s">
        <v>378</v>
      </c>
      <c r="D61" s="60">
        <v>1</v>
      </c>
      <c r="E61" s="60">
        <v>0</v>
      </c>
      <c r="F61" s="60">
        <v>0.10205005734643152</v>
      </c>
      <c r="G61" s="59">
        <v>0.89794994265356842</v>
      </c>
    </row>
    <row r="62" spans="3:7" x14ac:dyDescent="0.15">
      <c r="C62" s="43" t="s">
        <v>379</v>
      </c>
      <c r="D62" s="42">
        <v>0</v>
      </c>
      <c r="E62" s="42">
        <v>0</v>
      </c>
      <c r="F62" s="42">
        <v>3.4619574974077146E-2</v>
      </c>
      <c r="G62">
        <v>0.96538042502592281</v>
      </c>
    </row>
    <row r="63" spans="3:7" x14ac:dyDescent="0.15">
      <c r="C63" s="43" t="s">
        <v>380</v>
      </c>
      <c r="D63" s="42">
        <v>0</v>
      </c>
      <c r="E63" s="42">
        <v>0</v>
      </c>
      <c r="F63" s="42">
        <v>9.6551990842027854E-2</v>
      </c>
      <c r="G63">
        <v>0.90344800915797219</v>
      </c>
    </row>
    <row r="64" spans="3:7" x14ac:dyDescent="0.15">
      <c r="C64" s="43" t="s">
        <v>381</v>
      </c>
      <c r="D64" s="42">
        <v>0</v>
      </c>
      <c r="E64" s="42">
        <v>0</v>
      </c>
      <c r="F64" s="42">
        <v>0.17038218394540217</v>
      </c>
      <c r="G64">
        <v>0.82961781605459783</v>
      </c>
    </row>
    <row r="65" spans="3:7" x14ac:dyDescent="0.15">
      <c r="C65" s="43" t="s">
        <v>382</v>
      </c>
      <c r="D65" s="42">
        <v>0</v>
      </c>
      <c r="E65" s="42">
        <v>0</v>
      </c>
      <c r="F65" s="42">
        <v>5.1219326503214813E-2</v>
      </c>
      <c r="G65">
        <v>0.94878067349678519</v>
      </c>
    </row>
    <row r="66" spans="3:7" x14ac:dyDescent="0.15">
      <c r="C66" s="43" t="s">
        <v>383</v>
      </c>
      <c r="D66" s="42">
        <v>0</v>
      </c>
      <c r="E66" s="42">
        <v>0</v>
      </c>
      <c r="F66" s="42">
        <v>0.14690151611053914</v>
      </c>
      <c r="G66">
        <v>0.85309848388946086</v>
      </c>
    </row>
    <row r="67" spans="3:7" x14ac:dyDescent="0.15">
      <c r="C67" s="43" t="s">
        <v>384</v>
      </c>
      <c r="D67" s="42">
        <v>0</v>
      </c>
      <c r="E67" s="42">
        <v>0</v>
      </c>
      <c r="F67" s="42">
        <v>8.9561498317292029E-3</v>
      </c>
      <c r="G67">
        <v>0.99104385016827079</v>
      </c>
    </row>
    <row r="68" spans="3:7" x14ac:dyDescent="0.15">
      <c r="C68" s="43" t="s">
        <v>385</v>
      </c>
      <c r="D68" s="42">
        <v>0</v>
      </c>
      <c r="E68" s="42">
        <v>0</v>
      </c>
      <c r="F68" s="42">
        <v>6.0500804284201303E-3</v>
      </c>
      <c r="G68">
        <v>0.99394991957157985</v>
      </c>
    </row>
    <row r="69" spans="3:7" x14ac:dyDescent="0.15">
      <c r="C69" s="43" t="s">
        <v>386</v>
      </c>
      <c r="D69" s="42">
        <v>0</v>
      </c>
      <c r="E69" s="42">
        <v>0</v>
      </c>
      <c r="F69" s="42">
        <v>0.20486395171758118</v>
      </c>
      <c r="G69">
        <v>0.79513604828241879</v>
      </c>
    </row>
    <row r="70" spans="3:7" x14ac:dyDescent="0.15">
      <c r="C70" s="43" t="s">
        <v>387</v>
      </c>
      <c r="D70" s="42">
        <v>0</v>
      </c>
      <c r="E70" s="42">
        <v>0</v>
      </c>
      <c r="F70" s="42">
        <v>4.1208056471355996E-2</v>
      </c>
      <c r="G70">
        <v>0.95879194352864405</v>
      </c>
    </row>
    <row r="71" spans="3:7" x14ac:dyDescent="0.15">
      <c r="C71" s="43" t="s">
        <v>388</v>
      </c>
      <c r="D71" s="42">
        <v>0</v>
      </c>
      <c r="E71" s="42">
        <v>0</v>
      </c>
      <c r="F71" s="42">
        <v>2.4673595077267927E-4</v>
      </c>
      <c r="G71">
        <v>0.99975326404922737</v>
      </c>
    </row>
    <row r="72" spans="3:7" x14ac:dyDescent="0.15">
      <c r="C72" s="43" t="s">
        <v>389</v>
      </c>
      <c r="D72" s="42">
        <v>0</v>
      </c>
      <c r="E72" s="42">
        <v>0</v>
      </c>
      <c r="F72" s="42">
        <v>1.4194454195324549E-2</v>
      </c>
      <c r="G72">
        <v>0.9858055458046755</v>
      </c>
    </row>
    <row r="73" spans="3:7" x14ac:dyDescent="0.15">
      <c r="C73" s="43" t="s">
        <v>390</v>
      </c>
      <c r="D73" s="42">
        <v>0</v>
      </c>
      <c r="E73" s="42">
        <v>0</v>
      </c>
      <c r="F73" s="42">
        <v>9.7176291944825709E-3</v>
      </c>
      <c r="G73">
        <v>0.9902823708055174</v>
      </c>
    </row>
    <row r="74" spans="3:7" x14ac:dyDescent="0.15">
      <c r="C74" s="43" t="s">
        <v>391</v>
      </c>
      <c r="D74" s="42">
        <v>0</v>
      </c>
      <c r="E74" s="42">
        <v>0</v>
      </c>
      <c r="F74" s="42">
        <v>6.5929046445829739E-3</v>
      </c>
      <c r="G74">
        <v>0.99340709535541705</v>
      </c>
    </row>
    <row r="75" spans="3:7" x14ac:dyDescent="0.15">
      <c r="C75" s="43" t="s">
        <v>392</v>
      </c>
      <c r="D75" s="42">
        <v>0</v>
      </c>
      <c r="E75" s="42">
        <v>0</v>
      </c>
      <c r="F75" s="42">
        <v>8.7499203275736848E-2</v>
      </c>
      <c r="G75">
        <v>0.9125007967242631</v>
      </c>
    </row>
    <row r="76" spans="3:7" x14ac:dyDescent="0.15">
      <c r="C76" s="43" t="s">
        <v>393</v>
      </c>
      <c r="D76" s="42">
        <v>0</v>
      </c>
      <c r="E76" s="42">
        <v>0</v>
      </c>
      <c r="F76" s="42">
        <v>3.8989276818044101E-2</v>
      </c>
      <c r="G76">
        <v>0.96101072318195591</v>
      </c>
    </row>
    <row r="77" spans="3:7" x14ac:dyDescent="0.15">
      <c r="C77" s="43" t="s">
        <v>394</v>
      </c>
      <c r="D77" s="42">
        <v>0</v>
      </c>
      <c r="E77" s="42">
        <v>0</v>
      </c>
      <c r="F77" s="42">
        <v>9.157568472231524E-2</v>
      </c>
      <c r="G77">
        <v>0.90842431527768475</v>
      </c>
    </row>
    <row r="78" spans="3:7" x14ac:dyDescent="0.15">
      <c r="C78" s="43" t="s">
        <v>395</v>
      </c>
      <c r="D78" s="42">
        <v>0</v>
      </c>
      <c r="E78" s="42">
        <v>0</v>
      </c>
      <c r="F78" s="42">
        <v>4.9781159612434511E-2</v>
      </c>
      <c r="G78">
        <v>0.95021884038756554</v>
      </c>
    </row>
    <row r="79" spans="3:7" x14ac:dyDescent="0.15">
      <c r="C79" s="61" t="s">
        <v>396</v>
      </c>
      <c r="D79" s="60">
        <v>0</v>
      </c>
      <c r="E79" s="60">
        <v>1</v>
      </c>
      <c r="F79" s="60">
        <v>0.70932269140505178</v>
      </c>
      <c r="G79" s="59">
        <v>0.29067730859494822</v>
      </c>
    </row>
    <row r="80" spans="3:7" x14ac:dyDescent="0.15">
      <c r="C80" s="43" t="s">
        <v>397</v>
      </c>
      <c r="D80" s="42">
        <v>0</v>
      </c>
      <c r="E80" s="42">
        <v>0</v>
      </c>
      <c r="F80" s="42">
        <v>0.11860824546399401</v>
      </c>
      <c r="G80">
        <v>0.88139175453600593</v>
      </c>
    </row>
    <row r="81" spans="3:7" x14ac:dyDescent="0.15">
      <c r="C81" s="61" t="s">
        <v>398</v>
      </c>
      <c r="D81" s="60">
        <v>0</v>
      </c>
      <c r="E81" s="60">
        <v>1</v>
      </c>
      <c r="F81" s="60">
        <v>0.51620277051519814</v>
      </c>
      <c r="G81" s="59">
        <v>0.48379722948480186</v>
      </c>
    </row>
    <row r="82" spans="3:7" x14ac:dyDescent="0.15">
      <c r="C82" s="43" t="s">
        <v>399</v>
      </c>
      <c r="D82" s="42">
        <v>0</v>
      </c>
      <c r="E82" s="42">
        <v>0</v>
      </c>
      <c r="F82" s="42">
        <v>5.099134559741177E-3</v>
      </c>
      <c r="G82">
        <v>0.9949008654402588</v>
      </c>
    </row>
    <row r="83" spans="3:7" x14ac:dyDescent="0.15">
      <c r="C83" s="43" t="s">
        <v>400</v>
      </c>
      <c r="D83" s="42">
        <v>0</v>
      </c>
      <c r="E83" s="42">
        <v>0</v>
      </c>
      <c r="F83" s="42">
        <v>0.15632850071768628</v>
      </c>
      <c r="G83">
        <v>0.84367149928231377</v>
      </c>
    </row>
    <row r="84" spans="3:7" x14ac:dyDescent="0.15">
      <c r="C84" s="43" t="s">
        <v>401</v>
      </c>
      <c r="D84" s="42">
        <v>0</v>
      </c>
      <c r="E84" s="42">
        <v>0</v>
      </c>
      <c r="F84" s="42">
        <v>0.13337312902218673</v>
      </c>
      <c r="G84">
        <v>0.86662687097781332</v>
      </c>
    </row>
    <row r="85" spans="3:7" x14ac:dyDescent="0.15">
      <c r="C85" s="43" t="s">
        <v>402</v>
      </c>
      <c r="D85" s="42">
        <v>0</v>
      </c>
      <c r="E85" s="42">
        <v>0</v>
      </c>
      <c r="F85" s="42">
        <v>0.43558559018247311</v>
      </c>
      <c r="G85">
        <v>0.56441440981752689</v>
      </c>
    </row>
    <row r="86" spans="3:7" x14ac:dyDescent="0.15">
      <c r="C86" s="43" t="s">
        <v>403</v>
      </c>
      <c r="D86" s="42">
        <v>0</v>
      </c>
      <c r="E86" s="42">
        <v>0</v>
      </c>
      <c r="F86" s="42">
        <v>3.9009433861393751E-2</v>
      </c>
      <c r="G86">
        <v>0.96099056613860623</v>
      </c>
    </row>
    <row r="87" spans="3:7" x14ac:dyDescent="0.15">
      <c r="C87" s="43" t="s">
        <v>404</v>
      </c>
      <c r="D87" s="42">
        <v>1</v>
      </c>
      <c r="E87" s="42">
        <v>1</v>
      </c>
      <c r="F87" s="42">
        <v>0.99580360423989556</v>
      </c>
      <c r="G87">
        <v>4.1963957601044433E-3</v>
      </c>
    </row>
    <row r="88" spans="3:7" x14ac:dyDescent="0.15">
      <c r="C88" s="43" t="s">
        <v>405</v>
      </c>
      <c r="D88" s="42">
        <v>0</v>
      </c>
      <c r="E88" s="42">
        <v>0</v>
      </c>
      <c r="F88" s="42">
        <v>3.5841129784159489E-3</v>
      </c>
      <c r="G88">
        <v>0.99641588702158401</v>
      </c>
    </row>
    <row r="89" spans="3:7" x14ac:dyDescent="0.15">
      <c r="C89" s="43" t="s">
        <v>406</v>
      </c>
      <c r="D89" s="42">
        <v>0</v>
      </c>
      <c r="E89" s="42">
        <v>0</v>
      </c>
      <c r="F89" s="42">
        <v>9.0399780992495894E-4</v>
      </c>
      <c r="G89">
        <v>0.99909600219007499</v>
      </c>
    </row>
    <row r="90" spans="3:7" x14ac:dyDescent="0.15">
      <c r="C90" s="43" t="s">
        <v>407</v>
      </c>
      <c r="D90" s="42">
        <v>0</v>
      </c>
      <c r="E90" s="42">
        <v>0</v>
      </c>
      <c r="F90" s="42">
        <v>0.29247641433668503</v>
      </c>
      <c r="G90">
        <v>0.70752358566331497</v>
      </c>
    </row>
    <row r="91" spans="3:7" x14ac:dyDescent="0.15">
      <c r="C91" s="61" t="s">
        <v>408</v>
      </c>
      <c r="D91" s="60">
        <v>1</v>
      </c>
      <c r="E91" s="60">
        <v>0</v>
      </c>
      <c r="F91" s="60">
        <v>1.049427486608007E-2</v>
      </c>
      <c r="G91" s="59">
        <v>0.98950572513391988</v>
      </c>
    </row>
    <row r="92" spans="3:7" x14ac:dyDescent="0.15">
      <c r="C92" s="61" t="s">
        <v>409</v>
      </c>
      <c r="D92" s="60">
        <v>1</v>
      </c>
      <c r="E92" s="60">
        <v>0</v>
      </c>
      <c r="F92" s="60">
        <v>0.18184225672219131</v>
      </c>
      <c r="G92" s="59">
        <v>0.81815774327780866</v>
      </c>
    </row>
    <row r="93" spans="3:7" x14ac:dyDescent="0.15">
      <c r="C93" s="43" t="s">
        <v>410</v>
      </c>
      <c r="D93" s="42">
        <v>0</v>
      </c>
      <c r="E93" s="42">
        <v>0</v>
      </c>
      <c r="F93" s="42">
        <v>0.43734978814025749</v>
      </c>
      <c r="G93">
        <v>0.56265021185974251</v>
      </c>
    </row>
    <row r="94" spans="3:7" x14ac:dyDescent="0.15">
      <c r="C94" s="43" t="s">
        <v>411</v>
      </c>
      <c r="D94" s="42">
        <v>0</v>
      </c>
      <c r="E94" s="42">
        <v>0</v>
      </c>
      <c r="F94" s="42">
        <v>2.5422977251545499E-2</v>
      </c>
      <c r="G94">
        <v>0.97457702274845448</v>
      </c>
    </row>
    <row r="95" spans="3:7" x14ac:dyDescent="0.15">
      <c r="C95" s="43" t="s">
        <v>412</v>
      </c>
      <c r="D95" s="42">
        <v>0</v>
      </c>
      <c r="E95" s="42">
        <v>0</v>
      </c>
      <c r="F95" s="42">
        <v>1.9194563667954852E-3</v>
      </c>
      <c r="G95">
        <v>0.99808054363320453</v>
      </c>
    </row>
    <row r="96" spans="3:7" x14ac:dyDescent="0.15">
      <c r="C96" s="61" t="s">
        <v>413</v>
      </c>
      <c r="D96" s="60">
        <v>0</v>
      </c>
      <c r="E96" s="60">
        <v>1</v>
      </c>
      <c r="F96" s="60">
        <v>0.7996676695451741</v>
      </c>
      <c r="G96" s="59">
        <v>0.2003323304548259</v>
      </c>
    </row>
    <row r="97" spans="3:7" x14ac:dyDescent="0.15">
      <c r="C97" s="61" t="s">
        <v>414</v>
      </c>
      <c r="D97" s="60">
        <v>0</v>
      </c>
      <c r="E97" s="60">
        <v>1</v>
      </c>
      <c r="F97" s="60">
        <v>0.59918255774136986</v>
      </c>
      <c r="G97" s="59">
        <v>0.40081744225863014</v>
      </c>
    </row>
    <row r="98" spans="3:7" x14ac:dyDescent="0.15">
      <c r="C98" s="61" t="s">
        <v>415</v>
      </c>
      <c r="D98" s="60">
        <v>0</v>
      </c>
      <c r="E98" s="60">
        <v>1</v>
      </c>
      <c r="F98" s="60">
        <v>0.73657813759982427</v>
      </c>
      <c r="G98" s="59">
        <v>0.26342186240017573</v>
      </c>
    </row>
    <row r="99" spans="3:7" x14ac:dyDescent="0.15">
      <c r="C99" s="43" t="s">
        <v>416</v>
      </c>
      <c r="D99" s="42">
        <v>0</v>
      </c>
      <c r="E99" s="42">
        <v>0</v>
      </c>
      <c r="F99" s="42">
        <v>4.5211743032417097E-3</v>
      </c>
      <c r="G99">
        <v>0.99547882569675827</v>
      </c>
    </row>
    <row r="100" spans="3:7" x14ac:dyDescent="0.15">
      <c r="C100" s="61" t="s">
        <v>417</v>
      </c>
      <c r="D100" s="60">
        <v>0</v>
      </c>
      <c r="E100" s="60">
        <v>1</v>
      </c>
      <c r="F100" s="60">
        <v>0.97245648232852522</v>
      </c>
      <c r="G100" s="59">
        <v>2.7543517671474782E-2</v>
      </c>
    </row>
    <row r="101" spans="3:7" x14ac:dyDescent="0.15">
      <c r="C101" s="43" t="s">
        <v>418</v>
      </c>
      <c r="D101" s="42">
        <v>0</v>
      </c>
      <c r="E101" s="42">
        <v>0</v>
      </c>
      <c r="F101" s="42">
        <v>5.7461388370788407E-4</v>
      </c>
      <c r="G101">
        <v>0.99942538611629217</v>
      </c>
    </row>
    <row r="102" spans="3:7" x14ac:dyDescent="0.15">
      <c r="C102" s="43" t="s">
        <v>419</v>
      </c>
      <c r="D102" s="42">
        <v>0</v>
      </c>
      <c r="E102" s="42">
        <v>0</v>
      </c>
      <c r="F102" s="42">
        <v>6.8583320042394688E-2</v>
      </c>
      <c r="G102">
        <v>0.93141667995760535</v>
      </c>
    </row>
    <row r="103" spans="3:7" x14ac:dyDescent="0.15">
      <c r="C103" s="43" t="s">
        <v>420</v>
      </c>
      <c r="D103" s="42">
        <v>0</v>
      </c>
      <c r="E103" s="42">
        <v>0</v>
      </c>
      <c r="F103" s="42">
        <v>2.4475594243162722E-2</v>
      </c>
      <c r="G103">
        <v>0.9755244057568373</v>
      </c>
    </row>
    <row r="104" spans="3:7" x14ac:dyDescent="0.15">
      <c r="C104" s="43" t="s">
        <v>421</v>
      </c>
      <c r="D104" s="42">
        <v>0</v>
      </c>
      <c r="E104" s="42">
        <v>0</v>
      </c>
      <c r="F104" s="42">
        <v>5.1974079957835331E-2</v>
      </c>
      <c r="G104">
        <v>0.94802592004216468</v>
      </c>
    </row>
    <row r="105" spans="3:7" x14ac:dyDescent="0.15">
      <c r="C105" s="43" t="s">
        <v>422</v>
      </c>
      <c r="D105" s="42">
        <v>0</v>
      </c>
      <c r="E105" s="42">
        <v>0</v>
      </c>
      <c r="F105" s="42">
        <v>0.10359173653705313</v>
      </c>
      <c r="G105">
        <v>0.89640826346294689</v>
      </c>
    </row>
    <row r="106" spans="3:7" x14ac:dyDescent="0.15">
      <c r="C106" s="43" t="s">
        <v>423</v>
      </c>
      <c r="D106" s="42">
        <v>1</v>
      </c>
      <c r="E106" s="42">
        <v>1</v>
      </c>
      <c r="F106" s="42">
        <v>0.80288784807179636</v>
      </c>
      <c r="G106">
        <v>0.19711215192820364</v>
      </c>
    </row>
    <row r="107" spans="3:7" x14ac:dyDescent="0.15">
      <c r="C107" s="43" t="s">
        <v>424</v>
      </c>
      <c r="D107" s="42">
        <v>0</v>
      </c>
      <c r="E107" s="42">
        <v>0</v>
      </c>
      <c r="F107" s="42">
        <v>3.7598698841720096E-2</v>
      </c>
      <c r="G107">
        <v>0.96240130115827993</v>
      </c>
    </row>
    <row r="108" spans="3:7" x14ac:dyDescent="0.15">
      <c r="C108" s="43" t="s">
        <v>425</v>
      </c>
      <c r="D108" s="42">
        <v>0</v>
      </c>
      <c r="E108" s="42">
        <v>0</v>
      </c>
      <c r="F108" s="42">
        <v>9.8228087318495541E-2</v>
      </c>
      <c r="G108">
        <v>0.90177191268150447</v>
      </c>
    </row>
    <row r="109" spans="3:7" x14ac:dyDescent="0.15">
      <c r="C109" s="43" t="s">
        <v>426</v>
      </c>
      <c r="D109" s="42">
        <v>0</v>
      </c>
      <c r="E109" s="42">
        <v>0</v>
      </c>
      <c r="F109" s="42">
        <v>1.4206524208863066E-2</v>
      </c>
      <c r="G109">
        <v>0.98579347579113696</v>
      </c>
    </row>
    <row r="110" spans="3:7" x14ac:dyDescent="0.15">
      <c r="C110" s="43" t="s">
        <v>427</v>
      </c>
      <c r="D110" s="42">
        <v>0</v>
      </c>
      <c r="E110" s="42">
        <v>0</v>
      </c>
      <c r="F110" s="42">
        <v>6.8221102475479287E-2</v>
      </c>
      <c r="G110">
        <v>0.9317788975245207</v>
      </c>
    </row>
    <row r="111" spans="3:7" x14ac:dyDescent="0.15">
      <c r="C111" s="43" t="s">
        <v>428</v>
      </c>
      <c r="D111" s="42">
        <v>0</v>
      </c>
      <c r="E111" s="42">
        <v>0</v>
      </c>
      <c r="F111" s="42">
        <v>0.18686779515088789</v>
      </c>
      <c r="G111">
        <v>0.81313220484911208</v>
      </c>
    </row>
    <row r="112" spans="3:7" x14ac:dyDescent="0.15">
      <c r="C112" s="61" t="s">
        <v>429</v>
      </c>
      <c r="D112" s="60">
        <v>0</v>
      </c>
      <c r="E112" s="60">
        <v>1</v>
      </c>
      <c r="F112" s="60">
        <v>0.8409676741873463</v>
      </c>
      <c r="G112" s="59">
        <v>0.1590323258126537</v>
      </c>
    </row>
    <row r="113" spans="3:7" x14ac:dyDescent="0.15">
      <c r="C113" s="43" t="s">
        <v>430</v>
      </c>
      <c r="D113" s="42">
        <v>0</v>
      </c>
      <c r="E113" s="42">
        <v>0</v>
      </c>
      <c r="F113" s="42">
        <v>0.10639886088961413</v>
      </c>
      <c r="G113">
        <v>0.89360113911038586</v>
      </c>
    </row>
    <row r="114" spans="3:7" x14ac:dyDescent="0.15">
      <c r="C114" s="43" t="s">
        <v>431</v>
      </c>
      <c r="D114" s="42">
        <v>0</v>
      </c>
      <c r="E114" s="42">
        <v>0</v>
      </c>
      <c r="F114" s="42">
        <v>3.6642065291647E-2</v>
      </c>
      <c r="G114">
        <v>0.96335793470835296</v>
      </c>
    </row>
    <row r="115" spans="3:7" x14ac:dyDescent="0.15">
      <c r="C115" s="43" t="s">
        <v>432</v>
      </c>
      <c r="D115" s="42">
        <v>0</v>
      </c>
      <c r="E115" s="42">
        <v>0</v>
      </c>
      <c r="F115" s="42">
        <v>4.7543790266064154E-3</v>
      </c>
      <c r="G115">
        <v>0.99524562097339353</v>
      </c>
    </row>
    <row r="116" spans="3:7" x14ac:dyDescent="0.15">
      <c r="C116" s="43" t="s">
        <v>433</v>
      </c>
      <c r="D116" s="42">
        <v>0</v>
      </c>
      <c r="E116" s="42">
        <v>0</v>
      </c>
      <c r="F116" s="42">
        <v>0.38102980121423008</v>
      </c>
      <c r="G116">
        <v>0.61897019878576987</v>
      </c>
    </row>
    <row r="117" spans="3:7" x14ac:dyDescent="0.15">
      <c r="C117" s="43" t="s">
        <v>434</v>
      </c>
      <c r="D117" s="42">
        <v>0</v>
      </c>
      <c r="E117" s="42">
        <v>0</v>
      </c>
      <c r="F117" s="42">
        <v>5.4920463747362084E-4</v>
      </c>
      <c r="G117">
        <v>0.99945079536252635</v>
      </c>
    </row>
    <row r="118" spans="3:7" x14ac:dyDescent="0.15">
      <c r="C118" s="43" t="s">
        <v>435</v>
      </c>
      <c r="D118" s="42">
        <v>0</v>
      </c>
      <c r="E118" s="42">
        <v>0</v>
      </c>
      <c r="F118" s="42">
        <v>2.0269103489711344E-3</v>
      </c>
      <c r="G118">
        <v>0.99797308965102882</v>
      </c>
    </row>
    <row r="119" spans="3:7" x14ac:dyDescent="0.15">
      <c r="C119" s="43" t="s">
        <v>436</v>
      </c>
      <c r="D119" s="42">
        <v>0</v>
      </c>
      <c r="E119" s="42">
        <v>0</v>
      </c>
      <c r="F119" s="42">
        <v>0.4852292538442437</v>
      </c>
      <c r="G119">
        <v>0.51477074615575624</v>
      </c>
    </row>
    <row r="120" spans="3:7" x14ac:dyDescent="0.15">
      <c r="C120" s="43" t="s">
        <v>437</v>
      </c>
      <c r="D120" s="42">
        <v>0</v>
      </c>
      <c r="E120" s="42">
        <v>0</v>
      </c>
      <c r="F120" s="42">
        <v>6.5597977834069669E-3</v>
      </c>
      <c r="G120">
        <v>0.99344020221659302</v>
      </c>
    </row>
    <row r="121" spans="3:7" x14ac:dyDescent="0.15">
      <c r="C121" s="43" t="s">
        <v>438</v>
      </c>
      <c r="D121" s="42">
        <v>0</v>
      </c>
      <c r="E121" s="42">
        <v>0</v>
      </c>
      <c r="F121" s="42">
        <v>4.449889238676976E-2</v>
      </c>
      <c r="G121">
        <v>0.95550110761323026</v>
      </c>
    </row>
    <row r="122" spans="3:7" x14ac:dyDescent="0.15">
      <c r="C122" s="43" t="s">
        <v>439</v>
      </c>
      <c r="D122" s="42">
        <v>0</v>
      </c>
      <c r="E122" s="42">
        <v>0</v>
      </c>
      <c r="F122" s="42">
        <v>7.2483003011768656E-3</v>
      </c>
      <c r="G122">
        <v>0.99275169969882315</v>
      </c>
    </row>
    <row r="123" spans="3:7" x14ac:dyDescent="0.15">
      <c r="C123" s="43" t="s">
        <v>440</v>
      </c>
      <c r="D123" s="42">
        <v>0</v>
      </c>
      <c r="E123" s="42">
        <v>0</v>
      </c>
      <c r="F123" s="42">
        <v>4.70652543239755E-2</v>
      </c>
      <c r="G123">
        <v>0.95293474567602454</v>
      </c>
    </row>
    <row r="124" spans="3:7" x14ac:dyDescent="0.15">
      <c r="C124" s="43" t="s">
        <v>441</v>
      </c>
      <c r="D124" s="42">
        <v>0</v>
      </c>
      <c r="E124" s="42">
        <v>0</v>
      </c>
      <c r="F124" s="42">
        <v>3.8815214763423817E-4</v>
      </c>
      <c r="G124">
        <v>0.99961184785236579</v>
      </c>
    </row>
    <row r="125" spans="3:7" x14ac:dyDescent="0.15">
      <c r="C125" s="43" t="s">
        <v>442</v>
      </c>
      <c r="D125" s="42">
        <v>0</v>
      </c>
      <c r="E125" s="42">
        <v>0</v>
      </c>
      <c r="F125" s="42">
        <v>3.1372970366252161E-2</v>
      </c>
      <c r="G125">
        <v>0.9686270296337478</v>
      </c>
    </row>
    <row r="126" spans="3:7" x14ac:dyDescent="0.15">
      <c r="C126" s="43" t="s">
        <v>443</v>
      </c>
      <c r="D126" s="42">
        <v>0</v>
      </c>
      <c r="E126" s="42">
        <v>0</v>
      </c>
      <c r="F126" s="42">
        <v>1.8086192246669776E-2</v>
      </c>
      <c r="G126">
        <v>0.98191380775333026</v>
      </c>
    </row>
    <row r="127" spans="3:7" x14ac:dyDescent="0.15">
      <c r="C127" s="43" t="s">
        <v>444</v>
      </c>
      <c r="D127" s="42">
        <v>0</v>
      </c>
      <c r="E127" s="42">
        <v>0</v>
      </c>
      <c r="F127" s="42">
        <v>0.15880142692689411</v>
      </c>
      <c r="G127">
        <v>0.84119857307310586</v>
      </c>
    </row>
    <row r="128" spans="3:7" x14ac:dyDescent="0.15">
      <c r="C128" s="43" t="s">
        <v>445</v>
      </c>
      <c r="D128" s="42">
        <v>0</v>
      </c>
      <c r="E128" s="42">
        <v>0</v>
      </c>
      <c r="F128" s="42">
        <v>9.9647024813033752E-2</v>
      </c>
      <c r="G128">
        <v>0.90035297518696622</v>
      </c>
    </row>
    <row r="129" spans="3:7" x14ac:dyDescent="0.15">
      <c r="C129" s="43" t="s">
        <v>446</v>
      </c>
      <c r="D129" s="42">
        <v>0</v>
      </c>
      <c r="E129" s="42">
        <v>0</v>
      </c>
      <c r="F129" s="42">
        <v>0.14059066818384636</v>
      </c>
      <c r="G129">
        <v>0.85940933181615364</v>
      </c>
    </row>
    <row r="130" spans="3:7" x14ac:dyDescent="0.15">
      <c r="C130" s="43" t="s">
        <v>447</v>
      </c>
      <c r="D130" s="42">
        <v>0</v>
      </c>
      <c r="E130" s="42">
        <v>0</v>
      </c>
      <c r="F130" s="42">
        <v>0.19490629673958229</v>
      </c>
      <c r="G130">
        <v>0.80509370326041774</v>
      </c>
    </row>
    <row r="131" spans="3:7" x14ac:dyDescent="0.15">
      <c r="C131" s="61" t="s">
        <v>448</v>
      </c>
      <c r="D131" s="60">
        <v>1</v>
      </c>
      <c r="E131" s="60">
        <v>0</v>
      </c>
      <c r="F131" s="60">
        <v>8.1823842379111583E-2</v>
      </c>
      <c r="G131" s="59">
        <v>0.91817615762088844</v>
      </c>
    </row>
    <row r="132" spans="3:7" x14ac:dyDescent="0.15">
      <c r="C132" s="43" t="s">
        <v>449</v>
      </c>
      <c r="D132" s="42">
        <v>0</v>
      </c>
      <c r="E132" s="42">
        <v>0</v>
      </c>
      <c r="F132" s="42">
        <v>2.6125716874904371E-2</v>
      </c>
      <c r="G132">
        <v>0.97387428312509561</v>
      </c>
    </row>
    <row r="133" spans="3:7" x14ac:dyDescent="0.15">
      <c r="C133" s="43" t="s">
        <v>450</v>
      </c>
      <c r="D133" s="42">
        <v>0</v>
      </c>
      <c r="E133" s="42">
        <v>0</v>
      </c>
      <c r="F133" s="42">
        <v>9.7479837535925564E-3</v>
      </c>
      <c r="G133">
        <v>0.99025201624640746</v>
      </c>
    </row>
    <row r="134" spans="3:7" x14ac:dyDescent="0.15">
      <c r="C134" s="43" t="s">
        <v>451</v>
      </c>
      <c r="D134" s="42">
        <v>0</v>
      </c>
      <c r="E134" s="42">
        <v>0</v>
      </c>
      <c r="F134" s="42">
        <v>5.7954451113647797E-2</v>
      </c>
      <c r="G134">
        <v>0.94204554888635217</v>
      </c>
    </row>
    <row r="135" spans="3:7" x14ac:dyDescent="0.15">
      <c r="C135" s="43" t="s">
        <v>452</v>
      </c>
      <c r="D135" s="42">
        <v>0</v>
      </c>
      <c r="E135" s="42">
        <v>0</v>
      </c>
      <c r="F135" s="42">
        <v>0.14747250576358828</v>
      </c>
      <c r="G135">
        <v>0.85252749423641172</v>
      </c>
    </row>
    <row r="136" spans="3:7" x14ac:dyDescent="0.15">
      <c r="C136" s="43" t="s">
        <v>453</v>
      </c>
      <c r="D136" s="42">
        <v>0</v>
      </c>
      <c r="E136" s="42">
        <v>0</v>
      </c>
      <c r="F136" s="42">
        <v>2.520156692687479E-2</v>
      </c>
      <c r="G136">
        <v>0.97479843307312519</v>
      </c>
    </row>
    <row r="137" spans="3:7" x14ac:dyDescent="0.15">
      <c r="C137" s="61" t="s">
        <v>454</v>
      </c>
      <c r="D137" s="60">
        <v>0</v>
      </c>
      <c r="E137" s="60">
        <v>1</v>
      </c>
      <c r="F137" s="60">
        <v>0.65034988425205964</v>
      </c>
      <c r="G137" s="59">
        <v>0.34965011574794036</v>
      </c>
    </row>
    <row r="138" spans="3:7" x14ac:dyDescent="0.15">
      <c r="C138" s="43" t="s">
        <v>455</v>
      </c>
      <c r="D138" s="42">
        <v>0</v>
      </c>
      <c r="E138" s="42">
        <v>0</v>
      </c>
      <c r="F138" s="42">
        <v>7.7297463202196048E-2</v>
      </c>
      <c r="G138">
        <v>0.9227025367978039</v>
      </c>
    </row>
    <row r="139" spans="3:7" x14ac:dyDescent="0.15">
      <c r="C139" s="43" t="s">
        <v>456</v>
      </c>
      <c r="D139" s="42">
        <v>0</v>
      </c>
      <c r="E139" s="42">
        <v>0</v>
      </c>
      <c r="F139" s="42">
        <v>3.0432528727786551E-3</v>
      </c>
      <c r="G139">
        <v>0.99695674712722138</v>
      </c>
    </row>
    <row r="140" spans="3:7" x14ac:dyDescent="0.15">
      <c r="C140" s="43" t="s">
        <v>457</v>
      </c>
      <c r="D140" s="42">
        <v>0</v>
      </c>
      <c r="E140" s="42">
        <v>0</v>
      </c>
      <c r="F140" s="42">
        <v>1.0846431421470536E-2</v>
      </c>
      <c r="G140">
        <v>0.98915356857852943</v>
      </c>
    </row>
    <row r="141" spans="3:7" x14ac:dyDescent="0.15">
      <c r="C141" s="43" t="s">
        <v>458</v>
      </c>
      <c r="D141" s="42">
        <v>0</v>
      </c>
      <c r="E141" s="42">
        <v>0</v>
      </c>
      <c r="F141" s="42">
        <v>8.7294741495873448E-4</v>
      </c>
      <c r="G141">
        <v>0.99912705258504131</v>
      </c>
    </row>
    <row r="142" spans="3:7" x14ac:dyDescent="0.15">
      <c r="C142" s="43" t="s">
        <v>459</v>
      </c>
      <c r="D142" s="42">
        <v>0</v>
      </c>
      <c r="E142" s="42">
        <v>0</v>
      </c>
      <c r="F142" s="42">
        <v>1.8771591724935737E-2</v>
      </c>
      <c r="G142">
        <v>0.9812284082750643</v>
      </c>
    </row>
    <row r="143" spans="3:7" x14ac:dyDescent="0.15">
      <c r="C143" s="43" t="s">
        <v>460</v>
      </c>
      <c r="D143" s="42">
        <v>0</v>
      </c>
      <c r="E143" s="42">
        <v>0</v>
      </c>
      <c r="F143" s="42">
        <v>0.43434638517120316</v>
      </c>
      <c r="G143">
        <v>0.56565361482879684</v>
      </c>
    </row>
    <row r="144" spans="3:7" x14ac:dyDescent="0.15">
      <c r="C144" s="43" t="s">
        <v>461</v>
      </c>
      <c r="D144" s="42">
        <v>0</v>
      </c>
      <c r="E144" s="42">
        <v>0</v>
      </c>
      <c r="F144" s="42">
        <v>0.29679694729645417</v>
      </c>
      <c r="G144">
        <v>0.70320305270354577</v>
      </c>
    </row>
    <row r="145" spans="3:7" x14ac:dyDescent="0.15">
      <c r="C145" s="43" t="s">
        <v>462</v>
      </c>
      <c r="D145" s="42">
        <v>0</v>
      </c>
      <c r="E145" s="42">
        <v>0</v>
      </c>
      <c r="F145" s="42">
        <v>6.3123370365695222E-2</v>
      </c>
      <c r="G145">
        <v>0.93687662963430474</v>
      </c>
    </row>
    <row r="146" spans="3:7" x14ac:dyDescent="0.15">
      <c r="C146" s="61" t="s">
        <v>463</v>
      </c>
      <c r="D146" s="60">
        <v>0</v>
      </c>
      <c r="E146" s="60">
        <v>1</v>
      </c>
      <c r="F146" s="60">
        <v>0.78706570512459162</v>
      </c>
      <c r="G146" s="59">
        <v>0.21293429487540838</v>
      </c>
    </row>
    <row r="147" spans="3:7" x14ac:dyDescent="0.15">
      <c r="C147" s="61" t="s">
        <v>464</v>
      </c>
      <c r="D147" s="60">
        <v>0</v>
      </c>
      <c r="E147" s="60">
        <v>1</v>
      </c>
      <c r="F147" s="60">
        <v>0.50384858973837054</v>
      </c>
      <c r="G147" s="59">
        <v>0.49615141026162946</v>
      </c>
    </row>
    <row r="148" spans="3:7" x14ac:dyDescent="0.15">
      <c r="C148" s="43" t="s">
        <v>465</v>
      </c>
      <c r="D148" s="42">
        <v>0</v>
      </c>
      <c r="E148" s="42">
        <v>0</v>
      </c>
      <c r="F148" s="42">
        <v>5.9129323238236156E-3</v>
      </c>
      <c r="G148">
        <v>0.99408706767617638</v>
      </c>
    </row>
    <row r="149" spans="3:7" x14ac:dyDescent="0.15">
      <c r="C149" s="43" t="s">
        <v>466</v>
      </c>
      <c r="D149" s="42">
        <v>0</v>
      </c>
      <c r="E149" s="42">
        <v>0</v>
      </c>
      <c r="F149" s="42">
        <v>1.3249931076113276E-3</v>
      </c>
      <c r="G149">
        <v>0.99867500689238864</v>
      </c>
    </row>
    <row r="150" spans="3:7" x14ac:dyDescent="0.15">
      <c r="C150" s="61" t="s">
        <v>467</v>
      </c>
      <c r="D150" s="60">
        <v>0</v>
      </c>
      <c r="E150" s="60">
        <v>1</v>
      </c>
      <c r="F150" s="60">
        <v>0.70917622460311336</v>
      </c>
      <c r="G150" s="59">
        <v>0.29082377539688664</v>
      </c>
    </row>
    <row r="151" spans="3:7" x14ac:dyDescent="0.15">
      <c r="C151" s="43" t="s">
        <v>468</v>
      </c>
      <c r="D151" s="42">
        <v>0</v>
      </c>
      <c r="E151" s="42">
        <v>0</v>
      </c>
      <c r="F151" s="42">
        <v>9.8743280248483459E-2</v>
      </c>
      <c r="G151">
        <v>0.90125671975151656</v>
      </c>
    </row>
    <row r="152" spans="3:7" x14ac:dyDescent="0.15">
      <c r="C152" s="43" t="s">
        <v>469</v>
      </c>
      <c r="D152" s="42">
        <v>0</v>
      </c>
      <c r="E152" s="42">
        <v>0</v>
      </c>
      <c r="F152" s="42">
        <v>4.53211557441007E-2</v>
      </c>
      <c r="G152">
        <v>0.95467884425589933</v>
      </c>
    </row>
    <row r="153" spans="3:7" x14ac:dyDescent="0.15">
      <c r="C153" s="43" t="s">
        <v>470</v>
      </c>
      <c r="D153" s="42">
        <v>0</v>
      </c>
      <c r="E153" s="42">
        <v>0</v>
      </c>
      <c r="F153" s="42">
        <v>7.5225325205493399E-3</v>
      </c>
      <c r="G153">
        <v>0.99247746747945065</v>
      </c>
    </row>
    <row r="154" spans="3:7" x14ac:dyDescent="0.15">
      <c r="C154" s="61" t="s">
        <v>471</v>
      </c>
      <c r="D154" s="60">
        <v>0</v>
      </c>
      <c r="E154" s="60">
        <v>1</v>
      </c>
      <c r="F154" s="60">
        <v>0.8645931491652239</v>
      </c>
      <c r="G154" s="59">
        <v>0.1354068508347761</v>
      </c>
    </row>
    <row r="155" spans="3:7" x14ac:dyDescent="0.15">
      <c r="C155" s="43" t="s">
        <v>472</v>
      </c>
      <c r="D155" s="42">
        <v>0</v>
      </c>
      <c r="E155" s="42">
        <v>0</v>
      </c>
      <c r="F155" s="42">
        <v>0.16498649149500833</v>
      </c>
      <c r="G155">
        <v>0.83501350850499167</v>
      </c>
    </row>
    <row r="156" spans="3:7" x14ac:dyDescent="0.15">
      <c r="C156" s="43" t="s">
        <v>473</v>
      </c>
      <c r="D156" s="42">
        <v>0</v>
      </c>
      <c r="E156" s="42">
        <v>0</v>
      </c>
      <c r="F156" s="42">
        <v>0.48349998005376471</v>
      </c>
      <c r="G156">
        <v>0.51650001994623529</v>
      </c>
    </row>
    <row r="157" spans="3:7" x14ac:dyDescent="0.15">
      <c r="C157" s="61" t="s">
        <v>474</v>
      </c>
      <c r="D157" s="60">
        <v>0</v>
      </c>
      <c r="E157" s="60">
        <v>1</v>
      </c>
      <c r="F157" s="60">
        <v>0.90810411077122577</v>
      </c>
      <c r="G157" s="59">
        <v>9.189588922877423E-2</v>
      </c>
    </row>
    <row r="158" spans="3:7" x14ac:dyDescent="0.15">
      <c r="C158" s="43" t="s">
        <v>475</v>
      </c>
      <c r="D158" s="42">
        <v>0</v>
      </c>
      <c r="E158" s="42">
        <v>0</v>
      </c>
      <c r="F158" s="42">
        <v>1.289212341549972E-3</v>
      </c>
      <c r="G158">
        <v>0.99871078765845001</v>
      </c>
    </row>
    <row r="159" spans="3:7" x14ac:dyDescent="0.15">
      <c r="C159" s="43" t="s">
        <v>476</v>
      </c>
      <c r="D159" s="42">
        <v>0</v>
      </c>
      <c r="E159" s="42">
        <v>0</v>
      </c>
      <c r="F159" s="42">
        <v>1.5658785460481422E-2</v>
      </c>
      <c r="G159">
        <v>0.98434121453951862</v>
      </c>
    </row>
    <row r="160" spans="3:7" x14ac:dyDescent="0.15">
      <c r="C160" s="43" t="s">
        <v>477</v>
      </c>
      <c r="D160" s="42">
        <v>0</v>
      </c>
      <c r="E160" s="42">
        <v>0</v>
      </c>
      <c r="F160" s="42">
        <v>0.14961428829778184</v>
      </c>
      <c r="G160">
        <v>0.85038571170221822</v>
      </c>
    </row>
    <row r="161" spans="3:7" x14ac:dyDescent="0.15">
      <c r="C161" s="43" t="s">
        <v>478</v>
      </c>
      <c r="D161" s="42">
        <v>0</v>
      </c>
      <c r="E161" s="42">
        <v>0</v>
      </c>
      <c r="F161" s="42">
        <v>0.11714266194127558</v>
      </c>
      <c r="G161">
        <v>0.88285733805872446</v>
      </c>
    </row>
    <row r="162" spans="3:7" x14ac:dyDescent="0.15">
      <c r="C162" s="43" t="s">
        <v>479</v>
      </c>
      <c r="D162" s="42">
        <v>1</v>
      </c>
      <c r="E162" s="42">
        <v>1</v>
      </c>
      <c r="F162" s="42">
        <v>0.97166081099346835</v>
      </c>
      <c r="G162">
        <v>2.8339189006531651E-2</v>
      </c>
    </row>
    <row r="163" spans="3:7" x14ac:dyDescent="0.15">
      <c r="C163" s="43" t="s">
        <v>480</v>
      </c>
      <c r="D163" s="42">
        <v>0</v>
      </c>
      <c r="E163" s="42">
        <v>0</v>
      </c>
      <c r="F163" s="42">
        <v>0.17517309038015544</v>
      </c>
      <c r="G163">
        <v>0.82482690961984462</v>
      </c>
    </row>
    <row r="164" spans="3:7" x14ac:dyDescent="0.15">
      <c r="C164" s="43" t="s">
        <v>481</v>
      </c>
      <c r="D164" s="42">
        <v>0</v>
      </c>
      <c r="E164" s="42">
        <v>0</v>
      </c>
      <c r="F164" s="42">
        <v>7.4237027903847466E-2</v>
      </c>
      <c r="G164">
        <v>0.92576297209615255</v>
      </c>
    </row>
    <row r="165" spans="3:7" x14ac:dyDescent="0.15">
      <c r="C165" s="43" t="s">
        <v>482</v>
      </c>
      <c r="D165" s="42">
        <v>0</v>
      </c>
      <c r="E165" s="42">
        <v>0</v>
      </c>
      <c r="F165" s="42">
        <v>1.0217086970187337E-2</v>
      </c>
      <c r="G165">
        <v>0.98978291302981269</v>
      </c>
    </row>
    <row r="166" spans="3:7" x14ac:dyDescent="0.15">
      <c r="C166" s="43" t="s">
        <v>483</v>
      </c>
      <c r="D166" s="42">
        <v>0</v>
      </c>
      <c r="E166" s="42">
        <v>0</v>
      </c>
      <c r="F166" s="42">
        <v>1.6504302278920201E-2</v>
      </c>
      <c r="G166">
        <v>0.98349569772107981</v>
      </c>
    </row>
    <row r="167" spans="3:7" x14ac:dyDescent="0.15">
      <c r="C167" s="43" t="s">
        <v>484</v>
      </c>
      <c r="D167" s="42">
        <v>0</v>
      </c>
      <c r="E167" s="42">
        <v>0</v>
      </c>
      <c r="F167" s="42">
        <v>1.161020518541815E-3</v>
      </c>
      <c r="G167">
        <v>0.99883897948145817</v>
      </c>
    </row>
    <row r="168" spans="3:7" x14ac:dyDescent="0.15">
      <c r="C168" s="43" t="s">
        <v>485</v>
      </c>
      <c r="D168" s="42">
        <v>0</v>
      </c>
      <c r="E168" s="42">
        <v>0</v>
      </c>
      <c r="F168" s="42">
        <v>8.6302128811506243E-2</v>
      </c>
      <c r="G168">
        <v>0.91369787118849377</v>
      </c>
    </row>
    <row r="169" spans="3:7" x14ac:dyDescent="0.15">
      <c r="C169" s="43" t="s">
        <v>486</v>
      </c>
      <c r="D169" s="42">
        <v>0</v>
      </c>
      <c r="E169" s="42">
        <v>0</v>
      </c>
      <c r="F169" s="42">
        <v>5.8546454745678878E-2</v>
      </c>
      <c r="G169">
        <v>0.94145354525432112</v>
      </c>
    </row>
    <row r="170" spans="3:7" x14ac:dyDescent="0.15">
      <c r="C170" s="43" t="s">
        <v>487</v>
      </c>
      <c r="D170" s="42">
        <v>1</v>
      </c>
      <c r="E170" s="42">
        <v>1</v>
      </c>
      <c r="F170" s="42">
        <v>0.95936692440294935</v>
      </c>
      <c r="G170">
        <v>4.063307559705065E-2</v>
      </c>
    </row>
    <row r="171" spans="3:7" x14ac:dyDescent="0.15">
      <c r="C171" s="43" t="s">
        <v>488</v>
      </c>
      <c r="D171" s="42">
        <v>0</v>
      </c>
      <c r="E171" s="42">
        <v>0</v>
      </c>
      <c r="F171" s="42">
        <v>1.9124082347660609E-2</v>
      </c>
      <c r="G171">
        <v>0.98087591765233939</v>
      </c>
    </row>
    <row r="172" spans="3:7" x14ac:dyDescent="0.15">
      <c r="C172" s="43" t="s">
        <v>489</v>
      </c>
      <c r="D172" s="42">
        <v>0</v>
      </c>
      <c r="E172" s="42">
        <v>0</v>
      </c>
      <c r="F172" s="42">
        <v>0.48303341393452409</v>
      </c>
      <c r="G172">
        <v>0.51696658606547596</v>
      </c>
    </row>
    <row r="173" spans="3:7" x14ac:dyDescent="0.15">
      <c r="C173" s="43" t="s">
        <v>490</v>
      </c>
      <c r="D173" s="42">
        <v>0</v>
      </c>
      <c r="E173" s="42">
        <v>0</v>
      </c>
      <c r="F173" s="42">
        <v>8.0181262737119661E-4</v>
      </c>
      <c r="G173">
        <v>0.99919818737262878</v>
      </c>
    </row>
    <row r="174" spans="3:7" x14ac:dyDescent="0.15">
      <c r="C174" s="61" t="s">
        <v>491</v>
      </c>
      <c r="D174" s="60">
        <v>0</v>
      </c>
      <c r="E174" s="60">
        <v>1</v>
      </c>
      <c r="F174" s="60">
        <v>0.64873064188231389</v>
      </c>
      <c r="G174" s="59">
        <v>0.35126935811768611</v>
      </c>
    </row>
    <row r="175" spans="3:7" x14ac:dyDescent="0.15">
      <c r="C175" s="43" t="s">
        <v>492</v>
      </c>
      <c r="D175" s="42">
        <v>0</v>
      </c>
      <c r="E175" s="42">
        <v>0</v>
      </c>
      <c r="F175" s="42">
        <v>0.34256184232818432</v>
      </c>
      <c r="G175">
        <v>0.65743815767181568</v>
      </c>
    </row>
    <row r="176" spans="3:7" x14ac:dyDescent="0.15">
      <c r="C176" s="43" t="s">
        <v>493</v>
      </c>
      <c r="D176" s="42">
        <v>0</v>
      </c>
      <c r="E176" s="42">
        <v>0</v>
      </c>
      <c r="F176" s="42">
        <v>1.5637645165467996E-2</v>
      </c>
      <c r="G176">
        <v>0.98436235483453205</v>
      </c>
    </row>
    <row r="177" spans="3:7" x14ac:dyDescent="0.15">
      <c r="C177" s="43" t="s">
        <v>494</v>
      </c>
      <c r="D177" s="42">
        <v>0</v>
      </c>
      <c r="E177" s="42">
        <v>0</v>
      </c>
      <c r="F177" s="42">
        <v>0.12316145781307128</v>
      </c>
      <c r="G177">
        <v>0.87683854218692869</v>
      </c>
    </row>
    <row r="178" spans="3:7" x14ac:dyDescent="0.15">
      <c r="C178" s="43" t="s">
        <v>495</v>
      </c>
      <c r="D178" s="42">
        <v>0</v>
      </c>
      <c r="E178" s="42">
        <v>0</v>
      </c>
      <c r="F178" s="42">
        <v>8.0845294560134041E-3</v>
      </c>
      <c r="G178">
        <v>0.99191547054398654</v>
      </c>
    </row>
    <row r="179" spans="3:7" x14ac:dyDescent="0.15">
      <c r="C179" s="43" t="s">
        <v>496</v>
      </c>
      <c r="D179" s="42">
        <v>0</v>
      </c>
      <c r="E179" s="42">
        <v>0</v>
      </c>
      <c r="F179" s="42">
        <v>3.5821116255486821E-3</v>
      </c>
      <c r="G179">
        <v>0.99641788837445133</v>
      </c>
    </row>
    <row r="180" spans="3:7" x14ac:dyDescent="0.15">
      <c r="C180" s="43" t="s">
        <v>497</v>
      </c>
      <c r="D180" s="42">
        <v>0</v>
      </c>
      <c r="E180" s="42">
        <v>0</v>
      </c>
      <c r="F180" s="42">
        <v>0.30376329451358819</v>
      </c>
      <c r="G180">
        <v>0.69623670548641181</v>
      </c>
    </row>
    <row r="181" spans="3:7" x14ac:dyDescent="0.15">
      <c r="C181" s="61" t="s">
        <v>498</v>
      </c>
      <c r="D181" s="60">
        <v>0</v>
      </c>
      <c r="E181" s="60">
        <v>1</v>
      </c>
      <c r="F181" s="60">
        <v>0.84140186250797111</v>
      </c>
      <c r="G181" s="59">
        <v>0.15859813749202889</v>
      </c>
    </row>
    <row r="182" spans="3:7" x14ac:dyDescent="0.15">
      <c r="C182" s="43" t="s">
        <v>499</v>
      </c>
      <c r="D182" s="42">
        <v>0</v>
      </c>
      <c r="E182" s="42">
        <v>0</v>
      </c>
      <c r="F182" s="42">
        <v>2.8659196259101607E-3</v>
      </c>
      <c r="G182">
        <v>0.99713408037408979</v>
      </c>
    </row>
    <row r="183" spans="3:7" x14ac:dyDescent="0.15">
      <c r="C183" s="43" t="s">
        <v>500</v>
      </c>
      <c r="D183" s="42">
        <v>0</v>
      </c>
      <c r="E183" s="42">
        <v>0</v>
      </c>
      <c r="F183" s="42">
        <v>1.5758232837539262E-3</v>
      </c>
      <c r="G183">
        <v>0.99842417671624606</v>
      </c>
    </row>
    <row r="184" spans="3:7" x14ac:dyDescent="0.15">
      <c r="C184" s="43" t="s">
        <v>501</v>
      </c>
      <c r="D184" s="42">
        <v>0</v>
      </c>
      <c r="E184" s="42">
        <v>0</v>
      </c>
      <c r="F184" s="42">
        <v>3.3641547653947092E-2</v>
      </c>
      <c r="G184">
        <v>0.96635845234605289</v>
      </c>
    </row>
    <row r="185" spans="3:7" x14ac:dyDescent="0.15">
      <c r="C185" s="43" t="s">
        <v>502</v>
      </c>
      <c r="D185" s="42">
        <v>0</v>
      </c>
      <c r="E185" s="42">
        <v>0</v>
      </c>
      <c r="F185" s="42">
        <v>9.8460510792430724E-4</v>
      </c>
      <c r="G185">
        <v>0.99901539489207569</v>
      </c>
    </row>
    <row r="186" spans="3:7" x14ac:dyDescent="0.15">
      <c r="C186" s="61" t="s">
        <v>503</v>
      </c>
      <c r="D186" s="60">
        <v>0</v>
      </c>
      <c r="E186" s="60">
        <v>1</v>
      </c>
      <c r="F186" s="60">
        <v>0.70066807819898214</v>
      </c>
      <c r="G186" s="59">
        <v>0.29933192180101786</v>
      </c>
    </row>
    <row r="187" spans="3:7" x14ac:dyDescent="0.15">
      <c r="C187" s="61" t="s">
        <v>504</v>
      </c>
      <c r="D187" s="60">
        <v>0</v>
      </c>
      <c r="E187" s="60">
        <v>1</v>
      </c>
      <c r="F187" s="60">
        <v>0.74901434804458433</v>
      </c>
      <c r="G187" s="59">
        <v>0.25098565195541567</v>
      </c>
    </row>
    <row r="188" spans="3:7" x14ac:dyDescent="0.15">
      <c r="C188" s="43" t="s">
        <v>505</v>
      </c>
      <c r="D188" s="42">
        <v>0</v>
      </c>
      <c r="E188" s="42">
        <v>0</v>
      </c>
      <c r="F188" s="42">
        <v>1.4971034327277968E-2</v>
      </c>
      <c r="G188">
        <v>0.98502896567272202</v>
      </c>
    </row>
    <row r="189" spans="3:7" x14ac:dyDescent="0.15">
      <c r="C189" s="43" t="s">
        <v>506</v>
      </c>
      <c r="D189" s="42">
        <v>0</v>
      </c>
      <c r="E189" s="42">
        <v>0</v>
      </c>
      <c r="F189" s="42">
        <v>0.21845050489165943</v>
      </c>
      <c r="G189">
        <v>0.7815494951083406</v>
      </c>
    </row>
    <row r="190" spans="3:7" x14ac:dyDescent="0.15">
      <c r="C190" s="43" t="s">
        <v>507</v>
      </c>
      <c r="D190" s="42">
        <v>0</v>
      </c>
      <c r="E190" s="42">
        <v>0</v>
      </c>
      <c r="F190" s="42">
        <v>3.5109516042500233E-2</v>
      </c>
      <c r="G190">
        <v>0.96489048395749977</v>
      </c>
    </row>
    <row r="191" spans="3:7" x14ac:dyDescent="0.15">
      <c r="C191" s="43" t="s">
        <v>508</v>
      </c>
      <c r="D191" s="42">
        <v>0</v>
      </c>
      <c r="E191" s="42">
        <v>0</v>
      </c>
      <c r="F191" s="42">
        <v>9.1772934889583074E-3</v>
      </c>
      <c r="G191">
        <v>0.99082270651104165</v>
      </c>
    </row>
    <row r="192" spans="3:7" x14ac:dyDescent="0.15">
      <c r="C192" s="43" t="s">
        <v>509</v>
      </c>
      <c r="D192" s="42">
        <v>0</v>
      </c>
      <c r="E192" s="42">
        <v>0</v>
      </c>
      <c r="F192" s="42">
        <v>0.31647282863327342</v>
      </c>
      <c r="G192">
        <v>0.68352717136672658</v>
      </c>
    </row>
    <row r="193" spans="3:7" x14ac:dyDescent="0.15">
      <c r="C193" s="43" t="s">
        <v>510</v>
      </c>
      <c r="D193" s="42">
        <v>0</v>
      </c>
      <c r="E193" s="42">
        <v>0</v>
      </c>
      <c r="F193" s="42">
        <v>3.0656794735522835E-2</v>
      </c>
      <c r="G193">
        <v>0.96934320526447715</v>
      </c>
    </row>
    <row r="194" spans="3:7" x14ac:dyDescent="0.15">
      <c r="C194" s="43" t="s">
        <v>511</v>
      </c>
      <c r="D194" s="42">
        <v>0</v>
      </c>
      <c r="E194" s="42">
        <v>0</v>
      </c>
      <c r="F194" s="42">
        <v>7.1406308622772984E-4</v>
      </c>
      <c r="G194">
        <v>0.99928593691377232</v>
      </c>
    </row>
    <row r="195" spans="3:7" x14ac:dyDescent="0.15">
      <c r="C195" s="43" t="s">
        <v>512</v>
      </c>
      <c r="D195" s="42">
        <v>0</v>
      </c>
      <c r="E195" s="42">
        <v>0</v>
      </c>
      <c r="F195" s="42">
        <v>0.14773752815507704</v>
      </c>
      <c r="G195">
        <v>0.85226247184492299</v>
      </c>
    </row>
    <row r="196" spans="3:7" x14ac:dyDescent="0.15">
      <c r="C196" s="61" t="s">
        <v>513</v>
      </c>
      <c r="D196" s="60">
        <v>0</v>
      </c>
      <c r="E196" s="60">
        <v>1</v>
      </c>
      <c r="F196" s="60">
        <v>0.76567750558194525</v>
      </c>
      <c r="G196" s="59">
        <v>0.23432249441805475</v>
      </c>
    </row>
    <row r="197" spans="3:7" x14ac:dyDescent="0.15">
      <c r="C197" s="43" t="s">
        <v>514</v>
      </c>
      <c r="D197" s="42">
        <v>0</v>
      </c>
      <c r="E197" s="42">
        <v>0</v>
      </c>
      <c r="F197" s="42">
        <v>4.0918269800384814E-2</v>
      </c>
      <c r="G197">
        <v>0.95908173019961518</v>
      </c>
    </row>
    <row r="198" spans="3:7" x14ac:dyDescent="0.15">
      <c r="C198" s="43" t="s">
        <v>515</v>
      </c>
      <c r="D198" s="42">
        <v>0</v>
      </c>
      <c r="E198" s="42">
        <v>0</v>
      </c>
      <c r="F198" s="42">
        <v>1.2033919968930008E-2</v>
      </c>
      <c r="G198">
        <v>0.98796608003107</v>
      </c>
    </row>
    <row r="199" spans="3:7" x14ac:dyDescent="0.15">
      <c r="C199" s="43" t="s">
        <v>516</v>
      </c>
      <c r="D199" s="42">
        <v>0</v>
      </c>
      <c r="E199" s="42">
        <v>0</v>
      </c>
      <c r="F199" s="42">
        <v>0.12517584156893458</v>
      </c>
      <c r="G199">
        <v>0.87482415843106542</v>
      </c>
    </row>
    <row r="200" spans="3:7" x14ac:dyDescent="0.15">
      <c r="C200" s="61" t="s">
        <v>517</v>
      </c>
      <c r="D200" s="60">
        <v>0</v>
      </c>
      <c r="E200" s="60">
        <v>1</v>
      </c>
      <c r="F200" s="60">
        <v>0.79123367109630283</v>
      </c>
      <c r="G200" s="59">
        <v>0.20876632890369717</v>
      </c>
    </row>
    <row r="201" spans="3:7" x14ac:dyDescent="0.15">
      <c r="C201" s="43" t="s">
        <v>518</v>
      </c>
      <c r="D201" s="42">
        <v>0</v>
      </c>
      <c r="E201" s="42">
        <v>0</v>
      </c>
      <c r="F201" s="42">
        <v>5.8923781407766856E-3</v>
      </c>
      <c r="G201">
        <v>0.9941076218592233</v>
      </c>
    </row>
    <row r="202" spans="3:7" x14ac:dyDescent="0.15">
      <c r="C202" s="43" t="s">
        <v>519</v>
      </c>
      <c r="D202" s="42">
        <v>0</v>
      </c>
      <c r="E202" s="42">
        <v>0</v>
      </c>
      <c r="F202" s="42">
        <v>1.2765029489564508E-2</v>
      </c>
      <c r="G202">
        <v>0.98723497051043552</v>
      </c>
    </row>
    <row r="203" spans="3:7" x14ac:dyDescent="0.15">
      <c r="C203" s="43" t="s">
        <v>520</v>
      </c>
      <c r="D203" s="42">
        <v>0</v>
      </c>
      <c r="E203" s="42">
        <v>0</v>
      </c>
      <c r="F203" s="42">
        <v>1.2375851006281129E-2</v>
      </c>
      <c r="G203">
        <v>0.98762414899371886</v>
      </c>
    </row>
    <row r="204" spans="3:7" x14ac:dyDescent="0.15">
      <c r="C204" s="43" t="s">
        <v>521</v>
      </c>
      <c r="D204" s="42">
        <v>1</v>
      </c>
      <c r="E204" s="42">
        <v>1</v>
      </c>
      <c r="F204" s="42">
        <v>0.84131311141086595</v>
      </c>
      <c r="G204">
        <v>0.15868688858913405</v>
      </c>
    </row>
    <row r="205" spans="3:7" x14ac:dyDescent="0.15">
      <c r="C205" s="43" t="s">
        <v>522</v>
      </c>
      <c r="D205" s="42">
        <v>0</v>
      </c>
      <c r="E205" s="42">
        <v>0</v>
      </c>
      <c r="F205" s="42">
        <v>2.3648779897999057E-3</v>
      </c>
      <c r="G205">
        <v>0.9976351220102001</v>
      </c>
    </row>
    <row r="206" spans="3:7" x14ac:dyDescent="0.15">
      <c r="C206" s="43" t="s">
        <v>523</v>
      </c>
      <c r="D206" s="42">
        <v>0</v>
      </c>
      <c r="E206" s="42">
        <v>0</v>
      </c>
      <c r="F206" s="42">
        <v>1.1037553908822303E-3</v>
      </c>
      <c r="G206">
        <v>0.99889624460911774</v>
      </c>
    </row>
    <row r="207" spans="3:7" x14ac:dyDescent="0.15">
      <c r="C207" s="43" t="s">
        <v>524</v>
      </c>
      <c r="D207" s="42">
        <v>0</v>
      </c>
      <c r="E207" s="42">
        <v>0</v>
      </c>
      <c r="F207" s="42">
        <v>2.3128412525735054E-2</v>
      </c>
      <c r="G207">
        <v>0.97687158747426495</v>
      </c>
    </row>
    <row r="208" spans="3:7" x14ac:dyDescent="0.15">
      <c r="C208" s="43" t="s">
        <v>525</v>
      </c>
      <c r="D208" s="42">
        <v>0</v>
      </c>
      <c r="E208" s="42">
        <v>0</v>
      </c>
      <c r="F208" s="42">
        <v>6.9817049236959063E-3</v>
      </c>
      <c r="G208">
        <v>0.99301829507630412</v>
      </c>
    </row>
    <row r="209" spans="3:7" x14ac:dyDescent="0.15">
      <c r="C209" s="43" t="s">
        <v>526</v>
      </c>
      <c r="D209" s="42">
        <v>1</v>
      </c>
      <c r="E209" s="42">
        <v>1</v>
      </c>
      <c r="F209" s="42">
        <v>0.99972861978711436</v>
      </c>
      <c r="G209">
        <v>2.7138021288564129E-4</v>
      </c>
    </row>
    <row r="210" spans="3:7" x14ac:dyDescent="0.15">
      <c r="C210" s="43" t="s">
        <v>527</v>
      </c>
      <c r="D210" s="42">
        <v>0</v>
      </c>
      <c r="E210" s="42">
        <v>0</v>
      </c>
      <c r="F210" s="42">
        <v>1.3704460120713595E-2</v>
      </c>
      <c r="G210">
        <v>0.98629553987928642</v>
      </c>
    </row>
    <row r="211" spans="3:7" x14ac:dyDescent="0.15">
      <c r="C211" s="43" t="s">
        <v>528</v>
      </c>
      <c r="D211" s="42">
        <v>0</v>
      </c>
      <c r="E211" s="42">
        <v>0</v>
      </c>
      <c r="F211" s="42">
        <v>9.8537543174257586E-3</v>
      </c>
      <c r="G211">
        <v>0.99014624568257426</v>
      </c>
    </row>
    <row r="212" spans="3:7" x14ac:dyDescent="0.15">
      <c r="C212" s="43" t="s">
        <v>529</v>
      </c>
      <c r="D212" s="42">
        <v>1</v>
      </c>
      <c r="E212" s="42">
        <v>1</v>
      </c>
      <c r="F212" s="42">
        <v>0.9918777567849677</v>
      </c>
      <c r="G212">
        <v>8.1222432150322987E-3</v>
      </c>
    </row>
    <row r="213" spans="3:7" x14ac:dyDescent="0.15">
      <c r="C213" s="43" t="s">
        <v>530</v>
      </c>
      <c r="D213" s="42">
        <v>1</v>
      </c>
      <c r="E213" s="42">
        <v>1</v>
      </c>
      <c r="F213" s="42">
        <v>0.86400413044580471</v>
      </c>
      <c r="G213">
        <v>0.13599586955419529</v>
      </c>
    </row>
    <row r="214" spans="3:7" x14ac:dyDescent="0.15">
      <c r="C214" s="43" t="s">
        <v>531</v>
      </c>
      <c r="D214" s="42">
        <v>0</v>
      </c>
      <c r="E214" s="42">
        <v>0</v>
      </c>
      <c r="F214" s="42">
        <v>4.3226679845105094E-2</v>
      </c>
      <c r="G214">
        <v>0.95677332015489491</v>
      </c>
    </row>
    <row r="215" spans="3:7" x14ac:dyDescent="0.15">
      <c r="C215" s="43" t="s">
        <v>532</v>
      </c>
      <c r="D215" s="42">
        <v>0</v>
      </c>
      <c r="E215" s="42">
        <v>0</v>
      </c>
      <c r="F215" s="42">
        <v>0.11413054202047458</v>
      </c>
      <c r="G215">
        <v>0.88586945797952543</v>
      </c>
    </row>
    <row r="216" spans="3:7" x14ac:dyDescent="0.15">
      <c r="C216" s="43" t="s">
        <v>533</v>
      </c>
      <c r="D216" s="42">
        <v>0</v>
      </c>
      <c r="E216" s="42">
        <v>0</v>
      </c>
      <c r="F216" s="42">
        <v>0.25496905045372864</v>
      </c>
      <c r="G216">
        <v>0.74503094954627136</v>
      </c>
    </row>
    <row r="217" spans="3:7" x14ac:dyDescent="0.15">
      <c r="C217" s="43" t="s">
        <v>534</v>
      </c>
      <c r="D217" s="42">
        <v>0</v>
      </c>
      <c r="E217" s="42">
        <v>0</v>
      </c>
      <c r="F217" s="42">
        <v>1.4182816244900245E-2</v>
      </c>
      <c r="G217">
        <v>0.98581718375509975</v>
      </c>
    </row>
    <row r="218" spans="3:7" x14ac:dyDescent="0.15">
      <c r="C218" s="43" t="s">
        <v>535</v>
      </c>
      <c r="D218" s="42">
        <v>0</v>
      </c>
      <c r="E218" s="42">
        <v>0</v>
      </c>
      <c r="F218" s="42">
        <v>3.1962212369894528E-4</v>
      </c>
      <c r="G218">
        <v>0.99968037787630104</v>
      </c>
    </row>
    <row r="219" spans="3:7" x14ac:dyDescent="0.15">
      <c r="C219" s="43" t="s">
        <v>536</v>
      </c>
      <c r="D219" s="42">
        <v>0</v>
      </c>
      <c r="E219" s="42">
        <v>0</v>
      </c>
      <c r="F219" s="42">
        <v>0.45446491621065338</v>
      </c>
      <c r="G219">
        <v>0.54553508378934668</v>
      </c>
    </row>
    <row r="220" spans="3:7" x14ac:dyDescent="0.15">
      <c r="C220" s="43" t="s">
        <v>537</v>
      </c>
      <c r="D220" s="42">
        <v>0</v>
      </c>
      <c r="E220" s="42">
        <v>0</v>
      </c>
      <c r="F220" s="42">
        <v>0.16491881382289519</v>
      </c>
      <c r="G220">
        <v>0.83508118617710481</v>
      </c>
    </row>
    <row r="221" spans="3:7" x14ac:dyDescent="0.15">
      <c r="C221" s="61" t="s">
        <v>538</v>
      </c>
      <c r="D221" s="60">
        <v>0</v>
      </c>
      <c r="E221" s="60">
        <v>1</v>
      </c>
      <c r="F221" s="60">
        <v>0.7176627893728007</v>
      </c>
      <c r="G221" s="59">
        <v>0.2823372106271993</v>
      </c>
    </row>
    <row r="222" spans="3:7" x14ac:dyDescent="0.15">
      <c r="C222" s="43" t="s">
        <v>539</v>
      </c>
      <c r="D222" s="42">
        <v>0</v>
      </c>
      <c r="E222" s="42">
        <v>0</v>
      </c>
      <c r="F222" s="42">
        <v>3.9817172217290735E-3</v>
      </c>
      <c r="G222">
        <v>0.99601828277827098</v>
      </c>
    </row>
    <row r="223" spans="3:7" x14ac:dyDescent="0.15">
      <c r="C223" s="43" t="s">
        <v>540</v>
      </c>
      <c r="D223" s="42">
        <v>0</v>
      </c>
      <c r="E223" s="42">
        <v>0</v>
      </c>
      <c r="F223" s="42">
        <v>0.10191309764433408</v>
      </c>
      <c r="G223">
        <v>0.89808690235566591</v>
      </c>
    </row>
    <row r="224" spans="3:7" x14ac:dyDescent="0.15">
      <c r="C224" s="43" t="s">
        <v>541</v>
      </c>
      <c r="D224" s="42">
        <v>0</v>
      </c>
      <c r="E224" s="42">
        <v>0</v>
      </c>
      <c r="F224" s="42">
        <v>0.16581043584102811</v>
      </c>
      <c r="G224">
        <v>0.83418956415897183</v>
      </c>
    </row>
    <row r="225" spans="3:7" x14ac:dyDescent="0.15">
      <c r="C225" s="43" t="s">
        <v>542</v>
      </c>
      <c r="D225" s="42">
        <v>0</v>
      </c>
      <c r="E225" s="42">
        <v>0</v>
      </c>
      <c r="F225" s="42">
        <v>0.2793621656779201</v>
      </c>
      <c r="G225">
        <v>0.72063783432207984</v>
      </c>
    </row>
    <row r="226" spans="3:7" x14ac:dyDescent="0.15">
      <c r="C226" s="43" t="s">
        <v>543</v>
      </c>
      <c r="D226" s="42">
        <v>0</v>
      </c>
      <c r="E226" s="42">
        <v>0</v>
      </c>
      <c r="F226" s="42">
        <v>2.6888684155705792E-2</v>
      </c>
      <c r="G226">
        <v>0.97311131584429422</v>
      </c>
    </row>
    <row r="227" spans="3:7" x14ac:dyDescent="0.15">
      <c r="C227" s="43" t="s">
        <v>544</v>
      </c>
      <c r="D227" s="42">
        <v>0</v>
      </c>
      <c r="E227" s="42">
        <v>0</v>
      </c>
      <c r="F227" s="42">
        <v>6.22484902980715E-3</v>
      </c>
      <c r="G227">
        <v>0.99377515097019287</v>
      </c>
    </row>
    <row r="228" spans="3:7" x14ac:dyDescent="0.15">
      <c r="C228" s="43" t="s">
        <v>545</v>
      </c>
      <c r="D228" s="42">
        <v>0</v>
      </c>
      <c r="E228" s="42">
        <v>0</v>
      </c>
      <c r="F228" s="42">
        <v>0.31356186295017041</v>
      </c>
      <c r="G228">
        <v>0.68643813704982959</v>
      </c>
    </row>
    <row r="229" spans="3:7" x14ac:dyDescent="0.15">
      <c r="C229" s="43" t="s">
        <v>546</v>
      </c>
      <c r="D229" s="42">
        <v>0</v>
      </c>
      <c r="E229" s="42">
        <v>0</v>
      </c>
      <c r="F229" s="42">
        <v>3.1957299465338367E-2</v>
      </c>
      <c r="G229">
        <v>0.96804270053466168</v>
      </c>
    </row>
    <row r="230" spans="3:7" x14ac:dyDescent="0.15">
      <c r="C230" s="43" t="s">
        <v>547</v>
      </c>
      <c r="D230" s="42">
        <v>0</v>
      </c>
      <c r="E230" s="42">
        <v>0</v>
      </c>
      <c r="F230" s="42">
        <v>8.7666221974138318E-3</v>
      </c>
      <c r="G230">
        <v>0.99123337780258614</v>
      </c>
    </row>
    <row r="231" spans="3:7" x14ac:dyDescent="0.15">
      <c r="C231" s="43" t="s">
        <v>548</v>
      </c>
      <c r="D231" s="42">
        <v>0</v>
      </c>
      <c r="E231" s="42">
        <v>0</v>
      </c>
      <c r="F231" s="42">
        <v>1.6568015536091184E-2</v>
      </c>
      <c r="G231">
        <v>0.98343198446390878</v>
      </c>
    </row>
    <row r="232" spans="3:7" x14ac:dyDescent="0.15">
      <c r="C232" s="61" t="s">
        <v>549</v>
      </c>
      <c r="D232" s="60">
        <v>1</v>
      </c>
      <c r="E232" s="60">
        <v>0</v>
      </c>
      <c r="F232" s="60">
        <v>0.44973580436521909</v>
      </c>
      <c r="G232" s="59">
        <v>0.55026419563478091</v>
      </c>
    </row>
    <row r="233" spans="3:7" x14ac:dyDescent="0.15">
      <c r="C233" s="43" t="s">
        <v>550</v>
      </c>
      <c r="D233" s="42">
        <v>0</v>
      </c>
      <c r="E233" s="42">
        <v>0</v>
      </c>
      <c r="F233" s="42">
        <v>0.21494403956856609</v>
      </c>
      <c r="G233">
        <v>0.78505596043143389</v>
      </c>
    </row>
    <row r="234" spans="3:7" x14ac:dyDescent="0.15">
      <c r="C234" s="43" t="s">
        <v>551</v>
      </c>
      <c r="D234" s="42">
        <v>0</v>
      </c>
      <c r="E234" s="42">
        <v>0</v>
      </c>
      <c r="F234" s="42">
        <v>4.7767281013273762E-3</v>
      </c>
      <c r="G234">
        <v>0.99522327189867266</v>
      </c>
    </row>
    <row r="235" spans="3:7" x14ac:dyDescent="0.15">
      <c r="C235" s="43" t="s">
        <v>552</v>
      </c>
      <c r="D235" s="42">
        <v>0</v>
      </c>
      <c r="E235" s="42">
        <v>0</v>
      </c>
      <c r="F235" s="42">
        <v>3.1642585679083193E-2</v>
      </c>
      <c r="G235">
        <v>0.96835741432091682</v>
      </c>
    </row>
    <row r="236" spans="3:7" x14ac:dyDescent="0.15">
      <c r="C236" s="43" t="s">
        <v>553</v>
      </c>
      <c r="D236" s="42">
        <v>0</v>
      </c>
      <c r="E236" s="42">
        <v>0</v>
      </c>
      <c r="F236" s="42">
        <v>1.3565069109940209E-2</v>
      </c>
      <c r="G236">
        <v>0.98643493089005974</v>
      </c>
    </row>
    <row r="237" spans="3:7" x14ac:dyDescent="0.15">
      <c r="C237" s="61" t="s">
        <v>554</v>
      </c>
      <c r="D237" s="60">
        <v>1</v>
      </c>
      <c r="E237" s="60">
        <v>0</v>
      </c>
      <c r="F237" s="60">
        <v>0.16771848240745571</v>
      </c>
      <c r="G237" s="59">
        <v>0.83228151759254432</v>
      </c>
    </row>
    <row r="238" spans="3:7" x14ac:dyDescent="0.15">
      <c r="C238" s="43" t="s">
        <v>555</v>
      </c>
      <c r="D238" s="42">
        <v>0</v>
      </c>
      <c r="E238" s="42">
        <v>0</v>
      </c>
      <c r="F238" s="42">
        <v>0.10189050733029979</v>
      </c>
      <c r="G238">
        <v>0.89810949266970019</v>
      </c>
    </row>
    <row r="239" spans="3:7" x14ac:dyDescent="0.15">
      <c r="C239" s="43" t="s">
        <v>556</v>
      </c>
      <c r="D239" s="42">
        <v>0</v>
      </c>
      <c r="E239" s="42">
        <v>0</v>
      </c>
      <c r="F239" s="42">
        <v>3.3514044454487447E-2</v>
      </c>
      <c r="G239">
        <v>0.96648595554551253</v>
      </c>
    </row>
    <row r="240" spans="3:7" x14ac:dyDescent="0.15">
      <c r="C240" s="43" t="s">
        <v>557</v>
      </c>
      <c r="D240" s="42">
        <v>0</v>
      </c>
      <c r="E240" s="42">
        <v>0</v>
      </c>
      <c r="F240" s="42">
        <v>0.13876175708691357</v>
      </c>
      <c r="G240">
        <v>0.86123824291308648</v>
      </c>
    </row>
    <row r="241" spans="3:7" x14ac:dyDescent="0.15">
      <c r="C241" s="61" t="s">
        <v>558</v>
      </c>
      <c r="D241" s="60">
        <v>0</v>
      </c>
      <c r="E241" s="60">
        <v>1</v>
      </c>
      <c r="F241" s="60">
        <v>0.52078460802194926</v>
      </c>
      <c r="G241" s="59">
        <v>0.47921539197805074</v>
      </c>
    </row>
    <row r="242" spans="3:7" x14ac:dyDescent="0.15">
      <c r="C242" s="43" t="s">
        <v>559</v>
      </c>
      <c r="D242" s="42">
        <v>0</v>
      </c>
      <c r="E242" s="42">
        <v>0</v>
      </c>
      <c r="F242" s="42">
        <v>1.0011512368189111E-2</v>
      </c>
      <c r="G242">
        <v>0.98998848763181091</v>
      </c>
    </row>
    <row r="243" spans="3:7" x14ac:dyDescent="0.15">
      <c r="C243" s="43" t="s">
        <v>560</v>
      </c>
      <c r="D243" s="42">
        <v>0</v>
      </c>
      <c r="E243" s="42">
        <v>0</v>
      </c>
      <c r="F243" s="42">
        <v>0.30110015523683248</v>
      </c>
      <c r="G243">
        <v>0.69889984476316758</v>
      </c>
    </row>
    <row r="244" spans="3:7" x14ac:dyDescent="0.15">
      <c r="C244" s="43" t="s">
        <v>561</v>
      </c>
      <c r="D244" s="42">
        <v>0</v>
      </c>
      <c r="E244" s="42">
        <v>0</v>
      </c>
      <c r="F244" s="42">
        <v>9.0318887894136862E-2</v>
      </c>
      <c r="G244">
        <v>0.90968111210586311</v>
      </c>
    </row>
    <row r="245" spans="3:7" x14ac:dyDescent="0.15">
      <c r="C245" s="43" t="s">
        <v>562</v>
      </c>
      <c r="D245" s="42">
        <v>0</v>
      </c>
      <c r="E245" s="42">
        <v>0</v>
      </c>
      <c r="F245" s="42">
        <v>8.3496896369465487E-2</v>
      </c>
      <c r="G245">
        <v>0.91650310363053455</v>
      </c>
    </row>
    <row r="246" spans="3:7" x14ac:dyDescent="0.15">
      <c r="C246" s="43" t="s">
        <v>563</v>
      </c>
      <c r="D246" s="42">
        <v>0</v>
      </c>
      <c r="E246" s="42">
        <v>0</v>
      </c>
      <c r="F246" s="42">
        <v>1.0396395373079853E-2</v>
      </c>
      <c r="G246">
        <v>0.9896036046269201</v>
      </c>
    </row>
    <row r="247" spans="3:7" x14ac:dyDescent="0.15">
      <c r="C247" s="43" t="s">
        <v>564</v>
      </c>
      <c r="D247" s="42">
        <v>0</v>
      </c>
      <c r="E247" s="42">
        <v>0</v>
      </c>
      <c r="F247" s="42">
        <v>9.7237568747655462E-2</v>
      </c>
      <c r="G247">
        <v>0.90276243125234457</v>
      </c>
    </row>
    <row r="248" spans="3:7" x14ac:dyDescent="0.15">
      <c r="C248" s="43" t="s">
        <v>565</v>
      </c>
      <c r="D248" s="42">
        <v>0</v>
      </c>
      <c r="E248" s="42">
        <v>0</v>
      </c>
      <c r="F248" s="42">
        <v>0.12488258782408547</v>
      </c>
      <c r="G248">
        <v>0.87511741217591454</v>
      </c>
    </row>
    <row r="249" spans="3:7" x14ac:dyDescent="0.15">
      <c r="C249" s="43" t="s">
        <v>566</v>
      </c>
      <c r="D249" s="42">
        <v>0</v>
      </c>
      <c r="E249" s="42">
        <v>0</v>
      </c>
      <c r="F249" s="42">
        <v>5.5755939051788832E-4</v>
      </c>
      <c r="G249">
        <v>0.99944244060948206</v>
      </c>
    </row>
    <row r="250" spans="3:7" x14ac:dyDescent="0.15">
      <c r="C250" s="43" t="s">
        <v>567</v>
      </c>
      <c r="D250" s="42">
        <v>0</v>
      </c>
      <c r="E250" s="42">
        <v>0</v>
      </c>
      <c r="F250" s="42">
        <v>5.4940684573915481E-2</v>
      </c>
      <c r="G250">
        <v>0.94505931542608457</v>
      </c>
    </row>
    <row r="251" spans="3:7" x14ac:dyDescent="0.15">
      <c r="C251" s="43" t="s">
        <v>568</v>
      </c>
      <c r="D251" s="42">
        <v>0</v>
      </c>
      <c r="E251" s="42">
        <v>0</v>
      </c>
      <c r="F251" s="42">
        <v>3.5322518143073182E-2</v>
      </c>
      <c r="G251">
        <v>0.96467748185692681</v>
      </c>
    </row>
    <row r="252" spans="3:7" x14ac:dyDescent="0.15">
      <c r="C252" s="43" t="s">
        <v>569</v>
      </c>
      <c r="D252" s="42">
        <v>0</v>
      </c>
      <c r="E252" s="42">
        <v>0</v>
      </c>
      <c r="F252" s="42">
        <v>1.699749689848188E-2</v>
      </c>
      <c r="G252">
        <v>0.98300250310151815</v>
      </c>
    </row>
    <row r="253" spans="3:7" x14ac:dyDescent="0.15">
      <c r="C253" s="43" t="s">
        <v>570</v>
      </c>
      <c r="D253" s="42">
        <v>0</v>
      </c>
      <c r="E253" s="42">
        <v>0</v>
      </c>
      <c r="F253" s="42">
        <v>1.7379673476541256E-2</v>
      </c>
      <c r="G253">
        <v>0.98262032652345876</v>
      </c>
    </row>
    <row r="254" spans="3:7" x14ac:dyDescent="0.15">
      <c r="C254" s="61" t="s">
        <v>571</v>
      </c>
      <c r="D254" s="60">
        <v>1</v>
      </c>
      <c r="E254" s="60">
        <v>0</v>
      </c>
      <c r="F254" s="60">
        <v>0.35232344055608461</v>
      </c>
      <c r="G254" s="59">
        <v>0.64767655944391533</v>
      </c>
    </row>
    <row r="255" spans="3:7" x14ac:dyDescent="0.15">
      <c r="C255" s="43" t="s">
        <v>572</v>
      </c>
      <c r="D255" s="42">
        <v>0</v>
      </c>
      <c r="E255" s="42">
        <v>0</v>
      </c>
      <c r="F255" s="42">
        <v>3.728163886038318E-2</v>
      </c>
      <c r="G255">
        <v>0.96271836113961684</v>
      </c>
    </row>
    <row r="256" spans="3:7" x14ac:dyDescent="0.15">
      <c r="C256" s="43" t="s">
        <v>573</v>
      </c>
      <c r="D256" s="42">
        <v>0</v>
      </c>
      <c r="E256" s="42">
        <v>0</v>
      </c>
      <c r="F256" s="42">
        <v>3.4246429242730393E-2</v>
      </c>
      <c r="G256">
        <v>0.96575357075726964</v>
      </c>
    </row>
    <row r="257" spans="3:7" x14ac:dyDescent="0.15">
      <c r="C257" s="61" t="s">
        <v>574</v>
      </c>
      <c r="D257" s="60">
        <v>0</v>
      </c>
      <c r="E257" s="60">
        <v>1</v>
      </c>
      <c r="F257" s="60">
        <v>0.55276643873995412</v>
      </c>
      <c r="G257" s="59">
        <v>0.44723356126004588</v>
      </c>
    </row>
    <row r="258" spans="3:7" x14ac:dyDescent="0.15">
      <c r="C258" s="43" t="s">
        <v>575</v>
      </c>
      <c r="D258" s="42">
        <v>0</v>
      </c>
      <c r="E258" s="42">
        <v>0</v>
      </c>
      <c r="F258" s="42">
        <v>2.265541461945336E-3</v>
      </c>
      <c r="G258">
        <v>0.99773445853805465</v>
      </c>
    </row>
    <row r="259" spans="3:7" x14ac:dyDescent="0.15">
      <c r="C259" s="43" t="s">
        <v>576</v>
      </c>
      <c r="D259" s="42">
        <v>0</v>
      </c>
      <c r="E259" s="42">
        <v>0</v>
      </c>
      <c r="F259" s="42">
        <v>1.4661171805849811E-2</v>
      </c>
      <c r="G259">
        <v>0.9853388281941502</v>
      </c>
    </row>
    <row r="260" spans="3:7" x14ac:dyDescent="0.15">
      <c r="C260" s="43" t="s">
        <v>577</v>
      </c>
      <c r="D260" s="42">
        <v>1</v>
      </c>
      <c r="E260" s="42">
        <v>1</v>
      </c>
      <c r="F260" s="42">
        <v>0.84826238448194324</v>
      </c>
      <c r="G260">
        <v>0.15173761551805676</v>
      </c>
    </row>
    <row r="261" spans="3:7" x14ac:dyDescent="0.15">
      <c r="C261" s="43" t="s">
        <v>578</v>
      </c>
      <c r="D261" s="42">
        <v>0</v>
      </c>
      <c r="E261" s="42">
        <v>0</v>
      </c>
      <c r="F261" s="42">
        <v>1.4784610260188985E-3</v>
      </c>
      <c r="G261">
        <v>0.9985215389739811</v>
      </c>
    </row>
    <row r="262" spans="3:7" x14ac:dyDescent="0.15">
      <c r="C262" s="43" t="s">
        <v>579</v>
      </c>
      <c r="D262" s="42">
        <v>0</v>
      </c>
      <c r="E262" s="42">
        <v>0</v>
      </c>
      <c r="F262" s="42">
        <v>1.1058584445519829E-2</v>
      </c>
      <c r="G262">
        <v>0.98894141555448012</v>
      </c>
    </row>
    <row r="263" spans="3:7" x14ac:dyDescent="0.15">
      <c r="C263" s="43" t="s">
        <v>580</v>
      </c>
      <c r="D263" s="42">
        <v>0</v>
      </c>
      <c r="E263" s="42">
        <v>0</v>
      </c>
      <c r="F263" s="42">
        <v>2.5495110660010934E-3</v>
      </c>
      <c r="G263">
        <v>0.9974504889339989</v>
      </c>
    </row>
    <row r="264" spans="3:7" x14ac:dyDescent="0.15">
      <c r="C264" s="43" t="s">
        <v>581</v>
      </c>
      <c r="D264" s="42">
        <v>0</v>
      </c>
      <c r="E264" s="42">
        <v>0</v>
      </c>
      <c r="F264" s="42">
        <v>9.8045083906135137E-3</v>
      </c>
      <c r="G264">
        <v>0.99019549160938647</v>
      </c>
    </row>
    <row r="265" spans="3:7" x14ac:dyDescent="0.15">
      <c r="C265" s="43" t="s">
        <v>582</v>
      </c>
      <c r="D265" s="42">
        <v>0</v>
      </c>
      <c r="E265" s="42">
        <v>0</v>
      </c>
      <c r="F265" s="42">
        <v>1.0343613298897767E-2</v>
      </c>
      <c r="G265">
        <v>0.98965638670110223</v>
      </c>
    </row>
    <row r="266" spans="3:7" x14ac:dyDescent="0.15">
      <c r="C266" s="43" t="s">
        <v>583</v>
      </c>
      <c r="D266" s="42">
        <v>1</v>
      </c>
      <c r="E266" s="42">
        <v>1</v>
      </c>
      <c r="F266" s="42">
        <v>0.80976246480313108</v>
      </c>
      <c r="G266">
        <v>0.19023753519686892</v>
      </c>
    </row>
    <row r="267" spans="3:7" x14ac:dyDescent="0.15">
      <c r="C267" s="43" t="s">
        <v>584</v>
      </c>
      <c r="D267" s="42">
        <v>0</v>
      </c>
      <c r="E267" s="42">
        <v>0</v>
      </c>
      <c r="F267" s="42">
        <v>3.7580679063926148E-2</v>
      </c>
      <c r="G267">
        <v>0.96241932093607385</v>
      </c>
    </row>
    <row r="268" spans="3:7" x14ac:dyDescent="0.15">
      <c r="C268" s="43" t="s">
        <v>585</v>
      </c>
      <c r="D268" s="42">
        <v>0</v>
      </c>
      <c r="E268" s="42">
        <v>0</v>
      </c>
      <c r="F268" s="42">
        <v>1.163521381091988E-2</v>
      </c>
      <c r="G268">
        <v>0.98836478618908008</v>
      </c>
    </row>
    <row r="269" spans="3:7" x14ac:dyDescent="0.15">
      <c r="C269" s="61" t="s">
        <v>586</v>
      </c>
      <c r="D269" s="60">
        <v>0</v>
      </c>
      <c r="E269" s="60">
        <v>1</v>
      </c>
      <c r="F269" s="60">
        <v>0.95524908171669365</v>
      </c>
      <c r="G269" s="59">
        <v>4.4750918283306351E-2</v>
      </c>
    </row>
    <row r="270" spans="3:7" x14ac:dyDescent="0.15">
      <c r="C270" s="43" t="s">
        <v>587</v>
      </c>
      <c r="D270" s="42">
        <v>0</v>
      </c>
      <c r="E270" s="42">
        <v>0</v>
      </c>
      <c r="F270" s="42">
        <v>1.7767255342606366E-2</v>
      </c>
      <c r="G270">
        <v>0.98223274465739363</v>
      </c>
    </row>
    <row r="271" spans="3:7" x14ac:dyDescent="0.15">
      <c r="C271" s="43" t="s">
        <v>588</v>
      </c>
      <c r="D271" s="42">
        <v>0</v>
      </c>
      <c r="E271" s="42">
        <v>0</v>
      </c>
      <c r="F271" s="42">
        <v>0.17128161507820308</v>
      </c>
      <c r="G271">
        <v>0.82871838492179695</v>
      </c>
    </row>
    <row r="272" spans="3:7" x14ac:dyDescent="0.15">
      <c r="C272" s="43" t="s">
        <v>589</v>
      </c>
      <c r="D272" s="42">
        <v>0</v>
      </c>
      <c r="E272" s="42">
        <v>0</v>
      </c>
      <c r="F272" s="42">
        <v>5.6192219889717315E-2</v>
      </c>
      <c r="G272">
        <v>0.94380778011028266</v>
      </c>
    </row>
    <row r="273" spans="3:7" x14ac:dyDescent="0.15">
      <c r="C273" s="43" t="s">
        <v>590</v>
      </c>
      <c r="D273" s="42">
        <v>0</v>
      </c>
      <c r="E273" s="42">
        <v>0</v>
      </c>
      <c r="F273" s="42">
        <v>0.14465018163291218</v>
      </c>
      <c r="G273">
        <v>0.85534981836708779</v>
      </c>
    </row>
    <row r="274" spans="3:7" x14ac:dyDescent="0.15">
      <c r="C274" s="43" t="s">
        <v>591</v>
      </c>
      <c r="D274" s="42">
        <v>0</v>
      </c>
      <c r="E274" s="42">
        <v>0</v>
      </c>
      <c r="F274" s="42">
        <v>0.15041168127291762</v>
      </c>
      <c r="G274">
        <v>0.8495883187270824</v>
      </c>
    </row>
    <row r="275" spans="3:7" x14ac:dyDescent="0.15">
      <c r="C275" s="43" t="s">
        <v>592</v>
      </c>
      <c r="D275" s="42">
        <v>1</v>
      </c>
      <c r="E275" s="42">
        <v>1</v>
      </c>
      <c r="F275" s="42">
        <v>0.9007667517749991</v>
      </c>
      <c r="G275">
        <v>9.9233248225000903E-2</v>
      </c>
    </row>
    <row r="276" spans="3:7" x14ac:dyDescent="0.15">
      <c r="C276" s="43" t="s">
        <v>593</v>
      </c>
      <c r="D276" s="42">
        <v>0</v>
      </c>
      <c r="E276" s="42">
        <v>0</v>
      </c>
      <c r="F276" s="42">
        <v>1.7898405763688778E-3</v>
      </c>
      <c r="G276">
        <v>0.99821015942363112</v>
      </c>
    </row>
    <row r="277" spans="3:7" x14ac:dyDescent="0.15">
      <c r="C277" s="43" t="s">
        <v>594</v>
      </c>
      <c r="D277" s="42">
        <v>1</v>
      </c>
      <c r="E277" s="42">
        <v>1</v>
      </c>
      <c r="F277" s="42">
        <v>0.87447523387206383</v>
      </c>
      <c r="G277">
        <v>0.12552476612793617</v>
      </c>
    </row>
    <row r="278" spans="3:7" x14ac:dyDescent="0.15">
      <c r="C278" s="43" t="s">
        <v>595</v>
      </c>
      <c r="D278" s="42">
        <v>0</v>
      </c>
      <c r="E278" s="42">
        <v>0</v>
      </c>
      <c r="F278" s="42">
        <v>2.6023534683538262E-4</v>
      </c>
      <c r="G278">
        <v>0.99973976465316461</v>
      </c>
    </row>
    <row r="279" spans="3:7" x14ac:dyDescent="0.15">
      <c r="C279" s="43" t="s">
        <v>596</v>
      </c>
      <c r="D279" s="42">
        <v>0</v>
      </c>
      <c r="E279" s="42">
        <v>0</v>
      </c>
      <c r="F279" s="42">
        <v>1.460796304299853E-3</v>
      </c>
      <c r="G279">
        <v>0.99853920369570015</v>
      </c>
    </row>
    <row r="280" spans="3:7" x14ac:dyDescent="0.15">
      <c r="C280" s="61" t="s">
        <v>597</v>
      </c>
      <c r="D280" s="60">
        <v>0</v>
      </c>
      <c r="E280" s="60">
        <v>1</v>
      </c>
      <c r="F280" s="60">
        <v>0.99054967116508608</v>
      </c>
      <c r="G280" s="59">
        <v>9.4503288349139236E-3</v>
      </c>
    </row>
    <row r="281" spans="3:7" x14ac:dyDescent="0.15">
      <c r="C281" s="43" t="s">
        <v>598</v>
      </c>
      <c r="D281" s="42">
        <v>0</v>
      </c>
      <c r="E281" s="42">
        <v>0</v>
      </c>
      <c r="F281" s="42">
        <v>1.6942053283757745E-2</v>
      </c>
      <c r="G281">
        <v>0.98305794671624225</v>
      </c>
    </row>
    <row r="282" spans="3:7" x14ac:dyDescent="0.15">
      <c r="C282" s="43" t="s">
        <v>599</v>
      </c>
      <c r="D282" s="42">
        <v>0</v>
      </c>
      <c r="E282" s="42">
        <v>0</v>
      </c>
      <c r="F282" s="42">
        <v>1.186659511623445E-2</v>
      </c>
      <c r="G282">
        <v>0.98813340488376555</v>
      </c>
    </row>
    <row r="283" spans="3:7" x14ac:dyDescent="0.15">
      <c r="C283" s="43" t="s">
        <v>600</v>
      </c>
      <c r="D283" s="42">
        <v>0</v>
      </c>
      <c r="E283" s="42">
        <v>0</v>
      </c>
      <c r="F283" s="42">
        <v>0.12699523287478742</v>
      </c>
      <c r="G283">
        <v>0.87300476712521258</v>
      </c>
    </row>
    <row r="284" spans="3:7" x14ac:dyDescent="0.15">
      <c r="C284" s="43" t="s">
        <v>601</v>
      </c>
      <c r="D284" s="42">
        <v>0</v>
      </c>
      <c r="E284" s="42">
        <v>0</v>
      </c>
      <c r="F284" s="42">
        <v>4.2717125410572855E-2</v>
      </c>
      <c r="G284">
        <v>0.95728287458942718</v>
      </c>
    </row>
    <row r="285" spans="3:7" x14ac:dyDescent="0.15">
      <c r="C285" s="43" t="s">
        <v>602</v>
      </c>
      <c r="D285" s="42">
        <v>0</v>
      </c>
      <c r="E285" s="42">
        <v>0</v>
      </c>
      <c r="F285" s="42">
        <v>5.4767561837097974E-2</v>
      </c>
      <c r="G285">
        <v>0.94523243816290203</v>
      </c>
    </row>
    <row r="286" spans="3:7" x14ac:dyDescent="0.15">
      <c r="C286" s="43" t="s">
        <v>603</v>
      </c>
      <c r="D286" s="42">
        <v>0</v>
      </c>
      <c r="E286" s="42">
        <v>0</v>
      </c>
      <c r="F286" s="42">
        <v>3.2758633340497348E-2</v>
      </c>
      <c r="G286">
        <v>0.96724136665950267</v>
      </c>
    </row>
    <row r="287" spans="3:7" x14ac:dyDescent="0.15">
      <c r="C287" s="43" t="s">
        <v>604</v>
      </c>
      <c r="D287" s="42">
        <v>0</v>
      </c>
      <c r="E287" s="42">
        <v>0</v>
      </c>
      <c r="F287" s="42">
        <v>7.4822781620085676E-4</v>
      </c>
      <c r="G287">
        <v>0.99925177218379913</v>
      </c>
    </row>
    <row r="288" spans="3:7" x14ac:dyDescent="0.15">
      <c r="C288" s="61" t="s">
        <v>605</v>
      </c>
      <c r="D288" s="60">
        <v>1</v>
      </c>
      <c r="E288" s="60">
        <v>0</v>
      </c>
      <c r="F288" s="60">
        <v>0.41359901560367918</v>
      </c>
      <c r="G288" s="59">
        <v>0.58640098439632082</v>
      </c>
    </row>
    <row r="289" spans="3:7" x14ac:dyDescent="0.15">
      <c r="C289" s="61" t="s">
        <v>606</v>
      </c>
      <c r="D289" s="60">
        <v>1</v>
      </c>
      <c r="E289" s="60">
        <v>0</v>
      </c>
      <c r="F289" s="60">
        <v>0.38666130186969411</v>
      </c>
      <c r="G289" s="59">
        <v>0.61333869813030595</v>
      </c>
    </row>
    <row r="290" spans="3:7" x14ac:dyDescent="0.15">
      <c r="C290" s="43" t="s">
        <v>607</v>
      </c>
      <c r="D290" s="42">
        <v>0</v>
      </c>
      <c r="E290" s="42">
        <v>0</v>
      </c>
      <c r="F290" s="42">
        <v>4.421622944621546E-3</v>
      </c>
      <c r="G290">
        <v>0.99557837705537844</v>
      </c>
    </row>
    <row r="291" spans="3:7" x14ac:dyDescent="0.15">
      <c r="C291" s="43" t="s">
        <v>608</v>
      </c>
      <c r="D291" s="42">
        <v>0</v>
      </c>
      <c r="E291" s="42">
        <v>0</v>
      </c>
      <c r="F291" s="42">
        <v>9.3801204157273801E-3</v>
      </c>
      <c r="G291">
        <v>0.99061987958427267</v>
      </c>
    </row>
    <row r="292" spans="3:7" x14ac:dyDescent="0.15">
      <c r="C292" s="43" t="s">
        <v>609</v>
      </c>
      <c r="D292" s="42">
        <v>0</v>
      </c>
      <c r="E292" s="42">
        <v>0</v>
      </c>
      <c r="F292" s="42">
        <v>2.1984393985454206E-2</v>
      </c>
      <c r="G292">
        <v>0.97801560601454585</v>
      </c>
    </row>
    <row r="293" spans="3:7" x14ac:dyDescent="0.15">
      <c r="C293" s="43" t="s">
        <v>610</v>
      </c>
      <c r="D293" s="42">
        <v>0</v>
      </c>
      <c r="E293" s="42">
        <v>0</v>
      </c>
      <c r="F293" s="42">
        <v>1.8164380422178393E-3</v>
      </c>
      <c r="G293">
        <v>0.99818356195778213</v>
      </c>
    </row>
    <row r="294" spans="3:7" x14ac:dyDescent="0.15">
      <c r="C294" s="43" t="s">
        <v>611</v>
      </c>
      <c r="D294" s="42">
        <v>0</v>
      </c>
      <c r="E294" s="42">
        <v>0</v>
      </c>
      <c r="F294" s="42">
        <v>1.6685056497203445E-2</v>
      </c>
      <c r="G294">
        <v>0.98331494350279658</v>
      </c>
    </row>
    <row r="295" spans="3:7" x14ac:dyDescent="0.15">
      <c r="C295" s="43" t="s">
        <v>612</v>
      </c>
      <c r="D295" s="42">
        <v>0</v>
      </c>
      <c r="E295" s="42">
        <v>0</v>
      </c>
      <c r="F295" s="42">
        <v>2.2892070177577628E-3</v>
      </c>
      <c r="G295">
        <v>0.99771079298224219</v>
      </c>
    </row>
    <row r="296" spans="3:7" x14ac:dyDescent="0.15">
      <c r="C296" s="43" t="s">
        <v>613</v>
      </c>
      <c r="D296" s="42">
        <v>0</v>
      </c>
      <c r="E296" s="42">
        <v>0</v>
      </c>
      <c r="F296" s="42">
        <v>4.1620670162701599E-3</v>
      </c>
      <c r="G296">
        <v>0.9958379329837298</v>
      </c>
    </row>
    <row r="297" spans="3:7" x14ac:dyDescent="0.15">
      <c r="C297" s="61" t="s">
        <v>614</v>
      </c>
      <c r="D297" s="60">
        <v>0</v>
      </c>
      <c r="E297" s="60">
        <v>1</v>
      </c>
      <c r="F297" s="60">
        <v>0.82205795538326942</v>
      </c>
      <c r="G297" s="59">
        <v>0.17794204461673058</v>
      </c>
    </row>
    <row r="298" spans="3:7" x14ac:dyDescent="0.15">
      <c r="C298" s="43" t="s">
        <v>615</v>
      </c>
      <c r="D298" s="42">
        <v>1</v>
      </c>
      <c r="E298" s="42">
        <v>1</v>
      </c>
      <c r="F298" s="42">
        <v>0.99371428541896645</v>
      </c>
      <c r="G298">
        <v>6.2857145810335524E-3</v>
      </c>
    </row>
    <row r="299" spans="3:7" x14ac:dyDescent="0.15">
      <c r="C299" s="43" t="s">
        <v>616</v>
      </c>
      <c r="D299" s="42">
        <v>0</v>
      </c>
      <c r="E299" s="42">
        <v>0</v>
      </c>
      <c r="F299" s="42">
        <v>1.893073821423228E-2</v>
      </c>
      <c r="G299">
        <v>0.9810692617857677</v>
      </c>
    </row>
    <row r="300" spans="3:7" x14ac:dyDescent="0.15">
      <c r="C300" s="43" t="s">
        <v>617</v>
      </c>
      <c r="D300" s="42">
        <v>0</v>
      </c>
      <c r="E300" s="42">
        <v>0</v>
      </c>
      <c r="F300" s="42">
        <v>0.11807907007672946</v>
      </c>
      <c r="G300">
        <v>0.88192092992327054</v>
      </c>
    </row>
    <row r="301" spans="3:7" x14ac:dyDescent="0.15">
      <c r="C301" s="43" t="s">
        <v>618</v>
      </c>
      <c r="D301" s="42">
        <v>0</v>
      </c>
      <c r="E301" s="42">
        <v>0</v>
      </c>
      <c r="F301" s="42">
        <v>2.757176086389895E-2</v>
      </c>
      <c r="G301">
        <v>0.9724282391361011</v>
      </c>
    </row>
    <row r="302" spans="3:7" x14ac:dyDescent="0.15">
      <c r="C302" s="43" t="s">
        <v>619</v>
      </c>
      <c r="D302" s="42">
        <v>0</v>
      </c>
      <c r="E302" s="42">
        <v>0</v>
      </c>
      <c r="F302" s="42">
        <v>1.6839627392541544E-2</v>
      </c>
      <c r="G302">
        <v>0.98316037260745848</v>
      </c>
    </row>
    <row r="303" spans="3:7" x14ac:dyDescent="0.15">
      <c r="C303" s="43" t="s">
        <v>620</v>
      </c>
      <c r="D303" s="42">
        <v>1</v>
      </c>
      <c r="E303" s="42">
        <v>1</v>
      </c>
      <c r="F303" s="42">
        <v>0.66917385140055929</v>
      </c>
      <c r="G303">
        <v>0.33082614859944071</v>
      </c>
    </row>
    <row r="304" spans="3:7" x14ac:dyDescent="0.15">
      <c r="C304" s="43" t="s">
        <v>621</v>
      </c>
      <c r="D304" s="42">
        <v>0</v>
      </c>
      <c r="E304" s="42">
        <v>0</v>
      </c>
      <c r="F304" s="42">
        <v>0.1476105928682559</v>
      </c>
      <c r="G304">
        <v>0.85238940713174416</v>
      </c>
    </row>
    <row r="305" spans="3:7" x14ac:dyDescent="0.15">
      <c r="C305" s="43" t="s">
        <v>622</v>
      </c>
      <c r="D305" s="42">
        <v>0</v>
      </c>
      <c r="E305" s="42">
        <v>0</v>
      </c>
      <c r="F305" s="42">
        <v>3.4356650443565839E-2</v>
      </c>
      <c r="G305">
        <v>0.96564334955643416</v>
      </c>
    </row>
    <row r="306" spans="3:7" x14ac:dyDescent="0.15">
      <c r="C306" s="43" t="s">
        <v>623</v>
      </c>
      <c r="D306" s="42">
        <v>0</v>
      </c>
      <c r="E306" s="42">
        <v>0</v>
      </c>
      <c r="F306" s="42">
        <v>3.9965859628935466E-2</v>
      </c>
      <c r="G306">
        <v>0.96003414037106449</v>
      </c>
    </row>
    <row r="307" spans="3:7" x14ac:dyDescent="0.15">
      <c r="C307" s="43" t="s">
        <v>624</v>
      </c>
      <c r="D307" s="42">
        <v>0</v>
      </c>
      <c r="E307" s="42">
        <v>0</v>
      </c>
      <c r="F307" s="42">
        <v>3.7813103300022209E-2</v>
      </c>
      <c r="G307">
        <v>0.96218689669997781</v>
      </c>
    </row>
    <row r="308" spans="3:7" x14ac:dyDescent="0.15">
      <c r="C308" s="43" t="s">
        <v>625</v>
      </c>
      <c r="D308" s="42">
        <v>0</v>
      </c>
      <c r="E308" s="42">
        <v>0</v>
      </c>
      <c r="F308" s="42">
        <v>0.33255642998382157</v>
      </c>
      <c r="G308">
        <v>0.66744357001617849</v>
      </c>
    </row>
    <row r="309" spans="3:7" x14ac:dyDescent="0.15">
      <c r="C309" s="43" t="s">
        <v>626</v>
      </c>
      <c r="D309" s="42">
        <v>0</v>
      </c>
      <c r="E309" s="42">
        <v>0</v>
      </c>
      <c r="F309" s="42">
        <v>4.6242349813292311E-2</v>
      </c>
      <c r="G309">
        <v>0.95375765018670766</v>
      </c>
    </row>
    <row r="310" spans="3:7" x14ac:dyDescent="0.15">
      <c r="C310" s="43" t="s">
        <v>627</v>
      </c>
      <c r="D310" s="42">
        <v>0</v>
      </c>
      <c r="E310" s="42">
        <v>0</v>
      </c>
      <c r="F310" s="42">
        <v>2.5771098239201786E-4</v>
      </c>
      <c r="G310">
        <v>0.99974228901760798</v>
      </c>
    </row>
    <row r="311" spans="3:7" x14ac:dyDescent="0.15">
      <c r="C311" s="43" t="s">
        <v>628</v>
      </c>
      <c r="D311" s="42">
        <v>0</v>
      </c>
      <c r="E311" s="42">
        <v>0</v>
      </c>
      <c r="F311" s="42">
        <v>4.3278129881157691E-4</v>
      </c>
      <c r="G311">
        <v>0.99956721870118848</v>
      </c>
    </row>
    <row r="312" spans="3:7" x14ac:dyDescent="0.15">
      <c r="C312" s="43" t="s">
        <v>629</v>
      </c>
      <c r="D312" s="42">
        <v>0</v>
      </c>
      <c r="E312" s="42">
        <v>0</v>
      </c>
      <c r="F312" s="42">
        <v>9.8706645986483999E-4</v>
      </c>
      <c r="G312">
        <v>0.99901293354013521</v>
      </c>
    </row>
    <row r="313" spans="3:7" x14ac:dyDescent="0.15">
      <c r="C313" s="43" t="s">
        <v>630</v>
      </c>
      <c r="D313" s="42">
        <v>0</v>
      </c>
      <c r="E313" s="42">
        <v>0</v>
      </c>
      <c r="F313" s="42">
        <v>0.19873367057203203</v>
      </c>
      <c r="G313">
        <v>0.80126632942796794</v>
      </c>
    </row>
    <row r="314" spans="3:7" x14ac:dyDescent="0.15">
      <c r="C314" s="43" t="s">
        <v>631</v>
      </c>
      <c r="D314" s="42">
        <v>0</v>
      </c>
      <c r="E314" s="42">
        <v>0</v>
      </c>
      <c r="F314" s="42">
        <v>0.13792535434476227</v>
      </c>
      <c r="G314">
        <v>0.86207464565523773</v>
      </c>
    </row>
    <row r="315" spans="3:7" x14ac:dyDescent="0.15">
      <c r="C315" s="43" t="s">
        <v>632</v>
      </c>
      <c r="D315" s="42">
        <v>0</v>
      </c>
      <c r="E315" s="42">
        <v>0</v>
      </c>
      <c r="F315" s="42">
        <v>9.788396990603393E-2</v>
      </c>
      <c r="G315">
        <v>0.90211603009396613</v>
      </c>
    </row>
    <row r="316" spans="3:7" x14ac:dyDescent="0.15">
      <c r="C316" s="43" t="s">
        <v>633</v>
      </c>
      <c r="D316" s="42">
        <v>0</v>
      </c>
      <c r="E316" s="42">
        <v>0</v>
      </c>
      <c r="F316" s="42">
        <v>9.5972982945971702E-3</v>
      </c>
      <c r="G316">
        <v>0.99040270170540279</v>
      </c>
    </row>
    <row r="317" spans="3:7" x14ac:dyDescent="0.15">
      <c r="C317" s="43" t="s">
        <v>634</v>
      </c>
      <c r="D317" s="42">
        <v>0</v>
      </c>
      <c r="E317" s="42">
        <v>0</v>
      </c>
      <c r="F317" s="42">
        <v>7.047648249355655E-2</v>
      </c>
      <c r="G317">
        <v>0.92952351750644346</v>
      </c>
    </row>
    <row r="318" spans="3:7" x14ac:dyDescent="0.15">
      <c r="C318" s="43" t="s">
        <v>635</v>
      </c>
      <c r="D318" s="42">
        <v>1</v>
      </c>
      <c r="E318" s="42">
        <v>1</v>
      </c>
      <c r="F318" s="42">
        <v>0.94659742964284666</v>
      </c>
      <c r="G318">
        <v>5.3402570357153345E-2</v>
      </c>
    </row>
    <row r="319" spans="3:7" x14ac:dyDescent="0.15">
      <c r="C319" s="43" t="s">
        <v>636</v>
      </c>
      <c r="D319" s="42">
        <v>0</v>
      </c>
      <c r="E319" s="42">
        <v>0</v>
      </c>
      <c r="F319" s="42">
        <v>9.3739901315454954E-3</v>
      </c>
      <c r="G319">
        <v>0.9906260098684545</v>
      </c>
    </row>
    <row r="320" spans="3:7" x14ac:dyDescent="0.15">
      <c r="C320" s="61" t="s">
        <v>637</v>
      </c>
      <c r="D320" s="60">
        <v>0</v>
      </c>
      <c r="E320" s="60">
        <v>1</v>
      </c>
      <c r="F320" s="60">
        <v>0.68710574408356173</v>
      </c>
      <c r="G320" s="59">
        <v>0.31289425591643827</v>
      </c>
    </row>
    <row r="321" spans="3:7" x14ac:dyDescent="0.15">
      <c r="C321" s="61" t="s">
        <v>638</v>
      </c>
      <c r="D321" s="60">
        <v>0</v>
      </c>
      <c r="E321" s="60">
        <v>1</v>
      </c>
      <c r="F321" s="60">
        <v>0.81335856515981064</v>
      </c>
      <c r="G321" s="59">
        <v>0.18664143484018936</v>
      </c>
    </row>
    <row r="322" spans="3:7" x14ac:dyDescent="0.15">
      <c r="C322" s="43" t="s">
        <v>639</v>
      </c>
      <c r="D322" s="42">
        <v>0</v>
      </c>
      <c r="E322" s="42">
        <v>0</v>
      </c>
      <c r="F322" s="42">
        <v>6.1623528078328165E-3</v>
      </c>
      <c r="G322">
        <v>0.99383764719216716</v>
      </c>
    </row>
    <row r="323" spans="3:7" x14ac:dyDescent="0.15">
      <c r="C323" s="43" t="s">
        <v>640</v>
      </c>
      <c r="D323" s="42">
        <v>1</v>
      </c>
      <c r="E323" s="42">
        <v>1</v>
      </c>
      <c r="F323" s="42">
        <v>0.94808410848761693</v>
      </c>
      <c r="G323">
        <v>5.1915891512383072E-2</v>
      </c>
    </row>
    <row r="324" spans="3:7" x14ac:dyDescent="0.15">
      <c r="C324" s="61" t="s">
        <v>641</v>
      </c>
      <c r="D324" s="60">
        <v>0</v>
      </c>
      <c r="E324" s="60">
        <v>1</v>
      </c>
      <c r="F324" s="60">
        <v>0.63195239512476231</v>
      </c>
      <c r="G324" s="59">
        <v>0.36804760487523769</v>
      </c>
    </row>
    <row r="325" spans="3:7" x14ac:dyDescent="0.15">
      <c r="C325" s="43" t="s">
        <v>642</v>
      </c>
      <c r="D325" s="42">
        <v>0</v>
      </c>
      <c r="E325" s="42">
        <v>0</v>
      </c>
      <c r="F325" s="42">
        <v>2.4368176268517202E-3</v>
      </c>
      <c r="G325">
        <v>0.99756318237314823</v>
      </c>
    </row>
    <row r="326" spans="3:7" x14ac:dyDescent="0.15">
      <c r="C326" s="43" t="s">
        <v>643</v>
      </c>
      <c r="D326" s="42">
        <v>0</v>
      </c>
      <c r="E326" s="42">
        <v>0</v>
      </c>
      <c r="F326" s="42">
        <v>9.9044509307290966E-3</v>
      </c>
      <c r="G326">
        <v>0.99009554906927089</v>
      </c>
    </row>
    <row r="327" spans="3:7" x14ac:dyDescent="0.15">
      <c r="C327" s="43" t="s">
        <v>644</v>
      </c>
      <c r="D327" s="42">
        <v>0</v>
      </c>
      <c r="E327" s="42">
        <v>0</v>
      </c>
      <c r="F327" s="42">
        <v>1.3579567358059362E-2</v>
      </c>
      <c r="G327">
        <v>0.98642043264194068</v>
      </c>
    </row>
    <row r="328" spans="3:7" x14ac:dyDescent="0.15">
      <c r="C328" s="43" t="s">
        <v>645</v>
      </c>
      <c r="D328" s="42">
        <v>0</v>
      </c>
      <c r="E328" s="42">
        <v>0</v>
      </c>
      <c r="F328" s="42">
        <v>2.1239498882045488E-2</v>
      </c>
      <c r="G328">
        <v>0.97876050111795454</v>
      </c>
    </row>
    <row r="329" spans="3:7" x14ac:dyDescent="0.15">
      <c r="C329" s="43" t="s">
        <v>646</v>
      </c>
      <c r="D329" s="42">
        <v>0</v>
      </c>
      <c r="E329" s="42">
        <v>0</v>
      </c>
      <c r="F329" s="42">
        <v>0.42594630380628945</v>
      </c>
      <c r="G329">
        <v>0.57405369619371061</v>
      </c>
    </row>
    <row r="330" spans="3:7" x14ac:dyDescent="0.15">
      <c r="C330" s="43" t="s">
        <v>647</v>
      </c>
      <c r="D330" s="42">
        <v>0</v>
      </c>
      <c r="E330" s="42">
        <v>0</v>
      </c>
      <c r="F330" s="42">
        <v>5.1419913560306674E-2</v>
      </c>
      <c r="G330">
        <v>0.94858008643969338</v>
      </c>
    </row>
    <row r="331" spans="3:7" x14ac:dyDescent="0.15">
      <c r="C331" s="43" t="s">
        <v>648</v>
      </c>
      <c r="D331" s="42">
        <v>0</v>
      </c>
      <c r="E331" s="42">
        <v>0</v>
      </c>
      <c r="F331" s="42">
        <v>2.9265283050430056E-2</v>
      </c>
      <c r="G331">
        <v>0.97073471694956992</v>
      </c>
    </row>
    <row r="332" spans="3:7" x14ac:dyDescent="0.15">
      <c r="C332" s="43" t="s">
        <v>649</v>
      </c>
      <c r="D332" s="42">
        <v>0</v>
      </c>
      <c r="E332" s="42">
        <v>0</v>
      </c>
      <c r="F332" s="42">
        <v>8.7151332718654842E-2</v>
      </c>
      <c r="G332">
        <v>0.91284866728134517</v>
      </c>
    </row>
    <row r="333" spans="3:7" x14ac:dyDescent="0.15">
      <c r="C333" s="43" t="s">
        <v>650</v>
      </c>
      <c r="D333" s="42">
        <v>0</v>
      </c>
      <c r="E333" s="42">
        <v>0</v>
      </c>
      <c r="F333" s="42">
        <v>0.33411639534373366</v>
      </c>
      <c r="G333">
        <v>0.66588360465626639</v>
      </c>
    </row>
    <row r="334" spans="3:7" x14ac:dyDescent="0.15">
      <c r="C334" s="43" t="s">
        <v>651</v>
      </c>
      <c r="D334" s="42">
        <v>0</v>
      </c>
      <c r="E334" s="42">
        <v>0</v>
      </c>
      <c r="F334" s="42">
        <v>1.8240209240782353E-2</v>
      </c>
      <c r="G334">
        <v>0.9817597907592176</v>
      </c>
    </row>
    <row r="335" spans="3:7" x14ac:dyDescent="0.15">
      <c r="C335" s="43" t="s">
        <v>652</v>
      </c>
      <c r="D335" s="42">
        <v>0</v>
      </c>
      <c r="E335" s="42">
        <v>0</v>
      </c>
      <c r="F335" s="42">
        <v>3.8783987858632095E-2</v>
      </c>
      <c r="G335">
        <v>0.96121601214136787</v>
      </c>
    </row>
    <row r="336" spans="3:7" x14ac:dyDescent="0.15">
      <c r="C336" s="43" t="s">
        <v>653</v>
      </c>
      <c r="D336" s="42">
        <v>0</v>
      </c>
      <c r="E336" s="42">
        <v>0</v>
      </c>
      <c r="F336" s="42">
        <v>8.7278809107416006E-2</v>
      </c>
      <c r="G336">
        <v>0.91272119089258397</v>
      </c>
    </row>
    <row r="337" spans="3:7" x14ac:dyDescent="0.15">
      <c r="C337" s="43" t="s">
        <v>654</v>
      </c>
      <c r="D337" s="42">
        <v>1</v>
      </c>
      <c r="E337" s="42">
        <v>1</v>
      </c>
      <c r="F337" s="42">
        <v>0.93283368009662526</v>
      </c>
      <c r="G337">
        <v>6.7166319903374738E-2</v>
      </c>
    </row>
    <row r="338" spans="3:7" x14ac:dyDescent="0.15">
      <c r="C338" s="43" t="s">
        <v>655</v>
      </c>
      <c r="D338" s="42">
        <v>0</v>
      </c>
      <c r="E338" s="42">
        <v>0</v>
      </c>
      <c r="F338" s="42">
        <v>0.46071623544177798</v>
      </c>
      <c r="G338">
        <v>0.53928376455822202</v>
      </c>
    </row>
    <row r="339" spans="3:7" x14ac:dyDescent="0.15">
      <c r="C339" s="43" t="s">
        <v>656</v>
      </c>
      <c r="D339" s="42">
        <v>0</v>
      </c>
      <c r="E339" s="42">
        <v>0</v>
      </c>
      <c r="F339" s="42">
        <v>1.9293551479085459E-3</v>
      </c>
      <c r="G339">
        <v>0.9980706448520914</v>
      </c>
    </row>
    <row r="340" spans="3:7" x14ac:dyDescent="0.15">
      <c r="C340" s="43" t="s">
        <v>657</v>
      </c>
      <c r="D340" s="42">
        <v>0</v>
      </c>
      <c r="E340" s="42">
        <v>0</v>
      </c>
      <c r="F340" s="42">
        <v>0.10513013466103587</v>
      </c>
      <c r="G340">
        <v>0.89486986533896418</v>
      </c>
    </row>
    <row r="341" spans="3:7" x14ac:dyDescent="0.15">
      <c r="C341" s="43" t="s">
        <v>658</v>
      </c>
      <c r="D341" s="42">
        <v>0</v>
      </c>
      <c r="E341" s="42">
        <v>0</v>
      </c>
      <c r="F341" s="42">
        <v>5.4568321901347448E-3</v>
      </c>
      <c r="G341">
        <v>0.99454316780986529</v>
      </c>
    </row>
    <row r="342" spans="3:7" x14ac:dyDescent="0.15">
      <c r="C342" s="43" t="s">
        <v>659</v>
      </c>
      <c r="D342" s="42">
        <v>0</v>
      </c>
      <c r="E342" s="42">
        <v>0</v>
      </c>
      <c r="F342" s="42">
        <v>0.30110015523683248</v>
      </c>
      <c r="G342">
        <v>0.69889984476316758</v>
      </c>
    </row>
    <row r="343" spans="3:7" x14ac:dyDescent="0.15">
      <c r="C343" s="43" t="s">
        <v>660</v>
      </c>
      <c r="D343" s="42">
        <v>0</v>
      </c>
      <c r="E343" s="42">
        <v>0</v>
      </c>
      <c r="F343" s="42">
        <v>6.9849601964122307E-2</v>
      </c>
      <c r="G343">
        <v>0.93015039803587773</v>
      </c>
    </row>
    <row r="344" spans="3:7" x14ac:dyDescent="0.15">
      <c r="C344" s="61" t="s">
        <v>661</v>
      </c>
      <c r="D344" s="60">
        <v>0</v>
      </c>
      <c r="E344" s="60">
        <v>1</v>
      </c>
      <c r="F344" s="60">
        <v>0.79491233436207065</v>
      </c>
      <c r="G344" s="59">
        <v>0.20508766563792935</v>
      </c>
    </row>
    <row r="345" spans="3:7" x14ac:dyDescent="0.15">
      <c r="C345" s="43" t="s">
        <v>662</v>
      </c>
      <c r="D345" s="42">
        <v>0</v>
      </c>
      <c r="E345" s="42">
        <v>0</v>
      </c>
      <c r="F345" s="42">
        <v>3.6852451572180138E-2</v>
      </c>
      <c r="G345">
        <v>0.96314754842781991</v>
      </c>
    </row>
    <row r="346" spans="3:7" x14ac:dyDescent="0.15">
      <c r="C346" s="61" t="s">
        <v>663</v>
      </c>
      <c r="D346" s="60">
        <v>0</v>
      </c>
      <c r="E346" s="60">
        <v>1</v>
      </c>
      <c r="F346" s="60">
        <v>0.72813407692838605</v>
      </c>
      <c r="G346" s="59">
        <v>0.27186592307161395</v>
      </c>
    </row>
    <row r="347" spans="3:7" x14ac:dyDescent="0.15">
      <c r="C347" s="43" t="s">
        <v>664</v>
      </c>
      <c r="D347" s="42">
        <v>0</v>
      </c>
      <c r="E347" s="42">
        <v>0</v>
      </c>
      <c r="F347" s="42">
        <v>5.9033485768079479E-2</v>
      </c>
      <c r="G347">
        <v>0.94096651423192057</v>
      </c>
    </row>
    <row r="348" spans="3:7" x14ac:dyDescent="0.15">
      <c r="C348" s="43" t="s">
        <v>665</v>
      </c>
      <c r="D348" s="42">
        <v>0</v>
      </c>
      <c r="E348" s="42">
        <v>0</v>
      </c>
      <c r="F348" s="42">
        <v>0.39591272566250396</v>
      </c>
      <c r="G348">
        <v>0.60408727433749609</v>
      </c>
    </row>
    <row r="349" spans="3:7" x14ac:dyDescent="0.15">
      <c r="C349" s="43" t="s">
        <v>666</v>
      </c>
      <c r="D349" s="42">
        <v>0</v>
      </c>
      <c r="E349" s="42">
        <v>0</v>
      </c>
      <c r="F349" s="42">
        <v>0.4196036005354154</v>
      </c>
      <c r="G349">
        <v>0.58039639946458466</v>
      </c>
    </row>
    <row r="350" spans="3:7" x14ac:dyDescent="0.15">
      <c r="C350" s="43" t="s">
        <v>667</v>
      </c>
      <c r="D350" s="42">
        <v>1</v>
      </c>
      <c r="E350" s="42">
        <v>1</v>
      </c>
      <c r="F350" s="42">
        <v>0.77507290752721647</v>
      </c>
      <c r="G350">
        <v>0.22492709247278353</v>
      </c>
    </row>
    <row r="351" spans="3:7" x14ac:dyDescent="0.15">
      <c r="C351" s="61" t="s">
        <v>668</v>
      </c>
      <c r="D351" s="60">
        <v>0</v>
      </c>
      <c r="E351" s="60">
        <v>1</v>
      </c>
      <c r="F351" s="60">
        <v>0.69353876972471418</v>
      </c>
      <c r="G351" s="59">
        <v>0.30646123027528582</v>
      </c>
    </row>
    <row r="352" spans="3:7" x14ac:dyDescent="0.15">
      <c r="C352" s="43" t="s">
        <v>669</v>
      </c>
      <c r="D352" s="42">
        <v>0</v>
      </c>
      <c r="E352" s="42">
        <v>0</v>
      </c>
      <c r="F352" s="42">
        <v>0.49735424699743724</v>
      </c>
      <c r="G352">
        <v>0.50264575300256276</v>
      </c>
    </row>
    <row r="353" spans="3:7" x14ac:dyDescent="0.15">
      <c r="C353" s="43" t="s">
        <v>670</v>
      </c>
      <c r="D353" s="42">
        <v>0</v>
      </c>
      <c r="E353" s="42">
        <v>0</v>
      </c>
      <c r="F353" s="42">
        <v>7.8413993466395424E-3</v>
      </c>
      <c r="G353">
        <v>0.99215860065336048</v>
      </c>
    </row>
    <row r="354" spans="3:7" x14ac:dyDescent="0.15">
      <c r="C354" s="61" t="s">
        <v>671</v>
      </c>
      <c r="D354" s="60">
        <v>0</v>
      </c>
      <c r="E354" s="60">
        <v>1</v>
      </c>
      <c r="F354" s="60">
        <v>0.57506657358784208</v>
      </c>
      <c r="G354" s="59">
        <v>0.42493342641215792</v>
      </c>
    </row>
    <row r="355" spans="3:7" x14ac:dyDescent="0.15">
      <c r="C355" s="43" t="s">
        <v>672</v>
      </c>
      <c r="D355" s="42">
        <v>0</v>
      </c>
      <c r="E355" s="42">
        <v>0</v>
      </c>
      <c r="F355" s="42">
        <v>6.4636491584437968E-4</v>
      </c>
      <c r="G355">
        <v>0.99935363508415564</v>
      </c>
    </row>
    <row r="356" spans="3:7" x14ac:dyDescent="0.15">
      <c r="C356" s="43" t="s">
        <v>673</v>
      </c>
      <c r="D356" s="42">
        <v>0</v>
      </c>
      <c r="E356" s="42">
        <v>0</v>
      </c>
      <c r="F356" s="42">
        <v>2.7305600999956148E-2</v>
      </c>
      <c r="G356">
        <v>0.97269439900004384</v>
      </c>
    </row>
    <row r="357" spans="3:7" x14ac:dyDescent="0.15">
      <c r="C357" s="43" t="s">
        <v>674</v>
      </c>
      <c r="D357" s="42">
        <v>0</v>
      </c>
      <c r="E357" s="42">
        <v>0</v>
      </c>
      <c r="F357" s="42">
        <v>2.1636175950561217E-2</v>
      </c>
      <c r="G357">
        <v>0.97836382404943878</v>
      </c>
    </row>
    <row r="358" spans="3:7" x14ac:dyDescent="0.15">
      <c r="C358" s="43" t="s">
        <v>675</v>
      </c>
      <c r="D358" s="42">
        <v>1</v>
      </c>
      <c r="E358" s="42">
        <v>1</v>
      </c>
      <c r="F358" s="42">
        <v>0.70410912117879043</v>
      </c>
      <c r="G358">
        <v>0.29589087882120957</v>
      </c>
    </row>
    <row r="359" spans="3:7" x14ac:dyDescent="0.15">
      <c r="C359" s="43" t="s">
        <v>676</v>
      </c>
      <c r="D359" s="42">
        <v>0</v>
      </c>
      <c r="E359" s="42">
        <v>0</v>
      </c>
      <c r="F359" s="42">
        <v>0.16278306713502191</v>
      </c>
      <c r="G359">
        <v>0.83721693286497811</v>
      </c>
    </row>
    <row r="360" spans="3:7" x14ac:dyDescent="0.15">
      <c r="C360" s="43" t="s">
        <v>677</v>
      </c>
      <c r="D360" s="42">
        <v>0</v>
      </c>
      <c r="E360" s="42">
        <v>0</v>
      </c>
      <c r="F360" s="42">
        <v>1.5131235616667824E-2</v>
      </c>
      <c r="G360">
        <v>0.98486876438333215</v>
      </c>
    </row>
    <row r="361" spans="3:7" x14ac:dyDescent="0.15">
      <c r="C361" s="43" t="s">
        <v>678</v>
      </c>
      <c r="D361" s="42">
        <v>0</v>
      </c>
      <c r="E361" s="42">
        <v>0</v>
      </c>
      <c r="F361" s="42">
        <v>9.2841383154181837E-3</v>
      </c>
      <c r="G361">
        <v>0.99071586168458181</v>
      </c>
    </row>
    <row r="362" spans="3:7" x14ac:dyDescent="0.15">
      <c r="C362" s="43" t="s">
        <v>679</v>
      </c>
      <c r="D362" s="42">
        <v>0</v>
      </c>
      <c r="E362" s="42">
        <v>0</v>
      </c>
      <c r="F362" s="42">
        <v>5.9176028215998568E-4</v>
      </c>
      <c r="G362">
        <v>0.99940823971783999</v>
      </c>
    </row>
    <row r="363" spans="3:7" x14ac:dyDescent="0.15">
      <c r="C363" s="61" t="s">
        <v>680</v>
      </c>
      <c r="D363" s="60">
        <v>0</v>
      </c>
      <c r="E363" s="60">
        <v>1</v>
      </c>
      <c r="F363" s="60">
        <v>0.57798238870805851</v>
      </c>
      <c r="G363" s="59">
        <v>0.42201761129194149</v>
      </c>
    </row>
    <row r="364" spans="3:7" x14ac:dyDescent="0.15">
      <c r="C364" s="43" t="s">
        <v>681</v>
      </c>
      <c r="D364" s="42">
        <v>0</v>
      </c>
      <c r="E364" s="42">
        <v>0</v>
      </c>
      <c r="F364" s="42">
        <v>2.886380943186093E-2</v>
      </c>
      <c r="G364">
        <v>0.97113619056813905</v>
      </c>
    </row>
    <row r="365" spans="3:7" x14ac:dyDescent="0.15">
      <c r="C365" s="43" t="s">
        <v>682</v>
      </c>
      <c r="D365" s="42">
        <v>0</v>
      </c>
      <c r="E365" s="42">
        <v>0</v>
      </c>
      <c r="F365" s="42">
        <v>0.17663178424652362</v>
      </c>
      <c r="G365">
        <v>0.82336821575347641</v>
      </c>
    </row>
    <row r="366" spans="3:7" x14ac:dyDescent="0.15">
      <c r="C366" s="43" t="s">
        <v>683</v>
      </c>
      <c r="D366" s="42">
        <v>0</v>
      </c>
      <c r="E366" s="42">
        <v>0</v>
      </c>
      <c r="F366" s="42">
        <v>5.3647379992243097E-3</v>
      </c>
      <c r="G366">
        <v>0.99463526200077568</v>
      </c>
    </row>
    <row r="367" spans="3:7" x14ac:dyDescent="0.15">
      <c r="C367" s="43" t="s">
        <v>684</v>
      </c>
      <c r="D367" s="42">
        <v>0</v>
      </c>
      <c r="E367" s="42">
        <v>0</v>
      </c>
      <c r="F367" s="42">
        <v>0.37484262785864431</v>
      </c>
      <c r="G367">
        <v>0.62515737214135569</v>
      </c>
    </row>
    <row r="368" spans="3:7" x14ac:dyDescent="0.15">
      <c r="C368" s="43" t="s">
        <v>685</v>
      </c>
      <c r="D368" s="42">
        <v>0</v>
      </c>
      <c r="E368" s="42">
        <v>0</v>
      </c>
      <c r="F368" s="42">
        <v>4.8914493117586224E-3</v>
      </c>
      <c r="G368">
        <v>0.99510855068824133</v>
      </c>
    </row>
    <row r="369" spans="3:7" x14ac:dyDescent="0.15">
      <c r="C369" s="43" t="s">
        <v>686</v>
      </c>
      <c r="D369" s="42">
        <v>0</v>
      </c>
      <c r="E369" s="42">
        <v>0</v>
      </c>
      <c r="F369" s="42">
        <v>7.0372530418685741E-2</v>
      </c>
      <c r="G369">
        <v>0.92962746958131426</v>
      </c>
    </row>
    <row r="370" spans="3:7" x14ac:dyDescent="0.15">
      <c r="C370" s="43" t="s">
        <v>687</v>
      </c>
      <c r="D370" s="42">
        <v>0</v>
      </c>
      <c r="E370" s="42">
        <v>0</v>
      </c>
      <c r="F370" s="42">
        <v>0.20599673699127047</v>
      </c>
      <c r="G370">
        <v>0.79400326300872948</v>
      </c>
    </row>
    <row r="371" spans="3:7" x14ac:dyDescent="0.15">
      <c r="C371" s="43" t="s">
        <v>688</v>
      </c>
      <c r="D371" s="42">
        <v>0</v>
      </c>
      <c r="E371" s="42">
        <v>0</v>
      </c>
      <c r="F371" s="42">
        <v>9.85158226579462E-3</v>
      </c>
      <c r="G371">
        <v>0.99014841773420537</v>
      </c>
    </row>
    <row r="372" spans="3:7" x14ac:dyDescent="0.15">
      <c r="C372" s="43" t="s">
        <v>689</v>
      </c>
      <c r="D372" s="42">
        <v>0</v>
      </c>
      <c r="E372" s="42">
        <v>0</v>
      </c>
      <c r="F372" s="42">
        <v>1.9212042274377615E-4</v>
      </c>
      <c r="G372">
        <v>0.99980787957725625</v>
      </c>
    </row>
    <row r="373" spans="3:7" x14ac:dyDescent="0.15">
      <c r="C373" s="43" t="s">
        <v>690</v>
      </c>
      <c r="D373" s="42">
        <v>0</v>
      </c>
      <c r="E373" s="42">
        <v>0</v>
      </c>
      <c r="F373" s="42">
        <v>0.30162907924226384</v>
      </c>
      <c r="G373">
        <v>0.69837092075773621</v>
      </c>
    </row>
    <row r="374" spans="3:7" x14ac:dyDescent="0.15">
      <c r="C374" s="43" t="s">
        <v>691</v>
      </c>
      <c r="D374" s="42">
        <v>0</v>
      </c>
      <c r="E374" s="42">
        <v>0</v>
      </c>
      <c r="F374" s="42">
        <v>1.9208681698623574E-2</v>
      </c>
      <c r="G374">
        <v>0.98079131830137645</v>
      </c>
    </row>
    <row r="375" spans="3:7" x14ac:dyDescent="0.15">
      <c r="C375" s="43" t="s">
        <v>692</v>
      </c>
      <c r="D375" s="42">
        <v>0</v>
      </c>
      <c r="E375" s="42">
        <v>0</v>
      </c>
      <c r="F375" s="42">
        <v>1.8493100437015793E-3</v>
      </c>
      <c r="G375">
        <v>0.99815068995629841</v>
      </c>
    </row>
    <row r="376" spans="3:7" x14ac:dyDescent="0.15">
      <c r="C376" s="43" t="s">
        <v>693</v>
      </c>
      <c r="D376" s="42">
        <v>0</v>
      </c>
      <c r="E376" s="42">
        <v>0</v>
      </c>
      <c r="F376" s="42">
        <v>1.8355708596785626E-2</v>
      </c>
      <c r="G376">
        <v>0.98164429140321441</v>
      </c>
    </row>
    <row r="377" spans="3:7" x14ac:dyDescent="0.15">
      <c r="C377" s="43" t="s">
        <v>694</v>
      </c>
      <c r="D377" s="42">
        <v>0</v>
      </c>
      <c r="E377" s="42">
        <v>0</v>
      </c>
      <c r="F377" s="42">
        <v>0.3078987532634273</v>
      </c>
      <c r="G377">
        <v>0.6921012467365727</v>
      </c>
    </row>
    <row r="378" spans="3:7" x14ac:dyDescent="0.15">
      <c r="C378" s="43" t="s">
        <v>695</v>
      </c>
      <c r="D378" s="42">
        <v>0</v>
      </c>
      <c r="E378" s="42">
        <v>0</v>
      </c>
      <c r="F378" s="42">
        <v>5.0834066982800713E-2</v>
      </c>
      <c r="G378">
        <v>0.94916593301719931</v>
      </c>
    </row>
    <row r="379" spans="3:7" x14ac:dyDescent="0.15">
      <c r="C379" s="43" t="s">
        <v>696</v>
      </c>
      <c r="D379" s="42">
        <v>0</v>
      </c>
      <c r="E379" s="42">
        <v>0</v>
      </c>
      <c r="F379" s="42">
        <v>1.7482664457510878E-2</v>
      </c>
      <c r="G379">
        <v>0.9825173355424891</v>
      </c>
    </row>
    <row r="380" spans="3:7" x14ac:dyDescent="0.15">
      <c r="C380" s="43" t="s">
        <v>697</v>
      </c>
      <c r="D380" s="42">
        <v>0</v>
      </c>
      <c r="E380" s="42">
        <v>0</v>
      </c>
      <c r="F380" s="42">
        <v>0.33901345598619642</v>
      </c>
      <c r="G380">
        <v>0.66098654401380363</v>
      </c>
    </row>
    <row r="381" spans="3:7" x14ac:dyDescent="0.15">
      <c r="C381" s="43" t="s">
        <v>698</v>
      </c>
      <c r="D381" s="42">
        <v>0</v>
      </c>
      <c r="E381" s="42">
        <v>0</v>
      </c>
      <c r="F381" s="42">
        <v>4.1057082151524385E-2</v>
      </c>
      <c r="G381">
        <v>0.95894291784847563</v>
      </c>
    </row>
    <row r="382" spans="3:7" x14ac:dyDescent="0.15">
      <c r="C382" s="61" t="s">
        <v>699</v>
      </c>
      <c r="D382" s="60">
        <v>0</v>
      </c>
      <c r="E382" s="60">
        <v>1</v>
      </c>
      <c r="F382" s="60">
        <v>0.65583238226838048</v>
      </c>
      <c r="G382" s="59">
        <v>0.34416761773161952</v>
      </c>
    </row>
    <row r="383" spans="3:7" x14ac:dyDescent="0.15">
      <c r="C383" s="43" t="s">
        <v>700</v>
      </c>
      <c r="D383" s="42">
        <v>0</v>
      </c>
      <c r="E383" s="42">
        <v>0</v>
      </c>
      <c r="F383" s="42">
        <v>0.34272535322831632</v>
      </c>
      <c r="G383">
        <v>0.65727464677168368</v>
      </c>
    </row>
    <row r="384" spans="3:7" x14ac:dyDescent="0.15">
      <c r="C384" s="43" t="s">
        <v>701</v>
      </c>
      <c r="D384" s="42">
        <v>0</v>
      </c>
      <c r="E384" s="42">
        <v>0</v>
      </c>
      <c r="F384" s="42">
        <v>3.0607242852029974E-2</v>
      </c>
      <c r="G384">
        <v>0.96939275714797002</v>
      </c>
    </row>
    <row r="385" spans="3:7" x14ac:dyDescent="0.15">
      <c r="C385" s="43" t="s">
        <v>702</v>
      </c>
      <c r="D385" s="42">
        <v>0</v>
      </c>
      <c r="E385" s="42">
        <v>0</v>
      </c>
      <c r="F385" s="42">
        <v>1.4252798380997838E-2</v>
      </c>
      <c r="G385">
        <v>0.9857472016190022</v>
      </c>
    </row>
    <row r="386" spans="3:7" x14ac:dyDescent="0.15">
      <c r="C386" s="43" t="s">
        <v>703</v>
      </c>
      <c r="D386" s="42">
        <v>0</v>
      </c>
      <c r="E386" s="42">
        <v>0</v>
      </c>
      <c r="F386" s="42">
        <v>2.4891155947517032E-2</v>
      </c>
      <c r="G386">
        <v>0.97510884405248299</v>
      </c>
    </row>
    <row r="387" spans="3:7" x14ac:dyDescent="0.15">
      <c r="C387" s="43" t="s">
        <v>704</v>
      </c>
      <c r="D387" s="42">
        <v>0</v>
      </c>
      <c r="E387" s="42">
        <v>0</v>
      </c>
      <c r="F387" s="42">
        <v>3.1689517544436184E-2</v>
      </c>
      <c r="G387">
        <v>0.96831048245556384</v>
      </c>
    </row>
    <row r="388" spans="3:7" x14ac:dyDescent="0.15">
      <c r="C388" s="43" t="s">
        <v>705</v>
      </c>
      <c r="D388" s="42">
        <v>0</v>
      </c>
      <c r="E388" s="42">
        <v>0</v>
      </c>
      <c r="F388" s="42">
        <v>1.6298385716621837E-2</v>
      </c>
      <c r="G388">
        <v>0.98370161428337821</v>
      </c>
    </row>
    <row r="389" spans="3:7" x14ac:dyDescent="0.15">
      <c r="C389" s="43" t="s">
        <v>706</v>
      </c>
      <c r="D389" s="42">
        <v>0</v>
      </c>
      <c r="E389" s="42">
        <v>0</v>
      </c>
      <c r="F389" s="42">
        <v>5.2950264151049636E-4</v>
      </c>
      <c r="G389">
        <v>0.99947049735848947</v>
      </c>
    </row>
    <row r="390" spans="3:7" x14ac:dyDescent="0.15">
      <c r="C390" s="43" t="s">
        <v>707</v>
      </c>
      <c r="D390" s="42">
        <v>1</v>
      </c>
      <c r="E390" s="42">
        <v>1</v>
      </c>
      <c r="F390" s="42">
        <v>0.82613426740452856</v>
      </c>
      <c r="G390">
        <v>0.17386573259547144</v>
      </c>
    </row>
    <row r="391" spans="3:7" x14ac:dyDescent="0.15">
      <c r="C391" s="43" t="s">
        <v>708</v>
      </c>
      <c r="D391" s="42">
        <v>0</v>
      </c>
      <c r="E391" s="42">
        <v>0</v>
      </c>
      <c r="F391" s="42">
        <v>0.47163476624191453</v>
      </c>
      <c r="G391">
        <v>0.52836523375808553</v>
      </c>
    </row>
    <row r="392" spans="3:7" x14ac:dyDescent="0.15">
      <c r="C392" s="61" t="s">
        <v>709</v>
      </c>
      <c r="D392" s="60">
        <v>0</v>
      </c>
      <c r="E392" s="60">
        <v>1</v>
      </c>
      <c r="F392" s="60">
        <v>0.54710883802396315</v>
      </c>
      <c r="G392" s="59">
        <v>0.45289116197603685</v>
      </c>
    </row>
    <row r="393" spans="3:7" x14ac:dyDescent="0.15">
      <c r="C393" s="43" t="s">
        <v>710</v>
      </c>
      <c r="D393" s="42">
        <v>0</v>
      </c>
      <c r="E393" s="42">
        <v>0</v>
      </c>
      <c r="F393" s="42">
        <v>0.19784051139581027</v>
      </c>
      <c r="G393">
        <v>0.80215948860418973</v>
      </c>
    </row>
    <row r="394" spans="3:7" x14ac:dyDescent="0.15">
      <c r="C394" s="43" t="s">
        <v>711</v>
      </c>
      <c r="D394" s="42">
        <v>1</v>
      </c>
      <c r="E394" s="42">
        <v>1</v>
      </c>
      <c r="F394" s="42">
        <v>0.99547837286558649</v>
      </c>
      <c r="G394">
        <v>4.5216271344135084E-3</v>
      </c>
    </row>
    <row r="395" spans="3:7" x14ac:dyDescent="0.15">
      <c r="C395" s="43" t="s">
        <v>712</v>
      </c>
      <c r="D395" s="42">
        <v>0</v>
      </c>
      <c r="E395" s="42">
        <v>0</v>
      </c>
      <c r="F395" s="42">
        <v>0.25302623667958107</v>
      </c>
      <c r="G395">
        <v>0.74697376332041898</v>
      </c>
    </row>
    <row r="396" spans="3:7" x14ac:dyDescent="0.15">
      <c r="C396" s="43" t="s">
        <v>713</v>
      </c>
      <c r="D396" s="42">
        <v>0</v>
      </c>
      <c r="E396" s="42">
        <v>0</v>
      </c>
      <c r="F396" s="42">
        <v>2.1153868994539009E-2</v>
      </c>
      <c r="G396">
        <v>0.97884613100546103</v>
      </c>
    </row>
    <row r="397" spans="3:7" x14ac:dyDescent="0.15">
      <c r="C397" s="43" t="s">
        <v>714</v>
      </c>
      <c r="D397" s="42">
        <v>0</v>
      </c>
      <c r="E397" s="42">
        <v>0</v>
      </c>
      <c r="F397" s="42">
        <v>9.7938946772579069E-2</v>
      </c>
      <c r="G397">
        <v>0.90206105322742092</v>
      </c>
    </row>
    <row r="398" spans="3:7" x14ac:dyDescent="0.15">
      <c r="C398" s="43" t="s">
        <v>715</v>
      </c>
      <c r="D398" s="42">
        <v>0</v>
      </c>
      <c r="E398" s="42">
        <v>0</v>
      </c>
      <c r="F398" s="42">
        <v>0.24777392498152648</v>
      </c>
      <c r="G398">
        <v>0.75222607501847349</v>
      </c>
    </row>
    <row r="399" spans="3:7" x14ac:dyDescent="0.15">
      <c r="C399" s="43" t="s">
        <v>716</v>
      </c>
      <c r="D399" s="42">
        <v>0</v>
      </c>
      <c r="E399" s="42">
        <v>0</v>
      </c>
      <c r="F399" s="42">
        <v>2.4397609257990178E-3</v>
      </c>
      <c r="G399">
        <v>0.99756023907420099</v>
      </c>
    </row>
    <row r="400" spans="3:7" x14ac:dyDescent="0.15">
      <c r="C400" s="43" t="s">
        <v>717</v>
      </c>
      <c r="D400" s="42">
        <v>0</v>
      </c>
      <c r="E400" s="42">
        <v>0</v>
      </c>
      <c r="F400" s="42">
        <v>9.386974060307541E-4</v>
      </c>
      <c r="G400">
        <v>0.99906130259396919</v>
      </c>
    </row>
    <row r="401" spans="3:7" x14ac:dyDescent="0.15">
      <c r="C401" s="43" t="s">
        <v>718</v>
      </c>
      <c r="D401" s="42">
        <v>0</v>
      </c>
      <c r="E401" s="42">
        <v>0</v>
      </c>
      <c r="F401" s="42">
        <v>0.1725872489592474</v>
      </c>
      <c r="G401">
        <v>0.82741275104075263</v>
      </c>
    </row>
    <row r="402" spans="3:7" x14ac:dyDescent="0.15">
      <c r="C402" s="43" t="s">
        <v>719</v>
      </c>
      <c r="D402" s="42">
        <v>0</v>
      </c>
      <c r="E402" s="42">
        <v>0</v>
      </c>
      <c r="F402" s="42">
        <v>7.942126385798097E-2</v>
      </c>
      <c r="G402">
        <v>0.92057873614201902</v>
      </c>
    </row>
    <row r="403" spans="3:7" x14ac:dyDescent="0.15">
      <c r="C403" s="43" t="s">
        <v>720</v>
      </c>
      <c r="D403" s="42">
        <v>0</v>
      </c>
      <c r="E403" s="42">
        <v>0</v>
      </c>
      <c r="F403" s="42">
        <v>1.3243880285799103E-2</v>
      </c>
      <c r="G403">
        <v>0.98675611971420085</v>
      </c>
    </row>
    <row r="404" spans="3:7" x14ac:dyDescent="0.15">
      <c r="C404" s="43" t="s">
        <v>721</v>
      </c>
      <c r="D404" s="42">
        <v>0</v>
      </c>
      <c r="E404" s="42">
        <v>0</v>
      </c>
      <c r="F404" s="42">
        <v>1.9404093937038951E-2</v>
      </c>
      <c r="G404">
        <v>0.9805959060629611</v>
      </c>
    </row>
    <row r="405" spans="3:7" x14ac:dyDescent="0.15">
      <c r="C405" s="43" t="s">
        <v>722</v>
      </c>
      <c r="D405" s="42">
        <v>0</v>
      </c>
      <c r="E405" s="42">
        <v>0</v>
      </c>
      <c r="F405" s="42">
        <v>4.2739951550715763E-3</v>
      </c>
      <c r="G405">
        <v>0.99572600484492846</v>
      </c>
    </row>
    <row r="406" spans="3:7" x14ac:dyDescent="0.15">
      <c r="C406" s="43" t="s">
        <v>723</v>
      </c>
      <c r="D406" s="42">
        <v>0</v>
      </c>
      <c r="E406" s="42">
        <v>0</v>
      </c>
      <c r="F406" s="42">
        <v>2.6044699198462862E-2</v>
      </c>
      <c r="G406">
        <v>0.97395530080153714</v>
      </c>
    </row>
    <row r="407" spans="3:7" x14ac:dyDescent="0.15">
      <c r="C407" s="61" t="s">
        <v>724</v>
      </c>
      <c r="D407" s="60">
        <v>0</v>
      </c>
      <c r="E407" s="60">
        <v>1</v>
      </c>
      <c r="F407" s="60">
        <v>0.52549308323543531</v>
      </c>
      <c r="G407" s="59">
        <v>0.47450691676456469</v>
      </c>
    </row>
    <row r="408" spans="3:7" x14ac:dyDescent="0.15">
      <c r="C408" s="43" t="s">
        <v>725</v>
      </c>
      <c r="D408" s="42">
        <v>0</v>
      </c>
      <c r="E408" s="42">
        <v>0</v>
      </c>
      <c r="F408" s="42">
        <v>0.42461727152774387</v>
      </c>
      <c r="G408">
        <v>0.57538272847225613</v>
      </c>
    </row>
    <row r="409" spans="3:7" x14ac:dyDescent="0.15">
      <c r="C409" s="43" t="s">
        <v>726</v>
      </c>
      <c r="D409" s="42">
        <v>0</v>
      </c>
      <c r="E409" s="42">
        <v>0</v>
      </c>
      <c r="F409" s="42">
        <v>0.3824607952699477</v>
      </c>
      <c r="G409">
        <v>0.6175392047300523</v>
      </c>
    </row>
    <row r="410" spans="3:7" x14ac:dyDescent="0.15">
      <c r="C410" s="43" t="s">
        <v>727</v>
      </c>
      <c r="D410" s="42">
        <v>1</v>
      </c>
      <c r="E410" s="42">
        <v>1</v>
      </c>
      <c r="F410" s="42">
        <v>0.98830256486853152</v>
      </c>
      <c r="G410">
        <v>1.1697435131468481E-2</v>
      </c>
    </row>
    <row r="411" spans="3:7" x14ac:dyDescent="0.15">
      <c r="C411" s="43" t="s">
        <v>728</v>
      </c>
      <c r="D411" s="42">
        <v>1</v>
      </c>
      <c r="E411" s="42">
        <v>1</v>
      </c>
      <c r="F411" s="42">
        <v>0.89380281195450406</v>
      </c>
      <c r="G411">
        <v>0.10619718804549594</v>
      </c>
    </row>
    <row r="412" spans="3:7" x14ac:dyDescent="0.15">
      <c r="C412" s="43" t="s">
        <v>729</v>
      </c>
      <c r="D412" s="42">
        <v>1</v>
      </c>
      <c r="E412" s="42">
        <v>1</v>
      </c>
      <c r="F412" s="42">
        <v>0.7219835929647207</v>
      </c>
      <c r="G412">
        <v>0.2780164070352793</v>
      </c>
    </row>
    <row r="413" spans="3:7" x14ac:dyDescent="0.15">
      <c r="C413" s="43" t="s">
        <v>730</v>
      </c>
      <c r="D413" s="42">
        <v>0</v>
      </c>
      <c r="E413" s="42">
        <v>0</v>
      </c>
      <c r="F413" s="42">
        <v>3.9056915920163075E-2</v>
      </c>
      <c r="G413">
        <v>0.96094308407983697</v>
      </c>
    </row>
    <row r="414" spans="3:7" x14ac:dyDescent="0.15">
      <c r="C414" s="43" t="s">
        <v>731</v>
      </c>
      <c r="D414" s="42">
        <v>0</v>
      </c>
      <c r="E414" s="42">
        <v>0</v>
      </c>
      <c r="F414" s="42">
        <v>4.4178160576717647E-2</v>
      </c>
      <c r="G414">
        <v>0.95582183942328236</v>
      </c>
    </row>
    <row r="415" spans="3:7" x14ac:dyDescent="0.15">
      <c r="C415" s="43" t="s">
        <v>732</v>
      </c>
      <c r="D415" s="42">
        <v>1</v>
      </c>
      <c r="E415" s="42">
        <v>1</v>
      </c>
      <c r="F415" s="42">
        <v>0.98660331072057716</v>
      </c>
      <c r="G415">
        <v>1.3396689279422835E-2</v>
      </c>
    </row>
    <row r="416" spans="3:7" x14ac:dyDescent="0.15">
      <c r="C416" s="61" t="s">
        <v>733</v>
      </c>
      <c r="D416" s="60">
        <v>0</v>
      </c>
      <c r="E416" s="60">
        <v>1</v>
      </c>
      <c r="F416" s="60">
        <v>0.86292346195467984</v>
      </c>
      <c r="G416" s="59">
        <v>0.13707653804532016</v>
      </c>
    </row>
    <row r="417" spans="3:7" x14ac:dyDescent="0.15">
      <c r="C417" s="61" t="s">
        <v>734</v>
      </c>
      <c r="D417" s="60">
        <v>0</v>
      </c>
      <c r="E417" s="60">
        <v>1</v>
      </c>
      <c r="F417" s="60">
        <v>0.94664848584441597</v>
      </c>
      <c r="G417" s="59">
        <v>5.3351514155584034E-2</v>
      </c>
    </row>
    <row r="418" spans="3:7" x14ac:dyDescent="0.15">
      <c r="C418" s="43" t="s">
        <v>735</v>
      </c>
      <c r="D418" s="42">
        <v>0</v>
      </c>
      <c r="E418" s="42">
        <v>0</v>
      </c>
      <c r="F418" s="42">
        <v>2.7756556786505075E-2</v>
      </c>
      <c r="G418">
        <v>0.97224344321349487</v>
      </c>
    </row>
    <row r="419" spans="3:7" x14ac:dyDescent="0.15">
      <c r="C419" s="43" t="s">
        <v>736</v>
      </c>
      <c r="D419" s="42">
        <v>0</v>
      </c>
      <c r="E419" s="42">
        <v>0</v>
      </c>
      <c r="F419" s="42">
        <v>0.36234254062571142</v>
      </c>
      <c r="G419">
        <v>0.63765745937428853</v>
      </c>
    </row>
    <row r="420" spans="3:7" x14ac:dyDescent="0.15">
      <c r="C420" s="43" t="s">
        <v>737</v>
      </c>
      <c r="D420" s="42">
        <v>0</v>
      </c>
      <c r="E420" s="42">
        <v>0</v>
      </c>
      <c r="F420" s="42">
        <v>0.1221968859861999</v>
      </c>
      <c r="G420">
        <v>0.87780311401380007</v>
      </c>
    </row>
    <row r="421" spans="3:7" x14ac:dyDescent="0.15">
      <c r="C421" s="61" t="s">
        <v>738</v>
      </c>
      <c r="D421" s="60">
        <v>0</v>
      </c>
      <c r="E421" s="60">
        <v>1</v>
      </c>
      <c r="F421" s="60">
        <v>0.85435035781626478</v>
      </c>
      <c r="G421" s="59">
        <v>0.14564964218373522</v>
      </c>
    </row>
    <row r="422" spans="3:7" x14ac:dyDescent="0.15">
      <c r="C422" s="43" t="s">
        <v>739</v>
      </c>
      <c r="D422" s="42">
        <v>0</v>
      </c>
      <c r="E422" s="42">
        <v>0</v>
      </c>
      <c r="F422" s="42">
        <v>0.20110571654618709</v>
      </c>
      <c r="G422">
        <v>0.79889428345381286</v>
      </c>
    </row>
    <row r="423" spans="3:7" x14ac:dyDescent="0.15">
      <c r="C423" s="43" t="s">
        <v>740</v>
      </c>
      <c r="D423" s="42">
        <v>0</v>
      </c>
      <c r="E423" s="42">
        <v>0</v>
      </c>
      <c r="F423" s="42">
        <v>5.7301995832496719E-2</v>
      </c>
      <c r="G423">
        <v>0.94269800416750327</v>
      </c>
    </row>
    <row r="424" spans="3:7" x14ac:dyDescent="0.15">
      <c r="C424" s="43" t="s">
        <v>741</v>
      </c>
      <c r="D424" s="42">
        <v>0</v>
      </c>
      <c r="E424" s="42">
        <v>0</v>
      </c>
      <c r="F424" s="42">
        <v>4.0426137194060192E-2</v>
      </c>
      <c r="G424">
        <v>0.95957386280593981</v>
      </c>
    </row>
    <row r="425" spans="3:7" x14ac:dyDescent="0.15">
      <c r="C425" s="43" t="s">
        <v>742</v>
      </c>
      <c r="D425" s="42">
        <v>0</v>
      </c>
      <c r="E425" s="42">
        <v>0</v>
      </c>
      <c r="F425" s="42">
        <v>1.9240060521852806E-3</v>
      </c>
      <c r="G425">
        <v>0.99807599394781477</v>
      </c>
    </row>
    <row r="426" spans="3:7" x14ac:dyDescent="0.15">
      <c r="C426" s="43" t="s">
        <v>743</v>
      </c>
      <c r="D426" s="42">
        <v>0</v>
      </c>
      <c r="E426" s="42">
        <v>0</v>
      </c>
      <c r="F426" s="42">
        <v>0.25858620132130622</v>
      </c>
      <c r="G426">
        <v>0.74141379867869373</v>
      </c>
    </row>
    <row r="427" spans="3:7" x14ac:dyDescent="0.15">
      <c r="C427" s="43" t="s">
        <v>744</v>
      </c>
      <c r="D427" s="42">
        <v>1</v>
      </c>
      <c r="E427" s="42">
        <v>1</v>
      </c>
      <c r="F427" s="42">
        <v>0.99932961163656042</v>
      </c>
      <c r="G427">
        <v>6.7038836343957797E-4</v>
      </c>
    </row>
    <row r="428" spans="3:7" x14ac:dyDescent="0.15">
      <c r="C428" s="43" t="s">
        <v>745</v>
      </c>
      <c r="D428" s="42">
        <v>0</v>
      </c>
      <c r="E428" s="42">
        <v>0</v>
      </c>
      <c r="F428" s="42">
        <v>6.0174901672894014E-2</v>
      </c>
      <c r="G428">
        <v>0.93982509832710603</v>
      </c>
    </row>
    <row r="429" spans="3:7" x14ac:dyDescent="0.15">
      <c r="C429" s="43" t="s">
        <v>746</v>
      </c>
      <c r="D429" s="42">
        <v>0</v>
      </c>
      <c r="E429" s="42">
        <v>0</v>
      </c>
      <c r="F429" s="42">
        <v>0.2722003481315371</v>
      </c>
      <c r="G429">
        <v>0.72779965186846285</v>
      </c>
    </row>
    <row r="430" spans="3:7" x14ac:dyDescent="0.15">
      <c r="C430" s="43" t="s">
        <v>747</v>
      </c>
      <c r="D430" s="42">
        <v>0</v>
      </c>
      <c r="E430" s="42">
        <v>0</v>
      </c>
      <c r="F430" s="42">
        <v>7.354321527643394E-2</v>
      </c>
      <c r="G430">
        <v>0.92645678472356607</v>
      </c>
    </row>
    <row r="431" spans="3:7" x14ac:dyDescent="0.15">
      <c r="C431" s="43" t="s">
        <v>748</v>
      </c>
      <c r="D431" s="42">
        <v>0</v>
      </c>
      <c r="E431" s="42">
        <v>0</v>
      </c>
      <c r="F431" s="42">
        <v>4.3278426813371258E-3</v>
      </c>
      <c r="G431">
        <v>0.99567215731866288</v>
      </c>
    </row>
    <row r="432" spans="3:7" x14ac:dyDescent="0.15">
      <c r="C432" s="43" t="s">
        <v>749</v>
      </c>
      <c r="D432" s="42">
        <v>0</v>
      </c>
      <c r="E432" s="42">
        <v>0</v>
      </c>
      <c r="F432" s="42">
        <v>3.2074736517144985E-3</v>
      </c>
      <c r="G432">
        <v>0.99679252634828552</v>
      </c>
    </row>
    <row r="433" spans="3:7" x14ac:dyDescent="0.15">
      <c r="C433" s="61" t="s">
        <v>750</v>
      </c>
      <c r="D433" s="60">
        <v>0</v>
      </c>
      <c r="E433" s="60">
        <v>1</v>
      </c>
      <c r="F433" s="60">
        <v>0.70873933156062341</v>
      </c>
      <c r="G433" s="59">
        <v>0.29126066843937659</v>
      </c>
    </row>
    <row r="434" spans="3:7" x14ac:dyDescent="0.15">
      <c r="C434" s="43" t="s">
        <v>751</v>
      </c>
      <c r="D434" s="42">
        <v>0</v>
      </c>
      <c r="E434" s="42">
        <v>0</v>
      </c>
      <c r="F434" s="42">
        <v>2.8185408162622672E-4</v>
      </c>
      <c r="G434">
        <v>0.99971814591837382</v>
      </c>
    </row>
    <row r="435" spans="3:7" x14ac:dyDescent="0.15">
      <c r="C435" s="43" t="s">
        <v>752</v>
      </c>
      <c r="D435" s="42">
        <v>0</v>
      </c>
      <c r="E435" s="42">
        <v>0</v>
      </c>
      <c r="F435" s="42">
        <v>8.3136047051278375E-2</v>
      </c>
      <c r="G435">
        <v>0.91686395294872158</v>
      </c>
    </row>
    <row r="436" spans="3:7" x14ac:dyDescent="0.15">
      <c r="C436" s="43" t="s">
        <v>753</v>
      </c>
      <c r="D436" s="42">
        <v>0</v>
      </c>
      <c r="E436" s="42">
        <v>0</v>
      </c>
      <c r="F436" s="42">
        <v>0.11114906311641924</v>
      </c>
      <c r="G436">
        <v>0.88885093688358074</v>
      </c>
    </row>
    <row r="437" spans="3:7" x14ac:dyDescent="0.15">
      <c r="C437" s="43" t="s">
        <v>754</v>
      </c>
      <c r="D437" s="42">
        <v>0</v>
      </c>
      <c r="E437" s="42">
        <v>0</v>
      </c>
      <c r="F437" s="42">
        <v>2.3234542728966745E-2</v>
      </c>
      <c r="G437">
        <v>0.97676545727103326</v>
      </c>
    </row>
    <row r="438" spans="3:7" x14ac:dyDescent="0.15">
      <c r="C438" s="43" t="s">
        <v>755</v>
      </c>
      <c r="D438" s="42">
        <v>0</v>
      </c>
      <c r="E438" s="42">
        <v>0</v>
      </c>
      <c r="F438" s="42">
        <v>7.3417319076632903E-2</v>
      </c>
      <c r="G438">
        <v>0.92658268092336704</v>
      </c>
    </row>
    <row r="439" spans="3:7" x14ac:dyDescent="0.15">
      <c r="C439" s="43" t="s">
        <v>756</v>
      </c>
      <c r="D439" s="42">
        <v>0</v>
      </c>
      <c r="E439" s="42">
        <v>0</v>
      </c>
      <c r="F439" s="42">
        <v>6.878721744652567E-3</v>
      </c>
      <c r="G439">
        <v>0.99312127825534746</v>
      </c>
    </row>
    <row r="440" spans="3:7" x14ac:dyDescent="0.15">
      <c r="C440" s="43" t="s">
        <v>757</v>
      </c>
      <c r="D440" s="42">
        <v>0</v>
      </c>
      <c r="E440" s="42">
        <v>0</v>
      </c>
      <c r="F440" s="42">
        <v>1.5380777137164002E-2</v>
      </c>
      <c r="G440">
        <v>0.98461922286283599</v>
      </c>
    </row>
    <row r="441" spans="3:7" x14ac:dyDescent="0.15">
      <c r="C441" s="43" t="s">
        <v>758</v>
      </c>
      <c r="D441" s="42">
        <v>0</v>
      </c>
      <c r="E441" s="42">
        <v>0</v>
      </c>
      <c r="F441" s="42">
        <v>0.37798665473167037</v>
      </c>
      <c r="G441">
        <v>0.62201334526832963</v>
      </c>
    </row>
    <row r="442" spans="3:7" x14ac:dyDescent="0.15">
      <c r="C442" s="43" t="s">
        <v>759</v>
      </c>
      <c r="D442" s="42">
        <v>0</v>
      </c>
      <c r="E442" s="42">
        <v>0</v>
      </c>
      <c r="F442" s="42">
        <v>4.7202306278734528E-2</v>
      </c>
      <c r="G442">
        <v>0.95279769372126544</v>
      </c>
    </row>
    <row r="443" spans="3:7" x14ac:dyDescent="0.15">
      <c r="C443" s="43" t="s">
        <v>760</v>
      </c>
      <c r="D443" s="42">
        <v>0</v>
      </c>
      <c r="E443" s="42">
        <v>0</v>
      </c>
      <c r="F443" s="42">
        <v>4.6655892872441429E-3</v>
      </c>
      <c r="G443">
        <v>0.99533441071275586</v>
      </c>
    </row>
    <row r="444" spans="3:7" x14ac:dyDescent="0.15">
      <c r="C444" s="43" t="s">
        <v>761</v>
      </c>
      <c r="D444" s="42">
        <v>0</v>
      </c>
      <c r="E444" s="42">
        <v>0</v>
      </c>
      <c r="F444" s="42">
        <v>0.13139952524030665</v>
      </c>
      <c r="G444">
        <v>0.86860047475969338</v>
      </c>
    </row>
    <row r="445" spans="3:7" x14ac:dyDescent="0.15">
      <c r="C445" s="43" t="s">
        <v>762</v>
      </c>
      <c r="D445" s="42">
        <v>1</v>
      </c>
      <c r="E445" s="42">
        <v>1</v>
      </c>
      <c r="F445" s="42">
        <v>0.99949222649329728</v>
      </c>
      <c r="G445">
        <v>5.0777350670272448E-4</v>
      </c>
    </row>
    <row r="446" spans="3:7" x14ac:dyDescent="0.15">
      <c r="C446" s="43" t="s">
        <v>763</v>
      </c>
      <c r="D446" s="42">
        <v>0</v>
      </c>
      <c r="E446" s="42">
        <v>0</v>
      </c>
      <c r="F446" s="42">
        <v>0.17399688079273895</v>
      </c>
      <c r="G446">
        <v>0.82600311920726099</v>
      </c>
    </row>
    <row r="447" spans="3:7" x14ac:dyDescent="0.15">
      <c r="C447" s="43" t="s">
        <v>764</v>
      </c>
      <c r="D447" s="42">
        <v>0</v>
      </c>
      <c r="E447" s="42">
        <v>0</v>
      </c>
      <c r="F447" s="42">
        <v>2.32155662348533E-2</v>
      </c>
      <c r="G447">
        <v>0.97678443376514668</v>
      </c>
    </row>
    <row r="448" spans="3:7" x14ac:dyDescent="0.15">
      <c r="C448" s="43" t="s">
        <v>765</v>
      </c>
      <c r="D448" s="42">
        <v>0</v>
      </c>
      <c r="E448" s="42">
        <v>0</v>
      </c>
      <c r="F448" s="42">
        <v>4.0945974990853548E-2</v>
      </c>
      <c r="G448">
        <v>0.95905402500914649</v>
      </c>
    </row>
    <row r="449" spans="3:7" x14ac:dyDescent="0.15">
      <c r="C449" s="43" t="s">
        <v>766</v>
      </c>
      <c r="D449" s="42">
        <v>0</v>
      </c>
      <c r="E449" s="42">
        <v>0</v>
      </c>
      <c r="F449" s="42">
        <v>5.7421180278731762E-2</v>
      </c>
      <c r="G449">
        <v>0.94257881972126822</v>
      </c>
    </row>
    <row r="450" spans="3:7" x14ac:dyDescent="0.15">
      <c r="C450" s="43" t="s">
        <v>767</v>
      </c>
      <c r="D450" s="42">
        <v>0</v>
      </c>
      <c r="E450" s="42">
        <v>0</v>
      </c>
      <c r="F450" s="42">
        <v>1.8206134169528376E-2</v>
      </c>
      <c r="G450">
        <v>0.98179386583047168</v>
      </c>
    </row>
    <row r="451" spans="3:7" x14ac:dyDescent="0.15">
      <c r="C451" s="43" t="s">
        <v>768</v>
      </c>
      <c r="D451" s="42">
        <v>0</v>
      </c>
      <c r="E451" s="42">
        <v>0</v>
      </c>
      <c r="F451" s="42">
        <v>8.5437326843516952E-3</v>
      </c>
      <c r="G451">
        <v>0.99145626731564829</v>
      </c>
    </row>
    <row r="452" spans="3:7" x14ac:dyDescent="0.15">
      <c r="C452" s="43" t="s">
        <v>769</v>
      </c>
      <c r="D452" s="42">
        <v>0</v>
      </c>
      <c r="E452" s="42">
        <v>0</v>
      </c>
      <c r="F452" s="42">
        <v>0.43055847606717257</v>
      </c>
      <c r="G452">
        <v>0.56944152393282743</v>
      </c>
    </row>
    <row r="453" spans="3:7" x14ac:dyDescent="0.15">
      <c r="C453" s="43" t="s">
        <v>770</v>
      </c>
      <c r="D453" s="42">
        <v>0</v>
      </c>
      <c r="E453" s="42">
        <v>0</v>
      </c>
      <c r="F453" s="42">
        <v>3.7183920946849004E-2</v>
      </c>
      <c r="G453">
        <v>0.96281607905315103</v>
      </c>
    </row>
    <row r="454" spans="3:7" x14ac:dyDescent="0.15">
      <c r="C454" s="43" t="s">
        <v>771</v>
      </c>
      <c r="D454" s="42">
        <v>0</v>
      </c>
      <c r="E454" s="42">
        <v>0</v>
      </c>
      <c r="F454" s="42">
        <v>1.3759719774303594E-3</v>
      </c>
      <c r="G454">
        <v>0.99862402802256967</v>
      </c>
    </row>
    <row r="455" spans="3:7" x14ac:dyDescent="0.15">
      <c r="C455" s="43" t="s">
        <v>772</v>
      </c>
      <c r="D455" s="42">
        <v>0</v>
      </c>
      <c r="E455" s="42">
        <v>0</v>
      </c>
      <c r="F455" s="42">
        <v>1.380930324157733E-2</v>
      </c>
      <c r="G455">
        <v>0.98619069675842264</v>
      </c>
    </row>
    <row r="456" spans="3:7" x14ac:dyDescent="0.15">
      <c r="C456" s="43" t="s">
        <v>773</v>
      </c>
      <c r="D456" s="42">
        <v>1</v>
      </c>
      <c r="E456" s="42">
        <v>1</v>
      </c>
      <c r="F456" s="42">
        <v>0.99909188224009926</v>
      </c>
      <c r="G456">
        <v>9.0811775990073951E-4</v>
      </c>
    </row>
    <row r="457" spans="3:7" x14ac:dyDescent="0.15">
      <c r="C457" s="43" t="s">
        <v>774</v>
      </c>
      <c r="D457" s="42">
        <v>0</v>
      </c>
      <c r="E457" s="42">
        <v>0</v>
      </c>
      <c r="F457" s="42">
        <v>4.5569340821491409E-4</v>
      </c>
      <c r="G457">
        <v>0.99954430659178506</v>
      </c>
    </row>
    <row r="458" spans="3:7" x14ac:dyDescent="0.15">
      <c r="C458" s="43" t="s">
        <v>775</v>
      </c>
      <c r="D458" s="42">
        <v>0</v>
      </c>
      <c r="E458" s="42">
        <v>0</v>
      </c>
      <c r="F458" s="42">
        <v>0.24047694795974342</v>
      </c>
      <c r="G458">
        <v>0.75952305204025661</v>
      </c>
    </row>
    <row r="459" spans="3:7" x14ac:dyDescent="0.15">
      <c r="C459" s="43" t="s">
        <v>776</v>
      </c>
      <c r="D459" s="42">
        <v>0</v>
      </c>
      <c r="E459" s="42">
        <v>0</v>
      </c>
      <c r="F459" s="42">
        <v>0.36896844045301991</v>
      </c>
      <c r="G459">
        <v>0.63103155954698009</v>
      </c>
    </row>
    <row r="460" spans="3:7" x14ac:dyDescent="0.15">
      <c r="C460" s="43" t="s">
        <v>777</v>
      </c>
      <c r="D460" s="42">
        <v>0</v>
      </c>
      <c r="E460" s="42">
        <v>0</v>
      </c>
      <c r="F460" s="42">
        <v>1.4899791173444573E-3</v>
      </c>
      <c r="G460">
        <v>0.9985100208826555</v>
      </c>
    </row>
    <row r="461" spans="3:7" x14ac:dyDescent="0.15">
      <c r="C461" s="43" t="s">
        <v>778</v>
      </c>
      <c r="D461" s="42">
        <v>0</v>
      </c>
      <c r="E461" s="42">
        <v>0</v>
      </c>
      <c r="F461" s="42">
        <v>6.5942499058944427E-3</v>
      </c>
      <c r="G461">
        <v>0.99340575009410559</v>
      </c>
    </row>
    <row r="462" spans="3:7" x14ac:dyDescent="0.15">
      <c r="C462" s="43" t="s">
        <v>779</v>
      </c>
      <c r="D462" s="42">
        <v>0</v>
      </c>
      <c r="E462" s="42">
        <v>0</v>
      </c>
      <c r="F462" s="42">
        <v>4.248932017193905E-2</v>
      </c>
      <c r="G462">
        <v>0.95751067982806093</v>
      </c>
    </row>
    <row r="463" spans="3:7" x14ac:dyDescent="0.15">
      <c r="C463" s="43" t="s">
        <v>780</v>
      </c>
      <c r="D463" s="42">
        <v>1</v>
      </c>
      <c r="E463" s="42">
        <v>1</v>
      </c>
      <c r="F463" s="42">
        <v>0.92164720447354131</v>
      </c>
      <c r="G463">
        <v>7.8352795526458685E-2</v>
      </c>
    </row>
    <row r="464" spans="3:7" x14ac:dyDescent="0.15">
      <c r="C464" s="43" t="s">
        <v>781</v>
      </c>
      <c r="D464" s="42">
        <v>0</v>
      </c>
      <c r="E464" s="42">
        <v>0</v>
      </c>
      <c r="F464" s="42">
        <v>1.3199869074621562E-2</v>
      </c>
      <c r="G464">
        <v>0.98680013092537844</v>
      </c>
    </row>
    <row r="465" spans="3:7" x14ac:dyDescent="0.15">
      <c r="C465" s="43" t="s">
        <v>782</v>
      </c>
      <c r="D465" s="42">
        <v>0</v>
      </c>
      <c r="E465" s="42">
        <v>0</v>
      </c>
      <c r="F465" s="42">
        <v>0.10971725788603368</v>
      </c>
      <c r="G465">
        <v>0.8902827421139663</v>
      </c>
    </row>
    <row r="466" spans="3:7" x14ac:dyDescent="0.15">
      <c r="C466" s="43" t="s">
        <v>783</v>
      </c>
      <c r="D466" s="42">
        <v>0</v>
      </c>
      <c r="E466" s="42">
        <v>0</v>
      </c>
      <c r="F466" s="42">
        <v>1.9585982178855601E-3</v>
      </c>
      <c r="G466">
        <v>0.99804140178211442</v>
      </c>
    </row>
    <row r="467" spans="3:7" x14ac:dyDescent="0.15">
      <c r="C467" s="43" t="s">
        <v>784</v>
      </c>
      <c r="D467" s="42">
        <v>0</v>
      </c>
      <c r="E467" s="42">
        <v>0</v>
      </c>
      <c r="F467" s="42">
        <v>6.2605581174534519E-2</v>
      </c>
      <c r="G467">
        <v>0.93739441882546548</v>
      </c>
    </row>
    <row r="468" spans="3:7" x14ac:dyDescent="0.15">
      <c r="C468" s="43" t="s">
        <v>785</v>
      </c>
      <c r="D468" s="42">
        <v>0</v>
      </c>
      <c r="E468" s="42">
        <v>0</v>
      </c>
      <c r="F468" s="42">
        <v>0.2602740078618882</v>
      </c>
      <c r="G468">
        <v>0.73972599213811185</v>
      </c>
    </row>
    <row r="469" spans="3:7" x14ac:dyDescent="0.15">
      <c r="C469" s="43" t="s">
        <v>786</v>
      </c>
      <c r="D469" s="42">
        <v>0</v>
      </c>
      <c r="E469" s="42">
        <v>0</v>
      </c>
      <c r="F469" s="42">
        <v>7.6522085067442944E-2</v>
      </c>
      <c r="G469">
        <v>0.92347791493255704</v>
      </c>
    </row>
    <row r="470" spans="3:7" x14ac:dyDescent="0.15">
      <c r="C470" s="43" t="s">
        <v>787</v>
      </c>
      <c r="D470" s="42">
        <v>0</v>
      </c>
      <c r="E470" s="42">
        <v>0</v>
      </c>
      <c r="F470" s="42">
        <v>0.14171084827161476</v>
      </c>
      <c r="G470">
        <v>0.85828915172838527</v>
      </c>
    </row>
    <row r="471" spans="3:7" x14ac:dyDescent="0.15">
      <c r="C471" s="43" t="s">
        <v>788</v>
      </c>
      <c r="D471" s="42">
        <v>0</v>
      </c>
      <c r="E471" s="42">
        <v>0</v>
      </c>
      <c r="F471" s="42">
        <v>8.7605004065366116E-2</v>
      </c>
      <c r="G471">
        <v>0.91239499593463391</v>
      </c>
    </row>
    <row r="472" spans="3:7" x14ac:dyDescent="0.15">
      <c r="C472" s="43" t="s">
        <v>789</v>
      </c>
      <c r="D472" s="42">
        <v>0</v>
      </c>
      <c r="E472" s="42">
        <v>0</v>
      </c>
      <c r="F472" s="42">
        <v>1.3096171106188836E-2</v>
      </c>
      <c r="G472">
        <v>0.98690382889381112</v>
      </c>
    </row>
    <row r="473" spans="3:7" x14ac:dyDescent="0.15">
      <c r="C473" s="43" t="s">
        <v>790</v>
      </c>
      <c r="D473" s="42">
        <v>0</v>
      </c>
      <c r="E473" s="42">
        <v>0</v>
      </c>
      <c r="F473" s="42">
        <v>0.4936660234507611</v>
      </c>
      <c r="G473">
        <v>0.50633397654923895</v>
      </c>
    </row>
    <row r="474" spans="3:7" x14ac:dyDescent="0.15">
      <c r="C474" s="61" t="s">
        <v>791</v>
      </c>
      <c r="D474" s="60">
        <v>0</v>
      </c>
      <c r="E474" s="60">
        <v>1</v>
      </c>
      <c r="F474" s="60">
        <v>0.80388755353539898</v>
      </c>
      <c r="G474" s="59">
        <v>0.19611244646460102</v>
      </c>
    </row>
    <row r="475" spans="3:7" x14ac:dyDescent="0.15">
      <c r="C475" s="43" t="s">
        <v>792</v>
      </c>
      <c r="D475" s="42">
        <v>0</v>
      </c>
      <c r="E475" s="42">
        <v>0</v>
      </c>
      <c r="F475" s="42">
        <v>1.7886875297442428E-2</v>
      </c>
      <c r="G475">
        <v>0.98211312470255763</v>
      </c>
    </row>
    <row r="476" spans="3:7" x14ac:dyDescent="0.15">
      <c r="C476" s="43" t="s">
        <v>793</v>
      </c>
      <c r="D476" s="42">
        <v>0</v>
      </c>
      <c r="E476" s="42">
        <v>0</v>
      </c>
      <c r="F476" s="42">
        <v>0.3624844092127647</v>
      </c>
      <c r="G476">
        <v>0.6375155907872353</v>
      </c>
    </row>
    <row r="477" spans="3:7" x14ac:dyDescent="0.15">
      <c r="C477" s="43" t="s">
        <v>794</v>
      </c>
      <c r="D477" s="42">
        <v>0</v>
      </c>
      <c r="E477" s="42">
        <v>0</v>
      </c>
      <c r="F477" s="42">
        <v>9.6040054389610159E-4</v>
      </c>
      <c r="G477">
        <v>0.99903959945610388</v>
      </c>
    </row>
    <row r="478" spans="3:7" x14ac:dyDescent="0.15">
      <c r="C478" s="43" t="s">
        <v>795</v>
      </c>
      <c r="D478" s="42">
        <v>0</v>
      </c>
      <c r="E478" s="42">
        <v>0</v>
      </c>
      <c r="F478" s="42">
        <v>2.1791357223954785E-3</v>
      </c>
      <c r="G478">
        <v>0.99782086427760452</v>
      </c>
    </row>
    <row r="479" spans="3:7" x14ac:dyDescent="0.15">
      <c r="C479" s="43" t="s">
        <v>796</v>
      </c>
      <c r="D479" s="42">
        <v>1</v>
      </c>
      <c r="E479" s="42">
        <v>1</v>
      </c>
      <c r="F479" s="42">
        <v>0.99668080116327262</v>
      </c>
      <c r="G479">
        <v>3.3191988367273773E-3</v>
      </c>
    </row>
    <row r="480" spans="3:7" x14ac:dyDescent="0.15">
      <c r="C480" s="43" t="s">
        <v>797</v>
      </c>
      <c r="D480" s="42">
        <v>0</v>
      </c>
      <c r="E480" s="42">
        <v>0</v>
      </c>
      <c r="F480" s="42">
        <v>2.7808374901255498E-2</v>
      </c>
      <c r="G480">
        <v>0.97219162509874446</v>
      </c>
    </row>
    <row r="481" spans="3:7" x14ac:dyDescent="0.15">
      <c r="C481" s="43" t="s">
        <v>798</v>
      </c>
      <c r="D481" s="42">
        <v>0</v>
      </c>
      <c r="E481" s="42">
        <v>0</v>
      </c>
      <c r="F481" s="42">
        <v>0.22211800689170899</v>
      </c>
      <c r="G481">
        <v>0.77788199310829098</v>
      </c>
    </row>
    <row r="482" spans="3:7" x14ac:dyDescent="0.15">
      <c r="C482" s="43" t="s">
        <v>799</v>
      </c>
      <c r="D482" s="42">
        <v>0</v>
      </c>
      <c r="E482" s="42">
        <v>0</v>
      </c>
      <c r="F482" s="42">
        <v>0.15523584726136391</v>
      </c>
      <c r="G482">
        <v>0.84476415273863603</v>
      </c>
    </row>
    <row r="483" spans="3:7" x14ac:dyDescent="0.15">
      <c r="C483" s="43" t="s">
        <v>800</v>
      </c>
      <c r="D483" s="42">
        <v>0</v>
      </c>
      <c r="E483" s="42">
        <v>0</v>
      </c>
      <c r="F483" s="42">
        <v>5.1409393471216015E-2</v>
      </c>
      <c r="G483">
        <v>0.94859060652878402</v>
      </c>
    </row>
    <row r="484" spans="3:7" x14ac:dyDescent="0.15">
      <c r="C484" s="61" t="s">
        <v>801</v>
      </c>
      <c r="D484" s="60">
        <v>0</v>
      </c>
      <c r="E484" s="60">
        <v>1</v>
      </c>
      <c r="F484" s="60">
        <v>0.59706799422317491</v>
      </c>
      <c r="G484" s="59">
        <v>0.40293200577682509</v>
      </c>
    </row>
    <row r="485" spans="3:7" x14ac:dyDescent="0.15">
      <c r="C485" s="43" t="s">
        <v>802</v>
      </c>
      <c r="D485" s="42">
        <v>0</v>
      </c>
      <c r="E485" s="42">
        <v>0</v>
      </c>
      <c r="F485" s="42">
        <v>3.3404510524704188E-2</v>
      </c>
      <c r="G485">
        <v>0.96659548947529583</v>
      </c>
    </row>
    <row r="486" spans="3:7" x14ac:dyDescent="0.15">
      <c r="C486" s="61" t="s">
        <v>803</v>
      </c>
      <c r="D486" s="60">
        <v>0</v>
      </c>
      <c r="E486" s="60">
        <v>1</v>
      </c>
      <c r="F486" s="60">
        <v>0.61577946568245667</v>
      </c>
      <c r="G486" s="59">
        <v>0.38422053431754333</v>
      </c>
    </row>
    <row r="487" spans="3:7" x14ac:dyDescent="0.15">
      <c r="C487" s="43" t="s">
        <v>804</v>
      </c>
      <c r="D487" s="42">
        <v>0</v>
      </c>
      <c r="E487" s="42">
        <v>0</v>
      </c>
      <c r="F487" s="42">
        <v>0.12711018350853726</v>
      </c>
      <c r="G487">
        <v>0.87288981649146269</v>
      </c>
    </row>
    <row r="488" spans="3:7" x14ac:dyDescent="0.15">
      <c r="C488" s="43" t="s">
        <v>805</v>
      </c>
      <c r="D488" s="42">
        <v>0</v>
      </c>
      <c r="E488" s="42">
        <v>0</v>
      </c>
      <c r="F488" s="42">
        <v>2.6719065046336393E-2</v>
      </c>
      <c r="G488">
        <v>0.97328093495366363</v>
      </c>
    </row>
    <row r="489" spans="3:7" x14ac:dyDescent="0.15">
      <c r="C489" s="43" t="s">
        <v>806</v>
      </c>
      <c r="D489" s="42">
        <v>0</v>
      </c>
      <c r="E489" s="42">
        <v>0</v>
      </c>
      <c r="F489" s="42">
        <v>0.25750900941588528</v>
      </c>
      <c r="G489">
        <v>0.74249099058411472</v>
      </c>
    </row>
    <row r="490" spans="3:7" x14ac:dyDescent="0.15">
      <c r="C490" s="43" t="s">
        <v>807</v>
      </c>
      <c r="D490" s="42">
        <v>0</v>
      </c>
      <c r="E490" s="42">
        <v>0</v>
      </c>
      <c r="F490" s="42">
        <v>7.0378242323032442E-3</v>
      </c>
      <c r="G490">
        <v>0.99296217576769674</v>
      </c>
    </row>
    <row r="491" spans="3:7" x14ac:dyDescent="0.15">
      <c r="C491" s="61" t="s">
        <v>808</v>
      </c>
      <c r="D491" s="60">
        <v>0</v>
      </c>
      <c r="E491" s="60">
        <v>1</v>
      </c>
      <c r="F491" s="60">
        <v>0.71770033703551372</v>
      </c>
      <c r="G491" s="59">
        <v>0.28229966296448628</v>
      </c>
    </row>
    <row r="492" spans="3:7" x14ac:dyDescent="0.15">
      <c r="C492" s="43" t="s">
        <v>809</v>
      </c>
      <c r="D492" s="42">
        <v>0</v>
      </c>
      <c r="E492" s="42">
        <v>0</v>
      </c>
      <c r="F492" s="42">
        <v>1.1398103577110567E-2</v>
      </c>
      <c r="G492">
        <v>0.98860189642288943</v>
      </c>
    </row>
    <row r="493" spans="3:7" x14ac:dyDescent="0.15">
      <c r="C493" s="43" t="s">
        <v>810</v>
      </c>
      <c r="D493" s="42">
        <v>0</v>
      </c>
      <c r="E493" s="42">
        <v>0</v>
      </c>
      <c r="F493" s="42">
        <v>3.2331758538498068E-2</v>
      </c>
      <c r="G493">
        <v>0.96766824146150188</v>
      </c>
    </row>
    <row r="494" spans="3:7" x14ac:dyDescent="0.15">
      <c r="C494" s="43" t="s">
        <v>811</v>
      </c>
      <c r="D494" s="42">
        <v>1</v>
      </c>
      <c r="E494" s="42">
        <v>1</v>
      </c>
      <c r="F494" s="42">
        <v>0.7067116308310033</v>
      </c>
      <c r="G494">
        <v>0.2932883691689967</v>
      </c>
    </row>
    <row r="495" spans="3:7" x14ac:dyDescent="0.15">
      <c r="C495" s="43" t="s">
        <v>812</v>
      </c>
      <c r="D495" s="42">
        <v>0</v>
      </c>
      <c r="E495" s="42">
        <v>0</v>
      </c>
      <c r="F495" s="42">
        <v>0.22862644943103147</v>
      </c>
      <c r="G495">
        <v>0.7713735505689685</v>
      </c>
    </row>
    <row r="496" spans="3:7" x14ac:dyDescent="0.15">
      <c r="C496" s="43" t="s">
        <v>813</v>
      </c>
      <c r="D496" s="42">
        <v>0</v>
      </c>
      <c r="E496" s="42">
        <v>0</v>
      </c>
      <c r="F496" s="42">
        <v>0.12010755888432087</v>
      </c>
      <c r="G496">
        <v>0.8798924411156791</v>
      </c>
    </row>
    <row r="497" spans="3:7" x14ac:dyDescent="0.15">
      <c r="C497" s="43" t="s">
        <v>814</v>
      </c>
      <c r="D497" s="42">
        <v>0</v>
      </c>
      <c r="E497" s="42">
        <v>0</v>
      </c>
      <c r="F497" s="42">
        <v>0.21846884669479569</v>
      </c>
      <c r="G497">
        <v>0.78153115330520428</v>
      </c>
    </row>
    <row r="498" spans="3:7" x14ac:dyDescent="0.15">
      <c r="C498" s="43" t="s">
        <v>815</v>
      </c>
      <c r="D498" s="42">
        <v>0</v>
      </c>
      <c r="E498" s="42">
        <v>0</v>
      </c>
      <c r="F498" s="42">
        <v>1.3982494796965839E-2</v>
      </c>
      <c r="G498">
        <v>0.98601750520303422</v>
      </c>
    </row>
    <row r="499" spans="3:7" x14ac:dyDescent="0.15">
      <c r="C499" s="43" t="s">
        <v>816</v>
      </c>
      <c r="D499" s="42">
        <v>0</v>
      </c>
      <c r="E499" s="42">
        <v>0</v>
      </c>
      <c r="F499" s="42">
        <v>9.6669724847650074E-2</v>
      </c>
      <c r="G499">
        <v>0.90333027515234998</v>
      </c>
    </row>
    <row r="500" spans="3:7" x14ac:dyDescent="0.15">
      <c r="C500" s="43" t="s">
        <v>817</v>
      </c>
      <c r="D500" s="42">
        <v>0</v>
      </c>
      <c r="E500" s="42">
        <v>0</v>
      </c>
      <c r="F500" s="42">
        <v>9.4385860876950358E-3</v>
      </c>
      <c r="G500">
        <v>0.99056141391230501</v>
      </c>
    </row>
    <row r="501" spans="3:7" x14ac:dyDescent="0.15">
      <c r="C501" s="43" t="s">
        <v>818</v>
      </c>
      <c r="D501" s="42">
        <v>0</v>
      </c>
      <c r="E501" s="42">
        <v>0</v>
      </c>
      <c r="F501" s="42">
        <v>1.8419596455873143E-3</v>
      </c>
      <c r="G501">
        <v>0.99815804035441269</v>
      </c>
    </row>
    <row r="502" spans="3:7" x14ac:dyDescent="0.15">
      <c r="C502" s="43" t="s">
        <v>819</v>
      </c>
      <c r="D502" s="42">
        <v>0</v>
      </c>
      <c r="E502" s="42">
        <v>0</v>
      </c>
      <c r="F502" s="42">
        <v>9.4365194970265937E-2</v>
      </c>
      <c r="G502">
        <v>0.90563480502973404</v>
      </c>
    </row>
    <row r="503" spans="3:7" x14ac:dyDescent="0.15">
      <c r="C503" s="43" t="s">
        <v>820</v>
      </c>
      <c r="D503" s="42">
        <v>0</v>
      </c>
      <c r="E503" s="42">
        <v>0</v>
      </c>
      <c r="F503" s="42">
        <v>1.3122955904591047E-2</v>
      </c>
      <c r="G503">
        <v>0.986877044095409</v>
      </c>
    </row>
    <row r="504" spans="3:7" x14ac:dyDescent="0.15">
      <c r="C504" s="43" t="s">
        <v>821</v>
      </c>
      <c r="D504" s="42">
        <v>0</v>
      </c>
      <c r="E504" s="42">
        <v>0</v>
      </c>
      <c r="F504" s="42">
        <v>3.4562255787993837E-2</v>
      </c>
      <c r="G504">
        <v>0.96543774421200612</v>
      </c>
    </row>
    <row r="505" spans="3:7" x14ac:dyDescent="0.15">
      <c r="C505" s="43" t="s">
        <v>822</v>
      </c>
      <c r="D505" s="42">
        <v>1</v>
      </c>
      <c r="E505" s="42">
        <v>1</v>
      </c>
      <c r="F505" s="42">
        <v>0.51382600916455745</v>
      </c>
      <c r="G505">
        <v>0.48617399083544255</v>
      </c>
    </row>
    <row r="506" spans="3:7" x14ac:dyDescent="0.15">
      <c r="C506" s="43" t="s">
        <v>823</v>
      </c>
      <c r="D506" s="42">
        <v>0</v>
      </c>
      <c r="E506" s="42">
        <v>0</v>
      </c>
      <c r="F506" s="42">
        <v>4.5060510267161923E-3</v>
      </c>
      <c r="G506">
        <v>0.9954939489732838</v>
      </c>
    </row>
    <row r="507" spans="3:7" x14ac:dyDescent="0.15">
      <c r="C507" s="43" t="s">
        <v>824</v>
      </c>
      <c r="D507" s="42">
        <v>0</v>
      </c>
      <c r="E507" s="42">
        <v>0</v>
      </c>
      <c r="F507" s="42">
        <v>4.553101536693533E-2</v>
      </c>
      <c r="G507">
        <v>0.95446898463306462</v>
      </c>
    </row>
    <row r="508" spans="3:7" x14ac:dyDescent="0.15">
      <c r="C508" s="43" t="s">
        <v>825</v>
      </c>
      <c r="D508" s="42">
        <v>0</v>
      </c>
      <c r="E508" s="42">
        <v>0</v>
      </c>
      <c r="F508" s="42">
        <v>2.5858121958449085E-2</v>
      </c>
      <c r="G508">
        <v>0.97414187804155095</v>
      </c>
    </row>
    <row r="509" spans="3:7" x14ac:dyDescent="0.15">
      <c r="C509" s="43" t="s">
        <v>826</v>
      </c>
      <c r="D509" s="42">
        <v>0</v>
      </c>
      <c r="E509" s="42">
        <v>0</v>
      </c>
      <c r="F509" s="42">
        <v>0.18456689526917253</v>
      </c>
      <c r="G509">
        <v>0.81543310473082742</v>
      </c>
    </row>
    <row r="510" spans="3:7" x14ac:dyDescent="0.15">
      <c r="C510" s="43" t="s">
        <v>827</v>
      </c>
      <c r="D510" s="42">
        <v>0</v>
      </c>
      <c r="E510" s="42">
        <v>0</v>
      </c>
      <c r="F510" s="42">
        <v>7.0925277212384619E-2</v>
      </c>
      <c r="G510">
        <v>0.92907472278761538</v>
      </c>
    </row>
    <row r="511" spans="3:7" x14ac:dyDescent="0.15">
      <c r="C511" s="43" t="s">
        <v>828</v>
      </c>
      <c r="D511" s="42">
        <v>0</v>
      </c>
      <c r="E511" s="42">
        <v>0</v>
      </c>
      <c r="F511" s="42">
        <v>5.1140023229075929E-4</v>
      </c>
      <c r="G511">
        <v>0.99948859976770921</v>
      </c>
    </row>
    <row r="512" spans="3:7" x14ac:dyDescent="0.15">
      <c r="C512" s="43" t="s">
        <v>829</v>
      </c>
      <c r="D512" s="42">
        <v>0</v>
      </c>
      <c r="E512" s="42">
        <v>0</v>
      </c>
      <c r="F512" s="42">
        <v>2.3809311814217142E-3</v>
      </c>
      <c r="G512">
        <v>0.99761906881857831</v>
      </c>
    </row>
    <row r="513" spans="3:7" x14ac:dyDescent="0.15">
      <c r="C513" s="43" t="s">
        <v>830</v>
      </c>
      <c r="D513" s="42">
        <v>0</v>
      </c>
      <c r="E513" s="42">
        <v>0</v>
      </c>
      <c r="F513" s="42">
        <v>0.20708738697654011</v>
      </c>
      <c r="G513">
        <v>0.79291261302345983</v>
      </c>
    </row>
    <row r="514" spans="3:7" x14ac:dyDescent="0.15">
      <c r="C514" s="43" t="s">
        <v>831</v>
      </c>
      <c r="D514" s="42">
        <v>1</v>
      </c>
      <c r="E514" s="42">
        <v>1</v>
      </c>
      <c r="F514" s="42">
        <v>0.95002188832293577</v>
      </c>
      <c r="G514">
        <v>4.997811167706423E-2</v>
      </c>
    </row>
    <row r="515" spans="3:7" x14ac:dyDescent="0.15">
      <c r="C515" s="43" t="s">
        <v>832</v>
      </c>
      <c r="D515" s="42">
        <v>0</v>
      </c>
      <c r="E515" s="42">
        <v>0</v>
      </c>
      <c r="F515" s="42">
        <v>5.3845586367383457E-4</v>
      </c>
      <c r="G515">
        <v>0.99946154413632615</v>
      </c>
    </row>
    <row r="516" spans="3:7" x14ac:dyDescent="0.15">
      <c r="C516" s="61" t="s">
        <v>833</v>
      </c>
      <c r="D516" s="60">
        <v>1</v>
      </c>
      <c r="E516" s="60">
        <v>0</v>
      </c>
      <c r="F516" s="60">
        <v>0.32187323541692764</v>
      </c>
      <c r="G516" s="59">
        <v>0.67812676458307242</v>
      </c>
    </row>
    <row r="517" spans="3:7" x14ac:dyDescent="0.15">
      <c r="C517" s="61" t="s">
        <v>834</v>
      </c>
      <c r="D517" s="60">
        <v>0</v>
      </c>
      <c r="E517" s="60">
        <v>1</v>
      </c>
      <c r="F517" s="60">
        <v>0.91345882477191087</v>
      </c>
      <c r="G517" s="59">
        <v>8.6541175228089129E-2</v>
      </c>
    </row>
    <row r="518" spans="3:7" x14ac:dyDescent="0.15">
      <c r="C518" s="61" t="s">
        <v>835</v>
      </c>
      <c r="D518" s="60">
        <v>0</v>
      </c>
      <c r="E518" s="60">
        <v>1</v>
      </c>
      <c r="F518" s="60">
        <v>0.99491128365393933</v>
      </c>
      <c r="G518" s="59">
        <v>5.0887163460606732E-3</v>
      </c>
    </row>
    <row r="519" spans="3:7" x14ac:dyDescent="0.15">
      <c r="C519" s="43" t="s">
        <v>836</v>
      </c>
      <c r="D519" s="42">
        <v>0</v>
      </c>
      <c r="E519" s="42">
        <v>0</v>
      </c>
      <c r="F519" s="42">
        <v>2.2195068545624509E-2</v>
      </c>
      <c r="G519">
        <v>0.97780493145437553</v>
      </c>
    </row>
    <row r="520" spans="3:7" x14ac:dyDescent="0.15">
      <c r="C520" s="43" t="s">
        <v>837</v>
      </c>
      <c r="D520" s="42">
        <v>0</v>
      </c>
      <c r="E520" s="42">
        <v>0</v>
      </c>
      <c r="F520" s="42">
        <v>0.11475547802520288</v>
      </c>
      <c r="G520">
        <v>0.88524452197479708</v>
      </c>
    </row>
    <row r="521" spans="3:7" x14ac:dyDescent="0.15">
      <c r="C521" s="43" t="s">
        <v>838</v>
      </c>
      <c r="D521" s="42">
        <v>0</v>
      </c>
      <c r="E521" s="42">
        <v>0</v>
      </c>
      <c r="F521" s="42">
        <v>1.4161199363585713E-2</v>
      </c>
      <c r="G521">
        <v>0.98583880063641427</v>
      </c>
    </row>
    <row r="522" spans="3:7" x14ac:dyDescent="0.15">
      <c r="C522" s="61" t="s">
        <v>839</v>
      </c>
      <c r="D522" s="60">
        <v>0</v>
      </c>
      <c r="E522" s="60">
        <v>1</v>
      </c>
      <c r="F522" s="60">
        <v>0.6359421399995453</v>
      </c>
      <c r="G522" s="59">
        <v>0.3640578600004547</v>
      </c>
    </row>
    <row r="523" spans="3:7" x14ac:dyDescent="0.15">
      <c r="C523" s="43" t="s">
        <v>840</v>
      </c>
      <c r="D523" s="42">
        <v>0</v>
      </c>
      <c r="E523" s="42">
        <v>0</v>
      </c>
      <c r="F523" s="42">
        <v>2.783352701651327E-2</v>
      </c>
      <c r="G523">
        <v>0.97216647298348668</v>
      </c>
    </row>
    <row r="524" spans="3:7" x14ac:dyDescent="0.15">
      <c r="C524" s="43" t="s">
        <v>841</v>
      </c>
      <c r="D524" s="42">
        <v>0</v>
      </c>
      <c r="E524" s="42">
        <v>0</v>
      </c>
      <c r="F524" s="42">
        <v>0.17452679672315929</v>
      </c>
      <c r="G524">
        <v>0.82547320327684071</v>
      </c>
    </row>
    <row r="525" spans="3:7" x14ac:dyDescent="0.15">
      <c r="C525" s="43" t="s">
        <v>842</v>
      </c>
      <c r="D525" s="42">
        <v>0</v>
      </c>
      <c r="E525" s="42">
        <v>0</v>
      </c>
      <c r="F525" s="42">
        <v>0.15941973325419065</v>
      </c>
      <c r="G525">
        <v>0.84058026674580932</v>
      </c>
    </row>
    <row r="526" spans="3:7" x14ac:dyDescent="0.15">
      <c r="C526" s="43" t="s">
        <v>843</v>
      </c>
      <c r="D526" s="42">
        <v>0</v>
      </c>
      <c r="E526" s="42">
        <v>0</v>
      </c>
      <c r="F526" s="42">
        <v>2.5994564726146917E-3</v>
      </c>
      <c r="G526">
        <v>0.99740054352738527</v>
      </c>
    </row>
    <row r="527" spans="3:7" x14ac:dyDescent="0.15">
      <c r="C527" s="43" t="s">
        <v>844</v>
      </c>
      <c r="D527" s="42">
        <v>0</v>
      </c>
      <c r="E527" s="42">
        <v>0</v>
      </c>
      <c r="F527" s="42">
        <v>1.3507975650097195E-3</v>
      </c>
      <c r="G527">
        <v>0.99864920243499034</v>
      </c>
    </row>
    <row r="528" spans="3:7" x14ac:dyDescent="0.15">
      <c r="C528" s="43" t="s">
        <v>845</v>
      </c>
      <c r="D528" s="42">
        <v>0</v>
      </c>
      <c r="E528" s="42">
        <v>0</v>
      </c>
      <c r="F528" s="42">
        <v>4.4551518648533135E-2</v>
      </c>
      <c r="G528">
        <v>0.95544848135146687</v>
      </c>
    </row>
    <row r="529" spans="3:7" x14ac:dyDescent="0.15">
      <c r="C529" s="43" t="s">
        <v>846</v>
      </c>
      <c r="D529" s="42">
        <v>0</v>
      </c>
      <c r="E529" s="42">
        <v>0</v>
      </c>
      <c r="F529" s="42">
        <v>1.8972862504008764E-3</v>
      </c>
      <c r="G529">
        <v>0.99810271374959914</v>
      </c>
    </row>
    <row r="530" spans="3:7" x14ac:dyDescent="0.15">
      <c r="C530" s="43" t="s">
        <v>847</v>
      </c>
      <c r="D530" s="42">
        <v>0</v>
      </c>
      <c r="E530" s="42">
        <v>0</v>
      </c>
      <c r="F530" s="42">
        <v>9.8952880688788561E-3</v>
      </c>
      <c r="G530">
        <v>0.99010471193112115</v>
      </c>
    </row>
    <row r="531" spans="3:7" x14ac:dyDescent="0.15">
      <c r="C531" s="61" t="s">
        <v>848</v>
      </c>
      <c r="D531" s="60">
        <v>0</v>
      </c>
      <c r="E531" s="60">
        <v>1</v>
      </c>
      <c r="F531" s="60">
        <v>0.55425469919023829</v>
      </c>
      <c r="G531" s="59">
        <v>0.44574530080976171</v>
      </c>
    </row>
    <row r="532" spans="3:7" x14ac:dyDescent="0.15">
      <c r="C532" s="43" t="s">
        <v>849</v>
      </c>
      <c r="D532" s="42">
        <v>0</v>
      </c>
      <c r="E532" s="42">
        <v>0</v>
      </c>
      <c r="F532" s="42">
        <v>2.4187761138327712E-2</v>
      </c>
      <c r="G532">
        <v>0.97581223886167234</v>
      </c>
    </row>
    <row r="533" spans="3:7" x14ac:dyDescent="0.15">
      <c r="C533" s="43" t="s">
        <v>850</v>
      </c>
      <c r="D533" s="42">
        <v>0</v>
      </c>
      <c r="E533" s="42">
        <v>0</v>
      </c>
      <c r="F533" s="42">
        <v>9.896282416971445E-4</v>
      </c>
      <c r="G533">
        <v>0.99901037175830287</v>
      </c>
    </row>
    <row r="534" spans="3:7" x14ac:dyDescent="0.15">
      <c r="C534" s="43" t="s">
        <v>851</v>
      </c>
      <c r="D534" s="42">
        <v>0</v>
      </c>
      <c r="E534" s="42">
        <v>0</v>
      </c>
      <c r="F534" s="42">
        <v>5.1450574505169294E-2</v>
      </c>
      <c r="G534">
        <v>0.94854942549483068</v>
      </c>
    </row>
    <row r="535" spans="3:7" x14ac:dyDescent="0.15">
      <c r="C535" s="43" t="s">
        <v>852</v>
      </c>
      <c r="D535" s="42">
        <v>0</v>
      </c>
      <c r="E535" s="42">
        <v>0</v>
      </c>
      <c r="F535" s="42">
        <v>1.7093119172492365E-2</v>
      </c>
      <c r="G535">
        <v>0.98290688082750766</v>
      </c>
    </row>
    <row r="536" spans="3:7" x14ac:dyDescent="0.15">
      <c r="C536" s="43" t="s">
        <v>853</v>
      </c>
      <c r="D536" s="42">
        <v>0</v>
      </c>
      <c r="E536" s="42">
        <v>0</v>
      </c>
      <c r="F536" s="42">
        <v>1.4759293529310961E-2</v>
      </c>
      <c r="G536">
        <v>0.98524070647068906</v>
      </c>
    </row>
    <row r="537" spans="3:7" x14ac:dyDescent="0.15">
      <c r="C537" s="43" t="s">
        <v>854</v>
      </c>
      <c r="D537" s="42">
        <v>0</v>
      </c>
      <c r="E537" s="42">
        <v>0</v>
      </c>
      <c r="F537" s="42">
        <v>2.0395667914892231E-2</v>
      </c>
      <c r="G537">
        <v>0.97960433208510778</v>
      </c>
    </row>
    <row r="538" spans="3:7" x14ac:dyDescent="0.15">
      <c r="C538" s="43" t="s">
        <v>855</v>
      </c>
      <c r="D538" s="42">
        <v>0</v>
      </c>
      <c r="E538" s="42">
        <v>0</v>
      </c>
      <c r="F538" s="42">
        <v>2.1242614420194119E-2</v>
      </c>
      <c r="G538">
        <v>0.97875738557980585</v>
      </c>
    </row>
    <row r="539" spans="3:7" x14ac:dyDescent="0.15">
      <c r="C539" s="43" t="s">
        <v>856</v>
      </c>
      <c r="D539" s="42">
        <v>0</v>
      </c>
      <c r="E539" s="42">
        <v>0</v>
      </c>
      <c r="F539" s="42">
        <v>2.1509909389080322E-3</v>
      </c>
      <c r="G539">
        <v>0.99784900906109197</v>
      </c>
    </row>
    <row r="540" spans="3:7" x14ac:dyDescent="0.15">
      <c r="C540" s="43" t="s">
        <v>857</v>
      </c>
      <c r="D540" s="42">
        <v>0</v>
      </c>
      <c r="E540" s="42">
        <v>0</v>
      </c>
      <c r="F540" s="42">
        <v>3.7949829913983768E-2</v>
      </c>
      <c r="G540">
        <v>0.96205017008601623</v>
      </c>
    </row>
    <row r="541" spans="3:7" x14ac:dyDescent="0.15">
      <c r="C541" s="43" t="s">
        <v>858</v>
      </c>
      <c r="D541" s="42">
        <v>0</v>
      </c>
      <c r="E541" s="42">
        <v>0</v>
      </c>
      <c r="F541" s="42">
        <v>3.588995664479244E-3</v>
      </c>
      <c r="G541">
        <v>0.99641100433552077</v>
      </c>
    </row>
    <row r="542" spans="3:7" x14ac:dyDescent="0.15">
      <c r="C542" s="43" t="s">
        <v>859</v>
      </c>
      <c r="D542" s="42">
        <v>0</v>
      </c>
      <c r="E542" s="42">
        <v>0</v>
      </c>
      <c r="F542" s="42">
        <v>2.2977122611880451E-4</v>
      </c>
      <c r="G542">
        <v>0.99977022877388122</v>
      </c>
    </row>
    <row r="543" spans="3:7" x14ac:dyDescent="0.15">
      <c r="C543" s="61" t="s">
        <v>860</v>
      </c>
      <c r="D543" s="60">
        <v>0</v>
      </c>
      <c r="E543" s="60">
        <v>1</v>
      </c>
      <c r="F543" s="60">
        <v>0.79517874192980109</v>
      </c>
      <c r="G543" s="59">
        <v>0.20482125807019891</v>
      </c>
    </row>
    <row r="544" spans="3:7" x14ac:dyDescent="0.15">
      <c r="C544" s="43" t="s">
        <v>861</v>
      </c>
      <c r="D544" s="42">
        <v>0</v>
      </c>
      <c r="E544" s="42">
        <v>0</v>
      </c>
      <c r="F544" s="42">
        <v>3.1340872208058632E-2</v>
      </c>
      <c r="G544">
        <v>0.96865912779194141</v>
      </c>
    </row>
    <row r="545" spans="3:7" x14ac:dyDescent="0.15">
      <c r="C545" s="43" t="s">
        <v>862</v>
      </c>
      <c r="D545" s="42">
        <v>0</v>
      </c>
      <c r="E545" s="42">
        <v>0</v>
      </c>
      <c r="F545" s="42">
        <v>1.6422602687215463E-2</v>
      </c>
      <c r="G545">
        <v>0.98357739731278448</v>
      </c>
    </row>
    <row r="546" spans="3:7" x14ac:dyDescent="0.15">
      <c r="C546" s="43" t="s">
        <v>863</v>
      </c>
      <c r="D546" s="42">
        <v>0</v>
      </c>
      <c r="E546" s="42">
        <v>0</v>
      </c>
      <c r="F546" s="42">
        <v>7.0366280243489801E-2</v>
      </c>
      <c r="G546">
        <v>0.92963371975651021</v>
      </c>
    </row>
    <row r="547" spans="3:7" x14ac:dyDescent="0.15">
      <c r="C547" s="43" t="s">
        <v>864</v>
      </c>
      <c r="D547" s="42">
        <v>0</v>
      </c>
      <c r="E547" s="42">
        <v>0</v>
      </c>
      <c r="F547" s="42">
        <v>8.3351347362511745E-4</v>
      </c>
      <c r="G547">
        <v>0.99916648652637485</v>
      </c>
    </row>
    <row r="548" spans="3:7" x14ac:dyDescent="0.15">
      <c r="C548" s="43" t="s">
        <v>865</v>
      </c>
      <c r="D548" s="42">
        <v>0</v>
      </c>
      <c r="E548" s="42">
        <v>0</v>
      </c>
      <c r="F548" s="42">
        <v>0.36310820427168033</v>
      </c>
      <c r="G548">
        <v>0.63689179572831967</v>
      </c>
    </row>
    <row r="549" spans="3:7" x14ac:dyDescent="0.15">
      <c r="C549" s="43" t="s">
        <v>866</v>
      </c>
      <c r="D549" s="42">
        <v>0</v>
      </c>
      <c r="E549" s="42">
        <v>0</v>
      </c>
      <c r="F549" s="42">
        <v>3.4667384006907075E-2</v>
      </c>
      <c r="G549">
        <v>0.96533261599309295</v>
      </c>
    </row>
    <row r="550" spans="3:7" x14ac:dyDescent="0.15">
      <c r="C550" s="43" t="s">
        <v>867</v>
      </c>
      <c r="D550" s="42">
        <v>1</v>
      </c>
      <c r="E550" s="42">
        <v>1</v>
      </c>
      <c r="F550" s="42">
        <v>0.59906218956708368</v>
      </c>
      <c r="G550">
        <v>0.40093781043291632</v>
      </c>
    </row>
    <row r="551" spans="3:7" x14ac:dyDescent="0.15">
      <c r="C551" s="43" t="s">
        <v>868</v>
      </c>
      <c r="D551" s="42">
        <v>0</v>
      </c>
      <c r="E551" s="42">
        <v>0</v>
      </c>
      <c r="F551" s="42">
        <v>1.4885532661622623E-2</v>
      </c>
      <c r="G551">
        <v>0.98511446733837738</v>
      </c>
    </row>
    <row r="552" spans="3:7" x14ac:dyDescent="0.15">
      <c r="C552" s="43" t="s">
        <v>869</v>
      </c>
      <c r="D552" s="42">
        <v>0</v>
      </c>
      <c r="E552" s="42">
        <v>0</v>
      </c>
      <c r="F552" s="42">
        <v>3.0382744592217872E-2</v>
      </c>
      <c r="G552">
        <v>0.9696172554077821</v>
      </c>
    </row>
    <row r="553" spans="3:7" x14ac:dyDescent="0.15">
      <c r="C553" s="43" t="s">
        <v>870</v>
      </c>
      <c r="D553" s="42">
        <v>0</v>
      </c>
      <c r="E553" s="42">
        <v>0</v>
      </c>
      <c r="F553" s="42">
        <v>0.13864540184381344</v>
      </c>
      <c r="G553">
        <v>0.86135459815618654</v>
      </c>
    </row>
    <row r="554" spans="3:7" x14ac:dyDescent="0.15">
      <c r="C554" s="43" t="s">
        <v>871</v>
      </c>
      <c r="D554" s="42">
        <v>0</v>
      </c>
      <c r="E554" s="42">
        <v>0</v>
      </c>
      <c r="F554" s="42">
        <v>0.18973467828338769</v>
      </c>
      <c r="G554">
        <v>0.81026532171661225</v>
      </c>
    </row>
    <row r="555" spans="3:7" x14ac:dyDescent="0.15">
      <c r="C555" s="43" t="s">
        <v>872</v>
      </c>
      <c r="D555" s="42">
        <v>0</v>
      </c>
      <c r="E555" s="42">
        <v>0</v>
      </c>
      <c r="F555" s="42">
        <v>2.3470249632278804E-2</v>
      </c>
      <c r="G555">
        <v>0.97652975036772116</v>
      </c>
    </row>
    <row r="556" spans="3:7" x14ac:dyDescent="0.15">
      <c r="C556" s="43" t="s">
        <v>873</v>
      </c>
      <c r="D556" s="42">
        <v>0</v>
      </c>
      <c r="E556" s="42">
        <v>0</v>
      </c>
      <c r="F556" s="42">
        <v>9.2330166397545117E-3</v>
      </c>
      <c r="G556">
        <v>0.99076698336024549</v>
      </c>
    </row>
    <row r="557" spans="3:7" x14ac:dyDescent="0.15">
      <c r="C557" s="43" t="s">
        <v>874</v>
      </c>
      <c r="D557" s="42">
        <v>0</v>
      </c>
      <c r="E557" s="42">
        <v>0</v>
      </c>
      <c r="F557" s="42">
        <v>0.1215055584823392</v>
      </c>
      <c r="G557">
        <v>0.87849444151766076</v>
      </c>
    </row>
    <row r="558" spans="3:7" x14ac:dyDescent="0.15">
      <c r="C558" s="61" t="s">
        <v>875</v>
      </c>
      <c r="D558" s="60">
        <v>0</v>
      </c>
      <c r="E558" s="60">
        <v>1</v>
      </c>
      <c r="F558" s="60">
        <v>0.53156684668485654</v>
      </c>
      <c r="G558" s="59">
        <v>0.46843315331514346</v>
      </c>
    </row>
    <row r="559" spans="3:7" x14ac:dyDescent="0.15">
      <c r="C559" s="43" t="s">
        <v>876</v>
      </c>
      <c r="D559" s="42">
        <v>0</v>
      </c>
      <c r="E559" s="42">
        <v>0</v>
      </c>
      <c r="F559" s="42">
        <v>2.3605068663406774E-2</v>
      </c>
      <c r="G559">
        <v>0.97639493133659327</v>
      </c>
    </row>
    <row r="560" spans="3:7" x14ac:dyDescent="0.15">
      <c r="C560" s="43" t="s">
        <v>877</v>
      </c>
      <c r="D560" s="42">
        <v>0</v>
      </c>
      <c r="E560" s="42">
        <v>0</v>
      </c>
      <c r="F560" s="42">
        <v>3.2155899785108431E-2</v>
      </c>
      <c r="G560">
        <v>0.96784410021489153</v>
      </c>
    </row>
    <row r="561" spans="3:7" x14ac:dyDescent="0.15">
      <c r="C561" s="61" t="s">
        <v>878</v>
      </c>
      <c r="D561" s="60">
        <v>0</v>
      </c>
      <c r="E561" s="60">
        <v>1</v>
      </c>
      <c r="F561" s="60">
        <v>0.8922151188284545</v>
      </c>
      <c r="G561" s="59">
        <v>0.1077848811715455</v>
      </c>
    </row>
    <row r="562" spans="3:7" x14ac:dyDescent="0.15">
      <c r="C562" s="61" t="s">
        <v>879</v>
      </c>
      <c r="D562" s="60">
        <v>0</v>
      </c>
      <c r="E562" s="60">
        <v>1</v>
      </c>
      <c r="F562" s="60">
        <v>0.9727686026188338</v>
      </c>
      <c r="G562" s="59">
        <v>2.72313973811662E-2</v>
      </c>
    </row>
    <row r="563" spans="3:7" x14ac:dyDescent="0.15">
      <c r="C563" s="43" t="s">
        <v>880</v>
      </c>
      <c r="D563" s="42">
        <v>1</v>
      </c>
      <c r="E563" s="42">
        <v>1</v>
      </c>
      <c r="F563" s="42">
        <v>0.89080420055837772</v>
      </c>
      <c r="G563">
        <v>0.10919579944162228</v>
      </c>
    </row>
    <row r="564" spans="3:7" x14ac:dyDescent="0.15">
      <c r="C564" s="43" t="s">
        <v>881</v>
      </c>
      <c r="D564" s="42">
        <v>0</v>
      </c>
      <c r="E564" s="42">
        <v>0</v>
      </c>
      <c r="F564" s="42">
        <v>2.4748857022648653E-2</v>
      </c>
      <c r="G564">
        <v>0.97525114297735138</v>
      </c>
    </row>
    <row r="565" spans="3:7" x14ac:dyDescent="0.15">
      <c r="C565" s="43" t="s">
        <v>882</v>
      </c>
      <c r="D565" s="42">
        <v>0</v>
      </c>
      <c r="E565" s="42">
        <v>0</v>
      </c>
      <c r="F565" s="42">
        <v>1.9872356614710287E-2</v>
      </c>
      <c r="G565">
        <v>0.98012764338528968</v>
      </c>
    </row>
    <row r="566" spans="3:7" x14ac:dyDescent="0.15">
      <c r="C566" s="43" t="s">
        <v>883</v>
      </c>
      <c r="D566" s="42">
        <v>0</v>
      </c>
      <c r="E566" s="42">
        <v>0</v>
      </c>
      <c r="F566" s="42">
        <v>1.7489223933680468E-2</v>
      </c>
      <c r="G566">
        <v>0.98251077606631954</v>
      </c>
    </row>
    <row r="567" spans="3:7" x14ac:dyDescent="0.15">
      <c r="C567" s="43" t="s">
        <v>884</v>
      </c>
      <c r="D567" s="42">
        <v>0</v>
      </c>
      <c r="E567" s="42">
        <v>0</v>
      </c>
      <c r="F567" s="42">
        <v>2.6464828126231184E-3</v>
      </c>
      <c r="G567">
        <v>0.99735351718737686</v>
      </c>
    </row>
    <row r="568" spans="3:7" x14ac:dyDescent="0.15">
      <c r="C568" s="43" t="s">
        <v>885</v>
      </c>
      <c r="D568" s="42">
        <v>0</v>
      </c>
      <c r="E568" s="42">
        <v>0</v>
      </c>
      <c r="F568" s="42">
        <v>3.2709488405677532E-4</v>
      </c>
      <c r="G568">
        <v>0.9996729051159432</v>
      </c>
    </row>
    <row r="569" spans="3:7" x14ac:dyDescent="0.15">
      <c r="C569" s="43" t="s">
        <v>886</v>
      </c>
      <c r="D569" s="42">
        <v>0</v>
      </c>
      <c r="E569" s="42">
        <v>0</v>
      </c>
      <c r="F569" s="42">
        <v>0.15562554977841658</v>
      </c>
      <c r="G569">
        <v>0.84437445022158342</v>
      </c>
    </row>
    <row r="570" spans="3:7" x14ac:dyDescent="0.15">
      <c r="C570" s="43" t="s">
        <v>887</v>
      </c>
      <c r="D570" s="42">
        <v>1</v>
      </c>
      <c r="E570" s="42">
        <v>1</v>
      </c>
      <c r="F570" s="42">
        <v>0.99941668514373894</v>
      </c>
      <c r="G570">
        <v>5.833148562610635E-4</v>
      </c>
    </row>
    <row r="571" spans="3:7" x14ac:dyDescent="0.15">
      <c r="C571" s="43" t="s">
        <v>888</v>
      </c>
      <c r="D571" s="42">
        <v>0</v>
      </c>
      <c r="E571" s="42">
        <v>0</v>
      </c>
      <c r="F571" s="42">
        <v>9.1917376718709111E-4</v>
      </c>
      <c r="G571">
        <v>0.99908082623281291</v>
      </c>
    </row>
    <row r="572" spans="3:7" x14ac:dyDescent="0.15">
      <c r="C572" s="61" t="s">
        <v>889</v>
      </c>
      <c r="D572" s="60">
        <v>0</v>
      </c>
      <c r="E572" s="60">
        <v>1</v>
      </c>
      <c r="F572" s="60">
        <v>0.71228898311473055</v>
      </c>
      <c r="G572" s="59">
        <v>0.28771101688526945</v>
      </c>
    </row>
    <row r="573" spans="3:7" x14ac:dyDescent="0.15">
      <c r="C573" s="43" t="s">
        <v>890</v>
      </c>
      <c r="D573" s="42">
        <v>0</v>
      </c>
      <c r="E573" s="42">
        <v>0</v>
      </c>
      <c r="F573" s="42">
        <v>2.9162297123548998E-2</v>
      </c>
      <c r="G573">
        <v>0.97083770287645099</v>
      </c>
    </row>
    <row r="574" spans="3:7" x14ac:dyDescent="0.15">
      <c r="C574" s="43" t="s">
        <v>891</v>
      </c>
      <c r="D574" s="42">
        <v>0</v>
      </c>
      <c r="E574" s="42">
        <v>0</v>
      </c>
      <c r="F574" s="42">
        <v>1.2908774662726769E-2</v>
      </c>
      <c r="G574">
        <v>0.98709122533727323</v>
      </c>
    </row>
    <row r="575" spans="3:7" x14ac:dyDescent="0.15">
      <c r="C575" s="43" t="s">
        <v>892</v>
      </c>
      <c r="D575" s="42">
        <v>0</v>
      </c>
      <c r="E575" s="42">
        <v>0</v>
      </c>
      <c r="F575" s="42">
        <v>4.4775621202674219E-3</v>
      </c>
      <c r="G575">
        <v>0.9955224378797326</v>
      </c>
    </row>
    <row r="576" spans="3:7" x14ac:dyDescent="0.15">
      <c r="C576" s="43" t="s">
        <v>893</v>
      </c>
      <c r="D576" s="42">
        <v>0</v>
      </c>
      <c r="E576" s="42">
        <v>0</v>
      </c>
      <c r="F576" s="42">
        <v>7.3889142485785899E-3</v>
      </c>
      <c r="G576">
        <v>0.99261108575142143</v>
      </c>
    </row>
    <row r="577" spans="3:7" x14ac:dyDescent="0.15">
      <c r="C577" s="43" t="s">
        <v>894</v>
      </c>
      <c r="D577" s="42">
        <v>0</v>
      </c>
      <c r="E577" s="42">
        <v>0</v>
      </c>
      <c r="F577" s="42">
        <v>7.9105651007957429E-3</v>
      </c>
      <c r="G577">
        <v>0.9920894348992042</v>
      </c>
    </row>
    <row r="578" spans="3:7" x14ac:dyDescent="0.15">
      <c r="C578" s="43" t="s">
        <v>895</v>
      </c>
      <c r="D578" s="42">
        <v>0</v>
      </c>
      <c r="E578" s="42">
        <v>0</v>
      </c>
      <c r="F578" s="42">
        <v>1.4012637667706229E-3</v>
      </c>
      <c r="G578">
        <v>0.99859873623322937</v>
      </c>
    </row>
    <row r="579" spans="3:7" x14ac:dyDescent="0.15">
      <c r="C579" s="43" t="s">
        <v>896</v>
      </c>
      <c r="D579" s="42">
        <v>1</v>
      </c>
      <c r="E579" s="42">
        <v>1</v>
      </c>
      <c r="F579" s="42">
        <v>0.99985524207903576</v>
      </c>
      <c r="G579">
        <v>1.4475792096424467E-4</v>
      </c>
    </row>
    <row r="580" spans="3:7" x14ac:dyDescent="0.15">
      <c r="C580" s="43" t="s">
        <v>897</v>
      </c>
      <c r="D580" s="42">
        <v>0</v>
      </c>
      <c r="E580" s="42">
        <v>0</v>
      </c>
      <c r="F580" s="42">
        <v>2.8474109072217329E-3</v>
      </c>
      <c r="G580">
        <v>0.99715258909277826</v>
      </c>
    </row>
    <row r="581" spans="3:7" x14ac:dyDescent="0.15">
      <c r="C581" s="43" t="s">
        <v>898</v>
      </c>
      <c r="D581" s="42">
        <v>0</v>
      </c>
      <c r="E581" s="42">
        <v>0</v>
      </c>
      <c r="F581" s="42">
        <v>7.9633499360189392E-3</v>
      </c>
      <c r="G581">
        <v>0.99203665006398101</v>
      </c>
    </row>
    <row r="582" spans="3:7" x14ac:dyDescent="0.15">
      <c r="C582" s="43" t="s">
        <v>899</v>
      </c>
      <c r="D582" s="42">
        <v>0</v>
      </c>
      <c r="E582" s="42">
        <v>0</v>
      </c>
      <c r="F582" s="42">
        <v>7.4364459606105396E-2</v>
      </c>
      <c r="G582">
        <v>0.92563554039389462</v>
      </c>
    </row>
    <row r="583" spans="3:7" x14ac:dyDescent="0.15">
      <c r="C583" s="43" t="s">
        <v>900</v>
      </c>
      <c r="D583" s="42">
        <v>1</v>
      </c>
      <c r="E583" s="42">
        <v>1</v>
      </c>
      <c r="F583" s="42">
        <v>0.99602090500040263</v>
      </c>
      <c r="G583">
        <v>3.9790949995973657E-3</v>
      </c>
    </row>
    <row r="584" spans="3:7" x14ac:dyDescent="0.15">
      <c r="C584" s="61" t="s">
        <v>901</v>
      </c>
      <c r="D584" s="60">
        <v>1</v>
      </c>
      <c r="E584" s="60">
        <v>0</v>
      </c>
      <c r="F584" s="60">
        <v>2.9604998581114362E-2</v>
      </c>
      <c r="G584" s="59">
        <v>0.97039500141888568</v>
      </c>
    </row>
    <row r="585" spans="3:7" x14ac:dyDescent="0.15">
      <c r="C585" s="43" t="s">
        <v>902</v>
      </c>
      <c r="D585" s="42">
        <v>1</v>
      </c>
      <c r="E585" s="42">
        <v>1</v>
      </c>
      <c r="F585" s="42">
        <v>0.99983628557821236</v>
      </c>
      <c r="G585">
        <v>1.6371442178764184E-4</v>
      </c>
    </row>
    <row r="586" spans="3:7" x14ac:dyDescent="0.15">
      <c r="C586" s="43" t="s">
        <v>903</v>
      </c>
      <c r="D586" s="42">
        <v>1</v>
      </c>
      <c r="E586" s="42">
        <v>1</v>
      </c>
      <c r="F586" s="42">
        <v>0.74330832970559113</v>
      </c>
      <c r="G586">
        <v>0.25669167029440887</v>
      </c>
    </row>
    <row r="587" spans="3:7" x14ac:dyDescent="0.15">
      <c r="C587" s="43" t="s">
        <v>904</v>
      </c>
      <c r="D587" s="42">
        <v>0</v>
      </c>
      <c r="E587" s="42">
        <v>0</v>
      </c>
      <c r="F587" s="42">
        <v>1.2361774371957858E-3</v>
      </c>
      <c r="G587">
        <v>0.99876382256280416</v>
      </c>
    </row>
    <row r="588" spans="3:7" x14ac:dyDescent="0.15">
      <c r="C588" s="43" t="s">
        <v>905</v>
      </c>
      <c r="D588" s="42">
        <v>0</v>
      </c>
      <c r="E588" s="42">
        <v>0</v>
      </c>
      <c r="F588" s="42">
        <v>2.3674084971092237E-3</v>
      </c>
      <c r="G588">
        <v>0.99763259150289074</v>
      </c>
    </row>
    <row r="589" spans="3:7" x14ac:dyDescent="0.15">
      <c r="C589" s="43" t="s">
        <v>906</v>
      </c>
      <c r="D589" s="42">
        <v>1</v>
      </c>
      <c r="E589" s="42">
        <v>1</v>
      </c>
      <c r="F589" s="42">
        <v>0.99934754030154627</v>
      </c>
      <c r="G589">
        <v>6.5245969845373342E-4</v>
      </c>
    </row>
    <row r="590" spans="3:7" x14ac:dyDescent="0.15">
      <c r="C590" s="43" t="s">
        <v>907</v>
      </c>
      <c r="D590" s="42">
        <v>0</v>
      </c>
      <c r="E590" s="42">
        <v>0</v>
      </c>
      <c r="F590" s="42">
        <v>3.1106318231611255E-2</v>
      </c>
      <c r="G590">
        <v>0.96889368176838875</v>
      </c>
    </row>
    <row r="591" spans="3:7" x14ac:dyDescent="0.15">
      <c r="C591" s="43" t="s">
        <v>908</v>
      </c>
      <c r="D591" s="42">
        <v>0</v>
      </c>
      <c r="E591" s="42">
        <v>0</v>
      </c>
      <c r="F591" s="42">
        <v>0.40050189342719056</v>
      </c>
      <c r="G591">
        <v>0.59949810657280944</v>
      </c>
    </row>
    <row r="592" spans="3:7" x14ac:dyDescent="0.15">
      <c r="C592" s="43" t="s">
        <v>909</v>
      </c>
      <c r="D592" s="42">
        <v>0</v>
      </c>
      <c r="E592" s="42">
        <v>0</v>
      </c>
      <c r="F592" s="42">
        <v>1.2243393142898677E-2</v>
      </c>
      <c r="G592">
        <v>0.98775660685710132</v>
      </c>
    </row>
    <row r="593" spans="3:7" x14ac:dyDescent="0.15">
      <c r="C593" s="43" t="s">
        <v>910</v>
      </c>
      <c r="D593" s="42">
        <v>0</v>
      </c>
      <c r="E593" s="42">
        <v>0</v>
      </c>
      <c r="F593" s="42">
        <v>4.1150977394595074E-3</v>
      </c>
      <c r="G593">
        <v>0.99588490226054049</v>
      </c>
    </row>
    <row r="594" spans="3:7" x14ac:dyDescent="0.15">
      <c r="C594" s="43" t="s">
        <v>911</v>
      </c>
      <c r="D594" s="42">
        <v>0</v>
      </c>
      <c r="E594" s="42">
        <v>0</v>
      </c>
      <c r="F594" s="42">
        <v>1.6254961490396493E-2</v>
      </c>
      <c r="G594">
        <v>0.98374503850960349</v>
      </c>
    </row>
    <row r="595" spans="3:7" x14ac:dyDescent="0.15">
      <c r="C595" s="43" t="s">
        <v>912</v>
      </c>
      <c r="D595" s="42">
        <v>1</v>
      </c>
      <c r="E595" s="42">
        <v>1</v>
      </c>
      <c r="F595" s="42">
        <v>0.6938776270605993</v>
      </c>
      <c r="G595">
        <v>0.3061223729394007</v>
      </c>
    </row>
    <row r="596" spans="3:7" x14ac:dyDescent="0.15">
      <c r="C596" s="43" t="s">
        <v>913</v>
      </c>
      <c r="D596" s="42">
        <v>0</v>
      </c>
      <c r="E596" s="42">
        <v>0</v>
      </c>
      <c r="F596" s="42">
        <v>2.4406746394381014E-2</v>
      </c>
      <c r="G596">
        <v>0.97559325360561899</v>
      </c>
    </row>
    <row r="597" spans="3:7" x14ac:dyDescent="0.15">
      <c r="C597" s="43" t="s">
        <v>914</v>
      </c>
      <c r="D597" s="42">
        <v>0</v>
      </c>
      <c r="E597" s="42">
        <v>0</v>
      </c>
      <c r="F597" s="42">
        <v>7.1106597786108347E-3</v>
      </c>
      <c r="G597">
        <v>0.99288934022138919</v>
      </c>
    </row>
    <row r="598" spans="3:7" x14ac:dyDescent="0.15">
      <c r="C598" s="43" t="s">
        <v>915</v>
      </c>
      <c r="D598" s="42">
        <v>0</v>
      </c>
      <c r="E598" s="42">
        <v>0</v>
      </c>
      <c r="F598" s="42">
        <v>6.3584116101046938E-3</v>
      </c>
      <c r="G598">
        <v>0.99364158838989536</v>
      </c>
    </row>
    <row r="599" spans="3:7" x14ac:dyDescent="0.15">
      <c r="C599" s="43" t="s">
        <v>916</v>
      </c>
      <c r="D599" s="42">
        <v>1</v>
      </c>
      <c r="E599" s="42">
        <v>1</v>
      </c>
      <c r="F599" s="42">
        <v>0.99982299906796812</v>
      </c>
      <c r="G599">
        <v>1.7700093203187883E-4</v>
      </c>
    </row>
    <row r="600" spans="3:7" x14ac:dyDescent="0.15">
      <c r="C600" s="43" t="s">
        <v>917</v>
      </c>
      <c r="D600" s="42">
        <v>0</v>
      </c>
      <c r="E600" s="42">
        <v>0</v>
      </c>
      <c r="F600" s="42">
        <v>1.8151472909880569E-2</v>
      </c>
      <c r="G600">
        <v>0.98184852709011938</v>
      </c>
    </row>
    <row r="601" spans="3:7" x14ac:dyDescent="0.15">
      <c r="C601" s="43" t="s">
        <v>918</v>
      </c>
      <c r="D601" s="42">
        <v>0</v>
      </c>
      <c r="E601" s="42">
        <v>0</v>
      </c>
      <c r="F601" s="42">
        <v>7.6894592275271498E-2</v>
      </c>
      <c r="G601">
        <v>0.92310540772472849</v>
      </c>
    </row>
    <row r="602" spans="3:7" x14ac:dyDescent="0.15">
      <c r="C602" s="43" t="s">
        <v>919</v>
      </c>
      <c r="D602" s="42">
        <v>0</v>
      </c>
      <c r="E602" s="42">
        <v>0</v>
      </c>
      <c r="F602" s="42">
        <v>2.4954589317189705E-3</v>
      </c>
      <c r="G602">
        <v>0.99750454106828101</v>
      </c>
    </row>
    <row r="603" spans="3:7" x14ac:dyDescent="0.15">
      <c r="C603" s="43" t="s">
        <v>920</v>
      </c>
      <c r="D603" s="42">
        <v>0</v>
      </c>
      <c r="E603" s="42">
        <v>0</v>
      </c>
      <c r="F603" s="42">
        <v>1.8934592180709572E-2</v>
      </c>
      <c r="G603">
        <v>0.98106540781929041</v>
      </c>
    </row>
    <row r="604" spans="3:7" x14ac:dyDescent="0.15">
      <c r="C604" s="43" t="s">
        <v>921</v>
      </c>
      <c r="D604" s="42">
        <v>0</v>
      </c>
      <c r="E604" s="42">
        <v>0</v>
      </c>
      <c r="F604" s="42">
        <v>1.5802741588522521E-2</v>
      </c>
      <c r="G604">
        <v>0.98419725841147743</v>
      </c>
    </row>
    <row r="605" spans="3:7" x14ac:dyDescent="0.15">
      <c r="C605" s="43" t="s">
        <v>922</v>
      </c>
      <c r="D605" s="42">
        <v>0</v>
      </c>
      <c r="E605" s="42">
        <v>0</v>
      </c>
      <c r="F605" s="42">
        <v>0.10812993985390712</v>
      </c>
      <c r="G605">
        <v>0.89187006014609294</v>
      </c>
    </row>
    <row r="606" spans="3:7" x14ac:dyDescent="0.15">
      <c r="C606" s="43" t="s">
        <v>923</v>
      </c>
      <c r="D606" s="42">
        <v>0</v>
      </c>
      <c r="E606" s="42">
        <v>0</v>
      </c>
      <c r="F606" s="42">
        <v>9.0576382009577544E-2</v>
      </c>
      <c r="G606">
        <v>0.90942361799042248</v>
      </c>
    </row>
    <row r="607" spans="3:7" x14ac:dyDescent="0.15">
      <c r="C607" s="43" t="s">
        <v>924</v>
      </c>
      <c r="D607" s="42">
        <v>0</v>
      </c>
      <c r="E607" s="42">
        <v>0</v>
      </c>
      <c r="F607" s="42">
        <v>4.2812255639700213E-3</v>
      </c>
      <c r="G607">
        <v>0.99571877443602996</v>
      </c>
    </row>
    <row r="608" spans="3:7" x14ac:dyDescent="0.15">
      <c r="C608" s="43" t="s">
        <v>925</v>
      </c>
      <c r="D608" s="42">
        <v>0</v>
      </c>
      <c r="E608" s="42">
        <v>0</v>
      </c>
      <c r="F608" s="42">
        <v>2.0986000192894424E-2</v>
      </c>
      <c r="G608">
        <v>0.97901399980710557</v>
      </c>
    </row>
    <row r="609" spans="3:7" x14ac:dyDescent="0.15">
      <c r="C609" s="43" t="s">
        <v>926</v>
      </c>
      <c r="D609" s="42">
        <v>0</v>
      </c>
      <c r="E609" s="42">
        <v>0</v>
      </c>
      <c r="F609" s="42">
        <v>9.8165206181864851E-3</v>
      </c>
      <c r="G609">
        <v>0.9901834793818135</v>
      </c>
    </row>
    <row r="610" spans="3:7" x14ac:dyDescent="0.15">
      <c r="C610" s="43" t="s">
        <v>927</v>
      </c>
      <c r="D610" s="42">
        <v>0</v>
      </c>
      <c r="E610" s="42">
        <v>0</v>
      </c>
      <c r="F610" s="42">
        <v>0.15533932240240961</v>
      </c>
      <c r="G610">
        <v>0.84466067759759045</v>
      </c>
    </row>
    <row r="611" spans="3:7" x14ac:dyDescent="0.15">
      <c r="C611" s="43" t="s">
        <v>928</v>
      </c>
      <c r="D611" s="42">
        <v>1</v>
      </c>
      <c r="E611" s="42">
        <v>1</v>
      </c>
      <c r="F611" s="42">
        <v>0.5885299808450849</v>
      </c>
      <c r="G611">
        <v>0.4114700191549151</v>
      </c>
    </row>
    <row r="612" spans="3:7" x14ac:dyDescent="0.15">
      <c r="C612" s="43" t="s">
        <v>929</v>
      </c>
      <c r="D612" s="42">
        <v>0</v>
      </c>
      <c r="E612" s="42">
        <v>0</v>
      </c>
      <c r="F612" s="42">
        <v>0.16477687681057374</v>
      </c>
      <c r="G612">
        <v>0.83522312318942626</v>
      </c>
    </row>
    <row r="613" spans="3:7" x14ac:dyDescent="0.15">
      <c r="C613" s="43" t="s">
        <v>930</v>
      </c>
      <c r="D613" s="42">
        <v>0</v>
      </c>
      <c r="E613" s="42">
        <v>0</v>
      </c>
      <c r="F613" s="42">
        <v>7.1907961343109644E-2</v>
      </c>
      <c r="G613">
        <v>0.92809203865689038</v>
      </c>
    </row>
    <row r="614" spans="3:7" x14ac:dyDescent="0.15">
      <c r="C614" s="43" t="s">
        <v>931</v>
      </c>
      <c r="D614" s="42">
        <v>0</v>
      </c>
      <c r="E614" s="42">
        <v>0</v>
      </c>
      <c r="F614" s="42">
        <v>8.6606306985824895E-3</v>
      </c>
      <c r="G614">
        <v>0.99133936930141753</v>
      </c>
    </row>
    <row r="615" spans="3:7" x14ac:dyDescent="0.15">
      <c r="C615" s="43" t="s">
        <v>932</v>
      </c>
      <c r="D615" s="42">
        <v>0</v>
      </c>
      <c r="E615" s="42">
        <v>0</v>
      </c>
      <c r="F615" s="42">
        <v>0.10148203079161157</v>
      </c>
      <c r="G615">
        <v>0.89851796920838845</v>
      </c>
    </row>
    <row r="616" spans="3:7" x14ac:dyDescent="0.15">
      <c r="C616" s="43" t="s">
        <v>933</v>
      </c>
      <c r="D616" s="42">
        <v>0</v>
      </c>
      <c r="E616" s="42">
        <v>0</v>
      </c>
      <c r="F616" s="42">
        <v>8.4158490241126871E-3</v>
      </c>
      <c r="G616">
        <v>0.99158415097588737</v>
      </c>
    </row>
    <row r="617" spans="3:7" x14ac:dyDescent="0.15">
      <c r="C617" s="43" t="s">
        <v>934</v>
      </c>
      <c r="D617" s="42">
        <v>0</v>
      </c>
      <c r="E617" s="42">
        <v>0</v>
      </c>
      <c r="F617" s="42">
        <v>2.7305367882862495E-2</v>
      </c>
      <c r="G617">
        <v>0.97269463211713747</v>
      </c>
    </row>
    <row r="618" spans="3:7" x14ac:dyDescent="0.15">
      <c r="C618" s="43" t="s">
        <v>935</v>
      </c>
      <c r="D618" s="42">
        <v>0</v>
      </c>
      <c r="E618" s="42">
        <v>0</v>
      </c>
      <c r="F618" s="42">
        <v>1.8291824268574989E-3</v>
      </c>
      <c r="G618">
        <v>0.99817081757314252</v>
      </c>
    </row>
    <row r="619" spans="3:7" x14ac:dyDescent="0.15">
      <c r="C619" s="43" t="s">
        <v>936</v>
      </c>
      <c r="D619" s="42">
        <v>0</v>
      </c>
      <c r="E619" s="42">
        <v>0</v>
      </c>
      <c r="F619" s="42">
        <v>6.1202852784571146E-3</v>
      </c>
      <c r="G619">
        <v>0.99387971472154291</v>
      </c>
    </row>
    <row r="620" spans="3:7" x14ac:dyDescent="0.15">
      <c r="C620" s="43" t="s">
        <v>937</v>
      </c>
      <c r="D620" s="42">
        <v>0</v>
      </c>
      <c r="E620" s="42">
        <v>0</v>
      </c>
      <c r="F620" s="42">
        <v>1.1966211657436932E-2</v>
      </c>
      <c r="G620">
        <v>0.98803378834256306</v>
      </c>
    </row>
    <row r="621" spans="3:7" x14ac:dyDescent="0.15">
      <c r="C621" s="43" t="s">
        <v>938</v>
      </c>
      <c r="D621" s="42">
        <v>0</v>
      </c>
      <c r="E621" s="42">
        <v>0</v>
      </c>
      <c r="F621" s="42">
        <v>3.1076091850103609E-2</v>
      </c>
      <c r="G621">
        <v>0.96892390814989637</v>
      </c>
    </row>
    <row r="622" spans="3:7" x14ac:dyDescent="0.15">
      <c r="C622" s="43" t="s">
        <v>939</v>
      </c>
      <c r="D622" s="42">
        <v>0</v>
      </c>
      <c r="E622" s="42">
        <v>0</v>
      </c>
      <c r="F622" s="42">
        <v>0.16261711205821905</v>
      </c>
      <c r="G622">
        <v>0.83738288794178095</v>
      </c>
    </row>
    <row r="623" spans="3:7" x14ac:dyDescent="0.15">
      <c r="C623" s="61" t="s">
        <v>940</v>
      </c>
      <c r="D623" s="60">
        <v>0</v>
      </c>
      <c r="E623" s="60">
        <v>1</v>
      </c>
      <c r="F623" s="60">
        <v>0.95322576777675927</v>
      </c>
      <c r="G623" s="59">
        <v>4.677423222324073E-2</v>
      </c>
    </row>
    <row r="624" spans="3:7" x14ac:dyDescent="0.15">
      <c r="C624" s="61" t="s">
        <v>941</v>
      </c>
      <c r="D624" s="60">
        <v>0</v>
      </c>
      <c r="E624" s="60">
        <v>1</v>
      </c>
      <c r="F624" s="60">
        <v>0.79727617813233409</v>
      </c>
      <c r="G624" s="59">
        <v>0.20272382186766591</v>
      </c>
    </row>
    <row r="625" spans="3:7" x14ac:dyDescent="0.15">
      <c r="C625" s="43" t="s">
        <v>942</v>
      </c>
      <c r="D625" s="42">
        <v>0</v>
      </c>
      <c r="E625" s="42">
        <v>0</v>
      </c>
      <c r="F625" s="42">
        <v>3.2966644193255684E-4</v>
      </c>
      <c r="G625">
        <v>0.99967033355806745</v>
      </c>
    </row>
    <row r="626" spans="3:7" x14ac:dyDescent="0.15">
      <c r="C626" s="43" t="s">
        <v>943</v>
      </c>
      <c r="D626" s="42">
        <v>0</v>
      </c>
      <c r="E626" s="42">
        <v>0</v>
      </c>
      <c r="F626" s="42">
        <v>2.1717791965706522E-2</v>
      </c>
      <c r="G626">
        <v>0.97828220803429344</v>
      </c>
    </row>
    <row r="627" spans="3:7" x14ac:dyDescent="0.15">
      <c r="C627" s="43" t="s">
        <v>944</v>
      </c>
      <c r="D627" s="42">
        <v>0</v>
      </c>
      <c r="E627" s="42">
        <v>0</v>
      </c>
      <c r="F627" s="42">
        <v>0.19598843962441717</v>
      </c>
      <c r="G627">
        <v>0.80401156037558286</v>
      </c>
    </row>
    <row r="628" spans="3:7" x14ac:dyDescent="0.15">
      <c r="C628" s="43" t="s">
        <v>945</v>
      </c>
      <c r="D628" s="42">
        <v>0</v>
      </c>
      <c r="E628" s="42">
        <v>0</v>
      </c>
      <c r="F628" s="42">
        <v>0.20019664240912757</v>
      </c>
      <c r="G628">
        <v>0.7998033575908724</v>
      </c>
    </row>
    <row r="629" spans="3:7" x14ac:dyDescent="0.15">
      <c r="C629" s="43" t="s">
        <v>946</v>
      </c>
      <c r="D629" s="42">
        <v>0</v>
      </c>
      <c r="E629" s="42">
        <v>0</v>
      </c>
      <c r="F629" s="42">
        <v>0.23334796867126403</v>
      </c>
      <c r="G629">
        <v>0.76665203132873594</v>
      </c>
    </row>
    <row r="630" spans="3:7" x14ac:dyDescent="0.15">
      <c r="C630" s="43" t="s">
        <v>947</v>
      </c>
      <c r="D630" s="42">
        <v>0</v>
      </c>
      <c r="E630" s="42">
        <v>0</v>
      </c>
      <c r="F630" s="42">
        <v>0.17731514434666348</v>
      </c>
      <c r="G630">
        <v>0.82268485565333649</v>
      </c>
    </row>
    <row r="631" spans="3:7" x14ac:dyDescent="0.15">
      <c r="C631" s="43" t="s">
        <v>948</v>
      </c>
      <c r="D631" s="42">
        <v>0</v>
      </c>
      <c r="E631" s="42">
        <v>0</v>
      </c>
      <c r="F631" s="42">
        <v>2.0909519871942367E-3</v>
      </c>
      <c r="G631">
        <v>0.99790904801280578</v>
      </c>
    </row>
    <row r="632" spans="3:7" x14ac:dyDescent="0.15">
      <c r="C632" s="43" t="s">
        <v>949</v>
      </c>
      <c r="D632" s="42">
        <v>0</v>
      </c>
      <c r="E632" s="42">
        <v>0</v>
      </c>
      <c r="F632" s="42">
        <v>0.18144186434068468</v>
      </c>
      <c r="G632">
        <v>0.81855813565931534</v>
      </c>
    </row>
    <row r="633" spans="3:7" x14ac:dyDescent="0.15">
      <c r="C633" s="43" t="s">
        <v>950</v>
      </c>
      <c r="D633" s="42">
        <v>0</v>
      </c>
      <c r="E633" s="42">
        <v>0</v>
      </c>
      <c r="F633" s="42">
        <v>0.1769714896599239</v>
      </c>
      <c r="G633">
        <v>0.82302851034007607</v>
      </c>
    </row>
    <row r="634" spans="3:7" x14ac:dyDescent="0.15">
      <c r="C634" s="43" t="s">
        <v>951</v>
      </c>
      <c r="D634" s="42">
        <v>0</v>
      </c>
      <c r="E634" s="42">
        <v>0</v>
      </c>
      <c r="F634" s="42">
        <v>0.12765682231670167</v>
      </c>
      <c r="G634">
        <v>0.87234317768329839</v>
      </c>
    </row>
    <row r="635" spans="3:7" x14ac:dyDescent="0.15">
      <c r="C635" s="43" t="s">
        <v>952</v>
      </c>
      <c r="D635" s="42">
        <v>0</v>
      </c>
      <c r="E635" s="42">
        <v>0</v>
      </c>
      <c r="F635" s="42">
        <v>5.4747253563961033E-3</v>
      </c>
      <c r="G635">
        <v>0.99452527464360385</v>
      </c>
    </row>
    <row r="636" spans="3:7" x14ac:dyDescent="0.15">
      <c r="C636" s="43" t="s">
        <v>953</v>
      </c>
      <c r="D636" s="42">
        <v>1</v>
      </c>
      <c r="E636" s="42">
        <v>1</v>
      </c>
      <c r="F636" s="42">
        <v>0.8372048801185078</v>
      </c>
      <c r="G636">
        <v>0.1627951198814922</v>
      </c>
    </row>
    <row r="637" spans="3:7" x14ac:dyDescent="0.15">
      <c r="C637" s="43" t="s">
        <v>954</v>
      </c>
      <c r="D637" s="42">
        <v>0</v>
      </c>
      <c r="E637" s="42">
        <v>0</v>
      </c>
      <c r="F637" s="42">
        <v>3.3543988434090406E-2</v>
      </c>
      <c r="G637">
        <v>0.96645601156590955</v>
      </c>
    </row>
    <row r="638" spans="3:7" x14ac:dyDescent="0.15">
      <c r="C638" s="43" t="s">
        <v>955</v>
      </c>
      <c r="D638" s="42">
        <v>0</v>
      </c>
      <c r="E638" s="42">
        <v>0</v>
      </c>
      <c r="F638" s="42">
        <v>5.9315415518054221E-2</v>
      </c>
      <c r="G638">
        <v>0.94068458448194581</v>
      </c>
    </row>
    <row r="639" spans="3:7" x14ac:dyDescent="0.15">
      <c r="C639" s="43" t="s">
        <v>956</v>
      </c>
      <c r="D639" s="42">
        <v>0</v>
      </c>
      <c r="E639" s="42">
        <v>0</v>
      </c>
      <c r="F639" s="42">
        <v>1.8460009756063236E-2</v>
      </c>
      <c r="G639">
        <v>0.98153999024393679</v>
      </c>
    </row>
    <row r="640" spans="3:7" x14ac:dyDescent="0.15">
      <c r="C640" s="43" t="s">
        <v>957</v>
      </c>
      <c r="D640" s="42">
        <v>0</v>
      </c>
      <c r="E640" s="42">
        <v>0</v>
      </c>
      <c r="F640" s="42">
        <v>4.8657650806936404E-4</v>
      </c>
      <c r="G640">
        <v>0.99951342349193062</v>
      </c>
    </row>
    <row r="641" spans="3:7" x14ac:dyDescent="0.15">
      <c r="C641" s="43" t="s">
        <v>958</v>
      </c>
      <c r="D641" s="42">
        <v>0</v>
      </c>
      <c r="E641" s="42">
        <v>0</v>
      </c>
      <c r="F641" s="42">
        <v>5.5394407333720558E-2</v>
      </c>
      <c r="G641">
        <v>0.94460559266627941</v>
      </c>
    </row>
    <row r="642" spans="3:7" x14ac:dyDescent="0.15">
      <c r="C642" s="43" t="s">
        <v>959</v>
      </c>
      <c r="D642" s="42">
        <v>0</v>
      </c>
      <c r="E642" s="42">
        <v>0</v>
      </c>
      <c r="F642" s="42">
        <v>0.28180850859298823</v>
      </c>
      <c r="G642">
        <v>0.71819149140701177</v>
      </c>
    </row>
    <row r="643" spans="3:7" x14ac:dyDescent="0.15">
      <c r="C643" s="43" t="s">
        <v>960</v>
      </c>
      <c r="D643" s="42">
        <v>0</v>
      </c>
      <c r="E643" s="42">
        <v>0</v>
      </c>
      <c r="F643" s="42">
        <v>8.6555891361891832E-3</v>
      </c>
      <c r="G643">
        <v>0.99134441086381087</v>
      </c>
    </row>
    <row r="644" spans="3:7" x14ac:dyDescent="0.15">
      <c r="C644" s="43" t="s">
        <v>961</v>
      </c>
      <c r="D644" s="42">
        <v>0</v>
      </c>
      <c r="E644" s="42">
        <v>0</v>
      </c>
      <c r="F644" s="42">
        <v>2.6549584899569255E-3</v>
      </c>
      <c r="G644">
        <v>0.99734504151004311</v>
      </c>
    </row>
    <row r="645" spans="3:7" x14ac:dyDescent="0.15">
      <c r="C645" s="43" t="s">
        <v>962</v>
      </c>
      <c r="D645" s="42">
        <v>1</v>
      </c>
      <c r="E645" s="42">
        <v>1</v>
      </c>
      <c r="F645" s="42">
        <v>0.9080090455535188</v>
      </c>
      <c r="G645">
        <v>9.1990954446481199E-2</v>
      </c>
    </row>
    <row r="646" spans="3:7" x14ac:dyDescent="0.15">
      <c r="C646" s="43" t="s">
        <v>963</v>
      </c>
      <c r="D646" s="42">
        <v>0</v>
      </c>
      <c r="E646" s="42">
        <v>0</v>
      </c>
      <c r="F646" s="42">
        <v>0.13845099018485293</v>
      </c>
      <c r="G646">
        <v>0.86154900981514704</v>
      </c>
    </row>
    <row r="647" spans="3:7" x14ac:dyDescent="0.15">
      <c r="C647" s="43" t="s">
        <v>964</v>
      </c>
      <c r="D647" s="42">
        <v>1</v>
      </c>
      <c r="E647" s="42">
        <v>1</v>
      </c>
      <c r="F647" s="42">
        <v>0.99915516388818382</v>
      </c>
      <c r="G647">
        <v>8.448361118161829E-4</v>
      </c>
    </row>
    <row r="648" spans="3:7" x14ac:dyDescent="0.15">
      <c r="C648" s="43" t="s">
        <v>965</v>
      </c>
      <c r="D648" s="42">
        <v>0</v>
      </c>
      <c r="E648" s="42">
        <v>0</v>
      </c>
      <c r="F648" s="42">
        <v>0.44091878320970451</v>
      </c>
      <c r="G648">
        <v>0.55908121679029543</v>
      </c>
    </row>
    <row r="649" spans="3:7" x14ac:dyDescent="0.15">
      <c r="C649" s="43" t="s">
        <v>966</v>
      </c>
      <c r="D649" s="42">
        <v>0</v>
      </c>
      <c r="E649" s="42">
        <v>0</v>
      </c>
      <c r="F649" s="42">
        <v>0.46961119743447394</v>
      </c>
      <c r="G649">
        <v>0.53038880256552612</v>
      </c>
    </row>
    <row r="650" spans="3:7" x14ac:dyDescent="0.15">
      <c r="C650" s="43" t="s">
        <v>967</v>
      </c>
      <c r="D650" s="42">
        <v>0</v>
      </c>
      <c r="E650" s="42">
        <v>0</v>
      </c>
      <c r="F650" s="42">
        <v>0.30351254950045303</v>
      </c>
      <c r="G650">
        <v>0.69648745049954697</v>
      </c>
    </row>
    <row r="651" spans="3:7" x14ac:dyDescent="0.15">
      <c r="C651" s="43" t="s">
        <v>968</v>
      </c>
      <c r="D651" s="42">
        <v>0</v>
      </c>
      <c r="E651" s="42">
        <v>0</v>
      </c>
      <c r="F651" s="42">
        <v>8.9152277493779169E-3</v>
      </c>
      <c r="G651">
        <v>0.99108477225062208</v>
      </c>
    </row>
    <row r="652" spans="3:7" x14ac:dyDescent="0.15">
      <c r="C652" s="43" t="s">
        <v>969</v>
      </c>
      <c r="D652" s="42">
        <v>0</v>
      </c>
      <c r="E652" s="42">
        <v>0</v>
      </c>
      <c r="F652" s="42">
        <v>9.5472838854060979E-2</v>
      </c>
      <c r="G652">
        <v>0.90452716114593901</v>
      </c>
    </row>
    <row r="653" spans="3:7" x14ac:dyDescent="0.15">
      <c r="C653" s="43" t="s">
        <v>970</v>
      </c>
      <c r="D653" s="42">
        <v>0</v>
      </c>
      <c r="E653" s="42">
        <v>0</v>
      </c>
      <c r="F653" s="42">
        <v>0.23466227338964207</v>
      </c>
      <c r="G653">
        <v>0.76533772661035793</v>
      </c>
    </row>
    <row r="654" spans="3:7" x14ac:dyDescent="0.15">
      <c r="C654" s="43" t="s">
        <v>971</v>
      </c>
      <c r="D654" s="42">
        <v>0</v>
      </c>
      <c r="E654" s="42">
        <v>0</v>
      </c>
      <c r="F654" s="42">
        <v>3.2354334377066225E-3</v>
      </c>
      <c r="G654">
        <v>0.9967645665622934</v>
      </c>
    </row>
    <row r="655" spans="3:7" x14ac:dyDescent="0.15">
      <c r="C655" s="43" t="s">
        <v>972</v>
      </c>
      <c r="D655" s="42">
        <v>0</v>
      </c>
      <c r="E655" s="42">
        <v>0</v>
      </c>
      <c r="F655" s="42">
        <v>0.18030203022564617</v>
      </c>
      <c r="G655">
        <v>0.81969796977435383</v>
      </c>
    </row>
    <row r="656" spans="3:7" x14ac:dyDescent="0.15">
      <c r="C656" s="43" t="s">
        <v>973</v>
      </c>
      <c r="D656" s="42">
        <v>0</v>
      </c>
      <c r="E656" s="42">
        <v>0</v>
      </c>
      <c r="F656" s="42">
        <v>1.1001770934325299E-2</v>
      </c>
      <c r="G656">
        <v>0.98899822906567469</v>
      </c>
    </row>
    <row r="657" spans="3:7" x14ac:dyDescent="0.15">
      <c r="C657" s="43" t="s">
        <v>974</v>
      </c>
      <c r="D657" s="42">
        <v>0</v>
      </c>
      <c r="E657" s="42">
        <v>0</v>
      </c>
      <c r="F657" s="42">
        <v>0.14851451291838183</v>
      </c>
      <c r="G657">
        <v>0.8514854870816182</v>
      </c>
    </row>
    <row r="658" spans="3:7" x14ac:dyDescent="0.15">
      <c r="C658" s="43" t="s">
        <v>975</v>
      </c>
      <c r="D658" s="42">
        <v>0</v>
      </c>
      <c r="E658" s="42">
        <v>0</v>
      </c>
      <c r="F658" s="42">
        <v>0.4257503339681416</v>
      </c>
      <c r="G658">
        <v>0.57424966603185834</v>
      </c>
    </row>
    <row r="659" spans="3:7" x14ac:dyDescent="0.15">
      <c r="C659" s="61" t="s">
        <v>976</v>
      </c>
      <c r="D659" s="60">
        <v>0</v>
      </c>
      <c r="E659" s="60">
        <v>1</v>
      </c>
      <c r="F659" s="60">
        <v>0.82978715382780766</v>
      </c>
      <c r="G659" s="59">
        <v>0.17021284617219234</v>
      </c>
    </row>
    <row r="660" spans="3:7" x14ac:dyDescent="0.15">
      <c r="C660" s="61" t="s">
        <v>977</v>
      </c>
      <c r="D660" s="60">
        <v>0</v>
      </c>
      <c r="E660" s="60">
        <v>1</v>
      </c>
      <c r="F660" s="60">
        <v>0.9494354868409558</v>
      </c>
      <c r="G660" s="59">
        <v>5.05645131590442E-2</v>
      </c>
    </row>
    <row r="661" spans="3:7" x14ac:dyDescent="0.15">
      <c r="C661" s="43" t="s">
        <v>978</v>
      </c>
      <c r="D661" s="42">
        <v>0</v>
      </c>
      <c r="E661" s="42">
        <v>0</v>
      </c>
      <c r="F661" s="42">
        <v>0.40821738572318178</v>
      </c>
      <c r="G661">
        <v>0.59178261427681822</v>
      </c>
    </row>
    <row r="662" spans="3:7" x14ac:dyDescent="0.15">
      <c r="C662" s="43" t="s">
        <v>979</v>
      </c>
      <c r="D662" s="42">
        <v>0</v>
      </c>
      <c r="E662" s="42">
        <v>0</v>
      </c>
      <c r="F662" s="42">
        <v>4.7461312139325577E-2</v>
      </c>
      <c r="G662">
        <v>0.95253868786067442</v>
      </c>
    </row>
    <row r="663" spans="3:7" x14ac:dyDescent="0.15">
      <c r="C663" s="43" t="s">
        <v>980</v>
      </c>
      <c r="D663" s="42">
        <v>0</v>
      </c>
      <c r="E663" s="42">
        <v>0</v>
      </c>
      <c r="F663" s="42">
        <v>0.12900126456818725</v>
      </c>
      <c r="G663">
        <v>0.87099873543181272</v>
      </c>
    </row>
    <row r="664" spans="3:7" x14ac:dyDescent="0.15">
      <c r="C664" s="43" t="s">
        <v>981</v>
      </c>
      <c r="D664" s="42">
        <v>0</v>
      </c>
      <c r="E664" s="42">
        <v>0</v>
      </c>
      <c r="F664" s="42">
        <v>0.16001140494122559</v>
      </c>
      <c r="G664">
        <v>0.83998859505877443</v>
      </c>
    </row>
    <row r="665" spans="3:7" x14ac:dyDescent="0.15">
      <c r="C665" s="43" t="s">
        <v>982</v>
      </c>
      <c r="D665" s="42">
        <v>0</v>
      </c>
      <c r="E665" s="42">
        <v>0</v>
      </c>
      <c r="F665" s="42">
        <v>0.20932321594991143</v>
      </c>
      <c r="G665">
        <v>0.79067678405008857</v>
      </c>
    </row>
    <row r="666" spans="3:7" x14ac:dyDescent="0.15">
      <c r="C666" s="43" t="s">
        <v>983</v>
      </c>
      <c r="D666" s="42">
        <v>0</v>
      </c>
      <c r="E666" s="42">
        <v>0</v>
      </c>
      <c r="F666" s="42">
        <v>3.4897852289483867E-2</v>
      </c>
      <c r="G666">
        <v>0.96510214771051617</v>
      </c>
    </row>
    <row r="667" spans="3:7" x14ac:dyDescent="0.15">
      <c r="C667" s="43" t="s">
        <v>984</v>
      </c>
      <c r="D667" s="42">
        <v>0</v>
      </c>
      <c r="E667" s="42">
        <v>0</v>
      </c>
      <c r="F667" s="42">
        <v>0.3602980217697716</v>
      </c>
      <c r="G667">
        <v>0.63970197823022845</v>
      </c>
    </row>
    <row r="668" spans="3:7" x14ac:dyDescent="0.15">
      <c r="C668" s="43" t="s">
        <v>985</v>
      </c>
      <c r="D668" s="42">
        <v>0</v>
      </c>
      <c r="E668" s="42">
        <v>0</v>
      </c>
      <c r="F668" s="42">
        <v>1.3272516678677261E-4</v>
      </c>
      <c r="G668">
        <v>0.99986727483321325</v>
      </c>
    </row>
    <row r="669" spans="3:7" x14ac:dyDescent="0.15">
      <c r="C669" s="43" t="s">
        <v>986</v>
      </c>
      <c r="D669" s="42">
        <v>0</v>
      </c>
      <c r="E669" s="42">
        <v>0</v>
      </c>
      <c r="F669" s="42">
        <v>6.0751363734100046E-4</v>
      </c>
      <c r="G669">
        <v>0.99939248636265898</v>
      </c>
    </row>
    <row r="670" spans="3:7" x14ac:dyDescent="0.15">
      <c r="C670" s="43" t="s">
        <v>987</v>
      </c>
      <c r="D670" s="42">
        <v>0</v>
      </c>
      <c r="E670" s="42">
        <v>0</v>
      </c>
      <c r="F670" s="42">
        <v>4.9975886901500892E-2</v>
      </c>
      <c r="G670">
        <v>0.9500241130984991</v>
      </c>
    </row>
    <row r="671" spans="3:7" x14ac:dyDescent="0.15">
      <c r="C671" s="43" t="s">
        <v>988</v>
      </c>
      <c r="D671" s="42">
        <v>0</v>
      </c>
      <c r="E671" s="42">
        <v>0</v>
      </c>
      <c r="F671" s="42">
        <v>0.22286453406083906</v>
      </c>
      <c r="G671">
        <v>0.77713546593916094</v>
      </c>
    </row>
    <row r="672" spans="3:7" x14ac:dyDescent="0.15">
      <c r="C672" s="43" t="s">
        <v>989</v>
      </c>
      <c r="D672" s="42">
        <v>0</v>
      </c>
      <c r="E672" s="42">
        <v>0</v>
      </c>
      <c r="F672" s="42">
        <v>1.3075468763052909E-2</v>
      </c>
      <c r="G672">
        <v>0.98692453123694712</v>
      </c>
    </row>
    <row r="673" spans="3:7" x14ac:dyDescent="0.15">
      <c r="C673" s="43" t="s">
        <v>990</v>
      </c>
      <c r="D673" s="42">
        <v>1</v>
      </c>
      <c r="E673" s="42">
        <v>1</v>
      </c>
      <c r="F673" s="42">
        <v>0.9964014443587268</v>
      </c>
      <c r="G673">
        <v>3.5985556412732045E-3</v>
      </c>
    </row>
    <row r="674" spans="3:7" x14ac:dyDescent="0.15">
      <c r="C674" s="61" t="s">
        <v>991</v>
      </c>
      <c r="D674" s="60">
        <v>0</v>
      </c>
      <c r="E674" s="60">
        <v>1</v>
      </c>
      <c r="F674" s="60">
        <v>0.60584685984700637</v>
      </c>
      <c r="G674" s="59">
        <v>0.39415314015299363</v>
      </c>
    </row>
    <row r="675" spans="3:7" x14ac:dyDescent="0.15">
      <c r="C675" s="43" t="s">
        <v>992</v>
      </c>
      <c r="D675" s="42">
        <v>0</v>
      </c>
      <c r="E675" s="42">
        <v>0</v>
      </c>
      <c r="F675" s="42">
        <v>1.6056580789264623E-2</v>
      </c>
      <c r="G675">
        <v>0.98394341921073536</v>
      </c>
    </row>
    <row r="676" spans="3:7" x14ac:dyDescent="0.15">
      <c r="C676" s="43" t="s">
        <v>993</v>
      </c>
      <c r="D676" s="42">
        <v>1</v>
      </c>
      <c r="E676" s="42">
        <v>1</v>
      </c>
      <c r="F676" s="42">
        <v>0.99969898146223046</v>
      </c>
      <c r="G676">
        <v>3.0101853776953735E-4</v>
      </c>
    </row>
    <row r="677" spans="3:7" x14ac:dyDescent="0.15">
      <c r="C677" s="43" t="s">
        <v>994</v>
      </c>
      <c r="D677" s="42">
        <v>0</v>
      </c>
      <c r="E677" s="42">
        <v>0</v>
      </c>
      <c r="F677" s="42">
        <v>0.27280456541023995</v>
      </c>
      <c r="G677">
        <v>0.72719543458975999</v>
      </c>
    </row>
    <row r="678" spans="3:7" x14ac:dyDescent="0.15">
      <c r="C678" s="61" t="s">
        <v>995</v>
      </c>
      <c r="D678" s="60">
        <v>0</v>
      </c>
      <c r="E678" s="60">
        <v>1</v>
      </c>
      <c r="F678" s="60">
        <v>0.73071421485144361</v>
      </c>
      <c r="G678" s="59">
        <v>0.26928578514855639</v>
      </c>
    </row>
    <row r="679" spans="3:7" x14ac:dyDescent="0.15">
      <c r="C679" s="43" t="s">
        <v>996</v>
      </c>
      <c r="D679" s="42">
        <v>0</v>
      </c>
      <c r="E679" s="42">
        <v>0</v>
      </c>
      <c r="F679" s="42">
        <v>6.45544819707317E-2</v>
      </c>
      <c r="G679">
        <v>0.93544551802926834</v>
      </c>
    </row>
    <row r="680" spans="3:7" x14ac:dyDescent="0.15">
      <c r="C680" s="61" t="s">
        <v>997</v>
      </c>
      <c r="D680" s="60">
        <v>0</v>
      </c>
      <c r="E680" s="60">
        <v>1</v>
      </c>
      <c r="F680" s="60">
        <v>0.90394686374337863</v>
      </c>
      <c r="G680" s="59">
        <v>9.6053136256621374E-2</v>
      </c>
    </row>
    <row r="681" spans="3:7" x14ac:dyDescent="0.15">
      <c r="C681" s="43" t="s">
        <v>998</v>
      </c>
      <c r="D681" s="42">
        <v>0</v>
      </c>
      <c r="E681" s="42">
        <v>0</v>
      </c>
      <c r="F681" s="42">
        <v>5.6602452931665624E-2</v>
      </c>
      <c r="G681">
        <v>0.94339754706833434</v>
      </c>
    </row>
    <row r="682" spans="3:7" x14ac:dyDescent="0.15">
      <c r="C682" s="43" t="s">
        <v>999</v>
      </c>
      <c r="D682" s="42">
        <v>0</v>
      </c>
      <c r="E682" s="42">
        <v>0</v>
      </c>
      <c r="F682" s="42">
        <v>6.0508373597276482E-2</v>
      </c>
      <c r="G682">
        <v>0.93949162640272355</v>
      </c>
    </row>
    <row r="683" spans="3:7" x14ac:dyDescent="0.15">
      <c r="C683" s="43" t="s">
        <v>1000</v>
      </c>
      <c r="D683" s="42">
        <v>0</v>
      </c>
      <c r="E683" s="42">
        <v>0</v>
      </c>
      <c r="F683" s="42">
        <v>0.49206842205358298</v>
      </c>
      <c r="G683">
        <v>0.50793157794641708</v>
      </c>
    </row>
    <row r="684" spans="3:7" x14ac:dyDescent="0.15">
      <c r="C684" s="43" t="s">
        <v>1001</v>
      </c>
      <c r="D684" s="42">
        <v>1</v>
      </c>
      <c r="E684" s="42">
        <v>1</v>
      </c>
      <c r="F684" s="42">
        <v>0.93679768529403651</v>
      </c>
      <c r="G684">
        <v>6.3202314705963492E-2</v>
      </c>
    </row>
    <row r="685" spans="3:7" x14ac:dyDescent="0.15">
      <c r="C685" s="43" t="s">
        <v>1002</v>
      </c>
      <c r="D685" s="42">
        <v>0</v>
      </c>
      <c r="E685" s="42">
        <v>0</v>
      </c>
      <c r="F685" s="42">
        <v>0.14874322770886411</v>
      </c>
      <c r="G685">
        <v>0.85125677229113594</v>
      </c>
    </row>
    <row r="686" spans="3:7" x14ac:dyDescent="0.15">
      <c r="C686" s="43" t="s">
        <v>1003</v>
      </c>
      <c r="D686" s="42">
        <v>0</v>
      </c>
      <c r="E686" s="42">
        <v>0</v>
      </c>
      <c r="F686" s="42">
        <v>9.7956567100760741E-3</v>
      </c>
      <c r="G686">
        <v>0.99020434328992391</v>
      </c>
    </row>
    <row r="687" spans="3:7" x14ac:dyDescent="0.15">
      <c r="C687" s="43" t="s">
        <v>1004</v>
      </c>
      <c r="D687" s="42">
        <v>0</v>
      </c>
      <c r="E687" s="42">
        <v>0</v>
      </c>
      <c r="F687" s="42">
        <v>5.8491647738244685E-3</v>
      </c>
      <c r="G687">
        <v>0.99415083522617553</v>
      </c>
    </row>
    <row r="688" spans="3:7" x14ac:dyDescent="0.15">
      <c r="C688" s="43" t="s">
        <v>1005</v>
      </c>
      <c r="D688" s="42">
        <v>0</v>
      </c>
      <c r="E688" s="42">
        <v>0</v>
      </c>
      <c r="F688" s="42">
        <v>0.10019866054764592</v>
      </c>
      <c r="G688">
        <v>0.89980133945235408</v>
      </c>
    </row>
    <row r="689" spans="3:7" x14ac:dyDescent="0.15">
      <c r="C689" s="43" t="s">
        <v>1006</v>
      </c>
      <c r="D689" s="42">
        <v>0</v>
      </c>
      <c r="E689" s="42">
        <v>0</v>
      </c>
      <c r="F689" s="42">
        <v>0.37229960147535412</v>
      </c>
      <c r="G689">
        <v>0.62770039852464588</v>
      </c>
    </row>
    <row r="690" spans="3:7" x14ac:dyDescent="0.15">
      <c r="C690" s="43" t="s">
        <v>1007</v>
      </c>
      <c r="D690" s="42">
        <v>0</v>
      </c>
      <c r="E690" s="42">
        <v>0</v>
      </c>
      <c r="F690" s="42">
        <v>0.30349538128686671</v>
      </c>
      <c r="G690">
        <v>0.69650461871313329</v>
      </c>
    </row>
    <row r="691" spans="3:7" x14ac:dyDescent="0.15">
      <c r="C691" s="43" t="s">
        <v>1008</v>
      </c>
      <c r="D691" s="42">
        <v>0</v>
      </c>
      <c r="E691" s="42">
        <v>0</v>
      </c>
      <c r="F691" s="42">
        <v>9.6990289622553072E-2</v>
      </c>
      <c r="G691">
        <v>0.90300971037744693</v>
      </c>
    </row>
    <row r="692" spans="3:7" x14ac:dyDescent="0.15">
      <c r="C692" s="43" t="s">
        <v>1009</v>
      </c>
      <c r="D692" s="42">
        <v>1</v>
      </c>
      <c r="E692" s="42">
        <v>1</v>
      </c>
      <c r="F692" s="42">
        <v>0.73206073608714717</v>
      </c>
      <c r="G692">
        <v>0.26793926391285283</v>
      </c>
    </row>
    <row r="693" spans="3:7" x14ac:dyDescent="0.15">
      <c r="C693" s="43" t="s">
        <v>1010</v>
      </c>
      <c r="D693" s="42">
        <v>0</v>
      </c>
      <c r="E693" s="42">
        <v>0</v>
      </c>
      <c r="F693" s="42">
        <v>0.39809449328623009</v>
      </c>
      <c r="G693">
        <v>0.60190550671376997</v>
      </c>
    </row>
    <row r="694" spans="3:7" x14ac:dyDescent="0.15">
      <c r="C694" s="43" t="s">
        <v>1011</v>
      </c>
      <c r="D694" s="42">
        <v>0</v>
      </c>
      <c r="E694" s="42">
        <v>0</v>
      </c>
      <c r="F694" s="42">
        <v>0.390832300187405</v>
      </c>
      <c r="G694">
        <v>0.609167699812595</v>
      </c>
    </row>
    <row r="695" spans="3:7" x14ac:dyDescent="0.15">
      <c r="C695" s="43" t="s">
        <v>1012</v>
      </c>
      <c r="D695" s="42">
        <v>0</v>
      </c>
      <c r="E695" s="42">
        <v>0</v>
      </c>
      <c r="F695" s="42">
        <v>0.12335964365869052</v>
      </c>
      <c r="G695">
        <v>0.87664035634130943</v>
      </c>
    </row>
    <row r="696" spans="3:7" x14ac:dyDescent="0.15">
      <c r="C696" s="43" t="s">
        <v>1013</v>
      </c>
      <c r="D696" s="42">
        <v>0</v>
      </c>
      <c r="E696" s="42">
        <v>0</v>
      </c>
      <c r="F696" s="42">
        <v>1.9268607429482474E-2</v>
      </c>
      <c r="G696">
        <v>0.98073139257051756</v>
      </c>
    </row>
    <row r="697" spans="3:7" x14ac:dyDescent="0.15">
      <c r="C697" s="43" t="s">
        <v>1014</v>
      </c>
      <c r="D697" s="42">
        <v>0</v>
      </c>
      <c r="E697" s="42">
        <v>0</v>
      </c>
      <c r="F697" s="42">
        <v>6.2463111331542746E-2</v>
      </c>
      <c r="G697">
        <v>0.9375368886684573</v>
      </c>
    </row>
    <row r="698" spans="3:7" x14ac:dyDescent="0.15">
      <c r="C698" s="43" t="s">
        <v>1015</v>
      </c>
      <c r="D698" s="42">
        <v>0</v>
      </c>
      <c r="E698" s="42">
        <v>0</v>
      </c>
      <c r="F698" s="42">
        <v>0.15698921665075199</v>
      </c>
      <c r="G698">
        <v>0.84301078334924795</v>
      </c>
    </row>
    <row r="699" spans="3:7" x14ac:dyDescent="0.15">
      <c r="C699" s="61" t="s">
        <v>1016</v>
      </c>
      <c r="D699" s="60">
        <v>1</v>
      </c>
      <c r="E699" s="60">
        <v>0</v>
      </c>
      <c r="F699" s="60">
        <v>8.7359695257913192E-2</v>
      </c>
      <c r="G699" s="59">
        <v>0.91264030474208679</v>
      </c>
    </row>
    <row r="700" spans="3:7" x14ac:dyDescent="0.15">
      <c r="C700" s="43" t="s">
        <v>1017</v>
      </c>
      <c r="D700" s="42">
        <v>0</v>
      </c>
      <c r="E700" s="42">
        <v>0</v>
      </c>
      <c r="F700" s="42">
        <v>4.5676028964023702E-2</v>
      </c>
      <c r="G700">
        <v>0.95432397103597633</v>
      </c>
    </row>
    <row r="701" spans="3:7" x14ac:dyDescent="0.15">
      <c r="C701" s="43" t="s">
        <v>1018</v>
      </c>
      <c r="D701" s="42">
        <v>0</v>
      </c>
      <c r="E701" s="42">
        <v>0</v>
      </c>
      <c r="F701" s="42">
        <v>4.4673846824298466E-2</v>
      </c>
      <c r="G701">
        <v>0.95532615317570158</v>
      </c>
    </row>
    <row r="702" spans="3:7" x14ac:dyDescent="0.15">
      <c r="C702" s="43" t="s">
        <v>1019</v>
      </c>
      <c r="D702" s="42">
        <v>0</v>
      </c>
      <c r="E702" s="42">
        <v>0</v>
      </c>
      <c r="F702" s="42">
        <v>1.8865953682695702E-3</v>
      </c>
      <c r="G702">
        <v>0.99811340463173048</v>
      </c>
    </row>
    <row r="703" spans="3:7" x14ac:dyDescent="0.15">
      <c r="C703" s="43" t="s">
        <v>1020</v>
      </c>
      <c r="D703" s="42">
        <v>0</v>
      </c>
      <c r="E703" s="42">
        <v>0</v>
      </c>
      <c r="F703" s="42">
        <v>0.16762978992795211</v>
      </c>
      <c r="G703">
        <v>0.83237021007204792</v>
      </c>
    </row>
    <row r="704" spans="3:7" x14ac:dyDescent="0.15">
      <c r="C704" s="43" t="s">
        <v>1021</v>
      </c>
      <c r="D704" s="42">
        <v>1</v>
      </c>
      <c r="E704" s="42">
        <v>1</v>
      </c>
      <c r="F704" s="42">
        <v>0.83938130294543212</v>
      </c>
      <c r="G704">
        <v>0.16061869705456788</v>
      </c>
    </row>
    <row r="705" spans="3:7" x14ac:dyDescent="0.15">
      <c r="C705" s="43" t="s">
        <v>1022</v>
      </c>
      <c r="D705" s="42">
        <v>0</v>
      </c>
      <c r="E705" s="42">
        <v>0</v>
      </c>
      <c r="F705" s="42">
        <v>1.0503888339932562E-2</v>
      </c>
      <c r="G705">
        <v>0.98949611166006746</v>
      </c>
    </row>
    <row r="706" spans="3:7" x14ac:dyDescent="0.15">
      <c r="C706" s="43" t="s">
        <v>1023</v>
      </c>
      <c r="D706" s="42">
        <v>0</v>
      </c>
      <c r="E706" s="42">
        <v>0</v>
      </c>
      <c r="F706" s="42">
        <v>6.3467956669883405E-2</v>
      </c>
      <c r="G706">
        <v>0.93653204333011664</v>
      </c>
    </row>
    <row r="707" spans="3:7" x14ac:dyDescent="0.15">
      <c r="C707" s="43" t="s">
        <v>1024</v>
      </c>
      <c r="D707" s="42">
        <v>0</v>
      </c>
      <c r="E707" s="42">
        <v>0</v>
      </c>
      <c r="F707" s="42">
        <v>5.0209744952048475E-2</v>
      </c>
      <c r="G707">
        <v>0.94979025504795156</v>
      </c>
    </row>
    <row r="708" spans="3:7" x14ac:dyDescent="0.15">
      <c r="C708" s="43" t="s">
        <v>1025</v>
      </c>
      <c r="D708" s="42">
        <v>0</v>
      </c>
      <c r="E708" s="42">
        <v>0</v>
      </c>
      <c r="F708" s="42">
        <v>2.7427051537958359E-4</v>
      </c>
      <c r="G708">
        <v>0.99972572948462046</v>
      </c>
    </row>
    <row r="709" spans="3:7" x14ac:dyDescent="0.15">
      <c r="C709" s="43" t="s">
        <v>1026</v>
      </c>
      <c r="D709" s="42">
        <v>0</v>
      </c>
      <c r="E709" s="42">
        <v>0</v>
      </c>
      <c r="F709" s="42">
        <v>0.22074554526837301</v>
      </c>
      <c r="G709">
        <v>0.77925445473162702</v>
      </c>
    </row>
    <row r="710" spans="3:7" x14ac:dyDescent="0.15">
      <c r="C710" s="43" t="s">
        <v>1027</v>
      </c>
      <c r="D710" s="42">
        <v>0</v>
      </c>
      <c r="E710" s="42">
        <v>0</v>
      </c>
      <c r="F710" s="42">
        <v>0.3751807249868207</v>
      </c>
      <c r="G710">
        <v>0.62481927501317935</v>
      </c>
    </row>
    <row r="711" spans="3:7" x14ac:dyDescent="0.15">
      <c r="C711" s="43" t="s">
        <v>1028</v>
      </c>
      <c r="D711" s="42">
        <v>0</v>
      </c>
      <c r="E711" s="42">
        <v>0</v>
      </c>
      <c r="F711" s="42">
        <v>2.1317365821075223E-2</v>
      </c>
      <c r="G711">
        <v>0.97868263417892476</v>
      </c>
    </row>
    <row r="712" spans="3:7" x14ac:dyDescent="0.15">
      <c r="C712" s="61" t="s">
        <v>1029</v>
      </c>
      <c r="D712" s="60">
        <v>0</v>
      </c>
      <c r="E712" s="60">
        <v>1</v>
      </c>
      <c r="F712" s="60">
        <v>0.66828346461816579</v>
      </c>
      <c r="G712" s="59">
        <v>0.33171653538183421</v>
      </c>
    </row>
    <row r="713" spans="3:7" x14ac:dyDescent="0.15">
      <c r="C713" s="43" t="s">
        <v>1030</v>
      </c>
      <c r="D713" s="42">
        <v>0</v>
      </c>
      <c r="E713" s="42">
        <v>0</v>
      </c>
      <c r="F713" s="42">
        <v>7.0976181869063792E-2</v>
      </c>
      <c r="G713">
        <v>0.92902381813093626</v>
      </c>
    </row>
    <row r="714" spans="3:7" x14ac:dyDescent="0.15">
      <c r="C714" s="43" t="s">
        <v>1031</v>
      </c>
      <c r="D714" s="42">
        <v>0</v>
      </c>
      <c r="E714" s="42">
        <v>0</v>
      </c>
      <c r="F714" s="42">
        <v>5.5114261419672766E-2</v>
      </c>
      <c r="G714">
        <v>0.94488573858032721</v>
      </c>
    </row>
    <row r="715" spans="3:7" x14ac:dyDescent="0.15">
      <c r="C715" s="43" t="s">
        <v>1032</v>
      </c>
      <c r="D715" s="42">
        <v>0</v>
      </c>
      <c r="E715" s="42">
        <v>0</v>
      </c>
      <c r="F715" s="42">
        <v>7.2642926428902244E-2</v>
      </c>
      <c r="G715">
        <v>0.92735707357109776</v>
      </c>
    </row>
    <row r="716" spans="3:7" x14ac:dyDescent="0.15">
      <c r="C716" s="43" t="s">
        <v>1033</v>
      </c>
      <c r="D716" s="42">
        <v>0</v>
      </c>
      <c r="E716" s="42">
        <v>0</v>
      </c>
      <c r="F716" s="42">
        <v>1.301787469077377E-3</v>
      </c>
      <c r="G716">
        <v>0.99869821253092261</v>
      </c>
    </row>
    <row r="717" spans="3:7" x14ac:dyDescent="0.15">
      <c r="C717" s="43" t="s">
        <v>1034</v>
      </c>
      <c r="D717" s="42">
        <v>0</v>
      </c>
      <c r="E717" s="42">
        <v>0</v>
      </c>
      <c r="F717" s="42">
        <v>1.3280205482205709E-2</v>
      </c>
      <c r="G717">
        <v>0.98671979451779435</v>
      </c>
    </row>
    <row r="718" spans="3:7" x14ac:dyDescent="0.15">
      <c r="C718" s="43" t="s">
        <v>1035</v>
      </c>
      <c r="D718" s="42">
        <v>0</v>
      </c>
      <c r="E718" s="42">
        <v>0</v>
      </c>
      <c r="F718" s="42">
        <v>6.6386782774526506E-3</v>
      </c>
      <c r="G718">
        <v>0.99336132172254732</v>
      </c>
    </row>
    <row r="719" spans="3:7" x14ac:dyDescent="0.15">
      <c r="C719" s="43" t="s">
        <v>1036</v>
      </c>
      <c r="D719" s="42">
        <v>0</v>
      </c>
      <c r="E719" s="42">
        <v>0</v>
      </c>
      <c r="F719" s="42">
        <v>4.5771289381645534E-2</v>
      </c>
      <c r="G719">
        <v>0.95422871061835446</v>
      </c>
    </row>
    <row r="720" spans="3:7" x14ac:dyDescent="0.15">
      <c r="C720" s="43" t="s">
        <v>1037</v>
      </c>
      <c r="D720" s="42">
        <v>0</v>
      </c>
      <c r="E720" s="42">
        <v>0</v>
      </c>
      <c r="F720" s="42">
        <v>8.4610138263265924E-2</v>
      </c>
      <c r="G720">
        <v>0.91538986173673409</v>
      </c>
    </row>
    <row r="721" spans="3:7" x14ac:dyDescent="0.15">
      <c r="C721" s="43" t="s">
        <v>1038</v>
      </c>
      <c r="D721" s="42">
        <v>0</v>
      </c>
      <c r="E721" s="42">
        <v>0</v>
      </c>
      <c r="F721" s="42">
        <v>4.787398957977208E-3</v>
      </c>
      <c r="G721">
        <v>0.9952126010420228</v>
      </c>
    </row>
    <row r="722" spans="3:7" x14ac:dyDescent="0.15">
      <c r="C722" s="43" t="s">
        <v>1039</v>
      </c>
      <c r="D722" s="42">
        <v>0</v>
      </c>
      <c r="E722" s="42">
        <v>0</v>
      </c>
      <c r="F722" s="42">
        <v>0.32030954885041929</v>
      </c>
      <c r="G722">
        <v>0.67969045114958071</v>
      </c>
    </row>
    <row r="723" spans="3:7" x14ac:dyDescent="0.15">
      <c r="C723" s="43" t="s">
        <v>1040</v>
      </c>
      <c r="D723" s="42">
        <v>1</v>
      </c>
      <c r="E723" s="42">
        <v>1</v>
      </c>
      <c r="F723" s="42">
        <v>0.99200610205110828</v>
      </c>
      <c r="G723">
        <v>7.993897948891715E-3</v>
      </c>
    </row>
    <row r="724" spans="3:7" x14ac:dyDescent="0.15">
      <c r="C724" s="43" t="s">
        <v>1041</v>
      </c>
      <c r="D724" s="42">
        <v>1</v>
      </c>
      <c r="E724" s="42">
        <v>1</v>
      </c>
      <c r="F724" s="42">
        <v>0.97715938443898598</v>
      </c>
      <c r="G724">
        <v>2.2840615561014022E-2</v>
      </c>
    </row>
    <row r="725" spans="3:7" x14ac:dyDescent="0.15">
      <c r="C725" s="61" t="s">
        <v>1042</v>
      </c>
      <c r="D725" s="60">
        <v>0</v>
      </c>
      <c r="E725" s="60">
        <v>1</v>
      </c>
      <c r="F725" s="60">
        <v>0.58937822774957915</v>
      </c>
      <c r="G725" s="59">
        <v>0.41062177225042085</v>
      </c>
    </row>
    <row r="726" spans="3:7" x14ac:dyDescent="0.15">
      <c r="C726" s="43" t="s">
        <v>1043</v>
      </c>
      <c r="D726" s="42">
        <v>0</v>
      </c>
      <c r="E726" s="42">
        <v>0</v>
      </c>
      <c r="F726" s="42">
        <v>0.30411671736745993</v>
      </c>
      <c r="G726">
        <v>0.69588328263254007</v>
      </c>
    </row>
    <row r="727" spans="3:7" x14ac:dyDescent="0.15">
      <c r="C727" s="43" t="s">
        <v>1044</v>
      </c>
      <c r="D727" s="42">
        <v>0</v>
      </c>
      <c r="E727" s="42">
        <v>0</v>
      </c>
      <c r="F727" s="42">
        <v>3.089041398137966E-2</v>
      </c>
      <c r="G727">
        <v>0.96910958601862029</v>
      </c>
    </row>
    <row r="728" spans="3:7" x14ac:dyDescent="0.15">
      <c r="C728" s="43" t="s">
        <v>1045</v>
      </c>
      <c r="D728" s="42">
        <v>0</v>
      </c>
      <c r="E728" s="42">
        <v>0</v>
      </c>
      <c r="F728" s="42">
        <v>8.7522496389183913E-2</v>
      </c>
      <c r="G728">
        <v>0.91247750361081614</v>
      </c>
    </row>
    <row r="729" spans="3:7" x14ac:dyDescent="0.15">
      <c r="C729" s="43" t="s">
        <v>1046</v>
      </c>
      <c r="D729" s="42">
        <v>0</v>
      </c>
      <c r="E729" s="42">
        <v>0</v>
      </c>
      <c r="F729" s="42">
        <v>3.2553967301838099E-2</v>
      </c>
      <c r="G729">
        <v>0.96744603269816187</v>
      </c>
    </row>
    <row r="730" spans="3:7" x14ac:dyDescent="0.15">
      <c r="C730" s="43" t="s">
        <v>1047</v>
      </c>
      <c r="D730" s="42">
        <v>1</v>
      </c>
      <c r="E730" s="42">
        <v>1</v>
      </c>
      <c r="F730" s="42">
        <v>0.97379186098309889</v>
      </c>
      <c r="G730">
        <v>2.6208139016901111E-2</v>
      </c>
    </row>
    <row r="731" spans="3:7" x14ac:dyDescent="0.15">
      <c r="C731" s="43" t="s">
        <v>1048</v>
      </c>
      <c r="D731" s="42">
        <v>0</v>
      </c>
      <c r="E731" s="42">
        <v>0</v>
      </c>
      <c r="F731" s="42">
        <v>8.2522598246747647E-4</v>
      </c>
      <c r="G731">
        <v>0.99917477401753252</v>
      </c>
    </row>
    <row r="732" spans="3:7" x14ac:dyDescent="0.15">
      <c r="C732" s="43" t="s">
        <v>1049</v>
      </c>
      <c r="D732" s="42">
        <v>0</v>
      </c>
      <c r="E732" s="42">
        <v>0</v>
      </c>
      <c r="F732" s="42">
        <v>1.1256729340412674E-2</v>
      </c>
      <c r="G732">
        <v>0.98874327065958734</v>
      </c>
    </row>
    <row r="733" spans="3:7" x14ac:dyDescent="0.15">
      <c r="C733" s="43" t="s">
        <v>1050</v>
      </c>
      <c r="D733" s="42">
        <v>0</v>
      </c>
      <c r="E733" s="42">
        <v>0</v>
      </c>
      <c r="F733" s="42">
        <v>1.2051943373212871E-2</v>
      </c>
      <c r="G733">
        <v>0.98794805662678709</v>
      </c>
    </row>
    <row r="734" spans="3:7" x14ac:dyDescent="0.15">
      <c r="C734" s="61" t="s">
        <v>1051</v>
      </c>
      <c r="D734" s="60">
        <v>0</v>
      </c>
      <c r="E734" s="60">
        <v>1</v>
      </c>
      <c r="F734" s="60">
        <v>0.68402309745835732</v>
      </c>
      <c r="G734" s="59">
        <v>0.31597690254164268</v>
      </c>
    </row>
    <row r="735" spans="3:7" x14ac:dyDescent="0.15">
      <c r="C735" s="43" t="s">
        <v>1052</v>
      </c>
      <c r="D735" s="42">
        <v>0</v>
      </c>
      <c r="E735" s="42">
        <v>0</v>
      </c>
      <c r="F735" s="42">
        <v>6.1836322644556723E-3</v>
      </c>
      <c r="G735">
        <v>0.99381636773554438</v>
      </c>
    </row>
    <row r="736" spans="3:7" x14ac:dyDescent="0.15">
      <c r="C736" s="43" t="s">
        <v>1053</v>
      </c>
      <c r="D736" s="42">
        <v>0</v>
      </c>
      <c r="E736" s="42">
        <v>0</v>
      </c>
      <c r="F736" s="42">
        <v>1.6287898529396805E-3</v>
      </c>
      <c r="G736">
        <v>0.99837121014706032</v>
      </c>
    </row>
    <row r="737" spans="3:7" x14ac:dyDescent="0.15">
      <c r="C737" s="61" t="s">
        <v>1054</v>
      </c>
      <c r="D737" s="60">
        <v>1</v>
      </c>
      <c r="E737" s="60">
        <v>0</v>
      </c>
      <c r="F737" s="60">
        <v>0.23412688574535639</v>
      </c>
      <c r="G737" s="59">
        <v>0.76587311425464355</v>
      </c>
    </row>
    <row r="738" spans="3:7" x14ac:dyDescent="0.15">
      <c r="C738" s="43" t="s">
        <v>1055</v>
      </c>
      <c r="D738" s="42">
        <v>0</v>
      </c>
      <c r="E738" s="42">
        <v>0</v>
      </c>
      <c r="F738" s="42">
        <v>0.42295731130895969</v>
      </c>
      <c r="G738">
        <v>0.57704268869104025</v>
      </c>
    </row>
    <row r="739" spans="3:7" x14ac:dyDescent="0.15">
      <c r="C739" s="43" t="s">
        <v>1056</v>
      </c>
      <c r="D739" s="42">
        <v>0</v>
      </c>
      <c r="E739" s="42">
        <v>0</v>
      </c>
      <c r="F739" s="42">
        <v>3.3740054142173811E-3</v>
      </c>
      <c r="G739">
        <v>0.9966259945857826</v>
      </c>
    </row>
    <row r="740" spans="3:7" x14ac:dyDescent="0.15">
      <c r="C740" s="43" t="s">
        <v>1057</v>
      </c>
      <c r="D740" s="42">
        <v>0</v>
      </c>
      <c r="E740" s="42">
        <v>0</v>
      </c>
      <c r="F740" s="42">
        <v>2.4994049246685499E-2</v>
      </c>
      <c r="G740">
        <v>0.97500595075331453</v>
      </c>
    </row>
    <row r="741" spans="3:7" x14ac:dyDescent="0.15">
      <c r="C741" s="43" t="s">
        <v>1058</v>
      </c>
      <c r="D741" s="42">
        <v>0</v>
      </c>
      <c r="E741" s="42">
        <v>0</v>
      </c>
      <c r="F741" s="42">
        <v>1.2515789334239772E-2</v>
      </c>
      <c r="G741">
        <v>0.9874842106657602</v>
      </c>
    </row>
    <row r="742" spans="3:7" x14ac:dyDescent="0.15">
      <c r="C742" s="43" t="s">
        <v>1059</v>
      </c>
      <c r="D742" s="42">
        <v>0</v>
      </c>
      <c r="E742" s="42">
        <v>0</v>
      </c>
      <c r="F742" s="42">
        <v>4.6108368023921025E-3</v>
      </c>
      <c r="G742">
        <v>0.99538916319760795</v>
      </c>
    </row>
    <row r="743" spans="3:7" x14ac:dyDescent="0.15">
      <c r="C743" s="43" t="s">
        <v>1060</v>
      </c>
      <c r="D743" s="42">
        <v>0</v>
      </c>
      <c r="E743" s="42">
        <v>0</v>
      </c>
      <c r="F743" s="42">
        <v>6.8848692016960618E-3</v>
      </c>
      <c r="G743">
        <v>0.99311513079830394</v>
      </c>
    </row>
    <row r="744" spans="3:7" x14ac:dyDescent="0.15">
      <c r="C744" s="43" t="s">
        <v>1061</v>
      </c>
      <c r="D744" s="42">
        <v>1</v>
      </c>
      <c r="E744" s="42">
        <v>1</v>
      </c>
      <c r="F744" s="42">
        <v>0.98006812233211182</v>
      </c>
      <c r="G744">
        <v>1.9931877667888176E-2</v>
      </c>
    </row>
    <row r="745" spans="3:7" x14ac:dyDescent="0.15">
      <c r="C745" s="43" t="s">
        <v>1062</v>
      </c>
      <c r="D745" s="42">
        <v>0</v>
      </c>
      <c r="E745" s="42">
        <v>0</v>
      </c>
      <c r="F745" s="42">
        <v>0.15307414416174431</v>
      </c>
      <c r="G745">
        <v>0.84692585583825575</v>
      </c>
    </row>
    <row r="746" spans="3:7" x14ac:dyDescent="0.15">
      <c r="C746" s="43" t="s">
        <v>1063</v>
      </c>
      <c r="D746" s="42">
        <v>0</v>
      </c>
      <c r="E746" s="42">
        <v>0</v>
      </c>
      <c r="F746" s="42">
        <v>0.23815691683985504</v>
      </c>
      <c r="G746">
        <v>0.76184308316014493</v>
      </c>
    </row>
    <row r="747" spans="3:7" x14ac:dyDescent="0.15">
      <c r="C747" s="43" t="s">
        <v>1064</v>
      </c>
      <c r="D747" s="42">
        <v>1</v>
      </c>
      <c r="E747" s="42">
        <v>1</v>
      </c>
      <c r="F747" s="42">
        <v>0.92114214406371941</v>
      </c>
      <c r="G747">
        <v>7.8857855936280585E-2</v>
      </c>
    </row>
    <row r="748" spans="3:7" x14ac:dyDescent="0.15">
      <c r="C748" s="43" t="s">
        <v>1065</v>
      </c>
      <c r="D748" s="42">
        <v>0</v>
      </c>
      <c r="E748" s="42">
        <v>0</v>
      </c>
      <c r="F748" s="42">
        <v>7.5193991798324557E-3</v>
      </c>
      <c r="G748">
        <v>0.99248060082016754</v>
      </c>
    </row>
    <row r="749" spans="3:7" x14ac:dyDescent="0.15">
      <c r="C749" s="43" t="s">
        <v>1066</v>
      </c>
      <c r="D749" s="42">
        <v>1</v>
      </c>
      <c r="E749" s="42">
        <v>1</v>
      </c>
      <c r="F749" s="42">
        <v>0.99518052159865911</v>
      </c>
      <c r="G749">
        <v>4.8194784013408931E-3</v>
      </c>
    </row>
    <row r="750" spans="3:7" x14ac:dyDescent="0.15">
      <c r="C750" s="43" t="s">
        <v>1067</v>
      </c>
      <c r="D750" s="42">
        <v>0</v>
      </c>
      <c r="E750" s="42">
        <v>0</v>
      </c>
      <c r="F750" s="42">
        <v>7.5362940641241591E-2</v>
      </c>
      <c r="G750">
        <v>0.9246370593587584</v>
      </c>
    </row>
    <row r="751" spans="3:7" x14ac:dyDescent="0.15">
      <c r="C751" s="43" t="s">
        <v>1068</v>
      </c>
      <c r="D751" s="42">
        <v>0</v>
      </c>
      <c r="E751" s="42">
        <v>0</v>
      </c>
      <c r="F751" s="42">
        <v>5.9162321322655607E-2</v>
      </c>
      <c r="G751">
        <v>0.94083767867734436</v>
      </c>
    </row>
    <row r="752" spans="3:7" x14ac:dyDescent="0.15">
      <c r="C752" s="43" t="s">
        <v>1069</v>
      </c>
      <c r="D752" s="42">
        <v>0</v>
      </c>
      <c r="E752" s="42">
        <v>0</v>
      </c>
      <c r="F752" s="42">
        <v>3.7764900748365797E-2</v>
      </c>
      <c r="G752">
        <v>0.9622350992516342</v>
      </c>
    </row>
    <row r="753" spans="3:7" x14ac:dyDescent="0.15">
      <c r="C753" s="43" t="s">
        <v>1070</v>
      </c>
      <c r="D753" s="42">
        <v>0</v>
      </c>
      <c r="E753" s="42">
        <v>0</v>
      </c>
      <c r="F753" s="42">
        <v>2.5837429627221641E-2</v>
      </c>
      <c r="G753">
        <v>0.97416257037277831</v>
      </c>
    </row>
    <row r="754" spans="3:7" x14ac:dyDescent="0.15">
      <c r="C754" s="43" t="s">
        <v>1071</v>
      </c>
      <c r="D754" s="42">
        <v>0</v>
      </c>
      <c r="E754" s="42">
        <v>0</v>
      </c>
      <c r="F754" s="42">
        <v>0.23469035644385913</v>
      </c>
      <c r="G754">
        <v>0.76530964355614084</v>
      </c>
    </row>
    <row r="755" spans="3:7" x14ac:dyDescent="0.15">
      <c r="C755" s="43" t="s">
        <v>1072</v>
      </c>
      <c r="D755" s="42">
        <v>0</v>
      </c>
      <c r="E755" s="42">
        <v>0</v>
      </c>
      <c r="F755" s="42">
        <v>2.0452856590871121E-2</v>
      </c>
      <c r="G755">
        <v>0.97954714340912885</v>
      </c>
    </row>
    <row r="756" spans="3:7" x14ac:dyDescent="0.15">
      <c r="C756" s="43" t="s">
        <v>1073</v>
      </c>
      <c r="D756" s="42">
        <v>0</v>
      </c>
      <c r="E756" s="42">
        <v>0</v>
      </c>
      <c r="F756" s="42">
        <v>4.1274540117904723E-3</v>
      </c>
      <c r="G756">
        <v>0.99587254598820951</v>
      </c>
    </row>
    <row r="757" spans="3:7" x14ac:dyDescent="0.15">
      <c r="C757" s="43" t="s">
        <v>1074</v>
      </c>
      <c r="D757" s="42">
        <v>0</v>
      </c>
      <c r="E757" s="42">
        <v>0</v>
      </c>
      <c r="F757" s="42">
        <v>0.23896780358382694</v>
      </c>
      <c r="G757">
        <v>0.76103219641617303</v>
      </c>
    </row>
    <row r="758" spans="3:7" x14ac:dyDescent="0.15">
      <c r="C758" s="43" t="s">
        <v>1075</v>
      </c>
      <c r="D758" s="42">
        <v>0</v>
      </c>
      <c r="E758" s="42">
        <v>0</v>
      </c>
      <c r="F758" s="42">
        <v>3.748883044892435E-2</v>
      </c>
      <c r="G758">
        <v>0.96251116955107563</v>
      </c>
    </row>
    <row r="759" spans="3:7" x14ac:dyDescent="0.15">
      <c r="C759" s="61" t="s">
        <v>1076</v>
      </c>
      <c r="D759" s="60">
        <v>0</v>
      </c>
      <c r="E759" s="60">
        <v>1</v>
      </c>
      <c r="F759" s="60">
        <v>0.71234496679264625</v>
      </c>
      <c r="G759" s="59">
        <v>0.28765503320735375</v>
      </c>
    </row>
    <row r="760" spans="3:7" x14ac:dyDescent="0.15">
      <c r="C760" s="43" t="s">
        <v>1077</v>
      </c>
      <c r="D760" s="42">
        <v>1</v>
      </c>
      <c r="E760" s="42">
        <v>1</v>
      </c>
      <c r="F760" s="42">
        <v>0.98698321638168218</v>
      </c>
      <c r="G760">
        <v>1.3016783618317818E-2</v>
      </c>
    </row>
    <row r="761" spans="3:7" x14ac:dyDescent="0.15">
      <c r="C761" s="43" t="s">
        <v>1078</v>
      </c>
      <c r="D761" s="42">
        <v>0</v>
      </c>
      <c r="E761" s="42">
        <v>0</v>
      </c>
      <c r="F761" s="42">
        <v>8.5183461542366005E-3</v>
      </c>
      <c r="G761">
        <v>0.99148165384576337</v>
      </c>
    </row>
    <row r="762" spans="3:7" x14ac:dyDescent="0.15">
      <c r="C762" s="43" t="s">
        <v>1079</v>
      </c>
      <c r="D762" s="42">
        <v>0</v>
      </c>
      <c r="E762" s="42">
        <v>0</v>
      </c>
      <c r="F762" s="42">
        <v>2.743159285747487E-2</v>
      </c>
      <c r="G762">
        <v>0.97256840714252513</v>
      </c>
    </row>
    <row r="763" spans="3:7" x14ac:dyDescent="0.15">
      <c r="C763" s="43" t="s">
        <v>1080</v>
      </c>
      <c r="D763" s="42">
        <v>0</v>
      </c>
      <c r="E763" s="42">
        <v>0</v>
      </c>
      <c r="F763" s="42">
        <v>6.5710716659237649E-4</v>
      </c>
      <c r="G763">
        <v>0.9993428928334076</v>
      </c>
    </row>
    <row r="764" spans="3:7" x14ac:dyDescent="0.15">
      <c r="C764" s="43" t="s">
        <v>1081</v>
      </c>
      <c r="D764" s="42">
        <v>0</v>
      </c>
      <c r="E764" s="42">
        <v>0</v>
      </c>
      <c r="F764" s="42">
        <v>1.3402335926092053E-2</v>
      </c>
      <c r="G764">
        <v>0.98659766407390792</v>
      </c>
    </row>
    <row r="765" spans="3:7" x14ac:dyDescent="0.15">
      <c r="C765" s="43" t="s">
        <v>1082</v>
      </c>
      <c r="D765" s="42">
        <v>0</v>
      </c>
      <c r="E765" s="42">
        <v>0</v>
      </c>
      <c r="F765" s="42">
        <v>7.2183422336579844E-2</v>
      </c>
      <c r="G765">
        <v>0.92781657766342018</v>
      </c>
    </row>
    <row r="766" spans="3:7" x14ac:dyDescent="0.15">
      <c r="C766" s="43" t="s">
        <v>1083</v>
      </c>
      <c r="D766" s="42">
        <v>1</v>
      </c>
      <c r="E766" s="42">
        <v>1</v>
      </c>
      <c r="F766" s="42">
        <v>0.9921705387156311</v>
      </c>
      <c r="G766">
        <v>7.8294612843688993E-3</v>
      </c>
    </row>
    <row r="767" spans="3:7" x14ac:dyDescent="0.15">
      <c r="C767" s="43" t="s">
        <v>1084</v>
      </c>
      <c r="D767" s="42">
        <v>0</v>
      </c>
      <c r="E767" s="42">
        <v>0</v>
      </c>
      <c r="F767" s="42">
        <v>4.7083332847569796E-3</v>
      </c>
      <c r="G767">
        <v>0.99529166671524305</v>
      </c>
    </row>
    <row r="768" spans="3:7" x14ac:dyDescent="0.15">
      <c r="C768" s="43" t="s">
        <v>1085</v>
      </c>
      <c r="D768" s="42">
        <v>0</v>
      </c>
      <c r="E768" s="42">
        <v>0</v>
      </c>
      <c r="F768" s="42">
        <v>1.9786065571382413E-3</v>
      </c>
      <c r="G768">
        <v>0.99802139344286178</v>
      </c>
    </row>
    <row r="769" spans="3:7" x14ac:dyDescent="0.15">
      <c r="C769" s="61" t="s">
        <v>1086</v>
      </c>
      <c r="D769" s="60">
        <v>0</v>
      </c>
      <c r="E769" s="60">
        <v>1</v>
      </c>
      <c r="F769" s="60">
        <v>0.83046336452998859</v>
      </c>
      <c r="G769" s="59">
        <v>0.16953663547001141</v>
      </c>
    </row>
    <row r="770" spans="3:7" x14ac:dyDescent="0.15">
      <c r="C770" s="43" t="s">
        <v>1087</v>
      </c>
      <c r="D770" s="42">
        <v>0</v>
      </c>
      <c r="E770" s="42">
        <v>0</v>
      </c>
      <c r="F770" s="42">
        <v>8.3189157405396535E-2</v>
      </c>
      <c r="G770">
        <v>0.91681084259460344</v>
      </c>
    </row>
    <row r="771" spans="3:7" x14ac:dyDescent="0.15">
      <c r="C771" s="43" t="s">
        <v>1088</v>
      </c>
      <c r="D771" s="42">
        <v>0</v>
      </c>
      <c r="E771" s="42">
        <v>0</v>
      </c>
      <c r="F771" s="42">
        <v>5.0786521578545163E-3</v>
      </c>
      <c r="G771">
        <v>0.99492134784214548</v>
      </c>
    </row>
    <row r="772" spans="3:7" x14ac:dyDescent="0.15">
      <c r="C772" s="61" t="s">
        <v>1089</v>
      </c>
      <c r="D772" s="60">
        <v>0</v>
      </c>
      <c r="E772" s="60">
        <v>1</v>
      </c>
      <c r="F772" s="60">
        <v>0.71800729101155358</v>
      </c>
      <c r="G772" s="59">
        <v>0.28199270898844642</v>
      </c>
    </row>
    <row r="773" spans="3:7" x14ac:dyDescent="0.15">
      <c r="C773" s="43" t="s">
        <v>1090</v>
      </c>
      <c r="D773" s="42">
        <v>1</v>
      </c>
      <c r="E773" s="42">
        <v>1</v>
      </c>
      <c r="F773" s="42">
        <v>0.67232318086674392</v>
      </c>
      <c r="G773">
        <v>0.32767681913325608</v>
      </c>
    </row>
    <row r="774" spans="3:7" x14ac:dyDescent="0.15">
      <c r="C774" s="61" t="s">
        <v>1091</v>
      </c>
      <c r="D774" s="60">
        <v>1</v>
      </c>
      <c r="E774" s="60">
        <v>0</v>
      </c>
      <c r="F774" s="60">
        <v>5.0499167742306152E-2</v>
      </c>
      <c r="G774" s="59">
        <v>0.94950083225769388</v>
      </c>
    </row>
    <row r="775" spans="3:7" x14ac:dyDescent="0.15">
      <c r="C775" s="43" t="s">
        <v>1092</v>
      </c>
      <c r="D775" s="42">
        <v>0</v>
      </c>
      <c r="E775" s="42">
        <v>0</v>
      </c>
      <c r="F775" s="42">
        <v>6.9754007291575847E-3</v>
      </c>
      <c r="G775">
        <v>0.99302459927084241</v>
      </c>
    </row>
    <row r="776" spans="3:7" x14ac:dyDescent="0.15">
      <c r="C776" s="43" t="s">
        <v>1093</v>
      </c>
      <c r="D776" s="42">
        <v>0</v>
      </c>
      <c r="E776" s="42">
        <v>0</v>
      </c>
      <c r="F776" s="42">
        <v>4.0277104249441327E-4</v>
      </c>
      <c r="G776">
        <v>0.99959722895750558</v>
      </c>
    </row>
    <row r="777" spans="3:7" x14ac:dyDescent="0.15">
      <c r="C777" s="43" t="s">
        <v>1094</v>
      </c>
      <c r="D777" s="42">
        <v>0</v>
      </c>
      <c r="E777" s="42">
        <v>0</v>
      </c>
      <c r="F777" s="42">
        <v>3.1343667535072173E-2</v>
      </c>
      <c r="G777">
        <v>0.96865633246492777</v>
      </c>
    </row>
    <row r="778" spans="3:7" x14ac:dyDescent="0.15">
      <c r="C778" s="43" t="s">
        <v>1095</v>
      </c>
      <c r="D778" s="42">
        <v>1</v>
      </c>
      <c r="E778" s="42">
        <v>1</v>
      </c>
      <c r="F778" s="42">
        <v>0.99698033419376975</v>
      </c>
      <c r="G778">
        <v>3.0196658062302539E-3</v>
      </c>
    </row>
    <row r="779" spans="3:7" x14ac:dyDescent="0.15">
      <c r="C779" s="43" t="s">
        <v>1096</v>
      </c>
      <c r="D779" s="42">
        <v>0</v>
      </c>
      <c r="E779" s="42">
        <v>0</v>
      </c>
      <c r="F779" s="42">
        <v>1.7334303012114776E-3</v>
      </c>
      <c r="G779">
        <v>0.99826656969878858</v>
      </c>
    </row>
    <row r="780" spans="3:7" x14ac:dyDescent="0.15">
      <c r="C780" s="43" t="s">
        <v>1097</v>
      </c>
      <c r="D780" s="42">
        <v>0</v>
      </c>
      <c r="E780" s="42">
        <v>0</v>
      </c>
      <c r="F780" s="42">
        <v>6.5929603505697591E-3</v>
      </c>
      <c r="G780">
        <v>0.99340703964943022</v>
      </c>
    </row>
    <row r="781" spans="3:7" x14ac:dyDescent="0.15">
      <c r="C781" s="43" t="s">
        <v>1098</v>
      </c>
      <c r="D781" s="42">
        <v>0</v>
      </c>
      <c r="E781" s="42">
        <v>0</v>
      </c>
      <c r="F781" s="42">
        <v>1.0162021678285969E-2</v>
      </c>
      <c r="G781">
        <v>0.98983797832171405</v>
      </c>
    </row>
    <row r="782" spans="3:7" x14ac:dyDescent="0.15">
      <c r="C782" s="43" t="s">
        <v>1099</v>
      </c>
      <c r="D782" s="42">
        <v>0</v>
      </c>
      <c r="E782" s="42">
        <v>0</v>
      </c>
      <c r="F782" s="42">
        <v>1.8685391242667993E-3</v>
      </c>
      <c r="G782">
        <v>0.99813146087573323</v>
      </c>
    </row>
    <row r="783" spans="3:7" x14ac:dyDescent="0.15">
      <c r="C783" s="43" t="s">
        <v>1100</v>
      </c>
      <c r="D783" s="42">
        <v>0</v>
      </c>
      <c r="E783" s="42">
        <v>0</v>
      </c>
      <c r="F783" s="42">
        <v>5.3260210534892931E-4</v>
      </c>
      <c r="G783">
        <v>0.99946739789465111</v>
      </c>
    </row>
    <row r="784" spans="3:7" x14ac:dyDescent="0.15">
      <c r="C784" s="43" t="s">
        <v>1101</v>
      </c>
      <c r="D784" s="42">
        <v>0</v>
      </c>
      <c r="E784" s="42">
        <v>0</v>
      </c>
      <c r="F784" s="42">
        <v>0.41469624172818453</v>
      </c>
      <c r="G784">
        <v>0.58530375827181547</v>
      </c>
    </row>
    <row r="785" spans="3:7" x14ac:dyDescent="0.15">
      <c r="C785" s="43" t="s">
        <v>1102</v>
      </c>
      <c r="D785" s="42">
        <v>0</v>
      </c>
      <c r="E785" s="42">
        <v>0</v>
      </c>
      <c r="F785" s="42">
        <v>5.4594206981407739E-3</v>
      </c>
      <c r="G785">
        <v>0.99454057930185924</v>
      </c>
    </row>
    <row r="786" spans="3:7" x14ac:dyDescent="0.15">
      <c r="C786" s="43" t="s">
        <v>1103</v>
      </c>
      <c r="D786" s="42">
        <v>0</v>
      </c>
      <c r="E786" s="42">
        <v>0</v>
      </c>
      <c r="F786" s="42">
        <v>7.7728533569594626E-3</v>
      </c>
      <c r="G786">
        <v>0.99222714664304057</v>
      </c>
    </row>
    <row r="787" spans="3:7" x14ac:dyDescent="0.15">
      <c r="C787" s="61" t="s">
        <v>1104</v>
      </c>
      <c r="D787" s="60">
        <v>0</v>
      </c>
      <c r="E787" s="60">
        <v>1</v>
      </c>
      <c r="F787" s="60">
        <v>0.94643752105726153</v>
      </c>
      <c r="G787" s="59">
        <v>5.3562478942738467E-2</v>
      </c>
    </row>
    <row r="788" spans="3:7" x14ac:dyDescent="0.15">
      <c r="C788" s="43" t="s">
        <v>1105</v>
      </c>
      <c r="D788" s="42">
        <v>0</v>
      </c>
      <c r="E788" s="42">
        <v>0</v>
      </c>
      <c r="F788" s="42">
        <v>5.8627355019870118E-3</v>
      </c>
      <c r="G788">
        <v>0.99413726449801298</v>
      </c>
    </row>
    <row r="789" spans="3:7" x14ac:dyDescent="0.15">
      <c r="C789" s="61" t="s">
        <v>1106</v>
      </c>
      <c r="D789" s="60">
        <v>0</v>
      </c>
      <c r="E789" s="60">
        <v>1</v>
      </c>
      <c r="F789" s="60">
        <v>0.88621655942183153</v>
      </c>
      <c r="G789" s="59">
        <v>0.11378344057816847</v>
      </c>
    </row>
    <row r="790" spans="3:7" x14ac:dyDescent="0.15">
      <c r="C790" s="43" t="s">
        <v>1107</v>
      </c>
      <c r="D790" s="42">
        <v>0</v>
      </c>
      <c r="E790" s="42">
        <v>0</v>
      </c>
      <c r="F790" s="42">
        <v>1.5791524163509731E-2</v>
      </c>
      <c r="G790">
        <v>0.98420847583649029</v>
      </c>
    </row>
    <row r="791" spans="3:7" x14ac:dyDescent="0.15">
      <c r="C791" s="43" t="s">
        <v>1108</v>
      </c>
      <c r="D791" s="42">
        <v>0</v>
      </c>
      <c r="E791" s="42">
        <v>0</v>
      </c>
      <c r="F791" s="42">
        <v>1.1024293828656353E-3</v>
      </c>
      <c r="G791">
        <v>0.99889757061713436</v>
      </c>
    </row>
    <row r="792" spans="3:7" x14ac:dyDescent="0.15">
      <c r="C792" s="43" t="s">
        <v>1109</v>
      </c>
      <c r="D792" s="42">
        <v>0</v>
      </c>
      <c r="E792" s="42">
        <v>0</v>
      </c>
      <c r="F792" s="42">
        <v>1.385015314419695E-3</v>
      </c>
      <c r="G792">
        <v>0.9986149846855803</v>
      </c>
    </row>
    <row r="793" spans="3:7" x14ac:dyDescent="0.15">
      <c r="C793" s="43" t="s">
        <v>1110</v>
      </c>
      <c r="D793" s="42">
        <v>0</v>
      </c>
      <c r="E793" s="42">
        <v>0</v>
      </c>
      <c r="F793" s="42">
        <v>3.4418844745915791E-2</v>
      </c>
      <c r="G793">
        <v>0.96558115525408417</v>
      </c>
    </row>
    <row r="794" spans="3:7" x14ac:dyDescent="0.15">
      <c r="C794" s="43" t="s">
        <v>1111</v>
      </c>
      <c r="D794" s="42">
        <v>0</v>
      </c>
      <c r="E794" s="42">
        <v>0</v>
      </c>
      <c r="F794" s="42">
        <v>0.23618594700193071</v>
      </c>
      <c r="G794">
        <v>0.76381405299806926</v>
      </c>
    </row>
    <row r="795" spans="3:7" x14ac:dyDescent="0.15">
      <c r="C795" s="61" t="s">
        <v>1112</v>
      </c>
      <c r="D795" s="60">
        <v>0</v>
      </c>
      <c r="E795" s="60">
        <v>1</v>
      </c>
      <c r="F795" s="60">
        <v>0.83057371369488386</v>
      </c>
      <c r="G795" s="59">
        <v>0.16942628630511614</v>
      </c>
    </row>
    <row r="796" spans="3:7" x14ac:dyDescent="0.15">
      <c r="C796" s="43" t="s">
        <v>1113</v>
      </c>
      <c r="D796" s="42">
        <v>0</v>
      </c>
      <c r="E796" s="42">
        <v>0</v>
      </c>
      <c r="F796" s="42">
        <v>0.24221515641992611</v>
      </c>
      <c r="G796">
        <v>0.75778484358007392</v>
      </c>
    </row>
    <row r="797" spans="3:7" x14ac:dyDescent="0.15">
      <c r="C797" s="43" t="s">
        <v>1114</v>
      </c>
      <c r="D797" s="42">
        <v>1</v>
      </c>
      <c r="E797" s="42">
        <v>1</v>
      </c>
      <c r="F797" s="42">
        <v>0.64306764990097831</v>
      </c>
      <c r="G797">
        <v>0.35693235009902169</v>
      </c>
    </row>
    <row r="798" spans="3:7" x14ac:dyDescent="0.15">
      <c r="C798" s="43" t="s">
        <v>1115</v>
      </c>
      <c r="D798" s="42">
        <v>0</v>
      </c>
      <c r="E798" s="42">
        <v>0</v>
      </c>
      <c r="F798" s="42">
        <v>0.17166885556745973</v>
      </c>
      <c r="G798">
        <v>0.8283311444325403</v>
      </c>
    </row>
    <row r="799" spans="3:7" x14ac:dyDescent="0.15">
      <c r="C799" s="43" t="s">
        <v>1116</v>
      </c>
      <c r="D799" s="42">
        <v>0</v>
      </c>
      <c r="E799" s="42">
        <v>0</v>
      </c>
      <c r="F799" s="42">
        <v>5.0690233177849708E-2</v>
      </c>
      <c r="G799">
        <v>0.94930976682215029</v>
      </c>
    </row>
    <row r="800" spans="3:7" x14ac:dyDescent="0.15">
      <c r="C800" s="43" t="s">
        <v>1117</v>
      </c>
      <c r="D800" s="42">
        <v>0</v>
      </c>
      <c r="E800" s="42">
        <v>0</v>
      </c>
      <c r="F800" s="42">
        <v>4.2864679768537126E-2</v>
      </c>
      <c r="G800">
        <v>0.95713532023146286</v>
      </c>
    </row>
    <row r="801" spans="3:7" x14ac:dyDescent="0.15">
      <c r="C801" s="43" t="s">
        <v>1118</v>
      </c>
      <c r="D801" s="42">
        <v>0</v>
      </c>
      <c r="E801" s="42">
        <v>0</v>
      </c>
      <c r="F801" s="42">
        <v>8.429944322562509E-2</v>
      </c>
      <c r="G801">
        <v>0.9157005567743749</v>
      </c>
    </row>
    <row r="802" spans="3:7" x14ac:dyDescent="0.15">
      <c r="C802" s="43" t="s">
        <v>1119</v>
      </c>
      <c r="D802" s="42">
        <v>0</v>
      </c>
      <c r="E802" s="42">
        <v>0</v>
      </c>
      <c r="F802" s="42">
        <v>5.7359389986540339E-4</v>
      </c>
      <c r="G802">
        <v>0.99942640610013456</v>
      </c>
    </row>
    <row r="803" spans="3:7" x14ac:dyDescent="0.15">
      <c r="C803" s="43" t="s">
        <v>1120</v>
      </c>
      <c r="D803" s="42">
        <v>0</v>
      </c>
      <c r="E803" s="42">
        <v>0</v>
      </c>
      <c r="F803" s="42">
        <v>0.26263659670794764</v>
      </c>
      <c r="G803">
        <v>0.73736340329205241</v>
      </c>
    </row>
    <row r="804" spans="3:7" x14ac:dyDescent="0.15">
      <c r="C804" s="43" t="s">
        <v>1121</v>
      </c>
      <c r="D804" s="42">
        <v>0</v>
      </c>
      <c r="E804" s="42">
        <v>0</v>
      </c>
      <c r="F804" s="42">
        <v>7.052557509220099E-2</v>
      </c>
      <c r="G804">
        <v>0.92947442490779897</v>
      </c>
    </row>
    <row r="805" spans="3:7" x14ac:dyDescent="0.15">
      <c r="C805" s="43" t="s">
        <v>1122</v>
      </c>
      <c r="D805" s="42">
        <v>0</v>
      </c>
      <c r="E805" s="42">
        <v>0</v>
      </c>
      <c r="F805" s="42">
        <v>0.3251242887108991</v>
      </c>
      <c r="G805">
        <v>0.67487571128910084</v>
      </c>
    </row>
    <row r="806" spans="3:7" x14ac:dyDescent="0.15">
      <c r="C806" s="43" t="s">
        <v>1123</v>
      </c>
      <c r="D806" s="42">
        <v>0</v>
      </c>
      <c r="E806" s="42">
        <v>0</v>
      </c>
      <c r="F806" s="42">
        <v>8.4525644363654077E-4</v>
      </c>
      <c r="G806">
        <v>0.99915474355636347</v>
      </c>
    </row>
    <row r="807" spans="3:7" x14ac:dyDescent="0.15">
      <c r="C807" s="43" t="s">
        <v>1124</v>
      </c>
      <c r="D807" s="42">
        <v>0</v>
      </c>
      <c r="E807" s="42">
        <v>0</v>
      </c>
      <c r="F807" s="42">
        <v>0.26547558085690676</v>
      </c>
      <c r="G807">
        <v>0.7345244191430933</v>
      </c>
    </row>
    <row r="808" spans="3:7" x14ac:dyDescent="0.15">
      <c r="C808" s="43" t="s">
        <v>1125</v>
      </c>
      <c r="D808" s="42">
        <v>0</v>
      </c>
      <c r="E808" s="42">
        <v>0</v>
      </c>
      <c r="F808" s="42">
        <v>3.4297417141583804E-2</v>
      </c>
      <c r="G808">
        <v>0.96570258285841615</v>
      </c>
    </row>
    <row r="809" spans="3:7" x14ac:dyDescent="0.15">
      <c r="C809" s="43" t="s">
        <v>1126</v>
      </c>
      <c r="D809" s="42">
        <v>0</v>
      </c>
      <c r="E809" s="42">
        <v>0</v>
      </c>
      <c r="F809" s="42">
        <v>5.844967872576546E-2</v>
      </c>
      <c r="G809">
        <v>0.94155032127423455</v>
      </c>
    </row>
    <row r="810" spans="3:7" x14ac:dyDescent="0.15">
      <c r="C810" s="43" t="s">
        <v>1127</v>
      </c>
      <c r="D810" s="42">
        <v>0</v>
      </c>
      <c r="E810" s="42">
        <v>0</v>
      </c>
      <c r="F810" s="42">
        <v>9.8195008177015264E-2</v>
      </c>
      <c r="G810">
        <v>0.90180499182298468</v>
      </c>
    </row>
    <row r="811" spans="3:7" x14ac:dyDescent="0.15">
      <c r="C811" s="43" t="s">
        <v>1128</v>
      </c>
      <c r="D811" s="42">
        <v>0</v>
      </c>
      <c r="E811" s="42">
        <v>0</v>
      </c>
      <c r="F811" s="42">
        <v>2.3822200588413431E-2</v>
      </c>
      <c r="G811">
        <v>0.97617779941158656</v>
      </c>
    </row>
    <row r="812" spans="3:7" x14ac:dyDescent="0.15">
      <c r="C812" s="43" t="s">
        <v>1129</v>
      </c>
      <c r="D812" s="42">
        <v>0</v>
      </c>
      <c r="E812" s="42">
        <v>0</v>
      </c>
      <c r="F812" s="42">
        <v>8.7505180373952125E-3</v>
      </c>
      <c r="G812">
        <v>0.99124948196260476</v>
      </c>
    </row>
    <row r="813" spans="3:7" x14ac:dyDescent="0.15">
      <c r="C813" s="43" t="s">
        <v>1130</v>
      </c>
      <c r="D813" s="42">
        <v>0</v>
      </c>
      <c r="E813" s="42">
        <v>0</v>
      </c>
      <c r="F813" s="42">
        <v>4.7574317830546596E-3</v>
      </c>
      <c r="G813">
        <v>0.99524256821694534</v>
      </c>
    </row>
    <row r="814" spans="3:7" x14ac:dyDescent="0.15">
      <c r="C814" s="61" t="s">
        <v>1131</v>
      </c>
      <c r="D814" s="60">
        <v>0</v>
      </c>
      <c r="E814" s="60">
        <v>1</v>
      </c>
      <c r="F814" s="60">
        <v>0.64886713401296447</v>
      </c>
      <c r="G814" s="59">
        <v>0.35113286598703553</v>
      </c>
    </row>
    <row r="815" spans="3:7" x14ac:dyDescent="0.15">
      <c r="C815" s="43" t="s">
        <v>1132</v>
      </c>
      <c r="D815" s="42">
        <v>0</v>
      </c>
      <c r="E815" s="42">
        <v>0</v>
      </c>
      <c r="F815" s="42">
        <v>3.5987558151573215E-2</v>
      </c>
      <c r="G815">
        <v>0.96401244184842683</v>
      </c>
    </row>
    <row r="816" spans="3:7" x14ac:dyDescent="0.15">
      <c r="C816" s="61" t="s">
        <v>1133</v>
      </c>
      <c r="D816" s="60">
        <v>0</v>
      </c>
      <c r="E816" s="60">
        <v>1</v>
      </c>
      <c r="F816" s="60">
        <v>0.76808185901611425</v>
      </c>
      <c r="G816" s="59">
        <v>0.23191814098388575</v>
      </c>
    </row>
    <row r="817" spans="3:7" x14ac:dyDescent="0.15">
      <c r="C817" s="43" t="s">
        <v>1134</v>
      </c>
      <c r="D817" s="42">
        <v>0</v>
      </c>
      <c r="E817" s="42">
        <v>0</v>
      </c>
      <c r="F817" s="42">
        <v>0.16257814507806415</v>
      </c>
      <c r="G817">
        <v>0.83742185492193588</v>
      </c>
    </row>
    <row r="818" spans="3:7" x14ac:dyDescent="0.15">
      <c r="C818" s="43" t="s">
        <v>1135</v>
      </c>
      <c r="D818" s="42">
        <v>0</v>
      </c>
      <c r="E818" s="42">
        <v>0</v>
      </c>
      <c r="F818" s="42">
        <v>0.21395355064672084</v>
      </c>
      <c r="G818">
        <v>0.78604644935327916</v>
      </c>
    </row>
    <row r="819" spans="3:7" x14ac:dyDescent="0.15">
      <c r="C819" s="43" t="s">
        <v>1136</v>
      </c>
      <c r="D819" s="42">
        <v>0</v>
      </c>
      <c r="E819" s="42">
        <v>0</v>
      </c>
      <c r="F819" s="42">
        <v>1.2448353500333199E-2</v>
      </c>
      <c r="G819">
        <v>0.98755164649966676</v>
      </c>
    </row>
    <row r="820" spans="3:7" x14ac:dyDescent="0.15">
      <c r="C820" s="43" t="s">
        <v>1137</v>
      </c>
      <c r="D820" s="42">
        <v>0</v>
      </c>
      <c r="E820" s="42">
        <v>0</v>
      </c>
      <c r="F820" s="42">
        <v>6.0152173639619944E-2</v>
      </c>
      <c r="G820">
        <v>0.93984782636038</v>
      </c>
    </row>
    <row r="821" spans="3:7" x14ac:dyDescent="0.15">
      <c r="C821" s="43" t="s">
        <v>1138</v>
      </c>
      <c r="D821" s="42">
        <v>0</v>
      </c>
      <c r="E821" s="42">
        <v>0</v>
      </c>
      <c r="F821" s="42">
        <v>0.44347281751320405</v>
      </c>
      <c r="G821">
        <v>0.55652718248679589</v>
      </c>
    </row>
    <row r="822" spans="3:7" x14ac:dyDescent="0.15">
      <c r="C822" s="43" t="s">
        <v>1139</v>
      </c>
      <c r="D822" s="42">
        <v>0</v>
      </c>
      <c r="E822" s="42">
        <v>0</v>
      </c>
      <c r="F822" s="42">
        <v>8.6593585711811322E-4</v>
      </c>
      <c r="G822">
        <v>0.99913406414288186</v>
      </c>
    </row>
    <row r="823" spans="3:7" x14ac:dyDescent="0.15">
      <c r="C823" s="43" t="s">
        <v>1140</v>
      </c>
      <c r="D823" s="42">
        <v>0</v>
      </c>
      <c r="E823" s="42">
        <v>0</v>
      </c>
      <c r="F823" s="42">
        <v>2.4118021426619618E-2</v>
      </c>
      <c r="G823">
        <v>0.97588197857338033</v>
      </c>
    </row>
    <row r="824" spans="3:7" x14ac:dyDescent="0.15">
      <c r="C824" s="43" t="s">
        <v>1141</v>
      </c>
      <c r="D824" s="42">
        <v>0</v>
      </c>
      <c r="E824" s="42">
        <v>0</v>
      </c>
      <c r="F824" s="42">
        <v>1.3523034764201854E-2</v>
      </c>
      <c r="G824">
        <v>0.9864769652357982</v>
      </c>
    </row>
    <row r="825" spans="3:7" x14ac:dyDescent="0.15">
      <c r="C825" s="43" t="s">
        <v>1142</v>
      </c>
      <c r="D825" s="42">
        <v>1</v>
      </c>
      <c r="E825" s="42">
        <v>1</v>
      </c>
      <c r="F825" s="42">
        <v>0.99788640469663914</v>
      </c>
      <c r="G825">
        <v>2.1135953033608601E-3</v>
      </c>
    </row>
    <row r="826" spans="3:7" x14ac:dyDescent="0.15">
      <c r="C826" s="43" t="s">
        <v>1143</v>
      </c>
      <c r="D826" s="42">
        <v>0</v>
      </c>
      <c r="E826" s="42">
        <v>0</v>
      </c>
      <c r="F826" s="42">
        <v>1.6700894112556059E-2</v>
      </c>
      <c r="G826">
        <v>0.98329910588744396</v>
      </c>
    </row>
    <row r="827" spans="3:7" x14ac:dyDescent="0.15">
      <c r="C827" s="43" t="s">
        <v>1144</v>
      </c>
      <c r="D827" s="42">
        <v>0</v>
      </c>
      <c r="E827" s="42">
        <v>0</v>
      </c>
      <c r="F827" s="42">
        <v>7.8145332146281592E-3</v>
      </c>
      <c r="G827">
        <v>0.99218546678537189</v>
      </c>
    </row>
    <row r="828" spans="3:7" x14ac:dyDescent="0.15">
      <c r="C828" s="43" t="s">
        <v>1145</v>
      </c>
      <c r="D828" s="42">
        <v>1</v>
      </c>
      <c r="E828" s="42">
        <v>1</v>
      </c>
      <c r="F828" s="42">
        <v>0.95705691205702725</v>
      </c>
      <c r="G828">
        <v>4.2943087942972746E-2</v>
      </c>
    </row>
    <row r="829" spans="3:7" x14ac:dyDescent="0.15">
      <c r="C829" s="43" t="s">
        <v>1146</v>
      </c>
      <c r="D829" s="42">
        <v>0</v>
      </c>
      <c r="E829" s="42">
        <v>0</v>
      </c>
      <c r="F829" s="42">
        <v>9.6352139982665494E-3</v>
      </c>
      <c r="G829">
        <v>0.9903647860017335</v>
      </c>
    </row>
    <row r="830" spans="3:7" x14ac:dyDescent="0.15">
      <c r="C830" s="43" t="s">
        <v>1147</v>
      </c>
      <c r="D830" s="42">
        <v>0</v>
      </c>
      <c r="E830" s="42">
        <v>0</v>
      </c>
      <c r="F830" s="42">
        <v>8.1687470798411169E-3</v>
      </c>
      <c r="G830">
        <v>0.99183125292015883</v>
      </c>
    </row>
    <row r="831" spans="3:7" x14ac:dyDescent="0.15">
      <c r="C831" s="43" t="s">
        <v>1148</v>
      </c>
      <c r="D831" s="42">
        <v>0</v>
      </c>
      <c r="E831" s="42">
        <v>0</v>
      </c>
      <c r="F831" s="42">
        <v>7.2604725655622026E-3</v>
      </c>
      <c r="G831">
        <v>0.99273952743443783</v>
      </c>
    </row>
    <row r="832" spans="3:7" x14ac:dyDescent="0.15">
      <c r="C832" s="43" t="s">
        <v>1149</v>
      </c>
      <c r="D832" s="42">
        <v>0</v>
      </c>
      <c r="E832" s="42">
        <v>0</v>
      </c>
      <c r="F832" s="42">
        <v>1.8412136533745946E-2</v>
      </c>
      <c r="G832">
        <v>0.98158786346625404</v>
      </c>
    </row>
    <row r="833" spans="3:7" x14ac:dyDescent="0.15">
      <c r="C833" s="43" t="s">
        <v>1150</v>
      </c>
      <c r="D833" s="42">
        <v>0</v>
      </c>
      <c r="E833" s="42">
        <v>0</v>
      </c>
      <c r="F833" s="42">
        <v>4.3239573009481906E-3</v>
      </c>
      <c r="G833">
        <v>0.99567604269905186</v>
      </c>
    </row>
    <row r="834" spans="3:7" x14ac:dyDescent="0.15">
      <c r="C834" s="43" t="s">
        <v>1151</v>
      </c>
      <c r="D834" s="42">
        <v>0</v>
      </c>
      <c r="E834" s="42">
        <v>0</v>
      </c>
      <c r="F834" s="42">
        <v>0.24952736101930217</v>
      </c>
      <c r="G834">
        <v>0.75047263898069783</v>
      </c>
    </row>
    <row r="835" spans="3:7" x14ac:dyDescent="0.15">
      <c r="C835" s="43" t="s">
        <v>1152</v>
      </c>
      <c r="D835" s="42">
        <v>0</v>
      </c>
      <c r="E835" s="42">
        <v>0</v>
      </c>
      <c r="F835" s="42">
        <v>1.7610912177237698E-3</v>
      </c>
      <c r="G835">
        <v>0.99823890878227628</v>
      </c>
    </row>
    <row r="836" spans="3:7" x14ac:dyDescent="0.15">
      <c r="C836" s="43" t="s">
        <v>1153</v>
      </c>
      <c r="D836" s="42">
        <v>0</v>
      </c>
      <c r="E836" s="42">
        <v>0</v>
      </c>
      <c r="F836" s="42">
        <v>9.9740999713079453E-2</v>
      </c>
      <c r="G836">
        <v>0.90025900028692052</v>
      </c>
    </row>
    <row r="837" spans="3:7" x14ac:dyDescent="0.15">
      <c r="C837" s="43" t="s">
        <v>1154</v>
      </c>
      <c r="D837" s="42">
        <v>0</v>
      </c>
      <c r="E837" s="42">
        <v>0</v>
      </c>
      <c r="F837" s="42">
        <v>1.9553088362415576E-2</v>
      </c>
      <c r="G837">
        <v>0.98044691163758446</v>
      </c>
    </row>
    <row r="838" spans="3:7" x14ac:dyDescent="0.15">
      <c r="C838" s="43" t="s">
        <v>1155</v>
      </c>
      <c r="D838" s="42">
        <v>0</v>
      </c>
      <c r="E838" s="42">
        <v>0</v>
      </c>
      <c r="F838" s="42">
        <v>0.43915886404088367</v>
      </c>
      <c r="G838">
        <v>0.56084113595911633</v>
      </c>
    </row>
    <row r="839" spans="3:7" x14ac:dyDescent="0.15">
      <c r="C839" s="43" t="s">
        <v>1156</v>
      </c>
      <c r="D839" s="42">
        <v>0</v>
      </c>
      <c r="E839" s="42">
        <v>0</v>
      </c>
      <c r="F839" s="42">
        <v>9.7551320377857478E-2</v>
      </c>
      <c r="G839">
        <v>0.90244867962214248</v>
      </c>
    </row>
    <row r="840" spans="3:7" x14ac:dyDescent="0.15">
      <c r="C840" s="43" t="s">
        <v>1157</v>
      </c>
      <c r="D840" s="42">
        <v>0</v>
      </c>
      <c r="E840" s="42">
        <v>0</v>
      </c>
      <c r="F840" s="42">
        <v>1.7299004191914377E-2</v>
      </c>
      <c r="G840">
        <v>0.98270099580808568</v>
      </c>
    </row>
    <row r="841" spans="3:7" x14ac:dyDescent="0.15">
      <c r="C841" s="43" t="s">
        <v>1158</v>
      </c>
      <c r="D841" s="42">
        <v>0</v>
      </c>
      <c r="E841" s="42">
        <v>0</v>
      </c>
      <c r="F841" s="42">
        <v>0.13624411778629134</v>
      </c>
      <c r="G841">
        <v>0.86375588221370869</v>
      </c>
    </row>
    <row r="842" spans="3:7" x14ac:dyDescent="0.15">
      <c r="C842" s="43" t="s">
        <v>1159</v>
      </c>
      <c r="D842" s="42">
        <v>0</v>
      </c>
      <c r="E842" s="42">
        <v>0</v>
      </c>
      <c r="F842" s="42">
        <v>4.0136166716717464E-2</v>
      </c>
      <c r="G842">
        <v>0.95986383328328251</v>
      </c>
    </row>
    <row r="843" spans="3:7" x14ac:dyDescent="0.15">
      <c r="C843" s="43" t="s">
        <v>1160</v>
      </c>
      <c r="D843" s="42">
        <v>0</v>
      </c>
      <c r="E843" s="42">
        <v>0</v>
      </c>
      <c r="F843" s="42">
        <v>0.2433916520065639</v>
      </c>
      <c r="G843">
        <v>0.75660834799343613</v>
      </c>
    </row>
    <row r="844" spans="3:7" x14ac:dyDescent="0.15">
      <c r="C844" s="43" t="s">
        <v>1161</v>
      </c>
      <c r="D844" s="42">
        <v>0</v>
      </c>
      <c r="E844" s="42">
        <v>0</v>
      </c>
      <c r="F844" s="42">
        <v>7.3400191151386952E-3</v>
      </c>
      <c r="G844">
        <v>0.99265998088486129</v>
      </c>
    </row>
    <row r="845" spans="3:7" x14ac:dyDescent="0.15">
      <c r="C845" s="43" t="s">
        <v>1162</v>
      </c>
      <c r="D845" s="42">
        <v>0</v>
      </c>
      <c r="E845" s="42">
        <v>0</v>
      </c>
      <c r="F845" s="42">
        <v>3.1415444539255016E-2</v>
      </c>
      <c r="G845">
        <v>0.96858455546074496</v>
      </c>
    </row>
    <row r="846" spans="3:7" x14ac:dyDescent="0.15">
      <c r="C846" s="43" t="s">
        <v>1163</v>
      </c>
      <c r="D846" s="42">
        <v>0</v>
      </c>
      <c r="E846" s="42">
        <v>0</v>
      </c>
      <c r="F846" s="42">
        <v>2.4444474651478215E-3</v>
      </c>
      <c r="G846">
        <v>0.99755555253485217</v>
      </c>
    </row>
    <row r="847" spans="3:7" x14ac:dyDescent="0.15">
      <c r="C847" s="43" t="s">
        <v>1164</v>
      </c>
      <c r="D847" s="42">
        <v>0</v>
      </c>
      <c r="E847" s="42">
        <v>0</v>
      </c>
      <c r="F847" s="42">
        <v>2.5606684576897971E-2</v>
      </c>
      <c r="G847">
        <v>0.97439331542310204</v>
      </c>
    </row>
    <row r="848" spans="3:7" x14ac:dyDescent="0.15">
      <c r="C848" s="43" t="s">
        <v>1165</v>
      </c>
      <c r="D848" s="42">
        <v>0</v>
      </c>
      <c r="E848" s="42">
        <v>0</v>
      </c>
      <c r="F848" s="42">
        <v>3.1579516933631022E-2</v>
      </c>
      <c r="G848">
        <v>0.96842048306636896</v>
      </c>
    </row>
    <row r="849" spans="3:7" x14ac:dyDescent="0.15">
      <c r="C849" s="43" t="s">
        <v>1166</v>
      </c>
      <c r="D849" s="42">
        <v>0</v>
      </c>
      <c r="E849" s="42">
        <v>0</v>
      </c>
      <c r="F849" s="42">
        <v>9.4950363140786625E-3</v>
      </c>
      <c r="G849">
        <v>0.99050496368592134</v>
      </c>
    </row>
    <row r="850" spans="3:7" x14ac:dyDescent="0.15">
      <c r="C850" s="43" t="s">
        <v>1167</v>
      </c>
      <c r="D850" s="42">
        <v>0</v>
      </c>
      <c r="E850" s="42">
        <v>0</v>
      </c>
      <c r="F850" s="42">
        <v>2.0163550943290399E-3</v>
      </c>
      <c r="G850">
        <v>0.99798364490567093</v>
      </c>
    </row>
    <row r="851" spans="3:7" x14ac:dyDescent="0.15">
      <c r="C851" s="43" t="s">
        <v>1168</v>
      </c>
      <c r="D851" s="42">
        <v>0</v>
      </c>
      <c r="E851" s="42">
        <v>0</v>
      </c>
      <c r="F851" s="42">
        <v>1.2606147438144848E-3</v>
      </c>
      <c r="G851">
        <v>0.99873938525618555</v>
      </c>
    </row>
    <row r="852" spans="3:7" x14ac:dyDescent="0.15">
      <c r="C852" s="43" t="s">
        <v>1169</v>
      </c>
      <c r="D852" s="42">
        <v>0</v>
      </c>
      <c r="E852" s="42">
        <v>0</v>
      </c>
      <c r="F852" s="42">
        <v>9.0258345571629775E-2</v>
      </c>
      <c r="G852">
        <v>0.90974165442837018</v>
      </c>
    </row>
    <row r="853" spans="3:7" x14ac:dyDescent="0.15">
      <c r="C853" s="43" t="s">
        <v>1170</v>
      </c>
      <c r="D853" s="42">
        <v>0</v>
      </c>
      <c r="E853" s="42">
        <v>0</v>
      </c>
      <c r="F853" s="42">
        <v>3.0687430440994026E-3</v>
      </c>
      <c r="G853">
        <v>0.99693125695590057</v>
      </c>
    </row>
    <row r="854" spans="3:7" x14ac:dyDescent="0.15">
      <c r="C854" s="43" t="s">
        <v>1171</v>
      </c>
      <c r="D854" s="42">
        <v>0</v>
      </c>
      <c r="E854" s="42">
        <v>0</v>
      </c>
      <c r="F854" s="42">
        <v>7.6445682372658797E-4</v>
      </c>
      <c r="G854">
        <v>0.99923554317627339</v>
      </c>
    </row>
    <row r="855" spans="3:7" x14ac:dyDescent="0.15">
      <c r="C855" s="43" t="s">
        <v>1172</v>
      </c>
      <c r="D855" s="42">
        <v>1</v>
      </c>
      <c r="E855" s="42">
        <v>1</v>
      </c>
      <c r="F855" s="42">
        <v>0.99546670444620289</v>
      </c>
      <c r="G855">
        <v>4.533295553797112E-3</v>
      </c>
    </row>
    <row r="856" spans="3:7" x14ac:dyDescent="0.15">
      <c r="C856" s="43" t="s">
        <v>1173</v>
      </c>
      <c r="D856" s="42">
        <v>1</v>
      </c>
      <c r="E856" s="42">
        <v>1</v>
      </c>
      <c r="F856" s="42">
        <v>0.99724751253116972</v>
      </c>
      <c r="G856">
        <v>2.7524874688302781E-3</v>
      </c>
    </row>
    <row r="857" spans="3:7" x14ac:dyDescent="0.15">
      <c r="C857" s="43" t="s">
        <v>1174</v>
      </c>
      <c r="D857" s="42">
        <v>0</v>
      </c>
      <c r="E857" s="42">
        <v>0</v>
      </c>
      <c r="F857" s="42">
        <v>0.16918315370374679</v>
      </c>
      <c r="G857">
        <v>0.83081684629625319</v>
      </c>
    </row>
    <row r="858" spans="3:7" x14ac:dyDescent="0.15">
      <c r="C858" s="43" t="s">
        <v>1175</v>
      </c>
      <c r="D858" s="42">
        <v>0</v>
      </c>
      <c r="E858" s="42">
        <v>0</v>
      </c>
      <c r="F858" s="42">
        <v>2.6764215441451461E-4</v>
      </c>
      <c r="G858">
        <v>0.99973235784558545</v>
      </c>
    </row>
    <row r="859" spans="3:7" x14ac:dyDescent="0.15">
      <c r="C859" s="43" t="s">
        <v>1176</v>
      </c>
      <c r="D859" s="42">
        <v>0</v>
      </c>
      <c r="E859" s="42">
        <v>0</v>
      </c>
      <c r="F859" s="42">
        <v>8.4738949256132337E-4</v>
      </c>
      <c r="G859">
        <v>0.99915261050743864</v>
      </c>
    </row>
    <row r="860" spans="3:7" x14ac:dyDescent="0.15">
      <c r="C860" s="43" t="s">
        <v>1177</v>
      </c>
      <c r="D860" s="42">
        <v>1</v>
      </c>
      <c r="E860" s="42">
        <v>1</v>
      </c>
      <c r="F860" s="42">
        <v>0.98801563009238236</v>
      </c>
      <c r="G860">
        <v>1.1984369907617642E-2</v>
      </c>
    </row>
    <row r="861" spans="3:7" x14ac:dyDescent="0.15">
      <c r="C861" s="43" t="s">
        <v>1178</v>
      </c>
      <c r="D861" s="42">
        <v>0</v>
      </c>
      <c r="E861" s="42">
        <v>0</v>
      </c>
      <c r="F861" s="42">
        <v>4.5071888765018553E-2</v>
      </c>
      <c r="G861">
        <v>0.95492811123498145</v>
      </c>
    </row>
    <row r="862" spans="3:7" x14ac:dyDescent="0.15">
      <c r="C862" s="43" t="s">
        <v>1179</v>
      </c>
      <c r="D862" s="42">
        <v>0</v>
      </c>
      <c r="E862" s="42">
        <v>0</v>
      </c>
      <c r="F862" s="42">
        <v>2.0951470307023115E-2</v>
      </c>
      <c r="G862">
        <v>0.97904852969297684</v>
      </c>
    </row>
    <row r="863" spans="3:7" x14ac:dyDescent="0.15">
      <c r="C863" s="43" t="s">
        <v>1180</v>
      </c>
      <c r="D863" s="42">
        <v>0</v>
      </c>
      <c r="E863" s="42">
        <v>0</v>
      </c>
      <c r="F863" s="42">
        <v>2.4521981535310607E-3</v>
      </c>
      <c r="G863">
        <v>0.99754780184646896</v>
      </c>
    </row>
    <row r="864" spans="3:7" x14ac:dyDescent="0.15">
      <c r="C864" s="43" t="s">
        <v>1181</v>
      </c>
      <c r="D864" s="42">
        <v>0</v>
      </c>
      <c r="E864" s="42">
        <v>0</v>
      </c>
      <c r="F864" s="42">
        <v>3.0280741931006907E-2</v>
      </c>
      <c r="G864">
        <v>0.96971925806899306</v>
      </c>
    </row>
    <row r="865" spans="3:7" x14ac:dyDescent="0.15">
      <c r="C865" s="43" t="s">
        <v>1182</v>
      </c>
      <c r="D865" s="42">
        <v>0</v>
      </c>
      <c r="E865" s="42">
        <v>0</v>
      </c>
      <c r="F865" s="42">
        <v>2.9207288274050902E-3</v>
      </c>
      <c r="G865">
        <v>0.99707927117259487</v>
      </c>
    </row>
    <row r="866" spans="3:7" x14ac:dyDescent="0.15">
      <c r="C866" s="61" t="s">
        <v>1183</v>
      </c>
      <c r="D866" s="60">
        <v>0</v>
      </c>
      <c r="E866" s="60">
        <v>1</v>
      </c>
      <c r="F866" s="60">
        <v>0.66586159446063697</v>
      </c>
      <c r="G866" s="59">
        <v>0.33413840553936303</v>
      </c>
    </row>
    <row r="867" spans="3:7" x14ac:dyDescent="0.15">
      <c r="C867" s="43" t="s">
        <v>1184</v>
      </c>
      <c r="D867" s="42">
        <v>0</v>
      </c>
      <c r="E867" s="42">
        <v>0</v>
      </c>
      <c r="F867" s="42">
        <v>6.5349076960583702E-2</v>
      </c>
      <c r="G867">
        <v>0.93465092303941633</v>
      </c>
    </row>
    <row r="868" spans="3:7" x14ac:dyDescent="0.15">
      <c r="C868" s="43" t="s">
        <v>1185</v>
      </c>
      <c r="D868" s="42">
        <v>1</v>
      </c>
      <c r="E868" s="42">
        <v>1</v>
      </c>
      <c r="F868" s="42">
        <v>0.82882247359940542</v>
      </c>
      <c r="G868">
        <v>0.17117752640059458</v>
      </c>
    </row>
    <row r="869" spans="3:7" x14ac:dyDescent="0.15">
      <c r="C869" s="43" t="s">
        <v>1186</v>
      </c>
      <c r="D869" s="42">
        <v>0</v>
      </c>
      <c r="E869" s="42">
        <v>0</v>
      </c>
      <c r="F869" s="42">
        <v>0.28315381231284104</v>
      </c>
      <c r="G869">
        <v>0.71684618768715902</v>
      </c>
    </row>
    <row r="870" spans="3:7" x14ac:dyDescent="0.15">
      <c r="C870" s="43" t="s">
        <v>1187</v>
      </c>
      <c r="D870" s="42">
        <v>0</v>
      </c>
      <c r="E870" s="42">
        <v>0</v>
      </c>
      <c r="F870" s="42">
        <v>2.6835091490715847E-3</v>
      </c>
      <c r="G870">
        <v>0.99731649085092844</v>
      </c>
    </row>
    <row r="871" spans="3:7" x14ac:dyDescent="0.15">
      <c r="C871" s="43" t="s">
        <v>1188</v>
      </c>
      <c r="D871" s="42">
        <v>0</v>
      </c>
      <c r="E871" s="42">
        <v>0</v>
      </c>
      <c r="F871" s="42">
        <v>0.16431671302433562</v>
      </c>
      <c r="G871">
        <v>0.83568328697566441</v>
      </c>
    </row>
    <row r="872" spans="3:7" x14ac:dyDescent="0.15">
      <c r="C872" s="43" t="s">
        <v>1189</v>
      </c>
      <c r="D872" s="42">
        <v>0</v>
      </c>
      <c r="E872" s="42">
        <v>0</v>
      </c>
      <c r="F872" s="42">
        <v>8.5089293296784135E-2</v>
      </c>
      <c r="G872">
        <v>0.91491070670321584</v>
      </c>
    </row>
    <row r="873" spans="3:7" x14ac:dyDescent="0.15">
      <c r="C873" s="43" t="s">
        <v>1190</v>
      </c>
      <c r="D873" s="42">
        <v>0</v>
      </c>
      <c r="E873" s="42">
        <v>0</v>
      </c>
      <c r="F873" s="42">
        <v>3.1771621192624437E-2</v>
      </c>
      <c r="G873">
        <v>0.96822837880737556</v>
      </c>
    </row>
    <row r="874" spans="3:7" x14ac:dyDescent="0.15">
      <c r="C874" s="43" t="s">
        <v>1191</v>
      </c>
      <c r="D874" s="42">
        <v>0</v>
      </c>
      <c r="E874" s="42">
        <v>0</v>
      </c>
      <c r="F874" s="42">
        <v>0.2379599172423508</v>
      </c>
      <c r="G874">
        <v>0.76204008275764923</v>
      </c>
    </row>
    <row r="875" spans="3:7" x14ac:dyDescent="0.15">
      <c r="C875" s="43" t="s">
        <v>1192</v>
      </c>
      <c r="D875" s="42">
        <v>1</v>
      </c>
      <c r="E875" s="42">
        <v>1</v>
      </c>
      <c r="F875" s="42">
        <v>0.62767203072470723</v>
      </c>
      <c r="G875">
        <v>0.37232796927529277</v>
      </c>
    </row>
    <row r="876" spans="3:7" x14ac:dyDescent="0.15">
      <c r="C876" s="61" t="s">
        <v>1193</v>
      </c>
      <c r="D876" s="60">
        <v>0</v>
      </c>
      <c r="E876" s="60">
        <v>1</v>
      </c>
      <c r="F876" s="60">
        <v>0.86046142354646893</v>
      </c>
      <c r="G876" s="59">
        <v>0.13953857645353107</v>
      </c>
    </row>
    <row r="877" spans="3:7" x14ac:dyDescent="0.15">
      <c r="C877" s="43" t="s">
        <v>1194</v>
      </c>
      <c r="D877" s="42">
        <v>0</v>
      </c>
      <c r="E877" s="42">
        <v>0</v>
      </c>
      <c r="F877" s="42">
        <v>3.2529328434794141E-2</v>
      </c>
      <c r="G877">
        <v>0.96747067156520583</v>
      </c>
    </row>
    <row r="878" spans="3:7" x14ac:dyDescent="0.15">
      <c r="C878" s="43" t="s">
        <v>1195</v>
      </c>
      <c r="D878" s="42">
        <v>0</v>
      </c>
      <c r="E878" s="42">
        <v>0</v>
      </c>
      <c r="F878" s="42">
        <v>9.6927565889655593E-2</v>
      </c>
      <c r="G878">
        <v>0.90307243411034444</v>
      </c>
    </row>
    <row r="879" spans="3:7" x14ac:dyDescent="0.15">
      <c r="C879" s="43" t="s">
        <v>1196</v>
      </c>
      <c r="D879" s="42">
        <v>0</v>
      </c>
      <c r="E879" s="42">
        <v>0</v>
      </c>
      <c r="F879" s="42">
        <v>0.3139092075297174</v>
      </c>
      <c r="G879">
        <v>0.6860907924702826</v>
      </c>
    </row>
    <row r="880" spans="3:7" x14ac:dyDescent="0.15">
      <c r="C880" s="43" t="s">
        <v>1197</v>
      </c>
      <c r="D880" s="42">
        <v>0</v>
      </c>
      <c r="E880" s="42">
        <v>0</v>
      </c>
      <c r="F880" s="42">
        <v>8.2748777666105048E-4</v>
      </c>
      <c r="G880">
        <v>0.99917251222333892</v>
      </c>
    </row>
    <row r="881" spans="3:7" x14ac:dyDescent="0.15">
      <c r="C881" s="43" t="s">
        <v>1198</v>
      </c>
      <c r="D881" s="42">
        <v>0</v>
      </c>
      <c r="E881" s="42">
        <v>0</v>
      </c>
      <c r="F881" s="42">
        <v>4.7119705588703133E-2</v>
      </c>
      <c r="G881">
        <v>0.95288029441129685</v>
      </c>
    </row>
    <row r="882" spans="3:7" x14ac:dyDescent="0.15">
      <c r="C882" s="43" t="s">
        <v>1199</v>
      </c>
      <c r="D882" s="42">
        <v>0</v>
      </c>
      <c r="E882" s="42">
        <v>0</v>
      </c>
      <c r="F882" s="42">
        <v>8.1266135792280533E-4</v>
      </c>
      <c r="G882">
        <v>0.99918733864207721</v>
      </c>
    </row>
    <row r="883" spans="3:7" x14ac:dyDescent="0.15">
      <c r="C883" s="43" t="s">
        <v>1200</v>
      </c>
      <c r="D883" s="42">
        <v>0</v>
      </c>
      <c r="E883" s="42">
        <v>0</v>
      </c>
      <c r="F883" s="42">
        <v>3.7993476182925623E-3</v>
      </c>
      <c r="G883">
        <v>0.99620065238170741</v>
      </c>
    </row>
    <row r="884" spans="3:7" x14ac:dyDescent="0.15">
      <c r="C884" s="43" t="s">
        <v>1201</v>
      </c>
      <c r="D884" s="42">
        <v>0</v>
      </c>
      <c r="E884" s="42">
        <v>0</v>
      </c>
      <c r="F884" s="42">
        <v>0.30070967352176431</v>
      </c>
      <c r="G884">
        <v>0.69929032647823575</v>
      </c>
    </row>
    <row r="885" spans="3:7" x14ac:dyDescent="0.15">
      <c r="C885" s="43" t="s">
        <v>1202</v>
      </c>
      <c r="D885" s="42">
        <v>0</v>
      </c>
      <c r="E885" s="42">
        <v>0</v>
      </c>
      <c r="F885" s="42">
        <v>2.7126003364593199E-2</v>
      </c>
      <c r="G885">
        <v>0.97287399663540675</v>
      </c>
    </row>
    <row r="886" spans="3:7" x14ac:dyDescent="0.15">
      <c r="C886" s="43" t="s">
        <v>1203</v>
      </c>
      <c r="D886" s="42">
        <v>0</v>
      </c>
      <c r="E886" s="42">
        <v>0</v>
      </c>
      <c r="F886" s="42">
        <v>6.1106839752154266E-2</v>
      </c>
      <c r="G886">
        <v>0.93889316024784575</v>
      </c>
    </row>
    <row r="887" spans="3:7" x14ac:dyDescent="0.15">
      <c r="C887" s="43" t="s">
        <v>1204</v>
      </c>
      <c r="D887" s="42">
        <v>0</v>
      </c>
      <c r="E887" s="42">
        <v>0</v>
      </c>
      <c r="F887" s="42">
        <v>0.33914120526232483</v>
      </c>
      <c r="G887">
        <v>0.66085879473767517</v>
      </c>
    </row>
    <row r="888" spans="3:7" x14ac:dyDescent="0.15">
      <c r="C888" s="61" t="s">
        <v>1205</v>
      </c>
      <c r="D888" s="60">
        <v>0</v>
      </c>
      <c r="E888" s="60">
        <v>1</v>
      </c>
      <c r="F888" s="60">
        <v>0.77910029376586931</v>
      </c>
      <c r="G888" s="59">
        <v>0.22089970623413069</v>
      </c>
    </row>
    <row r="889" spans="3:7" x14ac:dyDescent="0.15">
      <c r="C889" s="61" t="s">
        <v>1206</v>
      </c>
      <c r="D889" s="60">
        <v>1</v>
      </c>
      <c r="E889" s="60">
        <v>0</v>
      </c>
      <c r="F889" s="60">
        <v>0.25439799015668768</v>
      </c>
      <c r="G889" s="59">
        <v>0.74560200984331226</v>
      </c>
    </row>
    <row r="890" spans="3:7" x14ac:dyDescent="0.15">
      <c r="C890" s="43" t="s">
        <v>1207</v>
      </c>
      <c r="D890" s="42">
        <v>0</v>
      </c>
      <c r="E890" s="42">
        <v>0</v>
      </c>
      <c r="F890" s="42">
        <v>1.4735614717320334E-3</v>
      </c>
      <c r="G890">
        <v>0.99852643852826795</v>
      </c>
    </row>
    <row r="891" spans="3:7" x14ac:dyDescent="0.15">
      <c r="C891" s="43" t="s">
        <v>1208</v>
      </c>
      <c r="D891" s="42">
        <v>0</v>
      </c>
      <c r="E891" s="42">
        <v>0</v>
      </c>
      <c r="F891" s="42">
        <v>0.20056395585396755</v>
      </c>
      <c r="G891">
        <v>0.79943604414603242</v>
      </c>
    </row>
    <row r="892" spans="3:7" x14ac:dyDescent="0.15">
      <c r="C892" s="43" t="s">
        <v>1209</v>
      </c>
      <c r="D892" s="42">
        <v>0</v>
      </c>
      <c r="E892" s="42">
        <v>0</v>
      </c>
      <c r="F892" s="42">
        <v>0.30289975107650369</v>
      </c>
      <c r="G892">
        <v>0.69710024892349631</v>
      </c>
    </row>
    <row r="893" spans="3:7" x14ac:dyDescent="0.15">
      <c r="C893" s="43" t="s">
        <v>1210</v>
      </c>
      <c r="D893" s="42">
        <v>0</v>
      </c>
      <c r="E893" s="42">
        <v>0</v>
      </c>
      <c r="F893" s="42">
        <v>5.9365881206952582E-2</v>
      </c>
      <c r="G893">
        <v>0.94063411879304737</v>
      </c>
    </row>
    <row r="894" spans="3:7" x14ac:dyDescent="0.15">
      <c r="C894" s="43" t="s">
        <v>1211</v>
      </c>
      <c r="D894" s="42">
        <v>0</v>
      </c>
      <c r="E894" s="42">
        <v>0</v>
      </c>
      <c r="F894" s="42">
        <v>5.5291893196145948E-2</v>
      </c>
      <c r="G894">
        <v>0.94470810680385409</v>
      </c>
    </row>
    <row r="895" spans="3:7" x14ac:dyDescent="0.15">
      <c r="C895" s="43" t="s">
        <v>1212</v>
      </c>
      <c r="D895" s="42">
        <v>0</v>
      </c>
      <c r="E895" s="42">
        <v>0</v>
      </c>
      <c r="F895" s="42">
        <v>0.28720061599062974</v>
      </c>
      <c r="G895">
        <v>0.71279938400937026</v>
      </c>
    </row>
    <row r="896" spans="3:7" x14ac:dyDescent="0.15">
      <c r="C896" s="61" t="s">
        <v>1213</v>
      </c>
      <c r="D896" s="60">
        <v>0</v>
      </c>
      <c r="E896" s="60">
        <v>1</v>
      </c>
      <c r="F896" s="60">
        <v>0.85887282508128926</v>
      </c>
      <c r="G896" s="59">
        <v>0.14112717491871074</v>
      </c>
    </row>
    <row r="897" spans="3:7" x14ac:dyDescent="0.15">
      <c r="C897" s="43" t="s">
        <v>1214</v>
      </c>
      <c r="D897" s="42">
        <v>0</v>
      </c>
      <c r="E897" s="42">
        <v>0</v>
      </c>
      <c r="F897" s="42">
        <v>0.12709840199790998</v>
      </c>
      <c r="G897">
        <v>0.87290159800209</v>
      </c>
    </row>
    <row r="898" spans="3:7" x14ac:dyDescent="0.15">
      <c r="C898" s="43" t="s">
        <v>1215</v>
      </c>
      <c r="D898" s="42">
        <v>0</v>
      </c>
      <c r="E898" s="42">
        <v>0</v>
      </c>
      <c r="F898" s="42">
        <v>6.3248145923228943E-2</v>
      </c>
      <c r="G898">
        <v>0.93675185407677108</v>
      </c>
    </row>
    <row r="899" spans="3:7" x14ac:dyDescent="0.15">
      <c r="C899" s="43" t="s">
        <v>1216</v>
      </c>
      <c r="D899" s="42">
        <v>0</v>
      </c>
      <c r="E899" s="42">
        <v>0</v>
      </c>
      <c r="F899" s="42">
        <v>0.26702024948842251</v>
      </c>
      <c r="G899">
        <v>0.73297975051157749</v>
      </c>
    </row>
    <row r="900" spans="3:7" x14ac:dyDescent="0.15">
      <c r="C900" s="43" t="s">
        <v>1217</v>
      </c>
      <c r="D900" s="42">
        <v>0</v>
      </c>
      <c r="E900" s="42">
        <v>0</v>
      </c>
      <c r="F900" s="42">
        <v>3.506857459061103E-2</v>
      </c>
      <c r="G900">
        <v>0.96493142540938892</v>
      </c>
    </row>
    <row r="901" spans="3:7" x14ac:dyDescent="0.15">
      <c r="C901" s="43" t="s">
        <v>1218</v>
      </c>
      <c r="D901" s="42">
        <v>0</v>
      </c>
      <c r="E901" s="42">
        <v>0</v>
      </c>
      <c r="F901" s="42">
        <v>1.4734246916106909E-3</v>
      </c>
      <c r="G901">
        <v>0.99852657530838929</v>
      </c>
    </row>
    <row r="902" spans="3:7" x14ac:dyDescent="0.15">
      <c r="C902" s="43" t="s">
        <v>1219</v>
      </c>
      <c r="D902" s="42">
        <v>0</v>
      </c>
      <c r="E902" s="42">
        <v>0</v>
      </c>
      <c r="F902" s="42">
        <v>7.2809053735785709E-2</v>
      </c>
      <c r="G902">
        <v>0.92719094626421428</v>
      </c>
    </row>
    <row r="903" spans="3:7" x14ac:dyDescent="0.15">
      <c r="C903" s="43" t="s">
        <v>1220</v>
      </c>
      <c r="D903" s="42">
        <v>0</v>
      </c>
      <c r="E903" s="42">
        <v>0</v>
      </c>
      <c r="F903" s="42">
        <v>3.3567863409774122E-3</v>
      </c>
      <c r="G903">
        <v>0.99664321365902264</v>
      </c>
    </row>
    <row r="904" spans="3:7" x14ac:dyDescent="0.15">
      <c r="C904" s="43" t="s">
        <v>1221</v>
      </c>
      <c r="D904" s="42">
        <v>0</v>
      </c>
      <c r="E904" s="42">
        <v>0</v>
      </c>
      <c r="F904" s="42">
        <v>1.8814074520666481E-3</v>
      </c>
      <c r="G904">
        <v>0.99811859254793334</v>
      </c>
    </row>
    <row r="905" spans="3:7" x14ac:dyDescent="0.15">
      <c r="C905" s="43" t="s">
        <v>1222</v>
      </c>
      <c r="D905" s="42">
        <v>0</v>
      </c>
      <c r="E905" s="42">
        <v>0</v>
      </c>
      <c r="F905" s="42">
        <v>8.3308791721338676E-2</v>
      </c>
      <c r="G905">
        <v>0.91669120827866135</v>
      </c>
    </row>
    <row r="906" spans="3:7" x14ac:dyDescent="0.15">
      <c r="C906" s="61" t="s">
        <v>1223</v>
      </c>
      <c r="D906" s="60">
        <v>0</v>
      </c>
      <c r="E906" s="60">
        <v>1</v>
      </c>
      <c r="F906" s="60">
        <v>0.61557816064597348</v>
      </c>
      <c r="G906" s="59">
        <v>0.38442183935402652</v>
      </c>
    </row>
    <row r="907" spans="3:7" x14ac:dyDescent="0.15">
      <c r="C907" s="43" t="s">
        <v>1224</v>
      </c>
      <c r="D907" s="42">
        <v>0</v>
      </c>
      <c r="E907" s="42">
        <v>0</v>
      </c>
      <c r="F907" s="42">
        <v>1.5813854987460414E-2</v>
      </c>
      <c r="G907">
        <v>0.98418614501253954</v>
      </c>
    </row>
    <row r="908" spans="3:7" x14ac:dyDescent="0.15">
      <c r="C908" s="61" t="s">
        <v>1225</v>
      </c>
      <c r="D908" s="60">
        <v>1</v>
      </c>
      <c r="E908" s="60">
        <v>0</v>
      </c>
      <c r="F908" s="60">
        <v>0.36280664684688191</v>
      </c>
      <c r="G908" s="59">
        <v>0.63719335315311809</v>
      </c>
    </row>
    <row r="909" spans="3:7" x14ac:dyDescent="0.15">
      <c r="C909" s="43" t="s">
        <v>1226</v>
      </c>
      <c r="D909" s="42">
        <v>0</v>
      </c>
      <c r="E909" s="42">
        <v>0</v>
      </c>
      <c r="F909" s="42">
        <v>7.9324151322957573E-2</v>
      </c>
      <c r="G909">
        <v>0.92067584867704244</v>
      </c>
    </row>
    <row r="910" spans="3:7" x14ac:dyDescent="0.15">
      <c r="C910" s="43" t="s">
        <v>1227</v>
      </c>
      <c r="D910" s="42">
        <v>0</v>
      </c>
      <c r="E910" s="42">
        <v>0</v>
      </c>
      <c r="F910" s="42">
        <v>0.10152761332836922</v>
      </c>
      <c r="G910">
        <v>0.89847238667163076</v>
      </c>
    </row>
    <row r="911" spans="3:7" x14ac:dyDescent="0.15">
      <c r="C911" s="43" t="s">
        <v>1228</v>
      </c>
      <c r="D911" s="42">
        <v>0</v>
      </c>
      <c r="E911" s="42">
        <v>0</v>
      </c>
      <c r="F911" s="42">
        <v>6.9032208307548401E-2</v>
      </c>
      <c r="G911">
        <v>0.93096779169245159</v>
      </c>
    </row>
    <row r="912" spans="3:7" x14ac:dyDescent="0.15">
      <c r="C912" s="43" t="s">
        <v>1229</v>
      </c>
      <c r="D912" s="42">
        <v>0</v>
      </c>
      <c r="E912" s="42">
        <v>0</v>
      </c>
      <c r="F912" s="42">
        <v>5.7350248892642274E-3</v>
      </c>
      <c r="G912">
        <v>0.99426497511073575</v>
      </c>
    </row>
    <row r="913" spans="3:7" x14ac:dyDescent="0.15">
      <c r="C913" s="43" t="s">
        <v>1230</v>
      </c>
      <c r="D913" s="42">
        <v>1</v>
      </c>
      <c r="E913" s="42">
        <v>1</v>
      </c>
      <c r="F913" s="42">
        <v>0.99996256866735311</v>
      </c>
      <c r="G913">
        <v>3.7431332646886695E-5</v>
      </c>
    </row>
    <row r="914" spans="3:7" x14ac:dyDescent="0.15">
      <c r="C914" s="43" t="s">
        <v>1231</v>
      </c>
      <c r="D914" s="42">
        <v>0</v>
      </c>
      <c r="E914" s="42">
        <v>0</v>
      </c>
      <c r="F914" s="42">
        <v>7.833634546760157E-3</v>
      </c>
      <c r="G914">
        <v>0.99216636545323988</v>
      </c>
    </row>
    <row r="915" spans="3:7" x14ac:dyDescent="0.15">
      <c r="C915" s="43" t="s">
        <v>1232</v>
      </c>
      <c r="D915" s="42">
        <v>0</v>
      </c>
      <c r="E915" s="42">
        <v>0</v>
      </c>
      <c r="F915" s="42">
        <v>8.6515928979338783E-2</v>
      </c>
      <c r="G915">
        <v>0.9134840710206612</v>
      </c>
    </row>
    <row r="916" spans="3:7" x14ac:dyDescent="0.15">
      <c r="C916" s="43" t="s">
        <v>1233</v>
      </c>
      <c r="D916" s="42">
        <v>0</v>
      </c>
      <c r="E916" s="42">
        <v>0</v>
      </c>
      <c r="F916" s="42">
        <v>3.9385851658274469E-2</v>
      </c>
      <c r="G916">
        <v>0.96061414834172554</v>
      </c>
    </row>
    <row r="917" spans="3:7" x14ac:dyDescent="0.15">
      <c r="C917" s="43" t="s">
        <v>1234</v>
      </c>
      <c r="D917" s="42">
        <v>0</v>
      </c>
      <c r="E917" s="42">
        <v>0</v>
      </c>
      <c r="F917" s="42">
        <v>6.0157581646545855E-3</v>
      </c>
      <c r="G917">
        <v>0.99398424183534539</v>
      </c>
    </row>
    <row r="918" spans="3:7" x14ac:dyDescent="0.15">
      <c r="C918" s="43" t="s">
        <v>1235</v>
      </c>
      <c r="D918" s="42">
        <v>0</v>
      </c>
      <c r="E918" s="42">
        <v>0</v>
      </c>
      <c r="F918" s="42">
        <v>1.2533876482613067E-2</v>
      </c>
      <c r="G918">
        <v>0.98746612351738694</v>
      </c>
    </row>
    <row r="919" spans="3:7" x14ac:dyDescent="0.15">
      <c r="C919" s="43" t="s">
        <v>1236</v>
      </c>
      <c r="D919" s="42">
        <v>0</v>
      </c>
      <c r="E919" s="42">
        <v>0</v>
      </c>
      <c r="F919" s="42">
        <v>5.7286172127760923E-2</v>
      </c>
      <c r="G919">
        <v>0.94271382787223912</v>
      </c>
    </row>
    <row r="920" spans="3:7" x14ac:dyDescent="0.15">
      <c r="C920" s="43" t="s">
        <v>1237</v>
      </c>
      <c r="D920" s="42">
        <v>0</v>
      </c>
      <c r="E920" s="42">
        <v>0</v>
      </c>
      <c r="F920" s="42">
        <v>4.5992067570026938E-3</v>
      </c>
      <c r="G920">
        <v>0.99540079324299735</v>
      </c>
    </row>
    <row r="921" spans="3:7" x14ac:dyDescent="0.15">
      <c r="C921" s="43" t="s">
        <v>1238</v>
      </c>
      <c r="D921" s="42">
        <v>0</v>
      </c>
      <c r="E921" s="42">
        <v>0</v>
      </c>
      <c r="F921" s="42">
        <v>1.9700320705147645E-2</v>
      </c>
      <c r="G921">
        <v>0.9802996792948524</v>
      </c>
    </row>
    <row r="922" spans="3:7" x14ac:dyDescent="0.15">
      <c r="C922" s="43" t="s">
        <v>1239</v>
      </c>
      <c r="D922" s="42">
        <v>0</v>
      </c>
      <c r="E922" s="42">
        <v>0</v>
      </c>
      <c r="F922" s="42">
        <v>1.6112567586515164E-2</v>
      </c>
      <c r="G922">
        <v>0.98388743241348486</v>
      </c>
    </row>
    <row r="923" spans="3:7" x14ac:dyDescent="0.15">
      <c r="C923" s="43" t="s">
        <v>1240</v>
      </c>
      <c r="D923" s="42">
        <v>0</v>
      </c>
      <c r="E923" s="42">
        <v>0</v>
      </c>
      <c r="F923" s="42">
        <v>5.2250140104759313E-2</v>
      </c>
      <c r="G923">
        <v>0.94774985989524074</v>
      </c>
    </row>
    <row r="924" spans="3:7" x14ac:dyDescent="0.15">
      <c r="C924" s="43" t="s">
        <v>1241</v>
      </c>
      <c r="D924" s="42">
        <v>1</v>
      </c>
      <c r="E924" s="42">
        <v>1</v>
      </c>
      <c r="F924" s="42">
        <v>0.99925922515483889</v>
      </c>
      <c r="G924">
        <v>7.4077484516110736E-4</v>
      </c>
    </row>
    <row r="925" spans="3:7" x14ac:dyDescent="0.15">
      <c r="C925" s="43" t="s">
        <v>1242</v>
      </c>
      <c r="D925" s="42">
        <v>1</v>
      </c>
      <c r="E925" s="42">
        <v>1</v>
      </c>
      <c r="F925" s="42">
        <v>0.99480783951131713</v>
      </c>
      <c r="G925">
        <v>5.1921604886828732E-3</v>
      </c>
    </row>
    <row r="926" spans="3:7" x14ac:dyDescent="0.15">
      <c r="C926" s="43" t="s">
        <v>1243</v>
      </c>
      <c r="D926" s="42">
        <v>0</v>
      </c>
      <c r="E926" s="42">
        <v>0</v>
      </c>
      <c r="F926" s="42">
        <v>2.3425744595788965E-2</v>
      </c>
      <c r="G926">
        <v>0.97657425540421106</v>
      </c>
    </row>
    <row r="927" spans="3:7" x14ac:dyDescent="0.15">
      <c r="C927" s="61" t="s">
        <v>1244</v>
      </c>
      <c r="D927" s="60">
        <v>0</v>
      </c>
      <c r="E927" s="60">
        <v>1</v>
      </c>
      <c r="F927" s="60">
        <v>0.60940735148494374</v>
      </c>
      <c r="G927" s="59">
        <v>0.39059264851505626</v>
      </c>
    </row>
    <row r="928" spans="3:7" x14ac:dyDescent="0.15">
      <c r="C928" s="43" t="s">
        <v>1245</v>
      </c>
      <c r="D928" s="42">
        <v>0</v>
      </c>
      <c r="E928" s="42">
        <v>0</v>
      </c>
      <c r="F928" s="42">
        <v>9.6819386683689918E-2</v>
      </c>
      <c r="G928">
        <v>0.90318061331631005</v>
      </c>
    </row>
    <row r="929" spans="3:7" x14ac:dyDescent="0.15">
      <c r="C929" s="43" t="s">
        <v>1246</v>
      </c>
      <c r="D929" s="42">
        <v>0</v>
      </c>
      <c r="E929" s="42">
        <v>0</v>
      </c>
      <c r="F929" s="42">
        <v>9.9691922772643535E-2</v>
      </c>
      <c r="G929">
        <v>0.90030807722735651</v>
      </c>
    </row>
    <row r="930" spans="3:7" x14ac:dyDescent="0.15">
      <c r="C930" s="43" t="s">
        <v>1247</v>
      </c>
      <c r="D930" s="42">
        <v>0</v>
      </c>
      <c r="E930" s="42">
        <v>0</v>
      </c>
      <c r="F930" s="42">
        <v>0.10940724473025794</v>
      </c>
      <c r="G930">
        <v>0.89059275526974202</v>
      </c>
    </row>
    <row r="931" spans="3:7" x14ac:dyDescent="0.15">
      <c r="C931" s="43" t="s">
        <v>1248</v>
      </c>
      <c r="D931" s="42">
        <v>0</v>
      </c>
      <c r="E931" s="42">
        <v>0</v>
      </c>
      <c r="F931" s="42">
        <v>8.6993274752333481E-4</v>
      </c>
      <c r="G931">
        <v>0.99913006725247666</v>
      </c>
    </row>
    <row r="932" spans="3:7" x14ac:dyDescent="0.15">
      <c r="C932" s="43" t="s">
        <v>1249</v>
      </c>
      <c r="D932" s="42">
        <v>0</v>
      </c>
      <c r="E932" s="42">
        <v>0</v>
      </c>
      <c r="F932" s="42">
        <v>0.25369331606069634</v>
      </c>
      <c r="G932">
        <v>0.74630668393930366</v>
      </c>
    </row>
    <row r="933" spans="3:7" x14ac:dyDescent="0.15">
      <c r="C933" s="43" t="s">
        <v>1250</v>
      </c>
      <c r="D933" s="42">
        <v>0</v>
      </c>
      <c r="E933" s="42">
        <v>0</v>
      </c>
      <c r="F933" s="42">
        <v>0.12609428753885218</v>
      </c>
      <c r="G933">
        <v>0.87390571246114779</v>
      </c>
    </row>
    <row r="934" spans="3:7" x14ac:dyDescent="0.15">
      <c r="C934" s="43" t="s">
        <v>1251</v>
      </c>
      <c r="D934" s="42">
        <v>0</v>
      </c>
      <c r="E934" s="42">
        <v>0</v>
      </c>
      <c r="F934" s="42">
        <v>0.25084498885801831</v>
      </c>
      <c r="G934">
        <v>0.74915501114198169</v>
      </c>
    </row>
    <row r="935" spans="3:7" x14ac:dyDescent="0.15">
      <c r="C935" s="43" t="s">
        <v>1252</v>
      </c>
      <c r="D935" s="42">
        <v>1</v>
      </c>
      <c r="E935" s="42">
        <v>1</v>
      </c>
      <c r="F935" s="42">
        <v>0.99720838153609792</v>
      </c>
      <c r="G935">
        <v>2.7916184639020791E-3</v>
      </c>
    </row>
    <row r="936" spans="3:7" x14ac:dyDescent="0.15">
      <c r="C936" s="43" t="s">
        <v>1253</v>
      </c>
      <c r="D936" s="42">
        <v>0</v>
      </c>
      <c r="E936" s="42">
        <v>0</v>
      </c>
      <c r="F936" s="42">
        <v>0.37705136423079844</v>
      </c>
      <c r="G936">
        <v>0.62294863576920156</v>
      </c>
    </row>
    <row r="937" spans="3:7" x14ac:dyDescent="0.15">
      <c r="C937" s="43" t="s">
        <v>1254</v>
      </c>
      <c r="D937" s="42">
        <v>0</v>
      </c>
      <c r="E937" s="42">
        <v>0</v>
      </c>
      <c r="F937" s="42">
        <v>3.657639413429175E-2</v>
      </c>
      <c r="G937">
        <v>0.9634236058657083</v>
      </c>
    </row>
    <row r="938" spans="3:7" x14ac:dyDescent="0.15">
      <c r="C938" s="43" t="s">
        <v>1255</v>
      </c>
      <c r="D938" s="42">
        <v>0</v>
      </c>
      <c r="E938" s="42">
        <v>0</v>
      </c>
      <c r="F938" s="42">
        <v>4.937690180740105E-2</v>
      </c>
      <c r="G938">
        <v>0.95062309819259894</v>
      </c>
    </row>
    <row r="939" spans="3:7" x14ac:dyDescent="0.15">
      <c r="C939" s="43" t="s">
        <v>1256</v>
      </c>
      <c r="D939" s="42">
        <v>0</v>
      </c>
      <c r="E939" s="42">
        <v>0</v>
      </c>
      <c r="F939" s="42">
        <v>0.1126351973732955</v>
      </c>
      <c r="G939">
        <v>0.88736480262670447</v>
      </c>
    </row>
    <row r="940" spans="3:7" x14ac:dyDescent="0.15">
      <c r="C940" s="43" t="s">
        <v>1257</v>
      </c>
      <c r="D940" s="42">
        <v>0</v>
      </c>
      <c r="E940" s="42">
        <v>0</v>
      </c>
      <c r="F940" s="42">
        <v>2.6042659911351879E-2</v>
      </c>
      <c r="G940">
        <v>0.97395734008864809</v>
      </c>
    </row>
    <row r="941" spans="3:7" x14ac:dyDescent="0.15">
      <c r="C941" s="43" t="s">
        <v>1258</v>
      </c>
      <c r="D941" s="42">
        <v>0</v>
      </c>
      <c r="E941" s="42">
        <v>0</v>
      </c>
      <c r="F941" s="42">
        <v>1.8884302277169376E-2</v>
      </c>
      <c r="G941">
        <v>0.98111569772283058</v>
      </c>
    </row>
    <row r="942" spans="3:7" x14ac:dyDescent="0.15">
      <c r="C942" s="43" t="s">
        <v>1259</v>
      </c>
      <c r="D942" s="42">
        <v>0</v>
      </c>
      <c r="E942" s="42">
        <v>0</v>
      </c>
      <c r="F942" s="42">
        <v>1.0159621359794417E-3</v>
      </c>
      <c r="G942">
        <v>0.99898403786402057</v>
      </c>
    </row>
    <row r="943" spans="3:7" x14ac:dyDescent="0.15">
      <c r="C943" s="43" t="s">
        <v>1260</v>
      </c>
      <c r="D943" s="42">
        <v>0</v>
      </c>
      <c r="E943" s="42">
        <v>0</v>
      </c>
      <c r="F943" s="42">
        <v>0.16142693195401889</v>
      </c>
      <c r="G943">
        <v>0.83857306804598108</v>
      </c>
    </row>
    <row r="944" spans="3:7" x14ac:dyDescent="0.15">
      <c r="C944" s="43" t="s">
        <v>1261</v>
      </c>
      <c r="D944" s="42">
        <v>0</v>
      </c>
      <c r="E944" s="42">
        <v>0</v>
      </c>
      <c r="F944" s="42">
        <v>2.1631022761603402E-2</v>
      </c>
      <c r="G944">
        <v>0.97836897723839655</v>
      </c>
    </row>
    <row r="945" spans="3:7" x14ac:dyDescent="0.15">
      <c r="C945" s="43" t="s">
        <v>1262</v>
      </c>
      <c r="D945" s="42">
        <v>0</v>
      </c>
      <c r="E945" s="42">
        <v>0</v>
      </c>
      <c r="F945" s="42">
        <v>3.4478384477577007E-2</v>
      </c>
      <c r="G945">
        <v>0.96552161552242299</v>
      </c>
    </row>
    <row r="946" spans="3:7" x14ac:dyDescent="0.15">
      <c r="C946" s="43" t="s">
        <v>1263</v>
      </c>
      <c r="D946" s="42">
        <v>0</v>
      </c>
      <c r="E946" s="42">
        <v>0</v>
      </c>
      <c r="F946" s="42">
        <v>5.4585390827916469E-3</v>
      </c>
      <c r="G946">
        <v>0.9945414609172083</v>
      </c>
    </row>
    <row r="947" spans="3:7" x14ac:dyDescent="0.15">
      <c r="C947" s="43" t="s">
        <v>1264</v>
      </c>
      <c r="D947" s="42">
        <v>0</v>
      </c>
      <c r="E947" s="42">
        <v>0</v>
      </c>
      <c r="F947" s="42">
        <v>0.31094543864900542</v>
      </c>
      <c r="G947">
        <v>0.68905456135099463</v>
      </c>
    </row>
    <row r="948" spans="3:7" x14ac:dyDescent="0.15">
      <c r="C948" s="43" t="s">
        <v>1265</v>
      </c>
      <c r="D948" s="42">
        <v>0</v>
      </c>
      <c r="E948" s="42">
        <v>0</v>
      </c>
      <c r="F948" s="42">
        <v>5.214062737080967E-2</v>
      </c>
      <c r="G948">
        <v>0.94785937262919029</v>
      </c>
    </row>
    <row r="949" spans="3:7" x14ac:dyDescent="0.15">
      <c r="C949" s="43" t="s">
        <v>1266</v>
      </c>
      <c r="D949" s="42">
        <v>0</v>
      </c>
      <c r="E949" s="42">
        <v>0</v>
      </c>
      <c r="F949" s="42">
        <v>2.602767357788037E-4</v>
      </c>
      <c r="G949">
        <v>0.99973972326422123</v>
      </c>
    </row>
    <row r="950" spans="3:7" x14ac:dyDescent="0.15">
      <c r="C950" s="43" t="s">
        <v>1267</v>
      </c>
      <c r="D950" s="42">
        <v>0</v>
      </c>
      <c r="E950" s="42">
        <v>0</v>
      </c>
      <c r="F950" s="42">
        <v>0.2232298547047728</v>
      </c>
      <c r="G950">
        <v>0.77677014529522714</v>
      </c>
    </row>
    <row r="951" spans="3:7" x14ac:dyDescent="0.15">
      <c r="C951" s="43" t="s">
        <v>1268</v>
      </c>
      <c r="D951" s="42">
        <v>1</v>
      </c>
      <c r="E951" s="42">
        <v>1</v>
      </c>
      <c r="F951" s="42">
        <v>0.59814408597374435</v>
      </c>
      <c r="G951">
        <v>0.40185591402625565</v>
      </c>
    </row>
    <row r="952" spans="3:7" x14ac:dyDescent="0.15">
      <c r="C952" s="43" t="s">
        <v>1269</v>
      </c>
      <c r="D952" s="42">
        <v>0</v>
      </c>
      <c r="E952" s="42">
        <v>0</v>
      </c>
      <c r="F952" s="42">
        <v>0.33258827654653333</v>
      </c>
      <c r="G952">
        <v>0.66741172345346667</v>
      </c>
    </row>
    <row r="953" spans="3:7" x14ac:dyDescent="0.15">
      <c r="C953" s="43" t="s">
        <v>1270</v>
      </c>
      <c r="D953" s="42">
        <v>0</v>
      </c>
      <c r="E953" s="42">
        <v>0</v>
      </c>
      <c r="F953" s="42">
        <v>3.0270424266711896E-2</v>
      </c>
      <c r="G953">
        <v>0.96972957573328811</v>
      </c>
    </row>
    <row r="954" spans="3:7" x14ac:dyDescent="0.15">
      <c r="C954" s="43" t="s">
        <v>1271</v>
      </c>
      <c r="D954" s="42">
        <v>0</v>
      </c>
      <c r="E954" s="42">
        <v>0</v>
      </c>
      <c r="F954" s="42">
        <v>3.0872375274276862E-2</v>
      </c>
      <c r="G954">
        <v>0.96912762472572311</v>
      </c>
    </row>
    <row r="955" spans="3:7" x14ac:dyDescent="0.15">
      <c r="C955" s="43" t="s">
        <v>1272</v>
      </c>
      <c r="D955" s="42">
        <v>0</v>
      </c>
      <c r="E955" s="42">
        <v>0</v>
      </c>
      <c r="F955" s="42">
        <v>4.408582878719371E-3</v>
      </c>
      <c r="G955">
        <v>0.99559141712128063</v>
      </c>
    </row>
    <row r="956" spans="3:7" x14ac:dyDescent="0.15">
      <c r="C956" s="43" t="s">
        <v>1273</v>
      </c>
      <c r="D956" s="42">
        <v>0</v>
      </c>
      <c r="E956" s="42">
        <v>0</v>
      </c>
      <c r="F956" s="42">
        <v>3.2850654701165063E-2</v>
      </c>
      <c r="G956">
        <v>0.96714934529883489</v>
      </c>
    </row>
    <row r="957" spans="3:7" x14ac:dyDescent="0.15">
      <c r="C957" s="43" t="s">
        <v>1274</v>
      </c>
      <c r="D957" s="42">
        <v>0</v>
      </c>
      <c r="E957" s="42">
        <v>0</v>
      </c>
      <c r="F957" s="42">
        <v>9.479106135074607E-3</v>
      </c>
      <c r="G957">
        <v>0.99052089386492537</v>
      </c>
    </row>
    <row r="958" spans="3:7" x14ac:dyDescent="0.15">
      <c r="C958" s="43" t="s">
        <v>1275</v>
      </c>
      <c r="D958" s="42">
        <v>0</v>
      </c>
      <c r="E958" s="42">
        <v>0</v>
      </c>
      <c r="F958" s="42">
        <v>0.17275450661523284</v>
      </c>
      <c r="G958">
        <v>0.82724549338476716</v>
      </c>
    </row>
    <row r="959" spans="3:7" x14ac:dyDescent="0.15">
      <c r="C959" s="43" t="s">
        <v>1276</v>
      </c>
      <c r="D959" s="42">
        <v>0</v>
      </c>
      <c r="E959" s="42">
        <v>0</v>
      </c>
      <c r="F959" s="42">
        <v>1.0339066691206697E-2</v>
      </c>
      <c r="G959">
        <v>0.98966093330879334</v>
      </c>
    </row>
    <row r="960" spans="3:7" x14ac:dyDescent="0.15">
      <c r="C960" s="43" t="s">
        <v>1277</v>
      </c>
      <c r="D960" s="42">
        <v>0</v>
      </c>
      <c r="E960" s="42">
        <v>0</v>
      </c>
      <c r="F960" s="42">
        <v>1.0817897421616613E-2</v>
      </c>
      <c r="G960">
        <v>0.98918210257838335</v>
      </c>
    </row>
    <row r="961" spans="3:7" x14ac:dyDescent="0.15">
      <c r="C961" s="43" t="s">
        <v>1278</v>
      </c>
      <c r="D961" s="42">
        <v>0</v>
      </c>
      <c r="E961" s="42">
        <v>0</v>
      </c>
      <c r="F961" s="42">
        <v>3.2678139539061166E-2</v>
      </c>
      <c r="G961">
        <v>0.96732186046093882</v>
      </c>
    </row>
    <row r="962" spans="3:7" x14ac:dyDescent="0.15">
      <c r="C962" s="43" t="s">
        <v>1279</v>
      </c>
      <c r="D962" s="42">
        <v>0</v>
      </c>
      <c r="E962" s="42">
        <v>0</v>
      </c>
      <c r="F962" s="42">
        <v>4.1207859546730966E-2</v>
      </c>
      <c r="G962">
        <v>0.95879214045326899</v>
      </c>
    </row>
    <row r="963" spans="3:7" x14ac:dyDescent="0.15">
      <c r="C963" s="43" t="s">
        <v>1280</v>
      </c>
      <c r="D963" s="42">
        <v>1</v>
      </c>
      <c r="E963" s="42">
        <v>1</v>
      </c>
      <c r="F963" s="42">
        <v>0.99945324000534574</v>
      </c>
      <c r="G963">
        <v>5.4675999465425562E-4</v>
      </c>
    </row>
    <row r="964" spans="3:7" x14ac:dyDescent="0.15">
      <c r="C964" s="43" t="s">
        <v>1281</v>
      </c>
      <c r="D964" s="42">
        <v>1</v>
      </c>
      <c r="E964" s="42">
        <v>1</v>
      </c>
      <c r="F964" s="42">
        <v>0.85809411408791614</v>
      </c>
      <c r="G964">
        <v>0.14190588591208386</v>
      </c>
    </row>
    <row r="965" spans="3:7" x14ac:dyDescent="0.15">
      <c r="C965" s="43" t="s">
        <v>1282</v>
      </c>
      <c r="D965" s="42">
        <v>0</v>
      </c>
      <c r="E965" s="42">
        <v>0</v>
      </c>
      <c r="F965" s="42">
        <v>1.3266376601061681E-2</v>
      </c>
      <c r="G965">
        <v>0.98673362339893833</v>
      </c>
    </row>
    <row r="966" spans="3:7" x14ac:dyDescent="0.15">
      <c r="C966" s="43" t="s">
        <v>1283</v>
      </c>
      <c r="D966" s="42">
        <v>0</v>
      </c>
      <c r="E966" s="42">
        <v>0</v>
      </c>
      <c r="F966" s="42">
        <v>1.1900340735759653E-2</v>
      </c>
      <c r="G966">
        <v>0.98809965926424037</v>
      </c>
    </row>
    <row r="967" spans="3:7" x14ac:dyDescent="0.15">
      <c r="C967" s="43" t="s">
        <v>1284</v>
      </c>
      <c r="D967" s="42">
        <v>0</v>
      </c>
      <c r="E967" s="42">
        <v>0</v>
      </c>
      <c r="F967" s="42">
        <v>9.6004870231870491E-3</v>
      </c>
      <c r="G967">
        <v>0.99039951297681295</v>
      </c>
    </row>
    <row r="968" spans="3:7" x14ac:dyDescent="0.15">
      <c r="C968" s="61" t="s">
        <v>1285</v>
      </c>
      <c r="D968" s="60">
        <v>1</v>
      </c>
      <c r="E968" s="60">
        <v>0</v>
      </c>
      <c r="F968" s="60">
        <v>0.25094222415313594</v>
      </c>
      <c r="G968" s="59">
        <v>0.74905777584686406</v>
      </c>
    </row>
    <row r="969" spans="3:7" x14ac:dyDescent="0.15">
      <c r="C969" s="43" t="s">
        <v>1286</v>
      </c>
      <c r="D969" s="42">
        <v>0</v>
      </c>
      <c r="E969" s="42">
        <v>0</v>
      </c>
      <c r="F969" s="42">
        <v>3.152811148760129E-2</v>
      </c>
      <c r="G969">
        <v>0.96847188851239874</v>
      </c>
    </row>
    <row r="970" spans="3:7" x14ac:dyDescent="0.15">
      <c r="C970" s="43" t="s">
        <v>1287</v>
      </c>
      <c r="D970" s="42">
        <v>0</v>
      </c>
      <c r="E970" s="42">
        <v>0</v>
      </c>
      <c r="F970" s="42">
        <v>9.8948545089091056E-3</v>
      </c>
      <c r="G970">
        <v>0.99010514549109085</v>
      </c>
    </row>
    <row r="971" spans="3:7" x14ac:dyDescent="0.15">
      <c r="C971" s="43" t="s">
        <v>1288</v>
      </c>
      <c r="D971" s="42">
        <v>0</v>
      </c>
      <c r="E971" s="42">
        <v>0</v>
      </c>
      <c r="F971" s="42">
        <v>3.7051150548678392E-2</v>
      </c>
      <c r="G971">
        <v>0.96294884945132164</v>
      </c>
    </row>
    <row r="972" spans="3:7" x14ac:dyDescent="0.15">
      <c r="C972" s="43" t="s">
        <v>1289</v>
      </c>
      <c r="D972" s="42">
        <v>1</v>
      </c>
      <c r="E972" s="42">
        <v>1</v>
      </c>
      <c r="F972" s="42">
        <v>0.96695958004886284</v>
      </c>
      <c r="G972">
        <v>3.3040419951137157E-2</v>
      </c>
    </row>
    <row r="973" spans="3:7" x14ac:dyDescent="0.15">
      <c r="C973" s="61" t="s">
        <v>1290</v>
      </c>
      <c r="D973" s="60">
        <v>0</v>
      </c>
      <c r="E973" s="60">
        <v>1</v>
      </c>
      <c r="F973" s="60">
        <v>0.54046827983559942</v>
      </c>
      <c r="G973" s="59">
        <v>0.45953172016440058</v>
      </c>
    </row>
    <row r="974" spans="3:7" x14ac:dyDescent="0.15">
      <c r="C974" s="43" t="s">
        <v>1291</v>
      </c>
      <c r="D974" s="42">
        <v>0</v>
      </c>
      <c r="E974" s="42">
        <v>0</v>
      </c>
      <c r="F974" s="42">
        <v>1.1973308204854309E-2</v>
      </c>
      <c r="G974">
        <v>0.98802669179514568</v>
      </c>
    </row>
    <row r="975" spans="3:7" x14ac:dyDescent="0.15">
      <c r="C975" s="43" t="s">
        <v>1292</v>
      </c>
      <c r="D975" s="42">
        <v>0</v>
      </c>
      <c r="E975" s="42">
        <v>0</v>
      </c>
      <c r="F975" s="42">
        <v>1.3398497803054289E-3</v>
      </c>
      <c r="G975">
        <v>0.99866015021969456</v>
      </c>
    </row>
    <row r="976" spans="3:7" x14ac:dyDescent="0.15">
      <c r="C976" s="43" t="s">
        <v>1293</v>
      </c>
      <c r="D976" s="42">
        <v>1</v>
      </c>
      <c r="E976" s="42">
        <v>1</v>
      </c>
      <c r="F976" s="42">
        <v>0.97426484384461709</v>
      </c>
      <c r="G976">
        <v>2.573515615538291E-2</v>
      </c>
    </row>
    <row r="977" spans="3:7" x14ac:dyDescent="0.15">
      <c r="C977" s="43" t="s">
        <v>1294</v>
      </c>
      <c r="D977" s="42">
        <v>0</v>
      </c>
      <c r="E977" s="42">
        <v>0</v>
      </c>
      <c r="F977" s="42">
        <v>1.3872768248779329E-2</v>
      </c>
      <c r="G977">
        <v>0.98612723175122063</v>
      </c>
    </row>
    <row r="978" spans="3:7" x14ac:dyDescent="0.15">
      <c r="C978" s="43" t="s">
        <v>1295</v>
      </c>
      <c r="D978" s="42">
        <v>0</v>
      </c>
      <c r="E978" s="42">
        <v>0</v>
      </c>
      <c r="F978" s="42">
        <v>3.6544630839238951E-2</v>
      </c>
      <c r="G978">
        <v>0.96345536916076102</v>
      </c>
    </row>
    <row r="979" spans="3:7" x14ac:dyDescent="0.15">
      <c r="C979" s="61" t="s">
        <v>1296</v>
      </c>
      <c r="D979" s="60">
        <v>1</v>
      </c>
      <c r="E979" s="60">
        <v>0</v>
      </c>
      <c r="F979" s="60">
        <v>0.3367894931458002</v>
      </c>
      <c r="G979" s="59">
        <v>0.6632105068541998</v>
      </c>
    </row>
    <row r="980" spans="3:7" x14ac:dyDescent="0.15">
      <c r="C980" s="43" t="s">
        <v>1297</v>
      </c>
      <c r="D980" s="42">
        <v>0</v>
      </c>
      <c r="E980" s="42">
        <v>0</v>
      </c>
      <c r="F980" s="42">
        <v>2.522909475248631E-2</v>
      </c>
      <c r="G980">
        <v>0.97477090524751364</v>
      </c>
    </row>
    <row r="981" spans="3:7" x14ac:dyDescent="0.15">
      <c r="C981" s="43" t="s">
        <v>1298</v>
      </c>
      <c r="D981" s="42">
        <v>0</v>
      </c>
      <c r="E981" s="42">
        <v>0</v>
      </c>
      <c r="F981" s="42">
        <v>0.18068350613877632</v>
      </c>
      <c r="G981">
        <v>0.81931649386122363</v>
      </c>
    </row>
    <row r="982" spans="3:7" x14ac:dyDescent="0.15">
      <c r="C982" s="43" t="s">
        <v>1299</v>
      </c>
      <c r="D982" s="42">
        <v>0</v>
      </c>
      <c r="E982" s="42">
        <v>0</v>
      </c>
      <c r="F982" s="42">
        <v>5.9224314490542249E-3</v>
      </c>
      <c r="G982">
        <v>0.99407756855094576</v>
      </c>
    </row>
    <row r="983" spans="3:7" x14ac:dyDescent="0.15">
      <c r="C983" s="43" t="s">
        <v>1300</v>
      </c>
      <c r="D983" s="42">
        <v>0</v>
      </c>
      <c r="E983" s="42">
        <v>0</v>
      </c>
      <c r="F983" s="42">
        <v>1.1899494530320024E-2</v>
      </c>
      <c r="G983">
        <v>0.98810050546967998</v>
      </c>
    </row>
    <row r="984" spans="3:7" x14ac:dyDescent="0.15">
      <c r="C984" s="43" t="s">
        <v>1301</v>
      </c>
      <c r="D984" s="42">
        <v>0</v>
      </c>
      <c r="E984" s="42">
        <v>0</v>
      </c>
      <c r="F984" s="42">
        <v>0.16677015646235768</v>
      </c>
      <c r="G984">
        <v>0.83322984353764229</v>
      </c>
    </row>
    <row r="985" spans="3:7" x14ac:dyDescent="0.15">
      <c r="C985" s="43" t="s">
        <v>1302</v>
      </c>
      <c r="D985" s="42">
        <v>0</v>
      </c>
      <c r="E985" s="42">
        <v>0</v>
      </c>
      <c r="F985" s="42">
        <v>1.0204784051805664E-3</v>
      </c>
      <c r="G985">
        <v>0.9989795215948194</v>
      </c>
    </row>
    <row r="986" spans="3:7" x14ac:dyDescent="0.15">
      <c r="C986" s="43" t="s">
        <v>1303</v>
      </c>
      <c r="D986" s="42">
        <v>0</v>
      </c>
      <c r="E986" s="42">
        <v>0</v>
      </c>
      <c r="F986" s="42">
        <v>0.11576136390171535</v>
      </c>
      <c r="G986">
        <v>0.88423863609828468</v>
      </c>
    </row>
    <row r="987" spans="3:7" x14ac:dyDescent="0.15">
      <c r="C987" s="43" t="s">
        <v>1304</v>
      </c>
      <c r="D987" s="42">
        <v>0</v>
      </c>
      <c r="E987" s="42">
        <v>0</v>
      </c>
      <c r="F987" s="42">
        <v>8.6855026043214951E-3</v>
      </c>
      <c r="G987">
        <v>0.99131449739567845</v>
      </c>
    </row>
    <row r="988" spans="3:7" x14ac:dyDescent="0.15">
      <c r="C988" s="43" t="s">
        <v>1305</v>
      </c>
      <c r="D988" s="42">
        <v>0</v>
      </c>
      <c r="E988" s="42">
        <v>0</v>
      </c>
      <c r="F988" s="42">
        <v>1.3448789742930315E-3</v>
      </c>
      <c r="G988">
        <v>0.99865512102570697</v>
      </c>
    </row>
    <row r="989" spans="3:7" x14ac:dyDescent="0.15">
      <c r="C989" s="43" t="s">
        <v>1306</v>
      </c>
      <c r="D989" s="42">
        <v>0</v>
      </c>
      <c r="E989" s="42">
        <v>0</v>
      </c>
      <c r="F989" s="42">
        <v>2.6876496798357071E-2</v>
      </c>
      <c r="G989">
        <v>0.97312350320164298</v>
      </c>
    </row>
    <row r="990" spans="3:7" x14ac:dyDescent="0.15">
      <c r="C990" s="43" t="s">
        <v>1307</v>
      </c>
      <c r="D990" s="42">
        <v>0</v>
      </c>
      <c r="E990" s="42">
        <v>0</v>
      </c>
      <c r="F990" s="42">
        <v>1.8188296977823593E-3</v>
      </c>
      <c r="G990">
        <v>0.99818117030221765</v>
      </c>
    </row>
    <row r="991" spans="3:7" x14ac:dyDescent="0.15">
      <c r="C991" s="43" t="s">
        <v>1308</v>
      </c>
      <c r="D991" s="42">
        <v>0</v>
      </c>
      <c r="E991" s="42">
        <v>0</v>
      </c>
      <c r="F991" s="42">
        <v>3.3723362795075301E-3</v>
      </c>
      <c r="G991">
        <v>0.9966276637204925</v>
      </c>
    </row>
    <row r="992" spans="3:7" x14ac:dyDescent="0.15">
      <c r="C992" s="43" t="s">
        <v>1309</v>
      </c>
      <c r="D992" s="42">
        <v>0</v>
      </c>
      <c r="E992" s="42">
        <v>0</v>
      </c>
      <c r="F992" s="42">
        <v>3.1505033374034298E-2</v>
      </c>
      <c r="G992">
        <v>0.96849496662596568</v>
      </c>
    </row>
    <row r="993" spans="3:7" x14ac:dyDescent="0.15">
      <c r="C993" s="43" t="s">
        <v>1310</v>
      </c>
      <c r="D993" s="42">
        <v>0</v>
      </c>
      <c r="E993" s="42">
        <v>0</v>
      </c>
      <c r="F993" s="42">
        <v>5.6328583458600485E-2</v>
      </c>
      <c r="G993">
        <v>0.94367141654139952</v>
      </c>
    </row>
    <row r="994" spans="3:7" x14ac:dyDescent="0.15">
      <c r="C994" s="43" t="s">
        <v>1311</v>
      </c>
      <c r="D994" s="42">
        <v>0</v>
      </c>
      <c r="E994" s="42">
        <v>0</v>
      </c>
      <c r="F994" s="42">
        <v>8.2669978606460512E-2</v>
      </c>
      <c r="G994">
        <v>0.91733002139353947</v>
      </c>
    </row>
    <row r="995" spans="3:7" x14ac:dyDescent="0.15">
      <c r="C995" s="43" t="s">
        <v>1312</v>
      </c>
      <c r="D995" s="42">
        <v>0</v>
      </c>
      <c r="E995" s="42">
        <v>0</v>
      </c>
      <c r="F995" s="42">
        <v>3.4777776204426271E-2</v>
      </c>
      <c r="G995">
        <v>0.96522222379557376</v>
      </c>
    </row>
    <row r="996" spans="3:7" x14ac:dyDescent="0.15">
      <c r="C996" s="43" t="s">
        <v>1313</v>
      </c>
      <c r="D996" s="42">
        <v>0</v>
      </c>
      <c r="E996" s="42">
        <v>0</v>
      </c>
      <c r="F996" s="42">
        <v>0.29573192740015392</v>
      </c>
      <c r="G996">
        <v>0.70426807259984603</v>
      </c>
    </row>
    <row r="997" spans="3:7" x14ac:dyDescent="0.15">
      <c r="C997" s="43" t="s">
        <v>1314</v>
      </c>
      <c r="D997" s="42">
        <v>0</v>
      </c>
      <c r="E997" s="42">
        <v>0</v>
      </c>
      <c r="F997" s="42">
        <v>7.4404464187713729E-4</v>
      </c>
      <c r="G997">
        <v>0.99925595535812284</v>
      </c>
    </row>
    <row r="998" spans="3:7" x14ac:dyDescent="0.15">
      <c r="C998" s="43" t="s">
        <v>1315</v>
      </c>
      <c r="D998" s="42">
        <v>0</v>
      </c>
      <c r="E998" s="42">
        <v>0</v>
      </c>
      <c r="F998" s="42">
        <v>4.7448245948452525E-2</v>
      </c>
      <c r="G998">
        <v>0.95255175405154746</v>
      </c>
    </row>
    <row r="999" spans="3:7" x14ac:dyDescent="0.15">
      <c r="C999" s="43" t="s">
        <v>1316</v>
      </c>
      <c r="D999" s="42">
        <v>0</v>
      </c>
      <c r="E999" s="42">
        <v>0</v>
      </c>
      <c r="F999" s="42">
        <v>1.0027908872015582E-2</v>
      </c>
      <c r="G999">
        <v>0.98997209112798445</v>
      </c>
    </row>
    <row r="1000" spans="3:7" x14ac:dyDescent="0.15">
      <c r="C1000" s="43" t="s">
        <v>1317</v>
      </c>
      <c r="D1000" s="42">
        <v>0</v>
      </c>
      <c r="E1000" s="42">
        <v>0</v>
      </c>
      <c r="F1000" s="42">
        <v>3.7599017716191278E-2</v>
      </c>
      <c r="G1000">
        <v>0.96240098228380877</v>
      </c>
    </row>
    <row r="1001" spans="3:7" x14ac:dyDescent="0.15">
      <c r="C1001" s="43" t="s">
        <v>1318</v>
      </c>
      <c r="D1001" s="42">
        <v>0</v>
      </c>
      <c r="E1001" s="42">
        <v>0</v>
      </c>
      <c r="F1001" s="42">
        <v>1.4246094609696443E-2</v>
      </c>
      <c r="G1001">
        <v>0.98575390539030361</v>
      </c>
    </row>
    <row r="1002" spans="3:7" x14ac:dyDescent="0.15">
      <c r="C1002" s="61" t="s">
        <v>1319</v>
      </c>
      <c r="D1002" s="60">
        <v>0</v>
      </c>
      <c r="E1002" s="60">
        <v>1</v>
      </c>
      <c r="F1002" s="60">
        <v>0.92842860394772442</v>
      </c>
      <c r="G1002" s="59">
        <v>7.1571396052275582E-2</v>
      </c>
    </row>
    <row r="1003" spans="3:7" x14ac:dyDescent="0.15">
      <c r="C1003" s="43" t="s">
        <v>1320</v>
      </c>
      <c r="D1003" s="42">
        <v>0</v>
      </c>
      <c r="E1003" s="42">
        <v>0</v>
      </c>
      <c r="F1003" s="42">
        <v>2.5829084915143384E-3</v>
      </c>
      <c r="G1003">
        <v>0.99741709150848568</v>
      </c>
    </row>
    <row r="1004" spans="3:7" x14ac:dyDescent="0.15">
      <c r="C1004" s="43" t="s">
        <v>1321</v>
      </c>
      <c r="D1004" s="42">
        <v>0</v>
      </c>
      <c r="E1004" s="42">
        <v>0</v>
      </c>
      <c r="F1004" s="42">
        <v>1.0993517206130173E-3</v>
      </c>
      <c r="G1004">
        <v>0.99890064827938696</v>
      </c>
    </row>
    <row r="1005" spans="3:7" x14ac:dyDescent="0.15">
      <c r="C1005" s="43" t="s">
        <v>1322</v>
      </c>
      <c r="D1005" s="42">
        <v>0</v>
      </c>
      <c r="E1005" s="42">
        <v>0</v>
      </c>
      <c r="F1005" s="42">
        <v>3.3358631888137881E-3</v>
      </c>
      <c r="G1005">
        <v>0.99666413681118626</v>
      </c>
    </row>
    <row r="1006" spans="3:7" x14ac:dyDescent="0.15">
      <c r="C1006" s="43" t="s">
        <v>1323</v>
      </c>
      <c r="D1006" s="42">
        <v>0</v>
      </c>
      <c r="E1006" s="42">
        <v>0</v>
      </c>
      <c r="F1006" s="42">
        <v>0.10457733094398047</v>
      </c>
      <c r="G1006">
        <v>0.89542266905601953</v>
      </c>
    </row>
    <row r="1007" spans="3:7" x14ac:dyDescent="0.15">
      <c r="C1007" s="43" t="s">
        <v>1324</v>
      </c>
      <c r="D1007" s="42">
        <v>1</v>
      </c>
      <c r="E1007" s="42">
        <v>1</v>
      </c>
      <c r="F1007" s="42">
        <v>0.95822036263963961</v>
      </c>
      <c r="G1007">
        <v>4.1779637360360389E-2</v>
      </c>
    </row>
    <row r="1008" spans="3:7" x14ac:dyDescent="0.15">
      <c r="C1008" s="43" t="s">
        <v>1325</v>
      </c>
      <c r="D1008" s="42">
        <v>0</v>
      </c>
      <c r="E1008" s="42">
        <v>0</v>
      </c>
      <c r="F1008" s="42">
        <v>1.6583009918602908E-2</v>
      </c>
      <c r="G1008">
        <v>0.98341699008139705</v>
      </c>
    </row>
    <row r="1009" spans="3:7" x14ac:dyDescent="0.15">
      <c r="C1009" s="43" t="s">
        <v>1326</v>
      </c>
      <c r="D1009" s="42">
        <v>0</v>
      </c>
      <c r="E1009" s="42">
        <v>0</v>
      </c>
      <c r="F1009" s="42">
        <v>5.9451057364043975E-3</v>
      </c>
      <c r="G1009">
        <v>0.99405489426359561</v>
      </c>
    </row>
    <row r="1010" spans="3:7" x14ac:dyDescent="0.15">
      <c r="C1010" s="43" t="s">
        <v>1327</v>
      </c>
      <c r="D1010" s="42">
        <v>1</v>
      </c>
      <c r="E1010" s="42">
        <v>1</v>
      </c>
      <c r="F1010" s="42">
        <v>0.99418659419214106</v>
      </c>
      <c r="G1010">
        <v>5.8134058078589401E-3</v>
      </c>
    </row>
    <row r="1011" spans="3:7" x14ac:dyDescent="0.15">
      <c r="C1011" s="61" t="s">
        <v>1328</v>
      </c>
      <c r="D1011" s="60">
        <v>0</v>
      </c>
      <c r="E1011" s="60">
        <v>1</v>
      </c>
      <c r="F1011" s="60">
        <v>0.61427545226438629</v>
      </c>
      <c r="G1011" s="59">
        <v>0.38572454773561371</v>
      </c>
    </row>
    <row r="1012" spans="3:7" x14ac:dyDescent="0.15">
      <c r="C1012" s="43" t="s">
        <v>1329</v>
      </c>
      <c r="D1012" s="42">
        <v>0</v>
      </c>
      <c r="E1012" s="42">
        <v>0</v>
      </c>
      <c r="F1012" s="42">
        <v>1.4135563109069198E-3</v>
      </c>
      <c r="G1012">
        <v>0.99858644368909311</v>
      </c>
    </row>
    <row r="1013" spans="3:7" x14ac:dyDescent="0.15">
      <c r="C1013" s="43" t="s">
        <v>1330</v>
      </c>
      <c r="D1013" s="42">
        <v>0</v>
      </c>
      <c r="E1013" s="42">
        <v>0</v>
      </c>
      <c r="F1013" s="42">
        <v>0.14083483906579422</v>
      </c>
      <c r="G1013">
        <v>0.85916516093420581</v>
      </c>
    </row>
    <row r="1014" spans="3:7" x14ac:dyDescent="0.15">
      <c r="C1014" s="43" t="s">
        <v>1331</v>
      </c>
      <c r="D1014" s="42">
        <v>0</v>
      </c>
      <c r="E1014" s="42">
        <v>0</v>
      </c>
      <c r="F1014" s="42">
        <v>1.7648788286826266E-2</v>
      </c>
      <c r="G1014">
        <v>0.98235121171317374</v>
      </c>
    </row>
    <row r="1015" spans="3:7" x14ac:dyDescent="0.15">
      <c r="C1015" s="61" t="s">
        <v>1332</v>
      </c>
      <c r="D1015" s="60">
        <v>0</v>
      </c>
      <c r="E1015" s="60">
        <v>1</v>
      </c>
      <c r="F1015" s="60">
        <v>0.50344595130041525</v>
      </c>
      <c r="G1015" s="59">
        <v>0.49655404869958475</v>
      </c>
    </row>
    <row r="1016" spans="3:7" x14ac:dyDescent="0.15">
      <c r="C1016" s="43" t="s">
        <v>1333</v>
      </c>
      <c r="D1016" s="42">
        <v>0</v>
      </c>
      <c r="E1016" s="42">
        <v>0</v>
      </c>
      <c r="F1016" s="42">
        <v>3.7551593200423023E-4</v>
      </c>
      <c r="G1016">
        <v>0.99962448406799576</v>
      </c>
    </row>
    <row r="1017" spans="3:7" x14ac:dyDescent="0.15">
      <c r="C1017" s="43" t="s">
        <v>1334</v>
      </c>
      <c r="D1017" s="42">
        <v>0</v>
      </c>
      <c r="E1017" s="42">
        <v>0</v>
      </c>
      <c r="F1017" s="42">
        <v>3.0268708100802178E-3</v>
      </c>
      <c r="G1017">
        <v>0.99697312918991976</v>
      </c>
    </row>
    <row r="1018" spans="3:7" x14ac:dyDescent="0.15">
      <c r="C1018" s="43" t="s">
        <v>1335</v>
      </c>
      <c r="D1018" s="42">
        <v>0</v>
      </c>
      <c r="E1018" s="42">
        <v>0</v>
      </c>
      <c r="F1018" s="42">
        <v>4.7761119848668404E-3</v>
      </c>
      <c r="G1018">
        <v>0.99522388801513317</v>
      </c>
    </row>
    <row r="1019" spans="3:7" x14ac:dyDescent="0.15">
      <c r="C1019" s="43" t="s">
        <v>1336</v>
      </c>
      <c r="D1019" s="42">
        <v>0</v>
      </c>
      <c r="E1019" s="42">
        <v>0</v>
      </c>
      <c r="F1019" s="42">
        <v>3.342735185578169E-2</v>
      </c>
      <c r="G1019">
        <v>0.96657264814421828</v>
      </c>
    </row>
    <row r="1020" spans="3:7" x14ac:dyDescent="0.15">
      <c r="C1020" s="43" t="s">
        <v>1337</v>
      </c>
      <c r="D1020" s="42">
        <v>0</v>
      </c>
      <c r="E1020" s="42">
        <v>0</v>
      </c>
      <c r="F1020" s="42">
        <v>0.17213008163494375</v>
      </c>
      <c r="G1020">
        <v>0.82786991836505619</v>
      </c>
    </row>
    <row r="1021" spans="3:7" x14ac:dyDescent="0.15">
      <c r="C1021" s="43" t="s">
        <v>1338</v>
      </c>
      <c r="D1021" s="42">
        <v>0</v>
      </c>
      <c r="E1021" s="42">
        <v>0</v>
      </c>
      <c r="F1021" s="42">
        <v>7.463415742479375E-3</v>
      </c>
      <c r="G1021">
        <v>0.99253658425752067</v>
      </c>
    </row>
    <row r="1022" spans="3:7" x14ac:dyDescent="0.15">
      <c r="C1022" s="61" t="s">
        <v>1339</v>
      </c>
      <c r="D1022" s="60">
        <v>0</v>
      </c>
      <c r="E1022" s="60">
        <v>1</v>
      </c>
      <c r="F1022" s="60">
        <v>0.93492748337265419</v>
      </c>
      <c r="G1022" s="59">
        <v>6.5072516627345811E-2</v>
      </c>
    </row>
    <row r="1023" spans="3:7" x14ac:dyDescent="0.15">
      <c r="C1023" s="43" t="s">
        <v>1340</v>
      </c>
      <c r="D1023" s="42">
        <v>0</v>
      </c>
      <c r="E1023" s="42">
        <v>0</v>
      </c>
      <c r="F1023" s="42">
        <v>3.4558154081885478E-2</v>
      </c>
      <c r="G1023">
        <v>0.96544184591811455</v>
      </c>
    </row>
    <row r="1024" spans="3:7" x14ac:dyDescent="0.15">
      <c r="C1024" s="43" t="s">
        <v>1341</v>
      </c>
      <c r="D1024" s="42">
        <v>0</v>
      </c>
      <c r="E1024" s="42">
        <v>0</v>
      </c>
      <c r="F1024" s="42">
        <v>3.4640443758034496E-2</v>
      </c>
      <c r="G1024">
        <v>0.96535955624196546</v>
      </c>
    </row>
    <row r="1025" spans="3:7" x14ac:dyDescent="0.15">
      <c r="C1025" s="43" t="s">
        <v>1342</v>
      </c>
      <c r="D1025" s="42">
        <v>0</v>
      </c>
      <c r="E1025" s="42">
        <v>0</v>
      </c>
      <c r="F1025" s="42">
        <v>1.4090039042607739E-2</v>
      </c>
      <c r="G1025">
        <v>0.98590996095739225</v>
      </c>
    </row>
    <row r="1026" spans="3:7" x14ac:dyDescent="0.15">
      <c r="C1026" s="43" t="s">
        <v>1343</v>
      </c>
      <c r="D1026" s="42">
        <v>0</v>
      </c>
      <c r="E1026" s="42">
        <v>0</v>
      </c>
      <c r="F1026" s="42">
        <v>0.42552092370720718</v>
      </c>
      <c r="G1026">
        <v>0.57447907629279282</v>
      </c>
    </row>
    <row r="1027" spans="3:7" x14ac:dyDescent="0.15">
      <c r="C1027" s="43" t="s">
        <v>1344</v>
      </c>
      <c r="D1027" s="42">
        <v>0</v>
      </c>
      <c r="E1027" s="42">
        <v>0</v>
      </c>
      <c r="F1027" s="42">
        <v>3.7813501531773347E-2</v>
      </c>
      <c r="G1027">
        <v>0.96218649846822668</v>
      </c>
    </row>
    <row r="1028" spans="3:7" x14ac:dyDescent="0.15">
      <c r="C1028" s="43" t="s">
        <v>1345</v>
      </c>
      <c r="D1028" s="42">
        <v>0</v>
      </c>
      <c r="E1028" s="42">
        <v>0</v>
      </c>
      <c r="F1028" s="42">
        <v>4.4386846212204123E-2</v>
      </c>
      <c r="G1028">
        <v>0.95561315378779588</v>
      </c>
    </row>
    <row r="1029" spans="3:7" x14ac:dyDescent="0.15">
      <c r="C1029" s="61" t="s">
        <v>1346</v>
      </c>
      <c r="D1029" s="60">
        <v>0</v>
      </c>
      <c r="E1029" s="60">
        <v>1</v>
      </c>
      <c r="F1029" s="60">
        <v>0.59007671523162875</v>
      </c>
      <c r="G1029" s="59">
        <v>0.40992328476837125</v>
      </c>
    </row>
    <row r="1030" spans="3:7" x14ac:dyDescent="0.15">
      <c r="C1030" s="43" t="s">
        <v>1347</v>
      </c>
      <c r="D1030" s="42">
        <v>0</v>
      </c>
      <c r="E1030" s="42">
        <v>0</v>
      </c>
      <c r="F1030" s="42">
        <v>0.17104073359817781</v>
      </c>
      <c r="G1030">
        <v>0.82895926640182216</v>
      </c>
    </row>
    <row r="1031" spans="3:7" x14ac:dyDescent="0.15">
      <c r="C1031" s="43" t="s">
        <v>1348</v>
      </c>
      <c r="D1031" s="42">
        <v>0</v>
      </c>
      <c r="E1031" s="42">
        <v>0</v>
      </c>
      <c r="F1031" s="42">
        <v>1.3389990642487799E-3</v>
      </c>
      <c r="G1031">
        <v>0.99866100093575128</v>
      </c>
    </row>
    <row r="1032" spans="3:7" x14ac:dyDescent="0.15">
      <c r="C1032" s="43" t="s">
        <v>1349</v>
      </c>
      <c r="D1032" s="42">
        <v>0</v>
      </c>
      <c r="E1032" s="42">
        <v>0</v>
      </c>
      <c r="F1032" s="42">
        <v>5.2255161213367503E-4</v>
      </c>
      <c r="G1032">
        <v>0.99947744838786634</v>
      </c>
    </row>
    <row r="1033" spans="3:7" x14ac:dyDescent="0.15">
      <c r="C1033" s="43" t="s">
        <v>1350</v>
      </c>
      <c r="D1033" s="42">
        <v>0</v>
      </c>
      <c r="E1033" s="42">
        <v>0</v>
      </c>
      <c r="F1033" s="42">
        <v>0.15756897770927236</v>
      </c>
      <c r="G1033">
        <v>0.84243102229072764</v>
      </c>
    </row>
    <row r="1034" spans="3:7" x14ac:dyDescent="0.15">
      <c r="C1034" s="43" t="s">
        <v>1351</v>
      </c>
      <c r="D1034" s="42">
        <v>0</v>
      </c>
      <c r="E1034" s="42">
        <v>0</v>
      </c>
      <c r="F1034" s="42">
        <v>0.17899904427292937</v>
      </c>
      <c r="G1034">
        <v>0.82100095572707066</v>
      </c>
    </row>
    <row r="1035" spans="3:7" x14ac:dyDescent="0.15">
      <c r="C1035" s="43" t="s">
        <v>1352</v>
      </c>
      <c r="D1035" s="42">
        <v>0</v>
      </c>
      <c r="E1035" s="42">
        <v>0</v>
      </c>
      <c r="F1035" s="42">
        <v>0.14239805207570336</v>
      </c>
      <c r="G1035">
        <v>0.85760194792429667</v>
      </c>
    </row>
    <row r="1036" spans="3:7" x14ac:dyDescent="0.15">
      <c r="C1036" s="43" t="s">
        <v>1353</v>
      </c>
      <c r="D1036" s="42">
        <v>0</v>
      </c>
      <c r="E1036" s="42">
        <v>0</v>
      </c>
      <c r="F1036" s="42">
        <v>0.16894901627220968</v>
      </c>
      <c r="G1036">
        <v>0.83105098372779029</v>
      </c>
    </row>
    <row r="1037" spans="3:7" x14ac:dyDescent="0.15">
      <c r="C1037" s="43" t="s">
        <v>1354</v>
      </c>
      <c r="D1037" s="42">
        <v>1</v>
      </c>
      <c r="E1037" s="42">
        <v>1</v>
      </c>
      <c r="F1037" s="42">
        <v>0.99983610346056129</v>
      </c>
      <c r="G1037">
        <v>1.6389653943871263E-4</v>
      </c>
    </row>
    <row r="1038" spans="3:7" x14ac:dyDescent="0.15">
      <c r="C1038" s="43" t="s">
        <v>1355</v>
      </c>
      <c r="D1038" s="42">
        <v>0</v>
      </c>
      <c r="E1038" s="42">
        <v>0</v>
      </c>
      <c r="F1038" s="42">
        <v>3.8165058597471095E-2</v>
      </c>
      <c r="G1038">
        <v>0.9618349414025289</v>
      </c>
    </row>
    <row r="1039" spans="3:7" x14ac:dyDescent="0.15">
      <c r="C1039" s="43" t="s">
        <v>1356</v>
      </c>
      <c r="D1039" s="42">
        <v>0</v>
      </c>
      <c r="E1039" s="42">
        <v>0</v>
      </c>
      <c r="F1039" s="42">
        <v>0.20977249439708046</v>
      </c>
      <c r="G1039">
        <v>0.79022750560291954</v>
      </c>
    </row>
    <row r="1040" spans="3:7" x14ac:dyDescent="0.15">
      <c r="C1040" s="61" t="s">
        <v>1357</v>
      </c>
      <c r="D1040" s="60">
        <v>0</v>
      </c>
      <c r="E1040" s="60">
        <v>1</v>
      </c>
      <c r="F1040" s="60">
        <v>0.93452528637863641</v>
      </c>
      <c r="G1040" s="59">
        <v>6.5474713621363589E-2</v>
      </c>
    </row>
    <row r="1041" spans="3:7" x14ac:dyDescent="0.15">
      <c r="C1041" s="43" t="s">
        <v>1358</v>
      </c>
      <c r="D1041" s="42">
        <v>0</v>
      </c>
      <c r="E1041" s="42">
        <v>0</v>
      </c>
      <c r="F1041" s="42">
        <v>4.5361859313790269E-2</v>
      </c>
      <c r="G1041">
        <v>0.95463814068620978</v>
      </c>
    </row>
    <row r="1042" spans="3:7" x14ac:dyDescent="0.15">
      <c r="C1042" s="43" t="s">
        <v>1359</v>
      </c>
      <c r="D1042" s="42">
        <v>0</v>
      </c>
      <c r="E1042" s="42">
        <v>0</v>
      </c>
      <c r="F1042" s="42">
        <v>4.4084704099002882E-4</v>
      </c>
      <c r="G1042">
        <v>0.99955915295900999</v>
      </c>
    </row>
    <row r="1043" spans="3:7" x14ac:dyDescent="0.15">
      <c r="C1043" s="43" t="s">
        <v>1360</v>
      </c>
      <c r="D1043" s="42">
        <v>0</v>
      </c>
      <c r="E1043" s="42">
        <v>0</v>
      </c>
      <c r="F1043" s="42">
        <v>8.3585915713207445E-3</v>
      </c>
      <c r="G1043">
        <v>0.99164140842867921</v>
      </c>
    </row>
    <row r="1044" spans="3:7" x14ac:dyDescent="0.15">
      <c r="C1044" s="43" t="s">
        <v>1361</v>
      </c>
      <c r="D1044" s="42">
        <v>0</v>
      </c>
      <c r="E1044" s="42">
        <v>0</v>
      </c>
      <c r="F1044" s="42">
        <v>5.3727513525603041E-3</v>
      </c>
      <c r="G1044">
        <v>0.99462724864743968</v>
      </c>
    </row>
    <row r="1045" spans="3:7" x14ac:dyDescent="0.15">
      <c r="C1045" s="43" t="s">
        <v>1362</v>
      </c>
      <c r="D1045" s="42">
        <v>0</v>
      </c>
      <c r="E1045" s="42">
        <v>0</v>
      </c>
      <c r="F1045" s="42">
        <v>4.4117800170875203E-3</v>
      </c>
      <c r="G1045">
        <v>0.99558821998291247</v>
      </c>
    </row>
    <row r="1046" spans="3:7" x14ac:dyDescent="0.15">
      <c r="C1046" s="43" t="s">
        <v>1363</v>
      </c>
      <c r="D1046" s="42">
        <v>0</v>
      </c>
      <c r="E1046" s="42">
        <v>0</v>
      </c>
      <c r="F1046" s="42">
        <v>1.4387297681925267E-2</v>
      </c>
      <c r="G1046">
        <v>0.98561270231807474</v>
      </c>
    </row>
    <row r="1047" spans="3:7" x14ac:dyDescent="0.15">
      <c r="C1047" s="43" t="s">
        <v>1364</v>
      </c>
      <c r="D1047" s="42">
        <v>0</v>
      </c>
      <c r="E1047" s="42">
        <v>0</v>
      </c>
      <c r="F1047" s="42">
        <v>2.3271735136805175E-3</v>
      </c>
      <c r="G1047">
        <v>0.9976728264863195</v>
      </c>
    </row>
    <row r="1048" spans="3:7" x14ac:dyDescent="0.15">
      <c r="C1048" s="43" t="s">
        <v>1365</v>
      </c>
      <c r="D1048" s="42">
        <v>0</v>
      </c>
      <c r="E1048" s="42">
        <v>0</v>
      </c>
      <c r="F1048" s="42">
        <v>2.6701658378289417E-2</v>
      </c>
      <c r="G1048">
        <v>0.97329834162171058</v>
      </c>
    </row>
    <row r="1049" spans="3:7" x14ac:dyDescent="0.15">
      <c r="C1049" s="43" t="s">
        <v>1366</v>
      </c>
      <c r="D1049" s="42">
        <v>0</v>
      </c>
      <c r="E1049" s="42">
        <v>0</v>
      </c>
      <c r="F1049" s="42">
        <v>0.23651474562762467</v>
      </c>
      <c r="G1049">
        <v>0.76348525437237535</v>
      </c>
    </row>
    <row r="1050" spans="3:7" x14ac:dyDescent="0.15">
      <c r="C1050" s="43" t="s">
        <v>1367</v>
      </c>
      <c r="D1050" s="42">
        <v>0</v>
      </c>
      <c r="E1050" s="42">
        <v>0</v>
      </c>
      <c r="F1050" s="42">
        <v>5.767953447088507E-3</v>
      </c>
      <c r="G1050">
        <v>0.99423204655291153</v>
      </c>
    </row>
    <row r="1051" spans="3:7" x14ac:dyDescent="0.15">
      <c r="C1051" s="43" t="s">
        <v>1368</v>
      </c>
      <c r="D1051" s="42">
        <v>0</v>
      </c>
      <c r="E1051" s="42">
        <v>0</v>
      </c>
      <c r="F1051" s="42">
        <v>1.1255691324606904E-2</v>
      </c>
      <c r="G1051">
        <v>0.98874430867539309</v>
      </c>
    </row>
    <row r="1052" spans="3:7" x14ac:dyDescent="0.15">
      <c r="C1052" s="43" t="s">
        <v>1369</v>
      </c>
      <c r="D1052" s="42">
        <v>0</v>
      </c>
      <c r="E1052" s="42">
        <v>0</v>
      </c>
      <c r="F1052" s="42">
        <v>1.3960695930306695E-3</v>
      </c>
      <c r="G1052">
        <v>0.99860393040696938</v>
      </c>
    </row>
    <row r="1053" spans="3:7" x14ac:dyDescent="0.15">
      <c r="C1053" s="43" t="s">
        <v>1370</v>
      </c>
      <c r="D1053" s="42">
        <v>0</v>
      </c>
      <c r="E1053" s="42">
        <v>0</v>
      </c>
      <c r="F1053" s="42">
        <v>2.5137935056403375E-2</v>
      </c>
      <c r="G1053">
        <v>0.97486206494359662</v>
      </c>
    </row>
    <row r="1054" spans="3:7" x14ac:dyDescent="0.15">
      <c r="C1054" s="43" t="s">
        <v>1371</v>
      </c>
      <c r="D1054" s="42">
        <v>0</v>
      </c>
      <c r="E1054" s="42">
        <v>0</v>
      </c>
      <c r="F1054" s="42">
        <v>2.1653092525053329E-2</v>
      </c>
      <c r="G1054">
        <v>0.97834690747494668</v>
      </c>
    </row>
    <row r="1055" spans="3:7" x14ac:dyDescent="0.15">
      <c r="C1055" s="43" t="s">
        <v>1372</v>
      </c>
      <c r="D1055" s="42">
        <v>0</v>
      </c>
      <c r="E1055" s="42">
        <v>0</v>
      </c>
      <c r="F1055" s="42">
        <v>2.0917785322803237E-2</v>
      </c>
      <c r="G1055">
        <v>0.9790822146771968</v>
      </c>
    </row>
    <row r="1056" spans="3:7" x14ac:dyDescent="0.15">
      <c r="C1056" s="43" t="s">
        <v>1373</v>
      </c>
      <c r="D1056" s="42">
        <v>0</v>
      </c>
      <c r="E1056" s="42">
        <v>0</v>
      </c>
      <c r="F1056" s="42">
        <v>0.14262017209975342</v>
      </c>
      <c r="G1056">
        <v>0.85737982790024658</v>
      </c>
    </row>
    <row r="1057" spans="3:7" x14ac:dyDescent="0.15">
      <c r="C1057" s="43" t="s">
        <v>1374</v>
      </c>
      <c r="D1057" s="42">
        <v>0</v>
      </c>
      <c r="E1057" s="42">
        <v>0</v>
      </c>
      <c r="F1057" s="42">
        <v>4.5843336642089616E-2</v>
      </c>
      <c r="G1057">
        <v>0.95415666335791038</v>
      </c>
    </row>
    <row r="1058" spans="3:7" x14ac:dyDescent="0.15">
      <c r="C1058" s="43" t="s">
        <v>1375</v>
      </c>
      <c r="D1058" s="42">
        <v>0</v>
      </c>
      <c r="E1058" s="42">
        <v>0</v>
      </c>
      <c r="F1058" s="42">
        <v>2.2789033148741002E-2</v>
      </c>
      <c r="G1058">
        <v>0.97721096685125897</v>
      </c>
    </row>
    <row r="1059" spans="3:7" x14ac:dyDescent="0.15">
      <c r="C1059" s="43" t="s">
        <v>1376</v>
      </c>
      <c r="D1059" s="42">
        <v>0</v>
      </c>
      <c r="E1059" s="42">
        <v>0</v>
      </c>
      <c r="F1059" s="42">
        <v>0.31446938197277352</v>
      </c>
      <c r="G1059">
        <v>0.68553061802722648</v>
      </c>
    </row>
    <row r="1060" spans="3:7" x14ac:dyDescent="0.15">
      <c r="C1060" s="43" t="s">
        <v>1377</v>
      </c>
      <c r="D1060" s="42">
        <v>0</v>
      </c>
      <c r="E1060" s="42">
        <v>0</v>
      </c>
      <c r="F1060" s="42">
        <v>1.590457542124127E-3</v>
      </c>
      <c r="G1060">
        <v>0.99840954245787583</v>
      </c>
    </row>
    <row r="1061" spans="3:7" x14ac:dyDescent="0.15">
      <c r="C1061" s="43" t="s">
        <v>1378</v>
      </c>
      <c r="D1061" s="42">
        <v>0</v>
      </c>
      <c r="E1061" s="42">
        <v>0</v>
      </c>
      <c r="F1061" s="42">
        <v>5.4345721222066934E-2</v>
      </c>
      <c r="G1061">
        <v>0.94565427877793307</v>
      </c>
    </row>
    <row r="1062" spans="3:7" x14ac:dyDescent="0.15">
      <c r="C1062" s="43" t="s">
        <v>1379</v>
      </c>
      <c r="D1062" s="42">
        <v>0</v>
      </c>
      <c r="E1062" s="42">
        <v>0</v>
      </c>
      <c r="F1062" s="42">
        <v>4.4082116067963611E-2</v>
      </c>
      <c r="G1062">
        <v>0.95591788393203636</v>
      </c>
    </row>
    <row r="1063" spans="3:7" x14ac:dyDescent="0.15">
      <c r="C1063" s="43" t="s">
        <v>1380</v>
      </c>
      <c r="D1063" s="42">
        <v>0</v>
      </c>
      <c r="E1063" s="42">
        <v>0</v>
      </c>
      <c r="F1063" s="42">
        <v>7.9004882919319716E-2</v>
      </c>
      <c r="G1063">
        <v>0.92099511708068027</v>
      </c>
    </row>
    <row r="1064" spans="3:7" x14ac:dyDescent="0.15">
      <c r="C1064" s="43" t="s">
        <v>1381</v>
      </c>
      <c r="D1064" s="42">
        <v>0</v>
      </c>
      <c r="E1064" s="42">
        <v>0</v>
      </c>
      <c r="F1064" s="42">
        <v>1.0172352313011414E-3</v>
      </c>
      <c r="G1064">
        <v>0.99898276476869885</v>
      </c>
    </row>
    <row r="1065" spans="3:7" x14ac:dyDescent="0.15">
      <c r="C1065" s="43" t="s">
        <v>1382</v>
      </c>
      <c r="D1065" s="42">
        <v>1</v>
      </c>
      <c r="E1065" s="42">
        <v>1</v>
      </c>
      <c r="F1065" s="42">
        <v>0.99726035792572298</v>
      </c>
      <c r="G1065">
        <v>2.7396420742770156E-3</v>
      </c>
    </row>
    <row r="1066" spans="3:7" x14ac:dyDescent="0.15">
      <c r="C1066" s="43" t="s">
        <v>1383</v>
      </c>
      <c r="D1066" s="42">
        <v>0</v>
      </c>
      <c r="E1066" s="42">
        <v>0</v>
      </c>
      <c r="F1066" s="42">
        <v>8.0903202008356552E-3</v>
      </c>
      <c r="G1066">
        <v>0.99190967979916433</v>
      </c>
    </row>
    <row r="1067" spans="3:7" x14ac:dyDescent="0.15">
      <c r="C1067" s="43" t="s">
        <v>1384</v>
      </c>
      <c r="D1067" s="42">
        <v>0</v>
      </c>
      <c r="E1067" s="42">
        <v>0</v>
      </c>
      <c r="F1067" s="42">
        <v>7.5113210446523622E-3</v>
      </c>
      <c r="G1067">
        <v>0.99248867895534765</v>
      </c>
    </row>
    <row r="1068" spans="3:7" x14ac:dyDescent="0.15">
      <c r="C1068" s="43" t="s">
        <v>1385</v>
      </c>
      <c r="D1068" s="42">
        <v>0</v>
      </c>
      <c r="E1068" s="42">
        <v>0</v>
      </c>
      <c r="F1068" s="42">
        <v>1.5238591017141905E-3</v>
      </c>
      <c r="G1068">
        <v>0.99847614089828585</v>
      </c>
    </row>
    <row r="1069" spans="3:7" x14ac:dyDescent="0.15">
      <c r="C1069" s="43" t="s">
        <v>1386</v>
      </c>
      <c r="D1069" s="42">
        <v>0</v>
      </c>
      <c r="E1069" s="42">
        <v>0</v>
      </c>
      <c r="F1069" s="42">
        <v>2.6034763623666191E-2</v>
      </c>
      <c r="G1069">
        <v>0.97396523637633381</v>
      </c>
    </row>
    <row r="1070" spans="3:7" x14ac:dyDescent="0.15">
      <c r="C1070" s="43" t="s">
        <v>1387</v>
      </c>
      <c r="D1070" s="42">
        <v>0</v>
      </c>
      <c r="E1070" s="42">
        <v>0</v>
      </c>
      <c r="F1070" s="42">
        <v>7.5778416186657478E-4</v>
      </c>
      <c r="G1070">
        <v>0.99924221583813344</v>
      </c>
    </row>
    <row r="1071" spans="3:7" x14ac:dyDescent="0.15">
      <c r="C1071" s="43" t="s">
        <v>1388</v>
      </c>
      <c r="D1071" s="42">
        <v>0</v>
      </c>
      <c r="E1071" s="42">
        <v>0</v>
      </c>
      <c r="F1071" s="42">
        <v>2.1300712031403313E-3</v>
      </c>
      <c r="G1071">
        <v>0.99786992879685965</v>
      </c>
    </row>
    <row r="1072" spans="3:7" x14ac:dyDescent="0.15">
      <c r="C1072" s="43" t="s">
        <v>1389</v>
      </c>
      <c r="D1072" s="42">
        <v>0</v>
      </c>
      <c r="E1072" s="42">
        <v>0</v>
      </c>
      <c r="F1072" s="42">
        <v>0.2611447868065111</v>
      </c>
      <c r="G1072">
        <v>0.7388552131934889</v>
      </c>
    </row>
    <row r="1073" spans="3:7" x14ac:dyDescent="0.15">
      <c r="C1073" s="43" t="s">
        <v>1390</v>
      </c>
      <c r="D1073" s="42">
        <v>1</v>
      </c>
      <c r="E1073" s="42">
        <v>1</v>
      </c>
      <c r="F1073" s="42">
        <v>0.98733585139357116</v>
      </c>
      <c r="G1073">
        <v>1.2664148606428838E-2</v>
      </c>
    </row>
    <row r="1074" spans="3:7" x14ac:dyDescent="0.15">
      <c r="C1074" s="43" t="s">
        <v>1391</v>
      </c>
      <c r="D1074" s="42">
        <v>0</v>
      </c>
      <c r="E1074" s="42">
        <v>0</v>
      </c>
      <c r="F1074" s="42">
        <v>4.3155216819239561E-2</v>
      </c>
      <c r="G1074">
        <v>0.95684478318076049</v>
      </c>
    </row>
    <row r="1075" spans="3:7" x14ac:dyDescent="0.15">
      <c r="C1075" s="43" t="s">
        <v>1392</v>
      </c>
      <c r="D1075" s="42">
        <v>0</v>
      </c>
      <c r="E1075" s="42">
        <v>0</v>
      </c>
      <c r="F1075" s="42">
        <v>9.3519773614180818E-2</v>
      </c>
      <c r="G1075">
        <v>0.90648022638581915</v>
      </c>
    </row>
    <row r="1076" spans="3:7" x14ac:dyDescent="0.15">
      <c r="C1076" s="43" t="s">
        <v>1393</v>
      </c>
      <c r="D1076" s="42">
        <v>0</v>
      </c>
      <c r="E1076" s="42">
        <v>0</v>
      </c>
      <c r="F1076" s="42">
        <v>3.051726233195021E-2</v>
      </c>
      <c r="G1076">
        <v>0.96948273766804982</v>
      </c>
    </row>
    <row r="1077" spans="3:7" x14ac:dyDescent="0.15">
      <c r="C1077" s="43" t="s">
        <v>1394</v>
      </c>
      <c r="D1077" s="42">
        <v>0</v>
      </c>
      <c r="E1077" s="42">
        <v>0</v>
      </c>
      <c r="F1077" s="42">
        <v>4.0479138984842152E-3</v>
      </c>
      <c r="G1077">
        <v>0.99595208610151575</v>
      </c>
    </row>
    <row r="1078" spans="3:7" x14ac:dyDescent="0.15">
      <c r="C1078" s="43" t="s">
        <v>1395</v>
      </c>
      <c r="D1078" s="42">
        <v>0</v>
      </c>
      <c r="E1078" s="42">
        <v>0</v>
      </c>
      <c r="F1078" s="42">
        <v>9.7208534788886414E-2</v>
      </c>
      <c r="G1078">
        <v>0.90279146521111353</v>
      </c>
    </row>
    <row r="1079" spans="3:7" x14ac:dyDescent="0.15">
      <c r="C1079" s="43" t="s">
        <v>1396</v>
      </c>
      <c r="D1079" s="42">
        <v>0</v>
      </c>
      <c r="E1079" s="42">
        <v>0</v>
      </c>
      <c r="F1079" s="42">
        <v>1.5252841308114141E-2</v>
      </c>
      <c r="G1079">
        <v>0.98474715869188589</v>
      </c>
    </row>
    <row r="1080" spans="3:7" x14ac:dyDescent="0.15">
      <c r="C1080" s="43" t="s">
        <v>1397</v>
      </c>
      <c r="D1080" s="42">
        <v>0</v>
      </c>
      <c r="E1080" s="42">
        <v>0</v>
      </c>
      <c r="F1080" s="42">
        <v>1.1970354225186712E-2</v>
      </c>
      <c r="G1080">
        <v>0.98802964577481334</v>
      </c>
    </row>
    <row r="1081" spans="3:7" x14ac:dyDescent="0.15">
      <c r="C1081" s="43" t="s">
        <v>1398</v>
      </c>
      <c r="D1081" s="42">
        <v>0</v>
      </c>
      <c r="E1081" s="42">
        <v>0</v>
      </c>
      <c r="F1081" s="42">
        <v>0.2143293186125928</v>
      </c>
      <c r="G1081">
        <v>0.78567068138740725</v>
      </c>
    </row>
    <row r="1082" spans="3:7" x14ac:dyDescent="0.15">
      <c r="C1082" s="43" t="s">
        <v>1399</v>
      </c>
      <c r="D1082" s="42">
        <v>0</v>
      </c>
      <c r="E1082" s="42">
        <v>0</v>
      </c>
      <c r="F1082" s="42">
        <v>0.14176387143765262</v>
      </c>
      <c r="G1082">
        <v>0.85823612856234743</v>
      </c>
    </row>
    <row r="1083" spans="3:7" x14ac:dyDescent="0.15">
      <c r="C1083" s="43" t="s">
        <v>1400</v>
      </c>
      <c r="D1083" s="42">
        <v>0</v>
      </c>
      <c r="E1083" s="42">
        <v>0</v>
      </c>
      <c r="F1083" s="42">
        <v>8.5854284347569518E-3</v>
      </c>
      <c r="G1083">
        <v>0.99141457156524304</v>
      </c>
    </row>
    <row r="1084" spans="3:7" x14ac:dyDescent="0.15">
      <c r="C1084" s="43" t="s">
        <v>1401</v>
      </c>
      <c r="D1084" s="42">
        <v>0</v>
      </c>
      <c r="E1084" s="42">
        <v>0</v>
      </c>
      <c r="F1084" s="42">
        <v>6.0047792831444873E-4</v>
      </c>
      <c r="G1084">
        <v>0.99939952207168559</v>
      </c>
    </row>
    <row r="1085" spans="3:7" x14ac:dyDescent="0.15">
      <c r="C1085" s="43" t="s">
        <v>1402</v>
      </c>
      <c r="D1085" s="42">
        <v>0</v>
      </c>
      <c r="E1085" s="42">
        <v>0</v>
      </c>
      <c r="F1085" s="42">
        <v>0.22899930499461399</v>
      </c>
      <c r="G1085">
        <v>0.77100069500538604</v>
      </c>
    </row>
    <row r="1086" spans="3:7" x14ac:dyDescent="0.15">
      <c r="C1086" s="43" t="s">
        <v>1403</v>
      </c>
      <c r="D1086" s="42">
        <v>0</v>
      </c>
      <c r="E1086" s="42">
        <v>0</v>
      </c>
      <c r="F1086" s="42">
        <v>1.5881369125418106E-2</v>
      </c>
      <c r="G1086">
        <v>0.98411863087458185</v>
      </c>
    </row>
    <row r="1087" spans="3:7" x14ac:dyDescent="0.15">
      <c r="C1087" s="43" t="s">
        <v>1404</v>
      </c>
      <c r="D1087" s="42">
        <v>1</v>
      </c>
      <c r="E1087" s="42">
        <v>1</v>
      </c>
      <c r="F1087" s="42">
        <v>0.98847316479608915</v>
      </c>
      <c r="G1087">
        <v>1.1526835203910846E-2</v>
      </c>
    </row>
    <row r="1088" spans="3:7" x14ac:dyDescent="0.15">
      <c r="C1088" s="43" t="s">
        <v>1405</v>
      </c>
      <c r="D1088" s="42">
        <v>0</v>
      </c>
      <c r="E1088" s="42">
        <v>0</v>
      </c>
      <c r="F1088" s="42">
        <v>3.3789682374770112E-2</v>
      </c>
      <c r="G1088">
        <v>0.96621031762522991</v>
      </c>
    </row>
    <row r="1089" spans="3:7" x14ac:dyDescent="0.15">
      <c r="C1089" s="43" t="s">
        <v>1406</v>
      </c>
      <c r="D1089" s="42">
        <v>0</v>
      </c>
      <c r="E1089" s="42">
        <v>0</v>
      </c>
      <c r="F1089" s="42">
        <v>2.1757644265807965E-3</v>
      </c>
      <c r="G1089">
        <v>0.99782423557341915</v>
      </c>
    </row>
    <row r="1090" spans="3:7" x14ac:dyDescent="0.15">
      <c r="C1090" s="43" t="s">
        <v>1407</v>
      </c>
      <c r="D1090" s="42">
        <v>0</v>
      </c>
      <c r="E1090" s="42">
        <v>0</v>
      </c>
      <c r="F1090" s="42">
        <v>2.9710175649848101E-2</v>
      </c>
      <c r="G1090">
        <v>0.97028982435015187</v>
      </c>
    </row>
    <row r="1091" spans="3:7" x14ac:dyDescent="0.15">
      <c r="C1091" s="43" t="s">
        <v>1408</v>
      </c>
      <c r="D1091" s="42">
        <v>1</v>
      </c>
      <c r="E1091" s="42">
        <v>1</v>
      </c>
      <c r="F1091" s="42">
        <v>0.99657566875361681</v>
      </c>
      <c r="G1091">
        <v>3.4243312463831943E-3</v>
      </c>
    </row>
    <row r="1092" spans="3:7" x14ac:dyDescent="0.15">
      <c r="C1092" s="43" t="s">
        <v>1409</v>
      </c>
      <c r="D1092" s="42">
        <v>0</v>
      </c>
      <c r="E1092" s="42">
        <v>0</v>
      </c>
      <c r="F1092" s="42">
        <v>6.8933171072413724E-3</v>
      </c>
      <c r="G1092">
        <v>0.99310668289275861</v>
      </c>
    </row>
    <row r="1093" spans="3:7" x14ac:dyDescent="0.15">
      <c r="C1093" s="61" t="s">
        <v>1410</v>
      </c>
      <c r="D1093" s="60">
        <v>0</v>
      </c>
      <c r="E1093" s="60">
        <v>1</v>
      </c>
      <c r="F1093" s="60">
        <v>0.76837214848161417</v>
      </c>
      <c r="G1093" s="59">
        <v>0.23162785151838583</v>
      </c>
    </row>
    <row r="1094" spans="3:7" x14ac:dyDescent="0.15">
      <c r="C1094" s="43" t="s">
        <v>1411</v>
      </c>
      <c r="D1094" s="42">
        <v>0</v>
      </c>
      <c r="E1094" s="42">
        <v>0</v>
      </c>
      <c r="F1094" s="42">
        <v>1.1014207490447474E-2</v>
      </c>
      <c r="G1094">
        <v>0.98898579250955254</v>
      </c>
    </row>
    <row r="1095" spans="3:7" x14ac:dyDescent="0.15">
      <c r="C1095" s="43" t="s">
        <v>1412</v>
      </c>
      <c r="D1095" s="42">
        <v>0</v>
      </c>
      <c r="E1095" s="42">
        <v>0</v>
      </c>
      <c r="F1095" s="42">
        <v>3.3073464264298198E-2</v>
      </c>
      <c r="G1095">
        <v>0.96692653573570175</v>
      </c>
    </row>
    <row r="1096" spans="3:7" x14ac:dyDescent="0.15">
      <c r="C1096" s="43" t="s">
        <v>1413</v>
      </c>
      <c r="D1096" s="42">
        <v>0</v>
      </c>
      <c r="E1096" s="42">
        <v>0</v>
      </c>
      <c r="F1096" s="42">
        <v>3.7541266529131458E-2</v>
      </c>
      <c r="G1096">
        <v>0.96245873347086852</v>
      </c>
    </row>
    <row r="1097" spans="3:7" x14ac:dyDescent="0.15">
      <c r="C1097" s="43" t="s">
        <v>1414</v>
      </c>
      <c r="D1097" s="42">
        <v>1</v>
      </c>
      <c r="E1097" s="42">
        <v>1</v>
      </c>
      <c r="F1097" s="42">
        <v>0.92642786469168081</v>
      </c>
      <c r="G1097">
        <v>7.3572135308319186E-2</v>
      </c>
    </row>
    <row r="1098" spans="3:7" x14ac:dyDescent="0.15">
      <c r="C1098" s="43" t="s">
        <v>1415</v>
      </c>
      <c r="D1098" s="42">
        <v>0</v>
      </c>
      <c r="E1098" s="42">
        <v>0</v>
      </c>
      <c r="F1098" s="42">
        <v>0.10682198123608549</v>
      </c>
      <c r="G1098">
        <v>0.89317801876391445</v>
      </c>
    </row>
    <row r="1099" spans="3:7" x14ac:dyDescent="0.15">
      <c r="C1099" s="43" t="s">
        <v>1416</v>
      </c>
      <c r="D1099" s="42">
        <v>0</v>
      </c>
      <c r="E1099" s="42">
        <v>0</v>
      </c>
      <c r="F1099" s="42">
        <v>2.0296322782745849E-2</v>
      </c>
      <c r="G1099">
        <v>0.97970367721725415</v>
      </c>
    </row>
    <row r="1100" spans="3:7" x14ac:dyDescent="0.15">
      <c r="C1100" s="43" t="s">
        <v>1417</v>
      </c>
      <c r="D1100" s="42">
        <v>0</v>
      </c>
      <c r="E1100" s="42">
        <v>0</v>
      </c>
      <c r="F1100" s="42">
        <v>7.088620513663143E-4</v>
      </c>
      <c r="G1100">
        <v>0.99929113794863367</v>
      </c>
    </row>
    <row r="1101" spans="3:7" x14ac:dyDescent="0.15">
      <c r="C1101" s="43" t="s">
        <v>1418</v>
      </c>
      <c r="D1101" s="42">
        <v>0</v>
      </c>
      <c r="E1101" s="42">
        <v>0</v>
      </c>
      <c r="F1101" s="42">
        <v>6.7599738688370631E-2</v>
      </c>
      <c r="G1101">
        <v>0.93240026131162934</v>
      </c>
    </row>
    <row r="1102" spans="3:7" x14ac:dyDescent="0.15">
      <c r="C1102" s="43" t="s">
        <v>1419</v>
      </c>
      <c r="D1102" s="42">
        <v>0</v>
      </c>
      <c r="E1102" s="42">
        <v>0</v>
      </c>
      <c r="F1102" s="42">
        <v>2.9350003026871008E-2</v>
      </c>
      <c r="G1102">
        <v>0.97064999697312904</v>
      </c>
    </row>
    <row r="1103" spans="3:7" x14ac:dyDescent="0.15">
      <c r="C1103" s="43" t="s">
        <v>1420</v>
      </c>
      <c r="D1103" s="42">
        <v>0</v>
      </c>
      <c r="E1103" s="42">
        <v>0</v>
      </c>
      <c r="F1103" s="42">
        <v>8.1212951951379405E-4</v>
      </c>
      <c r="G1103">
        <v>0.99918787048048618</v>
      </c>
    </row>
    <row r="1104" spans="3:7" x14ac:dyDescent="0.15">
      <c r="C1104" s="43" t="s">
        <v>1421</v>
      </c>
      <c r="D1104" s="42">
        <v>0</v>
      </c>
      <c r="E1104" s="42">
        <v>0</v>
      </c>
      <c r="F1104" s="42">
        <v>0.13820762722397986</v>
      </c>
      <c r="G1104">
        <v>0.86179237277602017</v>
      </c>
    </row>
    <row r="1105" spans="3:7" x14ac:dyDescent="0.15">
      <c r="C1105" s="43" t="s">
        <v>1422</v>
      </c>
      <c r="D1105" s="42">
        <v>0</v>
      </c>
      <c r="E1105" s="42">
        <v>0</v>
      </c>
      <c r="F1105" s="42">
        <v>6.7485325053899883E-2</v>
      </c>
      <c r="G1105">
        <v>0.93251467494610008</v>
      </c>
    </row>
    <row r="1106" spans="3:7" x14ac:dyDescent="0.15">
      <c r="C1106" s="43" t="s">
        <v>1423</v>
      </c>
      <c r="D1106" s="42">
        <v>1</v>
      </c>
      <c r="E1106" s="42">
        <v>1</v>
      </c>
      <c r="F1106" s="42">
        <v>0.99929529541632978</v>
      </c>
      <c r="G1106">
        <v>7.0470458367022371E-4</v>
      </c>
    </row>
    <row r="1107" spans="3:7" x14ac:dyDescent="0.15">
      <c r="C1107" s="61" t="s">
        <v>1424</v>
      </c>
      <c r="D1107" s="60">
        <v>0</v>
      </c>
      <c r="E1107" s="60">
        <v>1</v>
      </c>
      <c r="F1107" s="60">
        <v>0.96626403323354948</v>
      </c>
      <c r="G1107" s="59">
        <v>3.373596676645052E-2</v>
      </c>
    </row>
    <row r="1108" spans="3:7" x14ac:dyDescent="0.15">
      <c r="C1108" s="43" t="s">
        <v>1425</v>
      </c>
      <c r="D1108" s="42">
        <v>0</v>
      </c>
      <c r="E1108" s="42">
        <v>0</v>
      </c>
      <c r="F1108" s="42">
        <v>0.27987595244352304</v>
      </c>
      <c r="G1108">
        <v>0.72012404755647696</v>
      </c>
    </row>
    <row r="1109" spans="3:7" x14ac:dyDescent="0.15">
      <c r="C1109" s="43" t="s">
        <v>1426</v>
      </c>
      <c r="D1109" s="42">
        <v>0</v>
      </c>
      <c r="E1109" s="42">
        <v>0</v>
      </c>
      <c r="F1109" s="42">
        <v>2.3700679054665464E-3</v>
      </c>
      <c r="G1109">
        <v>0.99762993209453343</v>
      </c>
    </row>
    <row r="1110" spans="3:7" x14ac:dyDescent="0.15">
      <c r="C1110" s="43" t="s">
        <v>1427</v>
      </c>
      <c r="D1110" s="42">
        <v>0</v>
      </c>
      <c r="E1110" s="42">
        <v>0</v>
      </c>
      <c r="F1110" s="42">
        <v>5.6863272129277454E-3</v>
      </c>
      <c r="G1110">
        <v>0.99431367278707228</v>
      </c>
    </row>
    <row r="1111" spans="3:7" x14ac:dyDescent="0.15">
      <c r="C1111" s="43" t="s">
        <v>1428</v>
      </c>
      <c r="D1111" s="42">
        <v>0</v>
      </c>
      <c r="E1111" s="42">
        <v>0</v>
      </c>
      <c r="F1111" s="42">
        <v>1.1798653500798399E-2</v>
      </c>
      <c r="G1111">
        <v>0.98820134649920155</v>
      </c>
    </row>
    <row r="1112" spans="3:7" x14ac:dyDescent="0.15">
      <c r="C1112" s="43" t="s">
        <v>1429</v>
      </c>
      <c r="D1112" s="42">
        <v>0</v>
      </c>
      <c r="E1112" s="42">
        <v>0</v>
      </c>
      <c r="F1112" s="42">
        <v>1.6380450510771166E-3</v>
      </c>
      <c r="G1112">
        <v>0.99836195494892288</v>
      </c>
    </row>
    <row r="1113" spans="3:7" x14ac:dyDescent="0.15">
      <c r="C1113" s="43" t="s">
        <v>1430</v>
      </c>
      <c r="D1113" s="42">
        <v>0</v>
      </c>
      <c r="E1113" s="42">
        <v>0</v>
      </c>
      <c r="F1113" s="42">
        <v>2.8640552028082519E-2</v>
      </c>
      <c r="G1113">
        <v>0.97135944797191753</v>
      </c>
    </row>
    <row r="1114" spans="3:7" x14ac:dyDescent="0.15">
      <c r="C1114" s="43" t="s">
        <v>1431</v>
      </c>
      <c r="D1114" s="42">
        <v>0</v>
      </c>
      <c r="E1114" s="42">
        <v>0</v>
      </c>
      <c r="F1114" s="42">
        <v>6.6645330112945966E-3</v>
      </c>
      <c r="G1114">
        <v>0.99333546698870545</v>
      </c>
    </row>
    <row r="1115" spans="3:7" x14ac:dyDescent="0.15">
      <c r="C1115" s="43" t="s">
        <v>1432</v>
      </c>
      <c r="D1115" s="42">
        <v>0</v>
      </c>
      <c r="E1115" s="42">
        <v>0</v>
      </c>
      <c r="F1115" s="42">
        <v>2.9901917458331089E-3</v>
      </c>
      <c r="G1115">
        <v>0.99700980825416685</v>
      </c>
    </row>
    <row r="1116" spans="3:7" x14ac:dyDescent="0.15">
      <c r="C1116" s="43" t="s">
        <v>1433</v>
      </c>
      <c r="D1116" s="42">
        <v>0</v>
      </c>
      <c r="E1116" s="42">
        <v>0</v>
      </c>
      <c r="F1116" s="42">
        <v>0.25707911385246596</v>
      </c>
      <c r="G1116">
        <v>0.74292088614753404</v>
      </c>
    </row>
    <row r="1117" spans="3:7" x14ac:dyDescent="0.15">
      <c r="C1117" s="43" t="s">
        <v>1434</v>
      </c>
      <c r="D1117" s="42">
        <v>0</v>
      </c>
      <c r="E1117" s="42">
        <v>0</v>
      </c>
      <c r="F1117" s="42">
        <v>2.2814082799354437E-3</v>
      </c>
      <c r="G1117">
        <v>0.99771859172006461</v>
      </c>
    </row>
    <row r="1118" spans="3:7" x14ac:dyDescent="0.15">
      <c r="C1118" s="43" t="s">
        <v>1435</v>
      </c>
      <c r="D1118" s="42">
        <v>0</v>
      </c>
      <c r="E1118" s="42">
        <v>0</v>
      </c>
      <c r="F1118" s="42">
        <v>0.17164567082042975</v>
      </c>
      <c r="G1118">
        <v>0.8283543291795703</v>
      </c>
    </row>
    <row r="1119" spans="3:7" x14ac:dyDescent="0.15">
      <c r="C1119" s="43" t="s">
        <v>1436</v>
      </c>
      <c r="D1119" s="42">
        <v>0</v>
      </c>
      <c r="E1119" s="42">
        <v>0</v>
      </c>
      <c r="F1119" s="42">
        <v>1.366747175097214E-3</v>
      </c>
      <c r="G1119">
        <v>0.99863325282490278</v>
      </c>
    </row>
    <row r="1120" spans="3:7" x14ac:dyDescent="0.15">
      <c r="C1120" s="43" t="s">
        <v>1437</v>
      </c>
      <c r="D1120" s="42">
        <v>0</v>
      </c>
      <c r="E1120" s="42">
        <v>0</v>
      </c>
      <c r="F1120" s="42">
        <v>9.390511073661896E-2</v>
      </c>
      <c r="G1120">
        <v>0.906094889263381</v>
      </c>
    </row>
    <row r="1121" spans="3:7" x14ac:dyDescent="0.15">
      <c r="C1121" s="43" t="s">
        <v>1438</v>
      </c>
      <c r="D1121" s="42">
        <v>0</v>
      </c>
      <c r="E1121" s="42">
        <v>0</v>
      </c>
      <c r="F1121" s="42">
        <v>0.15593787559147868</v>
      </c>
      <c r="G1121">
        <v>0.84406212440852135</v>
      </c>
    </row>
    <row r="1122" spans="3:7" x14ac:dyDescent="0.15">
      <c r="C1122" s="43" t="s">
        <v>1439</v>
      </c>
      <c r="D1122" s="42">
        <v>0</v>
      </c>
      <c r="E1122" s="42">
        <v>0</v>
      </c>
      <c r="F1122" s="42">
        <v>0.11087378273929263</v>
      </c>
      <c r="G1122">
        <v>0.8891262172607074</v>
      </c>
    </row>
    <row r="1123" spans="3:7" x14ac:dyDescent="0.15">
      <c r="C1123" s="43" t="s">
        <v>1440</v>
      </c>
      <c r="D1123" s="42">
        <v>0</v>
      </c>
      <c r="E1123" s="42">
        <v>0</v>
      </c>
      <c r="F1123" s="42">
        <v>1.0656234719942075E-2</v>
      </c>
      <c r="G1123">
        <v>0.98934376528005796</v>
      </c>
    </row>
    <row r="1124" spans="3:7" x14ac:dyDescent="0.15">
      <c r="C1124" s="43" t="s">
        <v>1441</v>
      </c>
      <c r="D1124" s="42">
        <v>0</v>
      </c>
      <c r="E1124" s="42">
        <v>0</v>
      </c>
      <c r="F1124" s="42">
        <v>4.6585686837521323E-3</v>
      </c>
      <c r="G1124">
        <v>0.99534143131624786</v>
      </c>
    </row>
    <row r="1125" spans="3:7" x14ac:dyDescent="0.15">
      <c r="C1125" s="43" t="s">
        <v>1442</v>
      </c>
      <c r="D1125" s="42">
        <v>1</v>
      </c>
      <c r="E1125" s="42">
        <v>1</v>
      </c>
      <c r="F1125" s="42">
        <v>0.98810443803059467</v>
      </c>
      <c r="G1125">
        <v>1.1895561969405333E-2</v>
      </c>
    </row>
    <row r="1126" spans="3:7" x14ac:dyDescent="0.15">
      <c r="C1126" s="43" t="s">
        <v>1443</v>
      </c>
      <c r="D1126" s="42">
        <v>1</v>
      </c>
      <c r="E1126" s="42">
        <v>1</v>
      </c>
      <c r="F1126" s="42">
        <v>0.94254750992863745</v>
      </c>
      <c r="G1126">
        <v>5.745249007136255E-2</v>
      </c>
    </row>
    <row r="1127" spans="3:7" x14ac:dyDescent="0.15">
      <c r="C1127" s="43" t="s">
        <v>1444</v>
      </c>
      <c r="D1127" s="42">
        <v>0</v>
      </c>
      <c r="E1127" s="42">
        <v>0</v>
      </c>
      <c r="F1127" s="42">
        <v>6.2589251863810799E-2</v>
      </c>
      <c r="G1127">
        <v>0.93741074813618919</v>
      </c>
    </row>
    <row r="1128" spans="3:7" x14ac:dyDescent="0.15">
      <c r="C1128" s="43" t="s">
        <v>1445</v>
      </c>
      <c r="D1128" s="42">
        <v>0</v>
      </c>
      <c r="E1128" s="42">
        <v>0</v>
      </c>
      <c r="F1128" s="42">
        <v>4.676300955312715E-4</v>
      </c>
      <c r="G1128">
        <v>0.9995323699044687</v>
      </c>
    </row>
    <row r="1129" spans="3:7" x14ac:dyDescent="0.15">
      <c r="C1129" s="43" t="s">
        <v>1446</v>
      </c>
      <c r="D1129" s="42">
        <v>0</v>
      </c>
      <c r="E1129" s="42">
        <v>0</v>
      </c>
      <c r="F1129" s="42">
        <v>2.979281855488824E-4</v>
      </c>
      <c r="G1129">
        <v>0.99970207181445114</v>
      </c>
    </row>
    <row r="1130" spans="3:7" x14ac:dyDescent="0.15">
      <c r="C1130" s="43" t="s">
        <v>1447</v>
      </c>
      <c r="D1130" s="42">
        <v>0</v>
      </c>
      <c r="E1130" s="42">
        <v>0</v>
      </c>
      <c r="F1130" s="42">
        <v>8.0929732037062375E-3</v>
      </c>
      <c r="G1130">
        <v>0.99190702679629372</v>
      </c>
    </row>
    <row r="1131" spans="3:7" x14ac:dyDescent="0.15">
      <c r="C1131" s="43" t="s">
        <v>1448</v>
      </c>
      <c r="D1131" s="42">
        <v>0</v>
      </c>
      <c r="E1131" s="42">
        <v>0</v>
      </c>
      <c r="F1131" s="42">
        <v>0.16732289521040369</v>
      </c>
      <c r="G1131">
        <v>0.83267710478959633</v>
      </c>
    </row>
    <row r="1132" spans="3:7" x14ac:dyDescent="0.15">
      <c r="C1132" s="43" t="s">
        <v>1449</v>
      </c>
      <c r="D1132" s="42">
        <v>0</v>
      </c>
      <c r="E1132" s="42">
        <v>0</v>
      </c>
      <c r="F1132" s="42">
        <v>5.106933885944985E-2</v>
      </c>
      <c r="G1132">
        <v>0.94893066114055014</v>
      </c>
    </row>
    <row r="1133" spans="3:7" x14ac:dyDescent="0.15">
      <c r="C1133" s="43" t="s">
        <v>1450</v>
      </c>
      <c r="D1133" s="42">
        <v>0</v>
      </c>
      <c r="E1133" s="42">
        <v>0</v>
      </c>
      <c r="F1133" s="42">
        <v>3.9007003108914577E-2</v>
      </c>
      <c r="G1133">
        <v>0.96099299689108542</v>
      </c>
    </row>
    <row r="1134" spans="3:7" x14ac:dyDescent="0.15">
      <c r="C1134" s="43" t="s">
        <v>1451</v>
      </c>
      <c r="D1134" s="42">
        <v>0</v>
      </c>
      <c r="E1134" s="42">
        <v>0</v>
      </c>
      <c r="F1134" s="42">
        <v>1.052617937841179E-2</v>
      </c>
      <c r="G1134">
        <v>0.98947382062158817</v>
      </c>
    </row>
    <row r="1135" spans="3:7" x14ac:dyDescent="0.15">
      <c r="C1135" s="43" t="s">
        <v>1452</v>
      </c>
      <c r="D1135" s="42">
        <v>0</v>
      </c>
      <c r="E1135" s="42">
        <v>0</v>
      </c>
      <c r="F1135" s="42">
        <v>1.9329821818591733E-2</v>
      </c>
      <c r="G1135">
        <v>0.98067017818140823</v>
      </c>
    </row>
    <row r="1136" spans="3:7" x14ac:dyDescent="0.15">
      <c r="C1136" s="43" t="s">
        <v>1453</v>
      </c>
      <c r="D1136" s="42">
        <v>0</v>
      </c>
      <c r="E1136" s="42">
        <v>0</v>
      </c>
      <c r="F1136" s="42">
        <v>0.4910937830295784</v>
      </c>
      <c r="G1136">
        <v>0.5089062169704216</v>
      </c>
    </row>
    <row r="1137" spans="3:7" x14ac:dyDescent="0.15">
      <c r="C1137" s="43" t="s">
        <v>1454</v>
      </c>
      <c r="D1137" s="42">
        <v>0</v>
      </c>
      <c r="E1137" s="42">
        <v>0</v>
      </c>
      <c r="F1137" s="42">
        <v>9.1282830170053217E-2</v>
      </c>
      <c r="G1137">
        <v>0.90871716982994677</v>
      </c>
    </row>
    <row r="1138" spans="3:7" x14ac:dyDescent="0.15">
      <c r="C1138" s="43" t="s">
        <v>1455</v>
      </c>
      <c r="D1138" s="42">
        <v>0</v>
      </c>
      <c r="E1138" s="42">
        <v>0</v>
      </c>
      <c r="F1138" s="42">
        <v>1.0971826947903539E-3</v>
      </c>
      <c r="G1138">
        <v>0.99890281730520969</v>
      </c>
    </row>
    <row r="1139" spans="3:7" x14ac:dyDescent="0.15">
      <c r="C1139" s="43" t="s">
        <v>1456</v>
      </c>
      <c r="D1139" s="42">
        <v>0</v>
      </c>
      <c r="E1139" s="42">
        <v>0</v>
      </c>
      <c r="F1139" s="42">
        <v>0.13689500502993512</v>
      </c>
      <c r="G1139">
        <v>0.86310499497006488</v>
      </c>
    </row>
    <row r="1140" spans="3:7" x14ac:dyDescent="0.15">
      <c r="C1140" s="43" t="s">
        <v>1457</v>
      </c>
      <c r="D1140" s="42">
        <v>0</v>
      </c>
      <c r="E1140" s="42">
        <v>0</v>
      </c>
      <c r="F1140" s="42">
        <v>2.5292260152597018E-3</v>
      </c>
      <c r="G1140">
        <v>0.99747077398474027</v>
      </c>
    </row>
    <row r="1141" spans="3:7" x14ac:dyDescent="0.15">
      <c r="C1141" s="43" t="s">
        <v>1458</v>
      </c>
      <c r="D1141" s="42">
        <v>0</v>
      </c>
      <c r="E1141" s="42">
        <v>0</v>
      </c>
      <c r="F1141" s="42">
        <v>1.7390006889097566E-2</v>
      </c>
      <c r="G1141">
        <v>0.98260999311090247</v>
      </c>
    </row>
    <row r="1142" spans="3:7" x14ac:dyDescent="0.15">
      <c r="C1142" s="43" t="s">
        <v>1459</v>
      </c>
      <c r="D1142" s="42">
        <v>1</v>
      </c>
      <c r="E1142" s="42">
        <v>1</v>
      </c>
      <c r="F1142" s="42">
        <v>0.98866086454783375</v>
      </c>
      <c r="G1142">
        <v>1.1339135452166249E-2</v>
      </c>
    </row>
    <row r="1143" spans="3:7" x14ac:dyDescent="0.15">
      <c r="C1143" s="61" t="s">
        <v>1460</v>
      </c>
      <c r="D1143" s="60">
        <v>0</v>
      </c>
      <c r="E1143" s="60">
        <v>1</v>
      </c>
      <c r="F1143" s="60">
        <v>0.57500932945630123</v>
      </c>
      <c r="G1143" s="59">
        <v>0.42499067054369877</v>
      </c>
    </row>
    <row r="1144" spans="3:7" x14ac:dyDescent="0.15">
      <c r="C1144" s="43" t="s">
        <v>1461</v>
      </c>
      <c r="D1144" s="42">
        <v>0</v>
      </c>
      <c r="E1144" s="42">
        <v>0</v>
      </c>
      <c r="F1144" s="42">
        <v>0.16202129261620588</v>
      </c>
      <c r="G1144">
        <v>0.8379787073837941</v>
      </c>
    </row>
    <row r="1145" spans="3:7" x14ac:dyDescent="0.15">
      <c r="C1145" s="61" t="s">
        <v>1462</v>
      </c>
      <c r="D1145" s="60">
        <v>0</v>
      </c>
      <c r="E1145" s="60">
        <v>1</v>
      </c>
      <c r="F1145" s="60">
        <v>0.87519165791419351</v>
      </c>
      <c r="G1145" s="59">
        <v>0.12480834208580649</v>
      </c>
    </row>
    <row r="1146" spans="3:7" x14ac:dyDescent="0.15">
      <c r="C1146" s="43" t="s">
        <v>1463</v>
      </c>
      <c r="D1146" s="42">
        <v>0</v>
      </c>
      <c r="E1146" s="42">
        <v>0</v>
      </c>
      <c r="F1146" s="42">
        <v>0.48294472952546763</v>
      </c>
      <c r="G1146">
        <v>0.51705527047453237</v>
      </c>
    </row>
    <row r="1147" spans="3:7" x14ac:dyDescent="0.15">
      <c r="C1147" s="43" t="s">
        <v>1464</v>
      </c>
      <c r="D1147" s="42">
        <v>0</v>
      </c>
      <c r="E1147" s="42">
        <v>0</v>
      </c>
      <c r="F1147" s="42">
        <v>0.23443642524405284</v>
      </c>
      <c r="G1147">
        <v>0.76556357475594716</v>
      </c>
    </row>
    <row r="1148" spans="3:7" x14ac:dyDescent="0.15">
      <c r="C1148" s="43" t="s">
        <v>1465</v>
      </c>
      <c r="D1148" s="42">
        <v>0</v>
      </c>
      <c r="E1148" s="42">
        <v>0</v>
      </c>
      <c r="F1148" s="42">
        <v>9.6337824858297588E-2</v>
      </c>
      <c r="G1148">
        <v>0.90366217514170244</v>
      </c>
    </row>
    <row r="1149" spans="3:7" x14ac:dyDescent="0.15">
      <c r="C1149" s="43" t="s">
        <v>1466</v>
      </c>
      <c r="D1149" s="42">
        <v>0</v>
      </c>
      <c r="E1149" s="42">
        <v>0</v>
      </c>
      <c r="F1149" s="42">
        <v>0.446094130168737</v>
      </c>
      <c r="G1149">
        <v>0.553905869831263</v>
      </c>
    </row>
    <row r="1150" spans="3:7" x14ac:dyDescent="0.15">
      <c r="C1150" s="43" t="s">
        <v>1467</v>
      </c>
      <c r="D1150" s="42">
        <v>0</v>
      </c>
      <c r="E1150" s="42">
        <v>0</v>
      </c>
      <c r="F1150" s="42">
        <v>0.22519940154666099</v>
      </c>
      <c r="G1150">
        <v>0.77480059845333904</v>
      </c>
    </row>
    <row r="1151" spans="3:7" x14ac:dyDescent="0.15">
      <c r="C1151" s="43" t="s">
        <v>1468</v>
      </c>
      <c r="D1151" s="42">
        <v>1</v>
      </c>
      <c r="E1151" s="42">
        <v>1</v>
      </c>
      <c r="F1151" s="42">
        <v>0.94859421138981292</v>
      </c>
      <c r="G1151">
        <v>5.1405788610187075E-2</v>
      </c>
    </row>
    <row r="1152" spans="3:7" x14ac:dyDescent="0.15">
      <c r="C1152" s="43" t="s">
        <v>1469</v>
      </c>
      <c r="D1152" s="42">
        <v>0</v>
      </c>
      <c r="E1152" s="42">
        <v>0</v>
      </c>
      <c r="F1152" s="42">
        <v>3.3624248394241815E-2</v>
      </c>
      <c r="G1152">
        <v>0.96637575160575817</v>
      </c>
    </row>
    <row r="1153" spans="3:7" x14ac:dyDescent="0.15">
      <c r="C1153" s="43" t="s">
        <v>1470</v>
      </c>
      <c r="D1153" s="42">
        <v>0</v>
      </c>
      <c r="E1153" s="42">
        <v>0</v>
      </c>
      <c r="F1153" s="42">
        <v>1.0663826967178693E-2</v>
      </c>
      <c r="G1153">
        <v>0.98933617303282129</v>
      </c>
    </row>
    <row r="1154" spans="3:7" x14ac:dyDescent="0.15">
      <c r="C1154" s="43" t="s">
        <v>1471</v>
      </c>
      <c r="D1154" s="42">
        <v>0</v>
      </c>
      <c r="E1154" s="42">
        <v>0</v>
      </c>
      <c r="F1154" s="42">
        <v>8.4467829199162646E-3</v>
      </c>
      <c r="G1154">
        <v>0.9915532170800837</v>
      </c>
    </row>
    <row r="1155" spans="3:7" x14ac:dyDescent="0.15">
      <c r="C1155" s="43" t="s">
        <v>1472</v>
      </c>
      <c r="D1155" s="42">
        <v>0</v>
      </c>
      <c r="E1155" s="42">
        <v>0</v>
      </c>
      <c r="F1155" s="42">
        <v>4.5764432832664563E-2</v>
      </c>
      <c r="G1155">
        <v>0.95423556716733549</v>
      </c>
    </row>
    <row r="1156" spans="3:7" x14ac:dyDescent="0.15">
      <c r="C1156" s="43" t="s">
        <v>1473</v>
      </c>
      <c r="D1156" s="42">
        <v>1</v>
      </c>
      <c r="E1156" s="42">
        <v>1</v>
      </c>
      <c r="F1156" s="42">
        <v>0.99419580757535364</v>
      </c>
      <c r="G1156">
        <v>5.8041924246463594E-3</v>
      </c>
    </row>
    <row r="1157" spans="3:7" x14ac:dyDescent="0.15">
      <c r="C1157" s="43" t="s">
        <v>1474</v>
      </c>
      <c r="D1157" s="42">
        <v>1</v>
      </c>
      <c r="E1157" s="42">
        <v>1</v>
      </c>
      <c r="F1157" s="42">
        <v>0.99373044727021997</v>
      </c>
      <c r="G1157">
        <v>6.2695527297800258E-3</v>
      </c>
    </row>
    <row r="1158" spans="3:7" x14ac:dyDescent="0.15">
      <c r="C1158" s="43" t="s">
        <v>1475</v>
      </c>
      <c r="D1158" s="42">
        <v>0</v>
      </c>
      <c r="E1158" s="42">
        <v>0</v>
      </c>
      <c r="F1158" s="42">
        <v>0.49656016354719956</v>
      </c>
      <c r="G1158">
        <v>0.50343983645280044</v>
      </c>
    </row>
    <row r="1159" spans="3:7" x14ac:dyDescent="0.15">
      <c r="C1159" s="43" t="s">
        <v>1476</v>
      </c>
      <c r="D1159" s="42">
        <v>0</v>
      </c>
      <c r="E1159" s="42">
        <v>0</v>
      </c>
      <c r="F1159" s="42">
        <v>2.2538566597925865E-2</v>
      </c>
      <c r="G1159">
        <v>0.97746143340207414</v>
      </c>
    </row>
    <row r="1160" spans="3:7" x14ac:dyDescent="0.15">
      <c r="C1160" s="43" t="s">
        <v>1477</v>
      </c>
      <c r="D1160" s="42">
        <v>1</v>
      </c>
      <c r="E1160" s="42">
        <v>1</v>
      </c>
      <c r="F1160" s="42">
        <v>0.99687211976973322</v>
      </c>
      <c r="G1160">
        <v>3.1278802302667774E-3</v>
      </c>
    </row>
    <row r="1161" spans="3:7" x14ac:dyDescent="0.15">
      <c r="C1161" s="43" t="s">
        <v>1478</v>
      </c>
      <c r="D1161" s="42">
        <v>0</v>
      </c>
      <c r="E1161" s="42">
        <v>0</v>
      </c>
      <c r="F1161" s="42">
        <v>1.2810855621589354E-2</v>
      </c>
      <c r="G1161">
        <v>0.98718914437841065</v>
      </c>
    </row>
    <row r="1162" spans="3:7" x14ac:dyDescent="0.15">
      <c r="C1162" s="43" t="s">
        <v>1479</v>
      </c>
      <c r="D1162" s="42">
        <v>0</v>
      </c>
      <c r="E1162" s="42">
        <v>0</v>
      </c>
      <c r="F1162" s="42">
        <v>3.3771275159789567E-2</v>
      </c>
      <c r="G1162">
        <v>0.96622872484021038</v>
      </c>
    </row>
    <row r="1163" spans="3:7" x14ac:dyDescent="0.15">
      <c r="C1163" s="43" t="s">
        <v>1480</v>
      </c>
      <c r="D1163" s="42">
        <v>0</v>
      </c>
      <c r="E1163" s="42">
        <v>0</v>
      </c>
      <c r="F1163" s="42">
        <v>5.3457568632991675E-3</v>
      </c>
      <c r="G1163">
        <v>0.99465424313670081</v>
      </c>
    </row>
    <row r="1164" spans="3:7" x14ac:dyDescent="0.15">
      <c r="C1164" s="43" t="s">
        <v>1481</v>
      </c>
      <c r="D1164" s="42">
        <v>0</v>
      </c>
      <c r="E1164" s="42">
        <v>0</v>
      </c>
      <c r="F1164" s="42">
        <v>1.3894406833983615E-2</v>
      </c>
      <c r="G1164">
        <v>0.98610559316601643</v>
      </c>
    </row>
    <row r="1165" spans="3:7" x14ac:dyDescent="0.15">
      <c r="C1165" s="43" t="s">
        <v>1482</v>
      </c>
      <c r="D1165" s="42">
        <v>0</v>
      </c>
      <c r="E1165" s="42">
        <v>0</v>
      </c>
      <c r="F1165" s="42">
        <v>5.8983943005601423E-4</v>
      </c>
      <c r="G1165">
        <v>0.99941016056994403</v>
      </c>
    </row>
    <row r="1166" spans="3:7" x14ac:dyDescent="0.15">
      <c r="C1166" s="43" t="s">
        <v>1483</v>
      </c>
      <c r="D1166" s="42">
        <v>0</v>
      </c>
      <c r="E1166" s="42">
        <v>0</v>
      </c>
      <c r="F1166" s="42">
        <v>6.0810036756120095E-2</v>
      </c>
      <c r="G1166">
        <v>0.93918996324387993</v>
      </c>
    </row>
    <row r="1167" spans="3:7" x14ac:dyDescent="0.15">
      <c r="C1167" s="43" t="s">
        <v>1484</v>
      </c>
      <c r="D1167" s="42">
        <v>0</v>
      </c>
      <c r="E1167" s="42">
        <v>0</v>
      </c>
      <c r="F1167" s="42">
        <v>1.1345957528259402E-2</v>
      </c>
      <c r="G1167">
        <v>0.9886540424717406</v>
      </c>
    </row>
    <row r="1168" spans="3:7" x14ac:dyDescent="0.15">
      <c r="C1168" s="61" t="s">
        <v>1485</v>
      </c>
      <c r="D1168" s="60">
        <v>0</v>
      </c>
      <c r="E1168" s="60">
        <v>1</v>
      </c>
      <c r="F1168" s="60">
        <v>0.92845634643467045</v>
      </c>
      <c r="G1168" s="59">
        <v>7.1543653565329546E-2</v>
      </c>
    </row>
    <row r="1169" spans="3:7" x14ac:dyDescent="0.15">
      <c r="C1169" s="43" t="s">
        <v>1486</v>
      </c>
      <c r="D1169" s="42">
        <v>0</v>
      </c>
      <c r="E1169" s="42">
        <v>0</v>
      </c>
      <c r="F1169" s="42">
        <v>8.467929380265287E-4</v>
      </c>
      <c r="G1169">
        <v>0.99915320706197353</v>
      </c>
    </row>
    <row r="1170" spans="3:7" x14ac:dyDescent="0.15">
      <c r="C1170" s="43" t="s">
        <v>1487</v>
      </c>
      <c r="D1170" s="42">
        <v>1</v>
      </c>
      <c r="E1170" s="42">
        <v>1</v>
      </c>
      <c r="F1170" s="42">
        <v>0.96960308215110769</v>
      </c>
      <c r="G1170">
        <v>3.0396917848892313E-2</v>
      </c>
    </row>
    <row r="1171" spans="3:7" x14ac:dyDescent="0.15">
      <c r="C1171" s="43" t="s">
        <v>1488</v>
      </c>
      <c r="D1171" s="42">
        <v>0</v>
      </c>
      <c r="E1171" s="42">
        <v>0</v>
      </c>
      <c r="F1171" s="42">
        <v>0.16309466965661115</v>
      </c>
      <c r="G1171">
        <v>0.83690533034338888</v>
      </c>
    </row>
    <row r="1172" spans="3:7" x14ac:dyDescent="0.15">
      <c r="C1172" s="43" t="s">
        <v>1489</v>
      </c>
      <c r="D1172" s="42">
        <v>0</v>
      </c>
      <c r="E1172" s="42">
        <v>0</v>
      </c>
      <c r="F1172" s="42">
        <v>4.289394899541046E-3</v>
      </c>
      <c r="G1172">
        <v>0.99571060510045895</v>
      </c>
    </row>
    <row r="1173" spans="3:7" x14ac:dyDescent="0.15">
      <c r="C1173" s="43" t="s">
        <v>1490</v>
      </c>
      <c r="D1173" s="42">
        <v>0</v>
      </c>
      <c r="E1173" s="42">
        <v>0</v>
      </c>
      <c r="F1173" s="42">
        <v>2.7319937043237243E-2</v>
      </c>
      <c r="G1173">
        <v>0.97268006295676279</v>
      </c>
    </row>
    <row r="1174" spans="3:7" x14ac:dyDescent="0.15">
      <c r="C1174" s="43" t="s">
        <v>1491</v>
      </c>
      <c r="D1174" s="42">
        <v>0</v>
      </c>
      <c r="E1174" s="42">
        <v>0</v>
      </c>
      <c r="F1174" s="42">
        <v>7.1047634132810525E-2</v>
      </c>
      <c r="G1174">
        <v>0.92895236586718943</v>
      </c>
    </row>
    <row r="1175" spans="3:7" x14ac:dyDescent="0.15">
      <c r="C1175" s="43" t="s">
        <v>1492</v>
      </c>
      <c r="D1175" s="42">
        <v>0</v>
      </c>
      <c r="E1175" s="42">
        <v>0</v>
      </c>
      <c r="F1175" s="42">
        <v>3.2897356014115427E-2</v>
      </c>
      <c r="G1175">
        <v>0.96710264398588452</v>
      </c>
    </row>
    <row r="1176" spans="3:7" x14ac:dyDescent="0.15">
      <c r="C1176" s="43" t="s">
        <v>1493</v>
      </c>
      <c r="D1176" s="42">
        <v>0</v>
      </c>
      <c r="E1176" s="42">
        <v>0</v>
      </c>
      <c r="F1176" s="42">
        <v>0.1340788866077649</v>
      </c>
      <c r="G1176">
        <v>0.8659211133922351</v>
      </c>
    </row>
    <row r="1177" spans="3:7" x14ac:dyDescent="0.15">
      <c r="C1177" s="43" t="s">
        <v>1494</v>
      </c>
      <c r="D1177" s="42">
        <v>0</v>
      </c>
      <c r="E1177" s="42">
        <v>0</v>
      </c>
      <c r="F1177" s="42">
        <v>1.3087103938675994E-2</v>
      </c>
      <c r="G1177">
        <v>0.98691289606132404</v>
      </c>
    </row>
    <row r="1178" spans="3:7" x14ac:dyDescent="0.15">
      <c r="C1178" s="43" t="s">
        <v>1495</v>
      </c>
      <c r="D1178" s="42">
        <v>0</v>
      </c>
      <c r="E1178" s="42">
        <v>0</v>
      </c>
      <c r="F1178" s="42">
        <v>0.21262643835473546</v>
      </c>
      <c r="G1178">
        <v>0.78737356164526451</v>
      </c>
    </row>
    <row r="1179" spans="3:7" x14ac:dyDescent="0.15">
      <c r="C1179" s="43" t="s">
        <v>1496</v>
      </c>
      <c r="D1179" s="42">
        <v>0</v>
      </c>
      <c r="E1179" s="42">
        <v>0</v>
      </c>
      <c r="F1179" s="42">
        <v>1.0306526999327862E-2</v>
      </c>
      <c r="G1179">
        <v>0.98969347300067212</v>
      </c>
    </row>
    <row r="1180" spans="3:7" x14ac:dyDescent="0.15">
      <c r="C1180" s="43" t="s">
        <v>1497</v>
      </c>
      <c r="D1180" s="42">
        <v>0</v>
      </c>
      <c r="E1180" s="42">
        <v>0</v>
      </c>
      <c r="F1180" s="42">
        <v>1.9856554625239495E-3</v>
      </c>
      <c r="G1180">
        <v>0.99801434453747606</v>
      </c>
    </row>
    <row r="1181" spans="3:7" x14ac:dyDescent="0.15">
      <c r="C1181" s="43" t="s">
        <v>1498</v>
      </c>
      <c r="D1181" s="42">
        <v>0</v>
      </c>
      <c r="E1181" s="42">
        <v>0</v>
      </c>
      <c r="F1181" s="42">
        <v>5.3711161443038863E-2</v>
      </c>
      <c r="G1181">
        <v>0.94628883855696111</v>
      </c>
    </row>
    <row r="1182" spans="3:7" x14ac:dyDescent="0.15">
      <c r="C1182" s="43" t="s">
        <v>1499</v>
      </c>
      <c r="D1182" s="42">
        <v>0</v>
      </c>
      <c r="E1182" s="42">
        <v>0</v>
      </c>
      <c r="F1182" s="42">
        <v>7.1355480593495529E-2</v>
      </c>
      <c r="G1182">
        <v>0.9286445194065045</v>
      </c>
    </row>
    <row r="1183" spans="3:7" x14ac:dyDescent="0.15">
      <c r="C1183" s="61" t="s">
        <v>1500</v>
      </c>
      <c r="D1183" s="60">
        <v>0</v>
      </c>
      <c r="E1183" s="60">
        <v>1</v>
      </c>
      <c r="F1183" s="60">
        <v>0.88702667024277349</v>
      </c>
      <c r="G1183" s="59">
        <v>0.11297332975722651</v>
      </c>
    </row>
    <row r="1184" spans="3:7" x14ac:dyDescent="0.15">
      <c r="C1184" s="43" t="s">
        <v>1501</v>
      </c>
      <c r="D1184" s="42">
        <v>0</v>
      </c>
      <c r="E1184" s="42">
        <v>0</v>
      </c>
      <c r="F1184" s="42">
        <v>2.0121685034149898E-2</v>
      </c>
      <c r="G1184">
        <v>0.97987831496585009</v>
      </c>
    </row>
    <row r="1185" spans="3:7" x14ac:dyDescent="0.15">
      <c r="C1185" s="43" t="s">
        <v>1502</v>
      </c>
      <c r="D1185" s="42">
        <v>0</v>
      </c>
      <c r="E1185" s="42">
        <v>0</v>
      </c>
      <c r="F1185" s="42">
        <v>4.3832244175471775E-2</v>
      </c>
      <c r="G1185">
        <v>0.95616775582452818</v>
      </c>
    </row>
    <row r="1186" spans="3:7" x14ac:dyDescent="0.15">
      <c r="C1186" s="43" t="s">
        <v>1503</v>
      </c>
      <c r="D1186" s="42">
        <v>1</v>
      </c>
      <c r="E1186" s="42">
        <v>1</v>
      </c>
      <c r="F1186" s="42">
        <v>0.91850668405637803</v>
      </c>
      <c r="G1186">
        <v>8.1493315943621969E-2</v>
      </c>
    </row>
    <row r="1187" spans="3:7" x14ac:dyDescent="0.15">
      <c r="C1187" s="43" t="s">
        <v>1504</v>
      </c>
      <c r="D1187" s="42">
        <v>0</v>
      </c>
      <c r="E1187" s="42">
        <v>0</v>
      </c>
      <c r="F1187" s="42">
        <v>0.22569840773325173</v>
      </c>
      <c r="G1187">
        <v>0.77430159226674822</v>
      </c>
    </row>
    <row r="1188" spans="3:7" x14ac:dyDescent="0.15">
      <c r="C1188" s="43" t="s">
        <v>1505</v>
      </c>
      <c r="D1188" s="42">
        <v>0</v>
      </c>
      <c r="E1188" s="42">
        <v>0</v>
      </c>
      <c r="F1188" s="42">
        <v>5.7885423375813091E-3</v>
      </c>
      <c r="G1188">
        <v>0.9942114576624187</v>
      </c>
    </row>
    <row r="1189" spans="3:7" x14ac:dyDescent="0.15">
      <c r="C1189" s="61" t="s">
        <v>1506</v>
      </c>
      <c r="D1189" s="60">
        <v>0</v>
      </c>
      <c r="E1189" s="60">
        <v>1</v>
      </c>
      <c r="F1189" s="60">
        <v>0.89028661295519618</v>
      </c>
      <c r="G1189" s="59">
        <v>0.10971338704480382</v>
      </c>
    </row>
    <row r="1190" spans="3:7" x14ac:dyDescent="0.15">
      <c r="C1190" s="43" t="s">
        <v>1507</v>
      </c>
      <c r="D1190" s="42">
        <v>0</v>
      </c>
      <c r="E1190" s="42">
        <v>0</v>
      </c>
      <c r="F1190" s="42">
        <v>3.2064744256706273E-2</v>
      </c>
      <c r="G1190">
        <v>0.96793525574329375</v>
      </c>
    </row>
    <row r="1191" spans="3:7" x14ac:dyDescent="0.15">
      <c r="C1191" s="43" t="s">
        <v>1508</v>
      </c>
      <c r="D1191" s="42">
        <v>0</v>
      </c>
      <c r="E1191" s="42">
        <v>0</v>
      </c>
      <c r="F1191" s="42">
        <v>1.2254178657811109E-2</v>
      </c>
      <c r="G1191">
        <v>0.98774582134218891</v>
      </c>
    </row>
    <row r="1192" spans="3:7" x14ac:dyDescent="0.15">
      <c r="C1192" s="43" t="s">
        <v>1509</v>
      </c>
      <c r="D1192" s="42">
        <v>1</v>
      </c>
      <c r="E1192" s="42">
        <v>1</v>
      </c>
      <c r="F1192" s="42">
        <v>0.86138817861335848</v>
      </c>
      <c r="G1192">
        <v>0.13861182138664152</v>
      </c>
    </row>
    <row r="1193" spans="3:7" x14ac:dyDescent="0.15">
      <c r="C1193" s="43" t="s">
        <v>1510</v>
      </c>
      <c r="D1193" s="42">
        <v>1</v>
      </c>
      <c r="E1193" s="42">
        <v>1</v>
      </c>
      <c r="F1193" s="42">
        <v>0.94301459949406841</v>
      </c>
      <c r="G1193">
        <v>5.6985400505931594E-2</v>
      </c>
    </row>
    <row r="1194" spans="3:7" x14ac:dyDescent="0.15">
      <c r="C1194" s="43" t="s">
        <v>1511</v>
      </c>
      <c r="D1194" s="42">
        <v>0</v>
      </c>
      <c r="E1194" s="42">
        <v>0</v>
      </c>
      <c r="F1194" s="42">
        <v>1.7337744582544643E-2</v>
      </c>
      <c r="G1194">
        <v>0.98266225541745533</v>
      </c>
    </row>
    <row r="1195" spans="3:7" x14ac:dyDescent="0.15">
      <c r="C1195" s="43" t="s">
        <v>1512</v>
      </c>
      <c r="D1195" s="42">
        <v>0</v>
      </c>
      <c r="E1195" s="42">
        <v>0</v>
      </c>
      <c r="F1195" s="42">
        <v>5.0731694116693503E-3</v>
      </c>
      <c r="G1195">
        <v>0.99492683058833065</v>
      </c>
    </row>
    <row r="1196" spans="3:7" x14ac:dyDescent="0.15">
      <c r="C1196" s="43" t="s">
        <v>1513</v>
      </c>
      <c r="D1196" s="42">
        <v>0</v>
      </c>
      <c r="E1196" s="42">
        <v>0</v>
      </c>
      <c r="F1196" s="42">
        <v>0.19326777891420713</v>
      </c>
      <c r="G1196">
        <v>0.8067322210857929</v>
      </c>
    </row>
    <row r="1197" spans="3:7" x14ac:dyDescent="0.15">
      <c r="C1197" s="43" t="s">
        <v>1514</v>
      </c>
      <c r="D1197" s="42">
        <v>0</v>
      </c>
      <c r="E1197" s="42">
        <v>0</v>
      </c>
      <c r="F1197" s="42">
        <v>1.7723250459443889E-2</v>
      </c>
      <c r="G1197">
        <v>0.9822767495405561</v>
      </c>
    </row>
    <row r="1198" spans="3:7" x14ac:dyDescent="0.15">
      <c r="C1198" s="43" t="s">
        <v>1515</v>
      </c>
      <c r="D1198" s="42">
        <v>0</v>
      </c>
      <c r="E1198" s="42">
        <v>0</v>
      </c>
      <c r="F1198" s="42">
        <v>3.6716772681332365E-3</v>
      </c>
      <c r="G1198">
        <v>0.99632832273186678</v>
      </c>
    </row>
    <row r="1199" spans="3:7" x14ac:dyDescent="0.15">
      <c r="C1199" s="43" t="s">
        <v>1516</v>
      </c>
      <c r="D1199" s="42">
        <v>0</v>
      </c>
      <c r="E1199" s="42">
        <v>0</v>
      </c>
      <c r="F1199" s="42">
        <v>4.5891356189146366E-2</v>
      </c>
      <c r="G1199">
        <v>0.95410864381085358</v>
      </c>
    </row>
    <row r="1200" spans="3:7" x14ac:dyDescent="0.15">
      <c r="C1200" s="43" t="s">
        <v>1517</v>
      </c>
      <c r="D1200" s="42">
        <v>0</v>
      </c>
      <c r="E1200" s="42">
        <v>0</v>
      </c>
      <c r="F1200" s="42">
        <v>3.1883335263455832E-2</v>
      </c>
      <c r="G1200">
        <v>0.96811666473654412</v>
      </c>
    </row>
    <row r="1201" spans="3:7" x14ac:dyDescent="0.15">
      <c r="C1201" s="43" t="s">
        <v>1518</v>
      </c>
      <c r="D1201" s="42">
        <v>0</v>
      </c>
      <c r="E1201" s="42">
        <v>0</v>
      </c>
      <c r="F1201" s="42">
        <v>0.43213125420131576</v>
      </c>
      <c r="G1201">
        <v>0.56786874579868418</v>
      </c>
    </row>
    <row r="1202" spans="3:7" x14ac:dyDescent="0.15">
      <c r="C1202" s="43" t="s">
        <v>1519</v>
      </c>
      <c r="D1202" s="42">
        <v>0</v>
      </c>
      <c r="E1202" s="42">
        <v>0</v>
      </c>
      <c r="F1202" s="42">
        <v>2.679056598516336E-4</v>
      </c>
      <c r="G1202">
        <v>0.99973209434014831</v>
      </c>
    </row>
    <row r="1203" spans="3:7" x14ac:dyDescent="0.15">
      <c r="C1203" s="43" t="s">
        <v>1520</v>
      </c>
      <c r="D1203" s="42">
        <v>0</v>
      </c>
      <c r="E1203" s="42">
        <v>0</v>
      </c>
      <c r="F1203" s="42">
        <v>9.8600888685409865E-2</v>
      </c>
      <c r="G1203">
        <v>0.90139911131459016</v>
      </c>
    </row>
    <row r="1204" spans="3:7" x14ac:dyDescent="0.15">
      <c r="C1204" s="43" t="s">
        <v>1521</v>
      </c>
      <c r="D1204" s="42">
        <v>0</v>
      </c>
      <c r="E1204" s="42">
        <v>0</v>
      </c>
      <c r="F1204" s="42">
        <v>8.8976935913717703E-4</v>
      </c>
      <c r="G1204">
        <v>0.9991102306408628</v>
      </c>
    </row>
    <row r="1205" spans="3:7" x14ac:dyDescent="0.15">
      <c r="C1205" s="43" t="s">
        <v>1522</v>
      </c>
      <c r="D1205" s="42">
        <v>0</v>
      </c>
      <c r="E1205" s="42">
        <v>0</v>
      </c>
      <c r="F1205" s="42">
        <v>4.6236454306789999E-2</v>
      </c>
      <c r="G1205">
        <v>0.95376354569320998</v>
      </c>
    </row>
    <row r="1206" spans="3:7" x14ac:dyDescent="0.15">
      <c r="C1206" s="43" t="s">
        <v>1523</v>
      </c>
      <c r="D1206" s="42">
        <v>0</v>
      </c>
      <c r="E1206" s="42">
        <v>0</v>
      </c>
      <c r="F1206" s="42">
        <v>2.2017136977462912E-4</v>
      </c>
      <c r="G1206">
        <v>0.99977982863022541</v>
      </c>
    </row>
    <row r="1207" spans="3:7" x14ac:dyDescent="0.15">
      <c r="C1207" s="43" t="s">
        <v>1524</v>
      </c>
      <c r="D1207" s="42">
        <v>0</v>
      </c>
      <c r="E1207" s="42">
        <v>0</v>
      </c>
      <c r="F1207" s="42">
        <v>0.19732766314055267</v>
      </c>
      <c r="G1207">
        <v>0.80267233685944728</v>
      </c>
    </row>
    <row r="1208" spans="3:7" x14ac:dyDescent="0.15">
      <c r="C1208" s="43" t="s">
        <v>1525</v>
      </c>
      <c r="D1208" s="42">
        <v>0</v>
      </c>
      <c r="E1208" s="42">
        <v>0</v>
      </c>
      <c r="F1208" s="42">
        <v>3.8261901646905964E-3</v>
      </c>
      <c r="G1208">
        <v>0.99617380983530945</v>
      </c>
    </row>
    <row r="1209" spans="3:7" x14ac:dyDescent="0.15">
      <c r="C1209" s="43" t="s">
        <v>1526</v>
      </c>
      <c r="D1209" s="42">
        <v>0</v>
      </c>
      <c r="E1209" s="42">
        <v>0</v>
      </c>
      <c r="F1209" s="42">
        <v>4.5899978912702193E-2</v>
      </c>
      <c r="G1209">
        <v>0.95410002108729786</v>
      </c>
    </row>
    <row r="1210" spans="3:7" x14ac:dyDescent="0.15">
      <c r="C1210" s="43" t="s">
        <v>1527</v>
      </c>
      <c r="D1210" s="42">
        <v>0</v>
      </c>
      <c r="E1210" s="42">
        <v>0</v>
      </c>
      <c r="F1210" s="42">
        <v>4.3460772724662471E-2</v>
      </c>
      <c r="G1210">
        <v>0.95653922727533758</v>
      </c>
    </row>
    <row r="1211" spans="3:7" x14ac:dyDescent="0.15">
      <c r="C1211" s="43" t="s">
        <v>1528</v>
      </c>
      <c r="D1211" s="42">
        <v>0</v>
      </c>
      <c r="E1211" s="42">
        <v>0</v>
      </c>
      <c r="F1211" s="42">
        <v>4.249457907714538E-3</v>
      </c>
      <c r="G1211">
        <v>0.99575054209228542</v>
      </c>
    </row>
    <row r="1212" spans="3:7" x14ac:dyDescent="0.15">
      <c r="C1212" s="43" t="s">
        <v>1529</v>
      </c>
      <c r="D1212" s="42">
        <v>1</v>
      </c>
      <c r="E1212" s="42">
        <v>1</v>
      </c>
      <c r="F1212" s="42">
        <v>0.97097310297287187</v>
      </c>
      <c r="G1212">
        <v>2.9026897027128129E-2</v>
      </c>
    </row>
    <row r="1213" spans="3:7" x14ac:dyDescent="0.15">
      <c r="C1213" s="43" t="s">
        <v>1530</v>
      </c>
      <c r="D1213" s="42">
        <v>0</v>
      </c>
      <c r="E1213" s="42">
        <v>0</v>
      </c>
      <c r="F1213" s="42">
        <v>0.29238396346589135</v>
      </c>
      <c r="G1213">
        <v>0.70761603653410865</v>
      </c>
    </row>
    <row r="1214" spans="3:7" x14ac:dyDescent="0.15">
      <c r="C1214" s="61" t="s">
        <v>1531</v>
      </c>
      <c r="D1214" s="60">
        <v>0</v>
      </c>
      <c r="E1214" s="60">
        <v>1</v>
      </c>
      <c r="F1214" s="60">
        <v>0.6341097519037272</v>
      </c>
      <c r="G1214" s="59">
        <v>0.3658902480962728</v>
      </c>
    </row>
    <row r="1215" spans="3:7" x14ac:dyDescent="0.15">
      <c r="C1215" s="43" t="s">
        <v>1532</v>
      </c>
      <c r="D1215" s="42">
        <v>0</v>
      </c>
      <c r="E1215" s="42">
        <v>0</v>
      </c>
      <c r="F1215" s="42">
        <v>4.1990839338715176E-2</v>
      </c>
      <c r="G1215">
        <v>0.95800916066128483</v>
      </c>
    </row>
    <row r="1216" spans="3:7" x14ac:dyDescent="0.15">
      <c r="C1216" s="61" t="s">
        <v>1533</v>
      </c>
      <c r="D1216" s="60">
        <v>0</v>
      </c>
      <c r="E1216" s="60">
        <v>1</v>
      </c>
      <c r="F1216" s="60">
        <v>0.92706709358134254</v>
      </c>
      <c r="G1216" s="59">
        <v>7.2932906418657462E-2</v>
      </c>
    </row>
    <row r="1217" spans="3:7" x14ac:dyDescent="0.15">
      <c r="C1217" s="43" t="s">
        <v>1534</v>
      </c>
      <c r="D1217" s="42">
        <v>1</v>
      </c>
      <c r="E1217" s="42">
        <v>1</v>
      </c>
      <c r="F1217" s="42">
        <v>0.60975204544083217</v>
      </c>
      <c r="G1217">
        <v>0.39024795455916783</v>
      </c>
    </row>
    <row r="1218" spans="3:7" x14ac:dyDescent="0.15">
      <c r="C1218" s="43" t="s">
        <v>1535</v>
      </c>
      <c r="D1218" s="42">
        <v>0</v>
      </c>
      <c r="E1218" s="42">
        <v>0</v>
      </c>
      <c r="F1218" s="42">
        <v>9.8128763927679427E-2</v>
      </c>
      <c r="G1218">
        <v>0.90187123607232056</v>
      </c>
    </row>
    <row r="1219" spans="3:7" x14ac:dyDescent="0.15">
      <c r="C1219" s="43" t="s">
        <v>1536</v>
      </c>
      <c r="D1219" s="42">
        <v>0</v>
      </c>
      <c r="E1219" s="42">
        <v>0</v>
      </c>
      <c r="F1219" s="42">
        <v>0.23108625687358175</v>
      </c>
      <c r="G1219">
        <v>0.76891374312641825</v>
      </c>
    </row>
    <row r="1220" spans="3:7" x14ac:dyDescent="0.15">
      <c r="C1220" s="43" t="s">
        <v>1537</v>
      </c>
      <c r="D1220" s="42">
        <v>0</v>
      </c>
      <c r="E1220" s="42">
        <v>0</v>
      </c>
      <c r="F1220" s="42">
        <v>0.1324579173527029</v>
      </c>
      <c r="G1220">
        <v>0.86754208264729704</v>
      </c>
    </row>
    <row r="1221" spans="3:7" x14ac:dyDescent="0.15">
      <c r="C1221" s="43" t="s">
        <v>1538</v>
      </c>
      <c r="D1221" s="42">
        <v>0</v>
      </c>
      <c r="E1221" s="42">
        <v>0</v>
      </c>
      <c r="F1221" s="42">
        <v>4.7796147574581782E-2</v>
      </c>
      <c r="G1221">
        <v>0.95220385242541816</v>
      </c>
    </row>
    <row r="1222" spans="3:7" x14ac:dyDescent="0.15">
      <c r="C1222" s="43" t="s">
        <v>1539</v>
      </c>
      <c r="D1222" s="42">
        <v>0</v>
      </c>
      <c r="E1222" s="42">
        <v>0</v>
      </c>
      <c r="F1222" s="42">
        <v>7.4330594603239149E-3</v>
      </c>
      <c r="G1222">
        <v>0.99256694053967609</v>
      </c>
    </row>
    <row r="1223" spans="3:7" x14ac:dyDescent="0.15">
      <c r="C1223" s="43" t="s">
        <v>1540</v>
      </c>
      <c r="D1223" s="42">
        <v>0</v>
      </c>
      <c r="E1223" s="42">
        <v>0</v>
      </c>
      <c r="F1223" s="42">
        <v>0.10271221923012507</v>
      </c>
      <c r="G1223">
        <v>0.89728778076987492</v>
      </c>
    </row>
    <row r="1224" spans="3:7" x14ac:dyDescent="0.15">
      <c r="C1224" s="43" t="s">
        <v>1541</v>
      </c>
      <c r="D1224" s="42">
        <v>0</v>
      </c>
      <c r="E1224" s="42">
        <v>0</v>
      </c>
      <c r="F1224" s="42">
        <v>1.5798811137708212E-2</v>
      </c>
      <c r="G1224">
        <v>0.9842011888622918</v>
      </c>
    </row>
    <row r="1225" spans="3:7" x14ac:dyDescent="0.15">
      <c r="C1225" s="43" t="s">
        <v>1542</v>
      </c>
      <c r="D1225" s="42">
        <v>0</v>
      </c>
      <c r="E1225" s="42">
        <v>0</v>
      </c>
      <c r="F1225" s="42">
        <v>1.1755012570715217E-2</v>
      </c>
      <c r="G1225">
        <v>0.98824498742928479</v>
      </c>
    </row>
    <row r="1226" spans="3:7" x14ac:dyDescent="0.15">
      <c r="C1226" s="43" t="s">
        <v>1543</v>
      </c>
      <c r="D1226" s="42">
        <v>0</v>
      </c>
      <c r="E1226" s="42">
        <v>0</v>
      </c>
      <c r="F1226" s="42">
        <v>7.8783094858918323E-2</v>
      </c>
      <c r="G1226">
        <v>0.92121690514108168</v>
      </c>
    </row>
    <row r="1227" spans="3:7" x14ac:dyDescent="0.15">
      <c r="C1227" s="43" t="s">
        <v>1544</v>
      </c>
      <c r="D1227" s="42">
        <v>0</v>
      </c>
      <c r="E1227" s="42">
        <v>0</v>
      </c>
      <c r="F1227" s="42">
        <v>2.314237315622257E-2</v>
      </c>
      <c r="G1227">
        <v>0.97685762684377742</v>
      </c>
    </row>
    <row r="1228" spans="3:7" x14ac:dyDescent="0.15">
      <c r="C1228" s="43" t="s">
        <v>1545</v>
      </c>
      <c r="D1228" s="42">
        <v>0</v>
      </c>
      <c r="E1228" s="42">
        <v>0</v>
      </c>
      <c r="F1228" s="42">
        <v>3.8537640190399996E-3</v>
      </c>
      <c r="G1228">
        <v>0.99614623598095997</v>
      </c>
    </row>
    <row r="1229" spans="3:7" x14ac:dyDescent="0.15">
      <c r="C1229" s="43" t="s">
        <v>1546</v>
      </c>
      <c r="D1229" s="42">
        <v>0</v>
      </c>
      <c r="E1229" s="42">
        <v>0</v>
      </c>
      <c r="F1229" s="42">
        <v>0.48905752969498839</v>
      </c>
      <c r="G1229">
        <v>0.51094247030501161</v>
      </c>
    </row>
    <row r="1230" spans="3:7" x14ac:dyDescent="0.15">
      <c r="C1230" s="43" t="s">
        <v>1547</v>
      </c>
      <c r="D1230" s="42">
        <v>0</v>
      </c>
      <c r="E1230" s="42">
        <v>0</v>
      </c>
      <c r="F1230" s="42">
        <v>8.0679015443365726E-2</v>
      </c>
      <c r="G1230">
        <v>0.91932098455663425</v>
      </c>
    </row>
    <row r="1231" spans="3:7" x14ac:dyDescent="0.15">
      <c r="C1231" s="61" t="s">
        <v>1548</v>
      </c>
      <c r="D1231" s="60">
        <v>0</v>
      </c>
      <c r="E1231" s="60">
        <v>1</v>
      </c>
      <c r="F1231" s="60">
        <v>0.69871004030430217</v>
      </c>
      <c r="G1231" s="59">
        <v>0.30128995969569783</v>
      </c>
    </row>
    <row r="1232" spans="3:7" x14ac:dyDescent="0.15">
      <c r="C1232" s="43" t="s">
        <v>1549</v>
      </c>
      <c r="D1232" s="42">
        <v>1</v>
      </c>
      <c r="E1232" s="42">
        <v>1</v>
      </c>
      <c r="F1232" s="42">
        <v>0.99755915098901149</v>
      </c>
      <c r="G1232">
        <v>2.4408490109885106E-3</v>
      </c>
    </row>
    <row r="1233" spans="3:7" x14ac:dyDescent="0.15">
      <c r="C1233" s="43" t="s">
        <v>1550</v>
      </c>
      <c r="D1233" s="42">
        <v>0</v>
      </c>
      <c r="E1233" s="42">
        <v>0</v>
      </c>
      <c r="F1233" s="42">
        <v>2.9780708088085195E-2</v>
      </c>
      <c r="G1233">
        <v>0.97021929191191481</v>
      </c>
    </row>
    <row r="1234" spans="3:7" x14ac:dyDescent="0.15">
      <c r="C1234" s="43" t="s">
        <v>1551</v>
      </c>
      <c r="D1234" s="42">
        <v>0</v>
      </c>
      <c r="E1234" s="42">
        <v>0</v>
      </c>
      <c r="F1234" s="42">
        <v>0.14456858396298636</v>
      </c>
      <c r="G1234">
        <v>0.85543141603701367</v>
      </c>
    </row>
    <row r="1235" spans="3:7" x14ac:dyDescent="0.15">
      <c r="C1235" s="43" t="s">
        <v>1552</v>
      </c>
      <c r="D1235" s="42">
        <v>1</v>
      </c>
      <c r="E1235" s="42">
        <v>1</v>
      </c>
      <c r="F1235" s="42">
        <v>0.99979634979163834</v>
      </c>
      <c r="G1235">
        <v>2.0365020836166092E-4</v>
      </c>
    </row>
    <row r="1236" spans="3:7" x14ac:dyDescent="0.15">
      <c r="C1236" s="43" t="s">
        <v>1553</v>
      </c>
      <c r="D1236" s="42">
        <v>0</v>
      </c>
      <c r="E1236" s="42">
        <v>0</v>
      </c>
      <c r="F1236" s="42">
        <v>7.4601655911053777E-2</v>
      </c>
      <c r="G1236">
        <v>0.92539834408894617</v>
      </c>
    </row>
    <row r="1237" spans="3:7" x14ac:dyDescent="0.15">
      <c r="C1237" s="43" t="s">
        <v>1554</v>
      </c>
      <c r="D1237" s="42">
        <v>0</v>
      </c>
      <c r="E1237" s="42">
        <v>0</v>
      </c>
      <c r="F1237" s="42">
        <v>3.1532463754173476E-3</v>
      </c>
      <c r="G1237">
        <v>0.99684675362458264</v>
      </c>
    </row>
    <row r="1238" spans="3:7" x14ac:dyDescent="0.15">
      <c r="C1238" s="43" t="s">
        <v>1555</v>
      </c>
      <c r="D1238" s="42">
        <v>0</v>
      </c>
      <c r="E1238" s="42">
        <v>0</v>
      </c>
      <c r="F1238" s="42">
        <v>2.8726482124544355E-2</v>
      </c>
      <c r="G1238">
        <v>0.97127351787545568</v>
      </c>
    </row>
    <row r="1239" spans="3:7" x14ac:dyDescent="0.15">
      <c r="C1239" s="43" t="s">
        <v>1556</v>
      </c>
      <c r="D1239" s="42">
        <v>0</v>
      </c>
      <c r="E1239" s="42">
        <v>0</v>
      </c>
      <c r="F1239" s="42">
        <v>4.0706871025983403E-3</v>
      </c>
      <c r="G1239">
        <v>0.99592931289740161</v>
      </c>
    </row>
    <row r="1240" spans="3:7" x14ac:dyDescent="0.15">
      <c r="C1240" s="43" t="s">
        <v>1557</v>
      </c>
      <c r="D1240" s="42">
        <v>0</v>
      </c>
      <c r="E1240" s="42">
        <v>0</v>
      </c>
      <c r="F1240" s="42">
        <v>7.6585429165704239E-2</v>
      </c>
      <c r="G1240">
        <v>0.92341457083429579</v>
      </c>
    </row>
    <row r="1241" spans="3:7" x14ac:dyDescent="0.15">
      <c r="C1241" s="43" t="s">
        <v>1558</v>
      </c>
      <c r="D1241" s="42">
        <v>0</v>
      </c>
      <c r="E1241" s="42">
        <v>0</v>
      </c>
      <c r="F1241" s="42">
        <v>0.35729548702993086</v>
      </c>
      <c r="G1241">
        <v>0.64270451297006914</v>
      </c>
    </row>
    <row r="1242" spans="3:7" x14ac:dyDescent="0.15">
      <c r="C1242" s="43" t="s">
        <v>1559</v>
      </c>
      <c r="D1242" s="42">
        <v>0</v>
      </c>
      <c r="E1242" s="42">
        <v>0</v>
      </c>
      <c r="F1242" s="42">
        <v>0.32425242348256822</v>
      </c>
      <c r="G1242">
        <v>0.67574757651743178</v>
      </c>
    </row>
    <row r="1243" spans="3:7" x14ac:dyDescent="0.15">
      <c r="C1243" s="43" t="s">
        <v>1560</v>
      </c>
      <c r="D1243" s="42">
        <v>0</v>
      </c>
      <c r="E1243" s="42">
        <v>0</v>
      </c>
      <c r="F1243" s="42">
        <v>2.4205902997020877E-2</v>
      </c>
      <c r="G1243">
        <v>0.97579409700297914</v>
      </c>
    </row>
    <row r="1244" spans="3:7" x14ac:dyDescent="0.15">
      <c r="C1244" s="43" t="s">
        <v>1561</v>
      </c>
      <c r="D1244" s="42">
        <v>0</v>
      </c>
      <c r="E1244" s="42">
        <v>0</v>
      </c>
      <c r="F1244" s="42">
        <v>0.12022267255412336</v>
      </c>
      <c r="G1244">
        <v>0.87977732744587667</v>
      </c>
    </row>
    <row r="1245" spans="3:7" x14ac:dyDescent="0.15">
      <c r="C1245" s="61" t="s">
        <v>1562</v>
      </c>
      <c r="D1245" s="60">
        <v>0</v>
      </c>
      <c r="E1245" s="60">
        <v>1</v>
      </c>
      <c r="F1245" s="60">
        <v>0.85621272778522239</v>
      </c>
      <c r="G1245" s="59">
        <v>0.14378727221477761</v>
      </c>
    </row>
    <row r="1246" spans="3:7" x14ac:dyDescent="0.15">
      <c r="C1246" s="43" t="s">
        <v>1563</v>
      </c>
      <c r="D1246" s="42">
        <v>1</v>
      </c>
      <c r="E1246" s="42">
        <v>1</v>
      </c>
      <c r="F1246" s="42">
        <v>0.82819918060376452</v>
      </c>
      <c r="G1246">
        <v>0.17180081939623548</v>
      </c>
    </row>
    <row r="1247" spans="3:7" x14ac:dyDescent="0.15">
      <c r="C1247" s="43" t="s">
        <v>1564</v>
      </c>
      <c r="D1247" s="42">
        <v>0</v>
      </c>
      <c r="E1247" s="42">
        <v>0</v>
      </c>
      <c r="F1247" s="42">
        <v>0.27531675444490478</v>
      </c>
      <c r="G1247">
        <v>0.72468324555509522</v>
      </c>
    </row>
    <row r="1248" spans="3:7" x14ac:dyDescent="0.15">
      <c r="C1248" s="43" t="s">
        <v>1565</v>
      </c>
      <c r="D1248" s="42">
        <v>0</v>
      </c>
      <c r="E1248" s="42">
        <v>0</v>
      </c>
      <c r="F1248" s="42">
        <v>3.3086799736200476E-3</v>
      </c>
      <c r="G1248">
        <v>0.99669132002637995</v>
      </c>
    </row>
    <row r="1249" spans="3:7" x14ac:dyDescent="0.15">
      <c r="C1249" s="43" t="s">
        <v>1566</v>
      </c>
      <c r="D1249" s="42">
        <v>0</v>
      </c>
      <c r="E1249" s="42">
        <v>0</v>
      </c>
      <c r="F1249" s="42">
        <v>4.5386862716107736E-2</v>
      </c>
      <c r="G1249">
        <v>0.9546131372838923</v>
      </c>
    </row>
    <row r="1250" spans="3:7" x14ac:dyDescent="0.15">
      <c r="C1250" s="43" t="s">
        <v>1567</v>
      </c>
      <c r="D1250" s="42">
        <v>0</v>
      </c>
      <c r="E1250" s="42">
        <v>0</v>
      </c>
      <c r="F1250" s="42">
        <v>0.11557199910386787</v>
      </c>
      <c r="G1250">
        <v>0.88442800089613216</v>
      </c>
    </row>
    <row r="1251" spans="3:7" x14ac:dyDescent="0.15">
      <c r="C1251" s="43" t="s">
        <v>1568</v>
      </c>
      <c r="D1251" s="42">
        <v>1</v>
      </c>
      <c r="E1251" s="42">
        <v>1</v>
      </c>
      <c r="F1251" s="42">
        <v>0.99809416507167581</v>
      </c>
      <c r="G1251">
        <v>1.9058349283241904E-3</v>
      </c>
    </row>
    <row r="1252" spans="3:7" x14ac:dyDescent="0.15">
      <c r="C1252" s="43" t="s">
        <v>1569</v>
      </c>
      <c r="D1252" s="42">
        <v>0</v>
      </c>
      <c r="E1252" s="42">
        <v>0</v>
      </c>
      <c r="F1252" s="42">
        <v>0.24722759556272575</v>
      </c>
      <c r="G1252">
        <v>0.75277240443727422</v>
      </c>
    </row>
    <row r="1253" spans="3:7" x14ac:dyDescent="0.15">
      <c r="C1253" s="43" t="s">
        <v>1570</v>
      </c>
      <c r="D1253" s="42">
        <v>0</v>
      </c>
      <c r="E1253" s="42">
        <v>0</v>
      </c>
      <c r="F1253" s="42">
        <v>3.7753752034005064E-2</v>
      </c>
      <c r="G1253">
        <v>0.96224624796599489</v>
      </c>
    </row>
    <row r="1254" spans="3:7" x14ac:dyDescent="0.15">
      <c r="C1254" s="43" t="s">
        <v>1571</v>
      </c>
      <c r="D1254" s="42">
        <v>0</v>
      </c>
      <c r="E1254" s="42">
        <v>0</v>
      </c>
      <c r="F1254" s="42">
        <v>0.47845796126788326</v>
      </c>
      <c r="G1254">
        <v>0.5215420387321168</v>
      </c>
    </row>
    <row r="1255" spans="3:7" x14ac:dyDescent="0.15">
      <c r="C1255" s="43" t="s">
        <v>1572</v>
      </c>
      <c r="D1255" s="42">
        <v>1</v>
      </c>
      <c r="E1255" s="42">
        <v>1</v>
      </c>
      <c r="F1255" s="42">
        <v>0.70994672366041933</v>
      </c>
      <c r="G1255">
        <v>0.29005327633958067</v>
      </c>
    </row>
    <row r="1256" spans="3:7" x14ac:dyDescent="0.15">
      <c r="C1256" s="61" t="s">
        <v>1573</v>
      </c>
      <c r="D1256" s="60">
        <v>0</v>
      </c>
      <c r="E1256" s="60">
        <v>1</v>
      </c>
      <c r="F1256" s="60">
        <v>0.974762025614756</v>
      </c>
      <c r="G1256" s="59">
        <v>2.5237974385244E-2</v>
      </c>
    </row>
    <row r="1257" spans="3:7" x14ac:dyDescent="0.15">
      <c r="C1257" s="43" t="s">
        <v>1574</v>
      </c>
      <c r="D1257" s="42">
        <v>0</v>
      </c>
      <c r="E1257" s="42">
        <v>0</v>
      </c>
      <c r="F1257" s="42">
        <v>1.3755338535156092E-2</v>
      </c>
      <c r="G1257">
        <v>0.98624466146484391</v>
      </c>
    </row>
    <row r="1258" spans="3:7" x14ac:dyDescent="0.15">
      <c r="C1258" s="43" t="s">
        <v>1575</v>
      </c>
      <c r="D1258" s="42">
        <v>0</v>
      </c>
      <c r="E1258" s="42">
        <v>0</v>
      </c>
      <c r="F1258" s="42">
        <v>8.117963314112138E-2</v>
      </c>
      <c r="G1258">
        <v>0.91882036685887858</v>
      </c>
    </row>
    <row r="1259" spans="3:7" x14ac:dyDescent="0.15">
      <c r="C1259" s="43" t="s">
        <v>1576</v>
      </c>
      <c r="D1259" s="42">
        <v>1</v>
      </c>
      <c r="E1259" s="42">
        <v>1</v>
      </c>
      <c r="F1259" s="42">
        <v>0.99959489041583549</v>
      </c>
      <c r="G1259">
        <v>4.0510958416450915E-4</v>
      </c>
    </row>
    <row r="1260" spans="3:7" x14ac:dyDescent="0.15">
      <c r="C1260" s="43" t="s">
        <v>1577</v>
      </c>
      <c r="D1260" s="42">
        <v>0</v>
      </c>
      <c r="E1260" s="42">
        <v>0</v>
      </c>
      <c r="F1260" s="42">
        <v>4.0957566056081467E-2</v>
      </c>
      <c r="G1260">
        <v>0.95904243394391853</v>
      </c>
    </row>
    <row r="1261" spans="3:7" x14ac:dyDescent="0.15">
      <c r="C1261" s="43" t="s">
        <v>1578</v>
      </c>
      <c r="D1261" s="42">
        <v>0</v>
      </c>
      <c r="E1261" s="42">
        <v>0</v>
      </c>
      <c r="F1261" s="42">
        <v>4.1765432646885025E-3</v>
      </c>
      <c r="G1261">
        <v>0.99582345673531147</v>
      </c>
    </row>
    <row r="1262" spans="3:7" x14ac:dyDescent="0.15">
      <c r="C1262" s="43" t="s">
        <v>1579</v>
      </c>
      <c r="D1262" s="42">
        <v>1</v>
      </c>
      <c r="E1262" s="42">
        <v>1</v>
      </c>
      <c r="F1262" s="42">
        <v>0.99621032426122202</v>
      </c>
      <c r="G1262">
        <v>3.7896757387779756E-3</v>
      </c>
    </row>
    <row r="1263" spans="3:7" x14ac:dyDescent="0.15">
      <c r="C1263" s="43" t="s">
        <v>1580</v>
      </c>
      <c r="D1263" s="42">
        <v>0</v>
      </c>
      <c r="E1263" s="42">
        <v>0</v>
      </c>
      <c r="F1263" s="42">
        <v>0.31912550693045816</v>
      </c>
      <c r="G1263">
        <v>0.68087449306954184</v>
      </c>
    </row>
    <row r="1264" spans="3:7" x14ac:dyDescent="0.15">
      <c r="C1264" s="61" t="s">
        <v>1581</v>
      </c>
      <c r="D1264" s="60">
        <v>0</v>
      </c>
      <c r="E1264" s="60">
        <v>1</v>
      </c>
      <c r="F1264" s="60">
        <v>0.75836564600339329</v>
      </c>
      <c r="G1264" s="59">
        <v>0.24163435399660671</v>
      </c>
    </row>
    <row r="1265" spans="3:7" x14ac:dyDescent="0.15">
      <c r="C1265" s="43" t="s">
        <v>1582</v>
      </c>
      <c r="D1265" s="42">
        <v>0</v>
      </c>
      <c r="E1265" s="42">
        <v>0</v>
      </c>
      <c r="F1265" s="42">
        <v>3.2231972243895277E-2</v>
      </c>
      <c r="G1265">
        <v>0.96776802775610471</v>
      </c>
    </row>
    <row r="1266" spans="3:7" x14ac:dyDescent="0.15">
      <c r="C1266" s="43" t="s">
        <v>1583</v>
      </c>
      <c r="D1266" s="42">
        <v>0</v>
      </c>
      <c r="E1266" s="42">
        <v>0</v>
      </c>
      <c r="F1266" s="42">
        <v>0.10380798707993806</v>
      </c>
      <c r="G1266">
        <v>0.8961920129200619</v>
      </c>
    </row>
    <row r="1267" spans="3:7" x14ac:dyDescent="0.15">
      <c r="C1267" s="43" t="s">
        <v>1584</v>
      </c>
      <c r="D1267" s="42">
        <v>0</v>
      </c>
      <c r="E1267" s="42">
        <v>0</v>
      </c>
      <c r="F1267" s="42">
        <v>8.8738337318570656E-2</v>
      </c>
      <c r="G1267">
        <v>0.91126166268142939</v>
      </c>
    </row>
    <row r="1268" spans="3:7" x14ac:dyDescent="0.15">
      <c r="C1268" s="43" t="s">
        <v>1585</v>
      </c>
      <c r="D1268" s="42">
        <v>0</v>
      </c>
      <c r="E1268" s="42">
        <v>0</v>
      </c>
      <c r="F1268" s="42">
        <v>0.44958610350637046</v>
      </c>
      <c r="G1268">
        <v>0.5504138964936296</v>
      </c>
    </row>
    <row r="1269" spans="3:7" x14ac:dyDescent="0.15">
      <c r="C1269" s="43" t="s">
        <v>1586</v>
      </c>
      <c r="D1269" s="42">
        <v>0</v>
      </c>
      <c r="E1269" s="42">
        <v>0</v>
      </c>
      <c r="F1269" s="42">
        <v>4.358931091592682E-2</v>
      </c>
      <c r="G1269">
        <v>0.95641068908407323</v>
      </c>
    </row>
    <row r="1270" spans="3:7" x14ac:dyDescent="0.15">
      <c r="C1270" s="43" t="s">
        <v>1587</v>
      </c>
      <c r="D1270" s="42">
        <v>0</v>
      </c>
      <c r="E1270" s="42">
        <v>0</v>
      </c>
      <c r="F1270" s="42">
        <v>4.8301782009633537E-3</v>
      </c>
      <c r="G1270">
        <v>0.99516982179903668</v>
      </c>
    </row>
    <row r="1271" spans="3:7" x14ac:dyDescent="0.15">
      <c r="C1271" s="43" t="s">
        <v>1588</v>
      </c>
      <c r="D1271" s="42">
        <v>0</v>
      </c>
      <c r="E1271" s="42">
        <v>0</v>
      </c>
      <c r="F1271" s="42">
        <v>3.8013225156808488E-2</v>
      </c>
      <c r="G1271">
        <v>0.96198677484319151</v>
      </c>
    </row>
    <row r="1272" spans="3:7" x14ac:dyDescent="0.15">
      <c r="C1272" s="61" t="s">
        <v>1589</v>
      </c>
      <c r="D1272" s="60">
        <v>0</v>
      </c>
      <c r="E1272" s="60">
        <v>1</v>
      </c>
      <c r="F1272" s="60">
        <v>0.77490861221988405</v>
      </c>
      <c r="G1272" s="59">
        <v>0.22509138778011595</v>
      </c>
    </row>
    <row r="1273" spans="3:7" x14ac:dyDescent="0.15">
      <c r="C1273" s="43" t="s">
        <v>1590</v>
      </c>
      <c r="D1273" s="42">
        <v>0</v>
      </c>
      <c r="E1273" s="42">
        <v>0</v>
      </c>
      <c r="F1273" s="42">
        <v>5.2225777158325826E-2</v>
      </c>
      <c r="G1273">
        <v>0.94777422284167412</v>
      </c>
    </row>
    <row r="1274" spans="3:7" x14ac:dyDescent="0.15">
      <c r="C1274" s="43" t="s">
        <v>1591</v>
      </c>
      <c r="D1274" s="42">
        <v>0</v>
      </c>
      <c r="E1274" s="42">
        <v>0</v>
      </c>
      <c r="F1274" s="42">
        <v>2.7424945975040367E-2</v>
      </c>
      <c r="G1274">
        <v>0.97257505402495958</v>
      </c>
    </row>
    <row r="1275" spans="3:7" x14ac:dyDescent="0.15">
      <c r="C1275" s="61" t="s">
        <v>1592</v>
      </c>
      <c r="D1275" s="60">
        <v>0</v>
      </c>
      <c r="E1275" s="60">
        <v>1</v>
      </c>
      <c r="F1275" s="60">
        <v>0.62396187614841769</v>
      </c>
      <c r="G1275" s="59">
        <v>0.37603812385158231</v>
      </c>
    </row>
    <row r="1276" spans="3:7" x14ac:dyDescent="0.15">
      <c r="C1276" s="43" t="s">
        <v>1593</v>
      </c>
      <c r="D1276" s="42">
        <v>0</v>
      </c>
      <c r="E1276" s="42">
        <v>0</v>
      </c>
      <c r="F1276" s="42">
        <v>7.9612311610373299E-2</v>
      </c>
      <c r="G1276">
        <v>0.9203876883896267</v>
      </c>
    </row>
    <row r="1277" spans="3:7" x14ac:dyDescent="0.15">
      <c r="C1277" s="43" t="s">
        <v>1594</v>
      </c>
      <c r="D1277" s="42">
        <v>1</v>
      </c>
      <c r="E1277" s="42">
        <v>1</v>
      </c>
      <c r="F1277" s="42">
        <v>0.99954272303198477</v>
      </c>
      <c r="G1277">
        <v>4.5727696801522999E-4</v>
      </c>
    </row>
    <row r="1278" spans="3:7" x14ac:dyDescent="0.15">
      <c r="C1278" s="43" t="s">
        <v>1595</v>
      </c>
      <c r="D1278" s="42">
        <v>0</v>
      </c>
      <c r="E1278" s="42">
        <v>0</v>
      </c>
      <c r="F1278" s="42">
        <v>1.040445153054978E-2</v>
      </c>
      <c r="G1278">
        <v>0.98959554846945019</v>
      </c>
    </row>
    <row r="1279" spans="3:7" x14ac:dyDescent="0.15">
      <c r="C1279" s="43" t="s">
        <v>1596</v>
      </c>
      <c r="D1279" s="42">
        <v>1</v>
      </c>
      <c r="E1279" s="42">
        <v>1</v>
      </c>
      <c r="F1279" s="42">
        <v>0.85156074285926264</v>
      </c>
      <c r="G1279">
        <v>0.14843925714073736</v>
      </c>
    </row>
    <row r="1280" spans="3:7" x14ac:dyDescent="0.15">
      <c r="C1280" s="43" t="s">
        <v>1597</v>
      </c>
      <c r="D1280" s="42">
        <v>0</v>
      </c>
      <c r="E1280" s="42">
        <v>0</v>
      </c>
      <c r="F1280" s="42">
        <v>6.2921391158213671E-2</v>
      </c>
      <c r="G1280">
        <v>0.93707860884178629</v>
      </c>
    </row>
    <row r="1281" spans="3:7" x14ac:dyDescent="0.15">
      <c r="C1281" s="61" t="s">
        <v>1598</v>
      </c>
      <c r="D1281" s="60">
        <v>0</v>
      </c>
      <c r="E1281" s="60">
        <v>1</v>
      </c>
      <c r="F1281" s="60">
        <v>0.80883456498624395</v>
      </c>
      <c r="G1281" s="59">
        <v>0.19116543501375605</v>
      </c>
    </row>
    <row r="1282" spans="3:7" x14ac:dyDescent="0.15">
      <c r="C1282" s="43" t="s">
        <v>1599</v>
      </c>
      <c r="D1282" s="42">
        <v>0</v>
      </c>
      <c r="E1282" s="42">
        <v>0</v>
      </c>
      <c r="F1282" s="42">
        <v>7.8845766576675358E-3</v>
      </c>
      <c r="G1282">
        <v>0.99211542334233249</v>
      </c>
    </row>
    <row r="1283" spans="3:7" x14ac:dyDescent="0.15">
      <c r="C1283" s="43" t="s">
        <v>1600</v>
      </c>
      <c r="D1283" s="42">
        <v>0</v>
      </c>
      <c r="E1283" s="42">
        <v>0</v>
      </c>
      <c r="F1283" s="42">
        <v>0.23971635418783177</v>
      </c>
      <c r="G1283">
        <v>0.76028364581216823</v>
      </c>
    </row>
    <row r="1284" spans="3:7" x14ac:dyDescent="0.15">
      <c r="C1284" s="43" t="s">
        <v>1601</v>
      </c>
      <c r="D1284" s="42">
        <v>0</v>
      </c>
      <c r="E1284" s="42">
        <v>0</v>
      </c>
      <c r="F1284" s="42">
        <v>1.5460437799488719E-2</v>
      </c>
      <c r="G1284">
        <v>0.98453956220051131</v>
      </c>
    </row>
    <row r="1285" spans="3:7" x14ac:dyDescent="0.15">
      <c r="C1285" s="43" t="s">
        <v>1602</v>
      </c>
      <c r="D1285" s="42">
        <v>0</v>
      </c>
      <c r="E1285" s="42">
        <v>0</v>
      </c>
      <c r="F1285" s="42">
        <v>2.7219426363320792E-2</v>
      </c>
      <c r="G1285">
        <v>0.97278057363667925</v>
      </c>
    </row>
    <row r="1286" spans="3:7" x14ac:dyDescent="0.15">
      <c r="C1286" s="43" t="s">
        <v>1603</v>
      </c>
      <c r="D1286" s="42">
        <v>0</v>
      </c>
      <c r="E1286" s="42">
        <v>0</v>
      </c>
      <c r="F1286" s="42">
        <v>2.5240090184933586E-3</v>
      </c>
      <c r="G1286">
        <v>0.99747599098150663</v>
      </c>
    </row>
  </sheetData>
  <mergeCells count="17">
    <mergeCell ref="B3:M3"/>
    <mergeCell ref="P3:S3"/>
    <mergeCell ref="H4:I4"/>
    <mergeCell ref="J4:K4"/>
    <mergeCell ref="L4:M4"/>
    <mergeCell ref="B5:C5"/>
    <mergeCell ref="D5:E5"/>
    <mergeCell ref="F5:G5"/>
    <mergeCell ref="H5:I5"/>
    <mergeCell ref="J5:K5"/>
    <mergeCell ref="L5:M5"/>
    <mergeCell ref="C12:E12"/>
    <mergeCell ref="C17:F17"/>
    <mergeCell ref="C23:D23"/>
    <mergeCell ref="B4:C4"/>
    <mergeCell ref="D4:E4"/>
    <mergeCell ref="F4:G4"/>
  </mergeCells>
  <hyperlinks>
    <hyperlink ref="B4" location="'LogReg_Output'!$B$10:$B$10" display="Inputs" xr:uid="{93ACF4F6-E5C4-E54C-95F7-3F90941B9DB4}"/>
    <hyperlink ref="D4" location="'LogReg_Output'!$B$54:$B$54" display="Regression Summary" xr:uid="{2CEEC769-2118-9740-8AF1-0FF8E84C8688}"/>
    <hyperlink ref="F4" location="'LogReg_Output'!$B$62:$B$62" display="Predictor Screening" xr:uid="{6CAA5DE5-1953-644A-A020-0145943CF057}"/>
    <hyperlink ref="H4" location="'LogReg_Output'!$B$81:$B$81" display="Coefficients" xr:uid="{4653DF59-DCCA-D343-90C1-1A8A3770B40D}"/>
    <hyperlink ref="J4" location="'LogReg_Stored'!$B$10:$B$10" display="PMML Model" xr:uid="{D10EEC89-EC95-144B-B37E-484A8815A404}"/>
    <hyperlink ref="L4" location="'LogReg_TrainingScore'!$B$10:$B$10" display="Training: Classification Summary" xr:uid="{C8C37356-FAED-974C-B0FA-BE57EF6EF886}"/>
    <hyperlink ref="B5" location="'LogReg_TrainingScore'!$B$34:$B$34" display="Training: Classification Details" xr:uid="{BD58BC17-CE13-B24B-A863-BEA967F7BD12}"/>
    <hyperlink ref="D5" location="'LogReg_ValidationLiftChart'!$B$10:$B$10" display="Validation: Charts" xr:uid="{90FA717E-191C-7640-BE5C-4F3B40AFE4F3}"/>
    <hyperlink ref="F5" location="'LogReg_ValidationScore'!$B$10:$B$10" display="Validation: Classification Summary" xr:uid="{1DED368F-264E-7745-85F7-B06B15755178}"/>
    <hyperlink ref="H5" location="'LogReg_ValidationScore'!$B$34:$B$34" display="Validation: Classification Details" xr:uid="{8D75595C-1351-EE42-B964-0BB895E2B61F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498DD-64DA-8043-8F7A-E392FB5678BD}">
  <dimension ref="B1:AX2537"/>
  <sheetViews>
    <sheetView showGridLines="0" workbookViewId="0">
      <selection activeCell="C1287" sqref="C1287:G2537"/>
    </sheetView>
  </sheetViews>
  <sheetFormatPr baseColWidth="10" defaultRowHeight="13" x14ac:dyDescent="0.15"/>
  <cols>
    <col min="3" max="3" width="11.83203125" customWidth="1"/>
    <col min="5" max="5" width="13.1640625" customWidth="1"/>
    <col min="6" max="6" width="19" customWidth="1"/>
    <col min="7" max="7" width="20.83203125" customWidth="1"/>
    <col min="8" max="8" width="12.33203125" customWidth="1"/>
    <col min="9" max="9" width="14.1640625" customWidth="1"/>
    <col min="10" max="10" width="14.83203125" customWidth="1"/>
    <col min="11" max="11" width="13.1640625" customWidth="1"/>
    <col min="12" max="12" width="19.33203125" customWidth="1"/>
    <col min="13" max="13" width="15.6640625" customWidth="1"/>
    <col min="16" max="16" width="13.83203125" bestFit="1" customWidth="1"/>
  </cols>
  <sheetData>
    <row r="1" spans="2:50" ht="19" x14ac:dyDescent="0.25">
      <c r="B1" s="40" t="s">
        <v>1800</v>
      </c>
      <c r="N1" t="s">
        <v>1782</v>
      </c>
      <c r="AX1" s="55" t="s">
        <v>1700</v>
      </c>
    </row>
    <row r="3" spans="2:50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P3" s="54" t="s">
        <v>50</v>
      </c>
      <c r="Q3" s="54"/>
      <c r="R3" s="54"/>
      <c r="S3" s="54"/>
      <c r="AX3" s="55" t="s">
        <v>1801</v>
      </c>
    </row>
    <row r="4" spans="2:50" ht="14" x14ac:dyDescent="0.2">
      <c r="B4" s="49" t="s">
        <v>74</v>
      </c>
      <c r="C4" s="49"/>
      <c r="D4" s="49" t="s">
        <v>1797</v>
      </c>
      <c r="E4" s="49"/>
      <c r="F4" s="49" t="s">
        <v>1798</v>
      </c>
      <c r="G4" s="49"/>
      <c r="H4" s="49" t="s">
        <v>1799</v>
      </c>
      <c r="I4" s="49"/>
      <c r="J4" s="49" t="s">
        <v>1605</v>
      </c>
      <c r="K4" s="49"/>
      <c r="L4" s="49" t="s">
        <v>1684</v>
      </c>
      <c r="M4" s="49"/>
      <c r="P4" s="53" t="s">
        <v>86</v>
      </c>
      <c r="Q4" s="53" t="s">
        <v>87</v>
      </c>
      <c r="R4" s="53" t="s">
        <v>52</v>
      </c>
      <c r="S4" s="53" t="s">
        <v>53</v>
      </c>
      <c r="AX4" s="55" t="s">
        <v>1702</v>
      </c>
    </row>
    <row r="5" spans="2:50" ht="14" x14ac:dyDescent="0.2">
      <c r="B5" s="49" t="s">
        <v>1685</v>
      </c>
      <c r="C5" s="49"/>
      <c r="D5" s="49" t="s">
        <v>1686</v>
      </c>
      <c r="E5" s="49"/>
      <c r="F5" s="49" t="s">
        <v>1687</v>
      </c>
      <c r="G5" s="49"/>
      <c r="H5" s="49" t="s">
        <v>1688</v>
      </c>
      <c r="I5" s="49"/>
      <c r="J5" s="56"/>
      <c r="K5" s="56"/>
      <c r="L5" s="56"/>
      <c r="M5" s="56"/>
      <c r="P5" s="45">
        <v>1391</v>
      </c>
      <c r="Q5" s="45">
        <v>40</v>
      </c>
      <c r="R5" s="45">
        <v>116</v>
      </c>
      <c r="S5" s="45">
        <v>1547</v>
      </c>
    </row>
    <row r="10" spans="2:50" ht="19" x14ac:dyDescent="0.25">
      <c r="B10" s="41" t="s">
        <v>1690</v>
      </c>
    </row>
    <row r="12" spans="2:50" x14ac:dyDescent="0.15">
      <c r="B12" s="58" t="s">
        <v>1691</v>
      </c>
      <c r="C12" t="s">
        <v>1696</v>
      </c>
    </row>
    <row r="13" spans="2:50" x14ac:dyDescent="0.15">
      <c r="B13" s="58" t="s">
        <v>1692</v>
      </c>
      <c r="C13" t="s">
        <v>1697</v>
      </c>
    </row>
    <row r="14" spans="2:50" x14ac:dyDescent="0.15">
      <c r="B14" s="58" t="s">
        <v>1693</v>
      </c>
      <c r="C14" t="s">
        <v>1698</v>
      </c>
    </row>
    <row r="16" spans="2:50" ht="19" x14ac:dyDescent="0.25">
      <c r="B16" s="41" t="s">
        <v>1694</v>
      </c>
      <c r="I16" s="41" t="s">
        <v>1699</v>
      </c>
    </row>
    <row r="18" spans="2:13" x14ac:dyDescent="0.15">
      <c r="C18" s="43" t="s">
        <v>1704</v>
      </c>
      <c r="D18" t="s">
        <v>28</v>
      </c>
      <c r="E18" t="s">
        <v>1705</v>
      </c>
      <c r="F18" t="s">
        <v>1706</v>
      </c>
      <c r="G18" t="s">
        <v>1707</v>
      </c>
      <c r="J18" s="43" t="s">
        <v>0</v>
      </c>
      <c r="K18" t="s">
        <v>1704</v>
      </c>
      <c r="L18" t="s">
        <v>1718</v>
      </c>
    </row>
    <row r="19" spans="2:13" x14ac:dyDescent="0.15">
      <c r="C19" s="43" t="s">
        <v>1708</v>
      </c>
      <c r="D19" s="42">
        <v>0.71199999999999997</v>
      </c>
      <c r="E19" s="42">
        <v>0.45465335962616055</v>
      </c>
      <c r="F19" s="42">
        <v>0</v>
      </c>
      <c r="G19">
        <v>1</v>
      </c>
      <c r="J19" s="43">
        <v>1</v>
      </c>
      <c r="K19" s="42">
        <v>1</v>
      </c>
      <c r="L19">
        <v>6.9531249999999991</v>
      </c>
    </row>
    <row r="20" spans="2:13" x14ac:dyDescent="0.15">
      <c r="C20" s="43" t="s">
        <v>1709</v>
      </c>
      <c r="D20" s="42">
        <v>0.184</v>
      </c>
      <c r="E20" s="42">
        <v>0.38904349205413707</v>
      </c>
      <c r="F20" s="42">
        <v>0</v>
      </c>
      <c r="G20">
        <v>1</v>
      </c>
      <c r="J20" s="43">
        <v>2</v>
      </c>
      <c r="K20" s="42">
        <v>2</v>
      </c>
      <c r="L20">
        <v>1.7968749999999998</v>
      </c>
    </row>
    <row r="21" spans="2:13" x14ac:dyDescent="0.15">
      <c r="C21" s="43" t="s">
        <v>1710</v>
      </c>
      <c r="D21" s="42">
        <v>6.4000000000000001E-2</v>
      </c>
      <c r="E21" s="42">
        <v>0.24573786190612457</v>
      </c>
      <c r="F21" s="42">
        <v>0</v>
      </c>
      <c r="G21">
        <v>1</v>
      </c>
      <c r="J21" s="43">
        <v>3</v>
      </c>
      <c r="K21" s="42">
        <v>3</v>
      </c>
      <c r="L21">
        <v>0.625</v>
      </c>
    </row>
    <row r="22" spans="2:13" x14ac:dyDescent="0.15">
      <c r="C22" s="43" t="s">
        <v>1711</v>
      </c>
      <c r="D22" s="42">
        <v>2.4E-2</v>
      </c>
      <c r="E22" s="42">
        <v>0.15366490564148488</v>
      </c>
      <c r="F22" s="42">
        <v>0</v>
      </c>
      <c r="G22">
        <v>1</v>
      </c>
      <c r="J22" s="43">
        <v>4</v>
      </c>
      <c r="K22" s="42">
        <v>4</v>
      </c>
      <c r="L22">
        <v>0.234375</v>
      </c>
    </row>
    <row r="23" spans="2:13" x14ac:dyDescent="0.15">
      <c r="C23" s="43" t="s">
        <v>1712</v>
      </c>
      <c r="D23" s="42">
        <v>2.4E-2</v>
      </c>
      <c r="E23" s="42">
        <v>0.15366490564148488</v>
      </c>
      <c r="F23" s="42">
        <v>0</v>
      </c>
      <c r="G23">
        <v>1</v>
      </c>
      <c r="J23" s="43">
        <v>5</v>
      </c>
      <c r="K23" s="42">
        <v>5</v>
      </c>
      <c r="L23">
        <v>0.234375</v>
      </c>
    </row>
    <row r="24" spans="2:13" x14ac:dyDescent="0.15">
      <c r="C24" s="43" t="s">
        <v>1713</v>
      </c>
      <c r="D24" s="42">
        <v>0</v>
      </c>
      <c r="E24" s="42">
        <v>0</v>
      </c>
      <c r="F24" s="42">
        <v>0</v>
      </c>
      <c r="G24">
        <v>0</v>
      </c>
      <c r="J24" s="43">
        <v>6</v>
      </c>
      <c r="K24" s="42">
        <v>6</v>
      </c>
      <c r="L24">
        <v>0</v>
      </c>
    </row>
    <row r="25" spans="2:13" x14ac:dyDescent="0.15">
      <c r="C25" s="43" t="s">
        <v>1714</v>
      </c>
      <c r="D25" s="42">
        <v>8.0000000000000002E-3</v>
      </c>
      <c r="E25" s="42">
        <v>8.9442719099991588E-2</v>
      </c>
      <c r="F25" s="42">
        <v>0</v>
      </c>
      <c r="G25">
        <v>1</v>
      </c>
      <c r="J25" s="43">
        <v>7</v>
      </c>
      <c r="K25" s="42">
        <v>7</v>
      </c>
      <c r="L25">
        <v>7.8125E-2</v>
      </c>
    </row>
    <row r="26" spans="2:13" x14ac:dyDescent="0.15">
      <c r="C26" s="43" t="s">
        <v>1715</v>
      </c>
      <c r="D26" s="42">
        <v>8.0000000000000002E-3</v>
      </c>
      <c r="E26" s="42">
        <v>8.9442719099991588E-2</v>
      </c>
      <c r="F26" s="42">
        <v>0</v>
      </c>
      <c r="G26">
        <v>1</v>
      </c>
      <c r="J26" s="43">
        <v>8</v>
      </c>
      <c r="K26" s="42">
        <v>8</v>
      </c>
      <c r="L26">
        <v>7.8125E-2</v>
      </c>
    </row>
    <row r="27" spans="2:13" x14ac:dyDescent="0.15">
      <c r="C27" s="43" t="s">
        <v>1716</v>
      </c>
      <c r="D27" s="42">
        <v>0</v>
      </c>
      <c r="E27" s="42">
        <v>0</v>
      </c>
      <c r="F27" s="42">
        <v>0</v>
      </c>
      <c r="G27">
        <v>0</v>
      </c>
      <c r="J27" s="43">
        <v>9</v>
      </c>
      <c r="K27" s="42">
        <v>9</v>
      </c>
      <c r="L27">
        <v>0</v>
      </c>
    </row>
    <row r="28" spans="2:13" x14ac:dyDescent="0.15">
      <c r="C28" s="43" t="s">
        <v>1717</v>
      </c>
      <c r="D28" s="42">
        <v>0</v>
      </c>
      <c r="E28" s="42">
        <v>0</v>
      </c>
      <c r="F28" s="42">
        <v>0</v>
      </c>
      <c r="G28">
        <v>0</v>
      </c>
      <c r="J28" s="43">
        <v>10</v>
      </c>
      <c r="K28" s="42">
        <v>10</v>
      </c>
      <c r="L28">
        <v>0</v>
      </c>
    </row>
    <row r="30" spans="2:13" ht="19" x14ac:dyDescent="0.25">
      <c r="B30" s="41" t="s">
        <v>1695</v>
      </c>
    </row>
    <row r="32" spans="2:13" x14ac:dyDescent="0.15">
      <c r="C32" s="43" t="s">
        <v>77</v>
      </c>
      <c r="D32" t="s">
        <v>1719</v>
      </c>
      <c r="E32" t="s">
        <v>1691</v>
      </c>
      <c r="F32" t="s">
        <v>1720</v>
      </c>
      <c r="G32" t="s">
        <v>1721</v>
      </c>
      <c r="H32" t="s">
        <v>1722</v>
      </c>
      <c r="I32" t="s">
        <v>1723</v>
      </c>
      <c r="J32" t="s">
        <v>1724</v>
      </c>
      <c r="K32" t="s">
        <v>1725</v>
      </c>
      <c r="L32" t="s">
        <v>1726</v>
      </c>
      <c r="M32" t="s">
        <v>1727</v>
      </c>
    </row>
    <row r="33" spans="3:13" x14ac:dyDescent="0.15">
      <c r="C33" s="43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>
        <v>0</v>
      </c>
    </row>
    <row r="34" spans="3:13" x14ac:dyDescent="0.15">
      <c r="C34" s="43">
        <v>1</v>
      </c>
      <c r="D34" s="42">
        <v>1</v>
      </c>
      <c r="E34" s="42">
        <v>8.0000000000000004E-4</v>
      </c>
      <c r="F34" s="42">
        <v>1</v>
      </c>
      <c r="G34" s="42">
        <v>0.1024</v>
      </c>
      <c r="H34" s="42">
        <v>9.765625</v>
      </c>
      <c r="I34" s="42">
        <v>1</v>
      </c>
      <c r="J34" s="42">
        <v>9.765625</v>
      </c>
      <c r="K34" s="42">
        <v>7.8125E-3</v>
      </c>
      <c r="L34" s="42">
        <v>8.0000000000000004E-4</v>
      </c>
      <c r="M34">
        <v>7.8125E-3</v>
      </c>
    </row>
    <row r="35" spans="3:13" x14ac:dyDescent="0.15">
      <c r="C35" s="43">
        <v>2</v>
      </c>
      <c r="D35" s="42">
        <v>2</v>
      </c>
      <c r="E35" s="42">
        <v>1.6000000000000001E-3</v>
      </c>
      <c r="F35" s="42">
        <v>2</v>
      </c>
      <c r="G35" s="42">
        <v>0.20480000000000001</v>
      </c>
      <c r="H35" s="42">
        <v>9.765625</v>
      </c>
      <c r="I35" s="42">
        <v>1</v>
      </c>
      <c r="J35" s="42">
        <v>9.765625</v>
      </c>
      <c r="K35" s="42">
        <v>1.5625E-2</v>
      </c>
      <c r="L35" s="42">
        <v>1.6000000000000001E-3</v>
      </c>
      <c r="M35">
        <v>1.5625E-2</v>
      </c>
    </row>
    <row r="36" spans="3:13" x14ac:dyDescent="0.15">
      <c r="C36" s="43">
        <v>3</v>
      </c>
      <c r="D36" s="42">
        <v>3</v>
      </c>
      <c r="E36" s="42">
        <v>2.3999999999999998E-3</v>
      </c>
      <c r="F36" s="42">
        <v>3</v>
      </c>
      <c r="G36" s="42">
        <v>0.30720000000000003</v>
      </c>
      <c r="H36" s="42">
        <v>9.765625</v>
      </c>
      <c r="I36" s="42">
        <v>1</v>
      </c>
      <c r="J36" s="42">
        <v>9.765625</v>
      </c>
      <c r="K36" s="42">
        <v>2.34375E-2</v>
      </c>
      <c r="L36" s="42">
        <v>2.3999999999999998E-3</v>
      </c>
      <c r="M36">
        <v>2.34375E-2</v>
      </c>
    </row>
    <row r="37" spans="3:13" x14ac:dyDescent="0.15">
      <c r="C37" s="43">
        <v>4</v>
      </c>
      <c r="D37" s="42">
        <v>4</v>
      </c>
      <c r="E37" s="42">
        <v>3.2000000000000002E-3</v>
      </c>
      <c r="F37" s="42">
        <v>4</v>
      </c>
      <c r="G37" s="42">
        <v>0.40960000000000002</v>
      </c>
      <c r="H37" s="42">
        <v>9.765625</v>
      </c>
      <c r="I37" s="42">
        <v>1</v>
      </c>
      <c r="J37" s="42">
        <v>9.765625</v>
      </c>
      <c r="K37" s="42">
        <v>3.125E-2</v>
      </c>
      <c r="L37" s="42">
        <v>3.2000000000000002E-3</v>
      </c>
      <c r="M37">
        <v>3.125E-2</v>
      </c>
    </row>
    <row r="38" spans="3:13" x14ac:dyDescent="0.15">
      <c r="C38" s="43">
        <v>5</v>
      </c>
      <c r="D38" s="42">
        <v>5</v>
      </c>
      <c r="E38" s="42">
        <v>4.0000000000000001E-3</v>
      </c>
      <c r="F38" s="42">
        <v>5</v>
      </c>
      <c r="G38" s="42">
        <v>0.51200000000000001</v>
      </c>
      <c r="H38" s="42">
        <v>9.765625</v>
      </c>
      <c r="I38" s="42">
        <v>1</v>
      </c>
      <c r="J38" s="42">
        <v>9.765625</v>
      </c>
      <c r="K38" s="42">
        <v>3.90625E-2</v>
      </c>
      <c r="L38" s="42">
        <v>4.0000000000000001E-3</v>
      </c>
      <c r="M38">
        <v>3.90625E-2</v>
      </c>
    </row>
    <row r="39" spans="3:13" x14ac:dyDescent="0.15">
      <c r="C39" s="43">
        <v>6</v>
      </c>
      <c r="D39" s="42">
        <v>6</v>
      </c>
      <c r="E39" s="42">
        <v>4.7999999999999996E-3</v>
      </c>
      <c r="F39" s="42">
        <v>6</v>
      </c>
      <c r="G39" s="42">
        <v>0.61440000000000006</v>
      </c>
      <c r="H39" s="42">
        <v>9.765625</v>
      </c>
      <c r="I39" s="42">
        <v>1</v>
      </c>
      <c r="J39" s="42">
        <v>9.765625</v>
      </c>
      <c r="K39" s="42">
        <v>4.6875E-2</v>
      </c>
      <c r="L39" s="42">
        <v>4.7999999999999996E-3</v>
      </c>
      <c r="M39">
        <v>4.6875E-2</v>
      </c>
    </row>
    <row r="40" spans="3:13" x14ac:dyDescent="0.15">
      <c r="C40" s="43">
        <v>7</v>
      </c>
      <c r="D40" s="42">
        <v>7</v>
      </c>
      <c r="E40" s="42">
        <v>5.5999999999999999E-3</v>
      </c>
      <c r="F40" s="42">
        <v>7</v>
      </c>
      <c r="G40" s="42">
        <v>0.71679999999999999</v>
      </c>
      <c r="H40" s="42">
        <v>9.765625</v>
      </c>
      <c r="I40" s="42">
        <v>1</v>
      </c>
      <c r="J40" s="42">
        <v>9.765625</v>
      </c>
      <c r="K40" s="42">
        <v>5.46875E-2</v>
      </c>
      <c r="L40" s="42">
        <v>5.5999999999999999E-3</v>
      </c>
      <c r="M40">
        <v>5.46875E-2</v>
      </c>
    </row>
    <row r="41" spans="3:13" x14ac:dyDescent="0.15">
      <c r="C41" s="43">
        <v>8</v>
      </c>
      <c r="D41" s="42">
        <v>8</v>
      </c>
      <c r="E41" s="42">
        <v>6.4000000000000003E-3</v>
      </c>
      <c r="F41" s="42">
        <v>8</v>
      </c>
      <c r="G41" s="42">
        <v>0.81920000000000004</v>
      </c>
      <c r="H41" s="42">
        <v>9.765625</v>
      </c>
      <c r="I41" s="42">
        <v>1</v>
      </c>
      <c r="J41" s="42">
        <v>9.765625</v>
      </c>
      <c r="K41" s="42">
        <v>6.25E-2</v>
      </c>
      <c r="L41" s="42">
        <v>6.4000000000000003E-3</v>
      </c>
      <c r="M41">
        <v>6.25E-2</v>
      </c>
    </row>
    <row r="42" spans="3:13" x14ac:dyDescent="0.15">
      <c r="C42" s="43">
        <v>9</v>
      </c>
      <c r="D42" s="42">
        <v>9</v>
      </c>
      <c r="E42" s="42">
        <v>7.1999999999999998E-3</v>
      </c>
      <c r="F42" s="42">
        <v>9</v>
      </c>
      <c r="G42" s="42">
        <v>0.92160000000000009</v>
      </c>
      <c r="H42" s="42">
        <v>9.765625</v>
      </c>
      <c r="I42" s="42">
        <v>1</v>
      </c>
      <c r="J42" s="42">
        <v>9.765625</v>
      </c>
      <c r="K42" s="42">
        <v>7.03125E-2</v>
      </c>
      <c r="L42" s="42">
        <v>7.1999999999999998E-3</v>
      </c>
      <c r="M42">
        <v>7.03125E-2</v>
      </c>
    </row>
    <row r="43" spans="3:13" x14ac:dyDescent="0.15">
      <c r="C43" s="43">
        <v>10</v>
      </c>
      <c r="D43" s="42">
        <v>10</v>
      </c>
      <c r="E43" s="42">
        <v>8.0000000000000002E-3</v>
      </c>
      <c r="F43" s="42">
        <v>10</v>
      </c>
      <c r="G43" s="42">
        <v>1.024</v>
      </c>
      <c r="H43" s="42">
        <v>9.765625</v>
      </c>
      <c r="I43" s="42">
        <v>1</v>
      </c>
      <c r="J43" s="42">
        <v>9.765625</v>
      </c>
      <c r="K43" s="42">
        <v>7.8125E-2</v>
      </c>
      <c r="L43" s="42">
        <v>8.0000000000000002E-3</v>
      </c>
      <c r="M43">
        <v>7.8125E-2</v>
      </c>
    </row>
    <row r="44" spans="3:13" x14ac:dyDescent="0.15">
      <c r="C44" s="43">
        <v>11</v>
      </c>
      <c r="D44" s="42">
        <v>11</v>
      </c>
      <c r="E44" s="42">
        <v>8.8000000000000005E-3</v>
      </c>
      <c r="F44" s="42">
        <v>11</v>
      </c>
      <c r="G44" s="42">
        <v>1.1264000000000001</v>
      </c>
      <c r="H44" s="42">
        <v>9.765625</v>
      </c>
      <c r="I44" s="42">
        <v>1</v>
      </c>
      <c r="J44" s="42">
        <v>9.765625</v>
      </c>
      <c r="K44" s="42">
        <v>8.59375E-2</v>
      </c>
      <c r="L44" s="42">
        <v>8.8000000000000005E-3</v>
      </c>
      <c r="M44">
        <v>8.59375E-2</v>
      </c>
    </row>
    <row r="45" spans="3:13" x14ac:dyDescent="0.15">
      <c r="C45" s="43">
        <v>12</v>
      </c>
      <c r="D45" s="42">
        <v>12</v>
      </c>
      <c r="E45" s="42">
        <v>9.5999999999999992E-3</v>
      </c>
      <c r="F45" s="42">
        <v>12</v>
      </c>
      <c r="G45" s="42">
        <v>1.2288000000000001</v>
      </c>
      <c r="H45" s="42">
        <v>9.765625</v>
      </c>
      <c r="I45" s="42">
        <v>1</v>
      </c>
      <c r="J45" s="42">
        <v>9.765625</v>
      </c>
      <c r="K45" s="42">
        <v>9.375E-2</v>
      </c>
      <c r="L45" s="42">
        <v>9.5999999999999992E-3</v>
      </c>
      <c r="M45">
        <v>9.375E-2</v>
      </c>
    </row>
    <row r="46" spans="3:13" x14ac:dyDescent="0.15">
      <c r="C46" s="43">
        <v>13</v>
      </c>
      <c r="D46" s="42">
        <v>13</v>
      </c>
      <c r="E46" s="42">
        <v>1.04E-2</v>
      </c>
      <c r="F46" s="42">
        <v>13</v>
      </c>
      <c r="G46" s="42">
        <v>1.3312000000000002</v>
      </c>
      <c r="H46" s="42">
        <v>9.765625</v>
      </c>
      <c r="I46" s="42">
        <v>1</v>
      </c>
      <c r="J46" s="42">
        <v>9.765625</v>
      </c>
      <c r="K46" s="42">
        <v>0.1015625</v>
      </c>
      <c r="L46" s="42">
        <v>1.04E-2</v>
      </c>
      <c r="M46">
        <v>0.1015625</v>
      </c>
    </row>
    <row r="47" spans="3:13" x14ac:dyDescent="0.15">
      <c r="C47" s="43">
        <v>14</v>
      </c>
      <c r="D47" s="42">
        <v>14</v>
      </c>
      <c r="E47" s="42">
        <v>1.12E-2</v>
      </c>
      <c r="F47" s="42">
        <v>14</v>
      </c>
      <c r="G47" s="42">
        <v>1.4336</v>
      </c>
      <c r="H47" s="42">
        <v>9.765625</v>
      </c>
      <c r="I47" s="42">
        <v>1</v>
      </c>
      <c r="J47" s="42">
        <v>9.765625</v>
      </c>
      <c r="K47" s="42">
        <v>0.109375</v>
      </c>
      <c r="L47" s="42">
        <v>1.12E-2</v>
      </c>
      <c r="M47">
        <v>0.109375</v>
      </c>
    </row>
    <row r="48" spans="3:13" x14ac:dyDescent="0.15">
      <c r="C48" s="43">
        <v>15</v>
      </c>
      <c r="D48" s="42">
        <v>15</v>
      </c>
      <c r="E48" s="42">
        <v>1.2E-2</v>
      </c>
      <c r="F48" s="42">
        <v>15</v>
      </c>
      <c r="G48" s="42">
        <v>1.536</v>
      </c>
      <c r="H48" s="42">
        <v>9.765625</v>
      </c>
      <c r="I48" s="42">
        <v>1</v>
      </c>
      <c r="J48" s="42">
        <v>9.765625</v>
      </c>
      <c r="K48" s="42">
        <v>0.1171875</v>
      </c>
      <c r="L48" s="42">
        <v>1.2E-2</v>
      </c>
      <c r="M48">
        <v>0.1171875</v>
      </c>
    </row>
    <row r="49" spans="3:13" x14ac:dyDescent="0.15">
      <c r="C49" s="43">
        <v>16</v>
      </c>
      <c r="D49" s="42">
        <v>16</v>
      </c>
      <c r="E49" s="42">
        <v>1.2800000000000001E-2</v>
      </c>
      <c r="F49" s="42">
        <v>16</v>
      </c>
      <c r="G49" s="42">
        <v>1.6384000000000001</v>
      </c>
      <c r="H49" s="42">
        <v>9.765625</v>
      </c>
      <c r="I49" s="42">
        <v>1</v>
      </c>
      <c r="J49" s="42">
        <v>9.765625</v>
      </c>
      <c r="K49" s="42">
        <v>0.125</v>
      </c>
      <c r="L49" s="42">
        <v>1.2800000000000001E-2</v>
      </c>
      <c r="M49">
        <v>0.125</v>
      </c>
    </row>
    <row r="50" spans="3:13" x14ac:dyDescent="0.15">
      <c r="C50" s="43">
        <v>17</v>
      </c>
      <c r="D50" s="42">
        <v>17</v>
      </c>
      <c r="E50" s="42">
        <v>1.3599999999999999E-2</v>
      </c>
      <c r="F50" s="42">
        <v>17</v>
      </c>
      <c r="G50" s="42">
        <v>1.7408000000000001</v>
      </c>
      <c r="H50" s="42">
        <v>9.765625</v>
      </c>
      <c r="I50" s="42">
        <v>1</v>
      </c>
      <c r="J50" s="42">
        <v>9.765625</v>
      </c>
      <c r="K50" s="42">
        <v>0.1328125</v>
      </c>
      <c r="L50" s="42">
        <v>1.3599999999999999E-2</v>
      </c>
      <c r="M50">
        <v>0.1328125</v>
      </c>
    </row>
    <row r="51" spans="3:13" x14ac:dyDescent="0.15">
      <c r="C51" s="43">
        <v>18</v>
      </c>
      <c r="D51" s="42">
        <v>18</v>
      </c>
      <c r="E51" s="42">
        <v>1.44E-2</v>
      </c>
      <c r="F51" s="42">
        <v>18</v>
      </c>
      <c r="G51" s="42">
        <v>1.8432000000000002</v>
      </c>
      <c r="H51" s="42">
        <v>9.765625</v>
      </c>
      <c r="I51" s="42">
        <v>1</v>
      </c>
      <c r="J51" s="42">
        <v>9.765625</v>
      </c>
      <c r="K51" s="42">
        <v>0.140625</v>
      </c>
      <c r="L51" s="42">
        <v>1.44E-2</v>
      </c>
      <c r="M51">
        <v>0.140625</v>
      </c>
    </row>
    <row r="52" spans="3:13" x14ac:dyDescent="0.15">
      <c r="C52" s="43">
        <v>19</v>
      </c>
      <c r="D52" s="42">
        <v>19</v>
      </c>
      <c r="E52" s="42">
        <v>1.52E-2</v>
      </c>
      <c r="F52" s="42">
        <v>19</v>
      </c>
      <c r="G52" s="42">
        <v>1.9456</v>
      </c>
      <c r="H52" s="42">
        <v>9.765625</v>
      </c>
      <c r="I52" s="42">
        <v>1</v>
      </c>
      <c r="J52" s="42">
        <v>9.765625</v>
      </c>
      <c r="K52" s="42">
        <v>0.1484375</v>
      </c>
      <c r="L52" s="42">
        <v>1.52E-2</v>
      </c>
      <c r="M52">
        <v>0.1484375</v>
      </c>
    </row>
    <row r="53" spans="3:13" x14ac:dyDescent="0.15">
      <c r="C53" s="43">
        <v>20</v>
      </c>
      <c r="D53" s="42">
        <v>20</v>
      </c>
      <c r="E53" s="42">
        <v>1.6E-2</v>
      </c>
      <c r="F53" s="42">
        <v>20</v>
      </c>
      <c r="G53" s="42">
        <v>2.048</v>
      </c>
      <c r="H53" s="42">
        <v>9.765625</v>
      </c>
      <c r="I53" s="42">
        <v>1</v>
      </c>
      <c r="J53" s="42">
        <v>9.765625</v>
      </c>
      <c r="K53" s="42">
        <v>0.15625</v>
      </c>
      <c r="L53" s="42">
        <v>1.6E-2</v>
      </c>
      <c r="M53">
        <v>0.15625</v>
      </c>
    </row>
    <row r="54" spans="3:13" x14ac:dyDescent="0.15">
      <c r="C54" s="43">
        <v>21</v>
      </c>
      <c r="D54" s="42">
        <v>21</v>
      </c>
      <c r="E54" s="42">
        <v>1.6799999999999999E-2</v>
      </c>
      <c r="F54" s="42">
        <v>21</v>
      </c>
      <c r="G54" s="42">
        <v>2.1504000000000003</v>
      </c>
      <c r="H54" s="42">
        <v>9.765625</v>
      </c>
      <c r="I54" s="42">
        <v>1</v>
      </c>
      <c r="J54" s="42">
        <v>9.765625</v>
      </c>
      <c r="K54" s="42">
        <v>0.1640625</v>
      </c>
      <c r="L54" s="42">
        <v>1.6799999999999999E-2</v>
      </c>
      <c r="M54">
        <v>0.1640625</v>
      </c>
    </row>
    <row r="55" spans="3:13" x14ac:dyDescent="0.15">
      <c r="C55" s="43">
        <v>22</v>
      </c>
      <c r="D55" s="42">
        <v>22</v>
      </c>
      <c r="E55" s="42">
        <v>1.7600000000000001E-2</v>
      </c>
      <c r="F55" s="42">
        <v>22</v>
      </c>
      <c r="G55" s="42">
        <v>2.2528000000000001</v>
      </c>
      <c r="H55" s="42">
        <v>9.765625</v>
      </c>
      <c r="I55" s="42">
        <v>1</v>
      </c>
      <c r="J55" s="42">
        <v>9.765625</v>
      </c>
      <c r="K55" s="42">
        <v>0.171875</v>
      </c>
      <c r="L55" s="42">
        <v>1.7600000000000001E-2</v>
      </c>
      <c r="M55">
        <v>0.171875</v>
      </c>
    </row>
    <row r="56" spans="3:13" x14ac:dyDescent="0.15">
      <c r="C56" s="43">
        <v>23</v>
      </c>
      <c r="D56" s="42">
        <v>23</v>
      </c>
      <c r="E56" s="42">
        <v>1.84E-2</v>
      </c>
      <c r="F56" s="42">
        <v>23</v>
      </c>
      <c r="G56" s="42">
        <v>2.3552</v>
      </c>
      <c r="H56" s="42">
        <v>9.765625</v>
      </c>
      <c r="I56" s="42">
        <v>1</v>
      </c>
      <c r="J56" s="42">
        <v>9.765625</v>
      </c>
      <c r="K56" s="42">
        <v>0.1796875</v>
      </c>
      <c r="L56" s="42">
        <v>1.84E-2</v>
      </c>
      <c r="M56">
        <v>0.1796875</v>
      </c>
    </row>
    <row r="57" spans="3:13" x14ac:dyDescent="0.15">
      <c r="C57" s="43">
        <v>24</v>
      </c>
      <c r="D57" s="42">
        <v>24</v>
      </c>
      <c r="E57" s="42">
        <v>1.9199999999999998E-2</v>
      </c>
      <c r="F57" s="42">
        <v>24</v>
      </c>
      <c r="G57" s="42">
        <v>2.4576000000000002</v>
      </c>
      <c r="H57" s="42">
        <v>9.765625</v>
      </c>
      <c r="I57" s="42">
        <v>1</v>
      </c>
      <c r="J57" s="42">
        <v>9.765625</v>
      </c>
      <c r="K57" s="42">
        <v>0.1875</v>
      </c>
      <c r="L57" s="42">
        <v>1.9199999999999998E-2</v>
      </c>
      <c r="M57">
        <v>0.1875</v>
      </c>
    </row>
    <row r="58" spans="3:13" x14ac:dyDescent="0.15">
      <c r="C58" s="43">
        <v>25</v>
      </c>
      <c r="D58" s="42">
        <v>25</v>
      </c>
      <c r="E58" s="42">
        <v>0.02</v>
      </c>
      <c r="F58" s="42">
        <v>25</v>
      </c>
      <c r="G58" s="42">
        <v>2.56</v>
      </c>
      <c r="H58" s="42">
        <v>9.765625</v>
      </c>
      <c r="I58" s="42">
        <v>1</v>
      </c>
      <c r="J58" s="42">
        <v>9.765625</v>
      </c>
      <c r="K58" s="42">
        <v>0.1953125</v>
      </c>
      <c r="L58" s="42">
        <v>0.02</v>
      </c>
      <c r="M58">
        <v>0.1953125</v>
      </c>
    </row>
    <row r="59" spans="3:13" x14ac:dyDescent="0.15">
      <c r="C59" s="43">
        <v>26</v>
      </c>
      <c r="D59" s="42">
        <v>26</v>
      </c>
      <c r="E59" s="42">
        <v>2.0799999999999999E-2</v>
      </c>
      <c r="F59" s="42">
        <v>26</v>
      </c>
      <c r="G59" s="42">
        <v>2.6624000000000003</v>
      </c>
      <c r="H59" s="42">
        <v>9.765625</v>
      </c>
      <c r="I59" s="42">
        <v>1</v>
      </c>
      <c r="J59" s="42">
        <v>9.765625</v>
      </c>
      <c r="K59" s="42">
        <v>0.203125</v>
      </c>
      <c r="L59" s="42">
        <v>2.0799999999999999E-2</v>
      </c>
      <c r="M59">
        <v>0.203125</v>
      </c>
    </row>
    <row r="60" spans="3:13" x14ac:dyDescent="0.15">
      <c r="C60" s="43">
        <v>27</v>
      </c>
      <c r="D60" s="42">
        <v>27</v>
      </c>
      <c r="E60" s="42">
        <v>2.1600000000000001E-2</v>
      </c>
      <c r="F60" s="42">
        <v>27</v>
      </c>
      <c r="G60" s="42">
        <v>2.7648000000000001</v>
      </c>
      <c r="H60" s="42">
        <v>9.765625</v>
      </c>
      <c r="I60" s="42">
        <v>1</v>
      </c>
      <c r="J60" s="42">
        <v>9.765625</v>
      </c>
      <c r="K60" s="42">
        <v>0.2109375</v>
      </c>
      <c r="L60" s="42">
        <v>2.1600000000000001E-2</v>
      </c>
      <c r="M60">
        <v>0.2109375</v>
      </c>
    </row>
    <row r="61" spans="3:13" x14ac:dyDescent="0.15">
      <c r="C61" s="43">
        <v>28</v>
      </c>
      <c r="D61" s="42">
        <v>28</v>
      </c>
      <c r="E61" s="42">
        <v>2.24E-2</v>
      </c>
      <c r="F61" s="42">
        <v>28</v>
      </c>
      <c r="G61" s="42">
        <v>2.8672</v>
      </c>
      <c r="H61" s="42">
        <v>9.765625</v>
      </c>
      <c r="I61" s="42">
        <v>1</v>
      </c>
      <c r="J61" s="42">
        <v>9.765625</v>
      </c>
      <c r="K61" s="42">
        <v>0.21875</v>
      </c>
      <c r="L61" s="42">
        <v>2.24E-2</v>
      </c>
      <c r="M61">
        <v>0.21875</v>
      </c>
    </row>
    <row r="62" spans="3:13" x14ac:dyDescent="0.15">
      <c r="C62" s="43">
        <v>29</v>
      </c>
      <c r="D62" s="42">
        <v>29</v>
      </c>
      <c r="E62" s="42">
        <v>2.3199999999999998E-2</v>
      </c>
      <c r="F62" s="42">
        <v>29</v>
      </c>
      <c r="G62" s="42">
        <v>2.9696000000000002</v>
      </c>
      <c r="H62" s="42">
        <v>9.765625</v>
      </c>
      <c r="I62" s="42">
        <v>1</v>
      </c>
      <c r="J62" s="42">
        <v>9.765625</v>
      </c>
      <c r="K62" s="42">
        <v>0.2265625</v>
      </c>
      <c r="L62" s="42">
        <v>2.3199999999999998E-2</v>
      </c>
      <c r="M62">
        <v>0.2265625</v>
      </c>
    </row>
    <row r="63" spans="3:13" x14ac:dyDescent="0.15">
      <c r="C63" s="43">
        <v>30</v>
      </c>
      <c r="D63" s="42">
        <v>30</v>
      </c>
      <c r="E63" s="42">
        <v>2.4E-2</v>
      </c>
      <c r="F63" s="42">
        <v>30</v>
      </c>
      <c r="G63" s="42">
        <v>3.0720000000000001</v>
      </c>
      <c r="H63" s="42">
        <v>9.765625</v>
      </c>
      <c r="I63" s="42">
        <v>1</v>
      </c>
      <c r="J63" s="42">
        <v>9.765625</v>
      </c>
      <c r="K63" s="42">
        <v>0.234375</v>
      </c>
      <c r="L63" s="42">
        <v>2.4E-2</v>
      </c>
      <c r="M63">
        <v>0.234375</v>
      </c>
    </row>
    <row r="64" spans="3:13" x14ac:dyDescent="0.15">
      <c r="C64" s="43">
        <v>31</v>
      </c>
      <c r="D64" s="42">
        <v>31</v>
      </c>
      <c r="E64" s="42">
        <v>2.4799999999999999E-2</v>
      </c>
      <c r="F64" s="42">
        <v>31</v>
      </c>
      <c r="G64" s="42">
        <v>3.1744000000000003</v>
      </c>
      <c r="H64" s="42">
        <v>9.765625</v>
      </c>
      <c r="I64" s="42">
        <v>1</v>
      </c>
      <c r="J64" s="42">
        <v>9.765625</v>
      </c>
      <c r="K64" s="42">
        <v>0.2421875</v>
      </c>
      <c r="L64" s="42">
        <v>2.4799999999999999E-2</v>
      </c>
      <c r="M64">
        <v>0.2421875</v>
      </c>
    </row>
    <row r="65" spans="3:13" x14ac:dyDescent="0.15">
      <c r="C65" s="43">
        <v>32</v>
      </c>
      <c r="D65" s="42">
        <v>32</v>
      </c>
      <c r="E65" s="42">
        <v>2.5600000000000001E-2</v>
      </c>
      <c r="F65" s="42">
        <v>32</v>
      </c>
      <c r="G65" s="42">
        <v>3.2768000000000002</v>
      </c>
      <c r="H65" s="42">
        <v>9.765625</v>
      </c>
      <c r="I65" s="42">
        <v>1</v>
      </c>
      <c r="J65" s="42">
        <v>9.765625</v>
      </c>
      <c r="K65" s="42">
        <v>0.25</v>
      </c>
      <c r="L65" s="42">
        <v>2.5600000000000001E-2</v>
      </c>
      <c r="M65">
        <v>0.25</v>
      </c>
    </row>
    <row r="66" spans="3:13" x14ac:dyDescent="0.15">
      <c r="C66" s="43">
        <v>33</v>
      </c>
      <c r="D66" s="42">
        <v>33</v>
      </c>
      <c r="E66" s="42">
        <v>2.64E-2</v>
      </c>
      <c r="F66" s="42">
        <v>33</v>
      </c>
      <c r="G66" s="42">
        <v>3.3792</v>
      </c>
      <c r="H66" s="42">
        <v>9.765625</v>
      </c>
      <c r="I66" s="42">
        <v>1</v>
      </c>
      <c r="J66" s="42">
        <v>9.765625</v>
      </c>
      <c r="K66" s="42">
        <v>0.2578125</v>
      </c>
      <c r="L66" s="42">
        <v>2.64E-2</v>
      </c>
      <c r="M66">
        <v>0.2578125</v>
      </c>
    </row>
    <row r="67" spans="3:13" x14ac:dyDescent="0.15">
      <c r="C67" s="43">
        <v>34</v>
      </c>
      <c r="D67" s="42">
        <v>34</v>
      </c>
      <c r="E67" s="42">
        <v>2.7199999999999998E-2</v>
      </c>
      <c r="F67" s="42">
        <v>34</v>
      </c>
      <c r="G67" s="42">
        <v>3.4816000000000003</v>
      </c>
      <c r="H67" s="42">
        <v>9.765625</v>
      </c>
      <c r="I67" s="42">
        <v>1</v>
      </c>
      <c r="J67" s="42">
        <v>9.765625</v>
      </c>
      <c r="K67" s="42">
        <v>0.265625</v>
      </c>
      <c r="L67" s="42">
        <v>2.7199999999999998E-2</v>
      </c>
      <c r="M67">
        <v>0.265625</v>
      </c>
    </row>
    <row r="68" spans="3:13" x14ac:dyDescent="0.15">
      <c r="C68" s="43">
        <v>35</v>
      </c>
      <c r="D68" s="42">
        <v>35</v>
      </c>
      <c r="E68" s="42">
        <v>2.8000000000000001E-2</v>
      </c>
      <c r="F68" s="42">
        <v>35</v>
      </c>
      <c r="G68" s="42">
        <v>3.5840000000000001</v>
      </c>
      <c r="H68" s="42">
        <v>9.765625</v>
      </c>
      <c r="I68" s="42">
        <v>1</v>
      </c>
      <c r="J68" s="42">
        <v>9.765625</v>
      </c>
      <c r="K68" s="42">
        <v>0.2734375</v>
      </c>
      <c r="L68" s="42">
        <v>2.8000000000000001E-2</v>
      </c>
      <c r="M68">
        <v>0.2734375</v>
      </c>
    </row>
    <row r="69" spans="3:13" x14ac:dyDescent="0.15">
      <c r="C69" s="43">
        <v>36</v>
      </c>
      <c r="D69" s="42">
        <v>36</v>
      </c>
      <c r="E69" s="42">
        <v>2.8799999999999999E-2</v>
      </c>
      <c r="F69" s="42">
        <v>36</v>
      </c>
      <c r="G69" s="42">
        <v>3.6864000000000003</v>
      </c>
      <c r="H69" s="42">
        <v>9.765625</v>
      </c>
      <c r="I69" s="42">
        <v>1</v>
      </c>
      <c r="J69" s="42">
        <v>9.765625</v>
      </c>
      <c r="K69" s="42">
        <v>0.28125</v>
      </c>
      <c r="L69" s="42">
        <v>2.8799999999999999E-2</v>
      </c>
      <c r="M69">
        <v>0.28125</v>
      </c>
    </row>
    <row r="70" spans="3:13" x14ac:dyDescent="0.15">
      <c r="C70" s="43">
        <v>37</v>
      </c>
      <c r="D70" s="42">
        <v>37</v>
      </c>
      <c r="E70" s="42">
        <v>2.9600000000000001E-2</v>
      </c>
      <c r="F70" s="42">
        <v>36</v>
      </c>
      <c r="G70" s="42">
        <v>3.7888000000000002</v>
      </c>
      <c r="H70" s="42">
        <v>9.5016891891891895</v>
      </c>
      <c r="I70" s="42">
        <v>1</v>
      </c>
      <c r="J70" s="42">
        <v>9.765625</v>
      </c>
      <c r="K70" s="42">
        <v>0.28125</v>
      </c>
      <c r="L70" s="42">
        <v>2.9600000000000001E-2</v>
      </c>
      <c r="M70">
        <v>0.2890625</v>
      </c>
    </row>
    <row r="71" spans="3:13" x14ac:dyDescent="0.15">
      <c r="C71" s="43">
        <v>38</v>
      </c>
      <c r="D71" s="42">
        <v>38</v>
      </c>
      <c r="E71" s="42">
        <v>3.04E-2</v>
      </c>
      <c r="F71" s="42">
        <v>37</v>
      </c>
      <c r="G71" s="42">
        <v>3.8912</v>
      </c>
      <c r="H71" s="42">
        <v>9.5086348684210531</v>
      </c>
      <c r="I71" s="42">
        <v>1</v>
      </c>
      <c r="J71" s="42">
        <v>9.765625</v>
      </c>
      <c r="K71" s="42">
        <v>0.2890625</v>
      </c>
      <c r="L71" s="42">
        <v>3.04E-2</v>
      </c>
      <c r="M71">
        <v>0.296875</v>
      </c>
    </row>
    <row r="72" spans="3:13" x14ac:dyDescent="0.15">
      <c r="C72" s="43">
        <v>39</v>
      </c>
      <c r="D72" s="42">
        <v>39</v>
      </c>
      <c r="E72" s="42">
        <v>3.1199999999999999E-2</v>
      </c>
      <c r="F72" s="42">
        <v>38</v>
      </c>
      <c r="G72" s="42">
        <v>3.9936000000000003</v>
      </c>
      <c r="H72" s="42">
        <v>9.5152243589743595</v>
      </c>
      <c r="I72" s="42">
        <v>1</v>
      </c>
      <c r="J72" s="42">
        <v>9.765625</v>
      </c>
      <c r="K72" s="42">
        <v>0.296875</v>
      </c>
      <c r="L72" s="42">
        <v>3.1199999999999999E-2</v>
      </c>
      <c r="M72">
        <v>0.3046875</v>
      </c>
    </row>
    <row r="73" spans="3:13" x14ac:dyDescent="0.15">
      <c r="C73" s="43">
        <v>40</v>
      </c>
      <c r="D73" s="42">
        <v>40</v>
      </c>
      <c r="E73" s="42">
        <v>3.2000000000000001E-2</v>
      </c>
      <c r="F73" s="42">
        <v>39</v>
      </c>
      <c r="G73" s="42">
        <v>4.0960000000000001</v>
      </c>
      <c r="H73" s="42">
        <v>9.521484375</v>
      </c>
      <c r="I73" s="42">
        <v>1</v>
      </c>
      <c r="J73" s="42">
        <v>9.765625</v>
      </c>
      <c r="K73" s="42">
        <v>0.3046875</v>
      </c>
      <c r="L73" s="42">
        <v>3.2000000000000001E-2</v>
      </c>
      <c r="M73">
        <v>0.3125</v>
      </c>
    </row>
    <row r="74" spans="3:13" x14ac:dyDescent="0.15">
      <c r="C74" s="43">
        <v>41</v>
      </c>
      <c r="D74" s="42">
        <v>41</v>
      </c>
      <c r="E74" s="42">
        <v>3.2800000000000003E-2</v>
      </c>
      <c r="F74" s="42">
        <v>40</v>
      </c>
      <c r="G74" s="42">
        <v>4.1984000000000004</v>
      </c>
      <c r="H74" s="42">
        <v>9.5274390243902438</v>
      </c>
      <c r="I74" s="42">
        <v>1</v>
      </c>
      <c r="J74" s="42">
        <v>9.765625</v>
      </c>
      <c r="K74" s="42">
        <v>0.3125</v>
      </c>
      <c r="L74" s="42">
        <v>3.2800000000000003E-2</v>
      </c>
      <c r="M74">
        <v>0.3203125</v>
      </c>
    </row>
    <row r="75" spans="3:13" x14ac:dyDescent="0.15">
      <c r="C75" s="43">
        <v>42</v>
      </c>
      <c r="D75" s="42">
        <v>42</v>
      </c>
      <c r="E75" s="42">
        <v>3.3599999999999998E-2</v>
      </c>
      <c r="F75" s="42">
        <v>41</v>
      </c>
      <c r="G75" s="42">
        <v>4.3008000000000006</v>
      </c>
      <c r="H75" s="42">
        <v>9.5331101190476204</v>
      </c>
      <c r="I75" s="42">
        <v>1</v>
      </c>
      <c r="J75" s="42">
        <v>9.765625</v>
      </c>
      <c r="K75" s="42">
        <v>0.3203125</v>
      </c>
      <c r="L75" s="42">
        <v>3.3599999999999998E-2</v>
      </c>
      <c r="M75">
        <v>0.328125</v>
      </c>
    </row>
    <row r="76" spans="3:13" x14ac:dyDescent="0.15">
      <c r="C76" s="43">
        <v>43</v>
      </c>
      <c r="D76" s="42">
        <v>43</v>
      </c>
      <c r="E76" s="42">
        <v>3.44E-2</v>
      </c>
      <c r="F76" s="42">
        <v>42</v>
      </c>
      <c r="G76" s="42">
        <v>4.4032</v>
      </c>
      <c r="H76" s="42">
        <v>9.5385174418604652</v>
      </c>
      <c r="I76" s="42">
        <v>1</v>
      </c>
      <c r="J76" s="42">
        <v>9.765625</v>
      </c>
      <c r="K76" s="42">
        <v>0.328125</v>
      </c>
      <c r="L76" s="42">
        <v>3.44E-2</v>
      </c>
      <c r="M76">
        <v>0.3359375</v>
      </c>
    </row>
    <row r="77" spans="3:13" x14ac:dyDescent="0.15">
      <c r="C77" s="43">
        <v>44</v>
      </c>
      <c r="D77" s="42">
        <v>44</v>
      </c>
      <c r="E77" s="42">
        <v>3.5200000000000002E-2</v>
      </c>
      <c r="F77" s="42">
        <v>43</v>
      </c>
      <c r="G77" s="42">
        <v>4.5056000000000003</v>
      </c>
      <c r="H77" s="42">
        <v>9.5436789772727266</v>
      </c>
      <c r="I77" s="42">
        <v>1</v>
      </c>
      <c r="J77" s="42">
        <v>9.765625</v>
      </c>
      <c r="K77" s="42">
        <v>0.3359375</v>
      </c>
      <c r="L77" s="42">
        <v>3.5200000000000002E-2</v>
      </c>
      <c r="M77">
        <v>0.34375</v>
      </c>
    </row>
    <row r="78" spans="3:13" x14ac:dyDescent="0.15">
      <c r="C78" s="43">
        <v>45</v>
      </c>
      <c r="D78" s="42">
        <v>45</v>
      </c>
      <c r="E78" s="42">
        <v>3.5999999999999997E-2</v>
      </c>
      <c r="F78" s="42">
        <v>44</v>
      </c>
      <c r="G78" s="42">
        <v>4.6080000000000005</v>
      </c>
      <c r="H78" s="42">
        <v>9.5486111111111125</v>
      </c>
      <c r="I78" s="42">
        <v>1</v>
      </c>
      <c r="J78" s="42">
        <v>9.765625</v>
      </c>
      <c r="K78" s="42">
        <v>0.34375</v>
      </c>
      <c r="L78" s="42">
        <v>3.5999999999999997E-2</v>
      </c>
      <c r="M78">
        <v>0.3515625</v>
      </c>
    </row>
    <row r="79" spans="3:13" x14ac:dyDescent="0.15">
      <c r="C79" s="43">
        <v>46</v>
      </c>
      <c r="D79" s="42">
        <v>46</v>
      </c>
      <c r="E79" s="42">
        <v>3.6799999999999999E-2</v>
      </c>
      <c r="F79" s="42">
        <v>44</v>
      </c>
      <c r="G79" s="42">
        <v>4.7103999999999999</v>
      </c>
      <c r="H79" s="42">
        <v>9.3410326086956523</v>
      </c>
      <c r="I79" s="42">
        <v>1</v>
      </c>
      <c r="J79" s="42">
        <v>9.765625</v>
      </c>
      <c r="K79" s="42">
        <v>0.34375</v>
      </c>
      <c r="L79" s="42">
        <v>3.6799999999999999E-2</v>
      </c>
      <c r="M79">
        <v>0.359375</v>
      </c>
    </row>
    <row r="80" spans="3:13" x14ac:dyDescent="0.15">
      <c r="C80" s="43">
        <v>47</v>
      </c>
      <c r="D80" s="42">
        <v>47</v>
      </c>
      <c r="E80" s="42">
        <v>3.7600000000000001E-2</v>
      </c>
      <c r="F80" s="42">
        <v>45</v>
      </c>
      <c r="G80" s="42">
        <v>4.8128000000000002</v>
      </c>
      <c r="H80" s="42">
        <v>9.3500664893617014</v>
      </c>
      <c r="I80" s="42">
        <v>1</v>
      </c>
      <c r="J80" s="42">
        <v>9.765625</v>
      </c>
      <c r="K80" s="42">
        <v>0.3515625</v>
      </c>
      <c r="L80" s="42">
        <v>3.7600000000000001E-2</v>
      </c>
      <c r="M80">
        <v>0.3671875</v>
      </c>
    </row>
    <row r="81" spans="3:13" x14ac:dyDescent="0.15">
      <c r="C81" s="43">
        <v>48</v>
      </c>
      <c r="D81" s="42">
        <v>48</v>
      </c>
      <c r="E81" s="42">
        <v>3.8399999999999997E-2</v>
      </c>
      <c r="F81" s="42">
        <v>46</v>
      </c>
      <c r="G81" s="42">
        <v>4.9152000000000005</v>
      </c>
      <c r="H81" s="42">
        <v>9.3587239583333339</v>
      </c>
      <c r="I81" s="42">
        <v>1</v>
      </c>
      <c r="J81" s="42">
        <v>9.765625</v>
      </c>
      <c r="K81" s="42">
        <v>0.359375</v>
      </c>
      <c r="L81" s="42">
        <v>3.8399999999999997E-2</v>
      </c>
      <c r="M81">
        <v>0.375</v>
      </c>
    </row>
    <row r="82" spans="3:13" x14ac:dyDescent="0.15">
      <c r="C82" s="43">
        <v>49</v>
      </c>
      <c r="D82" s="42">
        <v>49</v>
      </c>
      <c r="E82" s="42">
        <v>3.9199999999999999E-2</v>
      </c>
      <c r="F82" s="42">
        <v>47</v>
      </c>
      <c r="G82" s="42">
        <v>5.0175999999999998</v>
      </c>
      <c r="H82" s="42">
        <v>9.3670280612244898</v>
      </c>
      <c r="I82" s="42">
        <v>1</v>
      </c>
      <c r="J82" s="42">
        <v>9.765625</v>
      </c>
      <c r="K82" s="42">
        <v>0.3671875</v>
      </c>
      <c r="L82" s="42">
        <v>3.9199999999999999E-2</v>
      </c>
      <c r="M82">
        <v>0.3828125</v>
      </c>
    </row>
    <row r="83" spans="3:13" x14ac:dyDescent="0.15">
      <c r="C83" s="43">
        <v>50</v>
      </c>
      <c r="D83" s="42">
        <v>50</v>
      </c>
      <c r="E83" s="42">
        <v>0.04</v>
      </c>
      <c r="F83" s="42">
        <v>48</v>
      </c>
      <c r="G83" s="42">
        <v>5.12</v>
      </c>
      <c r="H83" s="42">
        <v>9.375</v>
      </c>
      <c r="I83" s="42">
        <v>1</v>
      </c>
      <c r="J83" s="42">
        <v>9.765625</v>
      </c>
      <c r="K83" s="42">
        <v>0.375</v>
      </c>
      <c r="L83" s="42">
        <v>0.04</v>
      </c>
      <c r="M83">
        <v>0.390625</v>
      </c>
    </row>
    <row r="84" spans="3:13" x14ac:dyDescent="0.15">
      <c r="C84" s="43">
        <v>51</v>
      </c>
      <c r="D84" s="42">
        <v>51</v>
      </c>
      <c r="E84" s="42">
        <v>4.0800000000000003E-2</v>
      </c>
      <c r="F84" s="42">
        <v>49</v>
      </c>
      <c r="G84" s="42">
        <v>5.2224000000000004</v>
      </c>
      <c r="H84" s="42">
        <v>9.3826593137254903</v>
      </c>
      <c r="I84" s="42">
        <v>1</v>
      </c>
      <c r="J84" s="42">
        <v>9.765625</v>
      </c>
      <c r="K84" s="42">
        <v>0.3828125</v>
      </c>
      <c r="L84" s="42">
        <v>4.0800000000000003E-2</v>
      </c>
      <c r="M84">
        <v>0.3984375</v>
      </c>
    </row>
    <row r="85" spans="3:13" x14ac:dyDescent="0.15">
      <c r="C85" s="43">
        <v>52</v>
      </c>
      <c r="D85" s="42">
        <v>52</v>
      </c>
      <c r="E85" s="42">
        <v>4.1599999999999998E-2</v>
      </c>
      <c r="F85" s="42">
        <v>50</v>
      </c>
      <c r="G85" s="42">
        <v>5.3248000000000006</v>
      </c>
      <c r="H85" s="42">
        <v>9.3900240384615383</v>
      </c>
      <c r="I85" s="42">
        <v>1</v>
      </c>
      <c r="J85" s="42">
        <v>9.765625</v>
      </c>
      <c r="K85" s="42">
        <v>0.390625</v>
      </c>
      <c r="L85" s="42">
        <v>4.1599999999999998E-2</v>
      </c>
      <c r="M85">
        <v>0.40625</v>
      </c>
    </row>
    <row r="86" spans="3:13" x14ac:dyDescent="0.15">
      <c r="C86" s="43">
        <v>53</v>
      </c>
      <c r="D86" s="42">
        <v>53</v>
      </c>
      <c r="E86" s="42">
        <v>4.24E-2</v>
      </c>
      <c r="F86" s="42">
        <v>51</v>
      </c>
      <c r="G86" s="42">
        <v>5.4272</v>
      </c>
      <c r="H86" s="42">
        <v>9.3971108490566042</v>
      </c>
      <c r="I86" s="42">
        <v>1</v>
      </c>
      <c r="J86" s="42">
        <v>9.765625</v>
      </c>
      <c r="K86" s="42">
        <v>0.3984375</v>
      </c>
      <c r="L86" s="42">
        <v>4.24E-2</v>
      </c>
      <c r="M86">
        <v>0.4140625</v>
      </c>
    </row>
    <row r="87" spans="3:13" x14ac:dyDescent="0.15">
      <c r="C87" s="43">
        <v>54</v>
      </c>
      <c r="D87" s="42">
        <v>54</v>
      </c>
      <c r="E87" s="42">
        <v>4.3200000000000002E-2</v>
      </c>
      <c r="F87" s="42">
        <v>52</v>
      </c>
      <c r="G87" s="42">
        <v>5.5296000000000003</v>
      </c>
      <c r="H87" s="42">
        <v>9.4039351851851851</v>
      </c>
      <c r="I87" s="42">
        <v>1</v>
      </c>
      <c r="J87" s="42">
        <v>9.765625</v>
      </c>
      <c r="K87" s="42">
        <v>0.40625</v>
      </c>
      <c r="L87" s="42">
        <v>4.3200000000000002E-2</v>
      </c>
      <c r="M87">
        <v>0.421875</v>
      </c>
    </row>
    <row r="88" spans="3:13" x14ac:dyDescent="0.15">
      <c r="C88" s="43">
        <v>55</v>
      </c>
      <c r="D88" s="42">
        <v>55</v>
      </c>
      <c r="E88" s="42">
        <v>4.3999999999999997E-2</v>
      </c>
      <c r="F88" s="42">
        <v>53</v>
      </c>
      <c r="G88" s="42">
        <v>5.6320000000000006</v>
      </c>
      <c r="H88" s="42">
        <v>9.4105113636363633</v>
      </c>
      <c r="I88" s="42">
        <v>1</v>
      </c>
      <c r="J88" s="42">
        <v>9.765625</v>
      </c>
      <c r="K88" s="42">
        <v>0.4140625</v>
      </c>
      <c r="L88" s="42">
        <v>4.3999999999999997E-2</v>
      </c>
      <c r="M88">
        <v>0.4296875</v>
      </c>
    </row>
    <row r="89" spans="3:13" x14ac:dyDescent="0.15">
      <c r="C89" s="43">
        <v>56</v>
      </c>
      <c r="D89" s="42">
        <v>56</v>
      </c>
      <c r="E89" s="42">
        <v>4.48E-2</v>
      </c>
      <c r="F89" s="42">
        <v>54</v>
      </c>
      <c r="G89" s="42">
        <v>5.7343999999999999</v>
      </c>
      <c r="H89" s="42">
        <v>9.4168526785714288</v>
      </c>
      <c r="I89" s="42">
        <v>1</v>
      </c>
      <c r="J89" s="42">
        <v>9.765625</v>
      </c>
      <c r="K89" s="42">
        <v>0.421875</v>
      </c>
      <c r="L89" s="42">
        <v>4.48E-2</v>
      </c>
      <c r="M89">
        <v>0.4375</v>
      </c>
    </row>
    <row r="90" spans="3:13" x14ac:dyDescent="0.15">
      <c r="C90" s="43">
        <v>57</v>
      </c>
      <c r="D90" s="42">
        <v>57</v>
      </c>
      <c r="E90" s="42">
        <v>4.5600000000000002E-2</v>
      </c>
      <c r="F90" s="42">
        <v>54</v>
      </c>
      <c r="G90" s="42">
        <v>5.8368000000000002</v>
      </c>
      <c r="H90" s="42">
        <v>9.2516447368421044</v>
      </c>
      <c r="I90" s="42">
        <v>1</v>
      </c>
      <c r="J90" s="42">
        <v>9.765625</v>
      </c>
      <c r="K90" s="42">
        <v>0.421875</v>
      </c>
      <c r="L90" s="42">
        <v>4.5600000000000002E-2</v>
      </c>
      <c r="M90">
        <v>0.4453125</v>
      </c>
    </row>
    <row r="91" spans="3:13" x14ac:dyDescent="0.15">
      <c r="C91" s="43">
        <v>58</v>
      </c>
      <c r="D91" s="42">
        <v>58</v>
      </c>
      <c r="E91" s="42">
        <v>4.6399999999999997E-2</v>
      </c>
      <c r="F91" s="42">
        <v>55</v>
      </c>
      <c r="G91" s="42">
        <v>5.9392000000000005</v>
      </c>
      <c r="H91" s="42">
        <v>9.260506465517242</v>
      </c>
      <c r="I91" s="42">
        <v>1</v>
      </c>
      <c r="J91" s="42">
        <v>9.765625</v>
      </c>
      <c r="K91" s="42">
        <v>0.4296875</v>
      </c>
      <c r="L91" s="42">
        <v>4.6399999999999997E-2</v>
      </c>
      <c r="M91">
        <v>0.453125</v>
      </c>
    </row>
    <row r="92" spans="3:13" x14ac:dyDescent="0.15">
      <c r="C92" s="43">
        <v>59</v>
      </c>
      <c r="D92" s="42">
        <v>59</v>
      </c>
      <c r="E92" s="42">
        <v>4.7199999999999999E-2</v>
      </c>
      <c r="F92" s="42">
        <v>56</v>
      </c>
      <c r="G92" s="42">
        <v>6.0415999999999999</v>
      </c>
      <c r="H92" s="42">
        <v>9.2690677966101696</v>
      </c>
      <c r="I92" s="42">
        <v>1</v>
      </c>
      <c r="J92" s="42">
        <v>9.765625</v>
      </c>
      <c r="K92" s="42">
        <v>0.4375</v>
      </c>
      <c r="L92" s="42">
        <v>4.7199999999999999E-2</v>
      </c>
      <c r="M92">
        <v>0.4609375</v>
      </c>
    </row>
    <row r="93" spans="3:13" x14ac:dyDescent="0.15">
      <c r="C93" s="43">
        <v>60</v>
      </c>
      <c r="D93" s="42">
        <v>60</v>
      </c>
      <c r="E93" s="42">
        <v>4.8000000000000001E-2</v>
      </c>
      <c r="F93" s="42">
        <v>56</v>
      </c>
      <c r="G93" s="42">
        <v>6.1440000000000001</v>
      </c>
      <c r="H93" s="42">
        <v>9.1145833333333339</v>
      </c>
      <c r="I93" s="42">
        <v>1</v>
      </c>
      <c r="J93" s="42">
        <v>9.765625</v>
      </c>
      <c r="K93" s="42">
        <v>0.4375</v>
      </c>
      <c r="L93" s="42">
        <v>4.8000000000000001E-2</v>
      </c>
      <c r="M93">
        <v>0.46875</v>
      </c>
    </row>
    <row r="94" spans="3:13" x14ac:dyDescent="0.15">
      <c r="C94" s="43">
        <v>61</v>
      </c>
      <c r="D94" s="42">
        <v>61</v>
      </c>
      <c r="E94" s="42">
        <v>4.8800000000000003E-2</v>
      </c>
      <c r="F94" s="42">
        <v>56</v>
      </c>
      <c r="G94" s="42">
        <v>6.2464000000000004</v>
      </c>
      <c r="H94" s="42">
        <v>8.9651639344262293</v>
      </c>
      <c r="I94" s="42">
        <v>1</v>
      </c>
      <c r="J94" s="42">
        <v>9.765625</v>
      </c>
      <c r="K94" s="42">
        <v>0.4375</v>
      </c>
      <c r="L94" s="42">
        <v>4.8800000000000003E-2</v>
      </c>
      <c r="M94">
        <v>0.4765625</v>
      </c>
    </row>
    <row r="95" spans="3:13" x14ac:dyDescent="0.15">
      <c r="C95" s="43">
        <v>62</v>
      </c>
      <c r="D95" s="42">
        <v>62</v>
      </c>
      <c r="E95" s="42">
        <v>4.9599999999999998E-2</v>
      </c>
      <c r="F95" s="42">
        <v>57</v>
      </c>
      <c r="G95" s="42">
        <v>6.3488000000000007</v>
      </c>
      <c r="H95" s="42">
        <v>8.9780745967741939</v>
      </c>
      <c r="I95" s="42">
        <v>1</v>
      </c>
      <c r="J95" s="42">
        <v>9.765625</v>
      </c>
      <c r="K95" s="42">
        <v>0.4453125</v>
      </c>
      <c r="L95" s="42">
        <v>4.9599999999999998E-2</v>
      </c>
      <c r="M95">
        <v>0.484375</v>
      </c>
    </row>
    <row r="96" spans="3:13" x14ac:dyDescent="0.15">
      <c r="C96" s="43">
        <v>63</v>
      </c>
      <c r="D96" s="42">
        <v>63</v>
      </c>
      <c r="E96" s="42">
        <v>5.04E-2</v>
      </c>
      <c r="F96" s="42">
        <v>58</v>
      </c>
      <c r="G96" s="42">
        <v>6.4512</v>
      </c>
      <c r="H96" s="42">
        <v>8.9905753968253972</v>
      </c>
      <c r="I96" s="42">
        <v>1</v>
      </c>
      <c r="J96" s="42">
        <v>9.765625</v>
      </c>
      <c r="K96" s="42">
        <v>0.453125</v>
      </c>
      <c r="L96" s="42">
        <v>5.04E-2</v>
      </c>
      <c r="M96">
        <v>0.4921875</v>
      </c>
    </row>
    <row r="97" spans="3:13" x14ac:dyDescent="0.15">
      <c r="C97" s="43">
        <v>64</v>
      </c>
      <c r="D97" s="42">
        <v>64</v>
      </c>
      <c r="E97" s="42">
        <v>5.1200000000000002E-2</v>
      </c>
      <c r="F97" s="42">
        <v>59</v>
      </c>
      <c r="G97" s="42">
        <v>6.5536000000000003</v>
      </c>
      <c r="H97" s="42">
        <v>9.002685546875</v>
      </c>
      <c r="I97" s="42">
        <v>1</v>
      </c>
      <c r="J97" s="42">
        <v>9.765625</v>
      </c>
      <c r="K97" s="42">
        <v>0.4609375</v>
      </c>
      <c r="L97" s="42">
        <v>5.1200000000000002E-2</v>
      </c>
      <c r="M97">
        <v>0.5</v>
      </c>
    </row>
    <row r="98" spans="3:13" x14ac:dyDescent="0.15">
      <c r="C98" s="43">
        <v>65</v>
      </c>
      <c r="D98" s="42">
        <v>65</v>
      </c>
      <c r="E98" s="42">
        <v>5.1999999999999998E-2</v>
      </c>
      <c r="F98" s="42">
        <v>60</v>
      </c>
      <c r="G98" s="42">
        <v>6.6560000000000006</v>
      </c>
      <c r="H98" s="42">
        <v>9.0144230769230766</v>
      </c>
      <c r="I98" s="42">
        <v>1</v>
      </c>
      <c r="J98" s="42">
        <v>9.765625</v>
      </c>
      <c r="K98" s="42">
        <v>0.46875</v>
      </c>
      <c r="L98" s="42">
        <v>5.1999999999999998E-2</v>
      </c>
      <c r="M98">
        <v>0.5078125</v>
      </c>
    </row>
    <row r="99" spans="3:13" x14ac:dyDescent="0.15">
      <c r="C99" s="43">
        <v>66</v>
      </c>
      <c r="D99" s="42">
        <v>66</v>
      </c>
      <c r="E99" s="42">
        <v>5.28E-2</v>
      </c>
      <c r="F99" s="42">
        <v>60</v>
      </c>
      <c r="G99" s="42">
        <v>6.7584</v>
      </c>
      <c r="H99" s="42">
        <v>8.8778409090909083</v>
      </c>
      <c r="I99" s="42">
        <v>1</v>
      </c>
      <c r="J99" s="42">
        <v>9.765625</v>
      </c>
      <c r="K99" s="42">
        <v>0.46875</v>
      </c>
      <c r="L99" s="42">
        <v>5.28E-2</v>
      </c>
      <c r="M99">
        <v>0.515625</v>
      </c>
    </row>
    <row r="100" spans="3:13" x14ac:dyDescent="0.15">
      <c r="C100" s="43">
        <v>67</v>
      </c>
      <c r="D100" s="42">
        <v>67</v>
      </c>
      <c r="E100" s="42">
        <v>5.3600000000000002E-2</v>
      </c>
      <c r="F100" s="42">
        <v>61</v>
      </c>
      <c r="G100" s="42">
        <v>6.8608000000000002</v>
      </c>
      <c r="H100" s="42">
        <v>8.891091417910447</v>
      </c>
      <c r="I100" s="42">
        <v>1</v>
      </c>
      <c r="J100" s="42">
        <v>9.765625</v>
      </c>
      <c r="K100" s="42">
        <v>0.4765625</v>
      </c>
      <c r="L100" s="42">
        <v>5.3600000000000002E-2</v>
      </c>
      <c r="M100">
        <v>0.5234375</v>
      </c>
    </row>
    <row r="101" spans="3:13" x14ac:dyDescent="0.15">
      <c r="C101" s="43">
        <v>68</v>
      </c>
      <c r="D101" s="42">
        <v>68</v>
      </c>
      <c r="E101" s="42">
        <v>5.4399999999999997E-2</v>
      </c>
      <c r="F101" s="42">
        <v>62</v>
      </c>
      <c r="G101" s="42">
        <v>6.9632000000000005</v>
      </c>
      <c r="H101" s="42">
        <v>8.9039522058823533</v>
      </c>
      <c r="I101" s="42">
        <v>1</v>
      </c>
      <c r="J101" s="42">
        <v>9.765625</v>
      </c>
      <c r="K101" s="42">
        <v>0.484375</v>
      </c>
      <c r="L101" s="42">
        <v>5.4399999999999997E-2</v>
      </c>
      <c r="M101">
        <v>0.53125</v>
      </c>
    </row>
    <row r="102" spans="3:13" x14ac:dyDescent="0.15">
      <c r="C102" s="43">
        <v>69</v>
      </c>
      <c r="D102" s="42">
        <v>69</v>
      </c>
      <c r="E102" s="42">
        <v>5.5199999999999999E-2</v>
      </c>
      <c r="F102" s="42">
        <v>63</v>
      </c>
      <c r="G102" s="42">
        <v>7.0656000000000008</v>
      </c>
      <c r="H102" s="42">
        <v>8.9164402173913047</v>
      </c>
      <c r="I102" s="42">
        <v>1</v>
      </c>
      <c r="J102" s="42">
        <v>9.765625</v>
      </c>
      <c r="K102" s="42">
        <v>0.4921875</v>
      </c>
      <c r="L102" s="42">
        <v>5.5199999999999999E-2</v>
      </c>
      <c r="M102">
        <v>0.5390625</v>
      </c>
    </row>
    <row r="103" spans="3:13" x14ac:dyDescent="0.15">
      <c r="C103" s="43">
        <v>70</v>
      </c>
      <c r="D103" s="42">
        <v>70</v>
      </c>
      <c r="E103" s="42">
        <v>5.6000000000000001E-2</v>
      </c>
      <c r="F103" s="42">
        <v>63</v>
      </c>
      <c r="G103" s="42">
        <v>7.1680000000000001</v>
      </c>
      <c r="H103" s="42">
        <v>8.7890625</v>
      </c>
      <c r="I103" s="42">
        <v>1</v>
      </c>
      <c r="J103" s="42">
        <v>9.765625</v>
      </c>
      <c r="K103" s="42">
        <v>0.4921875</v>
      </c>
      <c r="L103" s="42">
        <v>5.6000000000000001E-2</v>
      </c>
      <c r="M103">
        <v>0.546875</v>
      </c>
    </row>
    <row r="104" spans="3:13" x14ac:dyDescent="0.15">
      <c r="C104" s="43">
        <v>71</v>
      </c>
      <c r="D104" s="42">
        <v>71</v>
      </c>
      <c r="E104" s="42">
        <v>5.6800000000000003E-2</v>
      </c>
      <c r="F104" s="42">
        <v>63</v>
      </c>
      <c r="G104" s="42">
        <v>7.2704000000000004</v>
      </c>
      <c r="H104" s="42">
        <v>8.665272887323944</v>
      </c>
      <c r="I104" s="42">
        <v>1</v>
      </c>
      <c r="J104" s="42">
        <v>9.765625</v>
      </c>
      <c r="K104" s="42">
        <v>0.4921875</v>
      </c>
      <c r="L104" s="42">
        <v>5.6800000000000003E-2</v>
      </c>
      <c r="M104">
        <v>0.5546875</v>
      </c>
    </row>
    <row r="105" spans="3:13" x14ac:dyDescent="0.15">
      <c r="C105" s="43">
        <v>72</v>
      </c>
      <c r="D105" s="42">
        <v>72</v>
      </c>
      <c r="E105" s="42">
        <v>5.7599999999999998E-2</v>
      </c>
      <c r="F105" s="42">
        <v>64</v>
      </c>
      <c r="G105" s="42">
        <v>7.3728000000000007</v>
      </c>
      <c r="H105" s="42">
        <v>8.6805555555555554</v>
      </c>
      <c r="I105" s="42">
        <v>1</v>
      </c>
      <c r="J105" s="42">
        <v>9.765625</v>
      </c>
      <c r="K105" s="42">
        <v>0.5</v>
      </c>
      <c r="L105" s="42">
        <v>5.7599999999999998E-2</v>
      </c>
      <c r="M105">
        <v>0.5625</v>
      </c>
    </row>
    <row r="106" spans="3:13" x14ac:dyDescent="0.15">
      <c r="C106" s="43">
        <v>73</v>
      </c>
      <c r="D106" s="42">
        <v>73</v>
      </c>
      <c r="E106" s="42">
        <v>5.8400000000000001E-2</v>
      </c>
      <c r="F106" s="42">
        <v>64</v>
      </c>
      <c r="G106" s="42">
        <v>7.4752000000000001</v>
      </c>
      <c r="H106" s="42">
        <v>8.5616438356164384</v>
      </c>
      <c r="I106" s="42">
        <v>1</v>
      </c>
      <c r="J106" s="42">
        <v>9.765625</v>
      </c>
      <c r="K106" s="42">
        <v>0.5</v>
      </c>
      <c r="L106" s="42">
        <v>5.8400000000000001E-2</v>
      </c>
      <c r="M106">
        <v>0.5703125</v>
      </c>
    </row>
    <row r="107" spans="3:13" x14ac:dyDescent="0.15">
      <c r="C107" s="43">
        <v>74</v>
      </c>
      <c r="D107" s="42">
        <v>74</v>
      </c>
      <c r="E107" s="42">
        <v>5.9200000000000003E-2</v>
      </c>
      <c r="F107" s="42">
        <v>65</v>
      </c>
      <c r="G107" s="42">
        <v>7.5776000000000003</v>
      </c>
      <c r="H107" s="42">
        <v>8.5779138513513509</v>
      </c>
      <c r="I107" s="42">
        <v>1</v>
      </c>
      <c r="J107" s="42">
        <v>9.765625</v>
      </c>
      <c r="K107" s="42">
        <v>0.5078125</v>
      </c>
      <c r="L107" s="42">
        <v>5.9200000000000003E-2</v>
      </c>
      <c r="M107">
        <v>0.578125</v>
      </c>
    </row>
    <row r="108" spans="3:13" x14ac:dyDescent="0.15">
      <c r="C108" s="43">
        <v>75</v>
      </c>
      <c r="D108" s="42">
        <v>75</v>
      </c>
      <c r="E108" s="42">
        <v>0.06</v>
      </c>
      <c r="F108" s="42">
        <v>66</v>
      </c>
      <c r="G108" s="42">
        <v>7.6800000000000006</v>
      </c>
      <c r="H108" s="42">
        <v>8.59375</v>
      </c>
      <c r="I108" s="42">
        <v>1</v>
      </c>
      <c r="J108" s="42">
        <v>9.765625</v>
      </c>
      <c r="K108" s="42">
        <v>0.515625</v>
      </c>
      <c r="L108" s="42">
        <v>0.06</v>
      </c>
      <c r="M108">
        <v>0.5859375</v>
      </c>
    </row>
    <row r="109" spans="3:13" x14ac:dyDescent="0.15">
      <c r="C109" s="43">
        <v>76</v>
      </c>
      <c r="D109" s="42">
        <v>76</v>
      </c>
      <c r="E109" s="42">
        <v>6.08E-2</v>
      </c>
      <c r="F109" s="42">
        <v>66</v>
      </c>
      <c r="G109" s="42">
        <v>7.7824</v>
      </c>
      <c r="H109" s="42">
        <v>8.4806743421052637</v>
      </c>
      <c r="I109" s="42">
        <v>1</v>
      </c>
      <c r="J109" s="42">
        <v>9.765625</v>
      </c>
      <c r="K109" s="42">
        <v>0.515625</v>
      </c>
      <c r="L109" s="42">
        <v>6.08E-2</v>
      </c>
      <c r="M109">
        <v>0.59375</v>
      </c>
    </row>
    <row r="110" spans="3:13" x14ac:dyDescent="0.15">
      <c r="C110" s="43">
        <v>77</v>
      </c>
      <c r="D110" s="42">
        <v>77</v>
      </c>
      <c r="E110" s="42">
        <v>6.1600000000000002E-2</v>
      </c>
      <c r="F110" s="42">
        <v>67</v>
      </c>
      <c r="G110" s="42">
        <v>7.8848000000000003</v>
      </c>
      <c r="H110" s="42">
        <v>8.4973620129870131</v>
      </c>
      <c r="I110" s="42">
        <v>1</v>
      </c>
      <c r="J110" s="42">
        <v>9.765625</v>
      </c>
      <c r="K110" s="42">
        <v>0.5234375</v>
      </c>
      <c r="L110" s="42">
        <v>6.1600000000000002E-2</v>
      </c>
      <c r="M110">
        <v>0.6015625</v>
      </c>
    </row>
    <row r="111" spans="3:13" x14ac:dyDescent="0.15">
      <c r="C111" s="43">
        <v>78</v>
      </c>
      <c r="D111" s="42">
        <v>78</v>
      </c>
      <c r="E111" s="42">
        <v>6.2399999999999997E-2</v>
      </c>
      <c r="F111" s="42">
        <v>67</v>
      </c>
      <c r="G111" s="42">
        <v>7.9872000000000005</v>
      </c>
      <c r="H111" s="42">
        <v>8.3884214743589745</v>
      </c>
      <c r="I111" s="42">
        <v>1</v>
      </c>
      <c r="J111" s="42">
        <v>9.765625</v>
      </c>
      <c r="K111" s="42">
        <v>0.5234375</v>
      </c>
      <c r="L111" s="42">
        <v>6.2399999999999997E-2</v>
      </c>
      <c r="M111">
        <v>0.609375</v>
      </c>
    </row>
    <row r="112" spans="3:13" x14ac:dyDescent="0.15">
      <c r="C112" s="43">
        <v>79</v>
      </c>
      <c r="D112" s="42">
        <v>79</v>
      </c>
      <c r="E112" s="42">
        <v>6.3200000000000006E-2</v>
      </c>
      <c r="F112" s="42">
        <v>68</v>
      </c>
      <c r="G112" s="42">
        <v>8.0896000000000008</v>
      </c>
      <c r="H112" s="42">
        <v>8.4058544303797458</v>
      </c>
      <c r="I112" s="42">
        <v>1</v>
      </c>
      <c r="J112" s="42">
        <v>9.7656249999999982</v>
      </c>
      <c r="K112" s="42">
        <v>0.53125</v>
      </c>
      <c r="L112" s="42">
        <v>6.3200000000000006E-2</v>
      </c>
      <c r="M112">
        <v>0.6171875</v>
      </c>
    </row>
    <row r="113" spans="3:13" x14ac:dyDescent="0.15">
      <c r="C113" s="43">
        <v>80</v>
      </c>
      <c r="D113" s="42">
        <v>80</v>
      </c>
      <c r="E113" s="42">
        <v>6.4000000000000001E-2</v>
      </c>
      <c r="F113" s="42">
        <v>69</v>
      </c>
      <c r="G113" s="42">
        <v>8.1920000000000002</v>
      </c>
      <c r="H113" s="42">
        <v>8.4228515625</v>
      </c>
      <c r="I113" s="42">
        <v>1</v>
      </c>
      <c r="J113" s="42">
        <v>9.765625</v>
      </c>
      <c r="K113" s="42">
        <v>0.5390625</v>
      </c>
      <c r="L113" s="42">
        <v>6.4000000000000001E-2</v>
      </c>
      <c r="M113">
        <v>0.625</v>
      </c>
    </row>
    <row r="114" spans="3:13" x14ac:dyDescent="0.15">
      <c r="C114" s="43">
        <v>81</v>
      </c>
      <c r="D114" s="42">
        <v>81</v>
      </c>
      <c r="E114" s="42">
        <v>6.4799999999999996E-2</v>
      </c>
      <c r="F114" s="42">
        <v>70</v>
      </c>
      <c r="G114" s="42">
        <v>8.2943999999999996</v>
      </c>
      <c r="H114" s="42">
        <v>8.4394290123456788</v>
      </c>
      <c r="I114" s="42">
        <v>1</v>
      </c>
      <c r="J114" s="42">
        <v>9.765625</v>
      </c>
      <c r="K114" s="42">
        <v>0.546875</v>
      </c>
      <c r="L114" s="42">
        <v>6.4799999999999996E-2</v>
      </c>
      <c r="M114">
        <v>0.6328125</v>
      </c>
    </row>
    <row r="115" spans="3:13" x14ac:dyDescent="0.15">
      <c r="C115" s="43">
        <v>82</v>
      </c>
      <c r="D115" s="42">
        <v>82</v>
      </c>
      <c r="E115" s="42">
        <v>6.5600000000000006E-2</v>
      </c>
      <c r="F115" s="42">
        <v>70</v>
      </c>
      <c r="G115" s="42">
        <v>8.3968000000000007</v>
      </c>
      <c r="H115" s="42">
        <v>8.3365091463414629</v>
      </c>
      <c r="I115" s="42">
        <v>1</v>
      </c>
      <c r="J115" s="42">
        <v>9.765625</v>
      </c>
      <c r="K115" s="42">
        <v>0.546875</v>
      </c>
      <c r="L115" s="42">
        <v>6.5600000000000006E-2</v>
      </c>
      <c r="M115">
        <v>0.640625</v>
      </c>
    </row>
    <row r="116" spans="3:13" x14ac:dyDescent="0.15">
      <c r="C116" s="43">
        <v>83</v>
      </c>
      <c r="D116" s="42">
        <v>83</v>
      </c>
      <c r="E116" s="42">
        <v>6.6400000000000001E-2</v>
      </c>
      <c r="F116" s="42">
        <v>70</v>
      </c>
      <c r="G116" s="42">
        <v>8.4992000000000001</v>
      </c>
      <c r="H116" s="42">
        <v>8.2360692771084345</v>
      </c>
      <c r="I116" s="42">
        <v>1</v>
      </c>
      <c r="J116" s="42">
        <v>9.765625</v>
      </c>
      <c r="K116" s="42">
        <v>0.546875</v>
      </c>
      <c r="L116" s="42">
        <v>6.6400000000000001E-2</v>
      </c>
      <c r="M116">
        <v>0.6484375</v>
      </c>
    </row>
    <row r="117" spans="3:13" x14ac:dyDescent="0.15">
      <c r="C117" s="43">
        <v>84</v>
      </c>
      <c r="D117" s="42">
        <v>84</v>
      </c>
      <c r="E117" s="42">
        <v>6.7199999999999996E-2</v>
      </c>
      <c r="F117" s="42">
        <v>71</v>
      </c>
      <c r="G117" s="42">
        <v>8.6016000000000012</v>
      </c>
      <c r="H117" s="42">
        <v>8.2542782738095237</v>
      </c>
      <c r="I117" s="42">
        <v>1</v>
      </c>
      <c r="J117" s="42">
        <v>9.765625</v>
      </c>
      <c r="K117" s="42">
        <v>0.5546875</v>
      </c>
      <c r="L117" s="42">
        <v>6.7199999999999996E-2</v>
      </c>
      <c r="M117">
        <v>0.65625</v>
      </c>
    </row>
    <row r="118" spans="3:13" x14ac:dyDescent="0.15">
      <c r="C118" s="43">
        <v>85</v>
      </c>
      <c r="D118" s="42">
        <v>85</v>
      </c>
      <c r="E118" s="42">
        <v>6.8000000000000005E-2</v>
      </c>
      <c r="F118" s="42">
        <v>71</v>
      </c>
      <c r="G118" s="42">
        <v>8.7040000000000006</v>
      </c>
      <c r="H118" s="42">
        <v>8.157169117647058</v>
      </c>
      <c r="I118" s="42">
        <v>1</v>
      </c>
      <c r="J118" s="42">
        <v>9.765625</v>
      </c>
      <c r="K118" s="42">
        <v>0.5546875</v>
      </c>
      <c r="L118" s="42">
        <v>6.8000000000000005E-2</v>
      </c>
      <c r="M118">
        <v>0.6640625</v>
      </c>
    </row>
    <row r="119" spans="3:13" x14ac:dyDescent="0.15">
      <c r="C119" s="43">
        <v>86</v>
      </c>
      <c r="D119" s="42">
        <v>86</v>
      </c>
      <c r="E119" s="42">
        <v>6.88E-2</v>
      </c>
      <c r="F119" s="42">
        <v>71</v>
      </c>
      <c r="G119" s="42">
        <v>8.8064</v>
      </c>
      <c r="H119" s="42">
        <v>8.0623183139534884</v>
      </c>
      <c r="I119" s="42">
        <v>1</v>
      </c>
      <c r="J119" s="42">
        <v>9.765625</v>
      </c>
      <c r="K119" s="42">
        <v>0.5546875</v>
      </c>
      <c r="L119" s="42">
        <v>6.88E-2</v>
      </c>
      <c r="M119">
        <v>0.671875</v>
      </c>
    </row>
    <row r="120" spans="3:13" x14ac:dyDescent="0.15">
      <c r="C120" s="43">
        <v>87</v>
      </c>
      <c r="D120" s="42">
        <v>87</v>
      </c>
      <c r="E120" s="42">
        <v>6.9599999999999995E-2</v>
      </c>
      <c r="F120" s="42">
        <v>71</v>
      </c>
      <c r="G120" s="42">
        <v>8.9088000000000012</v>
      </c>
      <c r="H120" s="42">
        <v>7.9696479885057476</v>
      </c>
      <c r="I120" s="42">
        <v>1</v>
      </c>
      <c r="J120" s="42">
        <v>9.765625</v>
      </c>
      <c r="K120" s="42">
        <v>0.5546875</v>
      </c>
      <c r="L120" s="42">
        <v>6.9599999999999995E-2</v>
      </c>
      <c r="M120">
        <v>0.6796875</v>
      </c>
    </row>
    <row r="121" spans="3:13" x14ac:dyDescent="0.15">
      <c r="C121" s="43">
        <v>88</v>
      </c>
      <c r="D121" s="42">
        <v>88</v>
      </c>
      <c r="E121" s="42">
        <v>7.0400000000000004E-2</v>
      </c>
      <c r="F121" s="42">
        <v>72</v>
      </c>
      <c r="G121" s="42">
        <v>9.0112000000000005</v>
      </c>
      <c r="H121" s="42">
        <v>7.9900568181818175</v>
      </c>
      <c r="I121" s="42">
        <v>1</v>
      </c>
      <c r="J121" s="42">
        <v>9.765625</v>
      </c>
      <c r="K121" s="42">
        <v>0.5625</v>
      </c>
      <c r="L121" s="42">
        <v>7.0400000000000004E-2</v>
      </c>
      <c r="M121">
        <v>0.6875</v>
      </c>
    </row>
    <row r="122" spans="3:13" x14ac:dyDescent="0.15">
      <c r="C122" s="43">
        <v>89</v>
      </c>
      <c r="D122" s="42">
        <v>89</v>
      </c>
      <c r="E122" s="42">
        <v>7.1199999999999999E-2</v>
      </c>
      <c r="F122" s="42">
        <v>73</v>
      </c>
      <c r="G122" s="42">
        <v>9.1135999999999999</v>
      </c>
      <c r="H122" s="42">
        <v>8.0100070224719104</v>
      </c>
      <c r="I122" s="42">
        <v>1</v>
      </c>
      <c r="J122" s="42">
        <v>9.765625</v>
      </c>
      <c r="K122" s="42">
        <v>0.5703125</v>
      </c>
      <c r="L122" s="42">
        <v>7.1199999999999999E-2</v>
      </c>
      <c r="M122">
        <v>0.6953125</v>
      </c>
    </row>
    <row r="123" spans="3:13" x14ac:dyDescent="0.15">
      <c r="C123" s="43">
        <v>90</v>
      </c>
      <c r="D123" s="42">
        <v>90</v>
      </c>
      <c r="E123" s="42">
        <v>7.1999999999999995E-2</v>
      </c>
      <c r="F123" s="42">
        <v>74</v>
      </c>
      <c r="G123" s="42">
        <v>9.2160000000000011</v>
      </c>
      <c r="H123" s="42">
        <v>8.0295138888888893</v>
      </c>
      <c r="I123" s="42">
        <v>1</v>
      </c>
      <c r="J123" s="42">
        <v>9.765625</v>
      </c>
      <c r="K123" s="42">
        <v>0.578125</v>
      </c>
      <c r="L123" s="42">
        <v>7.1999999999999995E-2</v>
      </c>
      <c r="M123">
        <v>0.703125</v>
      </c>
    </row>
    <row r="124" spans="3:13" x14ac:dyDescent="0.15">
      <c r="C124" s="43">
        <v>91</v>
      </c>
      <c r="D124" s="42">
        <v>91</v>
      </c>
      <c r="E124" s="42">
        <v>7.2800000000000004E-2</v>
      </c>
      <c r="F124" s="42">
        <v>75</v>
      </c>
      <c r="G124" s="42">
        <v>9.3184000000000005</v>
      </c>
      <c r="H124" s="42">
        <v>8.0485920329670328</v>
      </c>
      <c r="I124" s="42">
        <v>1</v>
      </c>
      <c r="J124" s="42">
        <v>9.765625</v>
      </c>
      <c r="K124" s="42">
        <v>0.5859375</v>
      </c>
      <c r="L124" s="42">
        <v>7.2800000000000004E-2</v>
      </c>
      <c r="M124">
        <v>0.7109375</v>
      </c>
    </row>
    <row r="125" spans="3:13" x14ac:dyDescent="0.15">
      <c r="C125" s="43">
        <v>92</v>
      </c>
      <c r="D125" s="42">
        <v>92</v>
      </c>
      <c r="E125" s="42">
        <v>7.3599999999999999E-2</v>
      </c>
      <c r="F125" s="42">
        <v>75</v>
      </c>
      <c r="G125" s="42">
        <v>9.4207999999999998</v>
      </c>
      <c r="H125" s="42">
        <v>7.9611073369565215</v>
      </c>
      <c r="I125" s="42">
        <v>1</v>
      </c>
      <c r="J125" s="42">
        <v>9.765625</v>
      </c>
      <c r="K125" s="42">
        <v>0.5859375</v>
      </c>
      <c r="L125" s="42">
        <v>7.3599999999999999E-2</v>
      </c>
      <c r="M125">
        <v>0.71875</v>
      </c>
    </row>
    <row r="126" spans="3:13" x14ac:dyDescent="0.15">
      <c r="C126" s="43">
        <v>93</v>
      </c>
      <c r="D126" s="42">
        <v>93</v>
      </c>
      <c r="E126" s="42">
        <v>7.4399999999999994E-2</v>
      </c>
      <c r="F126" s="42">
        <v>75</v>
      </c>
      <c r="G126" s="42">
        <v>9.523200000000001</v>
      </c>
      <c r="H126" s="42">
        <v>7.8755040322580649</v>
      </c>
      <c r="I126" s="42">
        <v>1</v>
      </c>
      <c r="J126" s="42">
        <v>9.765625</v>
      </c>
      <c r="K126" s="42">
        <v>0.5859375</v>
      </c>
      <c r="L126" s="42">
        <v>7.4399999999999994E-2</v>
      </c>
      <c r="M126">
        <v>0.7265625</v>
      </c>
    </row>
    <row r="127" spans="3:13" x14ac:dyDescent="0.15">
      <c r="C127" s="43">
        <v>94</v>
      </c>
      <c r="D127" s="42">
        <v>94</v>
      </c>
      <c r="E127" s="42">
        <v>7.5200000000000003E-2</v>
      </c>
      <c r="F127" s="42">
        <v>76</v>
      </c>
      <c r="G127" s="42">
        <v>9.6256000000000004</v>
      </c>
      <c r="H127" s="42">
        <v>7.8956117021276588</v>
      </c>
      <c r="I127" s="42">
        <v>1</v>
      </c>
      <c r="J127" s="42">
        <v>9.765625</v>
      </c>
      <c r="K127" s="42">
        <v>0.59375</v>
      </c>
      <c r="L127" s="42">
        <v>7.5200000000000003E-2</v>
      </c>
      <c r="M127">
        <v>0.734375</v>
      </c>
    </row>
    <row r="128" spans="3:13" x14ac:dyDescent="0.15">
      <c r="C128" s="43">
        <v>95</v>
      </c>
      <c r="D128" s="42">
        <v>95</v>
      </c>
      <c r="E128" s="42">
        <v>7.5999999999999998E-2</v>
      </c>
      <c r="F128" s="42">
        <v>76</v>
      </c>
      <c r="G128" s="42">
        <v>9.7279999999999998</v>
      </c>
      <c r="H128" s="42">
        <v>7.8125</v>
      </c>
      <c r="I128" s="42">
        <v>1</v>
      </c>
      <c r="J128" s="42">
        <v>9.765625</v>
      </c>
      <c r="K128" s="42">
        <v>0.59375</v>
      </c>
      <c r="L128" s="42">
        <v>7.5999999999999998E-2</v>
      </c>
      <c r="M128">
        <v>0.7421875</v>
      </c>
    </row>
    <row r="129" spans="3:13" x14ac:dyDescent="0.15">
      <c r="C129" s="43">
        <v>96</v>
      </c>
      <c r="D129" s="42">
        <v>96</v>
      </c>
      <c r="E129" s="42">
        <v>7.6799999999999993E-2</v>
      </c>
      <c r="F129" s="42">
        <v>77</v>
      </c>
      <c r="G129" s="42">
        <v>9.8304000000000009</v>
      </c>
      <c r="H129" s="42">
        <v>7.8328450520833339</v>
      </c>
      <c r="I129" s="42">
        <v>1</v>
      </c>
      <c r="J129" s="42">
        <v>9.765625</v>
      </c>
      <c r="K129" s="42">
        <v>0.6015625</v>
      </c>
      <c r="L129" s="42">
        <v>7.6799999999999993E-2</v>
      </c>
      <c r="M129">
        <v>0.75</v>
      </c>
    </row>
    <row r="130" spans="3:13" x14ac:dyDescent="0.15">
      <c r="C130" s="43">
        <v>97</v>
      </c>
      <c r="D130" s="42">
        <v>97</v>
      </c>
      <c r="E130" s="42">
        <v>7.7600000000000002E-2</v>
      </c>
      <c r="F130" s="42">
        <v>78</v>
      </c>
      <c r="G130" s="42">
        <v>9.9328000000000003</v>
      </c>
      <c r="H130" s="42">
        <v>7.8527706185567006</v>
      </c>
      <c r="I130" s="42">
        <v>1</v>
      </c>
      <c r="J130" s="42">
        <v>9.765625</v>
      </c>
      <c r="K130" s="42">
        <v>0.609375</v>
      </c>
      <c r="L130" s="42">
        <v>7.7600000000000002E-2</v>
      </c>
      <c r="M130">
        <v>0.7578125</v>
      </c>
    </row>
    <row r="131" spans="3:13" x14ac:dyDescent="0.15">
      <c r="C131" s="43">
        <v>98</v>
      </c>
      <c r="D131" s="42">
        <v>98</v>
      </c>
      <c r="E131" s="42">
        <v>7.8399999999999997E-2</v>
      </c>
      <c r="F131" s="42">
        <v>78</v>
      </c>
      <c r="G131" s="42">
        <v>10.0352</v>
      </c>
      <c r="H131" s="42">
        <v>7.7726403061224492</v>
      </c>
      <c r="I131" s="42">
        <v>1</v>
      </c>
      <c r="J131" s="42">
        <v>9.765625</v>
      </c>
      <c r="K131" s="42">
        <v>0.609375</v>
      </c>
      <c r="L131" s="42">
        <v>7.8399999999999997E-2</v>
      </c>
      <c r="M131">
        <v>0.765625</v>
      </c>
    </row>
    <row r="132" spans="3:13" x14ac:dyDescent="0.15">
      <c r="C132" s="43">
        <v>99</v>
      </c>
      <c r="D132" s="42">
        <v>99</v>
      </c>
      <c r="E132" s="42">
        <v>7.9200000000000007E-2</v>
      </c>
      <c r="F132" s="42">
        <v>79</v>
      </c>
      <c r="G132" s="42">
        <v>10.137600000000001</v>
      </c>
      <c r="H132" s="42">
        <v>7.7927714646464636</v>
      </c>
      <c r="I132" s="42">
        <v>1</v>
      </c>
      <c r="J132" s="42">
        <v>9.765625</v>
      </c>
      <c r="K132" s="42">
        <v>0.6171875</v>
      </c>
      <c r="L132" s="42">
        <v>7.9200000000000007E-2</v>
      </c>
      <c r="M132">
        <v>0.7734375</v>
      </c>
    </row>
    <row r="133" spans="3:13" x14ac:dyDescent="0.15">
      <c r="C133" s="43">
        <v>100</v>
      </c>
      <c r="D133" s="42">
        <v>100</v>
      </c>
      <c r="E133" s="42">
        <v>0.08</v>
      </c>
      <c r="F133" s="42">
        <v>79</v>
      </c>
      <c r="G133" s="42">
        <v>10.24</v>
      </c>
      <c r="H133" s="42">
        <v>7.71484375</v>
      </c>
      <c r="I133" s="42">
        <v>1</v>
      </c>
      <c r="J133" s="42">
        <v>9.765625</v>
      </c>
      <c r="K133" s="42">
        <v>0.6171875</v>
      </c>
      <c r="L133" s="42">
        <v>0.08</v>
      </c>
      <c r="M133">
        <v>0.78125</v>
      </c>
    </row>
    <row r="134" spans="3:13" x14ac:dyDescent="0.15">
      <c r="C134" s="43">
        <v>101</v>
      </c>
      <c r="D134" s="42">
        <v>101</v>
      </c>
      <c r="E134" s="42">
        <v>8.0799999999999997E-2</v>
      </c>
      <c r="F134" s="42">
        <v>79</v>
      </c>
      <c r="G134" s="42">
        <v>10.342400000000001</v>
      </c>
      <c r="H134" s="42">
        <v>7.6384591584158414</v>
      </c>
      <c r="I134" s="42">
        <v>1</v>
      </c>
      <c r="J134" s="42">
        <v>9.765625</v>
      </c>
      <c r="K134" s="42">
        <v>0.6171875</v>
      </c>
      <c r="L134" s="42">
        <v>8.0799999999999997E-2</v>
      </c>
      <c r="M134">
        <v>0.7890625</v>
      </c>
    </row>
    <row r="135" spans="3:13" x14ac:dyDescent="0.15">
      <c r="C135" s="43">
        <v>102</v>
      </c>
      <c r="D135" s="42">
        <v>102</v>
      </c>
      <c r="E135" s="42">
        <v>8.1600000000000006E-2</v>
      </c>
      <c r="F135" s="42">
        <v>79</v>
      </c>
      <c r="G135" s="42">
        <v>10.444800000000001</v>
      </c>
      <c r="H135" s="42">
        <v>7.5635723039215677</v>
      </c>
      <c r="I135" s="42">
        <v>1</v>
      </c>
      <c r="J135" s="42">
        <v>9.765625</v>
      </c>
      <c r="K135" s="42">
        <v>0.6171875</v>
      </c>
      <c r="L135" s="42">
        <v>8.1600000000000006E-2</v>
      </c>
      <c r="M135">
        <v>0.796875</v>
      </c>
    </row>
    <row r="136" spans="3:13" x14ac:dyDescent="0.15">
      <c r="C136" s="43">
        <v>103</v>
      </c>
      <c r="D136" s="42">
        <v>103</v>
      </c>
      <c r="E136" s="42">
        <v>8.2400000000000001E-2</v>
      </c>
      <c r="F136" s="42">
        <v>79</v>
      </c>
      <c r="G136" s="42">
        <v>10.5472</v>
      </c>
      <c r="H136" s="42">
        <v>7.490139563106796</v>
      </c>
      <c r="I136" s="42">
        <v>1</v>
      </c>
      <c r="J136" s="42">
        <v>9.765625</v>
      </c>
      <c r="K136" s="42">
        <v>0.6171875</v>
      </c>
      <c r="L136" s="42">
        <v>8.2400000000000001E-2</v>
      </c>
      <c r="M136">
        <v>0.8046875</v>
      </c>
    </row>
    <row r="137" spans="3:13" x14ac:dyDescent="0.15">
      <c r="C137" s="43">
        <v>104</v>
      </c>
      <c r="D137" s="42">
        <v>104</v>
      </c>
      <c r="E137" s="42">
        <v>8.3199999999999996E-2</v>
      </c>
      <c r="F137" s="42">
        <v>80</v>
      </c>
      <c r="G137" s="42">
        <v>10.649600000000001</v>
      </c>
      <c r="H137" s="42">
        <v>7.5120192307692308</v>
      </c>
      <c r="I137" s="42">
        <v>1</v>
      </c>
      <c r="J137" s="42">
        <v>9.765625</v>
      </c>
      <c r="K137" s="42">
        <v>0.625</v>
      </c>
      <c r="L137" s="42">
        <v>8.3199999999999996E-2</v>
      </c>
      <c r="M137">
        <v>0.8125</v>
      </c>
    </row>
    <row r="138" spans="3:13" x14ac:dyDescent="0.15">
      <c r="C138" s="43">
        <v>105</v>
      </c>
      <c r="D138" s="42">
        <v>105</v>
      </c>
      <c r="E138" s="42">
        <v>8.4000000000000005E-2</v>
      </c>
      <c r="F138" s="42">
        <v>80</v>
      </c>
      <c r="G138" s="42">
        <v>10.752000000000001</v>
      </c>
      <c r="H138" s="42">
        <v>7.4404761904761898</v>
      </c>
      <c r="I138" s="42">
        <v>1</v>
      </c>
      <c r="J138" s="42">
        <v>9.765625</v>
      </c>
      <c r="K138" s="42">
        <v>0.625</v>
      </c>
      <c r="L138" s="42">
        <v>8.4000000000000005E-2</v>
      </c>
      <c r="M138">
        <v>0.8203125</v>
      </c>
    </row>
    <row r="139" spans="3:13" x14ac:dyDescent="0.15">
      <c r="C139" s="43">
        <v>106</v>
      </c>
      <c r="D139" s="42">
        <v>106</v>
      </c>
      <c r="E139" s="42">
        <v>8.48E-2</v>
      </c>
      <c r="F139" s="42">
        <v>81</v>
      </c>
      <c r="G139" s="42">
        <v>10.8544</v>
      </c>
      <c r="H139" s="42">
        <v>7.4624115566037732</v>
      </c>
      <c r="I139" s="42">
        <v>1</v>
      </c>
      <c r="J139" s="42">
        <v>9.765625</v>
      </c>
      <c r="K139" s="42">
        <v>0.6328125</v>
      </c>
      <c r="L139" s="42">
        <v>8.48E-2</v>
      </c>
      <c r="M139">
        <v>0.828125</v>
      </c>
    </row>
    <row r="140" spans="3:13" x14ac:dyDescent="0.15">
      <c r="C140" s="43">
        <v>107</v>
      </c>
      <c r="D140" s="42">
        <v>107</v>
      </c>
      <c r="E140" s="42">
        <v>8.5599999999999996E-2</v>
      </c>
      <c r="F140" s="42">
        <v>81</v>
      </c>
      <c r="G140" s="42">
        <v>10.956800000000001</v>
      </c>
      <c r="H140" s="42">
        <v>7.3926693925233646</v>
      </c>
      <c r="I140" s="42">
        <v>1</v>
      </c>
      <c r="J140" s="42">
        <v>9.765625</v>
      </c>
      <c r="K140" s="42">
        <v>0.6328125</v>
      </c>
      <c r="L140" s="42">
        <v>8.5599999999999996E-2</v>
      </c>
      <c r="M140">
        <v>0.8359375</v>
      </c>
    </row>
    <row r="141" spans="3:13" x14ac:dyDescent="0.15">
      <c r="C141" s="43">
        <v>108</v>
      </c>
      <c r="D141" s="42">
        <v>108</v>
      </c>
      <c r="E141" s="42">
        <v>8.6400000000000005E-2</v>
      </c>
      <c r="F141" s="42">
        <v>82</v>
      </c>
      <c r="G141" s="42">
        <v>11.059200000000001</v>
      </c>
      <c r="H141" s="42">
        <v>7.4146412037037033</v>
      </c>
      <c r="I141" s="42">
        <v>1</v>
      </c>
      <c r="J141" s="42">
        <v>9.765625</v>
      </c>
      <c r="K141" s="42">
        <v>0.640625</v>
      </c>
      <c r="L141" s="42">
        <v>8.6400000000000005E-2</v>
      </c>
      <c r="M141">
        <v>0.84375</v>
      </c>
    </row>
    <row r="142" spans="3:13" x14ac:dyDescent="0.15">
      <c r="C142" s="43">
        <v>109</v>
      </c>
      <c r="D142" s="42">
        <v>109</v>
      </c>
      <c r="E142" s="42">
        <v>8.72E-2</v>
      </c>
      <c r="F142" s="42">
        <v>82</v>
      </c>
      <c r="G142" s="42">
        <v>11.1616</v>
      </c>
      <c r="H142" s="42">
        <v>7.3466169724770642</v>
      </c>
      <c r="I142" s="42">
        <v>1</v>
      </c>
      <c r="J142" s="42">
        <v>9.765625</v>
      </c>
      <c r="K142" s="42">
        <v>0.640625</v>
      </c>
      <c r="L142" s="42">
        <v>8.72E-2</v>
      </c>
      <c r="M142">
        <v>0.8515625</v>
      </c>
    </row>
    <row r="143" spans="3:13" x14ac:dyDescent="0.15">
      <c r="C143" s="43">
        <v>110</v>
      </c>
      <c r="D143" s="42">
        <v>110</v>
      </c>
      <c r="E143" s="42">
        <v>8.7999999999999995E-2</v>
      </c>
      <c r="F143" s="42">
        <v>82</v>
      </c>
      <c r="G143" s="42">
        <v>11.264000000000001</v>
      </c>
      <c r="H143" s="42">
        <v>7.2798295454545459</v>
      </c>
      <c r="I143" s="42">
        <v>1</v>
      </c>
      <c r="J143" s="42">
        <v>9.765625</v>
      </c>
      <c r="K143" s="42">
        <v>0.640625</v>
      </c>
      <c r="L143" s="42">
        <v>8.7999999999999995E-2</v>
      </c>
      <c r="M143">
        <v>0.859375</v>
      </c>
    </row>
    <row r="144" spans="3:13" x14ac:dyDescent="0.15">
      <c r="C144" s="43">
        <v>111</v>
      </c>
      <c r="D144" s="42">
        <v>111</v>
      </c>
      <c r="E144" s="42">
        <v>8.8800000000000004E-2</v>
      </c>
      <c r="F144" s="42">
        <v>83</v>
      </c>
      <c r="G144" s="42">
        <v>11.366400000000001</v>
      </c>
      <c r="H144" s="42">
        <v>7.3022240990990985</v>
      </c>
      <c r="I144" s="42">
        <v>1</v>
      </c>
      <c r="J144" s="42">
        <v>9.765625</v>
      </c>
      <c r="K144" s="42">
        <v>0.6484375</v>
      </c>
      <c r="L144" s="42">
        <v>8.8800000000000004E-2</v>
      </c>
      <c r="M144">
        <v>0.8671875</v>
      </c>
    </row>
    <row r="145" spans="3:13" x14ac:dyDescent="0.15">
      <c r="C145" s="43">
        <v>112</v>
      </c>
      <c r="D145" s="42">
        <v>112</v>
      </c>
      <c r="E145" s="42">
        <v>8.9599999999999999E-2</v>
      </c>
      <c r="F145" s="42">
        <v>83</v>
      </c>
      <c r="G145" s="42">
        <v>11.4688</v>
      </c>
      <c r="H145" s="42">
        <v>7.2370256696428577</v>
      </c>
      <c r="I145" s="42">
        <v>1</v>
      </c>
      <c r="J145" s="42">
        <v>9.765625</v>
      </c>
      <c r="K145" s="42">
        <v>0.6484375</v>
      </c>
      <c r="L145" s="42">
        <v>8.9599999999999999E-2</v>
      </c>
      <c r="M145">
        <v>0.875</v>
      </c>
    </row>
    <row r="146" spans="3:13" x14ac:dyDescent="0.15">
      <c r="C146" s="43">
        <v>113</v>
      </c>
      <c r="D146" s="42">
        <v>113</v>
      </c>
      <c r="E146" s="42">
        <v>9.0399999999999994E-2</v>
      </c>
      <c r="F146" s="42">
        <v>83</v>
      </c>
      <c r="G146" s="42">
        <v>11.571200000000001</v>
      </c>
      <c r="H146" s="42">
        <v>7.1729811946902657</v>
      </c>
      <c r="I146" s="42">
        <v>1</v>
      </c>
      <c r="J146" s="42">
        <v>9.765625</v>
      </c>
      <c r="K146" s="42">
        <v>0.6484375</v>
      </c>
      <c r="L146" s="42">
        <v>9.0399999999999994E-2</v>
      </c>
      <c r="M146">
        <v>0.8828125</v>
      </c>
    </row>
    <row r="147" spans="3:13" x14ac:dyDescent="0.15">
      <c r="C147" s="43">
        <v>114</v>
      </c>
      <c r="D147" s="42">
        <v>114</v>
      </c>
      <c r="E147" s="42">
        <v>9.1200000000000003E-2</v>
      </c>
      <c r="F147" s="42">
        <v>83</v>
      </c>
      <c r="G147" s="42">
        <v>11.6736</v>
      </c>
      <c r="H147" s="42">
        <v>7.1100603070175437</v>
      </c>
      <c r="I147" s="42">
        <v>1</v>
      </c>
      <c r="J147" s="42">
        <v>9.765625</v>
      </c>
      <c r="K147" s="42">
        <v>0.6484375</v>
      </c>
      <c r="L147" s="42">
        <v>9.1200000000000003E-2</v>
      </c>
      <c r="M147">
        <v>0.890625</v>
      </c>
    </row>
    <row r="148" spans="3:13" x14ac:dyDescent="0.15">
      <c r="C148" s="43">
        <v>115</v>
      </c>
      <c r="D148" s="42">
        <v>115</v>
      </c>
      <c r="E148" s="42">
        <v>9.1999999999999998E-2</v>
      </c>
      <c r="F148" s="42">
        <v>84</v>
      </c>
      <c r="G148" s="42">
        <v>11.776</v>
      </c>
      <c r="H148" s="42">
        <v>7.1331521739130439</v>
      </c>
      <c r="I148" s="42">
        <v>1</v>
      </c>
      <c r="J148" s="42">
        <v>9.765625</v>
      </c>
      <c r="K148" s="42">
        <v>0.65625</v>
      </c>
      <c r="L148" s="42">
        <v>9.1999999999999998E-2</v>
      </c>
      <c r="M148">
        <v>0.8984375</v>
      </c>
    </row>
    <row r="149" spans="3:13" x14ac:dyDescent="0.15">
      <c r="C149" s="43">
        <v>116</v>
      </c>
      <c r="D149" s="42">
        <v>116</v>
      </c>
      <c r="E149" s="42">
        <v>9.2799999999999994E-2</v>
      </c>
      <c r="F149" s="42">
        <v>85</v>
      </c>
      <c r="G149" s="42">
        <v>11.878400000000001</v>
      </c>
      <c r="H149" s="42">
        <v>7.1558459051724146</v>
      </c>
      <c r="I149" s="42">
        <v>1</v>
      </c>
      <c r="J149" s="42">
        <v>9.765625</v>
      </c>
      <c r="K149" s="42">
        <v>0.6640625</v>
      </c>
      <c r="L149" s="42">
        <v>9.2799999999999994E-2</v>
      </c>
      <c r="M149">
        <v>0.90625</v>
      </c>
    </row>
    <row r="150" spans="3:13" x14ac:dyDescent="0.15">
      <c r="C150" s="43">
        <v>117</v>
      </c>
      <c r="D150" s="42">
        <v>117</v>
      </c>
      <c r="E150" s="42">
        <v>9.3600000000000003E-2</v>
      </c>
      <c r="F150" s="42">
        <v>85</v>
      </c>
      <c r="G150" s="42">
        <v>11.9808</v>
      </c>
      <c r="H150" s="42">
        <v>7.0946848290598288</v>
      </c>
      <c r="I150" s="42">
        <v>1</v>
      </c>
      <c r="J150" s="42">
        <v>9.765625</v>
      </c>
      <c r="K150" s="42">
        <v>0.6640625</v>
      </c>
      <c r="L150" s="42">
        <v>9.3600000000000003E-2</v>
      </c>
      <c r="M150">
        <v>0.9140625</v>
      </c>
    </row>
    <row r="151" spans="3:13" x14ac:dyDescent="0.15">
      <c r="C151" s="43">
        <v>118</v>
      </c>
      <c r="D151" s="42">
        <v>118</v>
      </c>
      <c r="E151" s="42">
        <v>9.4399999999999998E-2</v>
      </c>
      <c r="F151" s="42">
        <v>86</v>
      </c>
      <c r="G151" s="42">
        <v>12.0832</v>
      </c>
      <c r="H151" s="42">
        <v>7.117319915254237</v>
      </c>
      <c r="I151" s="42">
        <v>1</v>
      </c>
      <c r="J151" s="42">
        <v>9.765625</v>
      </c>
      <c r="K151" s="42">
        <v>0.671875</v>
      </c>
      <c r="L151" s="42">
        <v>9.4399999999999998E-2</v>
      </c>
      <c r="M151">
        <v>0.921875</v>
      </c>
    </row>
    <row r="152" spans="3:13" x14ac:dyDescent="0.15">
      <c r="C152" s="43">
        <v>119</v>
      </c>
      <c r="D152" s="42">
        <v>119</v>
      </c>
      <c r="E152" s="42">
        <v>9.5200000000000007E-2</v>
      </c>
      <c r="F152" s="42">
        <v>86</v>
      </c>
      <c r="G152" s="42">
        <v>12.185600000000001</v>
      </c>
      <c r="H152" s="42">
        <v>7.0575105042016801</v>
      </c>
      <c r="I152" s="42">
        <v>1</v>
      </c>
      <c r="J152" s="42">
        <v>9.765625</v>
      </c>
      <c r="K152" s="42">
        <v>0.671875</v>
      </c>
      <c r="L152" s="42">
        <v>9.5200000000000007E-2</v>
      </c>
      <c r="M152">
        <v>0.9296875</v>
      </c>
    </row>
    <row r="153" spans="3:13" x14ac:dyDescent="0.15">
      <c r="C153" s="43">
        <v>120</v>
      </c>
      <c r="D153" s="42">
        <v>120</v>
      </c>
      <c r="E153" s="42">
        <v>9.6000000000000002E-2</v>
      </c>
      <c r="F153" s="42">
        <v>87</v>
      </c>
      <c r="G153" s="42">
        <v>12.288</v>
      </c>
      <c r="H153" s="42">
        <v>7.080078125</v>
      </c>
      <c r="I153" s="42">
        <v>1</v>
      </c>
      <c r="J153" s="42">
        <v>9.765625</v>
      </c>
      <c r="K153" s="42">
        <v>0.6796875</v>
      </c>
      <c r="L153" s="42">
        <v>9.6000000000000002E-2</v>
      </c>
      <c r="M153">
        <v>0.9375</v>
      </c>
    </row>
    <row r="154" spans="3:13" x14ac:dyDescent="0.15">
      <c r="C154" s="43">
        <v>121</v>
      </c>
      <c r="D154" s="42">
        <v>121</v>
      </c>
      <c r="E154" s="42">
        <v>9.6799999999999997E-2</v>
      </c>
      <c r="F154" s="42">
        <v>88</v>
      </c>
      <c r="G154" s="42">
        <v>12.390400000000001</v>
      </c>
      <c r="H154" s="42">
        <v>7.1022727272727275</v>
      </c>
      <c r="I154" s="42">
        <v>1</v>
      </c>
      <c r="J154" s="42">
        <v>9.765625</v>
      </c>
      <c r="K154" s="42">
        <v>0.6875</v>
      </c>
      <c r="L154" s="42">
        <v>9.6799999999999997E-2</v>
      </c>
      <c r="M154">
        <v>0.9453125</v>
      </c>
    </row>
    <row r="155" spans="3:13" x14ac:dyDescent="0.15">
      <c r="C155" s="43">
        <v>122</v>
      </c>
      <c r="D155" s="42">
        <v>122</v>
      </c>
      <c r="E155" s="42">
        <v>9.7600000000000006E-2</v>
      </c>
      <c r="F155" s="42">
        <v>88</v>
      </c>
      <c r="G155" s="42">
        <v>12.492800000000001</v>
      </c>
      <c r="H155" s="42">
        <v>7.0440573770491799</v>
      </c>
      <c r="I155" s="42">
        <v>1</v>
      </c>
      <c r="J155" s="42">
        <v>9.765625</v>
      </c>
      <c r="K155" s="42">
        <v>0.6875</v>
      </c>
      <c r="L155" s="42">
        <v>9.7600000000000006E-2</v>
      </c>
      <c r="M155">
        <v>0.953125</v>
      </c>
    </row>
    <row r="156" spans="3:13" x14ac:dyDescent="0.15">
      <c r="C156" s="43">
        <v>123</v>
      </c>
      <c r="D156" s="42">
        <v>123</v>
      </c>
      <c r="E156" s="42">
        <v>9.8400000000000001E-2</v>
      </c>
      <c r="F156" s="42">
        <v>88</v>
      </c>
      <c r="G156" s="42">
        <v>12.5952</v>
      </c>
      <c r="H156" s="42">
        <v>6.9867886178861784</v>
      </c>
      <c r="I156" s="42">
        <v>1</v>
      </c>
      <c r="J156" s="42">
        <v>9.765625</v>
      </c>
      <c r="K156" s="42">
        <v>0.6875</v>
      </c>
      <c r="L156" s="42">
        <v>9.8400000000000001E-2</v>
      </c>
      <c r="M156">
        <v>0.9609375</v>
      </c>
    </row>
    <row r="157" spans="3:13" x14ac:dyDescent="0.15">
      <c r="C157" s="43">
        <v>124</v>
      </c>
      <c r="D157" s="42">
        <v>124</v>
      </c>
      <c r="E157" s="42">
        <v>9.9199999999999997E-2</v>
      </c>
      <c r="F157" s="42">
        <v>88</v>
      </c>
      <c r="G157" s="42">
        <v>12.697600000000001</v>
      </c>
      <c r="H157" s="42">
        <v>6.930443548387097</v>
      </c>
      <c r="I157" s="42">
        <v>1</v>
      </c>
      <c r="J157" s="42">
        <v>9.765625</v>
      </c>
      <c r="K157" s="42">
        <v>0.6875</v>
      </c>
      <c r="L157" s="42">
        <v>9.9199999999999997E-2</v>
      </c>
      <c r="M157">
        <v>0.96875</v>
      </c>
    </row>
    <row r="158" spans="3:13" x14ac:dyDescent="0.15">
      <c r="C158" s="43">
        <v>125</v>
      </c>
      <c r="D158" s="42">
        <v>125</v>
      </c>
      <c r="E158" s="42">
        <v>0.1</v>
      </c>
      <c r="F158" s="42">
        <v>89</v>
      </c>
      <c r="G158" s="42">
        <v>12.8</v>
      </c>
      <c r="H158" s="42">
        <v>6.953125</v>
      </c>
      <c r="I158" s="42">
        <v>1</v>
      </c>
      <c r="J158" s="42">
        <v>9.765625</v>
      </c>
      <c r="K158" s="42">
        <v>0.6953125</v>
      </c>
      <c r="L158" s="42">
        <v>0.1</v>
      </c>
      <c r="M158">
        <v>0.9765625</v>
      </c>
    </row>
    <row r="159" spans="3:13" x14ac:dyDescent="0.15">
      <c r="C159" s="43">
        <v>126</v>
      </c>
      <c r="D159" s="42">
        <v>126</v>
      </c>
      <c r="E159" s="42">
        <v>0.1008</v>
      </c>
      <c r="F159" s="42">
        <v>90</v>
      </c>
      <c r="G159" s="42">
        <v>12.9024</v>
      </c>
      <c r="H159" s="42">
        <v>6.9754464285714288</v>
      </c>
      <c r="I159" s="42">
        <v>1</v>
      </c>
      <c r="J159" s="42">
        <v>9.765625</v>
      </c>
      <c r="K159" s="42">
        <v>0.703125</v>
      </c>
      <c r="L159" s="42">
        <v>0.1008</v>
      </c>
      <c r="M159">
        <v>0.984375</v>
      </c>
    </row>
    <row r="160" spans="3:13" x14ac:dyDescent="0.15">
      <c r="C160" s="43">
        <v>127</v>
      </c>
      <c r="D160" s="42">
        <v>127</v>
      </c>
      <c r="E160" s="42">
        <v>0.1016</v>
      </c>
      <c r="F160" s="42">
        <v>91</v>
      </c>
      <c r="G160" s="42">
        <v>13.004800000000001</v>
      </c>
      <c r="H160" s="42">
        <v>6.9974163385826778</v>
      </c>
      <c r="I160" s="42">
        <v>1</v>
      </c>
      <c r="J160" s="42">
        <v>9.765625</v>
      </c>
      <c r="K160" s="42">
        <v>0.7109375</v>
      </c>
      <c r="L160" s="42">
        <v>0.1016</v>
      </c>
      <c r="M160">
        <v>0.9921875</v>
      </c>
    </row>
    <row r="161" spans="3:13" x14ac:dyDescent="0.15">
      <c r="C161" s="43">
        <v>128</v>
      </c>
      <c r="D161" s="42">
        <v>128</v>
      </c>
      <c r="E161" s="42">
        <v>0.1024</v>
      </c>
      <c r="F161" s="42">
        <v>91</v>
      </c>
      <c r="G161" s="42">
        <v>13.107200000000001</v>
      </c>
      <c r="H161" s="42">
        <v>6.9427490234375</v>
      </c>
      <c r="I161" s="42">
        <v>1</v>
      </c>
      <c r="J161" s="42">
        <v>9.765625</v>
      </c>
      <c r="K161" s="42">
        <v>0.7109375</v>
      </c>
      <c r="L161" s="42">
        <v>0.1024</v>
      </c>
      <c r="M161">
        <v>1</v>
      </c>
    </row>
    <row r="162" spans="3:13" x14ac:dyDescent="0.15">
      <c r="C162" s="43">
        <v>129</v>
      </c>
      <c r="D162" s="42">
        <v>129</v>
      </c>
      <c r="E162" s="42">
        <v>0.1032</v>
      </c>
      <c r="F162" s="42">
        <v>91</v>
      </c>
      <c r="G162" s="42">
        <v>13.2096</v>
      </c>
      <c r="H162" s="42">
        <v>6.8889292635658919</v>
      </c>
      <c r="I162" s="42">
        <v>1</v>
      </c>
      <c r="J162" s="42">
        <v>9.6899224806201545</v>
      </c>
      <c r="K162" s="42">
        <v>0.7109375</v>
      </c>
      <c r="L162" s="42">
        <v>0.1032</v>
      </c>
      <c r="M162">
        <v>1</v>
      </c>
    </row>
    <row r="163" spans="3:13" x14ac:dyDescent="0.15">
      <c r="C163" s="43">
        <v>130</v>
      </c>
      <c r="D163" s="42">
        <v>130</v>
      </c>
      <c r="E163" s="42">
        <v>0.104</v>
      </c>
      <c r="F163" s="42">
        <v>92</v>
      </c>
      <c r="G163" s="42">
        <v>13.312000000000001</v>
      </c>
      <c r="H163" s="42">
        <v>6.9110576923076925</v>
      </c>
      <c r="I163" s="42">
        <v>1</v>
      </c>
      <c r="J163" s="42">
        <v>9.615384615384615</v>
      </c>
      <c r="K163" s="42">
        <v>0.71875</v>
      </c>
      <c r="L163" s="42">
        <v>0.104</v>
      </c>
      <c r="M163">
        <v>1</v>
      </c>
    </row>
    <row r="164" spans="3:13" x14ac:dyDescent="0.15">
      <c r="C164" s="43">
        <v>131</v>
      </c>
      <c r="D164" s="42">
        <v>131</v>
      </c>
      <c r="E164" s="42">
        <v>0.1048</v>
      </c>
      <c r="F164" s="42">
        <v>92</v>
      </c>
      <c r="G164" s="42">
        <v>13.414400000000001</v>
      </c>
      <c r="H164" s="42">
        <v>6.8583015267175567</v>
      </c>
      <c r="I164" s="42">
        <v>1</v>
      </c>
      <c r="J164" s="42">
        <v>9.5419847328244263</v>
      </c>
      <c r="K164" s="42">
        <v>0.71875</v>
      </c>
      <c r="L164" s="42">
        <v>0.1048</v>
      </c>
      <c r="M164">
        <v>1</v>
      </c>
    </row>
    <row r="165" spans="3:13" x14ac:dyDescent="0.15">
      <c r="C165" s="43">
        <v>132</v>
      </c>
      <c r="D165" s="42">
        <v>132</v>
      </c>
      <c r="E165" s="42">
        <v>0.1056</v>
      </c>
      <c r="F165" s="42">
        <v>92</v>
      </c>
      <c r="G165" s="42">
        <v>13.5168</v>
      </c>
      <c r="H165" s="42">
        <v>6.8063446969696972</v>
      </c>
      <c r="I165" s="42">
        <v>1</v>
      </c>
      <c r="J165" s="42">
        <v>9.4696969696969706</v>
      </c>
      <c r="K165" s="42">
        <v>0.71875</v>
      </c>
      <c r="L165" s="42">
        <v>0.1056</v>
      </c>
      <c r="M165">
        <v>1</v>
      </c>
    </row>
    <row r="166" spans="3:13" x14ac:dyDescent="0.15">
      <c r="C166" s="43">
        <v>133</v>
      </c>
      <c r="D166" s="42">
        <v>133</v>
      </c>
      <c r="E166" s="42">
        <v>0.10639999999999999</v>
      </c>
      <c r="F166" s="42">
        <v>93</v>
      </c>
      <c r="G166" s="42">
        <v>13.619200000000001</v>
      </c>
      <c r="H166" s="42">
        <v>6.8285949248120303</v>
      </c>
      <c r="I166" s="42">
        <v>1</v>
      </c>
      <c r="J166" s="42">
        <v>9.3984962406015047</v>
      </c>
      <c r="K166" s="42">
        <v>0.7265625</v>
      </c>
      <c r="L166" s="42">
        <v>0.10639999999999999</v>
      </c>
      <c r="M166">
        <v>1</v>
      </c>
    </row>
    <row r="167" spans="3:13" x14ac:dyDescent="0.15">
      <c r="C167" s="43">
        <v>134</v>
      </c>
      <c r="D167" s="42">
        <v>134</v>
      </c>
      <c r="E167" s="42">
        <v>0.1072</v>
      </c>
      <c r="F167" s="42">
        <v>93</v>
      </c>
      <c r="G167" s="42">
        <v>13.7216</v>
      </c>
      <c r="H167" s="42">
        <v>6.77763526119403</v>
      </c>
      <c r="I167" s="42">
        <v>1</v>
      </c>
      <c r="J167" s="42">
        <v>9.3283582089552244</v>
      </c>
      <c r="K167" s="42">
        <v>0.7265625</v>
      </c>
      <c r="L167" s="42">
        <v>0.1072</v>
      </c>
      <c r="M167">
        <v>1</v>
      </c>
    </row>
    <row r="168" spans="3:13" x14ac:dyDescent="0.15">
      <c r="C168" s="43">
        <v>135</v>
      </c>
      <c r="D168" s="42">
        <v>135</v>
      </c>
      <c r="E168" s="42">
        <v>0.108</v>
      </c>
      <c r="F168" s="42">
        <v>93</v>
      </c>
      <c r="G168" s="42">
        <v>13.824</v>
      </c>
      <c r="H168" s="42">
        <v>6.7274305555555554</v>
      </c>
      <c r="I168" s="42">
        <v>1</v>
      </c>
      <c r="J168" s="42">
        <v>9.2592592592592595</v>
      </c>
      <c r="K168" s="42">
        <v>0.7265625</v>
      </c>
      <c r="L168" s="42">
        <v>0.108</v>
      </c>
      <c r="M168">
        <v>1</v>
      </c>
    </row>
    <row r="169" spans="3:13" x14ac:dyDescent="0.15">
      <c r="C169" s="43">
        <v>136</v>
      </c>
      <c r="D169" s="42">
        <v>136</v>
      </c>
      <c r="E169" s="42">
        <v>0.10879999999999999</v>
      </c>
      <c r="F169" s="42">
        <v>93</v>
      </c>
      <c r="G169" s="42">
        <v>13.926400000000001</v>
      </c>
      <c r="H169" s="42">
        <v>6.6779641544117654</v>
      </c>
      <c r="I169" s="42">
        <v>1</v>
      </c>
      <c r="J169" s="42">
        <v>9.1911764705882355</v>
      </c>
      <c r="K169" s="42">
        <v>0.7265625</v>
      </c>
      <c r="L169" s="42">
        <v>0.10879999999999999</v>
      </c>
      <c r="M169">
        <v>1</v>
      </c>
    </row>
    <row r="170" spans="3:13" x14ac:dyDescent="0.15">
      <c r="C170" s="43">
        <v>137</v>
      </c>
      <c r="D170" s="42">
        <v>137</v>
      </c>
      <c r="E170" s="42">
        <v>0.1096</v>
      </c>
      <c r="F170" s="42">
        <v>93</v>
      </c>
      <c r="G170" s="42">
        <v>14.0288</v>
      </c>
      <c r="H170" s="42">
        <v>6.6292198905109485</v>
      </c>
      <c r="I170" s="42">
        <v>1</v>
      </c>
      <c r="J170" s="42">
        <v>9.1240875912408761</v>
      </c>
      <c r="K170" s="42">
        <v>0.7265625</v>
      </c>
      <c r="L170" s="42">
        <v>0.1096</v>
      </c>
      <c r="M170">
        <v>1</v>
      </c>
    </row>
    <row r="171" spans="3:13" x14ac:dyDescent="0.15">
      <c r="C171" s="43">
        <v>138</v>
      </c>
      <c r="D171" s="42">
        <v>138</v>
      </c>
      <c r="E171" s="42">
        <v>0.1104</v>
      </c>
      <c r="F171" s="42">
        <v>93</v>
      </c>
      <c r="G171" s="42">
        <v>14.131200000000002</v>
      </c>
      <c r="H171" s="42">
        <v>6.5811820652173916</v>
      </c>
      <c r="I171" s="42">
        <v>1</v>
      </c>
      <c r="J171" s="42">
        <v>9.0579710144927539</v>
      </c>
      <c r="K171" s="42">
        <v>0.7265625</v>
      </c>
      <c r="L171" s="42">
        <v>0.1104</v>
      </c>
      <c r="M171">
        <v>1</v>
      </c>
    </row>
    <row r="172" spans="3:13" x14ac:dyDescent="0.15">
      <c r="C172" s="43">
        <v>139</v>
      </c>
      <c r="D172" s="42">
        <v>139</v>
      </c>
      <c r="E172" s="42">
        <v>0.11119999999999999</v>
      </c>
      <c r="F172" s="42">
        <v>93</v>
      </c>
      <c r="G172" s="42">
        <v>14.233600000000001</v>
      </c>
      <c r="H172" s="42">
        <v>6.5338354316546763</v>
      </c>
      <c r="I172" s="42">
        <v>1</v>
      </c>
      <c r="J172" s="42">
        <v>8.9928057553956844</v>
      </c>
      <c r="K172" s="42">
        <v>0.7265625</v>
      </c>
      <c r="L172" s="42">
        <v>0.11119999999999999</v>
      </c>
      <c r="M172">
        <v>1</v>
      </c>
    </row>
    <row r="173" spans="3:13" x14ac:dyDescent="0.15">
      <c r="C173" s="43">
        <v>140</v>
      </c>
      <c r="D173" s="42">
        <v>140</v>
      </c>
      <c r="E173" s="42">
        <v>0.112</v>
      </c>
      <c r="F173" s="42">
        <v>93</v>
      </c>
      <c r="G173" s="42">
        <v>14.336</v>
      </c>
      <c r="H173" s="42">
        <v>6.4871651785714288</v>
      </c>
      <c r="I173" s="42">
        <v>1</v>
      </c>
      <c r="J173" s="42">
        <v>8.9285714285714288</v>
      </c>
      <c r="K173" s="42">
        <v>0.7265625</v>
      </c>
      <c r="L173" s="42">
        <v>0.112</v>
      </c>
      <c r="M173">
        <v>1</v>
      </c>
    </row>
    <row r="174" spans="3:13" x14ac:dyDescent="0.15">
      <c r="C174" s="43">
        <v>141</v>
      </c>
      <c r="D174" s="42">
        <v>141</v>
      </c>
      <c r="E174" s="42">
        <v>0.1128</v>
      </c>
      <c r="F174" s="42">
        <v>94</v>
      </c>
      <c r="G174" s="42">
        <v>14.438400000000001</v>
      </c>
      <c r="H174" s="42">
        <v>6.510416666666667</v>
      </c>
      <c r="I174" s="42">
        <v>1</v>
      </c>
      <c r="J174" s="42">
        <v>8.8652482269503547</v>
      </c>
      <c r="K174" s="42">
        <v>0.734375</v>
      </c>
      <c r="L174" s="42">
        <v>0.1128</v>
      </c>
      <c r="M174">
        <v>1</v>
      </c>
    </row>
    <row r="175" spans="3:13" x14ac:dyDescent="0.15">
      <c r="C175" s="43">
        <v>142</v>
      </c>
      <c r="D175" s="42">
        <v>142</v>
      </c>
      <c r="E175" s="42">
        <v>0.11360000000000001</v>
      </c>
      <c r="F175" s="42">
        <v>94</v>
      </c>
      <c r="G175" s="42">
        <v>14.540800000000001</v>
      </c>
      <c r="H175" s="42">
        <v>6.464568661971831</v>
      </c>
      <c r="I175" s="42">
        <v>1</v>
      </c>
      <c r="J175" s="42">
        <v>8.8028169014084501</v>
      </c>
      <c r="K175" s="42">
        <v>0.734375</v>
      </c>
      <c r="L175" s="42">
        <v>0.11360000000000001</v>
      </c>
      <c r="M175">
        <v>1</v>
      </c>
    </row>
    <row r="176" spans="3:13" x14ac:dyDescent="0.15">
      <c r="C176" s="43">
        <v>143</v>
      </c>
      <c r="D176" s="42">
        <v>143</v>
      </c>
      <c r="E176" s="42">
        <v>0.1144</v>
      </c>
      <c r="F176" s="42">
        <v>94</v>
      </c>
      <c r="G176" s="42">
        <v>14.6432</v>
      </c>
      <c r="H176" s="42">
        <v>6.4193618881118883</v>
      </c>
      <c r="I176" s="42">
        <v>1</v>
      </c>
      <c r="J176" s="42">
        <v>8.7412587412587417</v>
      </c>
      <c r="K176" s="42">
        <v>0.734375</v>
      </c>
      <c r="L176" s="42">
        <v>0.1144</v>
      </c>
      <c r="M176">
        <v>1</v>
      </c>
    </row>
    <row r="177" spans="3:13" x14ac:dyDescent="0.15">
      <c r="C177" s="43">
        <v>144</v>
      </c>
      <c r="D177" s="42">
        <v>144</v>
      </c>
      <c r="E177" s="42">
        <v>0.1152</v>
      </c>
      <c r="F177" s="42">
        <v>94</v>
      </c>
      <c r="G177" s="42">
        <v>14.745600000000001</v>
      </c>
      <c r="H177" s="42">
        <v>6.3747829861111116</v>
      </c>
      <c r="I177" s="42">
        <v>1</v>
      </c>
      <c r="J177" s="42">
        <v>8.6805555555555554</v>
      </c>
      <c r="K177" s="42">
        <v>0.734375</v>
      </c>
      <c r="L177" s="42">
        <v>0.1152</v>
      </c>
      <c r="M177">
        <v>1</v>
      </c>
    </row>
    <row r="178" spans="3:13" x14ac:dyDescent="0.15">
      <c r="C178" s="43">
        <v>145</v>
      </c>
      <c r="D178" s="42">
        <v>145</v>
      </c>
      <c r="E178" s="42">
        <v>0.11600000000000001</v>
      </c>
      <c r="F178" s="42">
        <v>94</v>
      </c>
      <c r="G178" s="42">
        <v>14.848000000000001</v>
      </c>
      <c r="H178" s="42">
        <v>6.3308189655172411</v>
      </c>
      <c r="I178" s="42">
        <v>1</v>
      </c>
      <c r="J178" s="42">
        <v>8.6206896551724128</v>
      </c>
      <c r="K178" s="42">
        <v>0.734375</v>
      </c>
      <c r="L178" s="42">
        <v>0.11600000000000001</v>
      </c>
      <c r="M178">
        <v>1</v>
      </c>
    </row>
    <row r="179" spans="3:13" x14ac:dyDescent="0.15">
      <c r="C179" s="43">
        <v>146</v>
      </c>
      <c r="D179" s="42">
        <v>146</v>
      </c>
      <c r="E179" s="42">
        <v>0.1168</v>
      </c>
      <c r="F179" s="42">
        <v>94</v>
      </c>
      <c r="G179" s="42">
        <v>14.9504</v>
      </c>
      <c r="H179" s="42">
        <v>6.2874571917808222</v>
      </c>
      <c r="I179" s="42">
        <v>1</v>
      </c>
      <c r="J179" s="42">
        <v>8.5616438356164384</v>
      </c>
      <c r="K179" s="42">
        <v>0.734375</v>
      </c>
      <c r="L179" s="42">
        <v>0.1168</v>
      </c>
      <c r="M179">
        <v>1</v>
      </c>
    </row>
    <row r="180" spans="3:13" x14ac:dyDescent="0.15">
      <c r="C180" s="43">
        <v>147</v>
      </c>
      <c r="D180" s="42">
        <v>147</v>
      </c>
      <c r="E180" s="42">
        <v>0.1176</v>
      </c>
      <c r="F180" s="42">
        <v>94</v>
      </c>
      <c r="G180" s="42">
        <v>15.052800000000001</v>
      </c>
      <c r="H180" s="42">
        <v>6.2446853741496602</v>
      </c>
      <c r="I180" s="42">
        <v>1</v>
      </c>
      <c r="J180" s="42">
        <v>8.5034013605442187</v>
      </c>
      <c r="K180" s="42">
        <v>0.734375</v>
      </c>
      <c r="L180" s="42">
        <v>0.1176</v>
      </c>
      <c r="M180">
        <v>1</v>
      </c>
    </row>
    <row r="181" spans="3:13" x14ac:dyDescent="0.15">
      <c r="C181" s="43">
        <v>148</v>
      </c>
      <c r="D181" s="42">
        <v>148</v>
      </c>
      <c r="E181" s="42">
        <v>0.11840000000000001</v>
      </c>
      <c r="F181" s="42">
        <v>94</v>
      </c>
      <c r="G181" s="42">
        <v>15.155200000000001</v>
      </c>
      <c r="H181" s="42">
        <v>6.2024915540540535</v>
      </c>
      <c r="I181" s="42">
        <v>1</v>
      </c>
      <c r="J181" s="42">
        <v>8.4459459459459456</v>
      </c>
      <c r="K181" s="42">
        <v>0.734375</v>
      </c>
      <c r="L181" s="42">
        <v>0.11840000000000001</v>
      </c>
      <c r="M181">
        <v>1</v>
      </c>
    </row>
    <row r="182" spans="3:13" x14ac:dyDescent="0.15">
      <c r="C182" s="43">
        <v>149</v>
      </c>
      <c r="D182" s="42">
        <v>149</v>
      </c>
      <c r="E182" s="42">
        <v>0.1192</v>
      </c>
      <c r="F182" s="42">
        <v>95</v>
      </c>
      <c r="G182" s="42">
        <v>15.2576</v>
      </c>
      <c r="H182" s="42">
        <v>6.2264052013422821</v>
      </c>
      <c r="I182" s="42">
        <v>1</v>
      </c>
      <c r="J182" s="42">
        <v>8.3892617449664435</v>
      </c>
      <c r="K182" s="42">
        <v>0.7421875</v>
      </c>
      <c r="L182" s="42">
        <v>0.1192</v>
      </c>
      <c r="M182">
        <v>1</v>
      </c>
    </row>
    <row r="183" spans="3:13" x14ac:dyDescent="0.15">
      <c r="C183" s="43">
        <v>150</v>
      </c>
      <c r="D183" s="42">
        <v>150</v>
      </c>
      <c r="E183" s="42">
        <v>0.12</v>
      </c>
      <c r="F183" s="42">
        <v>95</v>
      </c>
      <c r="G183" s="42">
        <v>15.360000000000001</v>
      </c>
      <c r="H183" s="42">
        <v>6.1848958333333339</v>
      </c>
      <c r="I183" s="42">
        <v>1</v>
      </c>
      <c r="J183" s="42">
        <v>8.3333333333333339</v>
      </c>
      <c r="K183" s="42">
        <v>0.7421875</v>
      </c>
      <c r="L183" s="42">
        <v>0.12</v>
      </c>
      <c r="M183">
        <v>1</v>
      </c>
    </row>
    <row r="184" spans="3:13" x14ac:dyDescent="0.15">
      <c r="C184" s="43">
        <v>151</v>
      </c>
      <c r="D184" s="42">
        <v>151</v>
      </c>
      <c r="E184" s="42">
        <v>0.1208</v>
      </c>
      <c r="F184" s="42">
        <v>96</v>
      </c>
      <c r="G184" s="42">
        <v>15.462400000000001</v>
      </c>
      <c r="H184" s="42">
        <v>6.2086092715231782</v>
      </c>
      <c r="I184" s="42">
        <v>1</v>
      </c>
      <c r="J184" s="42">
        <v>8.2781456953642376</v>
      </c>
      <c r="K184" s="42">
        <v>0.75</v>
      </c>
      <c r="L184" s="42">
        <v>0.1208</v>
      </c>
      <c r="M184">
        <v>1</v>
      </c>
    </row>
    <row r="185" spans="3:13" x14ac:dyDescent="0.15">
      <c r="C185" s="43">
        <v>152</v>
      </c>
      <c r="D185" s="42">
        <v>152</v>
      </c>
      <c r="E185" s="42">
        <v>0.1216</v>
      </c>
      <c r="F185" s="42">
        <v>96</v>
      </c>
      <c r="G185" s="42">
        <v>15.5648</v>
      </c>
      <c r="H185" s="42">
        <v>6.1677631578947372</v>
      </c>
      <c r="I185" s="42">
        <v>1</v>
      </c>
      <c r="J185" s="42">
        <v>8.223684210526315</v>
      </c>
      <c r="K185" s="42">
        <v>0.75</v>
      </c>
      <c r="L185" s="42">
        <v>0.1216</v>
      </c>
      <c r="M185">
        <v>1</v>
      </c>
    </row>
    <row r="186" spans="3:13" x14ac:dyDescent="0.15">
      <c r="C186" s="43">
        <v>153</v>
      </c>
      <c r="D186" s="42">
        <v>153</v>
      </c>
      <c r="E186" s="42">
        <v>0.12239999999999999</v>
      </c>
      <c r="F186" s="42">
        <v>96</v>
      </c>
      <c r="G186" s="42">
        <v>15.667200000000001</v>
      </c>
      <c r="H186" s="42">
        <v>6.1274509803921573</v>
      </c>
      <c r="I186" s="42">
        <v>1</v>
      </c>
      <c r="J186" s="42">
        <v>8.169934640522877</v>
      </c>
      <c r="K186" s="42">
        <v>0.75</v>
      </c>
      <c r="L186" s="42">
        <v>0.12239999999999999</v>
      </c>
      <c r="M186">
        <v>1</v>
      </c>
    </row>
    <row r="187" spans="3:13" x14ac:dyDescent="0.15">
      <c r="C187" s="43">
        <v>154</v>
      </c>
      <c r="D187" s="42">
        <v>154</v>
      </c>
      <c r="E187" s="42">
        <v>0.1232</v>
      </c>
      <c r="F187" s="42">
        <v>97</v>
      </c>
      <c r="G187" s="42">
        <v>15.769600000000001</v>
      </c>
      <c r="H187" s="42">
        <v>6.1510754870129869</v>
      </c>
      <c r="I187" s="42">
        <v>1</v>
      </c>
      <c r="J187" s="42">
        <v>8.1168831168831161</v>
      </c>
      <c r="K187" s="42">
        <v>0.7578125</v>
      </c>
      <c r="L187" s="42">
        <v>0.1232</v>
      </c>
      <c r="M187">
        <v>1</v>
      </c>
    </row>
    <row r="188" spans="3:13" x14ac:dyDescent="0.15">
      <c r="C188" s="43">
        <v>155</v>
      </c>
      <c r="D188" s="42">
        <v>155</v>
      </c>
      <c r="E188" s="42">
        <v>0.124</v>
      </c>
      <c r="F188" s="42">
        <v>97</v>
      </c>
      <c r="G188" s="42">
        <v>15.872</v>
      </c>
      <c r="H188" s="42">
        <v>6.111391129032258</v>
      </c>
      <c r="I188" s="42">
        <v>1</v>
      </c>
      <c r="J188" s="42">
        <v>8.064516129032258</v>
      </c>
      <c r="K188" s="42">
        <v>0.7578125</v>
      </c>
      <c r="L188" s="42">
        <v>0.124</v>
      </c>
      <c r="M188">
        <v>1</v>
      </c>
    </row>
    <row r="189" spans="3:13" x14ac:dyDescent="0.15">
      <c r="C189" s="43">
        <v>156</v>
      </c>
      <c r="D189" s="42">
        <v>156</v>
      </c>
      <c r="E189" s="42">
        <v>0.12479999999999999</v>
      </c>
      <c r="F189" s="42">
        <v>97</v>
      </c>
      <c r="G189" s="42">
        <v>15.974400000000001</v>
      </c>
      <c r="H189" s="42">
        <v>6.0722155448717947</v>
      </c>
      <c r="I189" s="42">
        <v>1</v>
      </c>
      <c r="J189" s="42">
        <v>8.0128205128205128</v>
      </c>
      <c r="K189" s="42">
        <v>0.7578125</v>
      </c>
      <c r="L189" s="42">
        <v>0.12479999999999999</v>
      </c>
      <c r="M189">
        <v>1</v>
      </c>
    </row>
    <row r="190" spans="3:13" x14ac:dyDescent="0.15">
      <c r="C190" s="43">
        <v>157</v>
      </c>
      <c r="D190" s="42">
        <v>157</v>
      </c>
      <c r="E190" s="42">
        <v>0.12559999999999999</v>
      </c>
      <c r="F190" s="42">
        <v>97</v>
      </c>
      <c r="G190" s="42">
        <v>16.076800000000002</v>
      </c>
      <c r="H190" s="42">
        <v>6.0335390127388537</v>
      </c>
      <c r="I190" s="42">
        <v>1</v>
      </c>
      <c r="J190" s="42">
        <v>7.9617834394904463</v>
      </c>
      <c r="K190" s="42">
        <v>0.7578125</v>
      </c>
      <c r="L190" s="42">
        <v>0.12559999999999999</v>
      </c>
      <c r="M190">
        <v>1</v>
      </c>
    </row>
    <row r="191" spans="3:13" x14ac:dyDescent="0.15">
      <c r="C191" s="43">
        <v>158</v>
      </c>
      <c r="D191" s="42">
        <v>158</v>
      </c>
      <c r="E191" s="42">
        <v>0.12640000000000001</v>
      </c>
      <c r="F191" s="42">
        <v>97</v>
      </c>
      <c r="G191" s="42">
        <v>16.179200000000002</v>
      </c>
      <c r="H191" s="42">
        <v>5.9953520569620249</v>
      </c>
      <c r="I191" s="42">
        <v>1</v>
      </c>
      <c r="J191" s="42">
        <v>7.9113924050632907</v>
      </c>
      <c r="K191" s="42">
        <v>0.7578125</v>
      </c>
      <c r="L191" s="42">
        <v>0.12640000000000001</v>
      </c>
      <c r="M191">
        <v>1</v>
      </c>
    </row>
    <row r="192" spans="3:13" x14ac:dyDescent="0.15">
      <c r="C192" s="43">
        <v>159</v>
      </c>
      <c r="D192" s="42">
        <v>159</v>
      </c>
      <c r="E192" s="42">
        <v>0.12720000000000001</v>
      </c>
      <c r="F192" s="42">
        <v>97</v>
      </c>
      <c r="G192" s="42">
        <v>16.281600000000001</v>
      </c>
      <c r="H192" s="42">
        <v>5.9576454402515724</v>
      </c>
      <c r="I192" s="42">
        <v>1</v>
      </c>
      <c r="J192" s="42">
        <v>7.8616352201257858</v>
      </c>
      <c r="K192" s="42">
        <v>0.7578125</v>
      </c>
      <c r="L192" s="42">
        <v>0.12720000000000001</v>
      </c>
      <c r="M192">
        <v>1</v>
      </c>
    </row>
    <row r="193" spans="3:13" x14ac:dyDescent="0.15">
      <c r="C193" s="43">
        <v>160</v>
      </c>
      <c r="D193" s="42">
        <v>160</v>
      </c>
      <c r="E193" s="42">
        <v>0.128</v>
      </c>
      <c r="F193" s="42">
        <v>98</v>
      </c>
      <c r="G193" s="42">
        <v>16.384</v>
      </c>
      <c r="H193" s="42">
        <v>5.9814453125</v>
      </c>
      <c r="I193" s="42">
        <v>1</v>
      </c>
      <c r="J193" s="42">
        <v>7.8125</v>
      </c>
      <c r="K193" s="42">
        <v>0.765625</v>
      </c>
      <c r="L193" s="42">
        <v>0.128</v>
      </c>
      <c r="M193">
        <v>1</v>
      </c>
    </row>
    <row r="194" spans="3:13" x14ac:dyDescent="0.15">
      <c r="C194" s="43">
        <v>161</v>
      </c>
      <c r="D194" s="42">
        <v>161</v>
      </c>
      <c r="E194" s="42">
        <v>0.1288</v>
      </c>
      <c r="F194" s="42">
        <v>98</v>
      </c>
      <c r="G194" s="42">
        <v>16.4864</v>
      </c>
      <c r="H194" s="42">
        <v>5.9442934782608701</v>
      </c>
      <c r="I194" s="42">
        <v>1</v>
      </c>
      <c r="J194" s="42">
        <v>7.7639751552795033</v>
      </c>
      <c r="K194" s="42">
        <v>0.765625</v>
      </c>
      <c r="L194" s="42">
        <v>0.1288</v>
      </c>
      <c r="M194">
        <v>1</v>
      </c>
    </row>
    <row r="195" spans="3:13" x14ac:dyDescent="0.15">
      <c r="C195" s="43">
        <v>162</v>
      </c>
      <c r="D195" s="42">
        <v>162</v>
      </c>
      <c r="E195" s="42">
        <v>0.12959999999999999</v>
      </c>
      <c r="F195" s="42">
        <v>98</v>
      </c>
      <c r="G195" s="42">
        <v>16.588799999999999</v>
      </c>
      <c r="H195" s="42">
        <v>5.9076003086419755</v>
      </c>
      <c r="I195" s="42">
        <v>1</v>
      </c>
      <c r="J195" s="42">
        <v>7.7160493827160499</v>
      </c>
      <c r="K195" s="42">
        <v>0.765625</v>
      </c>
      <c r="L195" s="42">
        <v>0.12959999999999999</v>
      </c>
      <c r="M195">
        <v>1</v>
      </c>
    </row>
    <row r="196" spans="3:13" x14ac:dyDescent="0.15">
      <c r="C196" s="43">
        <v>163</v>
      </c>
      <c r="D196" s="42">
        <v>163</v>
      </c>
      <c r="E196" s="42">
        <v>0.13039999999999999</v>
      </c>
      <c r="F196" s="42">
        <v>98</v>
      </c>
      <c r="G196" s="42">
        <v>16.691200000000002</v>
      </c>
      <c r="H196" s="42">
        <v>5.8713573619631907</v>
      </c>
      <c r="I196" s="42">
        <v>1</v>
      </c>
      <c r="J196" s="42">
        <v>7.6687116564417188</v>
      </c>
      <c r="K196" s="42">
        <v>0.765625</v>
      </c>
      <c r="L196" s="42">
        <v>0.13039999999999999</v>
      </c>
      <c r="M196">
        <v>1</v>
      </c>
    </row>
    <row r="197" spans="3:13" x14ac:dyDescent="0.15">
      <c r="C197" s="43">
        <v>164</v>
      </c>
      <c r="D197" s="42">
        <v>164</v>
      </c>
      <c r="E197" s="42">
        <v>0.13120000000000001</v>
      </c>
      <c r="F197" s="42">
        <v>99</v>
      </c>
      <c r="G197" s="42">
        <v>16.793600000000001</v>
      </c>
      <c r="H197" s="42">
        <v>5.8951028963414629</v>
      </c>
      <c r="I197" s="42">
        <v>1</v>
      </c>
      <c r="J197" s="42">
        <v>7.6219512195121943</v>
      </c>
      <c r="K197" s="42">
        <v>0.7734375</v>
      </c>
      <c r="L197" s="42">
        <v>0.13120000000000001</v>
      </c>
      <c r="M197">
        <v>1</v>
      </c>
    </row>
    <row r="198" spans="3:13" x14ac:dyDescent="0.15">
      <c r="C198" s="43">
        <v>165</v>
      </c>
      <c r="D198" s="42">
        <v>165</v>
      </c>
      <c r="E198" s="42">
        <v>0.13200000000000001</v>
      </c>
      <c r="F198" s="42">
        <v>100</v>
      </c>
      <c r="G198" s="42">
        <v>16.896000000000001</v>
      </c>
      <c r="H198" s="42">
        <v>5.9185606060606055</v>
      </c>
      <c r="I198" s="42">
        <v>1</v>
      </c>
      <c r="J198" s="42">
        <v>7.5757575757575752</v>
      </c>
      <c r="K198" s="42">
        <v>0.78125</v>
      </c>
      <c r="L198" s="42">
        <v>0.13200000000000001</v>
      </c>
      <c r="M198">
        <v>1</v>
      </c>
    </row>
    <row r="199" spans="3:13" x14ac:dyDescent="0.15">
      <c r="C199" s="43">
        <v>166</v>
      </c>
      <c r="D199" s="42">
        <v>166</v>
      </c>
      <c r="E199" s="42">
        <v>0.1328</v>
      </c>
      <c r="F199" s="42">
        <v>100</v>
      </c>
      <c r="G199" s="42">
        <v>16.9984</v>
      </c>
      <c r="H199" s="42">
        <v>5.8829066265060241</v>
      </c>
      <c r="I199" s="42">
        <v>1</v>
      </c>
      <c r="J199" s="42">
        <v>7.5301204819277103</v>
      </c>
      <c r="K199" s="42">
        <v>0.78125</v>
      </c>
      <c r="L199" s="42">
        <v>0.1328</v>
      </c>
      <c r="M199">
        <v>1</v>
      </c>
    </row>
    <row r="200" spans="3:13" x14ac:dyDescent="0.15">
      <c r="C200" s="43">
        <v>167</v>
      </c>
      <c r="D200" s="42">
        <v>167</v>
      </c>
      <c r="E200" s="42">
        <v>0.1336</v>
      </c>
      <c r="F200" s="42">
        <v>100</v>
      </c>
      <c r="G200" s="42">
        <v>17.1008</v>
      </c>
      <c r="H200" s="42">
        <v>5.8476796407185629</v>
      </c>
      <c r="I200" s="42">
        <v>1</v>
      </c>
      <c r="J200" s="42">
        <v>7.4850299401197606</v>
      </c>
      <c r="K200" s="42">
        <v>0.78125</v>
      </c>
      <c r="L200" s="42">
        <v>0.1336</v>
      </c>
      <c r="M200">
        <v>1</v>
      </c>
    </row>
    <row r="201" spans="3:13" x14ac:dyDescent="0.15">
      <c r="C201" s="43">
        <v>168</v>
      </c>
      <c r="D201" s="42">
        <v>168</v>
      </c>
      <c r="E201" s="42">
        <v>0.13439999999999999</v>
      </c>
      <c r="F201" s="42">
        <v>101</v>
      </c>
      <c r="G201" s="42">
        <v>17.203200000000002</v>
      </c>
      <c r="H201" s="42">
        <v>5.8710007440476195</v>
      </c>
      <c r="I201" s="42">
        <v>1</v>
      </c>
      <c r="J201" s="42">
        <v>7.4404761904761907</v>
      </c>
      <c r="K201" s="42">
        <v>0.7890625</v>
      </c>
      <c r="L201" s="42">
        <v>0.13439999999999999</v>
      </c>
      <c r="M201">
        <v>1</v>
      </c>
    </row>
    <row r="202" spans="3:13" x14ac:dyDescent="0.15">
      <c r="C202" s="43">
        <v>169</v>
      </c>
      <c r="D202" s="42">
        <v>169</v>
      </c>
      <c r="E202" s="42">
        <v>0.13519999999999999</v>
      </c>
      <c r="F202" s="42">
        <v>101</v>
      </c>
      <c r="G202" s="42">
        <v>17.305600000000002</v>
      </c>
      <c r="H202" s="42">
        <v>5.8362610946745566</v>
      </c>
      <c r="I202" s="42">
        <v>1</v>
      </c>
      <c r="J202" s="42">
        <v>7.3964497041420127</v>
      </c>
      <c r="K202" s="42">
        <v>0.7890625</v>
      </c>
      <c r="L202" s="42">
        <v>0.13519999999999999</v>
      </c>
      <c r="M202">
        <v>1</v>
      </c>
    </row>
    <row r="203" spans="3:13" x14ac:dyDescent="0.15">
      <c r="C203" s="43">
        <v>170</v>
      </c>
      <c r="D203" s="42">
        <v>170</v>
      </c>
      <c r="E203" s="42">
        <v>0.13600000000000001</v>
      </c>
      <c r="F203" s="42">
        <v>101</v>
      </c>
      <c r="G203" s="42">
        <v>17.408000000000001</v>
      </c>
      <c r="H203" s="42">
        <v>5.8019301470588234</v>
      </c>
      <c r="I203" s="42">
        <v>1</v>
      </c>
      <c r="J203" s="42">
        <v>7.3529411764705879</v>
      </c>
      <c r="K203" s="42">
        <v>0.7890625</v>
      </c>
      <c r="L203" s="42">
        <v>0.13600000000000001</v>
      </c>
      <c r="M203">
        <v>1</v>
      </c>
    </row>
    <row r="204" spans="3:13" x14ac:dyDescent="0.15">
      <c r="C204" s="43">
        <v>171</v>
      </c>
      <c r="D204" s="42">
        <v>171</v>
      </c>
      <c r="E204" s="42">
        <v>0.1368</v>
      </c>
      <c r="F204" s="42">
        <v>101</v>
      </c>
      <c r="G204" s="42">
        <v>17.510400000000001</v>
      </c>
      <c r="H204" s="42">
        <v>5.7680007309941521</v>
      </c>
      <c r="I204" s="42">
        <v>1</v>
      </c>
      <c r="J204" s="42">
        <v>7.3099415204678362</v>
      </c>
      <c r="K204" s="42">
        <v>0.7890625</v>
      </c>
      <c r="L204" s="42">
        <v>0.1368</v>
      </c>
      <c r="M204">
        <v>1</v>
      </c>
    </row>
    <row r="205" spans="3:13" x14ac:dyDescent="0.15">
      <c r="C205" s="43">
        <v>172</v>
      </c>
      <c r="D205" s="42">
        <v>172</v>
      </c>
      <c r="E205" s="42">
        <v>0.1376</v>
      </c>
      <c r="F205" s="42">
        <v>102</v>
      </c>
      <c r="G205" s="42">
        <v>17.6128</v>
      </c>
      <c r="H205" s="42">
        <v>5.7912427325581399</v>
      </c>
      <c r="I205" s="42">
        <v>1</v>
      </c>
      <c r="J205" s="42">
        <v>7.2674418604651159</v>
      </c>
      <c r="K205" s="42">
        <v>0.796875</v>
      </c>
      <c r="L205" s="42">
        <v>0.1376</v>
      </c>
      <c r="M205">
        <v>1</v>
      </c>
    </row>
    <row r="206" spans="3:13" x14ac:dyDescent="0.15">
      <c r="C206" s="43">
        <v>173</v>
      </c>
      <c r="D206" s="42">
        <v>173</v>
      </c>
      <c r="E206" s="42">
        <v>0.1384</v>
      </c>
      <c r="F206" s="42">
        <v>103</v>
      </c>
      <c r="G206" s="42">
        <v>17.715199999999999</v>
      </c>
      <c r="H206" s="42">
        <v>5.8142160404624281</v>
      </c>
      <c r="I206" s="42">
        <v>1</v>
      </c>
      <c r="J206" s="42">
        <v>7.2254335260115612</v>
      </c>
      <c r="K206" s="42">
        <v>0.8046875</v>
      </c>
      <c r="L206" s="42">
        <v>0.1384</v>
      </c>
      <c r="M206">
        <v>1</v>
      </c>
    </row>
    <row r="207" spans="3:13" x14ac:dyDescent="0.15">
      <c r="C207" s="43">
        <v>174</v>
      </c>
      <c r="D207" s="42">
        <v>174</v>
      </c>
      <c r="E207" s="42">
        <v>0.13919999999999999</v>
      </c>
      <c r="F207" s="42">
        <v>103</v>
      </c>
      <c r="G207" s="42">
        <v>17.817600000000002</v>
      </c>
      <c r="H207" s="42">
        <v>5.7808010057471266</v>
      </c>
      <c r="I207" s="42">
        <v>1</v>
      </c>
      <c r="J207" s="42">
        <v>7.1839080459770122</v>
      </c>
      <c r="K207" s="42">
        <v>0.8046875</v>
      </c>
      <c r="L207" s="42">
        <v>0.13919999999999999</v>
      </c>
      <c r="M207">
        <v>1</v>
      </c>
    </row>
    <row r="208" spans="3:13" x14ac:dyDescent="0.15">
      <c r="C208" s="43">
        <v>175</v>
      </c>
      <c r="D208" s="42">
        <v>175</v>
      </c>
      <c r="E208" s="42">
        <v>0.14000000000000001</v>
      </c>
      <c r="F208" s="42">
        <v>103</v>
      </c>
      <c r="G208" s="42">
        <v>17.920000000000002</v>
      </c>
      <c r="H208" s="42">
        <v>5.7477678571428568</v>
      </c>
      <c r="I208" s="42">
        <v>1</v>
      </c>
      <c r="J208" s="42">
        <v>7.1428571428571423</v>
      </c>
      <c r="K208" s="42">
        <v>0.8046875</v>
      </c>
      <c r="L208" s="42">
        <v>0.14000000000000001</v>
      </c>
      <c r="M208">
        <v>1</v>
      </c>
    </row>
    <row r="209" spans="3:13" x14ac:dyDescent="0.15">
      <c r="C209" s="43">
        <v>176</v>
      </c>
      <c r="D209" s="42">
        <v>176</v>
      </c>
      <c r="E209" s="42">
        <v>0.14080000000000001</v>
      </c>
      <c r="F209" s="42">
        <v>103</v>
      </c>
      <c r="G209" s="42">
        <v>18.022400000000001</v>
      </c>
      <c r="H209" s="42">
        <v>5.7151100852272725</v>
      </c>
      <c r="I209" s="42">
        <v>1</v>
      </c>
      <c r="J209" s="42">
        <v>7.1022727272727266</v>
      </c>
      <c r="K209" s="42">
        <v>0.8046875</v>
      </c>
      <c r="L209" s="42">
        <v>0.14080000000000001</v>
      </c>
      <c r="M209">
        <v>1</v>
      </c>
    </row>
    <row r="210" spans="3:13" x14ac:dyDescent="0.15">
      <c r="C210" s="43">
        <v>177</v>
      </c>
      <c r="D210" s="42">
        <v>177</v>
      </c>
      <c r="E210" s="42">
        <v>0.1416</v>
      </c>
      <c r="F210" s="42">
        <v>103</v>
      </c>
      <c r="G210" s="42">
        <v>18.1248</v>
      </c>
      <c r="H210" s="42">
        <v>5.6828213276836159</v>
      </c>
      <c r="I210" s="42">
        <v>1</v>
      </c>
      <c r="J210" s="42">
        <v>7.0621468926553668</v>
      </c>
      <c r="K210" s="42">
        <v>0.8046875</v>
      </c>
      <c r="L210" s="42">
        <v>0.1416</v>
      </c>
      <c r="M210">
        <v>1</v>
      </c>
    </row>
    <row r="211" spans="3:13" x14ac:dyDescent="0.15">
      <c r="C211" s="43">
        <v>178</v>
      </c>
      <c r="D211" s="42">
        <v>178</v>
      </c>
      <c r="E211" s="42">
        <v>0.1424</v>
      </c>
      <c r="F211" s="42">
        <v>103</v>
      </c>
      <c r="G211" s="42">
        <v>18.2272</v>
      </c>
      <c r="H211" s="42">
        <v>5.6508953651685392</v>
      </c>
      <c r="I211" s="42">
        <v>1</v>
      </c>
      <c r="J211" s="42">
        <v>7.02247191011236</v>
      </c>
      <c r="K211" s="42">
        <v>0.8046875</v>
      </c>
      <c r="L211" s="42">
        <v>0.1424</v>
      </c>
      <c r="M211">
        <v>1</v>
      </c>
    </row>
    <row r="212" spans="3:13" x14ac:dyDescent="0.15">
      <c r="C212" s="43">
        <v>179</v>
      </c>
      <c r="D212" s="42">
        <v>179</v>
      </c>
      <c r="E212" s="42">
        <v>0.14319999999999999</v>
      </c>
      <c r="F212" s="42">
        <v>103</v>
      </c>
      <c r="G212" s="42">
        <v>18.329599999999999</v>
      </c>
      <c r="H212" s="42">
        <v>5.6193261173184359</v>
      </c>
      <c r="I212" s="42">
        <v>1</v>
      </c>
      <c r="J212" s="42">
        <v>6.983240223463687</v>
      </c>
      <c r="K212" s="42">
        <v>0.8046875</v>
      </c>
      <c r="L212" s="42">
        <v>0.14319999999999999</v>
      </c>
      <c r="M212">
        <v>1</v>
      </c>
    </row>
    <row r="213" spans="3:13" x14ac:dyDescent="0.15">
      <c r="C213" s="43">
        <v>180</v>
      </c>
      <c r="D213" s="42">
        <v>180</v>
      </c>
      <c r="E213" s="42">
        <v>0.14399999999999999</v>
      </c>
      <c r="F213" s="42">
        <v>104</v>
      </c>
      <c r="G213" s="42">
        <v>18.432000000000002</v>
      </c>
      <c r="H213" s="42">
        <v>5.6423611111111116</v>
      </c>
      <c r="I213" s="42">
        <v>1</v>
      </c>
      <c r="J213" s="42">
        <v>6.9444444444444446</v>
      </c>
      <c r="K213" s="42">
        <v>0.8125</v>
      </c>
      <c r="L213" s="42">
        <v>0.14399999999999999</v>
      </c>
      <c r="M213">
        <v>1</v>
      </c>
    </row>
    <row r="214" spans="3:13" x14ac:dyDescent="0.15">
      <c r="C214" s="43">
        <v>181</v>
      </c>
      <c r="D214" s="42">
        <v>181</v>
      </c>
      <c r="E214" s="42">
        <v>0.14480000000000001</v>
      </c>
      <c r="F214" s="42">
        <v>104</v>
      </c>
      <c r="G214" s="42">
        <v>18.534400000000002</v>
      </c>
      <c r="H214" s="42">
        <v>5.6111878453038671</v>
      </c>
      <c r="I214" s="42">
        <v>1</v>
      </c>
      <c r="J214" s="42">
        <v>6.9060773480662974</v>
      </c>
      <c r="K214" s="42">
        <v>0.8125</v>
      </c>
      <c r="L214" s="42">
        <v>0.14480000000000001</v>
      </c>
      <c r="M214">
        <v>1</v>
      </c>
    </row>
    <row r="215" spans="3:13" x14ac:dyDescent="0.15">
      <c r="C215" s="43">
        <v>182</v>
      </c>
      <c r="D215" s="42">
        <v>182</v>
      </c>
      <c r="E215" s="42">
        <v>0.14560000000000001</v>
      </c>
      <c r="F215" s="42">
        <v>104</v>
      </c>
      <c r="G215" s="42">
        <v>18.636800000000001</v>
      </c>
      <c r="H215" s="42">
        <v>5.5803571428571423</v>
      </c>
      <c r="I215" s="42">
        <v>1</v>
      </c>
      <c r="J215" s="42">
        <v>6.8681318681318677</v>
      </c>
      <c r="K215" s="42">
        <v>0.8125</v>
      </c>
      <c r="L215" s="42">
        <v>0.14560000000000001</v>
      </c>
      <c r="M215">
        <v>1</v>
      </c>
    </row>
    <row r="216" spans="3:13" x14ac:dyDescent="0.15">
      <c r="C216" s="43">
        <v>183</v>
      </c>
      <c r="D216" s="42">
        <v>183</v>
      </c>
      <c r="E216" s="42">
        <v>0.1464</v>
      </c>
      <c r="F216" s="42">
        <v>104</v>
      </c>
      <c r="G216" s="42">
        <v>18.7392</v>
      </c>
      <c r="H216" s="42">
        <v>5.5498633879781423</v>
      </c>
      <c r="I216" s="42">
        <v>1</v>
      </c>
      <c r="J216" s="42">
        <v>6.8306010928961749</v>
      </c>
      <c r="K216" s="42">
        <v>0.8125</v>
      </c>
      <c r="L216" s="42">
        <v>0.1464</v>
      </c>
      <c r="M216">
        <v>1</v>
      </c>
    </row>
    <row r="217" spans="3:13" x14ac:dyDescent="0.15">
      <c r="C217" s="43">
        <v>184</v>
      </c>
      <c r="D217" s="42">
        <v>184</v>
      </c>
      <c r="E217" s="42">
        <v>0.1472</v>
      </c>
      <c r="F217" s="42">
        <v>105</v>
      </c>
      <c r="G217" s="42">
        <v>18.8416</v>
      </c>
      <c r="H217" s="42">
        <v>5.5727751358695654</v>
      </c>
      <c r="I217" s="42">
        <v>1</v>
      </c>
      <c r="J217" s="42">
        <v>6.7934782608695654</v>
      </c>
      <c r="K217" s="42">
        <v>0.8203125</v>
      </c>
      <c r="L217" s="42">
        <v>0.1472</v>
      </c>
      <c r="M217">
        <v>1</v>
      </c>
    </row>
    <row r="218" spans="3:13" x14ac:dyDescent="0.15">
      <c r="C218" s="43">
        <v>185</v>
      </c>
      <c r="D218" s="42">
        <v>185</v>
      </c>
      <c r="E218" s="42">
        <v>0.14799999999999999</v>
      </c>
      <c r="F218" s="42">
        <v>105</v>
      </c>
      <c r="G218" s="42">
        <v>18.944000000000003</v>
      </c>
      <c r="H218" s="42">
        <v>5.5426520270270272</v>
      </c>
      <c r="I218" s="42">
        <v>1</v>
      </c>
      <c r="J218" s="42">
        <v>6.756756756756757</v>
      </c>
      <c r="K218" s="42">
        <v>0.8203125</v>
      </c>
      <c r="L218" s="42">
        <v>0.14799999999999999</v>
      </c>
      <c r="M218">
        <v>1</v>
      </c>
    </row>
    <row r="219" spans="3:13" x14ac:dyDescent="0.15">
      <c r="C219" s="43">
        <v>186</v>
      </c>
      <c r="D219" s="42">
        <v>186</v>
      </c>
      <c r="E219" s="42">
        <v>0.14879999999999999</v>
      </c>
      <c r="F219" s="42">
        <v>105</v>
      </c>
      <c r="G219" s="42">
        <v>19.046400000000002</v>
      </c>
      <c r="H219" s="42">
        <v>5.5128528225806459</v>
      </c>
      <c r="I219" s="42">
        <v>1</v>
      </c>
      <c r="J219" s="42">
        <v>6.720430107526882</v>
      </c>
      <c r="K219" s="42">
        <v>0.8203125</v>
      </c>
      <c r="L219" s="42">
        <v>0.14879999999999999</v>
      </c>
      <c r="M219">
        <v>1</v>
      </c>
    </row>
    <row r="220" spans="3:13" x14ac:dyDescent="0.15">
      <c r="C220" s="43">
        <v>187</v>
      </c>
      <c r="D220" s="42">
        <v>187</v>
      </c>
      <c r="E220" s="42">
        <v>0.14960000000000001</v>
      </c>
      <c r="F220" s="42">
        <v>105</v>
      </c>
      <c r="G220" s="42">
        <v>19.148800000000001</v>
      </c>
      <c r="H220" s="42">
        <v>5.4833723262032086</v>
      </c>
      <c r="I220" s="42">
        <v>1</v>
      </c>
      <c r="J220" s="42">
        <v>6.6844919786096249</v>
      </c>
      <c r="K220" s="42">
        <v>0.8203125</v>
      </c>
      <c r="L220" s="42">
        <v>0.14960000000000001</v>
      </c>
      <c r="M220">
        <v>1</v>
      </c>
    </row>
    <row r="221" spans="3:13" x14ac:dyDescent="0.15">
      <c r="C221" s="43">
        <v>188</v>
      </c>
      <c r="D221" s="42">
        <v>188</v>
      </c>
      <c r="E221" s="42">
        <v>0.15040000000000001</v>
      </c>
      <c r="F221" s="42">
        <v>105</v>
      </c>
      <c r="G221" s="42">
        <v>19.251200000000001</v>
      </c>
      <c r="H221" s="42">
        <v>5.4542054521276597</v>
      </c>
      <c r="I221" s="42">
        <v>1</v>
      </c>
      <c r="J221" s="42">
        <v>6.6489361702127656</v>
      </c>
      <c r="K221" s="42">
        <v>0.8203125</v>
      </c>
      <c r="L221" s="42">
        <v>0.15040000000000001</v>
      </c>
      <c r="M221">
        <v>1</v>
      </c>
    </row>
    <row r="222" spans="3:13" x14ac:dyDescent="0.15">
      <c r="C222" s="43">
        <v>189</v>
      </c>
      <c r="D222" s="42">
        <v>189</v>
      </c>
      <c r="E222" s="42">
        <v>0.1512</v>
      </c>
      <c r="F222" s="42">
        <v>106</v>
      </c>
      <c r="G222" s="42">
        <v>19.3536</v>
      </c>
      <c r="H222" s="42">
        <v>5.4770171957671954</v>
      </c>
      <c r="I222" s="42">
        <v>1</v>
      </c>
      <c r="J222" s="42">
        <v>6.6137566137566139</v>
      </c>
      <c r="K222" s="42">
        <v>0.828125</v>
      </c>
      <c r="L222" s="42">
        <v>0.1512</v>
      </c>
      <c r="M222">
        <v>1</v>
      </c>
    </row>
    <row r="223" spans="3:13" x14ac:dyDescent="0.15">
      <c r="C223" s="43">
        <v>190</v>
      </c>
      <c r="D223" s="42">
        <v>190</v>
      </c>
      <c r="E223" s="42">
        <v>0.152</v>
      </c>
      <c r="F223" s="42">
        <v>106</v>
      </c>
      <c r="G223" s="42">
        <v>19.456</v>
      </c>
      <c r="H223" s="42">
        <v>5.4481907894736841</v>
      </c>
      <c r="I223" s="42">
        <v>1</v>
      </c>
      <c r="J223" s="42">
        <v>6.5789473684210531</v>
      </c>
      <c r="K223" s="42">
        <v>0.828125</v>
      </c>
      <c r="L223" s="42">
        <v>0.152</v>
      </c>
      <c r="M223">
        <v>1</v>
      </c>
    </row>
    <row r="224" spans="3:13" x14ac:dyDescent="0.15">
      <c r="C224" s="43">
        <v>191</v>
      </c>
      <c r="D224" s="42">
        <v>191</v>
      </c>
      <c r="E224" s="42">
        <v>0.15279999999999999</v>
      </c>
      <c r="F224" s="42">
        <v>106</v>
      </c>
      <c r="G224" s="42">
        <v>19.558400000000002</v>
      </c>
      <c r="H224" s="42">
        <v>5.4196662303664924</v>
      </c>
      <c r="I224" s="42">
        <v>1</v>
      </c>
      <c r="J224" s="42">
        <v>6.5445026178010473</v>
      </c>
      <c r="K224" s="42">
        <v>0.828125</v>
      </c>
      <c r="L224" s="42">
        <v>0.15279999999999999</v>
      </c>
      <c r="M224">
        <v>1</v>
      </c>
    </row>
    <row r="225" spans="3:13" x14ac:dyDescent="0.15">
      <c r="C225" s="43">
        <v>192</v>
      </c>
      <c r="D225" s="42">
        <v>192</v>
      </c>
      <c r="E225" s="42">
        <v>0.15359999999999999</v>
      </c>
      <c r="F225" s="42">
        <v>106</v>
      </c>
      <c r="G225" s="42">
        <v>19.660800000000002</v>
      </c>
      <c r="H225" s="42">
        <v>5.3914388020833339</v>
      </c>
      <c r="I225" s="42">
        <v>1</v>
      </c>
      <c r="J225" s="42">
        <v>6.510416666666667</v>
      </c>
      <c r="K225" s="42">
        <v>0.828125</v>
      </c>
      <c r="L225" s="42">
        <v>0.15359999999999999</v>
      </c>
      <c r="M225">
        <v>1</v>
      </c>
    </row>
    <row r="226" spans="3:13" x14ac:dyDescent="0.15">
      <c r="C226" s="43">
        <v>193</v>
      </c>
      <c r="D226" s="42">
        <v>193</v>
      </c>
      <c r="E226" s="42">
        <v>0.15440000000000001</v>
      </c>
      <c r="F226" s="42">
        <v>107</v>
      </c>
      <c r="G226" s="42">
        <v>19.763200000000001</v>
      </c>
      <c r="H226" s="42">
        <v>5.4141029792746114</v>
      </c>
      <c r="I226" s="42">
        <v>1</v>
      </c>
      <c r="J226" s="42">
        <v>6.4766839378238341</v>
      </c>
      <c r="K226" s="42">
        <v>0.8359375</v>
      </c>
      <c r="L226" s="42">
        <v>0.15440000000000001</v>
      </c>
      <c r="M226">
        <v>1</v>
      </c>
    </row>
    <row r="227" spans="3:13" x14ac:dyDescent="0.15">
      <c r="C227" s="43">
        <v>194</v>
      </c>
      <c r="D227" s="42">
        <v>194</v>
      </c>
      <c r="E227" s="42">
        <v>0.1552</v>
      </c>
      <c r="F227" s="42">
        <v>108</v>
      </c>
      <c r="G227" s="42">
        <v>19.865600000000001</v>
      </c>
      <c r="H227" s="42">
        <v>5.4365335051546388</v>
      </c>
      <c r="I227" s="42">
        <v>1</v>
      </c>
      <c r="J227" s="42">
        <v>6.4432989690721651</v>
      </c>
      <c r="K227" s="42">
        <v>0.84375</v>
      </c>
      <c r="L227" s="42">
        <v>0.1552</v>
      </c>
      <c r="M227">
        <v>1</v>
      </c>
    </row>
    <row r="228" spans="3:13" x14ac:dyDescent="0.15">
      <c r="C228" s="43">
        <v>195</v>
      </c>
      <c r="D228" s="42">
        <v>195</v>
      </c>
      <c r="E228" s="42">
        <v>0.156</v>
      </c>
      <c r="F228" s="42">
        <v>108</v>
      </c>
      <c r="G228" s="42">
        <v>19.968</v>
      </c>
      <c r="H228" s="42">
        <v>5.4086538461538458</v>
      </c>
      <c r="I228" s="42">
        <v>1</v>
      </c>
      <c r="J228" s="42">
        <v>6.4102564102564106</v>
      </c>
      <c r="K228" s="42">
        <v>0.84375</v>
      </c>
      <c r="L228" s="42">
        <v>0.156</v>
      </c>
      <c r="M228">
        <v>1</v>
      </c>
    </row>
    <row r="229" spans="3:13" x14ac:dyDescent="0.15">
      <c r="C229" s="43">
        <v>196</v>
      </c>
      <c r="D229" s="42">
        <v>196</v>
      </c>
      <c r="E229" s="42">
        <v>0.15679999999999999</v>
      </c>
      <c r="F229" s="42">
        <v>108</v>
      </c>
      <c r="G229" s="42">
        <v>20.070399999999999</v>
      </c>
      <c r="H229" s="42">
        <v>5.3810586734693882</v>
      </c>
      <c r="I229" s="42">
        <v>1</v>
      </c>
      <c r="J229" s="42">
        <v>6.3775510204081636</v>
      </c>
      <c r="K229" s="42">
        <v>0.84375</v>
      </c>
      <c r="L229" s="42">
        <v>0.15679999999999999</v>
      </c>
      <c r="M229">
        <v>1</v>
      </c>
    </row>
    <row r="230" spans="3:13" x14ac:dyDescent="0.15">
      <c r="C230" s="43">
        <v>197</v>
      </c>
      <c r="D230" s="42">
        <v>197</v>
      </c>
      <c r="E230" s="42">
        <v>0.15759999999999999</v>
      </c>
      <c r="F230" s="42">
        <v>108</v>
      </c>
      <c r="G230" s="42">
        <v>20.172800000000002</v>
      </c>
      <c r="H230" s="42">
        <v>5.3537436548223356</v>
      </c>
      <c r="I230" s="42">
        <v>1</v>
      </c>
      <c r="J230" s="42">
        <v>6.3451776649746199</v>
      </c>
      <c r="K230" s="42">
        <v>0.84375</v>
      </c>
      <c r="L230" s="42">
        <v>0.15759999999999999</v>
      </c>
      <c r="M230">
        <v>1</v>
      </c>
    </row>
    <row r="231" spans="3:13" x14ac:dyDescent="0.15">
      <c r="C231" s="43">
        <v>198</v>
      </c>
      <c r="D231" s="42">
        <v>198</v>
      </c>
      <c r="E231" s="42">
        <v>0.15840000000000001</v>
      </c>
      <c r="F231" s="42">
        <v>109</v>
      </c>
      <c r="G231" s="42">
        <v>20.275200000000002</v>
      </c>
      <c r="H231" s="42">
        <v>5.3760258838383832</v>
      </c>
      <c r="I231" s="42">
        <v>1</v>
      </c>
      <c r="J231" s="42">
        <v>6.3131313131313123</v>
      </c>
      <c r="K231" s="42">
        <v>0.8515625</v>
      </c>
      <c r="L231" s="42">
        <v>0.15840000000000001</v>
      </c>
      <c r="M231">
        <v>1</v>
      </c>
    </row>
    <row r="232" spans="3:13" x14ac:dyDescent="0.15">
      <c r="C232" s="43">
        <v>199</v>
      </c>
      <c r="D232" s="42">
        <v>199</v>
      </c>
      <c r="E232" s="42">
        <v>0.15920000000000001</v>
      </c>
      <c r="F232" s="42">
        <v>109</v>
      </c>
      <c r="G232" s="42">
        <v>20.377600000000001</v>
      </c>
      <c r="H232" s="42">
        <v>5.3490106783919593</v>
      </c>
      <c r="I232" s="42">
        <v>1</v>
      </c>
      <c r="J232" s="42">
        <v>6.2814070351758788</v>
      </c>
      <c r="K232" s="42">
        <v>0.8515625</v>
      </c>
      <c r="L232" s="42">
        <v>0.15920000000000001</v>
      </c>
      <c r="M232">
        <v>1</v>
      </c>
    </row>
    <row r="233" spans="3:13" x14ac:dyDescent="0.15">
      <c r="C233" s="43">
        <v>200</v>
      </c>
      <c r="D233" s="42">
        <v>200</v>
      </c>
      <c r="E233" s="42">
        <v>0.16</v>
      </c>
      <c r="F233" s="42">
        <v>109</v>
      </c>
      <c r="G233" s="42">
        <v>20.48</v>
      </c>
      <c r="H233" s="42">
        <v>5.322265625</v>
      </c>
      <c r="I233" s="42">
        <v>1</v>
      </c>
      <c r="J233" s="42">
        <v>6.25</v>
      </c>
      <c r="K233" s="42">
        <v>0.8515625</v>
      </c>
      <c r="L233" s="42">
        <v>0.16</v>
      </c>
      <c r="M233">
        <v>1</v>
      </c>
    </row>
    <row r="234" spans="3:13" x14ac:dyDescent="0.15">
      <c r="C234" s="43">
        <v>201</v>
      </c>
      <c r="D234" s="42">
        <v>201</v>
      </c>
      <c r="E234" s="42">
        <v>0.1608</v>
      </c>
      <c r="F234" s="42">
        <v>109</v>
      </c>
      <c r="G234" s="42">
        <v>20.5824</v>
      </c>
      <c r="H234" s="42">
        <v>5.2957866915422889</v>
      </c>
      <c r="I234" s="42">
        <v>1</v>
      </c>
      <c r="J234" s="42">
        <v>6.2189054726368163</v>
      </c>
      <c r="K234" s="42">
        <v>0.8515625</v>
      </c>
      <c r="L234" s="42">
        <v>0.1608</v>
      </c>
      <c r="M234">
        <v>1</v>
      </c>
    </row>
    <row r="235" spans="3:13" x14ac:dyDescent="0.15">
      <c r="C235" s="43">
        <v>202</v>
      </c>
      <c r="D235" s="42">
        <v>202</v>
      </c>
      <c r="E235" s="42">
        <v>0.16159999999999999</v>
      </c>
      <c r="F235" s="42">
        <v>109</v>
      </c>
      <c r="G235" s="42">
        <v>20.684800000000003</v>
      </c>
      <c r="H235" s="42">
        <v>5.2695699257425748</v>
      </c>
      <c r="I235" s="42">
        <v>1</v>
      </c>
      <c r="J235" s="42">
        <v>6.1881188118811883</v>
      </c>
      <c r="K235" s="42">
        <v>0.8515625</v>
      </c>
      <c r="L235" s="42">
        <v>0.16159999999999999</v>
      </c>
      <c r="M235">
        <v>1</v>
      </c>
    </row>
    <row r="236" spans="3:13" x14ac:dyDescent="0.15">
      <c r="C236" s="43">
        <v>203</v>
      </c>
      <c r="D236" s="42">
        <v>203</v>
      </c>
      <c r="E236" s="42">
        <v>0.16239999999999999</v>
      </c>
      <c r="F236" s="42">
        <v>109</v>
      </c>
      <c r="G236" s="42">
        <v>20.787200000000002</v>
      </c>
      <c r="H236" s="42">
        <v>5.2436114532019706</v>
      </c>
      <c r="I236" s="42">
        <v>1</v>
      </c>
      <c r="J236" s="42">
        <v>6.1576354679802963</v>
      </c>
      <c r="K236" s="42">
        <v>0.8515625</v>
      </c>
      <c r="L236" s="42">
        <v>0.16239999999999999</v>
      </c>
      <c r="M236">
        <v>1</v>
      </c>
    </row>
    <row r="237" spans="3:13" x14ac:dyDescent="0.15">
      <c r="C237" s="43">
        <v>204</v>
      </c>
      <c r="D237" s="42">
        <v>204</v>
      </c>
      <c r="E237" s="42">
        <v>0.16320000000000001</v>
      </c>
      <c r="F237" s="42">
        <v>109</v>
      </c>
      <c r="G237" s="42">
        <v>20.889600000000002</v>
      </c>
      <c r="H237" s="42">
        <v>5.217907475490196</v>
      </c>
      <c r="I237" s="42">
        <v>1</v>
      </c>
      <c r="J237" s="42">
        <v>6.1274509803921564</v>
      </c>
      <c r="K237" s="42">
        <v>0.8515625</v>
      </c>
      <c r="L237" s="42">
        <v>0.16320000000000001</v>
      </c>
      <c r="M237">
        <v>1</v>
      </c>
    </row>
    <row r="238" spans="3:13" x14ac:dyDescent="0.15">
      <c r="C238" s="43">
        <v>205</v>
      </c>
      <c r="D238" s="42">
        <v>205</v>
      </c>
      <c r="E238" s="42">
        <v>0.16400000000000001</v>
      </c>
      <c r="F238" s="42">
        <v>109</v>
      </c>
      <c r="G238" s="42">
        <v>20.992000000000001</v>
      </c>
      <c r="H238" s="42">
        <v>5.1924542682926829</v>
      </c>
      <c r="I238" s="42">
        <v>1</v>
      </c>
      <c r="J238" s="42">
        <v>6.0975609756097562</v>
      </c>
      <c r="K238" s="42">
        <v>0.8515625</v>
      </c>
      <c r="L238" s="42">
        <v>0.16400000000000001</v>
      </c>
      <c r="M238">
        <v>1</v>
      </c>
    </row>
    <row r="239" spans="3:13" x14ac:dyDescent="0.15">
      <c r="C239" s="43">
        <v>206</v>
      </c>
      <c r="D239" s="42">
        <v>206</v>
      </c>
      <c r="E239" s="42">
        <v>0.1648</v>
      </c>
      <c r="F239" s="42">
        <v>109</v>
      </c>
      <c r="G239" s="42">
        <v>21.0944</v>
      </c>
      <c r="H239" s="42">
        <v>5.1672481796116507</v>
      </c>
      <c r="I239" s="42">
        <v>1</v>
      </c>
      <c r="J239" s="42">
        <v>6.0679611650485432</v>
      </c>
      <c r="K239" s="42">
        <v>0.8515625</v>
      </c>
      <c r="L239" s="42">
        <v>0.1648</v>
      </c>
      <c r="M239">
        <v>1</v>
      </c>
    </row>
    <row r="240" spans="3:13" x14ac:dyDescent="0.15">
      <c r="C240" s="43">
        <v>207</v>
      </c>
      <c r="D240" s="42">
        <v>207</v>
      </c>
      <c r="E240" s="42">
        <v>0.1656</v>
      </c>
      <c r="F240" s="42">
        <v>109</v>
      </c>
      <c r="G240" s="42">
        <v>21.1968</v>
      </c>
      <c r="H240" s="42">
        <v>5.1422856280193239</v>
      </c>
      <c r="I240" s="42">
        <v>1</v>
      </c>
      <c r="J240" s="42">
        <v>6.0386473429951693</v>
      </c>
      <c r="K240" s="42">
        <v>0.8515625</v>
      </c>
      <c r="L240" s="42">
        <v>0.1656</v>
      </c>
      <c r="M240">
        <v>1</v>
      </c>
    </row>
    <row r="241" spans="3:13" x14ac:dyDescent="0.15">
      <c r="C241" s="43">
        <v>208</v>
      </c>
      <c r="D241" s="42">
        <v>208</v>
      </c>
      <c r="E241" s="42">
        <v>0.16639999999999999</v>
      </c>
      <c r="F241" s="42">
        <v>109</v>
      </c>
      <c r="G241" s="42">
        <v>21.299200000000003</v>
      </c>
      <c r="H241" s="42">
        <v>5.1175631009615383</v>
      </c>
      <c r="I241" s="42">
        <v>1</v>
      </c>
      <c r="J241" s="42">
        <v>6.009615384615385</v>
      </c>
      <c r="K241" s="42">
        <v>0.8515625</v>
      </c>
      <c r="L241" s="42">
        <v>0.16639999999999999</v>
      </c>
      <c r="M241">
        <v>1</v>
      </c>
    </row>
    <row r="242" spans="3:13" x14ac:dyDescent="0.15">
      <c r="C242" s="43">
        <v>209</v>
      </c>
      <c r="D242" s="42">
        <v>209</v>
      </c>
      <c r="E242" s="42">
        <v>0.16719999999999999</v>
      </c>
      <c r="F242" s="42">
        <v>109</v>
      </c>
      <c r="G242" s="42">
        <v>21.401600000000002</v>
      </c>
      <c r="H242" s="42">
        <v>5.0930771531100483</v>
      </c>
      <c r="I242" s="42">
        <v>1</v>
      </c>
      <c r="J242" s="42">
        <v>5.9808612440191391</v>
      </c>
      <c r="K242" s="42">
        <v>0.8515625</v>
      </c>
      <c r="L242" s="42">
        <v>0.16719999999999999</v>
      </c>
      <c r="M242">
        <v>1</v>
      </c>
    </row>
    <row r="243" spans="3:13" x14ac:dyDescent="0.15">
      <c r="C243" s="43">
        <v>210</v>
      </c>
      <c r="D243" s="42">
        <v>210</v>
      </c>
      <c r="E243" s="42">
        <v>0.16800000000000001</v>
      </c>
      <c r="F243" s="42">
        <v>109</v>
      </c>
      <c r="G243" s="42">
        <v>21.504000000000001</v>
      </c>
      <c r="H243" s="42">
        <v>5.0688244047619042</v>
      </c>
      <c r="I243" s="42">
        <v>1</v>
      </c>
      <c r="J243" s="42">
        <v>5.9523809523809517</v>
      </c>
      <c r="K243" s="42">
        <v>0.8515625</v>
      </c>
      <c r="L243" s="42">
        <v>0.16800000000000001</v>
      </c>
      <c r="M243">
        <v>1</v>
      </c>
    </row>
    <row r="244" spans="3:13" x14ac:dyDescent="0.15">
      <c r="C244" s="43">
        <v>211</v>
      </c>
      <c r="D244" s="42">
        <v>211</v>
      </c>
      <c r="E244" s="42">
        <v>0.16880000000000001</v>
      </c>
      <c r="F244" s="42">
        <v>109</v>
      </c>
      <c r="G244" s="42">
        <v>21.606400000000001</v>
      </c>
      <c r="H244" s="42">
        <v>5.04480154028436</v>
      </c>
      <c r="I244" s="42">
        <v>1</v>
      </c>
      <c r="J244" s="42">
        <v>5.9241706161137442</v>
      </c>
      <c r="K244" s="42">
        <v>0.8515625</v>
      </c>
      <c r="L244" s="42">
        <v>0.16880000000000001</v>
      </c>
      <c r="M244">
        <v>1</v>
      </c>
    </row>
    <row r="245" spans="3:13" x14ac:dyDescent="0.15">
      <c r="C245" s="43">
        <v>212</v>
      </c>
      <c r="D245" s="42">
        <v>212</v>
      </c>
      <c r="E245" s="42">
        <v>0.1696</v>
      </c>
      <c r="F245" s="42">
        <v>110</v>
      </c>
      <c r="G245" s="42">
        <v>21.7088</v>
      </c>
      <c r="H245" s="42">
        <v>5.0670695754716979</v>
      </c>
      <c r="I245" s="42">
        <v>1</v>
      </c>
      <c r="J245" s="42">
        <v>5.8962264150943398</v>
      </c>
      <c r="K245" s="42">
        <v>0.859375</v>
      </c>
      <c r="L245" s="42">
        <v>0.1696</v>
      </c>
      <c r="M245">
        <v>1</v>
      </c>
    </row>
    <row r="246" spans="3:13" x14ac:dyDescent="0.15">
      <c r="C246" s="43">
        <v>213</v>
      </c>
      <c r="D246" s="42">
        <v>213</v>
      </c>
      <c r="E246" s="42">
        <v>0.1704</v>
      </c>
      <c r="F246" s="42">
        <v>110</v>
      </c>
      <c r="G246" s="42">
        <v>21.811199999999999</v>
      </c>
      <c r="H246" s="42">
        <v>5.043280516431925</v>
      </c>
      <c r="I246" s="42">
        <v>1</v>
      </c>
      <c r="J246" s="42">
        <v>5.868544600938967</v>
      </c>
      <c r="K246" s="42">
        <v>0.859375</v>
      </c>
      <c r="L246" s="42">
        <v>0.1704</v>
      </c>
      <c r="M246">
        <v>1</v>
      </c>
    </row>
    <row r="247" spans="3:13" x14ac:dyDescent="0.15">
      <c r="C247" s="43">
        <v>214</v>
      </c>
      <c r="D247" s="42">
        <v>214</v>
      </c>
      <c r="E247" s="42">
        <v>0.17119999999999999</v>
      </c>
      <c r="F247" s="42">
        <v>110</v>
      </c>
      <c r="G247" s="42">
        <v>21.913600000000002</v>
      </c>
      <c r="H247" s="42">
        <v>5.0197137850467293</v>
      </c>
      <c r="I247" s="42">
        <v>1</v>
      </c>
      <c r="J247" s="42">
        <v>5.8411214953271031</v>
      </c>
      <c r="K247" s="42">
        <v>0.859375</v>
      </c>
      <c r="L247" s="42">
        <v>0.17119999999999999</v>
      </c>
      <c r="M247">
        <v>1</v>
      </c>
    </row>
    <row r="248" spans="3:13" x14ac:dyDescent="0.15">
      <c r="C248" s="43">
        <v>215</v>
      </c>
      <c r="D248" s="42">
        <v>215</v>
      </c>
      <c r="E248" s="42">
        <v>0.17199999999999999</v>
      </c>
      <c r="F248" s="42">
        <v>110</v>
      </c>
      <c r="G248" s="42">
        <v>22.016000000000002</v>
      </c>
      <c r="H248" s="42">
        <v>4.9963662790697683</v>
      </c>
      <c r="I248" s="42">
        <v>1</v>
      </c>
      <c r="J248" s="42">
        <v>5.8139534883720936</v>
      </c>
      <c r="K248" s="42">
        <v>0.859375</v>
      </c>
      <c r="L248" s="42">
        <v>0.17199999999999999</v>
      </c>
      <c r="M248">
        <v>1</v>
      </c>
    </row>
    <row r="249" spans="3:13" x14ac:dyDescent="0.15">
      <c r="C249" s="43">
        <v>216</v>
      </c>
      <c r="D249" s="42">
        <v>216</v>
      </c>
      <c r="E249" s="42">
        <v>0.17280000000000001</v>
      </c>
      <c r="F249" s="42">
        <v>110</v>
      </c>
      <c r="G249" s="42">
        <v>22.118400000000001</v>
      </c>
      <c r="H249" s="42">
        <v>4.9732349537037033</v>
      </c>
      <c r="I249" s="42">
        <v>1</v>
      </c>
      <c r="J249" s="42">
        <v>5.7870370370370363</v>
      </c>
      <c r="K249" s="42">
        <v>0.859375</v>
      </c>
      <c r="L249" s="42">
        <v>0.17280000000000001</v>
      </c>
      <c r="M249">
        <v>1</v>
      </c>
    </row>
    <row r="250" spans="3:13" x14ac:dyDescent="0.15">
      <c r="C250" s="43">
        <v>217</v>
      </c>
      <c r="D250" s="42">
        <v>217</v>
      </c>
      <c r="E250" s="42">
        <v>0.1736</v>
      </c>
      <c r="F250" s="42">
        <v>110</v>
      </c>
      <c r="G250" s="42">
        <v>22.220800000000001</v>
      </c>
      <c r="H250" s="42">
        <v>4.9503168202764973</v>
      </c>
      <c r="I250" s="42">
        <v>1</v>
      </c>
      <c r="J250" s="42">
        <v>5.7603686635944698</v>
      </c>
      <c r="K250" s="42">
        <v>0.859375</v>
      </c>
      <c r="L250" s="42">
        <v>0.1736</v>
      </c>
      <c r="M250">
        <v>1</v>
      </c>
    </row>
    <row r="251" spans="3:13" x14ac:dyDescent="0.15">
      <c r="C251" s="43">
        <v>218</v>
      </c>
      <c r="D251" s="42">
        <v>218</v>
      </c>
      <c r="E251" s="42">
        <v>0.1744</v>
      </c>
      <c r="F251" s="42">
        <v>110</v>
      </c>
      <c r="G251" s="42">
        <v>22.3232</v>
      </c>
      <c r="H251" s="42">
        <v>4.9276089449541285</v>
      </c>
      <c r="I251" s="42">
        <v>1</v>
      </c>
      <c r="J251" s="42">
        <v>5.7339449541284404</v>
      </c>
      <c r="K251" s="42">
        <v>0.859375</v>
      </c>
      <c r="L251" s="42">
        <v>0.1744</v>
      </c>
      <c r="M251">
        <v>1</v>
      </c>
    </row>
    <row r="252" spans="3:13" x14ac:dyDescent="0.15">
      <c r="C252" s="43">
        <v>219</v>
      </c>
      <c r="D252" s="42">
        <v>219</v>
      </c>
      <c r="E252" s="42">
        <v>0.17519999999999999</v>
      </c>
      <c r="F252" s="42">
        <v>110</v>
      </c>
      <c r="G252" s="42">
        <v>22.425599999999999</v>
      </c>
      <c r="H252" s="42">
        <v>4.9051084474885842</v>
      </c>
      <c r="I252" s="42">
        <v>1</v>
      </c>
      <c r="J252" s="42">
        <v>5.7077625570776256</v>
      </c>
      <c r="K252" s="42">
        <v>0.859375</v>
      </c>
      <c r="L252" s="42">
        <v>0.17519999999999999</v>
      </c>
      <c r="M252">
        <v>1</v>
      </c>
    </row>
    <row r="253" spans="3:13" x14ac:dyDescent="0.15">
      <c r="C253" s="43">
        <v>220</v>
      </c>
      <c r="D253" s="42">
        <v>220</v>
      </c>
      <c r="E253" s="42">
        <v>0.17599999999999999</v>
      </c>
      <c r="F253" s="42">
        <v>110</v>
      </c>
      <c r="G253" s="42">
        <v>22.528000000000002</v>
      </c>
      <c r="H253" s="42">
        <v>4.8828125</v>
      </c>
      <c r="I253" s="42">
        <v>1</v>
      </c>
      <c r="J253" s="42">
        <v>5.6818181818181825</v>
      </c>
      <c r="K253" s="42">
        <v>0.859375</v>
      </c>
      <c r="L253" s="42">
        <v>0.17599999999999999</v>
      </c>
      <c r="M253">
        <v>1</v>
      </c>
    </row>
    <row r="254" spans="3:13" x14ac:dyDescent="0.15">
      <c r="C254" s="43">
        <v>221</v>
      </c>
      <c r="D254" s="42">
        <v>221</v>
      </c>
      <c r="E254" s="42">
        <v>0.17680000000000001</v>
      </c>
      <c r="F254" s="42">
        <v>110</v>
      </c>
      <c r="G254" s="42">
        <v>22.630400000000002</v>
      </c>
      <c r="H254" s="42">
        <v>4.8607183257918551</v>
      </c>
      <c r="I254" s="42">
        <v>1</v>
      </c>
      <c r="J254" s="42">
        <v>5.6561085972850673</v>
      </c>
      <c r="K254" s="42">
        <v>0.859375</v>
      </c>
      <c r="L254" s="42">
        <v>0.17680000000000001</v>
      </c>
      <c r="M254">
        <v>1</v>
      </c>
    </row>
    <row r="255" spans="3:13" x14ac:dyDescent="0.15">
      <c r="C255" s="43">
        <v>222</v>
      </c>
      <c r="D255" s="42">
        <v>222</v>
      </c>
      <c r="E255" s="42">
        <v>0.17760000000000001</v>
      </c>
      <c r="F255" s="42">
        <v>110</v>
      </c>
      <c r="G255" s="42">
        <v>22.732800000000001</v>
      </c>
      <c r="H255" s="42">
        <v>4.838823198198198</v>
      </c>
      <c r="I255" s="42">
        <v>1</v>
      </c>
      <c r="J255" s="42">
        <v>5.6306306306306304</v>
      </c>
      <c r="K255" s="42">
        <v>0.859375</v>
      </c>
      <c r="L255" s="42">
        <v>0.17760000000000001</v>
      </c>
      <c r="M255">
        <v>1</v>
      </c>
    </row>
    <row r="256" spans="3:13" x14ac:dyDescent="0.15">
      <c r="C256" s="43">
        <v>223</v>
      </c>
      <c r="D256" s="42">
        <v>223</v>
      </c>
      <c r="E256" s="42">
        <v>0.1784</v>
      </c>
      <c r="F256" s="42">
        <v>110</v>
      </c>
      <c r="G256" s="42">
        <v>22.8352</v>
      </c>
      <c r="H256" s="42">
        <v>4.8171244394618835</v>
      </c>
      <c r="I256" s="42">
        <v>1</v>
      </c>
      <c r="J256" s="42">
        <v>5.6053811659192823</v>
      </c>
      <c r="K256" s="42">
        <v>0.859375</v>
      </c>
      <c r="L256" s="42">
        <v>0.1784</v>
      </c>
      <c r="M256">
        <v>1</v>
      </c>
    </row>
    <row r="257" spans="3:13" x14ac:dyDescent="0.15">
      <c r="C257" s="43">
        <v>224</v>
      </c>
      <c r="D257" s="42">
        <v>224</v>
      </c>
      <c r="E257" s="42">
        <v>0.1792</v>
      </c>
      <c r="F257" s="42">
        <v>110</v>
      </c>
      <c r="G257" s="42">
        <v>22.9376</v>
      </c>
      <c r="H257" s="42">
        <v>4.7956194196428568</v>
      </c>
      <c r="I257" s="42">
        <v>1</v>
      </c>
      <c r="J257" s="42">
        <v>5.5803571428571432</v>
      </c>
      <c r="K257" s="42">
        <v>0.859375</v>
      </c>
      <c r="L257" s="42">
        <v>0.1792</v>
      </c>
      <c r="M257">
        <v>1</v>
      </c>
    </row>
    <row r="258" spans="3:13" x14ac:dyDescent="0.15">
      <c r="C258" s="43">
        <v>225</v>
      </c>
      <c r="D258" s="42">
        <v>225</v>
      </c>
      <c r="E258" s="42">
        <v>0.18</v>
      </c>
      <c r="F258" s="42">
        <v>110</v>
      </c>
      <c r="G258" s="42">
        <v>23.040000000000003</v>
      </c>
      <c r="H258" s="42">
        <v>4.7743055555555554</v>
      </c>
      <c r="I258" s="42">
        <v>1</v>
      </c>
      <c r="J258" s="42">
        <v>5.5555555555555554</v>
      </c>
      <c r="K258" s="42">
        <v>0.859375</v>
      </c>
      <c r="L258" s="42">
        <v>0.18</v>
      </c>
      <c r="M258">
        <v>1</v>
      </c>
    </row>
    <row r="259" spans="3:13" x14ac:dyDescent="0.15">
      <c r="C259" s="43">
        <v>226</v>
      </c>
      <c r="D259" s="42">
        <v>226</v>
      </c>
      <c r="E259" s="42">
        <v>0.18079999999999999</v>
      </c>
      <c r="F259" s="42">
        <v>110</v>
      </c>
      <c r="G259" s="42">
        <v>23.142400000000002</v>
      </c>
      <c r="H259" s="42">
        <v>4.753180309734514</v>
      </c>
      <c r="I259" s="42">
        <v>1</v>
      </c>
      <c r="J259" s="42">
        <v>5.5309734513274336</v>
      </c>
      <c r="K259" s="42">
        <v>0.859375</v>
      </c>
      <c r="L259" s="42">
        <v>0.18079999999999999</v>
      </c>
      <c r="M259">
        <v>1</v>
      </c>
    </row>
    <row r="260" spans="3:13" x14ac:dyDescent="0.15">
      <c r="C260" s="43">
        <v>227</v>
      </c>
      <c r="D260" s="42">
        <v>227</v>
      </c>
      <c r="E260" s="42">
        <v>0.18160000000000001</v>
      </c>
      <c r="F260" s="42">
        <v>110</v>
      </c>
      <c r="G260" s="42">
        <v>23.244800000000001</v>
      </c>
      <c r="H260" s="42">
        <v>4.7322411894273122</v>
      </c>
      <c r="I260" s="42">
        <v>1</v>
      </c>
      <c r="J260" s="42">
        <v>5.5066079295154182</v>
      </c>
      <c r="K260" s="42">
        <v>0.859375</v>
      </c>
      <c r="L260" s="42">
        <v>0.18160000000000001</v>
      </c>
      <c r="M260">
        <v>1</v>
      </c>
    </row>
    <row r="261" spans="3:13" x14ac:dyDescent="0.15">
      <c r="C261" s="43">
        <v>228</v>
      </c>
      <c r="D261" s="42">
        <v>228</v>
      </c>
      <c r="E261" s="42">
        <v>0.18240000000000001</v>
      </c>
      <c r="F261" s="42">
        <v>110</v>
      </c>
      <c r="G261" s="42">
        <v>23.347200000000001</v>
      </c>
      <c r="H261" s="42">
        <v>4.7114857456140351</v>
      </c>
      <c r="I261" s="42">
        <v>1</v>
      </c>
      <c r="J261" s="42">
        <v>5.4824561403508767</v>
      </c>
      <c r="K261" s="42">
        <v>0.859375</v>
      </c>
      <c r="L261" s="42">
        <v>0.18240000000000001</v>
      </c>
      <c r="M261">
        <v>1</v>
      </c>
    </row>
    <row r="262" spans="3:13" x14ac:dyDescent="0.15">
      <c r="C262" s="43">
        <v>229</v>
      </c>
      <c r="D262" s="42">
        <v>229</v>
      </c>
      <c r="E262" s="42">
        <v>0.1832</v>
      </c>
      <c r="F262" s="42">
        <v>110</v>
      </c>
      <c r="G262" s="42">
        <v>23.4496</v>
      </c>
      <c r="H262" s="42">
        <v>4.6909115720524017</v>
      </c>
      <c r="I262" s="42">
        <v>1</v>
      </c>
      <c r="J262" s="42">
        <v>5.4585152838427948</v>
      </c>
      <c r="K262" s="42">
        <v>0.859375</v>
      </c>
      <c r="L262" s="42">
        <v>0.1832</v>
      </c>
      <c r="M262">
        <v>1</v>
      </c>
    </row>
    <row r="263" spans="3:13" x14ac:dyDescent="0.15">
      <c r="C263" s="43">
        <v>230</v>
      </c>
      <c r="D263" s="42">
        <v>230</v>
      </c>
      <c r="E263" s="42">
        <v>0.184</v>
      </c>
      <c r="F263" s="42">
        <v>110</v>
      </c>
      <c r="G263" s="42">
        <v>23.552</v>
      </c>
      <c r="H263" s="42">
        <v>4.6705163043478262</v>
      </c>
      <c r="I263" s="42">
        <v>1</v>
      </c>
      <c r="J263" s="42">
        <v>5.4347826086956523</v>
      </c>
      <c r="K263" s="42">
        <v>0.859375</v>
      </c>
      <c r="L263" s="42">
        <v>0.184</v>
      </c>
      <c r="M263">
        <v>1</v>
      </c>
    </row>
    <row r="264" spans="3:13" x14ac:dyDescent="0.15">
      <c r="C264" s="43">
        <v>231</v>
      </c>
      <c r="D264" s="42">
        <v>231</v>
      </c>
      <c r="E264" s="42">
        <v>0.18479999999999999</v>
      </c>
      <c r="F264" s="42">
        <v>111</v>
      </c>
      <c r="G264" s="42">
        <v>23.654400000000003</v>
      </c>
      <c r="H264" s="42">
        <v>4.6925730519480524</v>
      </c>
      <c r="I264" s="42">
        <v>1</v>
      </c>
      <c r="J264" s="42">
        <v>5.4112554112554117</v>
      </c>
      <c r="K264" s="42">
        <v>0.8671875</v>
      </c>
      <c r="L264" s="42">
        <v>0.18479999999999999</v>
      </c>
      <c r="M264">
        <v>1</v>
      </c>
    </row>
    <row r="265" spans="3:13" x14ac:dyDescent="0.15">
      <c r="C265" s="43">
        <v>232</v>
      </c>
      <c r="D265" s="42">
        <v>232</v>
      </c>
      <c r="E265" s="42">
        <v>0.18559999999999999</v>
      </c>
      <c r="F265" s="42">
        <v>111</v>
      </c>
      <c r="G265" s="42">
        <v>23.756800000000002</v>
      </c>
      <c r="H265" s="42">
        <v>4.6723464439655178</v>
      </c>
      <c r="I265" s="42">
        <v>1</v>
      </c>
      <c r="J265" s="42">
        <v>5.3879310344827589</v>
      </c>
      <c r="K265" s="42">
        <v>0.8671875</v>
      </c>
      <c r="L265" s="42">
        <v>0.18559999999999999</v>
      </c>
      <c r="M265">
        <v>1</v>
      </c>
    </row>
    <row r="266" spans="3:13" x14ac:dyDescent="0.15">
      <c r="C266" s="43">
        <v>233</v>
      </c>
      <c r="D266" s="42">
        <v>233</v>
      </c>
      <c r="E266" s="42">
        <v>0.18640000000000001</v>
      </c>
      <c r="F266" s="42">
        <v>111</v>
      </c>
      <c r="G266" s="42">
        <v>23.859200000000001</v>
      </c>
      <c r="H266" s="42">
        <v>4.6522934549356219</v>
      </c>
      <c r="I266" s="42">
        <v>1</v>
      </c>
      <c r="J266" s="42">
        <v>5.3648068669527893</v>
      </c>
      <c r="K266" s="42">
        <v>0.8671875</v>
      </c>
      <c r="L266" s="42">
        <v>0.18640000000000001</v>
      </c>
      <c r="M266">
        <v>1</v>
      </c>
    </row>
    <row r="267" spans="3:13" x14ac:dyDescent="0.15">
      <c r="C267" s="43">
        <v>234</v>
      </c>
      <c r="D267" s="42">
        <v>234</v>
      </c>
      <c r="E267" s="42">
        <v>0.18720000000000001</v>
      </c>
      <c r="F267" s="42">
        <v>111</v>
      </c>
      <c r="G267" s="42">
        <v>23.961600000000001</v>
      </c>
      <c r="H267" s="42">
        <v>4.6324118589743586</v>
      </c>
      <c r="I267" s="42">
        <v>1</v>
      </c>
      <c r="J267" s="42">
        <v>5.3418803418803416</v>
      </c>
      <c r="K267" s="42">
        <v>0.8671875</v>
      </c>
      <c r="L267" s="42">
        <v>0.18720000000000001</v>
      </c>
      <c r="M267">
        <v>1</v>
      </c>
    </row>
    <row r="268" spans="3:13" x14ac:dyDescent="0.15">
      <c r="C268" s="43">
        <v>235</v>
      </c>
      <c r="D268" s="42">
        <v>235</v>
      </c>
      <c r="E268" s="42">
        <v>0.188</v>
      </c>
      <c r="F268" s="42">
        <v>111</v>
      </c>
      <c r="G268" s="42">
        <v>24.064</v>
      </c>
      <c r="H268" s="42">
        <v>4.6126994680851068</v>
      </c>
      <c r="I268" s="42">
        <v>1</v>
      </c>
      <c r="J268" s="42">
        <v>5.3191489361702127</v>
      </c>
      <c r="K268" s="42">
        <v>0.8671875</v>
      </c>
      <c r="L268" s="42">
        <v>0.188</v>
      </c>
      <c r="M268">
        <v>1</v>
      </c>
    </row>
    <row r="269" spans="3:13" x14ac:dyDescent="0.15">
      <c r="C269" s="43">
        <v>236</v>
      </c>
      <c r="D269" s="42">
        <v>236</v>
      </c>
      <c r="E269" s="42">
        <v>0.1888</v>
      </c>
      <c r="F269" s="42">
        <v>111</v>
      </c>
      <c r="G269" s="42">
        <v>24.166399999999999</v>
      </c>
      <c r="H269" s="42">
        <v>4.5931541313559325</v>
      </c>
      <c r="I269" s="42">
        <v>1</v>
      </c>
      <c r="J269" s="42">
        <v>5.296610169491526</v>
      </c>
      <c r="K269" s="42">
        <v>0.8671875</v>
      </c>
      <c r="L269" s="42">
        <v>0.1888</v>
      </c>
      <c r="M269">
        <v>1</v>
      </c>
    </row>
    <row r="270" spans="3:13" x14ac:dyDescent="0.15">
      <c r="C270" s="43">
        <v>237</v>
      </c>
      <c r="D270" s="42">
        <v>237</v>
      </c>
      <c r="E270" s="42">
        <v>0.18959999999999999</v>
      </c>
      <c r="F270" s="42">
        <v>111</v>
      </c>
      <c r="G270" s="42">
        <v>24.268800000000002</v>
      </c>
      <c r="H270" s="42">
        <v>4.5737737341772151</v>
      </c>
      <c r="I270" s="42">
        <v>1</v>
      </c>
      <c r="J270" s="42">
        <v>5.2742616033755274</v>
      </c>
      <c r="K270" s="42">
        <v>0.8671875</v>
      </c>
      <c r="L270" s="42">
        <v>0.18959999999999999</v>
      </c>
      <c r="M270">
        <v>1</v>
      </c>
    </row>
    <row r="271" spans="3:13" x14ac:dyDescent="0.15">
      <c r="C271" s="43">
        <v>238</v>
      </c>
      <c r="D271" s="42">
        <v>238</v>
      </c>
      <c r="E271" s="42">
        <v>0.19040000000000001</v>
      </c>
      <c r="F271" s="42">
        <v>111</v>
      </c>
      <c r="G271" s="42">
        <v>24.371200000000002</v>
      </c>
      <c r="H271" s="42">
        <v>4.5545561974789912</v>
      </c>
      <c r="I271" s="42">
        <v>1</v>
      </c>
      <c r="J271" s="42">
        <v>5.2521008403361344</v>
      </c>
      <c r="K271" s="42">
        <v>0.8671875</v>
      </c>
      <c r="L271" s="42">
        <v>0.19040000000000001</v>
      </c>
      <c r="M271">
        <v>1</v>
      </c>
    </row>
    <row r="272" spans="3:13" x14ac:dyDescent="0.15">
      <c r="C272" s="43">
        <v>239</v>
      </c>
      <c r="D272" s="42">
        <v>239</v>
      </c>
      <c r="E272" s="42">
        <v>0.19120000000000001</v>
      </c>
      <c r="F272" s="42">
        <v>111</v>
      </c>
      <c r="G272" s="42">
        <v>24.473600000000001</v>
      </c>
      <c r="H272" s="42">
        <v>4.5354994769874475</v>
      </c>
      <c r="I272" s="42">
        <v>1</v>
      </c>
      <c r="J272" s="42">
        <v>5.2301255230125516</v>
      </c>
      <c r="K272" s="42">
        <v>0.8671875</v>
      </c>
      <c r="L272" s="42">
        <v>0.19120000000000001</v>
      </c>
      <c r="M272">
        <v>1</v>
      </c>
    </row>
    <row r="273" spans="3:13" x14ac:dyDescent="0.15">
      <c r="C273" s="43">
        <v>240</v>
      </c>
      <c r="D273" s="42">
        <v>240</v>
      </c>
      <c r="E273" s="42">
        <v>0.192</v>
      </c>
      <c r="F273" s="42">
        <v>111</v>
      </c>
      <c r="G273" s="42">
        <v>24.576000000000001</v>
      </c>
      <c r="H273" s="42">
        <v>4.5166015625</v>
      </c>
      <c r="I273" s="42">
        <v>1</v>
      </c>
      <c r="J273" s="42">
        <v>5.208333333333333</v>
      </c>
      <c r="K273" s="42">
        <v>0.8671875</v>
      </c>
      <c r="L273" s="42">
        <v>0.192</v>
      </c>
      <c r="M273">
        <v>1</v>
      </c>
    </row>
    <row r="274" spans="3:13" x14ac:dyDescent="0.15">
      <c r="C274" s="43">
        <v>241</v>
      </c>
      <c r="D274" s="42">
        <v>241</v>
      </c>
      <c r="E274" s="42">
        <v>0.1928</v>
      </c>
      <c r="F274" s="42">
        <v>111</v>
      </c>
      <c r="G274" s="42">
        <v>24.6784</v>
      </c>
      <c r="H274" s="42">
        <v>4.4978604771784232</v>
      </c>
      <c r="I274" s="42">
        <v>1</v>
      </c>
      <c r="J274" s="42">
        <v>5.186721991701245</v>
      </c>
      <c r="K274" s="42">
        <v>0.8671875</v>
      </c>
      <c r="L274" s="42">
        <v>0.1928</v>
      </c>
      <c r="M274">
        <v>1</v>
      </c>
    </row>
    <row r="275" spans="3:13" x14ac:dyDescent="0.15">
      <c r="C275" s="43">
        <v>242</v>
      </c>
      <c r="D275" s="42">
        <v>242</v>
      </c>
      <c r="E275" s="42">
        <v>0.19359999999999999</v>
      </c>
      <c r="F275" s="42">
        <v>111</v>
      </c>
      <c r="G275" s="42">
        <v>24.780800000000003</v>
      </c>
      <c r="H275" s="42">
        <v>4.4792742768595044</v>
      </c>
      <c r="I275" s="42">
        <v>1</v>
      </c>
      <c r="J275" s="42">
        <v>5.1652892561983474</v>
      </c>
      <c r="K275" s="42">
        <v>0.8671875</v>
      </c>
      <c r="L275" s="42">
        <v>0.19359999999999999</v>
      </c>
      <c r="M275">
        <v>1</v>
      </c>
    </row>
    <row r="276" spans="3:13" x14ac:dyDescent="0.15">
      <c r="C276" s="43">
        <v>243</v>
      </c>
      <c r="D276" s="42">
        <v>243</v>
      </c>
      <c r="E276" s="42">
        <v>0.19439999999999999</v>
      </c>
      <c r="F276" s="42">
        <v>111</v>
      </c>
      <c r="G276" s="42">
        <v>24.883200000000002</v>
      </c>
      <c r="H276" s="42">
        <v>4.460841049382716</v>
      </c>
      <c r="I276" s="42">
        <v>1</v>
      </c>
      <c r="J276" s="42">
        <v>5.1440329218106999</v>
      </c>
      <c r="K276" s="42">
        <v>0.8671875</v>
      </c>
      <c r="L276" s="42">
        <v>0.19439999999999999</v>
      </c>
      <c r="M276">
        <v>1</v>
      </c>
    </row>
    <row r="277" spans="3:13" x14ac:dyDescent="0.15">
      <c r="C277" s="43">
        <v>244</v>
      </c>
      <c r="D277" s="42">
        <v>244</v>
      </c>
      <c r="E277" s="42">
        <v>0.19520000000000001</v>
      </c>
      <c r="F277" s="42">
        <v>111</v>
      </c>
      <c r="G277" s="42">
        <v>24.985600000000002</v>
      </c>
      <c r="H277" s="42">
        <v>4.4425589139344259</v>
      </c>
      <c r="I277" s="42">
        <v>1</v>
      </c>
      <c r="J277" s="42">
        <v>5.1229508196721305</v>
      </c>
      <c r="K277" s="42">
        <v>0.8671875</v>
      </c>
      <c r="L277" s="42">
        <v>0.19520000000000001</v>
      </c>
      <c r="M277">
        <v>1</v>
      </c>
    </row>
    <row r="278" spans="3:13" x14ac:dyDescent="0.15">
      <c r="C278" s="43">
        <v>245</v>
      </c>
      <c r="D278" s="42">
        <v>245</v>
      </c>
      <c r="E278" s="42">
        <v>0.19600000000000001</v>
      </c>
      <c r="F278" s="42">
        <v>111</v>
      </c>
      <c r="G278" s="42">
        <v>25.088000000000001</v>
      </c>
      <c r="H278" s="42">
        <v>4.4244260204081627</v>
      </c>
      <c r="I278" s="42">
        <v>1</v>
      </c>
      <c r="J278" s="42">
        <v>5.1020408163265305</v>
      </c>
      <c r="K278" s="42">
        <v>0.8671875</v>
      </c>
      <c r="L278" s="42">
        <v>0.19600000000000001</v>
      </c>
      <c r="M278">
        <v>1</v>
      </c>
    </row>
    <row r="279" spans="3:13" x14ac:dyDescent="0.15">
      <c r="C279" s="43">
        <v>246</v>
      </c>
      <c r="D279" s="42">
        <v>246</v>
      </c>
      <c r="E279" s="42">
        <v>0.1968</v>
      </c>
      <c r="F279" s="42">
        <v>111</v>
      </c>
      <c r="G279" s="42">
        <v>25.1904</v>
      </c>
      <c r="H279" s="42">
        <v>4.4064405487804876</v>
      </c>
      <c r="I279" s="42">
        <v>1</v>
      </c>
      <c r="J279" s="42">
        <v>5.0813008130081299</v>
      </c>
      <c r="K279" s="42">
        <v>0.8671875</v>
      </c>
      <c r="L279" s="42">
        <v>0.1968</v>
      </c>
      <c r="M279">
        <v>1</v>
      </c>
    </row>
    <row r="280" spans="3:13" x14ac:dyDescent="0.15">
      <c r="C280" s="43">
        <v>247</v>
      </c>
      <c r="D280" s="42">
        <v>247</v>
      </c>
      <c r="E280" s="42">
        <v>0.1976</v>
      </c>
      <c r="F280" s="42">
        <v>111</v>
      </c>
      <c r="G280" s="42">
        <v>25.2928</v>
      </c>
      <c r="H280" s="42">
        <v>4.3886007085020244</v>
      </c>
      <c r="I280" s="42">
        <v>1</v>
      </c>
      <c r="J280" s="42">
        <v>5.0607287449392713</v>
      </c>
      <c r="K280" s="42">
        <v>0.8671875</v>
      </c>
      <c r="L280" s="42">
        <v>0.1976</v>
      </c>
      <c r="M280">
        <v>1</v>
      </c>
    </row>
    <row r="281" spans="3:13" x14ac:dyDescent="0.15">
      <c r="C281" s="43">
        <v>248</v>
      </c>
      <c r="D281" s="42">
        <v>248</v>
      </c>
      <c r="E281" s="42">
        <v>0.19839999999999999</v>
      </c>
      <c r="F281" s="42">
        <v>111</v>
      </c>
      <c r="G281" s="42">
        <v>25.395200000000003</v>
      </c>
      <c r="H281" s="42">
        <v>4.370904737903226</v>
      </c>
      <c r="I281" s="42">
        <v>1</v>
      </c>
      <c r="J281" s="42">
        <v>5.040322580645161</v>
      </c>
      <c r="K281" s="42">
        <v>0.8671875</v>
      </c>
      <c r="L281" s="42">
        <v>0.19839999999999999</v>
      </c>
      <c r="M281">
        <v>1</v>
      </c>
    </row>
    <row r="282" spans="3:13" x14ac:dyDescent="0.15">
      <c r="C282" s="43">
        <v>249</v>
      </c>
      <c r="D282" s="42">
        <v>249</v>
      </c>
      <c r="E282" s="42">
        <v>0.19919999999999999</v>
      </c>
      <c r="F282" s="42">
        <v>112</v>
      </c>
      <c r="G282" s="42">
        <v>25.497600000000002</v>
      </c>
      <c r="H282" s="42">
        <v>4.392570281124498</v>
      </c>
      <c r="I282" s="42">
        <v>1</v>
      </c>
      <c r="J282" s="42">
        <v>5.0200803212851408</v>
      </c>
      <c r="K282" s="42">
        <v>0.875</v>
      </c>
      <c r="L282" s="42">
        <v>0.19919999999999999</v>
      </c>
      <c r="M282">
        <v>1</v>
      </c>
    </row>
    <row r="283" spans="3:13" x14ac:dyDescent="0.15">
      <c r="C283" s="43">
        <v>250</v>
      </c>
      <c r="D283" s="42">
        <v>250</v>
      </c>
      <c r="E283" s="42">
        <v>0.2</v>
      </c>
      <c r="F283" s="42">
        <v>112</v>
      </c>
      <c r="G283" s="42">
        <v>25.6</v>
      </c>
      <c r="H283" s="42">
        <v>4.375</v>
      </c>
      <c r="I283" s="42">
        <v>1</v>
      </c>
      <c r="J283" s="42">
        <v>5</v>
      </c>
      <c r="K283" s="42">
        <v>0.875</v>
      </c>
      <c r="L283" s="42">
        <v>0.2</v>
      </c>
      <c r="M283">
        <v>1</v>
      </c>
    </row>
    <row r="284" spans="3:13" x14ac:dyDescent="0.15">
      <c r="C284" s="43">
        <v>251</v>
      </c>
      <c r="D284" s="42">
        <v>251</v>
      </c>
      <c r="E284" s="42">
        <v>0.20080000000000001</v>
      </c>
      <c r="F284" s="42">
        <v>112</v>
      </c>
      <c r="G284" s="42">
        <v>25.702400000000001</v>
      </c>
      <c r="H284" s="42">
        <v>4.3575697211155378</v>
      </c>
      <c r="I284" s="42">
        <v>1</v>
      </c>
      <c r="J284" s="42">
        <v>4.9800796812749004</v>
      </c>
      <c r="K284" s="42">
        <v>0.875</v>
      </c>
      <c r="L284" s="42">
        <v>0.20080000000000001</v>
      </c>
      <c r="M284">
        <v>1</v>
      </c>
    </row>
    <row r="285" spans="3:13" x14ac:dyDescent="0.15">
      <c r="C285" s="43">
        <v>252</v>
      </c>
      <c r="D285" s="42">
        <v>252</v>
      </c>
      <c r="E285" s="42">
        <v>0.2016</v>
      </c>
      <c r="F285" s="42">
        <v>112</v>
      </c>
      <c r="G285" s="42">
        <v>25.8048</v>
      </c>
      <c r="H285" s="42">
        <v>4.3402777777777777</v>
      </c>
      <c r="I285" s="42">
        <v>1</v>
      </c>
      <c r="J285" s="42">
        <v>4.9603174603174605</v>
      </c>
      <c r="K285" s="42">
        <v>0.875</v>
      </c>
      <c r="L285" s="42">
        <v>0.2016</v>
      </c>
      <c r="M285">
        <v>1</v>
      </c>
    </row>
    <row r="286" spans="3:13" x14ac:dyDescent="0.15">
      <c r="C286" s="43">
        <v>253</v>
      </c>
      <c r="D286" s="42">
        <v>253</v>
      </c>
      <c r="E286" s="42">
        <v>0.2024</v>
      </c>
      <c r="F286" s="42">
        <v>112</v>
      </c>
      <c r="G286" s="42">
        <v>25.9072</v>
      </c>
      <c r="H286" s="42">
        <v>4.3231225296442686</v>
      </c>
      <c r="I286" s="42">
        <v>1</v>
      </c>
      <c r="J286" s="42">
        <v>4.9407114624505928</v>
      </c>
      <c r="K286" s="42">
        <v>0.875</v>
      </c>
      <c r="L286" s="42">
        <v>0.2024</v>
      </c>
      <c r="M286">
        <v>1</v>
      </c>
    </row>
    <row r="287" spans="3:13" x14ac:dyDescent="0.15">
      <c r="C287" s="43">
        <v>254</v>
      </c>
      <c r="D287" s="42">
        <v>254</v>
      </c>
      <c r="E287" s="42">
        <v>0.20319999999999999</v>
      </c>
      <c r="F287" s="42">
        <v>112</v>
      </c>
      <c r="G287" s="42">
        <v>26.009600000000002</v>
      </c>
      <c r="H287" s="42">
        <v>4.306102362204725</v>
      </c>
      <c r="I287" s="42">
        <v>1</v>
      </c>
      <c r="J287" s="42">
        <v>4.9212598425196852</v>
      </c>
      <c r="K287" s="42">
        <v>0.875</v>
      </c>
      <c r="L287" s="42">
        <v>0.20319999999999999</v>
      </c>
      <c r="M287">
        <v>1</v>
      </c>
    </row>
    <row r="288" spans="3:13" x14ac:dyDescent="0.15">
      <c r="C288" s="43">
        <v>255</v>
      </c>
      <c r="D288" s="42">
        <v>255</v>
      </c>
      <c r="E288" s="42">
        <v>0.20399999999999999</v>
      </c>
      <c r="F288" s="42">
        <v>112</v>
      </c>
      <c r="G288" s="42">
        <v>26.112000000000002</v>
      </c>
      <c r="H288" s="42">
        <v>4.2892156862745097</v>
      </c>
      <c r="I288" s="42">
        <v>1</v>
      </c>
      <c r="J288" s="42">
        <v>4.9019607843137258</v>
      </c>
      <c r="K288" s="42">
        <v>0.875</v>
      </c>
      <c r="L288" s="42">
        <v>0.20399999999999999</v>
      </c>
      <c r="M288">
        <v>1</v>
      </c>
    </row>
    <row r="289" spans="3:13" x14ac:dyDescent="0.15">
      <c r="C289" s="43">
        <v>256</v>
      </c>
      <c r="D289" s="42">
        <v>256</v>
      </c>
      <c r="E289" s="42">
        <v>0.20480000000000001</v>
      </c>
      <c r="F289" s="42">
        <v>113</v>
      </c>
      <c r="G289" s="42">
        <v>26.214400000000001</v>
      </c>
      <c r="H289" s="42">
        <v>4.31060791015625</v>
      </c>
      <c r="I289" s="42">
        <v>1</v>
      </c>
      <c r="J289" s="42">
        <v>4.8828125</v>
      </c>
      <c r="K289" s="42">
        <v>0.8828125</v>
      </c>
      <c r="L289" s="42">
        <v>0.20480000000000001</v>
      </c>
      <c r="M289">
        <v>1</v>
      </c>
    </row>
    <row r="290" spans="3:13" x14ac:dyDescent="0.15">
      <c r="C290" s="43">
        <v>257</v>
      </c>
      <c r="D290" s="42">
        <v>257</v>
      </c>
      <c r="E290" s="42">
        <v>0.2056</v>
      </c>
      <c r="F290" s="42">
        <v>113</v>
      </c>
      <c r="G290" s="42">
        <v>26.316800000000001</v>
      </c>
      <c r="H290" s="42">
        <v>4.2938351167315174</v>
      </c>
      <c r="I290" s="42">
        <v>1</v>
      </c>
      <c r="J290" s="42">
        <v>4.863813229571984</v>
      </c>
      <c r="K290" s="42">
        <v>0.8828125</v>
      </c>
      <c r="L290" s="42">
        <v>0.2056</v>
      </c>
      <c r="M290">
        <v>1</v>
      </c>
    </row>
    <row r="291" spans="3:13" x14ac:dyDescent="0.15">
      <c r="C291" s="43">
        <v>258</v>
      </c>
      <c r="D291" s="42">
        <v>258</v>
      </c>
      <c r="E291" s="42">
        <v>0.2064</v>
      </c>
      <c r="F291" s="42">
        <v>113</v>
      </c>
      <c r="G291" s="42">
        <v>26.4192</v>
      </c>
      <c r="H291" s="42">
        <v>4.2771923449612403</v>
      </c>
      <c r="I291" s="42">
        <v>1</v>
      </c>
      <c r="J291" s="42">
        <v>4.8449612403100772</v>
      </c>
      <c r="K291" s="42">
        <v>0.8828125</v>
      </c>
      <c r="L291" s="42">
        <v>0.2064</v>
      </c>
      <c r="M291">
        <v>1</v>
      </c>
    </row>
    <row r="292" spans="3:13" x14ac:dyDescent="0.15">
      <c r="C292" s="43">
        <v>259</v>
      </c>
      <c r="D292" s="42">
        <v>259</v>
      </c>
      <c r="E292" s="42">
        <v>0.2072</v>
      </c>
      <c r="F292" s="42">
        <v>113</v>
      </c>
      <c r="G292" s="42">
        <v>26.521600000000003</v>
      </c>
      <c r="H292" s="42">
        <v>4.2606780888030888</v>
      </c>
      <c r="I292" s="42">
        <v>1</v>
      </c>
      <c r="J292" s="42">
        <v>4.8262548262548259</v>
      </c>
      <c r="K292" s="42">
        <v>0.8828125</v>
      </c>
      <c r="L292" s="42">
        <v>0.2072</v>
      </c>
      <c r="M292">
        <v>1</v>
      </c>
    </row>
    <row r="293" spans="3:13" x14ac:dyDescent="0.15">
      <c r="C293" s="43">
        <v>260</v>
      </c>
      <c r="D293" s="42">
        <v>260</v>
      </c>
      <c r="E293" s="42">
        <v>0.20799999999999999</v>
      </c>
      <c r="F293" s="42">
        <v>113</v>
      </c>
      <c r="G293" s="42">
        <v>26.624000000000002</v>
      </c>
      <c r="H293" s="42">
        <v>4.2442908653846159</v>
      </c>
      <c r="I293" s="42">
        <v>1</v>
      </c>
      <c r="J293" s="42">
        <v>4.8076923076923075</v>
      </c>
      <c r="K293" s="42">
        <v>0.8828125</v>
      </c>
      <c r="L293" s="42">
        <v>0.20799999999999999</v>
      </c>
      <c r="M293">
        <v>1</v>
      </c>
    </row>
    <row r="294" spans="3:13" x14ac:dyDescent="0.15">
      <c r="C294" s="43">
        <v>261</v>
      </c>
      <c r="D294" s="42">
        <v>261</v>
      </c>
      <c r="E294" s="42">
        <v>0.20880000000000001</v>
      </c>
      <c r="F294" s="42">
        <v>113</v>
      </c>
      <c r="G294" s="42">
        <v>26.726400000000002</v>
      </c>
      <c r="H294" s="42">
        <v>4.2280292145593865</v>
      </c>
      <c r="I294" s="42">
        <v>1</v>
      </c>
      <c r="J294" s="42">
        <v>4.7892720306513406</v>
      </c>
      <c r="K294" s="42">
        <v>0.8828125</v>
      </c>
      <c r="L294" s="42">
        <v>0.20880000000000001</v>
      </c>
      <c r="M294">
        <v>1</v>
      </c>
    </row>
    <row r="295" spans="3:13" x14ac:dyDescent="0.15">
      <c r="C295" s="43">
        <v>262</v>
      </c>
      <c r="D295" s="42">
        <v>262</v>
      </c>
      <c r="E295" s="42">
        <v>0.20960000000000001</v>
      </c>
      <c r="F295" s="42">
        <v>113</v>
      </c>
      <c r="G295" s="42">
        <v>26.828800000000001</v>
      </c>
      <c r="H295" s="42">
        <v>4.2118916984732824</v>
      </c>
      <c r="I295" s="42">
        <v>1</v>
      </c>
      <c r="J295" s="42">
        <v>4.7709923664122131</v>
      </c>
      <c r="K295" s="42">
        <v>0.8828125</v>
      </c>
      <c r="L295" s="42">
        <v>0.20960000000000001</v>
      </c>
      <c r="M295">
        <v>1</v>
      </c>
    </row>
    <row r="296" spans="3:13" x14ac:dyDescent="0.15">
      <c r="C296" s="43">
        <v>263</v>
      </c>
      <c r="D296" s="42">
        <v>263</v>
      </c>
      <c r="E296" s="42">
        <v>0.2104</v>
      </c>
      <c r="F296" s="42">
        <v>113</v>
      </c>
      <c r="G296" s="42">
        <v>26.9312</v>
      </c>
      <c r="H296" s="42">
        <v>4.195876901140684</v>
      </c>
      <c r="I296" s="42">
        <v>1</v>
      </c>
      <c r="J296" s="42">
        <v>4.752851711026616</v>
      </c>
      <c r="K296" s="42">
        <v>0.8828125</v>
      </c>
      <c r="L296" s="42">
        <v>0.2104</v>
      </c>
      <c r="M296">
        <v>1</v>
      </c>
    </row>
    <row r="297" spans="3:13" x14ac:dyDescent="0.15">
      <c r="C297" s="43">
        <v>264</v>
      </c>
      <c r="D297" s="42">
        <v>264</v>
      </c>
      <c r="E297" s="42">
        <v>0.2112</v>
      </c>
      <c r="F297" s="42">
        <v>113</v>
      </c>
      <c r="G297" s="42">
        <v>27.0336</v>
      </c>
      <c r="H297" s="42">
        <v>4.1799834280303028</v>
      </c>
      <c r="I297" s="42">
        <v>1</v>
      </c>
      <c r="J297" s="42">
        <v>4.7348484848484853</v>
      </c>
      <c r="K297" s="42">
        <v>0.8828125</v>
      </c>
      <c r="L297" s="42">
        <v>0.2112</v>
      </c>
      <c r="M297">
        <v>1</v>
      </c>
    </row>
    <row r="298" spans="3:13" x14ac:dyDescent="0.15">
      <c r="C298" s="43">
        <v>265</v>
      </c>
      <c r="D298" s="42">
        <v>265</v>
      </c>
      <c r="E298" s="42">
        <v>0.21199999999999999</v>
      </c>
      <c r="F298" s="42">
        <v>113</v>
      </c>
      <c r="G298" s="42">
        <v>27.136000000000003</v>
      </c>
      <c r="H298" s="42">
        <v>4.1642099056603774</v>
      </c>
      <c r="I298" s="42">
        <v>1</v>
      </c>
      <c r="J298" s="42">
        <v>4.716981132075472</v>
      </c>
      <c r="K298" s="42">
        <v>0.8828125</v>
      </c>
      <c r="L298" s="42">
        <v>0.21199999999999999</v>
      </c>
      <c r="M298">
        <v>1</v>
      </c>
    </row>
    <row r="299" spans="3:13" x14ac:dyDescent="0.15">
      <c r="C299" s="43">
        <v>266</v>
      </c>
      <c r="D299" s="42">
        <v>266</v>
      </c>
      <c r="E299" s="42">
        <v>0.21279999999999999</v>
      </c>
      <c r="F299" s="42">
        <v>114</v>
      </c>
      <c r="G299" s="42">
        <v>27.238400000000002</v>
      </c>
      <c r="H299" s="42">
        <v>4.1852678571428577</v>
      </c>
      <c r="I299" s="42">
        <v>1</v>
      </c>
      <c r="J299" s="42">
        <v>4.6992481203007523</v>
      </c>
      <c r="K299" s="42">
        <v>0.890625</v>
      </c>
      <c r="L299" s="42">
        <v>0.21279999999999999</v>
      </c>
      <c r="M299">
        <v>1</v>
      </c>
    </row>
    <row r="300" spans="3:13" x14ac:dyDescent="0.15">
      <c r="C300" s="43">
        <v>267</v>
      </c>
      <c r="D300" s="42">
        <v>267</v>
      </c>
      <c r="E300" s="42">
        <v>0.21360000000000001</v>
      </c>
      <c r="F300" s="42">
        <v>114</v>
      </c>
      <c r="G300" s="42">
        <v>27.340800000000002</v>
      </c>
      <c r="H300" s="42">
        <v>4.1695926966292136</v>
      </c>
      <c r="I300" s="42">
        <v>1</v>
      </c>
      <c r="J300" s="42">
        <v>4.6816479400749058</v>
      </c>
      <c r="K300" s="42">
        <v>0.890625</v>
      </c>
      <c r="L300" s="42">
        <v>0.21360000000000001</v>
      </c>
      <c r="M300">
        <v>1</v>
      </c>
    </row>
    <row r="301" spans="3:13" x14ac:dyDescent="0.15">
      <c r="C301" s="43">
        <v>268</v>
      </c>
      <c r="D301" s="42">
        <v>268</v>
      </c>
      <c r="E301" s="42">
        <v>0.21440000000000001</v>
      </c>
      <c r="F301" s="42">
        <v>114</v>
      </c>
      <c r="G301" s="42">
        <v>27.443200000000001</v>
      </c>
      <c r="H301" s="42">
        <v>4.1540345149253728</v>
      </c>
      <c r="I301" s="42">
        <v>1</v>
      </c>
      <c r="J301" s="42">
        <v>4.6641791044776122</v>
      </c>
      <c r="K301" s="42">
        <v>0.890625</v>
      </c>
      <c r="L301" s="42">
        <v>0.21440000000000001</v>
      </c>
      <c r="M301">
        <v>1</v>
      </c>
    </row>
    <row r="302" spans="3:13" x14ac:dyDescent="0.15">
      <c r="C302" s="43">
        <v>269</v>
      </c>
      <c r="D302" s="42">
        <v>269</v>
      </c>
      <c r="E302" s="42">
        <v>0.2152</v>
      </c>
      <c r="F302" s="42">
        <v>114</v>
      </c>
      <c r="G302" s="42">
        <v>27.5456</v>
      </c>
      <c r="H302" s="42">
        <v>4.1385920074349443</v>
      </c>
      <c r="I302" s="42">
        <v>1</v>
      </c>
      <c r="J302" s="42">
        <v>4.6468401486988844</v>
      </c>
      <c r="K302" s="42">
        <v>0.890625</v>
      </c>
      <c r="L302" s="42">
        <v>0.2152</v>
      </c>
      <c r="M302">
        <v>1</v>
      </c>
    </row>
    <row r="303" spans="3:13" x14ac:dyDescent="0.15">
      <c r="C303" s="43">
        <v>270</v>
      </c>
      <c r="D303" s="42">
        <v>270</v>
      </c>
      <c r="E303" s="42">
        <v>0.216</v>
      </c>
      <c r="F303" s="42">
        <v>114</v>
      </c>
      <c r="G303" s="42">
        <v>27.648</v>
      </c>
      <c r="H303" s="42">
        <v>4.1232638888888893</v>
      </c>
      <c r="I303" s="42">
        <v>1</v>
      </c>
      <c r="J303" s="42">
        <v>4.6296296296296298</v>
      </c>
      <c r="K303" s="42">
        <v>0.890625</v>
      </c>
      <c r="L303" s="42">
        <v>0.216</v>
      </c>
      <c r="M303">
        <v>1</v>
      </c>
    </row>
    <row r="304" spans="3:13" x14ac:dyDescent="0.15">
      <c r="C304" s="43">
        <v>271</v>
      </c>
      <c r="D304" s="42">
        <v>271</v>
      </c>
      <c r="E304" s="42">
        <v>0.21679999999999999</v>
      </c>
      <c r="F304" s="42">
        <v>115</v>
      </c>
      <c r="G304" s="42">
        <v>27.750400000000003</v>
      </c>
      <c r="H304" s="42">
        <v>4.1440844095940959</v>
      </c>
      <c r="I304" s="42">
        <v>1</v>
      </c>
      <c r="J304" s="42">
        <v>4.6125461254612548</v>
      </c>
      <c r="K304" s="42">
        <v>0.8984375</v>
      </c>
      <c r="L304" s="42">
        <v>0.21679999999999999</v>
      </c>
      <c r="M304">
        <v>1</v>
      </c>
    </row>
    <row r="305" spans="3:13" x14ac:dyDescent="0.15">
      <c r="C305" s="43">
        <v>272</v>
      </c>
      <c r="D305" s="42">
        <v>272</v>
      </c>
      <c r="E305" s="42">
        <v>0.21759999999999999</v>
      </c>
      <c r="F305" s="42">
        <v>115</v>
      </c>
      <c r="G305" s="42">
        <v>27.852800000000002</v>
      </c>
      <c r="H305" s="42">
        <v>4.1288488051470589</v>
      </c>
      <c r="I305" s="42">
        <v>1</v>
      </c>
      <c r="J305" s="42">
        <v>4.5955882352941178</v>
      </c>
      <c r="K305" s="42">
        <v>0.8984375</v>
      </c>
      <c r="L305" s="42">
        <v>0.21759999999999999</v>
      </c>
      <c r="M305">
        <v>1</v>
      </c>
    </row>
    <row r="306" spans="3:13" x14ac:dyDescent="0.15">
      <c r="C306" s="43">
        <v>273</v>
      </c>
      <c r="D306" s="42">
        <v>273</v>
      </c>
      <c r="E306" s="42">
        <v>0.21840000000000001</v>
      </c>
      <c r="F306" s="42">
        <v>115</v>
      </c>
      <c r="G306" s="42">
        <v>27.955200000000001</v>
      </c>
      <c r="H306" s="42">
        <v>4.1137248168498166</v>
      </c>
      <c r="I306" s="42">
        <v>1</v>
      </c>
      <c r="J306" s="42">
        <v>4.5787545787545785</v>
      </c>
      <c r="K306" s="42">
        <v>0.8984375</v>
      </c>
      <c r="L306" s="42">
        <v>0.21840000000000001</v>
      </c>
      <c r="M306">
        <v>1</v>
      </c>
    </row>
    <row r="307" spans="3:13" x14ac:dyDescent="0.15">
      <c r="C307" s="43">
        <v>274</v>
      </c>
      <c r="D307" s="42">
        <v>274</v>
      </c>
      <c r="E307" s="42">
        <v>0.21920000000000001</v>
      </c>
      <c r="F307" s="42">
        <v>115</v>
      </c>
      <c r="G307" s="42">
        <v>28.057600000000001</v>
      </c>
      <c r="H307" s="42">
        <v>4.0987112226277373</v>
      </c>
      <c r="I307" s="42">
        <v>1</v>
      </c>
      <c r="J307" s="42">
        <v>4.562043795620438</v>
      </c>
      <c r="K307" s="42">
        <v>0.8984375</v>
      </c>
      <c r="L307" s="42">
        <v>0.21920000000000001</v>
      </c>
      <c r="M307">
        <v>1</v>
      </c>
    </row>
    <row r="308" spans="3:13" x14ac:dyDescent="0.15">
      <c r="C308" s="43">
        <v>275</v>
      </c>
      <c r="D308" s="42">
        <v>275</v>
      </c>
      <c r="E308" s="42">
        <v>0.22</v>
      </c>
      <c r="F308" s="42">
        <v>115</v>
      </c>
      <c r="G308" s="42">
        <v>28.16</v>
      </c>
      <c r="H308" s="42">
        <v>4.0838068181818183</v>
      </c>
      <c r="I308" s="42">
        <v>1</v>
      </c>
      <c r="J308" s="42">
        <v>4.5454545454545459</v>
      </c>
      <c r="K308" s="42">
        <v>0.8984375</v>
      </c>
      <c r="L308" s="42">
        <v>0.22</v>
      </c>
      <c r="M308">
        <v>1</v>
      </c>
    </row>
    <row r="309" spans="3:13" x14ac:dyDescent="0.15">
      <c r="C309" s="43">
        <v>276</v>
      </c>
      <c r="D309" s="42">
        <v>276</v>
      </c>
      <c r="E309" s="42">
        <v>0.2208</v>
      </c>
      <c r="F309" s="42">
        <v>116</v>
      </c>
      <c r="G309" s="42">
        <v>28.262400000000003</v>
      </c>
      <c r="H309" s="42">
        <v>4.1043931159420293</v>
      </c>
      <c r="I309" s="42">
        <v>1</v>
      </c>
      <c r="J309" s="42">
        <v>4.5289855072463769</v>
      </c>
      <c r="K309" s="42">
        <v>0.90625</v>
      </c>
      <c r="L309" s="42">
        <v>0.2208</v>
      </c>
      <c r="M309">
        <v>1</v>
      </c>
    </row>
    <row r="310" spans="3:13" x14ac:dyDescent="0.15">
      <c r="C310" s="43">
        <v>277</v>
      </c>
      <c r="D310" s="42">
        <v>277</v>
      </c>
      <c r="E310" s="42">
        <v>0.22159999999999999</v>
      </c>
      <c r="F310" s="42">
        <v>116</v>
      </c>
      <c r="G310" s="42">
        <v>28.364800000000002</v>
      </c>
      <c r="H310" s="42">
        <v>4.0895758122743686</v>
      </c>
      <c r="I310" s="42">
        <v>1</v>
      </c>
      <c r="J310" s="42">
        <v>4.512635379061372</v>
      </c>
      <c r="K310" s="42">
        <v>0.90625</v>
      </c>
      <c r="L310" s="42">
        <v>0.22159999999999999</v>
      </c>
      <c r="M310">
        <v>1</v>
      </c>
    </row>
    <row r="311" spans="3:13" x14ac:dyDescent="0.15">
      <c r="C311" s="43">
        <v>278</v>
      </c>
      <c r="D311" s="42">
        <v>278</v>
      </c>
      <c r="E311" s="42">
        <v>0.22239999999999999</v>
      </c>
      <c r="F311" s="42">
        <v>116</v>
      </c>
      <c r="G311" s="42">
        <v>28.467200000000002</v>
      </c>
      <c r="H311" s="42">
        <v>4.0748651079136691</v>
      </c>
      <c r="I311" s="42">
        <v>1</v>
      </c>
      <c r="J311" s="42">
        <v>4.4964028776978422</v>
      </c>
      <c r="K311" s="42">
        <v>0.90625</v>
      </c>
      <c r="L311" s="42">
        <v>0.22239999999999999</v>
      </c>
      <c r="M311">
        <v>1</v>
      </c>
    </row>
    <row r="312" spans="3:13" x14ac:dyDescent="0.15">
      <c r="C312" s="43">
        <v>279</v>
      </c>
      <c r="D312" s="42">
        <v>279</v>
      </c>
      <c r="E312" s="42">
        <v>0.22320000000000001</v>
      </c>
      <c r="F312" s="42">
        <v>116</v>
      </c>
      <c r="G312" s="42">
        <v>28.569600000000001</v>
      </c>
      <c r="H312" s="42">
        <v>4.0602598566308243</v>
      </c>
      <c r="I312" s="42">
        <v>1</v>
      </c>
      <c r="J312" s="42">
        <v>4.4802867383512543</v>
      </c>
      <c r="K312" s="42">
        <v>0.90625</v>
      </c>
      <c r="L312" s="42">
        <v>0.22320000000000001</v>
      </c>
      <c r="M312">
        <v>1</v>
      </c>
    </row>
    <row r="313" spans="3:13" x14ac:dyDescent="0.15">
      <c r="C313" s="43">
        <v>280</v>
      </c>
      <c r="D313" s="42">
        <v>280</v>
      </c>
      <c r="E313" s="42">
        <v>0.224</v>
      </c>
      <c r="F313" s="42">
        <v>116</v>
      </c>
      <c r="G313" s="42">
        <v>28.672000000000001</v>
      </c>
      <c r="H313" s="42">
        <v>4.0457589285714288</v>
      </c>
      <c r="I313" s="42">
        <v>1</v>
      </c>
      <c r="J313" s="42">
        <v>4.4642857142857144</v>
      </c>
      <c r="K313" s="42">
        <v>0.90625</v>
      </c>
      <c r="L313" s="42">
        <v>0.224</v>
      </c>
      <c r="M313">
        <v>1</v>
      </c>
    </row>
    <row r="314" spans="3:13" x14ac:dyDescent="0.15">
      <c r="C314" s="43">
        <v>281</v>
      </c>
      <c r="D314" s="42">
        <v>281</v>
      </c>
      <c r="E314" s="42">
        <v>0.2248</v>
      </c>
      <c r="F314" s="42">
        <v>116</v>
      </c>
      <c r="G314" s="42">
        <v>28.7744</v>
      </c>
      <c r="H314" s="42">
        <v>4.0313612099644125</v>
      </c>
      <c r="I314" s="42">
        <v>1</v>
      </c>
      <c r="J314" s="42">
        <v>4.4483985765124556</v>
      </c>
      <c r="K314" s="42">
        <v>0.90625</v>
      </c>
      <c r="L314" s="42">
        <v>0.2248</v>
      </c>
      <c r="M314">
        <v>1</v>
      </c>
    </row>
    <row r="315" spans="3:13" x14ac:dyDescent="0.15">
      <c r="C315" s="43">
        <v>282</v>
      </c>
      <c r="D315" s="42">
        <v>282</v>
      </c>
      <c r="E315" s="42">
        <v>0.22559999999999999</v>
      </c>
      <c r="F315" s="42">
        <v>117</v>
      </c>
      <c r="G315" s="42">
        <v>28.876800000000003</v>
      </c>
      <c r="H315" s="42">
        <v>4.0516954787234045</v>
      </c>
      <c r="I315" s="42">
        <v>1</v>
      </c>
      <c r="J315" s="42">
        <v>4.4326241134751774</v>
      </c>
      <c r="K315" s="42">
        <v>0.9140625</v>
      </c>
      <c r="L315" s="42">
        <v>0.22559999999999999</v>
      </c>
      <c r="M315">
        <v>1</v>
      </c>
    </row>
    <row r="316" spans="3:13" x14ac:dyDescent="0.15">
      <c r="C316" s="43">
        <v>283</v>
      </c>
      <c r="D316" s="42">
        <v>283</v>
      </c>
      <c r="E316" s="42">
        <v>0.22639999999999999</v>
      </c>
      <c r="F316" s="42">
        <v>117</v>
      </c>
      <c r="G316" s="42">
        <v>28.979200000000002</v>
      </c>
      <c r="H316" s="42">
        <v>4.037378533568905</v>
      </c>
      <c r="I316" s="42">
        <v>1</v>
      </c>
      <c r="J316" s="42">
        <v>4.4169611307420498</v>
      </c>
      <c r="K316" s="42">
        <v>0.9140625</v>
      </c>
      <c r="L316" s="42">
        <v>0.22639999999999999</v>
      </c>
      <c r="M316">
        <v>1</v>
      </c>
    </row>
    <row r="317" spans="3:13" x14ac:dyDescent="0.15">
      <c r="C317" s="43">
        <v>284</v>
      </c>
      <c r="D317" s="42">
        <v>284</v>
      </c>
      <c r="E317" s="42">
        <v>0.22720000000000001</v>
      </c>
      <c r="F317" s="42">
        <v>117</v>
      </c>
      <c r="G317" s="42">
        <v>29.081600000000002</v>
      </c>
      <c r="H317" s="42">
        <v>4.023162411971831</v>
      </c>
      <c r="I317" s="42">
        <v>1</v>
      </c>
      <c r="J317" s="42">
        <v>4.401408450704225</v>
      </c>
      <c r="K317" s="42">
        <v>0.9140625</v>
      </c>
      <c r="L317" s="42">
        <v>0.22720000000000001</v>
      </c>
      <c r="M317">
        <v>1</v>
      </c>
    </row>
    <row r="318" spans="3:13" x14ac:dyDescent="0.15">
      <c r="C318" s="43">
        <v>285</v>
      </c>
      <c r="D318" s="42">
        <v>285</v>
      </c>
      <c r="E318" s="42">
        <v>0.22800000000000001</v>
      </c>
      <c r="F318" s="42">
        <v>117</v>
      </c>
      <c r="G318" s="42">
        <v>29.184000000000001</v>
      </c>
      <c r="H318" s="42">
        <v>4.0090460526315788</v>
      </c>
      <c r="I318" s="42">
        <v>1</v>
      </c>
      <c r="J318" s="42">
        <v>4.3859649122807012</v>
      </c>
      <c r="K318" s="42">
        <v>0.9140625</v>
      </c>
      <c r="L318" s="42">
        <v>0.22800000000000001</v>
      </c>
      <c r="M318">
        <v>1</v>
      </c>
    </row>
    <row r="319" spans="3:13" x14ac:dyDescent="0.15">
      <c r="C319" s="43">
        <v>286</v>
      </c>
      <c r="D319" s="42">
        <v>286</v>
      </c>
      <c r="E319" s="42">
        <v>0.2288</v>
      </c>
      <c r="F319" s="42">
        <v>117</v>
      </c>
      <c r="G319" s="42">
        <v>29.2864</v>
      </c>
      <c r="H319" s="42">
        <v>3.9950284090909092</v>
      </c>
      <c r="I319" s="42">
        <v>1</v>
      </c>
      <c r="J319" s="42">
        <v>4.3706293706293708</v>
      </c>
      <c r="K319" s="42">
        <v>0.9140625</v>
      </c>
      <c r="L319" s="42">
        <v>0.2288</v>
      </c>
      <c r="M319">
        <v>1</v>
      </c>
    </row>
    <row r="320" spans="3:13" x14ac:dyDescent="0.15">
      <c r="C320" s="43">
        <v>287</v>
      </c>
      <c r="D320" s="42">
        <v>287</v>
      </c>
      <c r="E320" s="42">
        <v>0.2296</v>
      </c>
      <c r="F320" s="42">
        <v>117</v>
      </c>
      <c r="G320" s="42">
        <v>29.3888</v>
      </c>
      <c r="H320" s="42">
        <v>3.9811084494773521</v>
      </c>
      <c r="I320" s="42">
        <v>1</v>
      </c>
      <c r="J320" s="42">
        <v>4.3554006968641117</v>
      </c>
      <c r="K320" s="42">
        <v>0.9140625</v>
      </c>
      <c r="L320" s="42">
        <v>0.2296</v>
      </c>
      <c r="M320">
        <v>1</v>
      </c>
    </row>
    <row r="321" spans="3:13" x14ac:dyDescent="0.15">
      <c r="C321" s="43">
        <v>288</v>
      </c>
      <c r="D321" s="42">
        <v>288</v>
      </c>
      <c r="E321" s="42">
        <v>0.23039999999999999</v>
      </c>
      <c r="F321" s="42">
        <v>117</v>
      </c>
      <c r="G321" s="42">
        <v>29.491200000000003</v>
      </c>
      <c r="H321" s="42">
        <v>3.96728515625</v>
      </c>
      <c r="I321" s="42">
        <v>1</v>
      </c>
      <c r="J321" s="42">
        <v>4.3402777777777777</v>
      </c>
      <c r="K321" s="42">
        <v>0.9140625</v>
      </c>
      <c r="L321" s="42">
        <v>0.23039999999999999</v>
      </c>
      <c r="M321">
        <v>1</v>
      </c>
    </row>
    <row r="322" spans="3:13" x14ac:dyDescent="0.15">
      <c r="C322" s="43">
        <v>289</v>
      </c>
      <c r="D322" s="42">
        <v>289</v>
      </c>
      <c r="E322" s="42">
        <v>0.23119999999999999</v>
      </c>
      <c r="F322" s="42">
        <v>117</v>
      </c>
      <c r="G322" s="42">
        <v>29.593600000000002</v>
      </c>
      <c r="H322" s="42">
        <v>3.9535575259515574</v>
      </c>
      <c r="I322" s="42">
        <v>1</v>
      </c>
      <c r="J322" s="42">
        <v>4.3252595155709344</v>
      </c>
      <c r="K322" s="42">
        <v>0.9140625</v>
      </c>
      <c r="L322" s="42">
        <v>0.23119999999999999</v>
      </c>
      <c r="M322">
        <v>1</v>
      </c>
    </row>
    <row r="323" spans="3:13" x14ac:dyDescent="0.15">
      <c r="C323" s="43">
        <v>290</v>
      </c>
      <c r="D323" s="42">
        <v>290</v>
      </c>
      <c r="E323" s="42">
        <v>0.23200000000000001</v>
      </c>
      <c r="F323" s="42">
        <v>117</v>
      </c>
      <c r="G323" s="42">
        <v>29.696000000000002</v>
      </c>
      <c r="H323" s="42">
        <v>3.9399245689655169</v>
      </c>
      <c r="I323" s="42">
        <v>1</v>
      </c>
      <c r="J323" s="42">
        <v>4.3103448275862064</v>
      </c>
      <c r="K323" s="42">
        <v>0.9140625</v>
      </c>
      <c r="L323" s="42">
        <v>0.23200000000000001</v>
      </c>
      <c r="M323">
        <v>1</v>
      </c>
    </row>
    <row r="324" spans="3:13" x14ac:dyDescent="0.15">
      <c r="C324" s="43">
        <v>291</v>
      </c>
      <c r="D324" s="42">
        <v>291</v>
      </c>
      <c r="E324" s="42">
        <v>0.23280000000000001</v>
      </c>
      <c r="F324" s="42">
        <v>117</v>
      </c>
      <c r="G324" s="42">
        <v>29.798400000000001</v>
      </c>
      <c r="H324" s="42">
        <v>3.9263853092783503</v>
      </c>
      <c r="I324" s="42">
        <v>1</v>
      </c>
      <c r="J324" s="42">
        <v>4.2955326460481098</v>
      </c>
      <c r="K324" s="42">
        <v>0.9140625</v>
      </c>
      <c r="L324" s="42">
        <v>0.23280000000000001</v>
      </c>
      <c r="M324">
        <v>1</v>
      </c>
    </row>
    <row r="325" spans="3:13" x14ac:dyDescent="0.15">
      <c r="C325" s="43">
        <v>292</v>
      </c>
      <c r="D325" s="42">
        <v>292</v>
      </c>
      <c r="E325" s="42">
        <v>0.2336</v>
      </c>
      <c r="F325" s="42">
        <v>117</v>
      </c>
      <c r="G325" s="42">
        <v>29.9008</v>
      </c>
      <c r="H325" s="42">
        <v>3.9129387842465753</v>
      </c>
      <c r="I325" s="42">
        <v>1</v>
      </c>
      <c r="J325" s="42">
        <v>4.2808219178082192</v>
      </c>
      <c r="K325" s="42">
        <v>0.9140625</v>
      </c>
      <c r="L325" s="42">
        <v>0.2336</v>
      </c>
      <c r="M325">
        <v>1</v>
      </c>
    </row>
    <row r="326" spans="3:13" x14ac:dyDescent="0.15">
      <c r="C326" s="43">
        <v>293</v>
      </c>
      <c r="D326" s="42">
        <v>293</v>
      </c>
      <c r="E326" s="42">
        <v>0.2344</v>
      </c>
      <c r="F326" s="42">
        <v>117</v>
      </c>
      <c r="G326" s="42">
        <v>30.003200000000003</v>
      </c>
      <c r="H326" s="42">
        <v>3.8995840443686007</v>
      </c>
      <c r="I326" s="42">
        <v>1</v>
      </c>
      <c r="J326" s="42">
        <v>4.2662116040955631</v>
      </c>
      <c r="K326" s="42">
        <v>0.9140625</v>
      </c>
      <c r="L326" s="42">
        <v>0.2344</v>
      </c>
      <c r="M326">
        <v>1</v>
      </c>
    </row>
    <row r="327" spans="3:13" x14ac:dyDescent="0.15">
      <c r="C327" s="43">
        <v>294</v>
      </c>
      <c r="D327" s="42">
        <v>294</v>
      </c>
      <c r="E327" s="42">
        <v>0.23519999999999999</v>
      </c>
      <c r="F327" s="42">
        <v>117</v>
      </c>
      <c r="G327" s="42">
        <v>30.105600000000003</v>
      </c>
      <c r="H327" s="42">
        <v>3.8863201530612246</v>
      </c>
      <c r="I327" s="42">
        <v>1</v>
      </c>
      <c r="J327" s="42">
        <v>4.2517006802721093</v>
      </c>
      <c r="K327" s="42">
        <v>0.9140625</v>
      </c>
      <c r="L327" s="42">
        <v>0.23519999999999999</v>
      </c>
      <c r="M327">
        <v>1</v>
      </c>
    </row>
    <row r="328" spans="3:13" x14ac:dyDescent="0.15">
      <c r="C328" s="43">
        <v>295</v>
      </c>
      <c r="D328" s="42">
        <v>295</v>
      </c>
      <c r="E328" s="42">
        <v>0.23599999999999999</v>
      </c>
      <c r="F328" s="42">
        <v>117</v>
      </c>
      <c r="G328" s="42">
        <v>30.208000000000002</v>
      </c>
      <c r="H328" s="42">
        <v>3.8731461864406782</v>
      </c>
      <c r="I328" s="42">
        <v>1</v>
      </c>
      <c r="J328" s="42">
        <v>4.2372881355932206</v>
      </c>
      <c r="K328" s="42">
        <v>0.9140625</v>
      </c>
      <c r="L328" s="42">
        <v>0.23599999999999999</v>
      </c>
      <c r="M328">
        <v>1</v>
      </c>
    </row>
    <row r="329" spans="3:13" x14ac:dyDescent="0.15">
      <c r="C329" s="43">
        <v>296</v>
      </c>
      <c r="D329" s="42">
        <v>296</v>
      </c>
      <c r="E329" s="42">
        <v>0.23680000000000001</v>
      </c>
      <c r="F329" s="42">
        <v>117</v>
      </c>
      <c r="G329" s="42">
        <v>30.310400000000001</v>
      </c>
      <c r="H329" s="42">
        <v>3.8600612331081079</v>
      </c>
      <c r="I329" s="42">
        <v>1</v>
      </c>
      <c r="J329" s="42">
        <v>4.2229729729729728</v>
      </c>
      <c r="K329" s="42">
        <v>0.9140625</v>
      </c>
      <c r="L329" s="42">
        <v>0.23680000000000001</v>
      </c>
      <c r="M329">
        <v>1</v>
      </c>
    </row>
    <row r="330" spans="3:13" x14ac:dyDescent="0.15">
      <c r="C330" s="43">
        <v>297</v>
      </c>
      <c r="D330" s="42">
        <v>297</v>
      </c>
      <c r="E330" s="42">
        <v>0.23760000000000001</v>
      </c>
      <c r="F330" s="42">
        <v>117</v>
      </c>
      <c r="G330" s="42">
        <v>30.412800000000001</v>
      </c>
      <c r="H330" s="42">
        <v>3.847064393939394</v>
      </c>
      <c r="I330" s="42">
        <v>1</v>
      </c>
      <c r="J330" s="42">
        <v>4.2087542087542085</v>
      </c>
      <c r="K330" s="42">
        <v>0.9140625</v>
      </c>
      <c r="L330" s="42">
        <v>0.23760000000000001</v>
      </c>
      <c r="M330">
        <v>1</v>
      </c>
    </row>
    <row r="331" spans="3:13" x14ac:dyDescent="0.15">
      <c r="C331" s="43">
        <v>298</v>
      </c>
      <c r="D331" s="42">
        <v>298</v>
      </c>
      <c r="E331" s="42">
        <v>0.2384</v>
      </c>
      <c r="F331" s="42">
        <v>117</v>
      </c>
      <c r="G331" s="42">
        <v>30.5152</v>
      </c>
      <c r="H331" s="42">
        <v>3.8341547818791946</v>
      </c>
      <c r="I331" s="42">
        <v>1</v>
      </c>
      <c r="J331" s="42">
        <v>4.1946308724832218</v>
      </c>
      <c r="K331" s="42">
        <v>0.9140625</v>
      </c>
      <c r="L331" s="42">
        <v>0.2384</v>
      </c>
      <c r="M331">
        <v>1</v>
      </c>
    </row>
    <row r="332" spans="3:13" x14ac:dyDescent="0.15">
      <c r="C332" s="43">
        <v>299</v>
      </c>
      <c r="D332" s="42">
        <v>299</v>
      </c>
      <c r="E332" s="42">
        <v>0.2392</v>
      </c>
      <c r="F332" s="42">
        <v>117</v>
      </c>
      <c r="G332" s="42">
        <v>30.617600000000003</v>
      </c>
      <c r="H332" s="42">
        <v>3.8213315217391304</v>
      </c>
      <c r="I332" s="42">
        <v>1</v>
      </c>
      <c r="J332" s="42">
        <v>4.1806020066889635</v>
      </c>
      <c r="K332" s="42">
        <v>0.9140625</v>
      </c>
      <c r="L332" s="42">
        <v>0.2392</v>
      </c>
      <c r="M332">
        <v>1</v>
      </c>
    </row>
    <row r="333" spans="3:13" x14ac:dyDescent="0.15">
      <c r="C333" s="43">
        <v>300</v>
      </c>
      <c r="D333" s="42">
        <v>300</v>
      </c>
      <c r="E333" s="42">
        <v>0.24</v>
      </c>
      <c r="F333" s="42">
        <v>117</v>
      </c>
      <c r="G333" s="42">
        <v>30.720000000000002</v>
      </c>
      <c r="H333" s="42">
        <v>3.80859375</v>
      </c>
      <c r="I333" s="42">
        <v>1</v>
      </c>
      <c r="J333" s="42">
        <v>4.166666666666667</v>
      </c>
      <c r="K333" s="42">
        <v>0.9140625</v>
      </c>
      <c r="L333" s="42">
        <v>0.24</v>
      </c>
      <c r="M333">
        <v>1</v>
      </c>
    </row>
    <row r="334" spans="3:13" x14ac:dyDescent="0.15">
      <c r="C334" s="43">
        <v>301</v>
      </c>
      <c r="D334" s="42">
        <v>301</v>
      </c>
      <c r="E334" s="42">
        <v>0.24079999999999999</v>
      </c>
      <c r="F334" s="42">
        <v>117</v>
      </c>
      <c r="G334" s="42">
        <v>30.822400000000002</v>
      </c>
      <c r="H334" s="42">
        <v>3.7959406146179404</v>
      </c>
      <c r="I334" s="42">
        <v>1</v>
      </c>
      <c r="J334" s="42">
        <v>4.1528239202657806</v>
      </c>
      <c r="K334" s="42">
        <v>0.9140625</v>
      </c>
      <c r="L334" s="42">
        <v>0.24079999999999999</v>
      </c>
      <c r="M334">
        <v>1</v>
      </c>
    </row>
    <row r="335" spans="3:13" x14ac:dyDescent="0.15">
      <c r="C335" s="43">
        <v>302</v>
      </c>
      <c r="D335" s="42">
        <v>302</v>
      </c>
      <c r="E335" s="42">
        <v>0.24160000000000001</v>
      </c>
      <c r="F335" s="42">
        <v>117</v>
      </c>
      <c r="G335" s="42">
        <v>30.924800000000001</v>
      </c>
      <c r="H335" s="42">
        <v>3.7833712748344368</v>
      </c>
      <c r="I335" s="42">
        <v>1</v>
      </c>
      <c r="J335" s="42">
        <v>4.1390728476821188</v>
      </c>
      <c r="K335" s="42">
        <v>0.9140625</v>
      </c>
      <c r="L335" s="42">
        <v>0.24160000000000001</v>
      </c>
      <c r="M335">
        <v>1</v>
      </c>
    </row>
    <row r="336" spans="3:13" x14ac:dyDescent="0.15">
      <c r="C336" s="43">
        <v>303</v>
      </c>
      <c r="D336" s="42">
        <v>303</v>
      </c>
      <c r="E336" s="42">
        <v>0.2424</v>
      </c>
      <c r="F336" s="42">
        <v>117</v>
      </c>
      <c r="G336" s="42">
        <v>31.027200000000001</v>
      </c>
      <c r="H336" s="42">
        <v>3.7708849009900991</v>
      </c>
      <c r="I336" s="42">
        <v>1</v>
      </c>
      <c r="J336" s="42">
        <v>4.1254125412541249</v>
      </c>
      <c r="K336" s="42">
        <v>0.9140625</v>
      </c>
      <c r="L336" s="42">
        <v>0.2424</v>
      </c>
      <c r="M336">
        <v>1</v>
      </c>
    </row>
    <row r="337" spans="3:13" x14ac:dyDescent="0.15">
      <c r="C337" s="43">
        <v>304</v>
      </c>
      <c r="D337" s="42">
        <v>304</v>
      </c>
      <c r="E337" s="42">
        <v>0.2432</v>
      </c>
      <c r="F337" s="42">
        <v>117</v>
      </c>
      <c r="G337" s="42">
        <v>31.1296</v>
      </c>
      <c r="H337" s="42">
        <v>3.7584806743421053</v>
      </c>
      <c r="I337" s="42">
        <v>1</v>
      </c>
      <c r="J337" s="42">
        <v>4.1118421052631575</v>
      </c>
      <c r="K337" s="42">
        <v>0.9140625</v>
      </c>
      <c r="L337" s="42">
        <v>0.2432</v>
      </c>
      <c r="M337">
        <v>1</v>
      </c>
    </row>
    <row r="338" spans="3:13" x14ac:dyDescent="0.15">
      <c r="C338" s="43">
        <v>305</v>
      </c>
      <c r="D338" s="42">
        <v>305</v>
      </c>
      <c r="E338" s="42">
        <v>0.24399999999999999</v>
      </c>
      <c r="F338" s="42">
        <v>117</v>
      </c>
      <c r="G338" s="42">
        <v>31.232000000000003</v>
      </c>
      <c r="H338" s="42">
        <v>3.746157786885246</v>
      </c>
      <c r="I338" s="42">
        <v>1</v>
      </c>
      <c r="J338" s="42">
        <v>4.0983606557377046</v>
      </c>
      <c r="K338" s="42">
        <v>0.9140625</v>
      </c>
      <c r="L338" s="42">
        <v>0.24399999999999999</v>
      </c>
      <c r="M338">
        <v>1</v>
      </c>
    </row>
    <row r="339" spans="3:13" x14ac:dyDescent="0.15">
      <c r="C339" s="43">
        <v>306</v>
      </c>
      <c r="D339" s="42">
        <v>306</v>
      </c>
      <c r="E339" s="42">
        <v>0.24479999999999999</v>
      </c>
      <c r="F339" s="42">
        <v>117</v>
      </c>
      <c r="G339" s="42">
        <v>31.334400000000002</v>
      </c>
      <c r="H339" s="42">
        <v>3.7339154411764706</v>
      </c>
      <c r="I339" s="42">
        <v>1</v>
      </c>
      <c r="J339" s="42">
        <v>4.0849673202614385</v>
      </c>
      <c r="K339" s="42">
        <v>0.9140625</v>
      </c>
      <c r="L339" s="42">
        <v>0.24479999999999999</v>
      </c>
      <c r="M339">
        <v>1</v>
      </c>
    </row>
    <row r="340" spans="3:13" x14ac:dyDescent="0.15">
      <c r="C340" s="43">
        <v>307</v>
      </c>
      <c r="D340" s="42">
        <v>307</v>
      </c>
      <c r="E340" s="42">
        <v>0.24560000000000001</v>
      </c>
      <c r="F340" s="42">
        <v>117</v>
      </c>
      <c r="G340" s="42">
        <v>31.436800000000002</v>
      </c>
      <c r="H340" s="42">
        <v>3.7217528501628663</v>
      </c>
      <c r="I340" s="42">
        <v>1</v>
      </c>
      <c r="J340" s="42">
        <v>4.0716612377850163</v>
      </c>
      <c r="K340" s="42">
        <v>0.9140625</v>
      </c>
      <c r="L340" s="42">
        <v>0.24560000000000001</v>
      </c>
      <c r="M340">
        <v>1</v>
      </c>
    </row>
    <row r="341" spans="3:13" x14ac:dyDescent="0.15">
      <c r="C341" s="43">
        <v>308</v>
      </c>
      <c r="D341" s="42">
        <v>308</v>
      </c>
      <c r="E341" s="42">
        <v>0.24640000000000001</v>
      </c>
      <c r="F341" s="42">
        <v>117</v>
      </c>
      <c r="G341" s="42">
        <v>31.539200000000001</v>
      </c>
      <c r="H341" s="42">
        <v>3.7096692370129869</v>
      </c>
      <c r="I341" s="42">
        <v>1</v>
      </c>
      <c r="J341" s="42">
        <v>4.0584415584415581</v>
      </c>
      <c r="K341" s="42">
        <v>0.9140625</v>
      </c>
      <c r="L341" s="42">
        <v>0.24640000000000001</v>
      </c>
      <c r="M341">
        <v>1</v>
      </c>
    </row>
    <row r="342" spans="3:13" x14ac:dyDescent="0.15">
      <c r="C342" s="43">
        <v>309</v>
      </c>
      <c r="D342" s="42">
        <v>309</v>
      </c>
      <c r="E342" s="42">
        <v>0.2472</v>
      </c>
      <c r="F342" s="42">
        <v>117</v>
      </c>
      <c r="G342" s="42">
        <v>31.6416</v>
      </c>
      <c r="H342" s="42">
        <v>3.6976638349514563</v>
      </c>
      <c r="I342" s="42">
        <v>1</v>
      </c>
      <c r="J342" s="42">
        <v>4.0453074433656955</v>
      </c>
      <c r="K342" s="42">
        <v>0.9140625</v>
      </c>
      <c r="L342" s="42">
        <v>0.2472</v>
      </c>
      <c r="M342">
        <v>1</v>
      </c>
    </row>
    <row r="343" spans="3:13" x14ac:dyDescent="0.15">
      <c r="C343" s="43">
        <v>310</v>
      </c>
      <c r="D343" s="42">
        <v>310</v>
      </c>
      <c r="E343" s="42">
        <v>0.248</v>
      </c>
      <c r="F343" s="42">
        <v>117</v>
      </c>
      <c r="G343" s="42">
        <v>31.744</v>
      </c>
      <c r="H343" s="42">
        <v>3.685735887096774</v>
      </c>
      <c r="I343" s="42">
        <v>1</v>
      </c>
      <c r="J343" s="42">
        <v>4.032258064516129</v>
      </c>
      <c r="K343" s="42">
        <v>0.9140625</v>
      </c>
      <c r="L343" s="42">
        <v>0.248</v>
      </c>
      <c r="M343">
        <v>1</v>
      </c>
    </row>
    <row r="344" spans="3:13" x14ac:dyDescent="0.15">
      <c r="C344" s="43">
        <v>311</v>
      </c>
      <c r="D344" s="42">
        <v>311</v>
      </c>
      <c r="E344" s="42">
        <v>0.24879999999999999</v>
      </c>
      <c r="F344" s="42">
        <v>117</v>
      </c>
      <c r="G344" s="42">
        <v>31.846400000000003</v>
      </c>
      <c r="H344" s="42">
        <v>3.673884646302251</v>
      </c>
      <c r="I344" s="42">
        <v>1</v>
      </c>
      <c r="J344" s="42">
        <v>4.019292604501608</v>
      </c>
      <c r="K344" s="42">
        <v>0.9140625</v>
      </c>
      <c r="L344" s="42">
        <v>0.24879999999999999</v>
      </c>
      <c r="M344">
        <v>1</v>
      </c>
    </row>
    <row r="345" spans="3:13" x14ac:dyDescent="0.15">
      <c r="C345" s="43">
        <v>312</v>
      </c>
      <c r="D345" s="42">
        <v>312</v>
      </c>
      <c r="E345" s="42">
        <v>0.24959999999999999</v>
      </c>
      <c r="F345" s="42">
        <v>117</v>
      </c>
      <c r="G345" s="42">
        <v>31.948800000000002</v>
      </c>
      <c r="H345" s="42">
        <v>3.662109375</v>
      </c>
      <c r="I345" s="42">
        <v>1</v>
      </c>
      <c r="J345" s="42">
        <v>4.0064102564102564</v>
      </c>
      <c r="K345" s="42">
        <v>0.9140625</v>
      </c>
      <c r="L345" s="42">
        <v>0.24959999999999999</v>
      </c>
      <c r="M345">
        <v>1</v>
      </c>
    </row>
    <row r="346" spans="3:13" x14ac:dyDescent="0.15">
      <c r="C346" s="43">
        <v>313</v>
      </c>
      <c r="D346" s="42">
        <v>313</v>
      </c>
      <c r="E346" s="42">
        <v>0.25040000000000001</v>
      </c>
      <c r="F346" s="42">
        <v>117</v>
      </c>
      <c r="G346" s="42">
        <v>32.051200000000001</v>
      </c>
      <c r="H346" s="42">
        <v>3.6504093450479234</v>
      </c>
      <c r="I346" s="42">
        <v>1</v>
      </c>
      <c r="J346" s="42">
        <v>3.9936102236421722</v>
      </c>
      <c r="K346" s="42">
        <v>0.9140625</v>
      </c>
      <c r="L346" s="42">
        <v>0.25040000000000001</v>
      </c>
      <c r="M346">
        <v>1</v>
      </c>
    </row>
    <row r="347" spans="3:13" x14ac:dyDescent="0.15">
      <c r="C347" s="43">
        <v>314</v>
      </c>
      <c r="D347" s="42">
        <v>314</v>
      </c>
      <c r="E347" s="42">
        <v>0.25119999999999998</v>
      </c>
      <c r="F347" s="42">
        <v>117</v>
      </c>
      <c r="G347" s="42">
        <v>32.153600000000004</v>
      </c>
      <c r="H347" s="42">
        <v>3.6387838375796182</v>
      </c>
      <c r="I347" s="42">
        <v>1</v>
      </c>
      <c r="J347" s="42">
        <v>3.9808917197452232</v>
      </c>
      <c r="K347" s="42">
        <v>0.9140625</v>
      </c>
      <c r="L347" s="42">
        <v>0.25119999999999998</v>
      </c>
      <c r="M347">
        <v>1</v>
      </c>
    </row>
    <row r="348" spans="3:13" x14ac:dyDescent="0.15">
      <c r="C348" s="43">
        <v>315</v>
      </c>
      <c r="D348" s="42">
        <v>315</v>
      </c>
      <c r="E348" s="42">
        <v>0.252</v>
      </c>
      <c r="F348" s="42">
        <v>117</v>
      </c>
      <c r="G348" s="42">
        <v>32.256</v>
      </c>
      <c r="H348" s="42">
        <v>3.6272321428571428</v>
      </c>
      <c r="I348" s="42">
        <v>1</v>
      </c>
      <c r="J348" s="42">
        <v>3.9682539682539684</v>
      </c>
      <c r="K348" s="42">
        <v>0.9140625</v>
      </c>
      <c r="L348" s="42">
        <v>0.252</v>
      </c>
      <c r="M348">
        <v>1</v>
      </c>
    </row>
    <row r="349" spans="3:13" x14ac:dyDescent="0.15">
      <c r="C349" s="43">
        <v>316</v>
      </c>
      <c r="D349" s="42">
        <v>316</v>
      </c>
      <c r="E349" s="42">
        <v>0.25280000000000002</v>
      </c>
      <c r="F349" s="42">
        <v>117</v>
      </c>
      <c r="G349" s="42">
        <v>32.358400000000003</v>
      </c>
      <c r="H349" s="42">
        <v>3.6157535601265818</v>
      </c>
      <c r="I349" s="42">
        <v>1</v>
      </c>
      <c r="J349" s="42">
        <v>3.9556962025316453</v>
      </c>
      <c r="K349" s="42">
        <v>0.9140625</v>
      </c>
      <c r="L349" s="42">
        <v>0.25280000000000002</v>
      </c>
      <c r="M349">
        <v>1</v>
      </c>
    </row>
    <row r="350" spans="3:13" x14ac:dyDescent="0.15">
      <c r="C350" s="43">
        <v>317</v>
      </c>
      <c r="D350" s="42">
        <v>317</v>
      </c>
      <c r="E350" s="42">
        <v>0.25359999999999999</v>
      </c>
      <c r="F350" s="42">
        <v>117</v>
      </c>
      <c r="G350" s="42">
        <v>32.460799999999999</v>
      </c>
      <c r="H350" s="42">
        <v>3.6043473974763409</v>
      </c>
      <c r="I350" s="42">
        <v>1</v>
      </c>
      <c r="J350" s="42">
        <v>3.9432176656151419</v>
      </c>
      <c r="K350" s="42">
        <v>0.9140625</v>
      </c>
      <c r="L350" s="42">
        <v>0.25359999999999999</v>
      </c>
      <c r="M350">
        <v>1</v>
      </c>
    </row>
    <row r="351" spans="3:13" x14ac:dyDescent="0.15">
      <c r="C351" s="43">
        <v>318</v>
      </c>
      <c r="D351" s="42">
        <v>318</v>
      </c>
      <c r="E351" s="42">
        <v>0.25440000000000002</v>
      </c>
      <c r="F351" s="42">
        <v>117</v>
      </c>
      <c r="G351" s="42">
        <v>32.563200000000002</v>
      </c>
      <c r="H351" s="42">
        <v>3.593012971698113</v>
      </c>
      <c r="I351" s="42">
        <v>1</v>
      </c>
      <c r="J351" s="42">
        <v>3.9308176100628929</v>
      </c>
      <c r="K351" s="42">
        <v>0.9140625</v>
      </c>
      <c r="L351" s="42">
        <v>0.25440000000000002</v>
      </c>
      <c r="M351">
        <v>1</v>
      </c>
    </row>
    <row r="352" spans="3:13" x14ac:dyDescent="0.15">
      <c r="C352" s="43">
        <v>319</v>
      </c>
      <c r="D352" s="42">
        <v>319</v>
      </c>
      <c r="E352" s="42">
        <v>0.25519999999999998</v>
      </c>
      <c r="F352" s="42">
        <v>117</v>
      </c>
      <c r="G352" s="42">
        <v>32.665600000000005</v>
      </c>
      <c r="H352" s="42">
        <v>3.5817496081504703</v>
      </c>
      <c r="I352" s="42">
        <v>1</v>
      </c>
      <c r="J352" s="42">
        <v>3.9184952978056429</v>
      </c>
      <c r="K352" s="42">
        <v>0.9140625</v>
      </c>
      <c r="L352" s="42">
        <v>0.25519999999999998</v>
      </c>
      <c r="M352">
        <v>1</v>
      </c>
    </row>
    <row r="353" spans="3:13" x14ac:dyDescent="0.15">
      <c r="C353" s="43">
        <v>320</v>
      </c>
      <c r="D353" s="42">
        <v>320</v>
      </c>
      <c r="E353" s="42">
        <v>0.25600000000000001</v>
      </c>
      <c r="F353" s="42">
        <v>117</v>
      </c>
      <c r="G353" s="42">
        <v>32.768000000000001</v>
      </c>
      <c r="H353" s="42">
        <v>3.570556640625</v>
      </c>
      <c r="I353" s="42">
        <v>1</v>
      </c>
      <c r="J353" s="42">
        <v>3.90625</v>
      </c>
      <c r="K353" s="42">
        <v>0.9140625</v>
      </c>
      <c r="L353" s="42">
        <v>0.25600000000000001</v>
      </c>
      <c r="M353">
        <v>1</v>
      </c>
    </row>
    <row r="354" spans="3:13" x14ac:dyDescent="0.15">
      <c r="C354" s="43">
        <v>321</v>
      </c>
      <c r="D354" s="42">
        <v>321</v>
      </c>
      <c r="E354" s="42">
        <v>0.25679999999999997</v>
      </c>
      <c r="F354" s="42">
        <v>118</v>
      </c>
      <c r="G354" s="42">
        <v>32.870400000000004</v>
      </c>
      <c r="H354" s="42">
        <v>3.5898559190031158</v>
      </c>
      <c r="I354" s="42">
        <v>1</v>
      </c>
      <c r="J354" s="42">
        <v>3.8940809968847354</v>
      </c>
      <c r="K354" s="42">
        <v>0.921875</v>
      </c>
      <c r="L354" s="42">
        <v>0.25679999999999997</v>
      </c>
      <c r="M354">
        <v>1</v>
      </c>
    </row>
    <row r="355" spans="3:13" x14ac:dyDescent="0.15">
      <c r="C355" s="43">
        <v>322</v>
      </c>
      <c r="D355" s="42">
        <v>322</v>
      </c>
      <c r="E355" s="42">
        <v>0.2576</v>
      </c>
      <c r="F355" s="42">
        <v>118</v>
      </c>
      <c r="G355" s="42">
        <v>32.972799999999999</v>
      </c>
      <c r="H355" s="42">
        <v>3.5787072981366461</v>
      </c>
      <c r="I355" s="42">
        <v>1</v>
      </c>
      <c r="J355" s="42">
        <v>3.8819875776397517</v>
      </c>
      <c r="K355" s="42">
        <v>0.921875</v>
      </c>
      <c r="L355" s="42">
        <v>0.2576</v>
      </c>
      <c r="M355">
        <v>1</v>
      </c>
    </row>
    <row r="356" spans="3:13" x14ac:dyDescent="0.15">
      <c r="C356" s="43">
        <v>323</v>
      </c>
      <c r="D356" s="42">
        <v>323</v>
      </c>
      <c r="E356" s="42">
        <v>0.25840000000000002</v>
      </c>
      <c r="F356" s="42">
        <v>118</v>
      </c>
      <c r="G356" s="42">
        <v>33.075200000000002</v>
      </c>
      <c r="H356" s="42">
        <v>3.5676277089783279</v>
      </c>
      <c r="I356" s="42">
        <v>1</v>
      </c>
      <c r="J356" s="42">
        <v>3.8699690402476778</v>
      </c>
      <c r="K356" s="42">
        <v>0.921875</v>
      </c>
      <c r="L356" s="42">
        <v>0.25840000000000002</v>
      </c>
      <c r="M356">
        <v>1</v>
      </c>
    </row>
    <row r="357" spans="3:13" x14ac:dyDescent="0.15">
      <c r="C357" s="43">
        <v>324</v>
      </c>
      <c r="D357" s="42">
        <v>324</v>
      </c>
      <c r="E357" s="42">
        <v>0.25919999999999999</v>
      </c>
      <c r="F357" s="42">
        <v>119</v>
      </c>
      <c r="G357" s="42">
        <v>33.177599999999998</v>
      </c>
      <c r="H357" s="42">
        <v>3.5867573302469138</v>
      </c>
      <c r="I357" s="42">
        <v>1</v>
      </c>
      <c r="J357" s="42">
        <v>3.8580246913580249</v>
      </c>
      <c r="K357" s="42">
        <v>0.9296875</v>
      </c>
      <c r="L357" s="42">
        <v>0.25919999999999999</v>
      </c>
      <c r="M357">
        <v>1</v>
      </c>
    </row>
    <row r="358" spans="3:13" x14ac:dyDescent="0.15">
      <c r="C358" s="43">
        <v>325</v>
      </c>
      <c r="D358" s="42">
        <v>325</v>
      </c>
      <c r="E358" s="42">
        <v>0.26</v>
      </c>
      <c r="F358" s="42">
        <v>119</v>
      </c>
      <c r="G358" s="42">
        <v>33.28</v>
      </c>
      <c r="H358" s="42">
        <v>3.5757211538461537</v>
      </c>
      <c r="I358" s="42">
        <v>1</v>
      </c>
      <c r="J358" s="42">
        <v>3.8461538461538458</v>
      </c>
      <c r="K358" s="42">
        <v>0.9296875</v>
      </c>
      <c r="L358" s="42">
        <v>0.26</v>
      </c>
      <c r="M358">
        <v>1</v>
      </c>
    </row>
    <row r="359" spans="3:13" x14ac:dyDescent="0.15">
      <c r="C359" s="43">
        <v>326</v>
      </c>
      <c r="D359" s="42">
        <v>326</v>
      </c>
      <c r="E359" s="42">
        <v>0.26079999999999998</v>
      </c>
      <c r="F359" s="42">
        <v>119</v>
      </c>
      <c r="G359" s="42">
        <v>33.382400000000004</v>
      </c>
      <c r="H359" s="42">
        <v>3.56475268404908</v>
      </c>
      <c r="I359" s="42">
        <v>1</v>
      </c>
      <c r="J359" s="42">
        <v>3.8343558282208594</v>
      </c>
      <c r="K359" s="42">
        <v>0.9296875</v>
      </c>
      <c r="L359" s="42">
        <v>0.26079999999999998</v>
      </c>
      <c r="M359">
        <v>1</v>
      </c>
    </row>
    <row r="360" spans="3:13" x14ac:dyDescent="0.15">
      <c r="C360" s="43">
        <v>327</v>
      </c>
      <c r="D360" s="42">
        <v>327</v>
      </c>
      <c r="E360" s="42">
        <v>0.2616</v>
      </c>
      <c r="F360" s="42">
        <v>119</v>
      </c>
      <c r="G360" s="42">
        <v>33.4848</v>
      </c>
      <c r="H360" s="42">
        <v>3.5538512996941898</v>
      </c>
      <c r="I360" s="42">
        <v>1</v>
      </c>
      <c r="J360" s="42">
        <v>3.8226299694189603</v>
      </c>
      <c r="K360" s="42">
        <v>0.9296875</v>
      </c>
      <c r="L360" s="42">
        <v>0.2616</v>
      </c>
      <c r="M360">
        <v>1</v>
      </c>
    </row>
    <row r="361" spans="3:13" x14ac:dyDescent="0.15">
      <c r="C361" s="43">
        <v>328</v>
      </c>
      <c r="D361" s="42">
        <v>328</v>
      </c>
      <c r="E361" s="42">
        <v>0.26240000000000002</v>
      </c>
      <c r="F361" s="42">
        <v>119</v>
      </c>
      <c r="G361" s="42">
        <v>33.587200000000003</v>
      </c>
      <c r="H361" s="42">
        <v>3.5430163871951215</v>
      </c>
      <c r="I361" s="42">
        <v>1</v>
      </c>
      <c r="J361" s="42">
        <v>3.8109756097560972</v>
      </c>
      <c r="K361" s="42">
        <v>0.9296875</v>
      </c>
      <c r="L361" s="42">
        <v>0.26240000000000002</v>
      </c>
      <c r="M361">
        <v>1</v>
      </c>
    </row>
    <row r="362" spans="3:13" x14ac:dyDescent="0.15">
      <c r="C362" s="43">
        <v>329</v>
      </c>
      <c r="D362" s="42">
        <v>329</v>
      </c>
      <c r="E362" s="42">
        <v>0.26319999999999999</v>
      </c>
      <c r="F362" s="42">
        <v>119</v>
      </c>
      <c r="G362" s="42">
        <v>33.689599999999999</v>
      </c>
      <c r="H362" s="42">
        <v>3.5322473404255321</v>
      </c>
      <c r="I362" s="42">
        <v>1</v>
      </c>
      <c r="J362" s="42">
        <v>3.7993920972644379</v>
      </c>
      <c r="K362" s="42">
        <v>0.9296875</v>
      </c>
      <c r="L362" s="42">
        <v>0.26319999999999999</v>
      </c>
      <c r="M362">
        <v>1</v>
      </c>
    </row>
    <row r="363" spans="3:13" x14ac:dyDescent="0.15">
      <c r="C363" s="43">
        <v>330</v>
      </c>
      <c r="D363" s="42">
        <v>330</v>
      </c>
      <c r="E363" s="42">
        <v>0.26400000000000001</v>
      </c>
      <c r="F363" s="42">
        <v>119</v>
      </c>
      <c r="G363" s="42">
        <v>33.792000000000002</v>
      </c>
      <c r="H363" s="42">
        <v>3.5215435606060606</v>
      </c>
      <c r="I363" s="42">
        <v>1</v>
      </c>
      <c r="J363" s="42">
        <v>3.7878787878787876</v>
      </c>
      <c r="K363" s="42">
        <v>0.9296875</v>
      </c>
      <c r="L363" s="42">
        <v>0.26400000000000001</v>
      </c>
      <c r="M363">
        <v>1</v>
      </c>
    </row>
    <row r="364" spans="3:13" x14ac:dyDescent="0.15">
      <c r="C364" s="43">
        <v>331</v>
      </c>
      <c r="D364" s="42">
        <v>331</v>
      </c>
      <c r="E364" s="42">
        <v>0.26479999999999998</v>
      </c>
      <c r="F364" s="42">
        <v>119</v>
      </c>
      <c r="G364" s="42">
        <v>33.894400000000005</v>
      </c>
      <c r="H364" s="42">
        <v>3.5109044561933538</v>
      </c>
      <c r="I364" s="42">
        <v>1</v>
      </c>
      <c r="J364" s="42">
        <v>3.7764350453172209</v>
      </c>
      <c r="K364" s="42">
        <v>0.9296875</v>
      </c>
      <c r="L364" s="42">
        <v>0.26479999999999998</v>
      </c>
      <c r="M364">
        <v>1</v>
      </c>
    </row>
    <row r="365" spans="3:13" x14ac:dyDescent="0.15">
      <c r="C365" s="43">
        <v>332</v>
      </c>
      <c r="D365" s="42">
        <v>332</v>
      </c>
      <c r="E365" s="42">
        <v>0.2656</v>
      </c>
      <c r="F365" s="42">
        <v>119</v>
      </c>
      <c r="G365" s="42">
        <v>33.9968</v>
      </c>
      <c r="H365" s="42">
        <v>3.5003294427710845</v>
      </c>
      <c r="I365" s="42">
        <v>1</v>
      </c>
      <c r="J365" s="42">
        <v>3.7650602409638552</v>
      </c>
      <c r="K365" s="42">
        <v>0.9296875</v>
      </c>
      <c r="L365" s="42">
        <v>0.2656</v>
      </c>
      <c r="M365">
        <v>1</v>
      </c>
    </row>
    <row r="366" spans="3:13" x14ac:dyDescent="0.15">
      <c r="C366" s="43">
        <v>333</v>
      </c>
      <c r="D366" s="42">
        <v>333</v>
      </c>
      <c r="E366" s="42">
        <v>0.26640000000000003</v>
      </c>
      <c r="F366" s="42">
        <v>119</v>
      </c>
      <c r="G366" s="42">
        <v>34.099200000000003</v>
      </c>
      <c r="H366" s="42">
        <v>3.4898179429429428</v>
      </c>
      <c r="I366" s="42">
        <v>1</v>
      </c>
      <c r="J366" s="42">
        <v>3.7537537537537533</v>
      </c>
      <c r="K366" s="42">
        <v>0.9296875</v>
      </c>
      <c r="L366" s="42">
        <v>0.26640000000000003</v>
      </c>
      <c r="M366">
        <v>1</v>
      </c>
    </row>
    <row r="367" spans="3:13" x14ac:dyDescent="0.15">
      <c r="C367" s="43">
        <v>334</v>
      </c>
      <c r="D367" s="42">
        <v>334</v>
      </c>
      <c r="E367" s="42">
        <v>0.26719999999999999</v>
      </c>
      <c r="F367" s="42">
        <v>119</v>
      </c>
      <c r="G367" s="42">
        <v>34.201599999999999</v>
      </c>
      <c r="H367" s="42">
        <v>3.4793693862275452</v>
      </c>
      <c r="I367" s="42">
        <v>1</v>
      </c>
      <c r="J367" s="42">
        <v>3.7425149700598803</v>
      </c>
      <c r="K367" s="42">
        <v>0.9296875</v>
      </c>
      <c r="L367" s="42">
        <v>0.26719999999999999</v>
      </c>
      <c r="M367">
        <v>1</v>
      </c>
    </row>
    <row r="368" spans="3:13" x14ac:dyDescent="0.15">
      <c r="C368" s="43">
        <v>335</v>
      </c>
      <c r="D368" s="42">
        <v>335</v>
      </c>
      <c r="E368" s="42">
        <v>0.26800000000000002</v>
      </c>
      <c r="F368" s="42">
        <v>119</v>
      </c>
      <c r="G368" s="42">
        <v>34.304000000000002</v>
      </c>
      <c r="H368" s="42">
        <v>3.4689832089552235</v>
      </c>
      <c r="I368" s="42">
        <v>1</v>
      </c>
      <c r="J368" s="42">
        <v>3.7313432835820892</v>
      </c>
      <c r="K368" s="42">
        <v>0.9296875</v>
      </c>
      <c r="L368" s="42">
        <v>0.26800000000000002</v>
      </c>
      <c r="M368">
        <v>1</v>
      </c>
    </row>
    <row r="369" spans="3:13" x14ac:dyDescent="0.15">
      <c r="C369" s="43">
        <v>336</v>
      </c>
      <c r="D369" s="42">
        <v>336</v>
      </c>
      <c r="E369" s="42">
        <v>0.26879999999999998</v>
      </c>
      <c r="F369" s="42">
        <v>119</v>
      </c>
      <c r="G369" s="42">
        <v>34.406400000000005</v>
      </c>
      <c r="H369" s="42">
        <v>3.458658854166667</v>
      </c>
      <c r="I369" s="42">
        <v>1</v>
      </c>
      <c r="J369" s="42">
        <v>3.7202380952380953</v>
      </c>
      <c r="K369" s="42">
        <v>0.9296875</v>
      </c>
      <c r="L369" s="42">
        <v>0.26879999999999998</v>
      </c>
      <c r="M369">
        <v>1</v>
      </c>
    </row>
    <row r="370" spans="3:13" x14ac:dyDescent="0.15">
      <c r="C370" s="43">
        <v>337</v>
      </c>
      <c r="D370" s="42">
        <v>337</v>
      </c>
      <c r="E370" s="42">
        <v>0.26960000000000001</v>
      </c>
      <c r="F370" s="42">
        <v>119</v>
      </c>
      <c r="G370" s="42">
        <v>34.508800000000001</v>
      </c>
      <c r="H370" s="42">
        <v>3.4483957715133529</v>
      </c>
      <c r="I370" s="42">
        <v>1</v>
      </c>
      <c r="J370" s="42">
        <v>3.7091988130563798</v>
      </c>
      <c r="K370" s="42">
        <v>0.9296875</v>
      </c>
      <c r="L370" s="42">
        <v>0.26960000000000001</v>
      </c>
      <c r="M370">
        <v>1</v>
      </c>
    </row>
    <row r="371" spans="3:13" x14ac:dyDescent="0.15">
      <c r="C371" s="43">
        <v>338</v>
      </c>
      <c r="D371" s="42">
        <v>338</v>
      </c>
      <c r="E371" s="42">
        <v>0.27039999999999997</v>
      </c>
      <c r="F371" s="42">
        <v>119</v>
      </c>
      <c r="G371" s="42">
        <v>34.611200000000004</v>
      </c>
      <c r="H371" s="42">
        <v>3.4381934171597637</v>
      </c>
      <c r="I371" s="42">
        <v>1</v>
      </c>
      <c r="J371" s="42">
        <v>3.6982248520710064</v>
      </c>
      <c r="K371" s="42">
        <v>0.9296875</v>
      </c>
      <c r="L371" s="42">
        <v>0.27039999999999997</v>
      </c>
      <c r="M371">
        <v>1</v>
      </c>
    </row>
    <row r="372" spans="3:13" x14ac:dyDescent="0.15">
      <c r="C372" s="43">
        <v>339</v>
      </c>
      <c r="D372" s="42">
        <v>339</v>
      </c>
      <c r="E372" s="42">
        <v>0.2712</v>
      </c>
      <c r="F372" s="42">
        <v>119</v>
      </c>
      <c r="G372" s="42">
        <v>34.7136</v>
      </c>
      <c r="H372" s="42">
        <v>3.4280512536873156</v>
      </c>
      <c r="I372" s="42">
        <v>1</v>
      </c>
      <c r="J372" s="42">
        <v>3.6873156342182893</v>
      </c>
      <c r="K372" s="42">
        <v>0.9296875</v>
      </c>
      <c r="L372" s="42">
        <v>0.2712</v>
      </c>
      <c r="M372">
        <v>1</v>
      </c>
    </row>
    <row r="373" spans="3:13" x14ac:dyDescent="0.15">
      <c r="C373" s="43">
        <v>340</v>
      </c>
      <c r="D373" s="42">
        <v>340</v>
      </c>
      <c r="E373" s="42">
        <v>0.27200000000000002</v>
      </c>
      <c r="F373" s="42">
        <v>119</v>
      </c>
      <c r="G373" s="42">
        <v>34.816000000000003</v>
      </c>
      <c r="H373" s="42">
        <v>3.4179687499999996</v>
      </c>
      <c r="I373" s="42">
        <v>1</v>
      </c>
      <c r="J373" s="42">
        <v>3.6764705882352939</v>
      </c>
      <c r="K373" s="42">
        <v>0.9296875</v>
      </c>
      <c r="L373" s="42">
        <v>0.27200000000000002</v>
      </c>
      <c r="M373">
        <v>1</v>
      </c>
    </row>
    <row r="374" spans="3:13" x14ac:dyDescent="0.15">
      <c r="C374" s="43">
        <v>341</v>
      </c>
      <c r="D374" s="42">
        <v>341</v>
      </c>
      <c r="E374" s="42">
        <v>0.27279999999999999</v>
      </c>
      <c r="F374" s="42">
        <v>119</v>
      </c>
      <c r="G374" s="42">
        <v>34.918399999999998</v>
      </c>
      <c r="H374" s="42">
        <v>3.4079453812316718</v>
      </c>
      <c r="I374" s="42">
        <v>1</v>
      </c>
      <c r="J374" s="42">
        <v>3.6656891495601176</v>
      </c>
      <c r="K374" s="42">
        <v>0.9296875</v>
      </c>
      <c r="L374" s="42">
        <v>0.27279999999999999</v>
      </c>
      <c r="M374">
        <v>1</v>
      </c>
    </row>
    <row r="375" spans="3:13" x14ac:dyDescent="0.15">
      <c r="C375" s="43">
        <v>342</v>
      </c>
      <c r="D375" s="42">
        <v>342</v>
      </c>
      <c r="E375" s="42">
        <v>0.27360000000000001</v>
      </c>
      <c r="F375" s="42">
        <v>120</v>
      </c>
      <c r="G375" s="42">
        <v>35.020800000000001</v>
      </c>
      <c r="H375" s="42">
        <v>3.4265350877192979</v>
      </c>
      <c r="I375" s="42">
        <v>1</v>
      </c>
      <c r="J375" s="42">
        <v>3.6549707602339181</v>
      </c>
      <c r="K375" s="42">
        <v>0.9375</v>
      </c>
      <c r="L375" s="42">
        <v>0.27360000000000001</v>
      </c>
      <c r="M375">
        <v>1</v>
      </c>
    </row>
    <row r="376" spans="3:13" x14ac:dyDescent="0.15">
      <c r="C376" s="43">
        <v>343</v>
      </c>
      <c r="D376" s="42">
        <v>343</v>
      </c>
      <c r="E376" s="42">
        <v>0.27439999999999998</v>
      </c>
      <c r="F376" s="42">
        <v>120</v>
      </c>
      <c r="G376" s="42">
        <v>35.123200000000004</v>
      </c>
      <c r="H376" s="42">
        <v>3.4165451895043732</v>
      </c>
      <c r="I376" s="42">
        <v>1</v>
      </c>
      <c r="J376" s="42">
        <v>3.6443148688046652</v>
      </c>
      <c r="K376" s="42">
        <v>0.9375</v>
      </c>
      <c r="L376" s="42">
        <v>0.27439999999999998</v>
      </c>
      <c r="M376">
        <v>1</v>
      </c>
    </row>
    <row r="377" spans="3:13" x14ac:dyDescent="0.15">
      <c r="C377" s="43">
        <v>344</v>
      </c>
      <c r="D377" s="42">
        <v>344</v>
      </c>
      <c r="E377" s="42">
        <v>0.2752</v>
      </c>
      <c r="F377" s="42">
        <v>120</v>
      </c>
      <c r="G377" s="42">
        <v>35.2256</v>
      </c>
      <c r="H377" s="42">
        <v>3.4066133720930232</v>
      </c>
      <c r="I377" s="42">
        <v>1</v>
      </c>
      <c r="J377" s="42">
        <v>3.6337209302325579</v>
      </c>
      <c r="K377" s="42">
        <v>0.9375</v>
      </c>
      <c r="L377" s="42">
        <v>0.2752</v>
      </c>
      <c r="M377">
        <v>1</v>
      </c>
    </row>
    <row r="378" spans="3:13" x14ac:dyDescent="0.15">
      <c r="C378" s="43">
        <v>345</v>
      </c>
      <c r="D378" s="42">
        <v>345</v>
      </c>
      <c r="E378" s="42">
        <v>0.27600000000000002</v>
      </c>
      <c r="F378" s="42">
        <v>120</v>
      </c>
      <c r="G378" s="42">
        <v>35.328000000000003</v>
      </c>
      <c r="H378" s="42">
        <v>3.3967391304347823</v>
      </c>
      <c r="I378" s="42">
        <v>1</v>
      </c>
      <c r="J378" s="42">
        <v>3.6231884057971011</v>
      </c>
      <c r="K378" s="42">
        <v>0.9375</v>
      </c>
      <c r="L378" s="42">
        <v>0.27600000000000002</v>
      </c>
      <c r="M378">
        <v>1</v>
      </c>
    </row>
    <row r="379" spans="3:13" x14ac:dyDescent="0.15">
      <c r="C379" s="43">
        <v>346</v>
      </c>
      <c r="D379" s="42">
        <v>346</v>
      </c>
      <c r="E379" s="42">
        <v>0.27679999999999999</v>
      </c>
      <c r="F379" s="42">
        <v>120</v>
      </c>
      <c r="G379" s="42">
        <v>35.430399999999999</v>
      </c>
      <c r="H379" s="42">
        <v>3.386921965317919</v>
      </c>
      <c r="I379" s="42">
        <v>1</v>
      </c>
      <c r="J379" s="42">
        <v>3.6127167630057806</v>
      </c>
      <c r="K379" s="42">
        <v>0.9375</v>
      </c>
      <c r="L379" s="42">
        <v>0.27679999999999999</v>
      </c>
      <c r="M379">
        <v>1</v>
      </c>
    </row>
    <row r="380" spans="3:13" x14ac:dyDescent="0.15">
      <c r="C380" s="43">
        <v>347</v>
      </c>
      <c r="D380" s="42">
        <v>347</v>
      </c>
      <c r="E380" s="42">
        <v>0.27760000000000001</v>
      </c>
      <c r="F380" s="42">
        <v>120</v>
      </c>
      <c r="G380" s="42">
        <v>35.532800000000002</v>
      </c>
      <c r="H380" s="42">
        <v>3.3771613832853022</v>
      </c>
      <c r="I380" s="42">
        <v>1</v>
      </c>
      <c r="J380" s="42">
        <v>3.6023054755043225</v>
      </c>
      <c r="K380" s="42">
        <v>0.9375</v>
      </c>
      <c r="L380" s="42">
        <v>0.27760000000000001</v>
      </c>
      <c r="M380">
        <v>1</v>
      </c>
    </row>
    <row r="381" spans="3:13" x14ac:dyDescent="0.15">
      <c r="C381" s="43">
        <v>348</v>
      </c>
      <c r="D381" s="42">
        <v>348</v>
      </c>
      <c r="E381" s="42">
        <v>0.27839999999999998</v>
      </c>
      <c r="F381" s="42">
        <v>120</v>
      </c>
      <c r="G381" s="42">
        <v>35.635200000000005</v>
      </c>
      <c r="H381" s="42">
        <v>3.3674568965517242</v>
      </c>
      <c r="I381" s="42">
        <v>1</v>
      </c>
      <c r="J381" s="42">
        <v>3.5919540229885061</v>
      </c>
      <c r="K381" s="42">
        <v>0.9375</v>
      </c>
      <c r="L381" s="42">
        <v>0.27839999999999998</v>
      </c>
      <c r="M381">
        <v>1</v>
      </c>
    </row>
    <row r="382" spans="3:13" x14ac:dyDescent="0.15">
      <c r="C382" s="43">
        <v>349</v>
      </c>
      <c r="D382" s="42">
        <v>349</v>
      </c>
      <c r="E382" s="42">
        <v>0.2792</v>
      </c>
      <c r="F382" s="42">
        <v>120</v>
      </c>
      <c r="G382" s="42">
        <v>35.7376</v>
      </c>
      <c r="H382" s="42">
        <v>3.3578080229226361</v>
      </c>
      <c r="I382" s="42">
        <v>1</v>
      </c>
      <c r="J382" s="42">
        <v>3.5816618911174785</v>
      </c>
      <c r="K382" s="42">
        <v>0.9375</v>
      </c>
      <c r="L382" s="42">
        <v>0.2792</v>
      </c>
      <c r="M382">
        <v>1</v>
      </c>
    </row>
    <row r="383" spans="3:13" x14ac:dyDescent="0.15">
      <c r="C383" s="43">
        <v>350</v>
      </c>
      <c r="D383" s="42">
        <v>350</v>
      </c>
      <c r="E383" s="42">
        <v>0.28000000000000003</v>
      </c>
      <c r="F383" s="42">
        <v>120</v>
      </c>
      <c r="G383" s="42">
        <v>35.840000000000003</v>
      </c>
      <c r="H383" s="42">
        <v>3.3482142857142856</v>
      </c>
      <c r="I383" s="42">
        <v>1</v>
      </c>
      <c r="J383" s="42">
        <v>3.5714285714285712</v>
      </c>
      <c r="K383" s="42">
        <v>0.9375</v>
      </c>
      <c r="L383" s="42">
        <v>0.28000000000000003</v>
      </c>
      <c r="M383">
        <v>1</v>
      </c>
    </row>
    <row r="384" spans="3:13" x14ac:dyDescent="0.15">
      <c r="C384" s="43">
        <v>351</v>
      </c>
      <c r="D384" s="42">
        <v>351</v>
      </c>
      <c r="E384" s="42">
        <v>0.28079999999999999</v>
      </c>
      <c r="F384" s="42">
        <v>120</v>
      </c>
      <c r="G384" s="42">
        <v>35.942399999999999</v>
      </c>
      <c r="H384" s="42">
        <v>3.3386752136752138</v>
      </c>
      <c r="I384" s="42">
        <v>1</v>
      </c>
      <c r="J384" s="42">
        <v>3.5612535612535612</v>
      </c>
      <c r="K384" s="42">
        <v>0.9375</v>
      </c>
      <c r="L384" s="42">
        <v>0.28079999999999999</v>
      </c>
      <c r="M384">
        <v>1</v>
      </c>
    </row>
    <row r="385" spans="3:13" x14ac:dyDescent="0.15">
      <c r="C385" s="43">
        <v>352</v>
      </c>
      <c r="D385" s="42">
        <v>352</v>
      </c>
      <c r="E385" s="42">
        <v>0.28160000000000002</v>
      </c>
      <c r="F385" s="42">
        <v>120</v>
      </c>
      <c r="G385" s="42">
        <v>36.044800000000002</v>
      </c>
      <c r="H385" s="42">
        <v>3.3291903409090908</v>
      </c>
      <c r="I385" s="42">
        <v>1</v>
      </c>
      <c r="J385" s="42">
        <v>3.5511363636363633</v>
      </c>
      <c r="K385" s="42">
        <v>0.9375</v>
      </c>
      <c r="L385" s="42">
        <v>0.28160000000000002</v>
      </c>
      <c r="M385">
        <v>1</v>
      </c>
    </row>
    <row r="386" spans="3:13" x14ac:dyDescent="0.15">
      <c r="C386" s="43">
        <v>353</v>
      </c>
      <c r="D386" s="42">
        <v>353</v>
      </c>
      <c r="E386" s="42">
        <v>0.28239999999999998</v>
      </c>
      <c r="F386" s="42">
        <v>120</v>
      </c>
      <c r="G386" s="42">
        <v>36.147200000000005</v>
      </c>
      <c r="H386" s="42">
        <v>3.3197592067988668</v>
      </c>
      <c r="I386" s="42">
        <v>1</v>
      </c>
      <c r="J386" s="42">
        <v>3.5410764872521248</v>
      </c>
      <c r="K386" s="42">
        <v>0.9375</v>
      </c>
      <c r="L386" s="42">
        <v>0.28239999999999998</v>
      </c>
      <c r="M386">
        <v>1</v>
      </c>
    </row>
    <row r="387" spans="3:13" x14ac:dyDescent="0.15">
      <c r="C387" s="43">
        <v>354</v>
      </c>
      <c r="D387" s="42">
        <v>354</v>
      </c>
      <c r="E387" s="42">
        <v>0.28320000000000001</v>
      </c>
      <c r="F387" s="42">
        <v>120</v>
      </c>
      <c r="G387" s="42">
        <v>36.249600000000001</v>
      </c>
      <c r="H387" s="42">
        <v>3.3103813559322033</v>
      </c>
      <c r="I387" s="42">
        <v>1</v>
      </c>
      <c r="J387" s="42">
        <v>3.5310734463276834</v>
      </c>
      <c r="K387" s="42">
        <v>0.9375</v>
      </c>
      <c r="L387" s="42">
        <v>0.28320000000000001</v>
      </c>
      <c r="M387">
        <v>1</v>
      </c>
    </row>
    <row r="388" spans="3:13" x14ac:dyDescent="0.15">
      <c r="C388" s="43">
        <v>355</v>
      </c>
      <c r="D388" s="42">
        <v>355</v>
      </c>
      <c r="E388" s="42">
        <v>0.28399999999999997</v>
      </c>
      <c r="F388" s="42">
        <v>120</v>
      </c>
      <c r="G388" s="42">
        <v>36.352000000000004</v>
      </c>
      <c r="H388" s="42">
        <v>3.3010563380281694</v>
      </c>
      <c r="I388" s="42">
        <v>1</v>
      </c>
      <c r="J388" s="42">
        <v>3.5211267605633805</v>
      </c>
      <c r="K388" s="42">
        <v>0.9375</v>
      </c>
      <c r="L388" s="42">
        <v>0.28399999999999997</v>
      </c>
      <c r="M388">
        <v>1</v>
      </c>
    </row>
    <row r="389" spans="3:13" x14ac:dyDescent="0.15">
      <c r="C389" s="43">
        <v>356</v>
      </c>
      <c r="D389" s="42">
        <v>356</v>
      </c>
      <c r="E389" s="42">
        <v>0.2848</v>
      </c>
      <c r="F389" s="42">
        <v>120</v>
      </c>
      <c r="G389" s="42">
        <v>36.4544</v>
      </c>
      <c r="H389" s="42">
        <v>3.2917837078651684</v>
      </c>
      <c r="I389" s="42">
        <v>1</v>
      </c>
      <c r="J389" s="42">
        <v>3.51123595505618</v>
      </c>
      <c r="K389" s="42">
        <v>0.9375</v>
      </c>
      <c r="L389" s="42">
        <v>0.2848</v>
      </c>
      <c r="M389">
        <v>1</v>
      </c>
    </row>
    <row r="390" spans="3:13" x14ac:dyDescent="0.15">
      <c r="C390" s="43">
        <v>357</v>
      </c>
      <c r="D390" s="42">
        <v>357</v>
      </c>
      <c r="E390" s="42">
        <v>0.28560000000000002</v>
      </c>
      <c r="F390" s="42">
        <v>120</v>
      </c>
      <c r="G390" s="42">
        <v>36.556800000000003</v>
      </c>
      <c r="H390" s="42">
        <v>3.2825630252100839</v>
      </c>
      <c r="I390" s="42">
        <v>1</v>
      </c>
      <c r="J390" s="42">
        <v>3.5014005602240892</v>
      </c>
      <c r="K390" s="42">
        <v>0.9375</v>
      </c>
      <c r="L390" s="42">
        <v>0.28560000000000002</v>
      </c>
      <c r="M390">
        <v>1</v>
      </c>
    </row>
    <row r="391" spans="3:13" x14ac:dyDescent="0.15">
      <c r="C391" s="43">
        <v>358</v>
      </c>
      <c r="D391" s="42">
        <v>358</v>
      </c>
      <c r="E391" s="42">
        <v>0.28639999999999999</v>
      </c>
      <c r="F391" s="42">
        <v>120</v>
      </c>
      <c r="G391" s="42">
        <v>36.659199999999998</v>
      </c>
      <c r="H391" s="42">
        <v>3.2733938547486034</v>
      </c>
      <c r="I391" s="42">
        <v>1</v>
      </c>
      <c r="J391" s="42">
        <v>3.4916201117318435</v>
      </c>
      <c r="K391" s="42">
        <v>0.9375</v>
      </c>
      <c r="L391" s="42">
        <v>0.28639999999999999</v>
      </c>
      <c r="M391">
        <v>1</v>
      </c>
    </row>
    <row r="392" spans="3:13" x14ac:dyDescent="0.15">
      <c r="C392" s="43">
        <v>359</v>
      </c>
      <c r="D392" s="42">
        <v>359</v>
      </c>
      <c r="E392" s="42">
        <v>0.28720000000000001</v>
      </c>
      <c r="F392" s="42">
        <v>120</v>
      </c>
      <c r="G392" s="42">
        <v>36.761600000000001</v>
      </c>
      <c r="H392" s="42">
        <v>3.2642757660167128</v>
      </c>
      <c r="I392" s="42">
        <v>1</v>
      </c>
      <c r="J392" s="42">
        <v>3.4818941504178271</v>
      </c>
      <c r="K392" s="42">
        <v>0.9375</v>
      </c>
      <c r="L392" s="42">
        <v>0.28720000000000001</v>
      </c>
      <c r="M392">
        <v>1</v>
      </c>
    </row>
    <row r="393" spans="3:13" x14ac:dyDescent="0.15">
      <c r="C393" s="43">
        <v>360</v>
      </c>
      <c r="D393" s="42">
        <v>360</v>
      </c>
      <c r="E393" s="42">
        <v>0.28799999999999998</v>
      </c>
      <c r="F393" s="42">
        <v>120</v>
      </c>
      <c r="G393" s="42">
        <v>36.864000000000004</v>
      </c>
      <c r="H393" s="42">
        <v>3.2552083333333335</v>
      </c>
      <c r="I393" s="42">
        <v>1</v>
      </c>
      <c r="J393" s="42">
        <v>3.4722222222222223</v>
      </c>
      <c r="K393" s="42">
        <v>0.9375</v>
      </c>
      <c r="L393" s="42">
        <v>0.28799999999999998</v>
      </c>
      <c r="M393">
        <v>1</v>
      </c>
    </row>
    <row r="394" spans="3:13" x14ac:dyDescent="0.15">
      <c r="C394" s="43">
        <v>361</v>
      </c>
      <c r="D394" s="42">
        <v>361</v>
      </c>
      <c r="E394" s="42">
        <v>0.2888</v>
      </c>
      <c r="F394" s="42">
        <v>120</v>
      </c>
      <c r="G394" s="42">
        <v>36.9664</v>
      </c>
      <c r="H394" s="42">
        <v>3.246191135734072</v>
      </c>
      <c r="I394" s="42">
        <v>1</v>
      </c>
      <c r="J394" s="42">
        <v>3.4626038781163433</v>
      </c>
      <c r="K394" s="42">
        <v>0.9375</v>
      </c>
      <c r="L394" s="42">
        <v>0.2888</v>
      </c>
      <c r="M394">
        <v>1</v>
      </c>
    </row>
    <row r="395" spans="3:13" x14ac:dyDescent="0.15">
      <c r="C395" s="43">
        <v>362</v>
      </c>
      <c r="D395" s="42">
        <v>362</v>
      </c>
      <c r="E395" s="42">
        <v>0.28960000000000002</v>
      </c>
      <c r="F395" s="42">
        <v>120</v>
      </c>
      <c r="G395" s="42">
        <v>37.068800000000003</v>
      </c>
      <c r="H395" s="42">
        <v>3.2372237569060771</v>
      </c>
      <c r="I395" s="42">
        <v>1</v>
      </c>
      <c r="J395" s="42">
        <v>3.4530386740331487</v>
      </c>
      <c r="K395" s="42">
        <v>0.9375</v>
      </c>
      <c r="L395" s="42">
        <v>0.28960000000000002</v>
      </c>
      <c r="M395">
        <v>1</v>
      </c>
    </row>
    <row r="396" spans="3:13" x14ac:dyDescent="0.15">
      <c r="C396" s="43">
        <v>363</v>
      </c>
      <c r="D396" s="42">
        <v>363</v>
      </c>
      <c r="E396" s="42">
        <v>0.29039999999999999</v>
      </c>
      <c r="F396" s="42">
        <v>120</v>
      </c>
      <c r="G396" s="42">
        <v>37.171199999999999</v>
      </c>
      <c r="H396" s="42">
        <v>3.2283057851239669</v>
      </c>
      <c r="I396" s="42">
        <v>1</v>
      </c>
      <c r="J396" s="42">
        <v>3.443526170798898</v>
      </c>
      <c r="K396" s="42">
        <v>0.9375</v>
      </c>
      <c r="L396" s="42">
        <v>0.29039999999999999</v>
      </c>
      <c r="M396">
        <v>1</v>
      </c>
    </row>
    <row r="397" spans="3:13" x14ac:dyDescent="0.15">
      <c r="C397" s="43">
        <v>364</v>
      </c>
      <c r="D397" s="42">
        <v>364</v>
      </c>
      <c r="E397" s="42">
        <v>0.29120000000000001</v>
      </c>
      <c r="F397" s="42">
        <v>120</v>
      </c>
      <c r="G397" s="42">
        <v>37.273600000000002</v>
      </c>
      <c r="H397" s="42">
        <v>3.219436813186813</v>
      </c>
      <c r="I397" s="42">
        <v>1</v>
      </c>
      <c r="J397" s="42">
        <v>3.4340659340659339</v>
      </c>
      <c r="K397" s="42">
        <v>0.9375</v>
      </c>
      <c r="L397" s="42">
        <v>0.29120000000000001</v>
      </c>
      <c r="M397">
        <v>1</v>
      </c>
    </row>
    <row r="398" spans="3:13" x14ac:dyDescent="0.15">
      <c r="C398" s="43">
        <v>365</v>
      </c>
      <c r="D398" s="42">
        <v>365</v>
      </c>
      <c r="E398" s="42">
        <v>0.29199999999999998</v>
      </c>
      <c r="F398" s="42">
        <v>120</v>
      </c>
      <c r="G398" s="42">
        <v>37.376000000000005</v>
      </c>
      <c r="H398" s="42">
        <v>3.2106164383561646</v>
      </c>
      <c r="I398" s="42">
        <v>1</v>
      </c>
      <c r="J398" s="42">
        <v>3.4246575342465757</v>
      </c>
      <c r="K398" s="42">
        <v>0.9375</v>
      </c>
      <c r="L398" s="42">
        <v>0.29199999999999998</v>
      </c>
      <c r="M398">
        <v>1</v>
      </c>
    </row>
    <row r="399" spans="3:13" x14ac:dyDescent="0.15">
      <c r="C399" s="43">
        <v>366</v>
      </c>
      <c r="D399" s="42">
        <v>366</v>
      </c>
      <c r="E399" s="42">
        <v>0.2928</v>
      </c>
      <c r="F399" s="42">
        <v>120</v>
      </c>
      <c r="G399" s="42">
        <v>37.478400000000001</v>
      </c>
      <c r="H399" s="42">
        <v>3.201844262295082</v>
      </c>
      <c r="I399" s="42">
        <v>1</v>
      </c>
      <c r="J399" s="42">
        <v>3.4153005464480874</v>
      </c>
      <c r="K399" s="42">
        <v>0.9375</v>
      </c>
      <c r="L399" s="42">
        <v>0.2928</v>
      </c>
      <c r="M399">
        <v>1</v>
      </c>
    </row>
    <row r="400" spans="3:13" x14ac:dyDescent="0.15">
      <c r="C400" s="43">
        <v>367</v>
      </c>
      <c r="D400" s="42">
        <v>367</v>
      </c>
      <c r="E400" s="42">
        <v>0.29360000000000003</v>
      </c>
      <c r="F400" s="42">
        <v>120</v>
      </c>
      <c r="G400" s="42">
        <v>37.580800000000004</v>
      </c>
      <c r="H400" s="42">
        <v>3.1931198910081742</v>
      </c>
      <c r="I400" s="42">
        <v>1</v>
      </c>
      <c r="J400" s="42">
        <v>3.4059945504087192</v>
      </c>
      <c r="K400" s="42">
        <v>0.9375</v>
      </c>
      <c r="L400" s="42">
        <v>0.29360000000000003</v>
      </c>
      <c r="M400">
        <v>1</v>
      </c>
    </row>
    <row r="401" spans="3:13" x14ac:dyDescent="0.15">
      <c r="C401" s="43">
        <v>368</v>
      </c>
      <c r="D401" s="42">
        <v>368</v>
      </c>
      <c r="E401" s="42">
        <v>0.2944</v>
      </c>
      <c r="F401" s="42">
        <v>120</v>
      </c>
      <c r="G401" s="42">
        <v>37.683199999999999</v>
      </c>
      <c r="H401" s="42">
        <v>3.1844429347826089</v>
      </c>
      <c r="I401" s="42">
        <v>1</v>
      </c>
      <c r="J401" s="42">
        <v>3.3967391304347827</v>
      </c>
      <c r="K401" s="42">
        <v>0.9375</v>
      </c>
      <c r="L401" s="42">
        <v>0.2944</v>
      </c>
      <c r="M401">
        <v>1</v>
      </c>
    </row>
    <row r="402" spans="3:13" x14ac:dyDescent="0.15">
      <c r="C402" s="43">
        <v>369</v>
      </c>
      <c r="D402" s="42">
        <v>369</v>
      </c>
      <c r="E402" s="42">
        <v>0.29520000000000002</v>
      </c>
      <c r="F402" s="42">
        <v>120</v>
      </c>
      <c r="G402" s="42">
        <v>37.785600000000002</v>
      </c>
      <c r="H402" s="42">
        <v>3.1758130081300813</v>
      </c>
      <c r="I402" s="42">
        <v>1</v>
      </c>
      <c r="J402" s="42">
        <v>3.3875338753387534</v>
      </c>
      <c r="K402" s="42">
        <v>0.9375</v>
      </c>
      <c r="L402" s="42">
        <v>0.29520000000000002</v>
      </c>
      <c r="M402">
        <v>1</v>
      </c>
    </row>
    <row r="403" spans="3:13" x14ac:dyDescent="0.15">
      <c r="C403" s="43">
        <v>370</v>
      </c>
      <c r="D403" s="42">
        <v>370</v>
      </c>
      <c r="E403" s="42">
        <v>0.29599999999999999</v>
      </c>
      <c r="F403" s="42">
        <v>120</v>
      </c>
      <c r="G403" s="42">
        <v>37.888000000000005</v>
      </c>
      <c r="H403" s="42">
        <v>3.1672297297297298</v>
      </c>
      <c r="I403" s="42">
        <v>1</v>
      </c>
      <c r="J403" s="42">
        <v>3.3783783783783785</v>
      </c>
      <c r="K403" s="42">
        <v>0.9375</v>
      </c>
      <c r="L403" s="42">
        <v>0.29599999999999999</v>
      </c>
      <c r="M403">
        <v>1</v>
      </c>
    </row>
    <row r="404" spans="3:13" x14ac:dyDescent="0.15">
      <c r="C404" s="43">
        <v>371</v>
      </c>
      <c r="D404" s="42">
        <v>371</v>
      </c>
      <c r="E404" s="42">
        <v>0.29680000000000001</v>
      </c>
      <c r="F404" s="42">
        <v>120</v>
      </c>
      <c r="G404" s="42">
        <v>37.990400000000001</v>
      </c>
      <c r="H404" s="42">
        <v>3.1586927223719674</v>
      </c>
      <c r="I404" s="42">
        <v>1</v>
      </c>
      <c r="J404" s="42">
        <v>3.3692722371967654</v>
      </c>
      <c r="K404" s="42">
        <v>0.9375</v>
      </c>
      <c r="L404" s="42">
        <v>0.29680000000000001</v>
      </c>
      <c r="M404">
        <v>1</v>
      </c>
    </row>
    <row r="405" spans="3:13" x14ac:dyDescent="0.15">
      <c r="C405" s="43">
        <v>372</v>
      </c>
      <c r="D405" s="42">
        <v>372</v>
      </c>
      <c r="E405" s="42">
        <v>0.29759999999999998</v>
      </c>
      <c r="F405" s="42">
        <v>120</v>
      </c>
      <c r="G405" s="42">
        <v>38.092800000000004</v>
      </c>
      <c r="H405" s="42">
        <v>3.150201612903226</v>
      </c>
      <c r="I405" s="42">
        <v>1</v>
      </c>
      <c r="J405" s="42">
        <v>3.360215053763441</v>
      </c>
      <c r="K405" s="42">
        <v>0.9375</v>
      </c>
      <c r="L405" s="42">
        <v>0.29759999999999998</v>
      </c>
      <c r="M405">
        <v>1</v>
      </c>
    </row>
    <row r="406" spans="3:13" x14ac:dyDescent="0.15">
      <c r="C406" s="43">
        <v>373</v>
      </c>
      <c r="D406" s="42">
        <v>373</v>
      </c>
      <c r="E406" s="42">
        <v>0.2984</v>
      </c>
      <c r="F406" s="42">
        <v>120</v>
      </c>
      <c r="G406" s="42">
        <v>38.1952</v>
      </c>
      <c r="H406" s="42">
        <v>3.1417560321715818</v>
      </c>
      <c r="I406" s="42">
        <v>1</v>
      </c>
      <c r="J406" s="42">
        <v>3.3512064343163539</v>
      </c>
      <c r="K406" s="42">
        <v>0.9375</v>
      </c>
      <c r="L406" s="42">
        <v>0.2984</v>
      </c>
      <c r="M406">
        <v>1</v>
      </c>
    </row>
    <row r="407" spans="3:13" x14ac:dyDescent="0.15">
      <c r="C407" s="43">
        <v>374</v>
      </c>
      <c r="D407" s="42">
        <v>374</v>
      </c>
      <c r="E407" s="42">
        <v>0.29920000000000002</v>
      </c>
      <c r="F407" s="42">
        <v>120</v>
      </c>
      <c r="G407" s="42">
        <v>38.297600000000003</v>
      </c>
      <c r="H407" s="42">
        <v>3.133355614973262</v>
      </c>
      <c r="I407" s="42">
        <v>1</v>
      </c>
      <c r="J407" s="42">
        <v>3.3422459893048124</v>
      </c>
      <c r="K407" s="42">
        <v>0.9375</v>
      </c>
      <c r="L407" s="42">
        <v>0.29920000000000002</v>
      </c>
      <c r="M407">
        <v>1</v>
      </c>
    </row>
    <row r="408" spans="3:13" x14ac:dyDescent="0.15">
      <c r="C408" s="43">
        <v>375</v>
      </c>
      <c r="D408" s="42">
        <v>375</v>
      </c>
      <c r="E408" s="42">
        <v>0.3</v>
      </c>
      <c r="F408" s="42">
        <v>120</v>
      </c>
      <c r="G408" s="42">
        <v>38.4</v>
      </c>
      <c r="H408" s="42">
        <v>3.125</v>
      </c>
      <c r="I408" s="42">
        <v>1</v>
      </c>
      <c r="J408" s="42">
        <v>3.3333333333333335</v>
      </c>
      <c r="K408" s="42">
        <v>0.9375</v>
      </c>
      <c r="L408" s="42">
        <v>0.3</v>
      </c>
      <c r="M408">
        <v>1</v>
      </c>
    </row>
    <row r="409" spans="3:13" x14ac:dyDescent="0.15">
      <c r="C409" s="43">
        <v>376</v>
      </c>
      <c r="D409" s="42">
        <v>376</v>
      </c>
      <c r="E409" s="42">
        <v>0.30080000000000001</v>
      </c>
      <c r="F409" s="42">
        <v>120</v>
      </c>
      <c r="G409" s="42">
        <v>38.502400000000002</v>
      </c>
      <c r="H409" s="42">
        <v>3.1166888297872339</v>
      </c>
      <c r="I409" s="42">
        <v>1</v>
      </c>
      <c r="J409" s="42">
        <v>3.3244680851063828</v>
      </c>
      <c r="K409" s="42">
        <v>0.9375</v>
      </c>
      <c r="L409" s="42">
        <v>0.30080000000000001</v>
      </c>
      <c r="M409">
        <v>1</v>
      </c>
    </row>
    <row r="410" spans="3:13" x14ac:dyDescent="0.15">
      <c r="C410" s="43">
        <v>377</v>
      </c>
      <c r="D410" s="42">
        <v>377</v>
      </c>
      <c r="E410" s="42">
        <v>0.30159999999999998</v>
      </c>
      <c r="F410" s="42">
        <v>120</v>
      </c>
      <c r="G410" s="42">
        <v>38.604800000000004</v>
      </c>
      <c r="H410" s="42">
        <v>3.1084217506631302</v>
      </c>
      <c r="I410" s="42">
        <v>1</v>
      </c>
      <c r="J410" s="42">
        <v>3.3156498673740056</v>
      </c>
      <c r="K410" s="42">
        <v>0.9375</v>
      </c>
      <c r="L410" s="42">
        <v>0.30159999999999998</v>
      </c>
      <c r="M410">
        <v>1</v>
      </c>
    </row>
    <row r="411" spans="3:13" x14ac:dyDescent="0.15">
      <c r="C411" s="43">
        <v>378</v>
      </c>
      <c r="D411" s="42">
        <v>378</v>
      </c>
      <c r="E411" s="42">
        <v>0.3024</v>
      </c>
      <c r="F411" s="42">
        <v>121</v>
      </c>
      <c r="G411" s="42">
        <v>38.7072</v>
      </c>
      <c r="H411" s="42">
        <v>3.1260333994708995</v>
      </c>
      <c r="I411" s="42">
        <v>1</v>
      </c>
      <c r="J411" s="42">
        <v>3.306878306878307</v>
      </c>
      <c r="K411" s="42">
        <v>0.9453125</v>
      </c>
      <c r="L411" s="42">
        <v>0.3024</v>
      </c>
      <c r="M411">
        <v>1</v>
      </c>
    </row>
    <row r="412" spans="3:13" x14ac:dyDescent="0.15">
      <c r="C412" s="43">
        <v>379</v>
      </c>
      <c r="D412" s="42">
        <v>379</v>
      </c>
      <c r="E412" s="42">
        <v>0.30320000000000003</v>
      </c>
      <c r="F412" s="42">
        <v>121</v>
      </c>
      <c r="G412" s="42">
        <v>38.809600000000003</v>
      </c>
      <c r="H412" s="42">
        <v>3.117785290237467</v>
      </c>
      <c r="I412" s="42">
        <v>1</v>
      </c>
      <c r="J412" s="42">
        <v>3.2981530343007912</v>
      </c>
      <c r="K412" s="42">
        <v>0.9453125</v>
      </c>
      <c r="L412" s="42">
        <v>0.30320000000000003</v>
      </c>
      <c r="M412">
        <v>1</v>
      </c>
    </row>
    <row r="413" spans="3:13" x14ac:dyDescent="0.15">
      <c r="C413" s="43">
        <v>380</v>
      </c>
      <c r="D413" s="42">
        <v>380</v>
      </c>
      <c r="E413" s="42">
        <v>0.30399999999999999</v>
      </c>
      <c r="F413" s="42">
        <v>121</v>
      </c>
      <c r="G413" s="42">
        <v>38.911999999999999</v>
      </c>
      <c r="H413" s="42">
        <v>3.1095805921052633</v>
      </c>
      <c r="I413" s="42">
        <v>1</v>
      </c>
      <c r="J413" s="42">
        <v>3.2894736842105265</v>
      </c>
      <c r="K413" s="42">
        <v>0.9453125</v>
      </c>
      <c r="L413" s="42">
        <v>0.30399999999999999</v>
      </c>
      <c r="M413">
        <v>1</v>
      </c>
    </row>
    <row r="414" spans="3:13" x14ac:dyDescent="0.15">
      <c r="C414" s="43">
        <v>381</v>
      </c>
      <c r="D414" s="42">
        <v>381</v>
      </c>
      <c r="E414" s="42">
        <v>0.30480000000000002</v>
      </c>
      <c r="F414" s="42">
        <v>121</v>
      </c>
      <c r="G414" s="42">
        <v>39.014400000000002</v>
      </c>
      <c r="H414" s="42">
        <v>3.1014189632545932</v>
      </c>
      <c r="I414" s="42">
        <v>1</v>
      </c>
      <c r="J414" s="42">
        <v>3.280839895013123</v>
      </c>
      <c r="K414" s="42">
        <v>0.9453125</v>
      </c>
      <c r="L414" s="42">
        <v>0.30480000000000002</v>
      </c>
      <c r="M414">
        <v>1</v>
      </c>
    </row>
    <row r="415" spans="3:13" x14ac:dyDescent="0.15">
      <c r="C415" s="43">
        <v>382</v>
      </c>
      <c r="D415" s="42">
        <v>382</v>
      </c>
      <c r="E415" s="42">
        <v>0.30559999999999998</v>
      </c>
      <c r="F415" s="42">
        <v>121</v>
      </c>
      <c r="G415" s="42">
        <v>39.116800000000005</v>
      </c>
      <c r="H415" s="42">
        <v>3.0933000654450264</v>
      </c>
      <c r="I415" s="42">
        <v>1</v>
      </c>
      <c r="J415" s="42">
        <v>3.2722513089005236</v>
      </c>
      <c r="K415" s="42">
        <v>0.9453125</v>
      </c>
      <c r="L415" s="42">
        <v>0.30559999999999998</v>
      </c>
      <c r="M415">
        <v>1</v>
      </c>
    </row>
    <row r="416" spans="3:13" x14ac:dyDescent="0.15">
      <c r="C416" s="43">
        <v>383</v>
      </c>
      <c r="D416" s="42">
        <v>383</v>
      </c>
      <c r="E416" s="42">
        <v>0.30640000000000001</v>
      </c>
      <c r="F416" s="42">
        <v>121</v>
      </c>
      <c r="G416" s="42">
        <v>39.219200000000001</v>
      </c>
      <c r="H416" s="42">
        <v>3.0852235639686683</v>
      </c>
      <c r="I416" s="42">
        <v>1</v>
      </c>
      <c r="J416" s="42">
        <v>3.2637075718015667</v>
      </c>
      <c r="K416" s="42">
        <v>0.9453125</v>
      </c>
      <c r="L416" s="42">
        <v>0.30640000000000001</v>
      </c>
      <c r="M416">
        <v>1</v>
      </c>
    </row>
    <row r="417" spans="3:13" x14ac:dyDescent="0.15">
      <c r="C417" s="43">
        <v>384</v>
      </c>
      <c r="D417" s="42">
        <v>384</v>
      </c>
      <c r="E417" s="42">
        <v>0.30719999999999997</v>
      </c>
      <c r="F417" s="42">
        <v>121</v>
      </c>
      <c r="G417" s="42">
        <v>39.321600000000004</v>
      </c>
      <c r="H417" s="42">
        <v>3.077189127604167</v>
      </c>
      <c r="I417" s="42">
        <v>1</v>
      </c>
      <c r="J417" s="42">
        <v>3.2552083333333335</v>
      </c>
      <c r="K417" s="42">
        <v>0.9453125</v>
      </c>
      <c r="L417" s="42">
        <v>0.30719999999999997</v>
      </c>
      <c r="M417">
        <v>1</v>
      </c>
    </row>
    <row r="418" spans="3:13" x14ac:dyDescent="0.15">
      <c r="C418" s="43">
        <v>385</v>
      </c>
      <c r="D418" s="42">
        <v>385</v>
      </c>
      <c r="E418" s="42">
        <v>0.308</v>
      </c>
      <c r="F418" s="42">
        <v>121</v>
      </c>
      <c r="G418" s="42">
        <v>39.423999999999999</v>
      </c>
      <c r="H418" s="42">
        <v>3.0691964285714288</v>
      </c>
      <c r="I418" s="42">
        <v>1</v>
      </c>
      <c r="J418" s="42">
        <v>3.2467532467532467</v>
      </c>
      <c r="K418" s="42">
        <v>0.9453125</v>
      </c>
      <c r="L418" s="42">
        <v>0.308</v>
      </c>
      <c r="M418">
        <v>1</v>
      </c>
    </row>
    <row r="419" spans="3:13" x14ac:dyDescent="0.15">
      <c r="C419" s="43">
        <v>386</v>
      </c>
      <c r="D419" s="42">
        <v>386</v>
      </c>
      <c r="E419" s="42">
        <v>0.30880000000000002</v>
      </c>
      <c r="F419" s="42">
        <v>121</v>
      </c>
      <c r="G419" s="42">
        <v>39.526400000000002</v>
      </c>
      <c r="H419" s="42">
        <v>3.0612451424870466</v>
      </c>
      <c r="I419" s="42">
        <v>1</v>
      </c>
      <c r="J419" s="42">
        <v>3.2383419689119171</v>
      </c>
      <c r="K419" s="42">
        <v>0.9453125</v>
      </c>
      <c r="L419" s="42">
        <v>0.30880000000000002</v>
      </c>
      <c r="M419">
        <v>1</v>
      </c>
    </row>
    <row r="420" spans="3:13" x14ac:dyDescent="0.15">
      <c r="C420" s="43">
        <v>387</v>
      </c>
      <c r="D420" s="42">
        <v>387</v>
      </c>
      <c r="E420" s="42">
        <v>0.30959999999999999</v>
      </c>
      <c r="F420" s="42">
        <v>121</v>
      </c>
      <c r="G420" s="42">
        <v>39.628800000000005</v>
      </c>
      <c r="H420" s="42">
        <v>3.0533349483204137</v>
      </c>
      <c r="I420" s="42">
        <v>1</v>
      </c>
      <c r="J420" s="42">
        <v>3.2299741602067185</v>
      </c>
      <c r="K420" s="42">
        <v>0.9453125</v>
      </c>
      <c r="L420" s="42">
        <v>0.30959999999999999</v>
      </c>
      <c r="M420">
        <v>1</v>
      </c>
    </row>
    <row r="421" spans="3:13" x14ac:dyDescent="0.15">
      <c r="C421" s="43">
        <v>388</v>
      </c>
      <c r="D421" s="42">
        <v>388</v>
      </c>
      <c r="E421" s="42">
        <v>0.31040000000000001</v>
      </c>
      <c r="F421" s="42">
        <v>121</v>
      </c>
      <c r="G421" s="42">
        <v>39.731200000000001</v>
      </c>
      <c r="H421" s="42">
        <v>3.0454655283505154</v>
      </c>
      <c r="I421" s="42">
        <v>1</v>
      </c>
      <c r="J421" s="42">
        <v>3.2216494845360826</v>
      </c>
      <c r="K421" s="42">
        <v>0.9453125</v>
      </c>
      <c r="L421" s="42">
        <v>0.31040000000000001</v>
      </c>
      <c r="M421">
        <v>1</v>
      </c>
    </row>
    <row r="422" spans="3:13" x14ac:dyDescent="0.15">
      <c r="C422" s="43">
        <v>389</v>
      </c>
      <c r="D422" s="42">
        <v>389</v>
      </c>
      <c r="E422" s="42">
        <v>0.31119999999999998</v>
      </c>
      <c r="F422" s="42">
        <v>121</v>
      </c>
      <c r="G422" s="42">
        <v>39.833600000000004</v>
      </c>
      <c r="H422" s="42">
        <v>3.0376365681233937</v>
      </c>
      <c r="I422" s="42">
        <v>1</v>
      </c>
      <c r="J422" s="42">
        <v>3.2133676092544992</v>
      </c>
      <c r="K422" s="42">
        <v>0.9453125</v>
      </c>
      <c r="L422" s="42">
        <v>0.31119999999999998</v>
      </c>
      <c r="M422">
        <v>1</v>
      </c>
    </row>
    <row r="423" spans="3:13" x14ac:dyDescent="0.15">
      <c r="C423" s="43">
        <v>390</v>
      </c>
      <c r="D423" s="42">
        <v>390</v>
      </c>
      <c r="E423" s="42">
        <v>0.312</v>
      </c>
      <c r="F423" s="42">
        <v>121</v>
      </c>
      <c r="G423" s="42">
        <v>39.936</v>
      </c>
      <c r="H423" s="42">
        <v>3.0298477564102564</v>
      </c>
      <c r="I423" s="42">
        <v>1</v>
      </c>
      <c r="J423" s="42">
        <v>3.2051282051282053</v>
      </c>
      <c r="K423" s="42">
        <v>0.9453125</v>
      </c>
      <c r="L423" s="42">
        <v>0.312</v>
      </c>
      <c r="M423">
        <v>1</v>
      </c>
    </row>
    <row r="424" spans="3:13" x14ac:dyDescent="0.15">
      <c r="C424" s="43">
        <v>391</v>
      </c>
      <c r="D424" s="42">
        <v>391</v>
      </c>
      <c r="E424" s="42">
        <v>0.31280000000000002</v>
      </c>
      <c r="F424" s="42">
        <v>121</v>
      </c>
      <c r="G424" s="42">
        <v>40.038400000000003</v>
      </c>
      <c r="H424" s="42">
        <v>3.0220987851662402</v>
      </c>
      <c r="I424" s="42">
        <v>1</v>
      </c>
      <c r="J424" s="42">
        <v>3.1969309462915598</v>
      </c>
      <c r="K424" s="42">
        <v>0.9453125</v>
      </c>
      <c r="L424" s="42">
        <v>0.31280000000000002</v>
      </c>
      <c r="M424">
        <v>1</v>
      </c>
    </row>
    <row r="425" spans="3:13" x14ac:dyDescent="0.15">
      <c r="C425" s="43">
        <v>392</v>
      </c>
      <c r="D425" s="42">
        <v>392</v>
      </c>
      <c r="E425" s="42">
        <v>0.31359999999999999</v>
      </c>
      <c r="F425" s="42">
        <v>121</v>
      </c>
      <c r="G425" s="42">
        <v>40.140799999999999</v>
      </c>
      <c r="H425" s="42">
        <v>3.0143893494897962</v>
      </c>
      <c r="I425" s="42">
        <v>1</v>
      </c>
      <c r="J425" s="42">
        <v>3.1887755102040818</v>
      </c>
      <c r="K425" s="42">
        <v>0.9453125</v>
      </c>
      <c r="L425" s="42">
        <v>0.31359999999999999</v>
      </c>
      <c r="M425">
        <v>1</v>
      </c>
    </row>
    <row r="426" spans="3:13" x14ac:dyDescent="0.15">
      <c r="C426" s="43">
        <v>393</v>
      </c>
      <c r="D426" s="42">
        <v>393</v>
      </c>
      <c r="E426" s="42">
        <v>0.31440000000000001</v>
      </c>
      <c r="F426" s="42">
        <v>121</v>
      </c>
      <c r="G426" s="42">
        <v>40.243200000000002</v>
      </c>
      <c r="H426" s="42">
        <v>3.0067191475826971</v>
      </c>
      <c r="I426" s="42">
        <v>1</v>
      </c>
      <c r="J426" s="42">
        <v>3.1806615776081424</v>
      </c>
      <c r="K426" s="42">
        <v>0.9453125</v>
      </c>
      <c r="L426" s="42">
        <v>0.31440000000000001</v>
      </c>
      <c r="M426">
        <v>1</v>
      </c>
    </row>
    <row r="427" spans="3:13" x14ac:dyDescent="0.15">
      <c r="C427" s="43">
        <v>394</v>
      </c>
      <c r="D427" s="42">
        <v>394</v>
      </c>
      <c r="E427" s="42">
        <v>0.31519999999999998</v>
      </c>
      <c r="F427" s="42">
        <v>121</v>
      </c>
      <c r="G427" s="42">
        <v>40.345600000000005</v>
      </c>
      <c r="H427" s="42">
        <v>2.9990878807106602</v>
      </c>
      <c r="I427" s="42">
        <v>1</v>
      </c>
      <c r="J427" s="42">
        <v>3.1725888324873099</v>
      </c>
      <c r="K427" s="42">
        <v>0.9453125</v>
      </c>
      <c r="L427" s="42">
        <v>0.31519999999999998</v>
      </c>
      <c r="M427">
        <v>1</v>
      </c>
    </row>
    <row r="428" spans="3:13" x14ac:dyDescent="0.15">
      <c r="C428" s="43">
        <v>395</v>
      </c>
      <c r="D428" s="42">
        <v>395</v>
      </c>
      <c r="E428" s="42">
        <v>0.316</v>
      </c>
      <c r="F428" s="42">
        <v>121</v>
      </c>
      <c r="G428" s="42">
        <v>40.448</v>
      </c>
      <c r="H428" s="42">
        <v>2.9914952531645569</v>
      </c>
      <c r="I428" s="42">
        <v>1</v>
      </c>
      <c r="J428" s="42">
        <v>3.1645569620253164</v>
      </c>
      <c r="K428" s="42">
        <v>0.9453125</v>
      </c>
      <c r="L428" s="42">
        <v>0.316</v>
      </c>
      <c r="M428">
        <v>1</v>
      </c>
    </row>
    <row r="429" spans="3:13" x14ac:dyDescent="0.15">
      <c r="C429" s="43">
        <v>396</v>
      </c>
      <c r="D429" s="42">
        <v>396</v>
      </c>
      <c r="E429" s="42">
        <v>0.31680000000000003</v>
      </c>
      <c r="F429" s="42">
        <v>121</v>
      </c>
      <c r="G429" s="42">
        <v>40.550400000000003</v>
      </c>
      <c r="H429" s="42">
        <v>2.9839409722222219</v>
      </c>
      <c r="I429" s="42">
        <v>1</v>
      </c>
      <c r="J429" s="42">
        <v>3.1565656565656561</v>
      </c>
      <c r="K429" s="42">
        <v>0.9453125</v>
      </c>
      <c r="L429" s="42">
        <v>0.31680000000000003</v>
      </c>
      <c r="M429">
        <v>1</v>
      </c>
    </row>
    <row r="430" spans="3:13" x14ac:dyDescent="0.15">
      <c r="C430" s="43">
        <v>397</v>
      </c>
      <c r="D430" s="42">
        <v>397</v>
      </c>
      <c r="E430" s="42">
        <v>0.31759999999999999</v>
      </c>
      <c r="F430" s="42">
        <v>121</v>
      </c>
      <c r="G430" s="42">
        <v>40.652799999999999</v>
      </c>
      <c r="H430" s="42">
        <v>2.9764247481108312</v>
      </c>
      <c r="I430" s="42">
        <v>1</v>
      </c>
      <c r="J430" s="42">
        <v>3.1486146095717884</v>
      </c>
      <c r="K430" s="42">
        <v>0.9453125</v>
      </c>
      <c r="L430" s="42">
        <v>0.31759999999999999</v>
      </c>
      <c r="M430">
        <v>1</v>
      </c>
    </row>
    <row r="431" spans="3:13" x14ac:dyDescent="0.15">
      <c r="C431" s="43">
        <v>398</v>
      </c>
      <c r="D431" s="42">
        <v>398</v>
      </c>
      <c r="E431" s="42">
        <v>0.31840000000000002</v>
      </c>
      <c r="F431" s="42">
        <v>121</v>
      </c>
      <c r="G431" s="42">
        <v>40.755200000000002</v>
      </c>
      <c r="H431" s="42">
        <v>2.9689462939698492</v>
      </c>
      <c r="I431" s="42">
        <v>1</v>
      </c>
      <c r="J431" s="42">
        <v>3.1407035175879394</v>
      </c>
      <c r="K431" s="42">
        <v>0.9453125</v>
      </c>
      <c r="L431" s="42">
        <v>0.31840000000000002</v>
      </c>
      <c r="M431">
        <v>1</v>
      </c>
    </row>
    <row r="432" spans="3:13" x14ac:dyDescent="0.15">
      <c r="C432" s="43">
        <v>399</v>
      </c>
      <c r="D432" s="42">
        <v>399</v>
      </c>
      <c r="E432" s="42">
        <v>0.31919999999999998</v>
      </c>
      <c r="F432" s="42">
        <v>122</v>
      </c>
      <c r="G432" s="42">
        <v>40.857600000000005</v>
      </c>
      <c r="H432" s="42">
        <v>2.9859805764411029</v>
      </c>
      <c r="I432" s="42">
        <v>1</v>
      </c>
      <c r="J432" s="42">
        <v>3.1328320802005014</v>
      </c>
      <c r="K432" s="42">
        <v>0.953125</v>
      </c>
      <c r="L432" s="42">
        <v>0.31919999999999998</v>
      </c>
      <c r="M432">
        <v>1</v>
      </c>
    </row>
    <row r="433" spans="3:13" x14ac:dyDescent="0.15">
      <c r="C433" s="43">
        <v>400</v>
      </c>
      <c r="D433" s="42">
        <v>400</v>
      </c>
      <c r="E433" s="42">
        <v>0.32</v>
      </c>
      <c r="F433" s="42">
        <v>122</v>
      </c>
      <c r="G433" s="42">
        <v>40.96</v>
      </c>
      <c r="H433" s="42">
        <v>2.978515625</v>
      </c>
      <c r="I433" s="42">
        <v>1</v>
      </c>
      <c r="J433" s="42">
        <v>3.125</v>
      </c>
      <c r="K433" s="42">
        <v>0.953125</v>
      </c>
      <c r="L433" s="42">
        <v>0.32</v>
      </c>
      <c r="M433">
        <v>1</v>
      </c>
    </row>
    <row r="434" spans="3:13" x14ac:dyDescent="0.15">
      <c r="C434" s="43">
        <v>401</v>
      </c>
      <c r="D434" s="42">
        <v>401</v>
      </c>
      <c r="E434" s="42">
        <v>0.32079999999999997</v>
      </c>
      <c r="F434" s="42">
        <v>122</v>
      </c>
      <c r="G434" s="42">
        <v>41.062400000000004</v>
      </c>
      <c r="H434" s="42">
        <v>2.9710879052369079</v>
      </c>
      <c r="I434" s="42">
        <v>1</v>
      </c>
      <c r="J434" s="42">
        <v>3.117206982543641</v>
      </c>
      <c r="K434" s="42">
        <v>0.953125</v>
      </c>
      <c r="L434" s="42">
        <v>0.32079999999999997</v>
      </c>
      <c r="M434">
        <v>1</v>
      </c>
    </row>
    <row r="435" spans="3:13" x14ac:dyDescent="0.15">
      <c r="C435" s="43">
        <v>402</v>
      </c>
      <c r="D435" s="42">
        <v>402</v>
      </c>
      <c r="E435" s="42">
        <v>0.3216</v>
      </c>
      <c r="F435" s="42">
        <v>122</v>
      </c>
      <c r="G435" s="42">
        <v>41.1648</v>
      </c>
      <c r="H435" s="42">
        <v>2.9636971393034828</v>
      </c>
      <c r="I435" s="42">
        <v>1</v>
      </c>
      <c r="J435" s="42">
        <v>3.1094527363184081</v>
      </c>
      <c r="K435" s="42">
        <v>0.953125</v>
      </c>
      <c r="L435" s="42">
        <v>0.3216</v>
      </c>
      <c r="M435">
        <v>1</v>
      </c>
    </row>
    <row r="436" spans="3:13" x14ac:dyDescent="0.15">
      <c r="C436" s="43">
        <v>403</v>
      </c>
      <c r="D436" s="42">
        <v>403</v>
      </c>
      <c r="E436" s="42">
        <v>0.32240000000000002</v>
      </c>
      <c r="F436" s="42">
        <v>122</v>
      </c>
      <c r="G436" s="42">
        <v>41.267200000000003</v>
      </c>
      <c r="H436" s="42">
        <v>2.9563430521091809</v>
      </c>
      <c r="I436" s="42">
        <v>1</v>
      </c>
      <c r="J436" s="42">
        <v>3.1017369727047144</v>
      </c>
      <c r="K436" s="42">
        <v>0.953125</v>
      </c>
      <c r="L436" s="42">
        <v>0.32240000000000002</v>
      </c>
      <c r="M436">
        <v>1</v>
      </c>
    </row>
    <row r="437" spans="3:13" x14ac:dyDescent="0.15">
      <c r="C437" s="43">
        <v>404</v>
      </c>
      <c r="D437" s="42">
        <v>404</v>
      </c>
      <c r="E437" s="42">
        <v>0.32319999999999999</v>
      </c>
      <c r="F437" s="42">
        <v>122</v>
      </c>
      <c r="G437" s="42">
        <v>41.369600000000005</v>
      </c>
      <c r="H437" s="42">
        <v>2.9490253712871288</v>
      </c>
      <c r="I437" s="42">
        <v>1</v>
      </c>
      <c r="J437" s="42">
        <v>3.0940594059405941</v>
      </c>
      <c r="K437" s="42">
        <v>0.953125</v>
      </c>
      <c r="L437" s="42">
        <v>0.32319999999999999</v>
      </c>
      <c r="M437">
        <v>1</v>
      </c>
    </row>
    <row r="438" spans="3:13" x14ac:dyDescent="0.15">
      <c r="C438" s="43">
        <v>405</v>
      </c>
      <c r="D438" s="42">
        <v>405</v>
      </c>
      <c r="E438" s="42">
        <v>0.32400000000000001</v>
      </c>
      <c r="F438" s="42">
        <v>122</v>
      </c>
      <c r="G438" s="42">
        <v>41.472000000000001</v>
      </c>
      <c r="H438" s="42">
        <v>2.9417438271604937</v>
      </c>
      <c r="I438" s="42">
        <v>1</v>
      </c>
      <c r="J438" s="42">
        <v>3.0864197530864197</v>
      </c>
      <c r="K438" s="42">
        <v>0.953125</v>
      </c>
      <c r="L438" s="42">
        <v>0.32400000000000001</v>
      </c>
      <c r="M438">
        <v>1</v>
      </c>
    </row>
    <row r="439" spans="3:13" x14ac:dyDescent="0.15">
      <c r="C439" s="43">
        <v>406</v>
      </c>
      <c r="D439" s="42">
        <v>406</v>
      </c>
      <c r="E439" s="42">
        <v>0.32479999999999998</v>
      </c>
      <c r="F439" s="42">
        <v>122</v>
      </c>
      <c r="G439" s="42">
        <v>41.574400000000004</v>
      </c>
      <c r="H439" s="42">
        <v>2.9344981527093599</v>
      </c>
      <c r="I439" s="42">
        <v>1</v>
      </c>
      <c r="J439" s="42">
        <v>3.0788177339901481</v>
      </c>
      <c r="K439" s="42">
        <v>0.953125</v>
      </c>
      <c r="L439" s="42">
        <v>0.32479999999999998</v>
      </c>
      <c r="M439">
        <v>1</v>
      </c>
    </row>
    <row r="440" spans="3:13" x14ac:dyDescent="0.15">
      <c r="C440" s="43">
        <v>407</v>
      </c>
      <c r="D440" s="42">
        <v>407</v>
      </c>
      <c r="E440" s="42">
        <v>0.3256</v>
      </c>
      <c r="F440" s="42">
        <v>122</v>
      </c>
      <c r="G440" s="42">
        <v>41.6768</v>
      </c>
      <c r="H440" s="42">
        <v>2.9272880835380835</v>
      </c>
      <c r="I440" s="42">
        <v>1</v>
      </c>
      <c r="J440" s="42">
        <v>3.0712530712530715</v>
      </c>
      <c r="K440" s="42">
        <v>0.953125</v>
      </c>
      <c r="L440" s="42">
        <v>0.3256</v>
      </c>
      <c r="M440">
        <v>1</v>
      </c>
    </row>
    <row r="441" spans="3:13" x14ac:dyDescent="0.15">
      <c r="C441" s="43">
        <v>408</v>
      </c>
      <c r="D441" s="42">
        <v>408</v>
      </c>
      <c r="E441" s="42">
        <v>0.32640000000000002</v>
      </c>
      <c r="F441" s="42">
        <v>122</v>
      </c>
      <c r="G441" s="42">
        <v>41.779200000000003</v>
      </c>
      <c r="H441" s="42">
        <v>2.9201133578431371</v>
      </c>
      <c r="I441" s="42">
        <v>1</v>
      </c>
      <c r="J441" s="42">
        <v>3.0637254901960782</v>
      </c>
      <c r="K441" s="42">
        <v>0.953125</v>
      </c>
      <c r="L441" s="42">
        <v>0.32640000000000002</v>
      </c>
      <c r="M441">
        <v>1</v>
      </c>
    </row>
    <row r="442" spans="3:13" x14ac:dyDescent="0.15">
      <c r="C442" s="43">
        <v>409</v>
      </c>
      <c r="D442" s="42">
        <v>409</v>
      </c>
      <c r="E442" s="42">
        <v>0.32719999999999999</v>
      </c>
      <c r="F442" s="42">
        <v>122</v>
      </c>
      <c r="G442" s="42">
        <v>41.881599999999999</v>
      </c>
      <c r="H442" s="42">
        <v>2.9129737163814182</v>
      </c>
      <c r="I442" s="42">
        <v>1</v>
      </c>
      <c r="J442" s="42">
        <v>3.0562347188264058</v>
      </c>
      <c r="K442" s="42">
        <v>0.953125</v>
      </c>
      <c r="L442" s="42">
        <v>0.32719999999999999</v>
      </c>
      <c r="M442">
        <v>1</v>
      </c>
    </row>
    <row r="443" spans="3:13" x14ac:dyDescent="0.15">
      <c r="C443" s="43">
        <v>410</v>
      </c>
      <c r="D443" s="42">
        <v>410</v>
      </c>
      <c r="E443" s="42">
        <v>0.32800000000000001</v>
      </c>
      <c r="F443" s="42">
        <v>122</v>
      </c>
      <c r="G443" s="42">
        <v>41.984000000000002</v>
      </c>
      <c r="H443" s="42">
        <v>2.9058689024390243</v>
      </c>
      <c r="I443" s="42">
        <v>1</v>
      </c>
      <c r="J443" s="42">
        <v>3.0487804878048781</v>
      </c>
      <c r="K443" s="42">
        <v>0.953125</v>
      </c>
      <c r="L443" s="42">
        <v>0.32800000000000001</v>
      </c>
      <c r="M443">
        <v>1</v>
      </c>
    </row>
    <row r="444" spans="3:13" x14ac:dyDescent="0.15">
      <c r="C444" s="43">
        <v>411</v>
      </c>
      <c r="D444" s="42">
        <v>411</v>
      </c>
      <c r="E444" s="42">
        <v>0.32879999999999998</v>
      </c>
      <c r="F444" s="42">
        <v>122</v>
      </c>
      <c r="G444" s="42">
        <v>42.086400000000005</v>
      </c>
      <c r="H444" s="42">
        <v>2.8987986618004866</v>
      </c>
      <c r="I444" s="42">
        <v>1</v>
      </c>
      <c r="J444" s="42">
        <v>3.0413625304136254</v>
      </c>
      <c r="K444" s="42">
        <v>0.953125</v>
      </c>
      <c r="L444" s="42">
        <v>0.32879999999999998</v>
      </c>
      <c r="M444">
        <v>1</v>
      </c>
    </row>
    <row r="445" spans="3:13" x14ac:dyDescent="0.15">
      <c r="C445" s="43">
        <v>412</v>
      </c>
      <c r="D445" s="42">
        <v>412</v>
      </c>
      <c r="E445" s="42">
        <v>0.3296</v>
      </c>
      <c r="F445" s="42">
        <v>122</v>
      </c>
      <c r="G445" s="42">
        <v>42.188800000000001</v>
      </c>
      <c r="H445" s="42">
        <v>2.8917627427184467</v>
      </c>
      <c r="I445" s="42">
        <v>1</v>
      </c>
      <c r="J445" s="42">
        <v>3.0339805825242716</v>
      </c>
      <c r="K445" s="42">
        <v>0.953125</v>
      </c>
      <c r="L445" s="42">
        <v>0.3296</v>
      </c>
      <c r="M445">
        <v>1</v>
      </c>
    </row>
    <row r="446" spans="3:13" x14ac:dyDescent="0.15">
      <c r="C446" s="43">
        <v>413</v>
      </c>
      <c r="D446" s="42">
        <v>413</v>
      </c>
      <c r="E446" s="42">
        <v>0.33040000000000003</v>
      </c>
      <c r="F446" s="42">
        <v>122</v>
      </c>
      <c r="G446" s="42">
        <v>42.291200000000003</v>
      </c>
      <c r="H446" s="42">
        <v>2.8847608958837769</v>
      </c>
      <c r="I446" s="42">
        <v>1</v>
      </c>
      <c r="J446" s="42">
        <v>3.0266343825665856</v>
      </c>
      <c r="K446" s="42">
        <v>0.953125</v>
      </c>
      <c r="L446" s="42">
        <v>0.33040000000000003</v>
      </c>
      <c r="M446">
        <v>1</v>
      </c>
    </row>
    <row r="447" spans="3:13" x14ac:dyDescent="0.15">
      <c r="C447" s="43">
        <v>414</v>
      </c>
      <c r="D447" s="42">
        <v>414</v>
      </c>
      <c r="E447" s="42">
        <v>0.33119999999999999</v>
      </c>
      <c r="F447" s="42">
        <v>122</v>
      </c>
      <c r="G447" s="42">
        <v>42.393599999999999</v>
      </c>
      <c r="H447" s="42">
        <v>2.8777928743961354</v>
      </c>
      <c r="I447" s="42">
        <v>1</v>
      </c>
      <c r="J447" s="42">
        <v>3.0193236714975846</v>
      </c>
      <c r="K447" s="42">
        <v>0.953125</v>
      </c>
      <c r="L447" s="42">
        <v>0.33119999999999999</v>
      </c>
      <c r="M447">
        <v>1</v>
      </c>
    </row>
    <row r="448" spans="3:13" x14ac:dyDescent="0.15">
      <c r="C448" s="43">
        <v>415</v>
      </c>
      <c r="D448" s="42">
        <v>415</v>
      </c>
      <c r="E448" s="42">
        <v>0.33200000000000002</v>
      </c>
      <c r="F448" s="42">
        <v>122</v>
      </c>
      <c r="G448" s="42">
        <v>42.496000000000002</v>
      </c>
      <c r="H448" s="42">
        <v>2.8708584337349397</v>
      </c>
      <c r="I448" s="42">
        <v>1</v>
      </c>
      <c r="J448" s="42">
        <v>3.012048192771084</v>
      </c>
      <c r="K448" s="42">
        <v>0.953125</v>
      </c>
      <c r="L448" s="42">
        <v>0.33200000000000002</v>
      </c>
      <c r="M448">
        <v>1</v>
      </c>
    </row>
    <row r="449" spans="3:13" x14ac:dyDescent="0.15">
      <c r="C449" s="43">
        <v>416</v>
      </c>
      <c r="D449" s="42">
        <v>416</v>
      </c>
      <c r="E449" s="42">
        <v>0.33279999999999998</v>
      </c>
      <c r="F449" s="42">
        <v>122</v>
      </c>
      <c r="G449" s="42">
        <v>42.598400000000005</v>
      </c>
      <c r="H449" s="42">
        <v>2.8639573317307692</v>
      </c>
      <c r="I449" s="42">
        <v>1</v>
      </c>
      <c r="J449" s="42">
        <v>3.0048076923076925</v>
      </c>
      <c r="K449" s="42">
        <v>0.953125</v>
      </c>
      <c r="L449" s="42">
        <v>0.33279999999999998</v>
      </c>
      <c r="M449">
        <v>1</v>
      </c>
    </row>
    <row r="450" spans="3:13" x14ac:dyDescent="0.15">
      <c r="C450" s="43">
        <v>417</v>
      </c>
      <c r="D450" s="42">
        <v>417</v>
      </c>
      <c r="E450" s="42">
        <v>0.33360000000000001</v>
      </c>
      <c r="F450" s="42">
        <v>122</v>
      </c>
      <c r="G450" s="42">
        <v>42.700800000000001</v>
      </c>
      <c r="H450" s="42">
        <v>2.8570893285371701</v>
      </c>
      <c r="I450" s="42">
        <v>1</v>
      </c>
      <c r="J450" s="42">
        <v>2.9976019184652278</v>
      </c>
      <c r="K450" s="42">
        <v>0.953125</v>
      </c>
      <c r="L450" s="42">
        <v>0.33360000000000001</v>
      </c>
      <c r="M450">
        <v>1</v>
      </c>
    </row>
    <row r="451" spans="3:13" x14ac:dyDescent="0.15">
      <c r="C451" s="43">
        <v>418</v>
      </c>
      <c r="D451" s="42">
        <v>418</v>
      </c>
      <c r="E451" s="42">
        <v>0.33439999999999998</v>
      </c>
      <c r="F451" s="42">
        <v>122</v>
      </c>
      <c r="G451" s="42">
        <v>42.803200000000004</v>
      </c>
      <c r="H451" s="42">
        <v>2.850254186602871</v>
      </c>
      <c r="I451" s="42">
        <v>1</v>
      </c>
      <c r="J451" s="42">
        <v>2.9904306220095696</v>
      </c>
      <c r="K451" s="42">
        <v>0.953125</v>
      </c>
      <c r="L451" s="42">
        <v>0.33439999999999998</v>
      </c>
      <c r="M451">
        <v>1</v>
      </c>
    </row>
    <row r="452" spans="3:13" x14ac:dyDescent="0.15">
      <c r="C452" s="43">
        <v>419</v>
      </c>
      <c r="D452" s="42">
        <v>419</v>
      </c>
      <c r="E452" s="42">
        <v>0.3352</v>
      </c>
      <c r="F452" s="42">
        <v>122</v>
      </c>
      <c r="G452" s="42">
        <v>42.9056</v>
      </c>
      <c r="H452" s="42">
        <v>2.8434516706443915</v>
      </c>
      <c r="I452" s="42">
        <v>1</v>
      </c>
      <c r="J452" s="42">
        <v>2.9832935560859188</v>
      </c>
      <c r="K452" s="42">
        <v>0.953125</v>
      </c>
      <c r="L452" s="42">
        <v>0.3352</v>
      </c>
      <c r="M452">
        <v>1</v>
      </c>
    </row>
    <row r="453" spans="3:13" x14ac:dyDescent="0.15">
      <c r="C453" s="43">
        <v>420</v>
      </c>
      <c r="D453" s="42">
        <v>420</v>
      </c>
      <c r="E453" s="42">
        <v>0.33600000000000002</v>
      </c>
      <c r="F453" s="42">
        <v>122</v>
      </c>
      <c r="G453" s="42">
        <v>43.008000000000003</v>
      </c>
      <c r="H453" s="42">
        <v>2.8366815476190474</v>
      </c>
      <c r="I453" s="42">
        <v>1</v>
      </c>
      <c r="J453" s="42">
        <v>2.9761904761904758</v>
      </c>
      <c r="K453" s="42">
        <v>0.953125</v>
      </c>
      <c r="L453" s="42">
        <v>0.33600000000000002</v>
      </c>
      <c r="M453">
        <v>1</v>
      </c>
    </row>
    <row r="454" spans="3:13" x14ac:dyDescent="0.15">
      <c r="C454" s="43">
        <v>421</v>
      </c>
      <c r="D454" s="42">
        <v>421</v>
      </c>
      <c r="E454" s="42">
        <v>0.33679999999999999</v>
      </c>
      <c r="F454" s="42">
        <v>122</v>
      </c>
      <c r="G454" s="42">
        <v>43.110400000000006</v>
      </c>
      <c r="H454" s="42">
        <v>2.8299435866983376</v>
      </c>
      <c r="I454" s="42">
        <v>1</v>
      </c>
      <c r="J454" s="42">
        <v>2.9691211401425179</v>
      </c>
      <c r="K454" s="42">
        <v>0.953125</v>
      </c>
      <c r="L454" s="42">
        <v>0.33679999999999999</v>
      </c>
      <c r="M454">
        <v>1</v>
      </c>
    </row>
    <row r="455" spans="3:13" x14ac:dyDescent="0.15">
      <c r="C455" s="43">
        <v>422</v>
      </c>
      <c r="D455" s="42">
        <v>422</v>
      </c>
      <c r="E455" s="42">
        <v>0.33760000000000001</v>
      </c>
      <c r="F455" s="42">
        <v>122</v>
      </c>
      <c r="G455" s="42">
        <v>43.212800000000001</v>
      </c>
      <c r="H455" s="42">
        <v>2.8232375592417061</v>
      </c>
      <c r="I455" s="42">
        <v>1</v>
      </c>
      <c r="J455" s="42">
        <v>2.9620853080568721</v>
      </c>
      <c r="K455" s="42">
        <v>0.953125</v>
      </c>
      <c r="L455" s="42">
        <v>0.33760000000000001</v>
      </c>
      <c r="M455">
        <v>1</v>
      </c>
    </row>
    <row r="456" spans="3:13" x14ac:dyDescent="0.15">
      <c r="C456" s="43">
        <v>423</v>
      </c>
      <c r="D456" s="42">
        <v>423</v>
      </c>
      <c r="E456" s="42">
        <v>0.33839999999999998</v>
      </c>
      <c r="F456" s="42">
        <v>122</v>
      </c>
      <c r="G456" s="42">
        <v>43.315200000000004</v>
      </c>
      <c r="H456" s="42">
        <v>2.8165632387706858</v>
      </c>
      <c r="I456" s="42">
        <v>1</v>
      </c>
      <c r="J456" s="42">
        <v>2.9550827423167849</v>
      </c>
      <c r="K456" s="42">
        <v>0.953125</v>
      </c>
      <c r="L456" s="42">
        <v>0.33839999999999998</v>
      </c>
      <c r="M456">
        <v>1</v>
      </c>
    </row>
    <row r="457" spans="3:13" x14ac:dyDescent="0.15">
      <c r="C457" s="43">
        <v>424</v>
      </c>
      <c r="D457" s="42">
        <v>424</v>
      </c>
      <c r="E457" s="42">
        <v>0.3392</v>
      </c>
      <c r="F457" s="42">
        <v>122</v>
      </c>
      <c r="G457" s="42">
        <v>43.4176</v>
      </c>
      <c r="H457" s="42">
        <v>2.8099204009433962</v>
      </c>
      <c r="I457" s="42">
        <v>1</v>
      </c>
      <c r="J457" s="42">
        <v>2.9481132075471699</v>
      </c>
      <c r="K457" s="42">
        <v>0.953125</v>
      </c>
      <c r="L457" s="42">
        <v>0.3392</v>
      </c>
      <c r="M457">
        <v>1</v>
      </c>
    </row>
    <row r="458" spans="3:13" x14ac:dyDescent="0.15">
      <c r="C458" s="43">
        <v>425</v>
      </c>
      <c r="D458" s="42">
        <v>425</v>
      </c>
      <c r="E458" s="42">
        <v>0.34</v>
      </c>
      <c r="F458" s="42">
        <v>122</v>
      </c>
      <c r="G458" s="42">
        <v>43.52</v>
      </c>
      <c r="H458" s="42">
        <v>2.8033088235294117</v>
      </c>
      <c r="I458" s="42">
        <v>1</v>
      </c>
      <c r="J458" s="42">
        <v>2.9411764705882351</v>
      </c>
      <c r="K458" s="42">
        <v>0.953125</v>
      </c>
      <c r="L458" s="42">
        <v>0.34</v>
      </c>
      <c r="M458">
        <v>1</v>
      </c>
    </row>
    <row r="459" spans="3:13" x14ac:dyDescent="0.15">
      <c r="C459" s="43">
        <v>426</v>
      </c>
      <c r="D459" s="42">
        <v>426</v>
      </c>
      <c r="E459" s="42">
        <v>0.34079999999999999</v>
      </c>
      <c r="F459" s="42">
        <v>122</v>
      </c>
      <c r="G459" s="42">
        <v>43.622399999999999</v>
      </c>
      <c r="H459" s="42">
        <v>2.7967282863849765</v>
      </c>
      <c r="I459" s="42">
        <v>1</v>
      </c>
      <c r="J459" s="42">
        <v>2.9342723004694835</v>
      </c>
      <c r="K459" s="42">
        <v>0.953125</v>
      </c>
      <c r="L459" s="42">
        <v>0.34079999999999999</v>
      </c>
      <c r="M459">
        <v>1</v>
      </c>
    </row>
    <row r="460" spans="3:13" x14ac:dyDescent="0.15">
      <c r="C460" s="43">
        <v>427</v>
      </c>
      <c r="D460" s="42">
        <v>427</v>
      </c>
      <c r="E460" s="42">
        <v>0.34160000000000001</v>
      </c>
      <c r="F460" s="42">
        <v>122</v>
      </c>
      <c r="G460" s="42">
        <v>43.724800000000002</v>
      </c>
      <c r="H460" s="42">
        <v>2.7901785714285712</v>
      </c>
      <c r="I460" s="42">
        <v>1</v>
      </c>
      <c r="J460" s="42">
        <v>2.9274004683840746</v>
      </c>
      <c r="K460" s="42">
        <v>0.953125</v>
      </c>
      <c r="L460" s="42">
        <v>0.34160000000000001</v>
      </c>
      <c r="M460">
        <v>1</v>
      </c>
    </row>
    <row r="461" spans="3:13" x14ac:dyDescent="0.15">
      <c r="C461" s="43">
        <v>428</v>
      </c>
      <c r="D461" s="42">
        <v>428</v>
      </c>
      <c r="E461" s="42">
        <v>0.34239999999999998</v>
      </c>
      <c r="F461" s="42">
        <v>122</v>
      </c>
      <c r="G461" s="42">
        <v>43.827200000000005</v>
      </c>
      <c r="H461" s="42">
        <v>2.7836594626168227</v>
      </c>
      <c r="I461" s="42">
        <v>1</v>
      </c>
      <c r="J461" s="42">
        <v>2.9205607476635516</v>
      </c>
      <c r="K461" s="42">
        <v>0.953125</v>
      </c>
      <c r="L461" s="42">
        <v>0.34239999999999998</v>
      </c>
      <c r="M461">
        <v>1</v>
      </c>
    </row>
    <row r="462" spans="3:13" x14ac:dyDescent="0.15">
      <c r="C462" s="43">
        <v>429</v>
      </c>
      <c r="D462" s="42">
        <v>429</v>
      </c>
      <c r="E462" s="42">
        <v>0.34320000000000001</v>
      </c>
      <c r="F462" s="42">
        <v>122</v>
      </c>
      <c r="G462" s="42">
        <v>43.929600000000001</v>
      </c>
      <c r="H462" s="42">
        <v>2.777170745920746</v>
      </c>
      <c r="I462" s="42">
        <v>1</v>
      </c>
      <c r="J462" s="42">
        <v>2.9137529137529139</v>
      </c>
      <c r="K462" s="42">
        <v>0.953125</v>
      </c>
      <c r="L462" s="42">
        <v>0.34320000000000001</v>
      </c>
      <c r="M462">
        <v>1</v>
      </c>
    </row>
    <row r="463" spans="3:13" x14ac:dyDescent="0.15">
      <c r="C463" s="43">
        <v>430</v>
      </c>
      <c r="D463" s="42">
        <v>430</v>
      </c>
      <c r="E463" s="42">
        <v>0.34399999999999997</v>
      </c>
      <c r="F463" s="42">
        <v>122</v>
      </c>
      <c r="G463" s="42">
        <v>44.032000000000004</v>
      </c>
      <c r="H463" s="42">
        <v>2.7707122093023258</v>
      </c>
      <c r="I463" s="42">
        <v>1</v>
      </c>
      <c r="J463" s="42">
        <v>2.9069767441860468</v>
      </c>
      <c r="K463" s="42">
        <v>0.953125</v>
      </c>
      <c r="L463" s="42">
        <v>0.34399999999999997</v>
      </c>
      <c r="M463">
        <v>1</v>
      </c>
    </row>
    <row r="464" spans="3:13" x14ac:dyDescent="0.15">
      <c r="C464" s="43">
        <v>431</v>
      </c>
      <c r="D464" s="42">
        <v>431</v>
      </c>
      <c r="E464" s="42">
        <v>0.3448</v>
      </c>
      <c r="F464" s="42">
        <v>122</v>
      </c>
      <c r="G464" s="42">
        <v>44.134399999999999</v>
      </c>
      <c r="H464" s="42">
        <v>2.7642836426914155</v>
      </c>
      <c r="I464" s="42">
        <v>1</v>
      </c>
      <c r="J464" s="42">
        <v>2.9002320185614852</v>
      </c>
      <c r="K464" s="42">
        <v>0.953125</v>
      </c>
      <c r="L464" s="42">
        <v>0.3448</v>
      </c>
      <c r="M464">
        <v>1</v>
      </c>
    </row>
    <row r="465" spans="3:13" x14ac:dyDescent="0.15">
      <c r="C465" s="43">
        <v>432</v>
      </c>
      <c r="D465" s="42">
        <v>432</v>
      </c>
      <c r="E465" s="42">
        <v>0.34560000000000002</v>
      </c>
      <c r="F465" s="42">
        <v>122</v>
      </c>
      <c r="G465" s="42">
        <v>44.236800000000002</v>
      </c>
      <c r="H465" s="42">
        <v>2.7578848379629628</v>
      </c>
      <c r="I465" s="42">
        <v>1</v>
      </c>
      <c r="J465" s="42">
        <v>2.8935185185185182</v>
      </c>
      <c r="K465" s="42">
        <v>0.953125</v>
      </c>
      <c r="L465" s="42">
        <v>0.34560000000000002</v>
      </c>
      <c r="M465">
        <v>1</v>
      </c>
    </row>
    <row r="466" spans="3:13" x14ac:dyDescent="0.15">
      <c r="C466" s="43">
        <v>433</v>
      </c>
      <c r="D466" s="42">
        <v>433</v>
      </c>
      <c r="E466" s="42">
        <v>0.34639999999999999</v>
      </c>
      <c r="F466" s="42">
        <v>122</v>
      </c>
      <c r="G466" s="42">
        <v>44.339200000000005</v>
      </c>
      <c r="H466" s="42">
        <v>2.7515155889145499</v>
      </c>
      <c r="I466" s="42">
        <v>1</v>
      </c>
      <c r="J466" s="42">
        <v>2.8868360277136258</v>
      </c>
      <c r="K466" s="42">
        <v>0.953125</v>
      </c>
      <c r="L466" s="42">
        <v>0.34639999999999999</v>
      </c>
      <c r="M466">
        <v>1</v>
      </c>
    </row>
    <row r="467" spans="3:13" x14ac:dyDescent="0.15">
      <c r="C467" s="43">
        <v>434</v>
      </c>
      <c r="D467" s="42">
        <v>434</v>
      </c>
      <c r="E467" s="42">
        <v>0.34720000000000001</v>
      </c>
      <c r="F467" s="42">
        <v>122</v>
      </c>
      <c r="G467" s="42">
        <v>44.441600000000001</v>
      </c>
      <c r="H467" s="42">
        <v>2.7451756912442398</v>
      </c>
      <c r="I467" s="42">
        <v>1</v>
      </c>
      <c r="J467" s="42">
        <v>2.8801843317972349</v>
      </c>
      <c r="K467" s="42">
        <v>0.953125</v>
      </c>
      <c r="L467" s="42">
        <v>0.34720000000000001</v>
      </c>
      <c r="M467">
        <v>1</v>
      </c>
    </row>
    <row r="468" spans="3:13" x14ac:dyDescent="0.15">
      <c r="C468" s="43">
        <v>435</v>
      </c>
      <c r="D468" s="42">
        <v>435</v>
      </c>
      <c r="E468" s="42">
        <v>0.34799999999999998</v>
      </c>
      <c r="F468" s="42">
        <v>122</v>
      </c>
      <c r="G468" s="42">
        <v>44.544000000000004</v>
      </c>
      <c r="H468" s="42">
        <v>2.7388649425287359</v>
      </c>
      <c r="I468" s="42">
        <v>1</v>
      </c>
      <c r="J468" s="42">
        <v>2.8735632183908049</v>
      </c>
      <c r="K468" s="42">
        <v>0.953125</v>
      </c>
      <c r="L468" s="42">
        <v>0.34799999999999998</v>
      </c>
      <c r="M468">
        <v>1</v>
      </c>
    </row>
    <row r="469" spans="3:13" x14ac:dyDescent="0.15">
      <c r="C469" s="43">
        <v>436</v>
      </c>
      <c r="D469" s="42">
        <v>436</v>
      </c>
      <c r="E469" s="42">
        <v>0.3488</v>
      </c>
      <c r="F469" s="42">
        <v>122</v>
      </c>
      <c r="G469" s="42">
        <v>44.6464</v>
      </c>
      <c r="H469" s="42">
        <v>2.7325831422018347</v>
      </c>
      <c r="I469" s="42">
        <v>1</v>
      </c>
      <c r="J469" s="42">
        <v>2.8669724770642202</v>
      </c>
      <c r="K469" s="42">
        <v>0.953125</v>
      </c>
      <c r="L469" s="42">
        <v>0.3488</v>
      </c>
      <c r="M469">
        <v>1</v>
      </c>
    </row>
    <row r="470" spans="3:13" x14ac:dyDescent="0.15">
      <c r="C470" s="43">
        <v>437</v>
      </c>
      <c r="D470" s="42">
        <v>437</v>
      </c>
      <c r="E470" s="42">
        <v>0.34960000000000002</v>
      </c>
      <c r="F470" s="42">
        <v>122</v>
      </c>
      <c r="G470" s="42">
        <v>44.748800000000003</v>
      </c>
      <c r="H470" s="42">
        <v>2.7263300915331805</v>
      </c>
      <c r="I470" s="42">
        <v>1</v>
      </c>
      <c r="J470" s="42">
        <v>2.860411899313501</v>
      </c>
      <c r="K470" s="42">
        <v>0.953125</v>
      </c>
      <c r="L470" s="42">
        <v>0.34960000000000002</v>
      </c>
      <c r="M470">
        <v>1</v>
      </c>
    </row>
    <row r="471" spans="3:13" x14ac:dyDescent="0.15">
      <c r="C471" s="43">
        <v>438</v>
      </c>
      <c r="D471" s="42">
        <v>438</v>
      </c>
      <c r="E471" s="42">
        <v>0.35039999999999999</v>
      </c>
      <c r="F471" s="42">
        <v>122</v>
      </c>
      <c r="G471" s="42">
        <v>44.851199999999999</v>
      </c>
      <c r="H471" s="42">
        <v>2.7201055936073062</v>
      </c>
      <c r="I471" s="42">
        <v>1</v>
      </c>
      <c r="J471" s="42">
        <v>2.8538812785388128</v>
      </c>
      <c r="K471" s="42">
        <v>0.953125</v>
      </c>
      <c r="L471" s="42">
        <v>0.35039999999999999</v>
      </c>
      <c r="M471">
        <v>1</v>
      </c>
    </row>
    <row r="472" spans="3:13" x14ac:dyDescent="0.15">
      <c r="C472" s="43">
        <v>439</v>
      </c>
      <c r="D472" s="42">
        <v>439</v>
      </c>
      <c r="E472" s="42">
        <v>0.35120000000000001</v>
      </c>
      <c r="F472" s="42">
        <v>122</v>
      </c>
      <c r="G472" s="42">
        <v>44.953600000000002</v>
      </c>
      <c r="H472" s="42">
        <v>2.7139094533029611</v>
      </c>
      <c r="I472" s="42">
        <v>1</v>
      </c>
      <c r="J472" s="42">
        <v>2.8473804100227791</v>
      </c>
      <c r="K472" s="42">
        <v>0.953125</v>
      </c>
      <c r="L472" s="42">
        <v>0.35120000000000001</v>
      </c>
      <c r="M472">
        <v>1</v>
      </c>
    </row>
    <row r="473" spans="3:13" x14ac:dyDescent="0.15">
      <c r="C473" s="43">
        <v>440</v>
      </c>
      <c r="D473" s="42">
        <v>440</v>
      </c>
      <c r="E473" s="42">
        <v>0.35199999999999998</v>
      </c>
      <c r="F473" s="42">
        <v>122</v>
      </c>
      <c r="G473" s="42">
        <v>45.056000000000004</v>
      </c>
      <c r="H473" s="42">
        <v>2.7077414772727275</v>
      </c>
      <c r="I473" s="42">
        <v>1</v>
      </c>
      <c r="J473" s="42">
        <v>2.8409090909090913</v>
      </c>
      <c r="K473" s="42">
        <v>0.953125</v>
      </c>
      <c r="L473" s="42">
        <v>0.35199999999999998</v>
      </c>
      <c r="M473">
        <v>1</v>
      </c>
    </row>
    <row r="474" spans="3:13" x14ac:dyDescent="0.15">
      <c r="C474" s="43">
        <v>441</v>
      </c>
      <c r="D474" s="42">
        <v>441</v>
      </c>
      <c r="E474" s="42">
        <v>0.3528</v>
      </c>
      <c r="F474" s="42">
        <v>122</v>
      </c>
      <c r="G474" s="42">
        <v>45.1584</v>
      </c>
      <c r="H474" s="42">
        <v>2.7016014739229024</v>
      </c>
      <c r="I474" s="42">
        <v>1</v>
      </c>
      <c r="J474" s="42">
        <v>2.8344671201814058</v>
      </c>
      <c r="K474" s="42">
        <v>0.953125</v>
      </c>
      <c r="L474" s="42">
        <v>0.3528</v>
      </c>
      <c r="M474">
        <v>1</v>
      </c>
    </row>
    <row r="475" spans="3:13" x14ac:dyDescent="0.15">
      <c r="C475" s="43">
        <v>442</v>
      </c>
      <c r="D475" s="42">
        <v>442</v>
      </c>
      <c r="E475" s="42">
        <v>0.35360000000000003</v>
      </c>
      <c r="F475" s="42">
        <v>122</v>
      </c>
      <c r="G475" s="42">
        <v>45.260800000000003</v>
      </c>
      <c r="H475" s="42">
        <v>2.695489253393665</v>
      </c>
      <c r="I475" s="42">
        <v>1</v>
      </c>
      <c r="J475" s="42">
        <v>2.8280542986425337</v>
      </c>
      <c r="K475" s="42">
        <v>0.953125</v>
      </c>
      <c r="L475" s="42">
        <v>0.35360000000000003</v>
      </c>
      <c r="M475">
        <v>1</v>
      </c>
    </row>
    <row r="476" spans="3:13" x14ac:dyDescent="0.15">
      <c r="C476" s="43">
        <v>443</v>
      </c>
      <c r="D476" s="42">
        <v>443</v>
      </c>
      <c r="E476" s="42">
        <v>0.35439999999999999</v>
      </c>
      <c r="F476" s="42">
        <v>122</v>
      </c>
      <c r="G476" s="42">
        <v>45.363199999999999</v>
      </c>
      <c r="H476" s="42">
        <v>2.6894046275395036</v>
      </c>
      <c r="I476" s="42">
        <v>1</v>
      </c>
      <c r="J476" s="42">
        <v>2.8216704288939054</v>
      </c>
      <c r="K476" s="42">
        <v>0.953125</v>
      </c>
      <c r="L476" s="42">
        <v>0.35439999999999999</v>
      </c>
      <c r="M476">
        <v>1</v>
      </c>
    </row>
    <row r="477" spans="3:13" x14ac:dyDescent="0.15">
      <c r="C477" s="43">
        <v>444</v>
      </c>
      <c r="D477" s="42">
        <v>444</v>
      </c>
      <c r="E477" s="42">
        <v>0.35520000000000002</v>
      </c>
      <c r="F477" s="42">
        <v>122</v>
      </c>
      <c r="G477" s="42">
        <v>45.465600000000002</v>
      </c>
      <c r="H477" s="42">
        <v>2.6833474099099099</v>
      </c>
      <c r="I477" s="42">
        <v>1</v>
      </c>
      <c r="J477" s="42">
        <v>2.8153153153153152</v>
      </c>
      <c r="K477" s="42">
        <v>0.953125</v>
      </c>
      <c r="L477" s="42">
        <v>0.35520000000000002</v>
      </c>
      <c r="M477">
        <v>1</v>
      </c>
    </row>
    <row r="478" spans="3:13" x14ac:dyDescent="0.15">
      <c r="C478" s="43">
        <v>445</v>
      </c>
      <c r="D478" s="42">
        <v>445</v>
      </c>
      <c r="E478" s="42">
        <v>0.35599999999999998</v>
      </c>
      <c r="F478" s="42">
        <v>122</v>
      </c>
      <c r="G478" s="42">
        <v>45.568000000000005</v>
      </c>
      <c r="H478" s="42">
        <v>2.6773174157303372</v>
      </c>
      <c r="I478" s="42">
        <v>1</v>
      </c>
      <c r="J478" s="42">
        <v>2.808988764044944</v>
      </c>
      <c r="K478" s="42">
        <v>0.953125</v>
      </c>
      <c r="L478" s="42">
        <v>0.35599999999999998</v>
      </c>
      <c r="M478">
        <v>1</v>
      </c>
    </row>
    <row r="479" spans="3:13" x14ac:dyDescent="0.15">
      <c r="C479" s="43">
        <v>446</v>
      </c>
      <c r="D479" s="42">
        <v>446</v>
      </c>
      <c r="E479" s="42">
        <v>0.35680000000000001</v>
      </c>
      <c r="F479" s="42">
        <v>122</v>
      </c>
      <c r="G479" s="42">
        <v>45.670400000000001</v>
      </c>
      <c r="H479" s="42">
        <v>2.6713144618834082</v>
      </c>
      <c r="I479" s="42">
        <v>1</v>
      </c>
      <c r="J479" s="42">
        <v>2.8026905829596411</v>
      </c>
      <c r="K479" s="42">
        <v>0.953125</v>
      </c>
      <c r="L479" s="42">
        <v>0.35680000000000001</v>
      </c>
      <c r="M479">
        <v>1</v>
      </c>
    </row>
    <row r="480" spans="3:13" x14ac:dyDescent="0.15">
      <c r="C480" s="43">
        <v>447</v>
      </c>
      <c r="D480" s="42">
        <v>447</v>
      </c>
      <c r="E480" s="42">
        <v>0.35759999999999997</v>
      </c>
      <c r="F480" s="42">
        <v>122</v>
      </c>
      <c r="G480" s="42">
        <v>45.772800000000004</v>
      </c>
      <c r="H480" s="42">
        <v>2.6653383668903805</v>
      </c>
      <c r="I480" s="42">
        <v>1</v>
      </c>
      <c r="J480" s="42">
        <v>2.796420581655481</v>
      </c>
      <c r="K480" s="42">
        <v>0.953125</v>
      </c>
      <c r="L480" s="42">
        <v>0.35759999999999997</v>
      </c>
      <c r="M480">
        <v>1</v>
      </c>
    </row>
    <row r="481" spans="3:13" x14ac:dyDescent="0.15">
      <c r="C481" s="43">
        <v>448</v>
      </c>
      <c r="D481" s="42">
        <v>448</v>
      </c>
      <c r="E481" s="42">
        <v>0.3584</v>
      </c>
      <c r="F481" s="42">
        <v>122</v>
      </c>
      <c r="G481" s="42">
        <v>45.8752</v>
      </c>
      <c r="H481" s="42">
        <v>2.6593889508928572</v>
      </c>
      <c r="I481" s="42">
        <v>1</v>
      </c>
      <c r="J481" s="42">
        <v>2.7901785714285716</v>
      </c>
      <c r="K481" s="42">
        <v>0.953125</v>
      </c>
      <c r="L481" s="42">
        <v>0.3584</v>
      </c>
      <c r="M481">
        <v>1</v>
      </c>
    </row>
    <row r="482" spans="3:13" x14ac:dyDescent="0.15">
      <c r="C482" s="43">
        <v>449</v>
      </c>
      <c r="D482" s="42">
        <v>449</v>
      </c>
      <c r="E482" s="42">
        <v>0.35920000000000002</v>
      </c>
      <c r="F482" s="42">
        <v>122</v>
      </c>
      <c r="G482" s="42">
        <v>45.977600000000002</v>
      </c>
      <c r="H482" s="42">
        <v>2.6534660356347439</v>
      </c>
      <c r="I482" s="42">
        <v>1</v>
      </c>
      <c r="J482" s="42">
        <v>2.7839643652561246</v>
      </c>
      <c r="K482" s="42">
        <v>0.953125</v>
      </c>
      <c r="L482" s="42">
        <v>0.35920000000000002</v>
      </c>
      <c r="M482">
        <v>1</v>
      </c>
    </row>
    <row r="483" spans="3:13" x14ac:dyDescent="0.15">
      <c r="C483" s="43">
        <v>450</v>
      </c>
      <c r="D483" s="42">
        <v>450</v>
      </c>
      <c r="E483" s="42">
        <v>0.36</v>
      </c>
      <c r="F483" s="42">
        <v>122</v>
      </c>
      <c r="G483" s="42">
        <v>46.080000000000005</v>
      </c>
      <c r="H483" s="42">
        <v>2.6475694444444446</v>
      </c>
      <c r="I483" s="42">
        <v>1</v>
      </c>
      <c r="J483" s="42">
        <v>2.7777777777777777</v>
      </c>
      <c r="K483" s="42">
        <v>0.953125</v>
      </c>
      <c r="L483" s="42">
        <v>0.36</v>
      </c>
      <c r="M483">
        <v>1</v>
      </c>
    </row>
    <row r="484" spans="3:13" x14ac:dyDescent="0.15">
      <c r="C484" s="43">
        <v>451</v>
      </c>
      <c r="D484" s="42">
        <v>451</v>
      </c>
      <c r="E484" s="42">
        <v>0.36080000000000001</v>
      </c>
      <c r="F484" s="42">
        <v>122</v>
      </c>
      <c r="G484" s="42">
        <v>46.182400000000001</v>
      </c>
      <c r="H484" s="42">
        <v>2.6416990022172948</v>
      </c>
      <c r="I484" s="42">
        <v>1</v>
      </c>
      <c r="J484" s="42">
        <v>2.7716186252771617</v>
      </c>
      <c r="K484" s="42">
        <v>0.953125</v>
      </c>
      <c r="L484" s="42">
        <v>0.36080000000000001</v>
      </c>
      <c r="M484">
        <v>1</v>
      </c>
    </row>
    <row r="485" spans="3:13" x14ac:dyDescent="0.15">
      <c r="C485" s="43">
        <v>452</v>
      </c>
      <c r="D485" s="42">
        <v>452</v>
      </c>
      <c r="E485" s="42">
        <v>0.36159999999999998</v>
      </c>
      <c r="F485" s="42">
        <v>122</v>
      </c>
      <c r="G485" s="42">
        <v>46.284800000000004</v>
      </c>
      <c r="H485" s="42">
        <v>2.6358545353982303</v>
      </c>
      <c r="I485" s="42">
        <v>1</v>
      </c>
      <c r="J485" s="42">
        <v>2.7654867256637168</v>
      </c>
      <c r="K485" s="42">
        <v>0.953125</v>
      </c>
      <c r="L485" s="42">
        <v>0.36159999999999998</v>
      </c>
      <c r="M485">
        <v>1</v>
      </c>
    </row>
    <row r="486" spans="3:13" x14ac:dyDescent="0.15">
      <c r="C486" s="43">
        <v>453</v>
      </c>
      <c r="D486" s="42">
        <v>453</v>
      </c>
      <c r="E486" s="42">
        <v>0.3624</v>
      </c>
      <c r="F486" s="42">
        <v>122</v>
      </c>
      <c r="G486" s="42">
        <v>46.3872</v>
      </c>
      <c r="H486" s="42">
        <v>2.6300358719646799</v>
      </c>
      <c r="I486" s="42">
        <v>1</v>
      </c>
      <c r="J486" s="42">
        <v>2.759381898454746</v>
      </c>
      <c r="K486" s="42">
        <v>0.953125</v>
      </c>
      <c r="L486" s="42">
        <v>0.3624</v>
      </c>
      <c r="M486">
        <v>1</v>
      </c>
    </row>
    <row r="487" spans="3:13" x14ac:dyDescent="0.15">
      <c r="C487" s="43">
        <v>454</v>
      </c>
      <c r="D487" s="42">
        <v>454</v>
      </c>
      <c r="E487" s="42">
        <v>0.36320000000000002</v>
      </c>
      <c r="F487" s="42">
        <v>122</v>
      </c>
      <c r="G487" s="42">
        <v>46.489600000000003</v>
      </c>
      <c r="H487" s="42">
        <v>2.6242428414096914</v>
      </c>
      <c r="I487" s="42">
        <v>1</v>
      </c>
      <c r="J487" s="42">
        <v>2.7533039647577091</v>
      </c>
      <c r="K487" s="42">
        <v>0.953125</v>
      </c>
      <c r="L487" s="42">
        <v>0.36320000000000002</v>
      </c>
      <c r="M487">
        <v>1</v>
      </c>
    </row>
    <row r="488" spans="3:13" x14ac:dyDescent="0.15">
      <c r="C488" s="43">
        <v>455</v>
      </c>
      <c r="D488" s="42">
        <v>455</v>
      </c>
      <c r="E488" s="42">
        <v>0.36399999999999999</v>
      </c>
      <c r="F488" s="42">
        <v>122</v>
      </c>
      <c r="G488" s="42">
        <v>46.591999999999999</v>
      </c>
      <c r="H488" s="42">
        <v>2.6184752747252746</v>
      </c>
      <c r="I488" s="42">
        <v>1</v>
      </c>
      <c r="J488" s="42">
        <v>2.7472527472527473</v>
      </c>
      <c r="K488" s="42">
        <v>0.953125</v>
      </c>
      <c r="L488" s="42">
        <v>0.36399999999999999</v>
      </c>
      <c r="M488">
        <v>1</v>
      </c>
    </row>
    <row r="489" spans="3:13" x14ac:dyDescent="0.15">
      <c r="C489" s="43">
        <v>456</v>
      </c>
      <c r="D489" s="42">
        <v>456</v>
      </c>
      <c r="E489" s="42">
        <v>0.36480000000000001</v>
      </c>
      <c r="F489" s="42">
        <v>122</v>
      </c>
      <c r="G489" s="42">
        <v>46.694400000000002</v>
      </c>
      <c r="H489" s="42">
        <v>2.6127330043859649</v>
      </c>
      <c r="I489" s="42">
        <v>1</v>
      </c>
      <c r="J489" s="42">
        <v>2.7412280701754383</v>
      </c>
      <c r="K489" s="42">
        <v>0.953125</v>
      </c>
      <c r="L489" s="42">
        <v>0.36480000000000001</v>
      </c>
      <c r="M489">
        <v>1</v>
      </c>
    </row>
    <row r="490" spans="3:13" x14ac:dyDescent="0.15">
      <c r="C490" s="43">
        <v>457</v>
      </c>
      <c r="D490" s="42">
        <v>457</v>
      </c>
      <c r="E490" s="42">
        <v>0.36559999999999998</v>
      </c>
      <c r="F490" s="42">
        <v>122</v>
      </c>
      <c r="G490" s="42">
        <v>46.796800000000005</v>
      </c>
      <c r="H490" s="42">
        <v>2.6070158643326042</v>
      </c>
      <c r="I490" s="42">
        <v>1</v>
      </c>
      <c r="J490" s="42">
        <v>2.7352297592997812</v>
      </c>
      <c r="K490" s="42">
        <v>0.953125</v>
      </c>
      <c r="L490" s="42">
        <v>0.36559999999999998</v>
      </c>
      <c r="M490">
        <v>1</v>
      </c>
    </row>
    <row r="491" spans="3:13" x14ac:dyDescent="0.15">
      <c r="C491" s="43">
        <v>458</v>
      </c>
      <c r="D491" s="42">
        <v>458</v>
      </c>
      <c r="E491" s="42">
        <v>0.3664</v>
      </c>
      <c r="F491" s="42">
        <v>122</v>
      </c>
      <c r="G491" s="42">
        <v>46.8992</v>
      </c>
      <c r="H491" s="42">
        <v>2.6013236899563319</v>
      </c>
      <c r="I491" s="42">
        <v>1</v>
      </c>
      <c r="J491" s="42">
        <v>2.7292576419213974</v>
      </c>
      <c r="K491" s="42">
        <v>0.953125</v>
      </c>
      <c r="L491" s="42">
        <v>0.3664</v>
      </c>
      <c r="M491">
        <v>1</v>
      </c>
    </row>
    <row r="492" spans="3:13" x14ac:dyDescent="0.15">
      <c r="C492" s="43">
        <v>459</v>
      </c>
      <c r="D492" s="42">
        <v>459</v>
      </c>
      <c r="E492" s="42">
        <v>0.36720000000000003</v>
      </c>
      <c r="F492" s="42">
        <v>122</v>
      </c>
      <c r="G492" s="42">
        <v>47.001600000000003</v>
      </c>
      <c r="H492" s="42">
        <v>2.5956563180827885</v>
      </c>
      <c r="I492" s="42">
        <v>1</v>
      </c>
      <c r="J492" s="42">
        <v>2.7233115468409586</v>
      </c>
      <c r="K492" s="42">
        <v>0.953125</v>
      </c>
      <c r="L492" s="42">
        <v>0.36720000000000003</v>
      </c>
      <c r="M492">
        <v>1</v>
      </c>
    </row>
    <row r="493" spans="3:13" x14ac:dyDescent="0.15">
      <c r="C493" s="43">
        <v>460</v>
      </c>
      <c r="D493" s="42">
        <v>460</v>
      </c>
      <c r="E493" s="42">
        <v>0.36799999999999999</v>
      </c>
      <c r="F493" s="42">
        <v>122</v>
      </c>
      <c r="G493" s="42">
        <v>47.103999999999999</v>
      </c>
      <c r="H493" s="42">
        <v>2.590013586956522</v>
      </c>
      <c r="I493" s="42">
        <v>1</v>
      </c>
      <c r="J493" s="42">
        <v>2.7173913043478262</v>
      </c>
      <c r="K493" s="42">
        <v>0.953125</v>
      </c>
      <c r="L493" s="42">
        <v>0.36799999999999999</v>
      </c>
      <c r="M493">
        <v>1</v>
      </c>
    </row>
    <row r="494" spans="3:13" x14ac:dyDescent="0.15">
      <c r="C494" s="43">
        <v>461</v>
      </c>
      <c r="D494" s="42">
        <v>461</v>
      </c>
      <c r="E494" s="42">
        <v>0.36880000000000002</v>
      </c>
      <c r="F494" s="42">
        <v>122</v>
      </c>
      <c r="G494" s="42">
        <v>47.206400000000002</v>
      </c>
      <c r="H494" s="42">
        <v>2.5843953362255965</v>
      </c>
      <c r="I494" s="42">
        <v>1</v>
      </c>
      <c r="J494" s="42">
        <v>2.7114967462039044</v>
      </c>
      <c r="K494" s="42">
        <v>0.953125</v>
      </c>
      <c r="L494" s="42">
        <v>0.36880000000000002</v>
      </c>
      <c r="M494">
        <v>1</v>
      </c>
    </row>
    <row r="495" spans="3:13" x14ac:dyDescent="0.15">
      <c r="C495" s="43">
        <v>462</v>
      </c>
      <c r="D495" s="42">
        <v>462</v>
      </c>
      <c r="E495" s="42">
        <v>0.36959999999999998</v>
      </c>
      <c r="F495" s="42">
        <v>122</v>
      </c>
      <c r="G495" s="42">
        <v>47.308800000000005</v>
      </c>
      <c r="H495" s="42">
        <v>2.5788014069264071</v>
      </c>
      <c r="I495" s="42">
        <v>1</v>
      </c>
      <c r="J495" s="42">
        <v>2.7056277056277058</v>
      </c>
      <c r="K495" s="42">
        <v>0.953125</v>
      </c>
      <c r="L495" s="42">
        <v>0.36959999999999998</v>
      </c>
      <c r="M495">
        <v>1</v>
      </c>
    </row>
    <row r="496" spans="3:13" x14ac:dyDescent="0.15">
      <c r="C496" s="43">
        <v>463</v>
      </c>
      <c r="D496" s="42">
        <v>463</v>
      </c>
      <c r="E496" s="42">
        <v>0.37040000000000001</v>
      </c>
      <c r="F496" s="42">
        <v>122</v>
      </c>
      <c r="G496" s="42">
        <v>47.411200000000001</v>
      </c>
      <c r="H496" s="42">
        <v>2.5732316414686824</v>
      </c>
      <c r="I496" s="42">
        <v>1</v>
      </c>
      <c r="J496" s="42">
        <v>2.6997840172786178</v>
      </c>
      <c r="K496" s="42">
        <v>0.953125</v>
      </c>
      <c r="L496" s="42">
        <v>0.37040000000000001</v>
      </c>
      <c r="M496">
        <v>1</v>
      </c>
    </row>
    <row r="497" spans="3:13" x14ac:dyDescent="0.15">
      <c r="C497" s="43">
        <v>464</v>
      </c>
      <c r="D497" s="42">
        <v>464</v>
      </c>
      <c r="E497" s="42">
        <v>0.37119999999999997</v>
      </c>
      <c r="F497" s="42">
        <v>122</v>
      </c>
      <c r="G497" s="42">
        <v>47.513600000000004</v>
      </c>
      <c r="H497" s="42">
        <v>2.5676858836206899</v>
      </c>
      <c r="I497" s="42">
        <v>1</v>
      </c>
      <c r="J497" s="42">
        <v>2.6939655172413794</v>
      </c>
      <c r="K497" s="42">
        <v>0.953125</v>
      </c>
      <c r="L497" s="42">
        <v>0.37119999999999997</v>
      </c>
      <c r="M497">
        <v>1</v>
      </c>
    </row>
    <row r="498" spans="3:13" x14ac:dyDescent="0.15">
      <c r="C498" s="43">
        <v>465</v>
      </c>
      <c r="D498" s="42">
        <v>465</v>
      </c>
      <c r="E498" s="42">
        <v>0.372</v>
      </c>
      <c r="F498" s="42">
        <v>122</v>
      </c>
      <c r="G498" s="42">
        <v>47.616</v>
      </c>
      <c r="H498" s="42">
        <v>2.5621639784946235</v>
      </c>
      <c r="I498" s="42">
        <v>1</v>
      </c>
      <c r="J498" s="42">
        <v>2.6881720430107525</v>
      </c>
      <c r="K498" s="42">
        <v>0.953125</v>
      </c>
      <c r="L498" s="42">
        <v>0.372</v>
      </c>
      <c r="M498">
        <v>1</v>
      </c>
    </row>
    <row r="499" spans="3:13" x14ac:dyDescent="0.15">
      <c r="C499" s="43">
        <v>466</v>
      </c>
      <c r="D499" s="42">
        <v>466</v>
      </c>
      <c r="E499" s="42">
        <v>0.37280000000000002</v>
      </c>
      <c r="F499" s="42">
        <v>122</v>
      </c>
      <c r="G499" s="42">
        <v>47.718400000000003</v>
      </c>
      <c r="H499" s="42">
        <v>2.5566657725321886</v>
      </c>
      <c r="I499" s="42">
        <v>1</v>
      </c>
      <c r="J499" s="42">
        <v>2.6824034334763946</v>
      </c>
      <c r="K499" s="42">
        <v>0.953125</v>
      </c>
      <c r="L499" s="42">
        <v>0.37280000000000002</v>
      </c>
      <c r="M499">
        <v>1</v>
      </c>
    </row>
    <row r="500" spans="3:13" x14ac:dyDescent="0.15">
      <c r="C500" s="43">
        <v>467</v>
      </c>
      <c r="D500" s="42">
        <v>467</v>
      </c>
      <c r="E500" s="42">
        <v>0.37359999999999999</v>
      </c>
      <c r="F500" s="42">
        <v>122</v>
      </c>
      <c r="G500" s="42">
        <v>47.820800000000006</v>
      </c>
      <c r="H500" s="42">
        <v>2.551191113490364</v>
      </c>
      <c r="I500" s="42">
        <v>1</v>
      </c>
      <c r="J500" s="42">
        <v>2.6766595289079231</v>
      </c>
      <c r="K500" s="42">
        <v>0.953125</v>
      </c>
      <c r="L500" s="42">
        <v>0.37359999999999999</v>
      </c>
      <c r="M500">
        <v>1</v>
      </c>
    </row>
    <row r="501" spans="3:13" x14ac:dyDescent="0.15">
      <c r="C501" s="43">
        <v>468</v>
      </c>
      <c r="D501" s="42">
        <v>468</v>
      </c>
      <c r="E501" s="42">
        <v>0.37440000000000001</v>
      </c>
      <c r="F501" s="42">
        <v>122</v>
      </c>
      <c r="G501" s="42">
        <v>47.923200000000001</v>
      </c>
      <c r="H501" s="42">
        <v>2.5457398504273505</v>
      </c>
      <c r="I501" s="42">
        <v>1</v>
      </c>
      <c r="J501" s="42">
        <v>2.6709401709401708</v>
      </c>
      <c r="K501" s="42">
        <v>0.953125</v>
      </c>
      <c r="L501" s="42">
        <v>0.37440000000000001</v>
      </c>
      <c r="M501">
        <v>1</v>
      </c>
    </row>
    <row r="502" spans="3:13" x14ac:dyDescent="0.15">
      <c r="C502" s="43">
        <v>469</v>
      </c>
      <c r="D502" s="42">
        <v>469</v>
      </c>
      <c r="E502" s="42">
        <v>0.37519999999999998</v>
      </c>
      <c r="F502" s="42">
        <v>122</v>
      </c>
      <c r="G502" s="42">
        <v>48.025600000000004</v>
      </c>
      <c r="H502" s="42">
        <v>2.5403118336886994</v>
      </c>
      <c r="I502" s="42">
        <v>1</v>
      </c>
      <c r="J502" s="42">
        <v>2.6652452025586357</v>
      </c>
      <c r="K502" s="42">
        <v>0.953125</v>
      </c>
      <c r="L502" s="42">
        <v>0.37519999999999998</v>
      </c>
      <c r="M502">
        <v>1</v>
      </c>
    </row>
    <row r="503" spans="3:13" x14ac:dyDescent="0.15">
      <c r="C503" s="43">
        <v>470</v>
      </c>
      <c r="D503" s="42">
        <v>470</v>
      </c>
      <c r="E503" s="42">
        <v>0.376</v>
      </c>
      <c r="F503" s="42">
        <v>122</v>
      </c>
      <c r="G503" s="42">
        <v>48.128</v>
      </c>
      <c r="H503" s="42">
        <v>2.5349069148936172</v>
      </c>
      <c r="I503" s="42">
        <v>1</v>
      </c>
      <c r="J503" s="42">
        <v>2.6595744680851063</v>
      </c>
      <c r="K503" s="42">
        <v>0.953125</v>
      </c>
      <c r="L503" s="42">
        <v>0.376</v>
      </c>
      <c r="M503">
        <v>1</v>
      </c>
    </row>
    <row r="504" spans="3:13" x14ac:dyDescent="0.15">
      <c r="C504" s="43">
        <v>471</v>
      </c>
      <c r="D504" s="42">
        <v>471</v>
      </c>
      <c r="E504" s="42">
        <v>0.37680000000000002</v>
      </c>
      <c r="F504" s="42">
        <v>122</v>
      </c>
      <c r="G504" s="42">
        <v>48.230400000000003</v>
      </c>
      <c r="H504" s="42">
        <v>2.5295249469214434</v>
      </c>
      <c r="I504" s="42">
        <v>1</v>
      </c>
      <c r="J504" s="42">
        <v>2.6539278131634818</v>
      </c>
      <c r="K504" s="42">
        <v>0.953125</v>
      </c>
      <c r="L504" s="42">
        <v>0.37680000000000002</v>
      </c>
      <c r="M504">
        <v>1</v>
      </c>
    </row>
    <row r="505" spans="3:13" x14ac:dyDescent="0.15">
      <c r="C505" s="43">
        <v>472</v>
      </c>
      <c r="D505" s="42">
        <v>472</v>
      </c>
      <c r="E505" s="42">
        <v>0.37759999999999999</v>
      </c>
      <c r="F505" s="42">
        <v>122</v>
      </c>
      <c r="G505" s="42">
        <v>48.332799999999999</v>
      </c>
      <c r="H505" s="42">
        <v>2.5241657838983049</v>
      </c>
      <c r="I505" s="42">
        <v>1</v>
      </c>
      <c r="J505" s="42">
        <v>2.648305084745763</v>
      </c>
      <c r="K505" s="42">
        <v>0.953125</v>
      </c>
      <c r="L505" s="42">
        <v>0.37759999999999999</v>
      </c>
      <c r="M505">
        <v>1</v>
      </c>
    </row>
    <row r="506" spans="3:13" x14ac:dyDescent="0.15">
      <c r="C506" s="43">
        <v>473</v>
      </c>
      <c r="D506" s="42">
        <v>473</v>
      </c>
      <c r="E506" s="42">
        <v>0.37840000000000001</v>
      </c>
      <c r="F506" s="42">
        <v>122</v>
      </c>
      <c r="G506" s="42">
        <v>48.435200000000002</v>
      </c>
      <c r="H506" s="42">
        <v>2.5188292811839323</v>
      </c>
      <c r="I506" s="42">
        <v>1</v>
      </c>
      <c r="J506" s="42">
        <v>2.6427061310782238</v>
      </c>
      <c r="K506" s="42">
        <v>0.953125</v>
      </c>
      <c r="L506" s="42">
        <v>0.37840000000000001</v>
      </c>
      <c r="M506">
        <v>1</v>
      </c>
    </row>
    <row r="507" spans="3:13" x14ac:dyDescent="0.15">
      <c r="C507" s="43">
        <v>474</v>
      </c>
      <c r="D507" s="42">
        <v>474</v>
      </c>
      <c r="E507" s="42">
        <v>0.37919999999999998</v>
      </c>
      <c r="F507" s="42">
        <v>122</v>
      </c>
      <c r="G507" s="42">
        <v>48.537600000000005</v>
      </c>
      <c r="H507" s="42">
        <v>2.5135152953586499</v>
      </c>
      <c r="I507" s="42">
        <v>1</v>
      </c>
      <c r="J507" s="42">
        <v>2.6371308016877637</v>
      </c>
      <c r="K507" s="42">
        <v>0.953125</v>
      </c>
      <c r="L507" s="42">
        <v>0.37919999999999998</v>
      </c>
      <c r="M507">
        <v>1</v>
      </c>
    </row>
    <row r="508" spans="3:13" x14ac:dyDescent="0.15">
      <c r="C508" s="43">
        <v>475</v>
      </c>
      <c r="D508" s="42">
        <v>475</v>
      </c>
      <c r="E508" s="42">
        <v>0.38</v>
      </c>
      <c r="F508" s="42">
        <v>122</v>
      </c>
      <c r="G508" s="42">
        <v>48.64</v>
      </c>
      <c r="H508" s="42">
        <v>2.5082236842105261</v>
      </c>
      <c r="I508" s="42">
        <v>1</v>
      </c>
      <c r="J508" s="42">
        <v>2.6315789473684212</v>
      </c>
      <c r="K508" s="42">
        <v>0.953125</v>
      </c>
      <c r="L508" s="42">
        <v>0.38</v>
      </c>
      <c r="M508">
        <v>1</v>
      </c>
    </row>
    <row r="509" spans="3:13" x14ac:dyDescent="0.15">
      <c r="C509" s="43">
        <v>476</v>
      </c>
      <c r="D509" s="42">
        <v>476</v>
      </c>
      <c r="E509" s="42">
        <v>0.38080000000000003</v>
      </c>
      <c r="F509" s="42">
        <v>122</v>
      </c>
      <c r="G509" s="42">
        <v>48.742400000000004</v>
      </c>
      <c r="H509" s="42">
        <v>2.5029543067226889</v>
      </c>
      <c r="I509" s="42">
        <v>1</v>
      </c>
      <c r="J509" s="42">
        <v>2.6260504201680672</v>
      </c>
      <c r="K509" s="42">
        <v>0.953125</v>
      </c>
      <c r="L509" s="42">
        <v>0.38080000000000003</v>
      </c>
      <c r="M509">
        <v>1</v>
      </c>
    </row>
    <row r="510" spans="3:13" x14ac:dyDescent="0.15">
      <c r="C510" s="43">
        <v>477</v>
      </c>
      <c r="D510" s="42">
        <v>477</v>
      </c>
      <c r="E510" s="42">
        <v>0.38159999999999999</v>
      </c>
      <c r="F510" s="42">
        <v>122</v>
      </c>
      <c r="G510" s="42">
        <v>48.844799999999999</v>
      </c>
      <c r="H510" s="42">
        <v>2.4977070230607965</v>
      </c>
      <c r="I510" s="42">
        <v>1</v>
      </c>
      <c r="J510" s="42">
        <v>2.6205450733752622</v>
      </c>
      <c r="K510" s="42">
        <v>0.953125</v>
      </c>
      <c r="L510" s="42">
        <v>0.38159999999999999</v>
      </c>
      <c r="M510">
        <v>1</v>
      </c>
    </row>
    <row r="511" spans="3:13" x14ac:dyDescent="0.15">
      <c r="C511" s="43">
        <v>478</v>
      </c>
      <c r="D511" s="42">
        <v>478</v>
      </c>
      <c r="E511" s="42">
        <v>0.38240000000000002</v>
      </c>
      <c r="F511" s="42">
        <v>122</v>
      </c>
      <c r="G511" s="42">
        <v>48.947200000000002</v>
      </c>
      <c r="H511" s="42">
        <v>2.4924816945606691</v>
      </c>
      <c r="I511" s="42">
        <v>1</v>
      </c>
      <c r="J511" s="42">
        <v>2.6150627615062758</v>
      </c>
      <c r="K511" s="42">
        <v>0.953125</v>
      </c>
      <c r="L511" s="42">
        <v>0.38240000000000002</v>
      </c>
      <c r="M511">
        <v>1</v>
      </c>
    </row>
    <row r="512" spans="3:13" x14ac:dyDescent="0.15">
      <c r="C512" s="43">
        <v>479</v>
      </c>
      <c r="D512" s="42">
        <v>479</v>
      </c>
      <c r="E512" s="42">
        <v>0.38319999999999999</v>
      </c>
      <c r="F512" s="42">
        <v>122</v>
      </c>
      <c r="G512" s="42">
        <v>49.049600000000005</v>
      </c>
      <c r="H512" s="42">
        <v>2.4872781837160751</v>
      </c>
      <c r="I512" s="42">
        <v>1</v>
      </c>
      <c r="J512" s="42">
        <v>2.6096033402922756</v>
      </c>
      <c r="K512" s="42">
        <v>0.953125</v>
      </c>
      <c r="L512" s="42">
        <v>0.38319999999999999</v>
      </c>
      <c r="M512">
        <v>1</v>
      </c>
    </row>
    <row r="513" spans="3:13" x14ac:dyDescent="0.15">
      <c r="C513" s="43">
        <v>480</v>
      </c>
      <c r="D513" s="42">
        <v>480</v>
      </c>
      <c r="E513" s="42">
        <v>0.38400000000000001</v>
      </c>
      <c r="F513" s="42">
        <v>122</v>
      </c>
      <c r="G513" s="42">
        <v>49.152000000000001</v>
      </c>
      <c r="H513" s="42">
        <v>2.4820963541666665</v>
      </c>
      <c r="I513" s="42">
        <v>1</v>
      </c>
      <c r="J513" s="42">
        <v>2.6041666666666665</v>
      </c>
      <c r="K513" s="42">
        <v>0.953125</v>
      </c>
      <c r="L513" s="42">
        <v>0.38400000000000001</v>
      </c>
      <c r="M513">
        <v>1</v>
      </c>
    </row>
    <row r="514" spans="3:13" x14ac:dyDescent="0.15">
      <c r="C514" s="43">
        <v>481</v>
      </c>
      <c r="D514" s="42">
        <v>481</v>
      </c>
      <c r="E514" s="42">
        <v>0.38479999999999998</v>
      </c>
      <c r="F514" s="42">
        <v>122</v>
      </c>
      <c r="G514" s="42">
        <v>49.254400000000004</v>
      </c>
      <c r="H514" s="42">
        <v>2.476936070686071</v>
      </c>
      <c r="I514" s="42">
        <v>1</v>
      </c>
      <c r="J514" s="42">
        <v>2.5987525987525988</v>
      </c>
      <c r="K514" s="42">
        <v>0.953125</v>
      </c>
      <c r="L514" s="42">
        <v>0.38479999999999998</v>
      </c>
      <c r="M514">
        <v>1</v>
      </c>
    </row>
    <row r="515" spans="3:13" x14ac:dyDescent="0.15">
      <c r="C515" s="43">
        <v>482</v>
      </c>
      <c r="D515" s="42">
        <v>482</v>
      </c>
      <c r="E515" s="42">
        <v>0.3856</v>
      </c>
      <c r="F515" s="42">
        <v>122</v>
      </c>
      <c r="G515" s="42">
        <v>49.3568</v>
      </c>
      <c r="H515" s="42">
        <v>2.4717971991701244</v>
      </c>
      <c r="I515" s="42">
        <v>1</v>
      </c>
      <c r="J515" s="42">
        <v>2.5933609958506225</v>
      </c>
      <c r="K515" s="42">
        <v>0.953125</v>
      </c>
      <c r="L515" s="42">
        <v>0.3856</v>
      </c>
      <c r="M515">
        <v>1</v>
      </c>
    </row>
    <row r="516" spans="3:13" x14ac:dyDescent="0.15">
      <c r="C516" s="43">
        <v>483</v>
      </c>
      <c r="D516" s="42">
        <v>483</v>
      </c>
      <c r="E516" s="42">
        <v>0.38640000000000002</v>
      </c>
      <c r="F516" s="42">
        <v>122</v>
      </c>
      <c r="G516" s="42">
        <v>49.459200000000003</v>
      </c>
      <c r="H516" s="42">
        <v>2.4666796066252585</v>
      </c>
      <c r="I516" s="42">
        <v>1</v>
      </c>
      <c r="J516" s="42">
        <v>2.5879917184265011</v>
      </c>
      <c r="K516" s="42">
        <v>0.953125</v>
      </c>
      <c r="L516" s="42">
        <v>0.38640000000000002</v>
      </c>
      <c r="M516">
        <v>1</v>
      </c>
    </row>
    <row r="517" spans="3:13" x14ac:dyDescent="0.15">
      <c r="C517" s="43">
        <v>484</v>
      </c>
      <c r="D517" s="42">
        <v>484</v>
      </c>
      <c r="E517" s="42">
        <v>0.38719999999999999</v>
      </c>
      <c r="F517" s="42">
        <v>122</v>
      </c>
      <c r="G517" s="42">
        <v>49.561600000000006</v>
      </c>
      <c r="H517" s="42">
        <v>2.4615831611570247</v>
      </c>
      <c r="I517" s="42">
        <v>1</v>
      </c>
      <c r="J517" s="42">
        <v>2.5826446280991737</v>
      </c>
      <c r="K517" s="42">
        <v>0.953125</v>
      </c>
      <c r="L517" s="42">
        <v>0.38719999999999999</v>
      </c>
      <c r="M517">
        <v>1</v>
      </c>
    </row>
    <row r="518" spans="3:13" x14ac:dyDescent="0.15">
      <c r="C518" s="43">
        <v>485</v>
      </c>
      <c r="D518" s="42">
        <v>485</v>
      </c>
      <c r="E518" s="42">
        <v>0.38800000000000001</v>
      </c>
      <c r="F518" s="42">
        <v>122</v>
      </c>
      <c r="G518" s="42">
        <v>49.664000000000001</v>
      </c>
      <c r="H518" s="42">
        <v>2.4565077319587627</v>
      </c>
      <c r="I518" s="42">
        <v>1</v>
      </c>
      <c r="J518" s="42">
        <v>2.5773195876288657</v>
      </c>
      <c r="K518" s="42">
        <v>0.953125</v>
      </c>
      <c r="L518" s="42">
        <v>0.38800000000000001</v>
      </c>
      <c r="M518">
        <v>1</v>
      </c>
    </row>
    <row r="519" spans="3:13" x14ac:dyDescent="0.15">
      <c r="C519" s="43">
        <v>486</v>
      </c>
      <c r="D519" s="42">
        <v>486</v>
      </c>
      <c r="E519" s="42">
        <v>0.38879999999999998</v>
      </c>
      <c r="F519" s="42">
        <v>122</v>
      </c>
      <c r="G519" s="42">
        <v>49.766400000000004</v>
      </c>
      <c r="H519" s="42">
        <v>2.4514531893004117</v>
      </c>
      <c r="I519" s="42">
        <v>1</v>
      </c>
      <c r="J519" s="42">
        <v>2.57201646090535</v>
      </c>
      <c r="K519" s="42">
        <v>0.953125</v>
      </c>
      <c r="L519" s="42">
        <v>0.38879999999999998</v>
      </c>
      <c r="M519">
        <v>1</v>
      </c>
    </row>
    <row r="520" spans="3:13" x14ac:dyDescent="0.15">
      <c r="C520" s="43">
        <v>487</v>
      </c>
      <c r="D520" s="42">
        <v>487</v>
      </c>
      <c r="E520" s="42">
        <v>0.3896</v>
      </c>
      <c r="F520" s="42">
        <v>122</v>
      </c>
      <c r="G520" s="42">
        <v>49.8688</v>
      </c>
      <c r="H520" s="42">
        <v>2.4464194045174539</v>
      </c>
      <c r="I520" s="42">
        <v>1</v>
      </c>
      <c r="J520" s="42">
        <v>2.5667351129363452</v>
      </c>
      <c r="K520" s="42">
        <v>0.953125</v>
      </c>
      <c r="L520" s="42">
        <v>0.3896</v>
      </c>
      <c r="M520">
        <v>1</v>
      </c>
    </row>
    <row r="521" spans="3:13" x14ac:dyDescent="0.15">
      <c r="C521" s="43">
        <v>488</v>
      </c>
      <c r="D521" s="42">
        <v>488</v>
      </c>
      <c r="E521" s="42">
        <v>0.39040000000000002</v>
      </c>
      <c r="F521" s="42">
        <v>123</v>
      </c>
      <c r="G521" s="42">
        <v>49.971200000000003</v>
      </c>
      <c r="H521" s="42">
        <v>2.4614177766393439</v>
      </c>
      <c r="I521" s="42">
        <v>1</v>
      </c>
      <c r="J521" s="42">
        <v>2.5614754098360653</v>
      </c>
      <c r="K521" s="42">
        <v>0.9609375</v>
      </c>
      <c r="L521" s="42">
        <v>0.39040000000000002</v>
      </c>
      <c r="M521">
        <v>1</v>
      </c>
    </row>
    <row r="522" spans="3:13" x14ac:dyDescent="0.15">
      <c r="C522" s="43">
        <v>489</v>
      </c>
      <c r="D522" s="42">
        <v>489</v>
      </c>
      <c r="E522" s="42">
        <v>0.39119999999999999</v>
      </c>
      <c r="F522" s="42">
        <v>123</v>
      </c>
      <c r="G522" s="42">
        <v>50.073599999999999</v>
      </c>
      <c r="H522" s="42">
        <v>2.4563842024539877</v>
      </c>
      <c r="I522" s="42">
        <v>1</v>
      </c>
      <c r="J522" s="42">
        <v>2.556237218813906</v>
      </c>
      <c r="K522" s="42">
        <v>0.9609375</v>
      </c>
      <c r="L522" s="42">
        <v>0.39119999999999999</v>
      </c>
      <c r="M522">
        <v>1</v>
      </c>
    </row>
    <row r="523" spans="3:13" x14ac:dyDescent="0.15">
      <c r="C523" s="43">
        <v>490</v>
      </c>
      <c r="D523" s="42">
        <v>490</v>
      </c>
      <c r="E523" s="42">
        <v>0.39200000000000002</v>
      </c>
      <c r="F523" s="42">
        <v>123</v>
      </c>
      <c r="G523" s="42">
        <v>50.176000000000002</v>
      </c>
      <c r="H523" s="42">
        <v>2.4513711734693877</v>
      </c>
      <c r="I523" s="42">
        <v>1</v>
      </c>
      <c r="J523" s="42">
        <v>2.5510204081632653</v>
      </c>
      <c r="K523" s="42">
        <v>0.9609375</v>
      </c>
      <c r="L523" s="42">
        <v>0.39200000000000002</v>
      </c>
      <c r="M523">
        <v>1</v>
      </c>
    </row>
    <row r="524" spans="3:13" x14ac:dyDescent="0.15">
      <c r="C524" s="43">
        <v>491</v>
      </c>
      <c r="D524" s="42">
        <v>491</v>
      </c>
      <c r="E524" s="42">
        <v>0.39279999999999998</v>
      </c>
      <c r="F524" s="42">
        <v>123</v>
      </c>
      <c r="G524" s="42">
        <v>50.278400000000005</v>
      </c>
      <c r="H524" s="42">
        <v>2.4463785641547862</v>
      </c>
      <c r="I524" s="42">
        <v>1</v>
      </c>
      <c r="J524" s="42">
        <v>2.5458248472505094</v>
      </c>
      <c r="K524" s="42">
        <v>0.9609375</v>
      </c>
      <c r="L524" s="42">
        <v>0.39279999999999998</v>
      </c>
      <c r="M524">
        <v>1</v>
      </c>
    </row>
    <row r="525" spans="3:13" x14ac:dyDescent="0.15">
      <c r="C525" s="43">
        <v>492</v>
      </c>
      <c r="D525" s="42">
        <v>492</v>
      </c>
      <c r="E525" s="42">
        <v>0.39360000000000001</v>
      </c>
      <c r="F525" s="42">
        <v>123</v>
      </c>
      <c r="G525" s="42">
        <v>50.380800000000001</v>
      </c>
      <c r="H525" s="42">
        <v>2.44140625</v>
      </c>
      <c r="I525" s="42">
        <v>1</v>
      </c>
      <c r="J525" s="42">
        <v>2.5406504065040649</v>
      </c>
      <c r="K525" s="42">
        <v>0.9609375</v>
      </c>
      <c r="L525" s="42">
        <v>0.39360000000000001</v>
      </c>
      <c r="M525">
        <v>1</v>
      </c>
    </row>
    <row r="526" spans="3:13" x14ac:dyDescent="0.15">
      <c r="C526" s="43">
        <v>493</v>
      </c>
      <c r="D526" s="42">
        <v>493</v>
      </c>
      <c r="E526" s="42">
        <v>0.39439999999999997</v>
      </c>
      <c r="F526" s="42">
        <v>123</v>
      </c>
      <c r="G526" s="42">
        <v>50.483200000000004</v>
      </c>
      <c r="H526" s="42">
        <v>2.436454107505071</v>
      </c>
      <c r="I526" s="42">
        <v>1</v>
      </c>
      <c r="J526" s="42">
        <v>2.5354969574036512</v>
      </c>
      <c r="K526" s="42">
        <v>0.9609375</v>
      </c>
      <c r="L526" s="42">
        <v>0.39439999999999997</v>
      </c>
      <c r="M526">
        <v>1</v>
      </c>
    </row>
    <row r="527" spans="3:13" x14ac:dyDescent="0.15">
      <c r="C527" s="43">
        <v>494</v>
      </c>
      <c r="D527" s="42">
        <v>494</v>
      </c>
      <c r="E527" s="42">
        <v>0.3952</v>
      </c>
      <c r="F527" s="42">
        <v>123</v>
      </c>
      <c r="G527" s="42">
        <v>50.585599999999999</v>
      </c>
      <c r="H527" s="42">
        <v>2.4315220141700404</v>
      </c>
      <c r="I527" s="42">
        <v>1</v>
      </c>
      <c r="J527" s="42">
        <v>2.5303643724696356</v>
      </c>
      <c r="K527" s="42">
        <v>0.9609375</v>
      </c>
      <c r="L527" s="42">
        <v>0.3952</v>
      </c>
      <c r="M527">
        <v>1</v>
      </c>
    </row>
    <row r="528" spans="3:13" x14ac:dyDescent="0.15">
      <c r="C528" s="43">
        <v>495</v>
      </c>
      <c r="D528" s="42">
        <v>495</v>
      </c>
      <c r="E528" s="42">
        <v>0.39600000000000002</v>
      </c>
      <c r="F528" s="42">
        <v>123</v>
      </c>
      <c r="G528" s="42">
        <v>50.688000000000002</v>
      </c>
      <c r="H528" s="42">
        <v>2.4266098484848482</v>
      </c>
      <c r="I528" s="42">
        <v>1</v>
      </c>
      <c r="J528" s="42">
        <v>2.5252525252525251</v>
      </c>
      <c r="K528" s="42">
        <v>0.9609375</v>
      </c>
      <c r="L528" s="42">
        <v>0.39600000000000002</v>
      </c>
      <c r="M528">
        <v>1</v>
      </c>
    </row>
    <row r="529" spans="3:13" x14ac:dyDescent="0.15">
      <c r="C529" s="43">
        <v>496</v>
      </c>
      <c r="D529" s="42">
        <v>496</v>
      </c>
      <c r="E529" s="42">
        <v>0.39679999999999999</v>
      </c>
      <c r="F529" s="42">
        <v>123</v>
      </c>
      <c r="G529" s="42">
        <v>50.790400000000005</v>
      </c>
      <c r="H529" s="42">
        <v>2.421717489919355</v>
      </c>
      <c r="I529" s="42">
        <v>1</v>
      </c>
      <c r="J529" s="42">
        <v>2.5201612903225805</v>
      </c>
      <c r="K529" s="42">
        <v>0.9609375</v>
      </c>
      <c r="L529" s="42">
        <v>0.39679999999999999</v>
      </c>
      <c r="M529">
        <v>1</v>
      </c>
    </row>
    <row r="530" spans="3:13" x14ac:dyDescent="0.15">
      <c r="C530" s="43">
        <v>497</v>
      </c>
      <c r="D530" s="42">
        <v>497</v>
      </c>
      <c r="E530" s="42">
        <v>0.39760000000000001</v>
      </c>
      <c r="F530" s="42">
        <v>123</v>
      </c>
      <c r="G530" s="42">
        <v>50.892800000000001</v>
      </c>
      <c r="H530" s="42">
        <v>2.4168448189134808</v>
      </c>
      <c r="I530" s="42">
        <v>1</v>
      </c>
      <c r="J530" s="42">
        <v>2.5150905432595572</v>
      </c>
      <c r="K530" s="42">
        <v>0.9609375</v>
      </c>
      <c r="L530" s="42">
        <v>0.39760000000000001</v>
      </c>
      <c r="M530">
        <v>1</v>
      </c>
    </row>
    <row r="531" spans="3:13" x14ac:dyDescent="0.15">
      <c r="C531" s="43">
        <v>498</v>
      </c>
      <c r="D531" s="42">
        <v>498</v>
      </c>
      <c r="E531" s="42">
        <v>0.39839999999999998</v>
      </c>
      <c r="F531" s="42">
        <v>123</v>
      </c>
      <c r="G531" s="42">
        <v>50.995200000000004</v>
      </c>
      <c r="H531" s="42">
        <v>2.4119917168674698</v>
      </c>
      <c r="I531" s="42">
        <v>1</v>
      </c>
      <c r="J531" s="42">
        <v>2.5100401606425704</v>
      </c>
      <c r="K531" s="42">
        <v>0.9609375</v>
      </c>
      <c r="L531" s="42">
        <v>0.39839999999999998</v>
      </c>
      <c r="M531">
        <v>1</v>
      </c>
    </row>
    <row r="532" spans="3:13" x14ac:dyDescent="0.15">
      <c r="C532" s="43">
        <v>499</v>
      </c>
      <c r="D532" s="42">
        <v>499</v>
      </c>
      <c r="E532" s="42">
        <v>0.3992</v>
      </c>
      <c r="F532" s="42">
        <v>123</v>
      </c>
      <c r="G532" s="42">
        <v>51.0976</v>
      </c>
      <c r="H532" s="42">
        <v>2.4071580661322645</v>
      </c>
      <c r="I532" s="42">
        <v>1</v>
      </c>
      <c r="J532" s="42">
        <v>2.5050100200400802</v>
      </c>
      <c r="K532" s="42">
        <v>0.9609375</v>
      </c>
      <c r="L532" s="42">
        <v>0.3992</v>
      </c>
      <c r="M532">
        <v>1</v>
      </c>
    </row>
    <row r="533" spans="3:13" x14ac:dyDescent="0.15">
      <c r="C533" s="43">
        <v>500</v>
      </c>
      <c r="D533" s="42">
        <v>500</v>
      </c>
      <c r="E533" s="42">
        <v>0.4</v>
      </c>
      <c r="F533" s="42">
        <v>123</v>
      </c>
      <c r="G533" s="42">
        <v>51.2</v>
      </c>
      <c r="H533" s="42">
        <v>2.40234375</v>
      </c>
      <c r="I533" s="42">
        <v>1</v>
      </c>
      <c r="J533" s="42">
        <v>2.5</v>
      </c>
      <c r="K533" s="42">
        <v>0.9609375</v>
      </c>
      <c r="L533" s="42">
        <v>0.4</v>
      </c>
      <c r="M533">
        <v>1</v>
      </c>
    </row>
    <row r="534" spans="3:13" x14ac:dyDescent="0.15">
      <c r="C534" s="43">
        <v>501</v>
      </c>
      <c r="D534" s="42">
        <v>501</v>
      </c>
      <c r="E534" s="42">
        <v>0.40079999999999999</v>
      </c>
      <c r="F534" s="42">
        <v>123</v>
      </c>
      <c r="G534" s="42">
        <v>51.302400000000006</v>
      </c>
      <c r="H534" s="42">
        <v>2.3975486526946108</v>
      </c>
      <c r="I534" s="42">
        <v>1</v>
      </c>
      <c r="J534" s="42">
        <v>2.4950099800399204</v>
      </c>
      <c r="K534" s="42">
        <v>0.9609375</v>
      </c>
      <c r="L534" s="42">
        <v>0.40079999999999999</v>
      </c>
      <c r="M534">
        <v>1</v>
      </c>
    </row>
    <row r="535" spans="3:13" x14ac:dyDescent="0.15">
      <c r="C535" s="43">
        <v>502</v>
      </c>
      <c r="D535" s="42">
        <v>502</v>
      </c>
      <c r="E535" s="42">
        <v>0.40160000000000001</v>
      </c>
      <c r="F535" s="42">
        <v>123</v>
      </c>
      <c r="G535" s="42">
        <v>51.404800000000002</v>
      </c>
      <c r="H535" s="42">
        <v>2.3927726593625498</v>
      </c>
      <c r="I535" s="42">
        <v>1</v>
      </c>
      <c r="J535" s="42">
        <v>2.4900398406374502</v>
      </c>
      <c r="K535" s="42">
        <v>0.9609375</v>
      </c>
      <c r="L535" s="42">
        <v>0.40160000000000001</v>
      </c>
      <c r="M535">
        <v>1</v>
      </c>
    </row>
    <row r="536" spans="3:13" x14ac:dyDescent="0.15">
      <c r="C536" s="43">
        <v>503</v>
      </c>
      <c r="D536" s="42">
        <v>503</v>
      </c>
      <c r="E536" s="42">
        <v>0.40239999999999998</v>
      </c>
      <c r="F536" s="42">
        <v>123</v>
      </c>
      <c r="G536" s="42">
        <v>51.507200000000005</v>
      </c>
      <c r="H536" s="42">
        <v>2.3880156560636183</v>
      </c>
      <c r="I536" s="42">
        <v>1</v>
      </c>
      <c r="J536" s="42">
        <v>2.4850894632206759</v>
      </c>
      <c r="K536" s="42">
        <v>0.9609375</v>
      </c>
      <c r="L536" s="42">
        <v>0.40239999999999998</v>
      </c>
      <c r="M536">
        <v>1</v>
      </c>
    </row>
    <row r="537" spans="3:13" x14ac:dyDescent="0.15">
      <c r="C537" s="43">
        <v>504</v>
      </c>
      <c r="D537" s="42">
        <v>504</v>
      </c>
      <c r="E537" s="42">
        <v>0.4032</v>
      </c>
      <c r="F537" s="42">
        <v>123</v>
      </c>
      <c r="G537" s="42">
        <v>51.6096</v>
      </c>
      <c r="H537" s="42">
        <v>2.3832775297619047</v>
      </c>
      <c r="I537" s="42">
        <v>1</v>
      </c>
      <c r="J537" s="42">
        <v>2.4801587301587302</v>
      </c>
      <c r="K537" s="42">
        <v>0.9609375</v>
      </c>
      <c r="L537" s="42">
        <v>0.4032</v>
      </c>
      <c r="M537">
        <v>1</v>
      </c>
    </row>
    <row r="538" spans="3:13" x14ac:dyDescent="0.15">
      <c r="C538" s="43">
        <v>505</v>
      </c>
      <c r="D538" s="42">
        <v>505</v>
      </c>
      <c r="E538" s="42">
        <v>0.40400000000000003</v>
      </c>
      <c r="F538" s="42">
        <v>123</v>
      </c>
      <c r="G538" s="42">
        <v>51.712000000000003</v>
      </c>
      <c r="H538" s="42">
        <v>2.3785581683168315</v>
      </c>
      <c r="I538" s="42">
        <v>1</v>
      </c>
      <c r="J538" s="42">
        <v>2.4752475247524752</v>
      </c>
      <c r="K538" s="42">
        <v>0.9609375</v>
      </c>
      <c r="L538" s="42">
        <v>0.40400000000000003</v>
      </c>
      <c r="M538">
        <v>1</v>
      </c>
    </row>
    <row r="539" spans="3:13" x14ac:dyDescent="0.15">
      <c r="C539" s="43">
        <v>506</v>
      </c>
      <c r="D539" s="42">
        <v>506</v>
      </c>
      <c r="E539" s="42">
        <v>0.40479999999999999</v>
      </c>
      <c r="F539" s="42">
        <v>123</v>
      </c>
      <c r="G539" s="42">
        <v>51.814399999999999</v>
      </c>
      <c r="H539" s="42">
        <v>2.3738574604743081</v>
      </c>
      <c r="I539" s="42">
        <v>1</v>
      </c>
      <c r="J539" s="42">
        <v>2.4703557312252964</v>
      </c>
      <c r="K539" s="42">
        <v>0.9609375</v>
      </c>
      <c r="L539" s="42">
        <v>0.40479999999999999</v>
      </c>
      <c r="M539">
        <v>1</v>
      </c>
    </row>
    <row r="540" spans="3:13" x14ac:dyDescent="0.15">
      <c r="C540" s="43">
        <v>507</v>
      </c>
      <c r="D540" s="42">
        <v>507</v>
      </c>
      <c r="E540" s="42">
        <v>0.40560000000000002</v>
      </c>
      <c r="F540" s="42">
        <v>123</v>
      </c>
      <c r="G540" s="42">
        <v>51.916800000000002</v>
      </c>
      <c r="H540" s="42">
        <v>2.3691752958579881</v>
      </c>
      <c r="I540" s="42">
        <v>1</v>
      </c>
      <c r="J540" s="42">
        <v>2.4654832347140037</v>
      </c>
      <c r="K540" s="42">
        <v>0.9609375</v>
      </c>
      <c r="L540" s="42">
        <v>0.40560000000000002</v>
      </c>
      <c r="M540">
        <v>1</v>
      </c>
    </row>
    <row r="541" spans="3:13" x14ac:dyDescent="0.15">
      <c r="C541" s="43">
        <v>508</v>
      </c>
      <c r="D541" s="42">
        <v>508</v>
      </c>
      <c r="E541" s="42">
        <v>0.40639999999999998</v>
      </c>
      <c r="F541" s="42">
        <v>123</v>
      </c>
      <c r="G541" s="42">
        <v>52.019200000000005</v>
      </c>
      <c r="H541" s="42">
        <v>2.3645115649606301</v>
      </c>
      <c r="I541" s="42">
        <v>1</v>
      </c>
      <c r="J541" s="42">
        <v>2.4606299212598426</v>
      </c>
      <c r="K541" s="42">
        <v>0.9609375</v>
      </c>
      <c r="L541" s="42">
        <v>0.40639999999999998</v>
      </c>
      <c r="M541">
        <v>1</v>
      </c>
    </row>
    <row r="542" spans="3:13" x14ac:dyDescent="0.15">
      <c r="C542" s="43">
        <v>509</v>
      </c>
      <c r="D542" s="42">
        <v>509</v>
      </c>
      <c r="E542" s="42">
        <v>0.40720000000000001</v>
      </c>
      <c r="F542" s="42">
        <v>123</v>
      </c>
      <c r="G542" s="42">
        <v>52.121600000000001</v>
      </c>
      <c r="H542" s="42">
        <v>2.3598661591355601</v>
      </c>
      <c r="I542" s="42">
        <v>1</v>
      </c>
      <c r="J542" s="42">
        <v>2.4557956777996068</v>
      </c>
      <c r="K542" s="42">
        <v>0.9609375</v>
      </c>
      <c r="L542" s="42">
        <v>0.40720000000000001</v>
      </c>
      <c r="M542">
        <v>1</v>
      </c>
    </row>
    <row r="543" spans="3:13" x14ac:dyDescent="0.15">
      <c r="C543" s="43">
        <v>510</v>
      </c>
      <c r="D543" s="42">
        <v>510</v>
      </c>
      <c r="E543" s="42">
        <v>0.40799999999999997</v>
      </c>
      <c r="F543" s="42">
        <v>123</v>
      </c>
      <c r="G543" s="42">
        <v>52.224000000000004</v>
      </c>
      <c r="H543" s="42">
        <v>2.3552389705882355</v>
      </c>
      <c r="I543" s="42">
        <v>1</v>
      </c>
      <c r="J543" s="42">
        <v>2.4509803921568629</v>
      </c>
      <c r="K543" s="42">
        <v>0.9609375</v>
      </c>
      <c r="L543" s="42">
        <v>0.40799999999999997</v>
      </c>
      <c r="M543">
        <v>1</v>
      </c>
    </row>
    <row r="544" spans="3:13" x14ac:dyDescent="0.15">
      <c r="C544" s="43">
        <v>511</v>
      </c>
      <c r="D544" s="42">
        <v>511</v>
      </c>
      <c r="E544" s="42">
        <v>0.4088</v>
      </c>
      <c r="F544" s="42">
        <v>123</v>
      </c>
      <c r="G544" s="42">
        <v>52.3264</v>
      </c>
      <c r="H544" s="42">
        <v>2.3506298923679059</v>
      </c>
      <c r="I544" s="42">
        <v>1</v>
      </c>
      <c r="J544" s="42">
        <v>2.4461839530332683</v>
      </c>
      <c r="K544" s="42">
        <v>0.9609375</v>
      </c>
      <c r="L544" s="42">
        <v>0.4088</v>
      </c>
      <c r="M544">
        <v>1</v>
      </c>
    </row>
    <row r="545" spans="3:13" x14ac:dyDescent="0.15">
      <c r="C545" s="43">
        <v>512</v>
      </c>
      <c r="D545" s="42">
        <v>512</v>
      </c>
      <c r="E545" s="42">
        <v>0.40960000000000002</v>
      </c>
      <c r="F545" s="42">
        <v>123</v>
      </c>
      <c r="G545" s="42">
        <v>52.428800000000003</v>
      </c>
      <c r="H545" s="42">
        <v>2.346038818359375</v>
      </c>
      <c r="I545" s="42">
        <v>1</v>
      </c>
      <c r="J545" s="42">
        <v>2.44140625</v>
      </c>
      <c r="K545" s="42">
        <v>0.9609375</v>
      </c>
      <c r="L545" s="42">
        <v>0.40960000000000002</v>
      </c>
      <c r="M545">
        <v>1</v>
      </c>
    </row>
    <row r="546" spans="3:13" x14ac:dyDescent="0.15">
      <c r="C546" s="43">
        <v>513</v>
      </c>
      <c r="D546" s="42">
        <v>513</v>
      </c>
      <c r="E546" s="42">
        <v>0.41039999999999999</v>
      </c>
      <c r="F546" s="42">
        <v>123</v>
      </c>
      <c r="G546" s="42">
        <v>52.531200000000005</v>
      </c>
      <c r="H546" s="42">
        <v>2.3414656432748537</v>
      </c>
      <c r="I546" s="42">
        <v>1</v>
      </c>
      <c r="J546" s="42">
        <v>2.4366471734892787</v>
      </c>
      <c r="K546" s="42">
        <v>0.9609375</v>
      </c>
      <c r="L546" s="42">
        <v>0.41039999999999999</v>
      </c>
      <c r="M546">
        <v>1</v>
      </c>
    </row>
    <row r="547" spans="3:13" x14ac:dyDescent="0.15">
      <c r="C547" s="43">
        <v>514</v>
      </c>
      <c r="D547" s="42">
        <v>514</v>
      </c>
      <c r="E547" s="42">
        <v>0.41120000000000001</v>
      </c>
      <c r="F547" s="42">
        <v>123</v>
      </c>
      <c r="G547" s="42">
        <v>52.633600000000001</v>
      </c>
      <c r="H547" s="42">
        <v>2.3369102626459144</v>
      </c>
      <c r="I547" s="42">
        <v>1</v>
      </c>
      <c r="J547" s="42">
        <v>2.431906614785992</v>
      </c>
      <c r="K547" s="42">
        <v>0.9609375</v>
      </c>
      <c r="L547" s="42">
        <v>0.41120000000000001</v>
      </c>
      <c r="M547">
        <v>1</v>
      </c>
    </row>
    <row r="548" spans="3:13" x14ac:dyDescent="0.15">
      <c r="C548" s="43">
        <v>515</v>
      </c>
      <c r="D548" s="42">
        <v>515</v>
      </c>
      <c r="E548" s="42">
        <v>0.41199999999999998</v>
      </c>
      <c r="F548" s="42">
        <v>123</v>
      </c>
      <c r="G548" s="42">
        <v>52.736000000000004</v>
      </c>
      <c r="H548" s="42">
        <v>2.332372572815534</v>
      </c>
      <c r="I548" s="42">
        <v>1</v>
      </c>
      <c r="J548" s="42">
        <v>2.4271844660194177</v>
      </c>
      <c r="K548" s="42">
        <v>0.9609375</v>
      </c>
      <c r="L548" s="42">
        <v>0.41199999999999998</v>
      </c>
      <c r="M548">
        <v>1</v>
      </c>
    </row>
    <row r="549" spans="3:13" x14ac:dyDescent="0.15">
      <c r="C549" s="43">
        <v>516</v>
      </c>
      <c r="D549" s="42">
        <v>516</v>
      </c>
      <c r="E549" s="42">
        <v>0.4128</v>
      </c>
      <c r="F549" s="42">
        <v>123</v>
      </c>
      <c r="G549" s="42">
        <v>52.8384</v>
      </c>
      <c r="H549" s="42">
        <v>2.3278524709302326</v>
      </c>
      <c r="I549" s="42">
        <v>1</v>
      </c>
      <c r="J549" s="42">
        <v>2.4224806201550386</v>
      </c>
      <c r="K549" s="42">
        <v>0.9609375</v>
      </c>
      <c r="L549" s="42">
        <v>0.4128</v>
      </c>
      <c r="M549">
        <v>1</v>
      </c>
    </row>
    <row r="550" spans="3:13" x14ac:dyDescent="0.15">
      <c r="C550" s="43">
        <v>517</v>
      </c>
      <c r="D550" s="42">
        <v>517</v>
      </c>
      <c r="E550" s="42">
        <v>0.41360000000000002</v>
      </c>
      <c r="F550" s="42">
        <v>123</v>
      </c>
      <c r="G550" s="42">
        <v>52.940800000000003</v>
      </c>
      <c r="H550" s="42">
        <v>2.3233498549323017</v>
      </c>
      <c r="I550" s="42">
        <v>1</v>
      </c>
      <c r="J550" s="42">
        <v>2.4177949709864603</v>
      </c>
      <c r="K550" s="42">
        <v>0.9609375</v>
      </c>
      <c r="L550" s="42">
        <v>0.41360000000000002</v>
      </c>
      <c r="M550">
        <v>1</v>
      </c>
    </row>
    <row r="551" spans="3:13" x14ac:dyDescent="0.15">
      <c r="C551" s="43">
        <v>518</v>
      </c>
      <c r="D551" s="42">
        <v>518</v>
      </c>
      <c r="E551" s="42">
        <v>0.41439999999999999</v>
      </c>
      <c r="F551" s="42">
        <v>123</v>
      </c>
      <c r="G551" s="42">
        <v>53.043200000000006</v>
      </c>
      <c r="H551" s="42">
        <v>2.3188646235521237</v>
      </c>
      <c r="I551" s="42">
        <v>1</v>
      </c>
      <c r="J551" s="42">
        <v>2.413127413127413</v>
      </c>
      <c r="K551" s="42">
        <v>0.9609375</v>
      </c>
      <c r="L551" s="42">
        <v>0.41439999999999999</v>
      </c>
      <c r="M551">
        <v>1</v>
      </c>
    </row>
    <row r="552" spans="3:13" x14ac:dyDescent="0.15">
      <c r="C552" s="43">
        <v>519</v>
      </c>
      <c r="D552" s="42">
        <v>519</v>
      </c>
      <c r="E552" s="42">
        <v>0.41520000000000001</v>
      </c>
      <c r="F552" s="42">
        <v>123</v>
      </c>
      <c r="G552" s="42">
        <v>53.145600000000002</v>
      </c>
      <c r="H552" s="42">
        <v>2.3143966763005781</v>
      </c>
      <c r="I552" s="42">
        <v>1</v>
      </c>
      <c r="J552" s="42">
        <v>2.4084778420038533</v>
      </c>
      <c r="K552" s="42">
        <v>0.9609375</v>
      </c>
      <c r="L552" s="42">
        <v>0.41520000000000001</v>
      </c>
      <c r="M552">
        <v>1</v>
      </c>
    </row>
    <row r="553" spans="3:13" x14ac:dyDescent="0.15">
      <c r="C553" s="43">
        <v>520</v>
      </c>
      <c r="D553" s="42">
        <v>520</v>
      </c>
      <c r="E553" s="42">
        <v>0.41599999999999998</v>
      </c>
      <c r="F553" s="42">
        <v>123</v>
      </c>
      <c r="G553" s="42">
        <v>53.248000000000005</v>
      </c>
      <c r="H553" s="42">
        <v>2.3099459134615388</v>
      </c>
      <c r="I553" s="42">
        <v>1</v>
      </c>
      <c r="J553" s="42">
        <v>2.4038461538461537</v>
      </c>
      <c r="K553" s="42">
        <v>0.9609375</v>
      </c>
      <c r="L553" s="42">
        <v>0.41599999999999998</v>
      </c>
      <c r="M553">
        <v>1</v>
      </c>
    </row>
    <row r="554" spans="3:13" x14ac:dyDescent="0.15">
      <c r="C554" s="43">
        <v>521</v>
      </c>
      <c r="D554" s="42">
        <v>521</v>
      </c>
      <c r="E554" s="42">
        <v>0.4168</v>
      </c>
      <c r="F554" s="42">
        <v>123</v>
      </c>
      <c r="G554" s="42">
        <v>53.3504</v>
      </c>
      <c r="H554" s="42">
        <v>2.3055122360844531</v>
      </c>
      <c r="I554" s="42">
        <v>1</v>
      </c>
      <c r="J554" s="42">
        <v>2.3992322456813819</v>
      </c>
      <c r="K554" s="42">
        <v>0.9609375</v>
      </c>
      <c r="L554" s="42">
        <v>0.4168</v>
      </c>
      <c r="M554">
        <v>1</v>
      </c>
    </row>
    <row r="555" spans="3:13" x14ac:dyDescent="0.15">
      <c r="C555" s="43">
        <v>522</v>
      </c>
      <c r="D555" s="42">
        <v>522</v>
      </c>
      <c r="E555" s="42">
        <v>0.41760000000000003</v>
      </c>
      <c r="F555" s="42">
        <v>123</v>
      </c>
      <c r="G555" s="42">
        <v>53.452800000000003</v>
      </c>
      <c r="H555" s="42">
        <v>2.3010955459770113</v>
      </c>
      <c r="I555" s="42">
        <v>1</v>
      </c>
      <c r="J555" s="42">
        <v>2.3946360153256703</v>
      </c>
      <c r="K555" s="42">
        <v>0.9609375</v>
      </c>
      <c r="L555" s="42">
        <v>0.41760000000000003</v>
      </c>
      <c r="M555">
        <v>1</v>
      </c>
    </row>
    <row r="556" spans="3:13" x14ac:dyDescent="0.15">
      <c r="C556" s="43">
        <v>523</v>
      </c>
      <c r="D556" s="42">
        <v>523</v>
      </c>
      <c r="E556" s="42">
        <v>0.41839999999999999</v>
      </c>
      <c r="F556" s="42">
        <v>123</v>
      </c>
      <c r="G556" s="42">
        <v>53.555199999999999</v>
      </c>
      <c r="H556" s="42">
        <v>2.2966957456978969</v>
      </c>
      <c r="I556" s="42">
        <v>1</v>
      </c>
      <c r="J556" s="42">
        <v>2.3900573613766731</v>
      </c>
      <c r="K556" s="42">
        <v>0.9609375</v>
      </c>
      <c r="L556" s="42">
        <v>0.41839999999999999</v>
      </c>
      <c r="M556">
        <v>1</v>
      </c>
    </row>
    <row r="557" spans="3:13" x14ac:dyDescent="0.15">
      <c r="C557" s="43">
        <v>524</v>
      </c>
      <c r="D557" s="42">
        <v>524</v>
      </c>
      <c r="E557" s="42">
        <v>0.41920000000000002</v>
      </c>
      <c r="F557" s="42">
        <v>123</v>
      </c>
      <c r="G557" s="42">
        <v>53.657600000000002</v>
      </c>
      <c r="H557" s="42">
        <v>2.2923127385496183</v>
      </c>
      <c r="I557" s="42">
        <v>1</v>
      </c>
      <c r="J557" s="42">
        <v>2.3854961832061066</v>
      </c>
      <c r="K557" s="42">
        <v>0.9609375</v>
      </c>
      <c r="L557" s="42">
        <v>0.41920000000000002</v>
      </c>
      <c r="M557">
        <v>1</v>
      </c>
    </row>
    <row r="558" spans="3:13" x14ac:dyDescent="0.15">
      <c r="C558" s="43">
        <v>525</v>
      </c>
      <c r="D558" s="42">
        <v>525</v>
      </c>
      <c r="E558" s="42">
        <v>0.42</v>
      </c>
      <c r="F558" s="42">
        <v>123</v>
      </c>
      <c r="G558" s="42">
        <v>53.760000000000005</v>
      </c>
      <c r="H558" s="42">
        <v>2.2879464285714288</v>
      </c>
      <c r="I558" s="42">
        <v>1</v>
      </c>
      <c r="J558" s="42">
        <v>2.3809523809523809</v>
      </c>
      <c r="K558" s="42">
        <v>0.9609375</v>
      </c>
      <c r="L558" s="42">
        <v>0.42</v>
      </c>
      <c r="M558">
        <v>1</v>
      </c>
    </row>
    <row r="559" spans="3:13" x14ac:dyDescent="0.15">
      <c r="C559" s="43">
        <v>526</v>
      </c>
      <c r="D559" s="42">
        <v>526</v>
      </c>
      <c r="E559" s="42">
        <v>0.42080000000000001</v>
      </c>
      <c r="F559" s="42">
        <v>123</v>
      </c>
      <c r="G559" s="42">
        <v>53.862400000000001</v>
      </c>
      <c r="H559" s="42">
        <v>2.2835967205323193</v>
      </c>
      <c r="I559" s="42">
        <v>1</v>
      </c>
      <c r="J559" s="42">
        <v>2.376425855513308</v>
      </c>
      <c r="K559" s="42">
        <v>0.9609375</v>
      </c>
      <c r="L559" s="42">
        <v>0.42080000000000001</v>
      </c>
      <c r="M559">
        <v>1</v>
      </c>
    </row>
    <row r="560" spans="3:13" x14ac:dyDescent="0.15">
      <c r="C560" s="43">
        <v>527</v>
      </c>
      <c r="D560" s="42">
        <v>527</v>
      </c>
      <c r="E560" s="42">
        <v>0.42159999999999997</v>
      </c>
      <c r="F560" s="42">
        <v>123</v>
      </c>
      <c r="G560" s="42">
        <v>53.964800000000004</v>
      </c>
      <c r="H560" s="42">
        <v>2.2792635199240987</v>
      </c>
      <c r="I560" s="42">
        <v>1</v>
      </c>
      <c r="J560" s="42">
        <v>2.3719165085388996</v>
      </c>
      <c r="K560" s="42">
        <v>0.9609375</v>
      </c>
      <c r="L560" s="42">
        <v>0.42159999999999997</v>
      </c>
      <c r="M560">
        <v>1</v>
      </c>
    </row>
    <row r="561" spans="3:13" x14ac:dyDescent="0.15">
      <c r="C561" s="43">
        <v>528</v>
      </c>
      <c r="D561" s="42">
        <v>528</v>
      </c>
      <c r="E561" s="42">
        <v>0.4224</v>
      </c>
      <c r="F561" s="42">
        <v>124</v>
      </c>
      <c r="G561" s="42">
        <v>54.0672</v>
      </c>
      <c r="H561" s="42">
        <v>2.2934422348484849</v>
      </c>
      <c r="I561" s="42">
        <v>1</v>
      </c>
      <c r="J561" s="42">
        <v>2.3674242424242427</v>
      </c>
      <c r="K561" s="42">
        <v>0.96875</v>
      </c>
      <c r="L561" s="42">
        <v>0.4224</v>
      </c>
      <c r="M561">
        <v>1</v>
      </c>
    </row>
    <row r="562" spans="3:13" x14ac:dyDescent="0.15">
      <c r="C562" s="43">
        <v>529</v>
      </c>
      <c r="D562" s="42">
        <v>529</v>
      </c>
      <c r="E562" s="42">
        <v>0.42320000000000002</v>
      </c>
      <c r="F562" s="42">
        <v>124</v>
      </c>
      <c r="G562" s="42">
        <v>54.169600000000003</v>
      </c>
      <c r="H562" s="42">
        <v>2.2891068052930055</v>
      </c>
      <c r="I562" s="42">
        <v>1</v>
      </c>
      <c r="J562" s="42">
        <v>2.3629489603024574</v>
      </c>
      <c r="K562" s="42">
        <v>0.96875</v>
      </c>
      <c r="L562" s="42">
        <v>0.42320000000000002</v>
      </c>
      <c r="M562">
        <v>1</v>
      </c>
    </row>
    <row r="563" spans="3:13" x14ac:dyDescent="0.15">
      <c r="C563" s="43">
        <v>530</v>
      </c>
      <c r="D563" s="42">
        <v>530</v>
      </c>
      <c r="E563" s="42">
        <v>0.42399999999999999</v>
      </c>
      <c r="F563" s="42">
        <v>124</v>
      </c>
      <c r="G563" s="42">
        <v>54.272000000000006</v>
      </c>
      <c r="H563" s="42">
        <v>2.2847877358490565</v>
      </c>
      <c r="I563" s="42">
        <v>1</v>
      </c>
      <c r="J563" s="42">
        <v>2.358490566037736</v>
      </c>
      <c r="K563" s="42">
        <v>0.96875</v>
      </c>
      <c r="L563" s="42">
        <v>0.42399999999999999</v>
      </c>
      <c r="M563">
        <v>1</v>
      </c>
    </row>
    <row r="564" spans="3:13" x14ac:dyDescent="0.15">
      <c r="C564" s="43">
        <v>531</v>
      </c>
      <c r="D564" s="42">
        <v>531</v>
      </c>
      <c r="E564" s="42">
        <v>0.42480000000000001</v>
      </c>
      <c r="F564" s="42">
        <v>124</v>
      </c>
      <c r="G564" s="42">
        <v>54.374400000000001</v>
      </c>
      <c r="H564" s="42">
        <v>2.2804849340866289</v>
      </c>
      <c r="I564" s="42">
        <v>1</v>
      </c>
      <c r="J564" s="42">
        <v>2.3540489642184559</v>
      </c>
      <c r="K564" s="42">
        <v>0.96875</v>
      </c>
      <c r="L564" s="42">
        <v>0.42480000000000001</v>
      </c>
      <c r="M564">
        <v>1</v>
      </c>
    </row>
    <row r="565" spans="3:13" x14ac:dyDescent="0.15">
      <c r="C565" s="43">
        <v>532</v>
      </c>
      <c r="D565" s="42">
        <v>532</v>
      </c>
      <c r="E565" s="42">
        <v>0.42559999999999998</v>
      </c>
      <c r="F565" s="42">
        <v>124</v>
      </c>
      <c r="G565" s="42">
        <v>54.476800000000004</v>
      </c>
      <c r="H565" s="42">
        <v>2.2761983082706769</v>
      </c>
      <c r="I565" s="42">
        <v>1</v>
      </c>
      <c r="J565" s="42">
        <v>2.3496240601503762</v>
      </c>
      <c r="K565" s="42">
        <v>0.96875</v>
      </c>
      <c r="L565" s="42">
        <v>0.42559999999999998</v>
      </c>
      <c r="M565">
        <v>1</v>
      </c>
    </row>
    <row r="566" spans="3:13" x14ac:dyDescent="0.15">
      <c r="C566" s="43">
        <v>533</v>
      </c>
      <c r="D566" s="42">
        <v>533</v>
      </c>
      <c r="E566" s="42">
        <v>0.4264</v>
      </c>
      <c r="F566" s="42">
        <v>124</v>
      </c>
      <c r="G566" s="42">
        <v>54.5792</v>
      </c>
      <c r="H566" s="42">
        <v>2.2719277673545966</v>
      </c>
      <c r="I566" s="42">
        <v>1</v>
      </c>
      <c r="J566" s="42">
        <v>2.3452157598499062</v>
      </c>
      <c r="K566" s="42">
        <v>0.96875</v>
      </c>
      <c r="L566" s="42">
        <v>0.4264</v>
      </c>
      <c r="M566">
        <v>1</v>
      </c>
    </row>
    <row r="567" spans="3:13" x14ac:dyDescent="0.15">
      <c r="C567" s="43">
        <v>534</v>
      </c>
      <c r="D567" s="42">
        <v>534</v>
      </c>
      <c r="E567" s="42">
        <v>0.42720000000000002</v>
      </c>
      <c r="F567" s="42">
        <v>124</v>
      </c>
      <c r="G567" s="42">
        <v>54.681600000000003</v>
      </c>
      <c r="H567" s="42">
        <v>2.2676732209737827</v>
      </c>
      <c r="I567" s="42">
        <v>1</v>
      </c>
      <c r="J567" s="42">
        <v>2.3408239700374529</v>
      </c>
      <c r="K567" s="42">
        <v>0.96875</v>
      </c>
      <c r="L567" s="42">
        <v>0.42720000000000002</v>
      </c>
      <c r="M567">
        <v>1</v>
      </c>
    </row>
    <row r="568" spans="3:13" x14ac:dyDescent="0.15">
      <c r="C568" s="43">
        <v>535</v>
      </c>
      <c r="D568" s="42">
        <v>535</v>
      </c>
      <c r="E568" s="42">
        <v>0.42799999999999999</v>
      </c>
      <c r="F568" s="42">
        <v>124</v>
      </c>
      <c r="G568" s="42">
        <v>54.784000000000006</v>
      </c>
      <c r="H568" s="42">
        <v>2.2634345794392523</v>
      </c>
      <c r="I568" s="42">
        <v>1</v>
      </c>
      <c r="J568" s="42">
        <v>2.3364485981308412</v>
      </c>
      <c r="K568" s="42">
        <v>0.96875</v>
      </c>
      <c r="L568" s="42">
        <v>0.42799999999999999</v>
      </c>
      <c r="M568">
        <v>1</v>
      </c>
    </row>
    <row r="569" spans="3:13" x14ac:dyDescent="0.15">
      <c r="C569" s="43">
        <v>536</v>
      </c>
      <c r="D569" s="42">
        <v>536</v>
      </c>
      <c r="E569" s="42">
        <v>0.42880000000000001</v>
      </c>
      <c r="F569" s="42">
        <v>124</v>
      </c>
      <c r="G569" s="42">
        <v>54.886400000000002</v>
      </c>
      <c r="H569" s="42">
        <v>2.2592117537313432</v>
      </c>
      <c r="I569" s="42">
        <v>1</v>
      </c>
      <c r="J569" s="42">
        <v>2.3320895522388061</v>
      </c>
      <c r="K569" s="42">
        <v>0.96875</v>
      </c>
      <c r="L569" s="42">
        <v>0.42880000000000001</v>
      </c>
      <c r="M569">
        <v>1</v>
      </c>
    </row>
    <row r="570" spans="3:13" x14ac:dyDescent="0.15">
      <c r="C570" s="43">
        <v>537</v>
      </c>
      <c r="D570" s="42">
        <v>537</v>
      </c>
      <c r="E570" s="42">
        <v>0.42959999999999998</v>
      </c>
      <c r="F570" s="42">
        <v>124</v>
      </c>
      <c r="G570" s="42">
        <v>54.988800000000005</v>
      </c>
      <c r="H570" s="42">
        <v>2.2550046554934826</v>
      </c>
      <c r="I570" s="42">
        <v>1</v>
      </c>
      <c r="J570" s="42">
        <v>2.3277467411545625</v>
      </c>
      <c r="K570" s="42">
        <v>0.96875</v>
      </c>
      <c r="L570" s="42">
        <v>0.42959999999999998</v>
      </c>
      <c r="M570">
        <v>1</v>
      </c>
    </row>
    <row r="571" spans="3:13" x14ac:dyDescent="0.15">
      <c r="C571" s="43">
        <v>538</v>
      </c>
      <c r="D571" s="42">
        <v>538</v>
      </c>
      <c r="E571" s="42">
        <v>0.4304</v>
      </c>
      <c r="F571" s="42">
        <v>124</v>
      </c>
      <c r="G571" s="42">
        <v>55.091200000000001</v>
      </c>
      <c r="H571" s="42">
        <v>2.2508131970260221</v>
      </c>
      <c r="I571" s="42">
        <v>1</v>
      </c>
      <c r="J571" s="42">
        <v>2.3234200743494422</v>
      </c>
      <c r="K571" s="42">
        <v>0.96875</v>
      </c>
      <c r="L571" s="42">
        <v>0.4304</v>
      </c>
      <c r="M571">
        <v>1</v>
      </c>
    </row>
    <row r="572" spans="3:13" x14ac:dyDescent="0.15">
      <c r="C572" s="43">
        <v>539</v>
      </c>
      <c r="D572" s="42">
        <v>539</v>
      </c>
      <c r="E572" s="42">
        <v>0.43120000000000003</v>
      </c>
      <c r="F572" s="42">
        <v>124</v>
      </c>
      <c r="G572" s="42">
        <v>55.193600000000004</v>
      </c>
      <c r="H572" s="42">
        <v>2.2466372912801482</v>
      </c>
      <c r="I572" s="42">
        <v>1</v>
      </c>
      <c r="J572" s="42">
        <v>2.3191094619666046</v>
      </c>
      <c r="K572" s="42">
        <v>0.96875</v>
      </c>
      <c r="L572" s="42">
        <v>0.43120000000000003</v>
      </c>
      <c r="M572">
        <v>1</v>
      </c>
    </row>
    <row r="573" spans="3:13" x14ac:dyDescent="0.15">
      <c r="C573" s="43">
        <v>540</v>
      </c>
      <c r="D573" s="42">
        <v>540</v>
      </c>
      <c r="E573" s="42">
        <v>0.432</v>
      </c>
      <c r="F573" s="42">
        <v>124</v>
      </c>
      <c r="G573" s="42">
        <v>55.295999999999999</v>
      </c>
      <c r="H573" s="42">
        <v>2.2424768518518521</v>
      </c>
      <c r="I573" s="42">
        <v>1</v>
      </c>
      <c r="J573" s="42">
        <v>2.3148148148148149</v>
      </c>
      <c r="K573" s="42">
        <v>0.96875</v>
      </c>
      <c r="L573" s="42">
        <v>0.432</v>
      </c>
      <c r="M573">
        <v>1</v>
      </c>
    </row>
    <row r="574" spans="3:13" x14ac:dyDescent="0.15">
      <c r="C574" s="43">
        <v>541</v>
      </c>
      <c r="D574" s="42">
        <v>541</v>
      </c>
      <c r="E574" s="42">
        <v>0.43280000000000002</v>
      </c>
      <c r="F574" s="42">
        <v>125</v>
      </c>
      <c r="G574" s="42">
        <v>55.398400000000002</v>
      </c>
      <c r="H574" s="42">
        <v>2.2563828558225509</v>
      </c>
      <c r="I574" s="42">
        <v>1</v>
      </c>
      <c r="J574" s="42">
        <v>2.310536044362292</v>
      </c>
      <c r="K574" s="42">
        <v>0.9765625</v>
      </c>
      <c r="L574" s="42">
        <v>0.43280000000000002</v>
      </c>
      <c r="M574">
        <v>1</v>
      </c>
    </row>
    <row r="575" spans="3:13" x14ac:dyDescent="0.15">
      <c r="C575" s="43">
        <v>542</v>
      </c>
      <c r="D575" s="42">
        <v>542</v>
      </c>
      <c r="E575" s="42">
        <v>0.43359999999999999</v>
      </c>
      <c r="F575" s="42">
        <v>125</v>
      </c>
      <c r="G575" s="42">
        <v>55.500800000000005</v>
      </c>
      <c r="H575" s="42">
        <v>2.2522197878228782</v>
      </c>
      <c r="I575" s="42">
        <v>1</v>
      </c>
      <c r="J575" s="42">
        <v>2.3062730627306274</v>
      </c>
      <c r="K575" s="42">
        <v>0.9765625</v>
      </c>
      <c r="L575" s="42">
        <v>0.43359999999999999</v>
      </c>
      <c r="M575">
        <v>1</v>
      </c>
    </row>
    <row r="576" spans="3:13" x14ac:dyDescent="0.15">
      <c r="C576" s="43">
        <v>543</v>
      </c>
      <c r="D576" s="42">
        <v>543</v>
      </c>
      <c r="E576" s="42">
        <v>0.43440000000000001</v>
      </c>
      <c r="F576" s="42">
        <v>125</v>
      </c>
      <c r="G576" s="42">
        <v>55.603200000000001</v>
      </c>
      <c r="H576" s="42">
        <v>2.248072053406998</v>
      </c>
      <c r="I576" s="42">
        <v>1</v>
      </c>
      <c r="J576" s="42">
        <v>2.3020257826887662</v>
      </c>
      <c r="K576" s="42">
        <v>0.9765625</v>
      </c>
      <c r="L576" s="42">
        <v>0.43440000000000001</v>
      </c>
      <c r="M576">
        <v>1</v>
      </c>
    </row>
    <row r="577" spans="3:13" x14ac:dyDescent="0.15">
      <c r="C577" s="43">
        <v>544</v>
      </c>
      <c r="D577" s="42">
        <v>544</v>
      </c>
      <c r="E577" s="42">
        <v>0.43519999999999998</v>
      </c>
      <c r="F577" s="42">
        <v>125</v>
      </c>
      <c r="G577" s="42">
        <v>55.705600000000004</v>
      </c>
      <c r="H577" s="42">
        <v>2.2439395680147061</v>
      </c>
      <c r="I577" s="42">
        <v>1</v>
      </c>
      <c r="J577" s="42">
        <v>2.2977941176470589</v>
      </c>
      <c r="K577" s="42">
        <v>0.9765625</v>
      </c>
      <c r="L577" s="42">
        <v>0.43519999999999998</v>
      </c>
      <c r="M577">
        <v>1</v>
      </c>
    </row>
    <row r="578" spans="3:13" x14ac:dyDescent="0.15">
      <c r="C578" s="43">
        <v>545</v>
      </c>
      <c r="D578" s="42">
        <v>545</v>
      </c>
      <c r="E578" s="42">
        <v>0.436</v>
      </c>
      <c r="F578" s="42">
        <v>125</v>
      </c>
      <c r="G578" s="42">
        <v>55.808</v>
      </c>
      <c r="H578" s="42">
        <v>2.2398222477064222</v>
      </c>
      <c r="I578" s="42">
        <v>1</v>
      </c>
      <c r="J578" s="42">
        <v>2.2935779816513762</v>
      </c>
      <c r="K578" s="42">
        <v>0.9765625</v>
      </c>
      <c r="L578" s="42">
        <v>0.436</v>
      </c>
      <c r="M578">
        <v>1</v>
      </c>
    </row>
    <row r="579" spans="3:13" x14ac:dyDescent="0.15">
      <c r="C579" s="43">
        <v>546</v>
      </c>
      <c r="D579" s="42">
        <v>546</v>
      </c>
      <c r="E579" s="42">
        <v>0.43680000000000002</v>
      </c>
      <c r="F579" s="42">
        <v>125</v>
      </c>
      <c r="G579" s="42">
        <v>55.910400000000003</v>
      </c>
      <c r="H579" s="42">
        <v>2.2357200091575091</v>
      </c>
      <c r="I579" s="42">
        <v>1</v>
      </c>
      <c r="J579" s="42">
        <v>2.2893772893772892</v>
      </c>
      <c r="K579" s="42">
        <v>0.9765625</v>
      </c>
      <c r="L579" s="42">
        <v>0.43680000000000002</v>
      </c>
      <c r="M579">
        <v>1</v>
      </c>
    </row>
    <row r="580" spans="3:13" x14ac:dyDescent="0.15">
      <c r="C580" s="43">
        <v>547</v>
      </c>
      <c r="D580" s="42">
        <v>547</v>
      </c>
      <c r="E580" s="42">
        <v>0.43759999999999999</v>
      </c>
      <c r="F580" s="42">
        <v>125</v>
      </c>
      <c r="G580" s="42">
        <v>56.012800000000006</v>
      </c>
      <c r="H580" s="42">
        <v>2.2316327696526508</v>
      </c>
      <c r="I580" s="42">
        <v>1</v>
      </c>
      <c r="J580" s="42">
        <v>2.2851919561243146</v>
      </c>
      <c r="K580" s="42">
        <v>0.9765625</v>
      </c>
      <c r="L580" s="42">
        <v>0.43759999999999999</v>
      </c>
      <c r="M580">
        <v>1</v>
      </c>
    </row>
    <row r="581" spans="3:13" x14ac:dyDescent="0.15">
      <c r="C581" s="43">
        <v>548</v>
      </c>
      <c r="D581" s="42">
        <v>548</v>
      </c>
      <c r="E581" s="42">
        <v>0.43840000000000001</v>
      </c>
      <c r="F581" s="42">
        <v>125</v>
      </c>
      <c r="G581" s="42">
        <v>56.115200000000002</v>
      </c>
      <c r="H581" s="42">
        <v>2.2275604470802919</v>
      </c>
      <c r="I581" s="42">
        <v>1</v>
      </c>
      <c r="J581" s="42">
        <v>2.281021897810219</v>
      </c>
      <c r="K581" s="42">
        <v>0.9765625</v>
      </c>
      <c r="L581" s="42">
        <v>0.43840000000000001</v>
      </c>
      <c r="M581">
        <v>1</v>
      </c>
    </row>
    <row r="582" spans="3:13" x14ac:dyDescent="0.15">
      <c r="C582" s="43">
        <v>549</v>
      </c>
      <c r="D582" s="42">
        <v>549</v>
      </c>
      <c r="E582" s="42">
        <v>0.43919999999999998</v>
      </c>
      <c r="F582" s="42">
        <v>125</v>
      </c>
      <c r="G582" s="42">
        <v>56.217600000000004</v>
      </c>
      <c r="H582" s="42">
        <v>2.2235029599271403</v>
      </c>
      <c r="I582" s="42">
        <v>1</v>
      </c>
      <c r="J582" s="42">
        <v>2.2768670309653918</v>
      </c>
      <c r="K582" s="42">
        <v>0.9765625</v>
      </c>
      <c r="L582" s="42">
        <v>0.43919999999999998</v>
      </c>
      <c r="M582">
        <v>1</v>
      </c>
    </row>
    <row r="583" spans="3:13" x14ac:dyDescent="0.15">
      <c r="C583" s="43">
        <v>550</v>
      </c>
      <c r="D583" s="42">
        <v>550</v>
      </c>
      <c r="E583" s="42">
        <v>0.44</v>
      </c>
      <c r="F583" s="42">
        <v>125</v>
      </c>
      <c r="G583" s="42">
        <v>56.32</v>
      </c>
      <c r="H583" s="42">
        <v>2.2194602272727271</v>
      </c>
      <c r="I583" s="42">
        <v>1</v>
      </c>
      <c r="J583" s="42">
        <v>2.2727272727272729</v>
      </c>
      <c r="K583" s="42">
        <v>0.9765625</v>
      </c>
      <c r="L583" s="42">
        <v>0.44</v>
      </c>
      <c r="M583">
        <v>1</v>
      </c>
    </row>
    <row r="584" spans="3:13" x14ac:dyDescent="0.15">
      <c r="C584" s="43">
        <v>551</v>
      </c>
      <c r="D584" s="42">
        <v>551</v>
      </c>
      <c r="E584" s="42">
        <v>0.44080000000000003</v>
      </c>
      <c r="F584" s="42">
        <v>125</v>
      </c>
      <c r="G584" s="42">
        <v>56.422400000000003</v>
      </c>
      <c r="H584" s="42">
        <v>2.2154321687840288</v>
      </c>
      <c r="I584" s="42">
        <v>1</v>
      </c>
      <c r="J584" s="42">
        <v>2.2686025408348458</v>
      </c>
      <c r="K584" s="42">
        <v>0.9765625</v>
      </c>
      <c r="L584" s="42">
        <v>0.44080000000000003</v>
      </c>
      <c r="M584">
        <v>1</v>
      </c>
    </row>
    <row r="585" spans="3:13" x14ac:dyDescent="0.15">
      <c r="C585" s="43">
        <v>552</v>
      </c>
      <c r="D585" s="42">
        <v>552</v>
      </c>
      <c r="E585" s="42">
        <v>0.44159999999999999</v>
      </c>
      <c r="F585" s="42">
        <v>125</v>
      </c>
      <c r="G585" s="42">
        <v>56.524800000000006</v>
      </c>
      <c r="H585" s="42">
        <v>2.211418704710145</v>
      </c>
      <c r="I585" s="42">
        <v>1</v>
      </c>
      <c r="J585" s="42">
        <v>2.2644927536231885</v>
      </c>
      <c r="K585" s="42">
        <v>0.9765625</v>
      </c>
      <c r="L585" s="42">
        <v>0.44159999999999999</v>
      </c>
      <c r="M585">
        <v>1</v>
      </c>
    </row>
    <row r="586" spans="3:13" x14ac:dyDescent="0.15">
      <c r="C586" s="43">
        <v>553</v>
      </c>
      <c r="D586" s="42">
        <v>553</v>
      </c>
      <c r="E586" s="42">
        <v>0.44240000000000002</v>
      </c>
      <c r="F586" s="42">
        <v>125</v>
      </c>
      <c r="G586" s="42">
        <v>56.627200000000002</v>
      </c>
      <c r="H586" s="42">
        <v>2.2074197558770341</v>
      </c>
      <c r="I586" s="42">
        <v>1</v>
      </c>
      <c r="J586" s="42">
        <v>2.2603978300180829</v>
      </c>
      <c r="K586" s="42">
        <v>0.9765625</v>
      </c>
      <c r="L586" s="42">
        <v>0.44240000000000002</v>
      </c>
      <c r="M586">
        <v>1</v>
      </c>
    </row>
    <row r="587" spans="3:13" x14ac:dyDescent="0.15">
      <c r="C587" s="43">
        <v>554</v>
      </c>
      <c r="D587" s="42">
        <v>554</v>
      </c>
      <c r="E587" s="42">
        <v>0.44319999999999998</v>
      </c>
      <c r="F587" s="42">
        <v>125</v>
      </c>
      <c r="G587" s="42">
        <v>56.729600000000005</v>
      </c>
      <c r="H587" s="42">
        <v>2.2034352436823106</v>
      </c>
      <c r="I587" s="42">
        <v>1</v>
      </c>
      <c r="J587" s="42">
        <v>2.256317689530686</v>
      </c>
      <c r="K587" s="42">
        <v>0.9765625</v>
      </c>
      <c r="L587" s="42">
        <v>0.44319999999999998</v>
      </c>
      <c r="M587">
        <v>1</v>
      </c>
    </row>
    <row r="588" spans="3:13" x14ac:dyDescent="0.15">
      <c r="C588" s="43">
        <v>555</v>
      </c>
      <c r="D588" s="42">
        <v>555</v>
      </c>
      <c r="E588" s="42">
        <v>0.44400000000000001</v>
      </c>
      <c r="F588" s="42">
        <v>125</v>
      </c>
      <c r="G588" s="42">
        <v>56.832000000000001</v>
      </c>
      <c r="H588" s="42">
        <v>2.1994650900900901</v>
      </c>
      <c r="I588" s="42">
        <v>1</v>
      </c>
      <c r="J588" s="42">
        <v>2.2522522522522523</v>
      </c>
      <c r="K588" s="42">
        <v>0.9765625</v>
      </c>
      <c r="L588" s="42">
        <v>0.44400000000000001</v>
      </c>
      <c r="M588">
        <v>1</v>
      </c>
    </row>
    <row r="589" spans="3:13" x14ac:dyDescent="0.15">
      <c r="C589" s="43">
        <v>556</v>
      </c>
      <c r="D589" s="42">
        <v>556</v>
      </c>
      <c r="E589" s="42">
        <v>0.44479999999999997</v>
      </c>
      <c r="F589" s="42">
        <v>125</v>
      </c>
      <c r="G589" s="42">
        <v>56.934400000000004</v>
      </c>
      <c r="H589" s="42">
        <v>2.1955092176258995</v>
      </c>
      <c r="I589" s="42">
        <v>1</v>
      </c>
      <c r="J589" s="42">
        <v>2.2482014388489211</v>
      </c>
      <c r="K589" s="42">
        <v>0.9765625</v>
      </c>
      <c r="L589" s="42">
        <v>0.44479999999999997</v>
      </c>
      <c r="M589">
        <v>1</v>
      </c>
    </row>
    <row r="590" spans="3:13" x14ac:dyDescent="0.15">
      <c r="C590" s="43">
        <v>557</v>
      </c>
      <c r="D590" s="42">
        <v>557</v>
      </c>
      <c r="E590" s="42">
        <v>0.4456</v>
      </c>
      <c r="F590" s="42">
        <v>125</v>
      </c>
      <c r="G590" s="42">
        <v>57.036799999999999</v>
      </c>
      <c r="H590" s="42">
        <v>2.1915675493716336</v>
      </c>
      <c r="I590" s="42">
        <v>1</v>
      </c>
      <c r="J590" s="42">
        <v>2.2441651705565531</v>
      </c>
      <c r="K590" s="42">
        <v>0.9765625</v>
      </c>
      <c r="L590" s="42">
        <v>0.4456</v>
      </c>
      <c r="M590">
        <v>1</v>
      </c>
    </row>
    <row r="591" spans="3:13" x14ac:dyDescent="0.15">
      <c r="C591" s="43">
        <v>558</v>
      </c>
      <c r="D591" s="42">
        <v>558</v>
      </c>
      <c r="E591" s="42">
        <v>0.44640000000000002</v>
      </c>
      <c r="F591" s="42">
        <v>125</v>
      </c>
      <c r="G591" s="42">
        <v>57.139200000000002</v>
      </c>
      <c r="H591" s="42">
        <v>2.1876400089605732</v>
      </c>
      <c r="I591" s="42">
        <v>1</v>
      </c>
      <c r="J591" s="42">
        <v>2.2401433691756272</v>
      </c>
      <c r="K591" s="42">
        <v>0.9765625</v>
      </c>
      <c r="L591" s="42">
        <v>0.44640000000000002</v>
      </c>
      <c r="M591">
        <v>1</v>
      </c>
    </row>
    <row r="592" spans="3:13" x14ac:dyDescent="0.15">
      <c r="C592" s="43">
        <v>559</v>
      </c>
      <c r="D592" s="42">
        <v>559</v>
      </c>
      <c r="E592" s="42">
        <v>0.44719999999999999</v>
      </c>
      <c r="F592" s="42">
        <v>125</v>
      </c>
      <c r="G592" s="42">
        <v>57.241600000000005</v>
      </c>
      <c r="H592" s="42">
        <v>2.183726520572451</v>
      </c>
      <c r="I592" s="42">
        <v>1</v>
      </c>
      <c r="J592" s="42">
        <v>2.2361359570661898</v>
      </c>
      <c r="K592" s="42">
        <v>0.9765625</v>
      </c>
      <c r="L592" s="42">
        <v>0.44719999999999999</v>
      </c>
      <c r="M592">
        <v>1</v>
      </c>
    </row>
    <row r="593" spans="3:13" x14ac:dyDescent="0.15">
      <c r="C593" s="43">
        <v>560</v>
      </c>
      <c r="D593" s="42">
        <v>560</v>
      </c>
      <c r="E593" s="42">
        <v>0.44800000000000001</v>
      </c>
      <c r="F593" s="42">
        <v>125</v>
      </c>
      <c r="G593" s="42">
        <v>57.344000000000001</v>
      </c>
      <c r="H593" s="42">
        <v>2.1798270089285712</v>
      </c>
      <c r="I593" s="42">
        <v>1</v>
      </c>
      <c r="J593" s="42">
        <v>2.2321428571428572</v>
      </c>
      <c r="K593" s="42">
        <v>0.9765625</v>
      </c>
      <c r="L593" s="42">
        <v>0.44800000000000001</v>
      </c>
      <c r="M593">
        <v>1</v>
      </c>
    </row>
    <row r="594" spans="3:13" x14ac:dyDescent="0.15">
      <c r="C594" s="43">
        <v>561</v>
      </c>
      <c r="D594" s="42">
        <v>561</v>
      </c>
      <c r="E594" s="42">
        <v>0.44879999999999998</v>
      </c>
      <c r="F594" s="42">
        <v>125</v>
      </c>
      <c r="G594" s="42">
        <v>57.446400000000004</v>
      </c>
      <c r="H594" s="42">
        <v>2.1759413992869878</v>
      </c>
      <c r="I594" s="42">
        <v>1</v>
      </c>
      <c r="J594" s="42">
        <v>2.2281639928698755</v>
      </c>
      <c r="K594" s="42">
        <v>0.9765625</v>
      </c>
      <c r="L594" s="42">
        <v>0.44879999999999998</v>
      </c>
      <c r="M594">
        <v>1</v>
      </c>
    </row>
    <row r="595" spans="3:13" x14ac:dyDescent="0.15">
      <c r="C595" s="43">
        <v>562</v>
      </c>
      <c r="D595" s="42">
        <v>562</v>
      </c>
      <c r="E595" s="42">
        <v>0.4496</v>
      </c>
      <c r="F595" s="42">
        <v>125</v>
      </c>
      <c r="G595" s="42">
        <v>57.5488</v>
      </c>
      <c r="H595" s="42">
        <v>2.1720696174377223</v>
      </c>
      <c r="I595" s="42">
        <v>1</v>
      </c>
      <c r="J595" s="42">
        <v>2.2241992882562278</v>
      </c>
      <c r="K595" s="42">
        <v>0.9765625</v>
      </c>
      <c r="L595" s="42">
        <v>0.4496</v>
      </c>
      <c r="M595">
        <v>1</v>
      </c>
    </row>
    <row r="596" spans="3:13" x14ac:dyDescent="0.15">
      <c r="C596" s="43">
        <v>563</v>
      </c>
      <c r="D596" s="42">
        <v>563</v>
      </c>
      <c r="E596" s="42">
        <v>0.45040000000000002</v>
      </c>
      <c r="F596" s="42">
        <v>125</v>
      </c>
      <c r="G596" s="42">
        <v>57.651200000000003</v>
      </c>
      <c r="H596" s="42">
        <v>2.1682115896980463</v>
      </c>
      <c r="I596" s="42">
        <v>1</v>
      </c>
      <c r="J596" s="42">
        <v>2.2202486678507993</v>
      </c>
      <c r="K596" s="42">
        <v>0.9765625</v>
      </c>
      <c r="L596" s="42">
        <v>0.45040000000000002</v>
      </c>
      <c r="M596">
        <v>1</v>
      </c>
    </row>
    <row r="597" spans="3:13" x14ac:dyDescent="0.15">
      <c r="C597" s="43">
        <v>564</v>
      </c>
      <c r="D597" s="42">
        <v>564</v>
      </c>
      <c r="E597" s="42">
        <v>0.45119999999999999</v>
      </c>
      <c r="F597" s="42">
        <v>125</v>
      </c>
      <c r="G597" s="42">
        <v>57.753600000000006</v>
      </c>
      <c r="H597" s="42">
        <v>2.1643672429078014</v>
      </c>
      <c r="I597" s="42">
        <v>1</v>
      </c>
      <c r="J597" s="42">
        <v>2.2163120567375887</v>
      </c>
      <c r="K597" s="42">
        <v>0.9765625</v>
      </c>
      <c r="L597" s="42">
        <v>0.45119999999999999</v>
      </c>
      <c r="M597">
        <v>1</v>
      </c>
    </row>
    <row r="598" spans="3:13" x14ac:dyDescent="0.15">
      <c r="C598" s="43">
        <v>565</v>
      </c>
      <c r="D598" s="42">
        <v>565</v>
      </c>
      <c r="E598" s="42">
        <v>0.45200000000000001</v>
      </c>
      <c r="F598" s="42">
        <v>125</v>
      </c>
      <c r="G598" s="42">
        <v>57.856000000000002</v>
      </c>
      <c r="H598" s="42">
        <v>2.1605365044247788</v>
      </c>
      <c r="I598" s="42">
        <v>1</v>
      </c>
      <c r="J598" s="42">
        <v>2.2123893805309733</v>
      </c>
      <c r="K598" s="42">
        <v>0.9765625</v>
      </c>
      <c r="L598" s="42">
        <v>0.45200000000000001</v>
      </c>
      <c r="M598">
        <v>1</v>
      </c>
    </row>
    <row r="599" spans="3:13" x14ac:dyDescent="0.15">
      <c r="C599" s="43">
        <v>566</v>
      </c>
      <c r="D599" s="42">
        <v>566</v>
      </c>
      <c r="E599" s="42">
        <v>0.45279999999999998</v>
      </c>
      <c r="F599" s="42">
        <v>125</v>
      </c>
      <c r="G599" s="42">
        <v>57.958400000000005</v>
      </c>
      <c r="H599" s="42">
        <v>2.1567193021201416</v>
      </c>
      <c r="I599" s="42">
        <v>1</v>
      </c>
      <c r="J599" s="42">
        <v>2.2084805653710249</v>
      </c>
      <c r="K599" s="42">
        <v>0.9765625</v>
      </c>
      <c r="L599" s="42">
        <v>0.45279999999999998</v>
      </c>
      <c r="M599">
        <v>1</v>
      </c>
    </row>
    <row r="600" spans="3:13" x14ac:dyDescent="0.15">
      <c r="C600" s="43">
        <v>567</v>
      </c>
      <c r="D600" s="42">
        <v>567</v>
      </c>
      <c r="E600" s="42">
        <v>0.4536</v>
      </c>
      <c r="F600" s="42">
        <v>125</v>
      </c>
      <c r="G600" s="42">
        <v>58.0608</v>
      </c>
      <c r="H600" s="42">
        <v>2.1529155643738975</v>
      </c>
      <c r="I600" s="42">
        <v>1</v>
      </c>
      <c r="J600" s="42">
        <v>2.204585537918871</v>
      </c>
      <c r="K600" s="42">
        <v>0.9765625</v>
      </c>
      <c r="L600" s="42">
        <v>0.4536</v>
      </c>
      <c r="M600">
        <v>1</v>
      </c>
    </row>
    <row r="601" spans="3:13" x14ac:dyDescent="0.15">
      <c r="C601" s="43">
        <v>568</v>
      </c>
      <c r="D601" s="42">
        <v>568</v>
      </c>
      <c r="E601" s="42">
        <v>0.45440000000000003</v>
      </c>
      <c r="F601" s="42">
        <v>125</v>
      </c>
      <c r="G601" s="42">
        <v>58.163200000000003</v>
      </c>
      <c r="H601" s="42">
        <v>2.1491252200704225</v>
      </c>
      <c r="I601" s="42">
        <v>1</v>
      </c>
      <c r="J601" s="42">
        <v>2.2007042253521125</v>
      </c>
      <c r="K601" s="42">
        <v>0.9765625</v>
      </c>
      <c r="L601" s="42">
        <v>0.45440000000000003</v>
      </c>
      <c r="M601">
        <v>1</v>
      </c>
    </row>
    <row r="602" spans="3:13" x14ac:dyDescent="0.15">
      <c r="C602" s="43">
        <v>569</v>
      </c>
      <c r="D602" s="42">
        <v>569</v>
      </c>
      <c r="E602" s="42">
        <v>0.45519999999999999</v>
      </c>
      <c r="F602" s="42">
        <v>125</v>
      </c>
      <c r="G602" s="42">
        <v>58.265600000000006</v>
      </c>
      <c r="H602" s="42">
        <v>2.1453481985940246</v>
      </c>
      <c r="I602" s="42">
        <v>1</v>
      </c>
      <c r="J602" s="42">
        <v>2.1968365553602811</v>
      </c>
      <c r="K602" s="42">
        <v>0.9765625</v>
      </c>
      <c r="L602" s="42">
        <v>0.45519999999999999</v>
      </c>
      <c r="M602">
        <v>1</v>
      </c>
    </row>
    <row r="603" spans="3:13" x14ac:dyDescent="0.15">
      <c r="C603" s="43">
        <v>570</v>
      </c>
      <c r="D603" s="42">
        <v>570</v>
      </c>
      <c r="E603" s="42">
        <v>0.45600000000000002</v>
      </c>
      <c r="F603" s="42">
        <v>125</v>
      </c>
      <c r="G603" s="42">
        <v>58.368000000000002</v>
      </c>
      <c r="H603" s="42">
        <v>2.1415844298245612</v>
      </c>
      <c r="I603" s="42">
        <v>1</v>
      </c>
      <c r="J603" s="42">
        <v>2.1929824561403506</v>
      </c>
      <c r="K603" s="42">
        <v>0.9765625</v>
      </c>
      <c r="L603" s="42">
        <v>0.45600000000000002</v>
      </c>
      <c r="M603">
        <v>1</v>
      </c>
    </row>
    <row r="604" spans="3:13" x14ac:dyDescent="0.15">
      <c r="C604" s="43">
        <v>571</v>
      </c>
      <c r="D604" s="42">
        <v>571</v>
      </c>
      <c r="E604" s="42">
        <v>0.45679999999999998</v>
      </c>
      <c r="F604" s="42">
        <v>125</v>
      </c>
      <c r="G604" s="42">
        <v>58.470400000000005</v>
      </c>
      <c r="H604" s="42">
        <v>2.1378338441331</v>
      </c>
      <c r="I604" s="42">
        <v>1</v>
      </c>
      <c r="J604" s="42">
        <v>2.1891418563922942</v>
      </c>
      <c r="K604" s="42">
        <v>0.9765625</v>
      </c>
      <c r="L604" s="42">
        <v>0.45679999999999998</v>
      </c>
      <c r="M604">
        <v>1</v>
      </c>
    </row>
    <row r="605" spans="3:13" x14ac:dyDescent="0.15">
      <c r="C605" s="43">
        <v>572</v>
      </c>
      <c r="D605" s="42">
        <v>572</v>
      </c>
      <c r="E605" s="42">
        <v>0.45760000000000001</v>
      </c>
      <c r="F605" s="42">
        <v>125</v>
      </c>
      <c r="G605" s="42">
        <v>58.572800000000001</v>
      </c>
      <c r="H605" s="42">
        <v>2.1340963723776225</v>
      </c>
      <c r="I605" s="42">
        <v>1</v>
      </c>
      <c r="J605" s="42">
        <v>2.1853146853146854</v>
      </c>
      <c r="K605" s="42">
        <v>0.9765625</v>
      </c>
      <c r="L605" s="42">
        <v>0.45760000000000001</v>
      </c>
      <c r="M605">
        <v>1</v>
      </c>
    </row>
    <row r="606" spans="3:13" x14ac:dyDescent="0.15">
      <c r="C606" s="43">
        <v>573</v>
      </c>
      <c r="D606" s="42">
        <v>573</v>
      </c>
      <c r="E606" s="42">
        <v>0.45839999999999997</v>
      </c>
      <c r="F606" s="42">
        <v>125</v>
      </c>
      <c r="G606" s="42">
        <v>58.675200000000004</v>
      </c>
      <c r="H606" s="42">
        <v>2.1303719458987787</v>
      </c>
      <c r="I606" s="42">
        <v>1</v>
      </c>
      <c r="J606" s="42">
        <v>2.1815008726003491</v>
      </c>
      <c r="K606" s="42">
        <v>0.9765625</v>
      </c>
      <c r="L606" s="42">
        <v>0.45839999999999997</v>
      </c>
      <c r="M606">
        <v>1</v>
      </c>
    </row>
    <row r="607" spans="3:13" x14ac:dyDescent="0.15">
      <c r="C607" s="43">
        <v>574</v>
      </c>
      <c r="D607" s="42">
        <v>574</v>
      </c>
      <c r="E607" s="42">
        <v>0.4592</v>
      </c>
      <c r="F607" s="42">
        <v>125</v>
      </c>
      <c r="G607" s="42">
        <v>58.7776</v>
      </c>
      <c r="H607" s="42">
        <v>2.1266604965156795</v>
      </c>
      <c r="I607" s="42">
        <v>1</v>
      </c>
      <c r="J607" s="42">
        <v>2.1777003484320558</v>
      </c>
      <c r="K607" s="42">
        <v>0.9765625</v>
      </c>
      <c r="L607" s="42">
        <v>0.4592</v>
      </c>
      <c r="M607">
        <v>1</v>
      </c>
    </row>
    <row r="608" spans="3:13" x14ac:dyDescent="0.15">
      <c r="C608" s="43">
        <v>575</v>
      </c>
      <c r="D608" s="42">
        <v>575</v>
      </c>
      <c r="E608" s="42">
        <v>0.46</v>
      </c>
      <c r="F608" s="42">
        <v>125</v>
      </c>
      <c r="G608" s="42">
        <v>58.88</v>
      </c>
      <c r="H608" s="42">
        <v>2.1229619565217392</v>
      </c>
      <c r="I608" s="42">
        <v>1</v>
      </c>
      <c r="J608" s="42">
        <v>2.1739130434782608</v>
      </c>
      <c r="K608" s="42">
        <v>0.9765625</v>
      </c>
      <c r="L608" s="42">
        <v>0.46</v>
      </c>
      <c r="M608">
        <v>1</v>
      </c>
    </row>
    <row r="609" spans="3:13" x14ac:dyDescent="0.15">
      <c r="C609" s="43">
        <v>576</v>
      </c>
      <c r="D609" s="42">
        <v>576</v>
      </c>
      <c r="E609" s="42">
        <v>0.46079999999999999</v>
      </c>
      <c r="F609" s="42">
        <v>125</v>
      </c>
      <c r="G609" s="42">
        <v>58.982400000000005</v>
      </c>
      <c r="H609" s="42">
        <v>2.1192762586805558</v>
      </c>
      <c r="I609" s="42">
        <v>1</v>
      </c>
      <c r="J609" s="42">
        <v>2.1701388888888888</v>
      </c>
      <c r="K609" s="42">
        <v>0.9765625</v>
      </c>
      <c r="L609" s="42">
        <v>0.46079999999999999</v>
      </c>
      <c r="M609">
        <v>1</v>
      </c>
    </row>
    <row r="610" spans="3:13" x14ac:dyDescent="0.15">
      <c r="C610" s="43">
        <v>577</v>
      </c>
      <c r="D610" s="42">
        <v>577</v>
      </c>
      <c r="E610" s="42">
        <v>0.46160000000000001</v>
      </c>
      <c r="F610" s="42">
        <v>125</v>
      </c>
      <c r="G610" s="42">
        <v>59.084800000000001</v>
      </c>
      <c r="H610" s="42">
        <v>2.1156033362218372</v>
      </c>
      <c r="I610" s="42">
        <v>1</v>
      </c>
      <c r="J610" s="42">
        <v>2.1663778162911611</v>
      </c>
      <c r="K610" s="42">
        <v>0.9765625</v>
      </c>
      <c r="L610" s="42">
        <v>0.46160000000000001</v>
      </c>
      <c r="M610">
        <v>1</v>
      </c>
    </row>
    <row r="611" spans="3:13" x14ac:dyDescent="0.15">
      <c r="C611" s="43">
        <v>578</v>
      </c>
      <c r="D611" s="42">
        <v>578</v>
      </c>
      <c r="E611" s="42">
        <v>0.46239999999999998</v>
      </c>
      <c r="F611" s="42">
        <v>125</v>
      </c>
      <c r="G611" s="42">
        <v>59.187200000000004</v>
      </c>
      <c r="H611" s="42">
        <v>2.1119431228373702</v>
      </c>
      <c r="I611" s="42">
        <v>1</v>
      </c>
      <c r="J611" s="42">
        <v>2.1626297577854672</v>
      </c>
      <c r="K611" s="42">
        <v>0.9765625</v>
      </c>
      <c r="L611" s="42">
        <v>0.46239999999999998</v>
      </c>
      <c r="M611">
        <v>1</v>
      </c>
    </row>
    <row r="612" spans="3:13" x14ac:dyDescent="0.15">
      <c r="C612" s="43">
        <v>579</v>
      </c>
      <c r="D612" s="42">
        <v>579</v>
      </c>
      <c r="E612" s="42">
        <v>0.4632</v>
      </c>
      <c r="F612" s="42">
        <v>125</v>
      </c>
      <c r="G612" s="42">
        <v>59.2896</v>
      </c>
      <c r="H612" s="42">
        <v>2.1082955526770295</v>
      </c>
      <c r="I612" s="42">
        <v>1</v>
      </c>
      <c r="J612" s="42">
        <v>2.1588946459412779</v>
      </c>
      <c r="K612" s="42">
        <v>0.9765625</v>
      </c>
      <c r="L612" s="42">
        <v>0.4632</v>
      </c>
      <c r="M612">
        <v>1</v>
      </c>
    </row>
    <row r="613" spans="3:13" x14ac:dyDescent="0.15">
      <c r="C613" s="43">
        <v>580</v>
      </c>
      <c r="D613" s="42">
        <v>580</v>
      </c>
      <c r="E613" s="42">
        <v>0.46400000000000002</v>
      </c>
      <c r="F613" s="42">
        <v>125</v>
      </c>
      <c r="G613" s="42">
        <v>59.392000000000003</v>
      </c>
      <c r="H613" s="42">
        <v>2.1046605603448274</v>
      </c>
      <c r="I613" s="42">
        <v>1</v>
      </c>
      <c r="J613" s="42">
        <v>2.1551724137931032</v>
      </c>
      <c r="K613" s="42">
        <v>0.9765625</v>
      </c>
      <c r="L613" s="42">
        <v>0.46400000000000002</v>
      </c>
      <c r="M613">
        <v>1</v>
      </c>
    </row>
    <row r="614" spans="3:13" x14ac:dyDescent="0.15">
      <c r="C614" s="43">
        <v>581</v>
      </c>
      <c r="D614" s="42">
        <v>581</v>
      </c>
      <c r="E614" s="42">
        <v>0.46479999999999999</v>
      </c>
      <c r="F614" s="42">
        <v>125</v>
      </c>
      <c r="G614" s="42">
        <v>59.494400000000006</v>
      </c>
      <c r="H614" s="42">
        <v>2.1010380808950084</v>
      </c>
      <c r="I614" s="42">
        <v>1</v>
      </c>
      <c r="J614" s="42">
        <v>2.1514629948364887</v>
      </c>
      <c r="K614" s="42">
        <v>0.9765625</v>
      </c>
      <c r="L614" s="42">
        <v>0.46479999999999999</v>
      </c>
      <c r="M614">
        <v>1</v>
      </c>
    </row>
    <row r="615" spans="3:13" x14ac:dyDescent="0.15">
      <c r="C615" s="43">
        <v>582</v>
      </c>
      <c r="D615" s="42">
        <v>582</v>
      </c>
      <c r="E615" s="42">
        <v>0.46560000000000001</v>
      </c>
      <c r="F615" s="42">
        <v>125</v>
      </c>
      <c r="G615" s="42">
        <v>59.596800000000002</v>
      </c>
      <c r="H615" s="42">
        <v>2.0974280498281788</v>
      </c>
      <c r="I615" s="42">
        <v>1</v>
      </c>
      <c r="J615" s="42">
        <v>2.1477663230240549</v>
      </c>
      <c r="K615" s="42">
        <v>0.9765625</v>
      </c>
      <c r="L615" s="42">
        <v>0.46560000000000001</v>
      </c>
      <c r="M615">
        <v>1</v>
      </c>
    </row>
    <row r="616" spans="3:13" x14ac:dyDescent="0.15">
      <c r="C616" s="43">
        <v>583</v>
      </c>
      <c r="D616" s="42">
        <v>583</v>
      </c>
      <c r="E616" s="42">
        <v>0.46639999999999998</v>
      </c>
      <c r="F616" s="42">
        <v>125</v>
      </c>
      <c r="G616" s="42">
        <v>59.699200000000005</v>
      </c>
      <c r="H616" s="42">
        <v>2.0938304030874786</v>
      </c>
      <c r="I616" s="42">
        <v>1</v>
      </c>
      <c r="J616" s="42">
        <v>2.1440823327615783</v>
      </c>
      <c r="K616" s="42">
        <v>0.9765625</v>
      </c>
      <c r="L616" s="42">
        <v>0.46639999999999998</v>
      </c>
      <c r="M616">
        <v>1</v>
      </c>
    </row>
    <row r="617" spans="3:13" x14ac:dyDescent="0.15">
      <c r="C617" s="43">
        <v>584</v>
      </c>
      <c r="D617" s="42">
        <v>584</v>
      </c>
      <c r="E617" s="42">
        <v>0.4672</v>
      </c>
      <c r="F617" s="42">
        <v>125</v>
      </c>
      <c r="G617" s="42">
        <v>59.801600000000001</v>
      </c>
      <c r="H617" s="42">
        <v>2.0902450770547945</v>
      </c>
      <c r="I617" s="42">
        <v>1</v>
      </c>
      <c r="J617" s="42">
        <v>2.1404109589041096</v>
      </c>
      <c r="K617" s="42">
        <v>0.9765625</v>
      </c>
      <c r="L617" s="42">
        <v>0.4672</v>
      </c>
      <c r="M617">
        <v>1</v>
      </c>
    </row>
    <row r="618" spans="3:13" x14ac:dyDescent="0.15">
      <c r="C618" s="43">
        <v>585</v>
      </c>
      <c r="D618" s="42">
        <v>585</v>
      </c>
      <c r="E618" s="42">
        <v>0.46800000000000003</v>
      </c>
      <c r="F618" s="42">
        <v>125</v>
      </c>
      <c r="G618" s="42">
        <v>59.904000000000003</v>
      </c>
      <c r="H618" s="42">
        <v>2.0866720085470085</v>
      </c>
      <c r="I618" s="42">
        <v>1</v>
      </c>
      <c r="J618" s="42">
        <v>2.1367521367521367</v>
      </c>
      <c r="K618" s="42">
        <v>0.9765625</v>
      </c>
      <c r="L618" s="42">
        <v>0.46800000000000003</v>
      </c>
      <c r="M618">
        <v>1</v>
      </c>
    </row>
    <row r="619" spans="3:13" x14ac:dyDescent="0.15">
      <c r="C619" s="43">
        <v>586</v>
      </c>
      <c r="D619" s="42">
        <v>586</v>
      </c>
      <c r="E619" s="42">
        <v>0.46879999999999999</v>
      </c>
      <c r="F619" s="42">
        <v>125</v>
      </c>
      <c r="G619" s="42">
        <v>60.006400000000006</v>
      </c>
      <c r="H619" s="42">
        <v>2.0831111348122868</v>
      </c>
      <c r="I619" s="42">
        <v>1</v>
      </c>
      <c r="J619" s="42">
        <v>2.1331058020477816</v>
      </c>
      <c r="K619" s="42">
        <v>0.9765625</v>
      </c>
      <c r="L619" s="42">
        <v>0.46879999999999999</v>
      </c>
      <c r="M619">
        <v>1</v>
      </c>
    </row>
    <row r="620" spans="3:13" x14ac:dyDescent="0.15">
      <c r="C620" s="43">
        <v>587</v>
      </c>
      <c r="D620" s="42">
        <v>587</v>
      </c>
      <c r="E620" s="42">
        <v>0.46960000000000002</v>
      </c>
      <c r="F620" s="42">
        <v>125</v>
      </c>
      <c r="G620" s="42">
        <v>60.108800000000002</v>
      </c>
      <c r="H620" s="42">
        <v>2.0795623935264054</v>
      </c>
      <c r="I620" s="42">
        <v>1</v>
      </c>
      <c r="J620" s="42">
        <v>2.1294718909710393</v>
      </c>
      <c r="K620" s="42">
        <v>0.9765625</v>
      </c>
      <c r="L620" s="42">
        <v>0.46960000000000002</v>
      </c>
      <c r="M620">
        <v>1</v>
      </c>
    </row>
    <row r="621" spans="3:13" x14ac:dyDescent="0.15">
      <c r="C621" s="43">
        <v>588</v>
      </c>
      <c r="D621" s="42">
        <v>588</v>
      </c>
      <c r="E621" s="42">
        <v>0.47039999999999998</v>
      </c>
      <c r="F621" s="42">
        <v>125</v>
      </c>
      <c r="G621" s="42">
        <v>60.211200000000005</v>
      </c>
      <c r="H621" s="42">
        <v>2.0760257227891157</v>
      </c>
      <c r="I621" s="42">
        <v>1</v>
      </c>
      <c r="J621" s="42">
        <v>2.1258503401360547</v>
      </c>
      <c r="K621" s="42">
        <v>0.9765625</v>
      </c>
      <c r="L621" s="42">
        <v>0.47039999999999998</v>
      </c>
      <c r="M621">
        <v>1</v>
      </c>
    </row>
    <row r="622" spans="3:13" x14ac:dyDescent="0.15">
      <c r="C622" s="43">
        <v>589</v>
      </c>
      <c r="D622" s="42">
        <v>589</v>
      </c>
      <c r="E622" s="42">
        <v>0.47120000000000001</v>
      </c>
      <c r="F622" s="42">
        <v>125</v>
      </c>
      <c r="G622" s="42">
        <v>60.313600000000001</v>
      </c>
      <c r="H622" s="42">
        <v>2.0725010611205432</v>
      </c>
      <c r="I622" s="42">
        <v>1</v>
      </c>
      <c r="J622" s="42">
        <v>2.1222410865874362</v>
      </c>
      <c r="K622" s="42">
        <v>0.9765625</v>
      </c>
      <c r="L622" s="42">
        <v>0.47120000000000001</v>
      </c>
      <c r="M622">
        <v>1</v>
      </c>
    </row>
    <row r="623" spans="3:13" x14ac:dyDescent="0.15">
      <c r="C623" s="43">
        <v>590</v>
      </c>
      <c r="D623" s="42">
        <v>590</v>
      </c>
      <c r="E623" s="42">
        <v>0.47199999999999998</v>
      </c>
      <c r="F623" s="42">
        <v>125</v>
      </c>
      <c r="G623" s="42">
        <v>60.416000000000004</v>
      </c>
      <c r="H623" s="42">
        <v>2.0689883474576272</v>
      </c>
      <c r="I623" s="42">
        <v>1</v>
      </c>
      <c r="J623" s="42">
        <v>2.1186440677966103</v>
      </c>
      <c r="K623" s="42">
        <v>0.9765625</v>
      </c>
      <c r="L623" s="42">
        <v>0.47199999999999998</v>
      </c>
      <c r="M623">
        <v>1</v>
      </c>
    </row>
    <row r="624" spans="3:13" x14ac:dyDescent="0.15">
      <c r="C624" s="43">
        <v>591</v>
      </c>
      <c r="D624" s="42">
        <v>591</v>
      </c>
      <c r="E624" s="42">
        <v>0.4728</v>
      </c>
      <c r="F624" s="42">
        <v>125</v>
      </c>
      <c r="G624" s="42">
        <v>60.5184</v>
      </c>
      <c r="H624" s="42">
        <v>2.0654875211505921</v>
      </c>
      <c r="I624" s="42">
        <v>1</v>
      </c>
      <c r="J624" s="42">
        <v>2.1150592216582065</v>
      </c>
      <c r="K624" s="42">
        <v>0.9765625</v>
      </c>
      <c r="L624" s="42">
        <v>0.4728</v>
      </c>
      <c r="M624">
        <v>1</v>
      </c>
    </row>
    <row r="625" spans="3:13" x14ac:dyDescent="0.15">
      <c r="C625" s="43">
        <v>592</v>
      </c>
      <c r="D625" s="42">
        <v>592</v>
      </c>
      <c r="E625" s="42">
        <v>0.47360000000000002</v>
      </c>
      <c r="F625" s="42">
        <v>125</v>
      </c>
      <c r="G625" s="42">
        <v>60.620800000000003</v>
      </c>
      <c r="H625" s="42">
        <v>2.0619985219594592</v>
      </c>
      <c r="I625" s="42">
        <v>1</v>
      </c>
      <c r="J625" s="42">
        <v>2.1114864864864864</v>
      </c>
      <c r="K625" s="42">
        <v>0.9765625</v>
      </c>
      <c r="L625" s="42">
        <v>0.47360000000000002</v>
      </c>
      <c r="M625">
        <v>1</v>
      </c>
    </row>
    <row r="626" spans="3:13" x14ac:dyDescent="0.15">
      <c r="C626" s="43">
        <v>593</v>
      </c>
      <c r="D626" s="42">
        <v>593</v>
      </c>
      <c r="E626" s="42">
        <v>0.47439999999999999</v>
      </c>
      <c r="F626" s="42">
        <v>125</v>
      </c>
      <c r="G626" s="42">
        <v>60.723200000000006</v>
      </c>
      <c r="H626" s="42">
        <v>2.0585212900505905</v>
      </c>
      <c r="I626" s="42">
        <v>1</v>
      </c>
      <c r="J626" s="42">
        <v>2.1079258010118043</v>
      </c>
      <c r="K626" s="42">
        <v>0.9765625</v>
      </c>
      <c r="L626" s="42">
        <v>0.47439999999999999</v>
      </c>
      <c r="M626">
        <v>1</v>
      </c>
    </row>
    <row r="627" spans="3:13" x14ac:dyDescent="0.15">
      <c r="C627" s="43">
        <v>594</v>
      </c>
      <c r="D627" s="42">
        <v>594</v>
      </c>
      <c r="E627" s="42">
        <v>0.47520000000000001</v>
      </c>
      <c r="F627" s="42">
        <v>125</v>
      </c>
      <c r="G627" s="42">
        <v>60.825600000000001</v>
      </c>
      <c r="H627" s="42">
        <v>2.055055765993266</v>
      </c>
      <c r="I627" s="42">
        <v>1</v>
      </c>
      <c r="J627" s="42">
        <v>2.1043771043771042</v>
      </c>
      <c r="K627" s="42">
        <v>0.9765625</v>
      </c>
      <c r="L627" s="42">
        <v>0.47520000000000001</v>
      </c>
      <c r="M627">
        <v>1</v>
      </c>
    </row>
    <row r="628" spans="3:13" x14ac:dyDescent="0.15">
      <c r="C628" s="43">
        <v>595</v>
      </c>
      <c r="D628" s="42">
        <v>595</v>
      </c>
      <c r="E628" s="42">
        <v>0.47599999999999998</v>
      </c>
      <c r="F628" s="42">
        <v>125</v>
      </c>
      <c r="G628" s="42">
        <v>60.928000000000004</v>
      </c>
      <c r="H628" s="42">
        <v>2.0516018907563027</v>
      </c>
      <c r="I628" s="42">
        <v>1</v>
      </c>
      <c r="J628" s="42">
        <v>2.1008403361344539</v>
      </c>
      <c r="K628" s="42">
        <v>0.9765625</v>
      </c>
      <c r="L628" s="42">
        <v>0.47599999999999998</v>
      </c>
      <c r="M628">
        <v>1</v>
      </c>
    </row>
    <row r="629" spans="3:13" x14ac:dyDescent="0.15">
      <c r="C629" s="43">
        <v>596</v>
      </c>
      <c r="D629" s="42">
        <v>596</v>
      </c>
      <c r="E629" s="42">
        <v>0.4768</v>
      </c>
      <c r="F629" s="42">
        <v>125</v>
      </c>
      <c r="G629" s="42">
        <v>61.0304</v>
      </c>
      <c r="H629" s="42">
        <v>2.048159605704698</v>
      </c>
      <c r="I629" s="42">
        <v>1</v>
      </c>
      <c r="J629" s="42">
        <v>2.0973154362416109</v>
      </c>
      <c r="K629" s="42">
        <v>0.9765625</v>
      </c>
      <c r="L629" s="42">
        <v>0.4768</v>
      </c>
      <c r="M629">
        <v>1</v>
      </c>
    </row>
    <row r="630" spans="3:13" x14ac:dyDescent="0.15">
      <c r="C630" s="43">
        <v>597</v>
      </c>
      <c r="D630" s="42">
        <v>597</v>
      </c>
      <c r="E630" s="42">
        <v>0.47760000000000002</v>
      </c>
      <c r="F630" s="42">
        <v>125</v>
      </c>
      <c r="G630" s="42">
        <v>61.132800000000003</v>
      </c>
      <c r="H630" s="42">
        <v>2.044728852596315</v>
      </c>
      <c r="I630" s="42">
        <v>1</v>
      </c>
      <c r="J630" s="42">
        <v>2.0938023450586263</v>
      </c>
      <c r="K630" s="42">
        <v>0.9765625</v>
      </c>
      <c r="L630" s="42">
        <v>0.47760000000000002</v>
      </c>
      <c r="M630">
        <v>1</v>
      </c>
    </row>
    <row r="631" spans="3:13" x14ac:dyDescent="0.15">
      <c r="C631" s="43">
        <v>598</v>
      </c>
      <c r="D631" s="42">
        <v>598</v>
      </c>
      <c r="E631" s="42">
        <v>0.47839999999999999</v>
      </c>
      <c r="F631" s="42">
        <v>125</v>
      </c>
      <c r="G631" s="42">
        <v>61.235200000000006</v>
      </c>
      <c r="H631" s="42">
        <v>2.0413095735785953</v>
      </c>
      <c r="I631" s="42">
        <v>1</v>
      </c>
      <c r="J631" s="42">
        <v>2.0903010033444818</v>
      </c>
      <c r="K631" s="42">
        <v>0.9765625</v>
      </c>
      <c r="L631" s="42">
        <v>0.47839999999999999</v>
      </c>
      <c r="M631">
        <v>1</v>
      </c>
    </row>
    <row r="632" spans="3:13" x14ac:dyDescent="0.15">
      <c r="C632" s="43">
        <v>599</v>
      </c>
      <c r="D632" s="42">
        <v>599</v>
      </c>
      <c r="E632" s="42">
        <v>0.47920000000000001</v>
      </c>
      <c r="F632" s="42">
        <v>125</v>
      </c>
      <c r="G632" s="42">
        <v>61.337600000000002</v>
      </c>
      <c r="H632" s="42">
        <v>2.0379017111853086</v>
      </c>
      <c r="I632" s="42">
        <v>1</v>
      </c>
      <c r="J632" s="42">
        <v>2.0868113522537564</v>
      </c>
      <c r="K632" s="42">
        <v>0.9765625</v>
      </c>
      <c r="L632" s="42">
        <v>0.47920000000000001</v>
      </c>
      <c r="M632">
        <v>1</v>
      </c>
    </row>
    <row r="633" spans="3:13" x14ac:dyDescent="0.15">
      <c r="C633" s="43">
        <v>600</v>
      </c>
      <c r="D633" s="42">
        <v>600</v>
      </c>
      <c r="E633" s="42">
        <v>0.48</v>
      </c>
      <c r="F633" s="42">
        <v>125</v>
      </c>
      <c r="G633" s="42">
        <v>61.440000000000005</v>
      </c>
      <c r="H633" s="42">
        <v>2.0345052083333335</v>
      </c>
      <c r="I633" s="42">
        <v>1</v>
      </c>
      <c r="J633" s="42">
        <v>2.0833333333333335</v>
      </c>
      <c r="K633" s="42">
        <v>0.9765625</v>
      </c>
      <c r="L633" s="42">
        <v>0.48</v>
      </c>
      <c r="M633">
        <v>1</v>
      </c>
    </row>
    <row r="634" spans="3:13" x14ac:dyDescent="0.15">
      <c r="C634" s="43">
        <v>601</v>
      </c>
      <c r="D634" s="42">
        <v>601</v>
      </c>
      <c r="E634" s="42">
        <v>0.48080000000000001</v>
      </c>
      <c r="F634" s="42">
        <v>125</v>
      </c>
      <c r="G634" s="42">
        <v>61.542400000000001</v>
      </c>
      <c r="H634" s="42">
        <v>2.0311200083194674</v>
      </c>
      <c r="I634" s="42">
        <v>1</v>
      </c>
      <c r="J634" s="42">
        <v>2.0798668885191347</v>
      </c>
      <c r="K634" s="42">
        <v>0.9765625</v>
      </c>
      <c r="L634" s="42">
        <v>0.48080000000000001</v>
      </c>
      <c r="M634">
        <v>1</v>
      </c>
    </row>
    <row r="635" spans="3:13" x14ac:dyDescent="0.15">
      <c r="C635" s="43">
        <v>602</v>
      </c>
      <c r="D635" s="42">
        <v>602</v>
      </c>
      <c r="E635" s="42">
        <v>0.48159999999999997</v>
      </c>
      <c r="F635" s="42">
        <v>125</v>
      </c>
      <c r="G635" s="42">
        <v>61.644800000000004</v>
      </c>
      <c r="H635" s="42">
        <v>2.0277460548172757</v>
      </c>
      <c r="I635" s="42">
        <v>1</v>
      </c>
      <c r="J635" s="42">
        <v>2.0764119601328903</v>
      </c>
      <c r="K635" s="42">
        <v>0.9765625</v>
      </c>
      <c r="L635" s="42">
        <v>0.48159999999999997</v>
      </c>
      <c r="M635">
        <v>1</v>
      </c>
    </row>
    <row r="636" spans="3:13" x14ac:dyDescent="0.15">
      <c r="C636" s="43">
        <v>603</v>
      </c>
      <c r="D636" s="42">
        <v>603</v>
      </c>
      <c r="E636" s="42">
        <v>0.4824</v>
      </c>
      <c r="F636" s="42">
        <v>125</v>
      </c>
      <c r="G636" s="42">
        <v>61.747199999999999</v>
      </c>
      <c r="H636" s="42">
        <v>2.0243832918739635</v>
      </c>
      <c r="I636" s="42">
        <v>1</v>
      </c>
      <c r="J636" s="42">
        <v>2.0729684908789388</v>
      </c>
      <c r="K636" s="42">
        <v>0.9765625</v>
      </c>
      <c r="L636" s="42">
        <v>0.4824</v>
      </c>
      <c r="M636">
        <v>1</v>
      </c>
    </row>
    <row r="637" spans="3:13" x14ac:dyDescent="0.15">
      <c r="C637" s="43">
        <v>604</v>
      </c>
      <c r="D637" s="42">
        <v>604</v>
      </c>
      <c r="E637" s="42">
        <v>0.48320000000000002</v>
      </c>
      <c r="F637" s="42">
        <v>125</v>
      </c>
      <c r="G637" s="42">
        <v>61.849600000000002</v>
      </c>
      <c r="H637" s="42">
        <v>2.0210316639072845</v>
      </c>
      <c r="I637" s="42">
        <v>1</v>
      </c>
      <c r="J637" s="42">
        <v>2.0695364238410594</v>
      </c>
      <c r="K637" s="42">
        <v>0.9765625</v>
      </c>
      <c r="L637" s="42">
        <v>0.48320000000000002</v>
      </c>
      <c r="M637">
        <v>1</v>
      </c>
    </row>
    <row r="638" spans="3:13" x14ac:dyDescent="0.15">
      <c r="C638" s="43">
        <v>605</v>
      </c>
      <c r="D638" s="42">
        <v>605</v>
      </c>
      <c r="E638" s="42">
        <v>0.48399999999999999</v>
      </c>
      <c r="F638" s="42">
        <v>125</v>
      </c>
      <c r="G638" s="42">
        <v>61.952000000000005</v>
      </c>
      <c r="H638" s="42">
        <v>2.0176911157024793</v>
      </c>
      <c r="I638" s="42">
        <v>1</v>
      </c>
      <c r="J638" s="42">
        <v>2.0661157024793391</v>
      </c>
      <c r="K638" s="42">
        <v>0.9765625</v>
      </c>
      <c r="L638" s="42">
        <v>0.48399999999999999</v>
      </c>
      <c r="M638">
        <v>1</v>
      </c>
    </row>
    <row r="639" spans="3:13" x14ac:dyDescent="0.15">
      <c r="C639" s="43">
        <v>606</v>
      </c>
      <c r="D639" s="42">
        <v>606</v>
      </c>
      <c r="E639" s="42">
        <v>0.48480000000000001</v>
      </c>
      <c r="F639" s="42">
        <v>125</v>
      </c>
      <c r="G639" s="42">
        <v>62.054400000000001</v>
      </c>
      <c r="H639" s="42">
        <v>2.0143615924092408</v>
      </c>
      <c r="I639" s="42">
        <v>1</v>
      </c>
      <c r="J639" s="42">
        <v>2.0627062706270625</v>
      </c>
      <c r="K639" s="42">
        <v>0.9765625</v>
      </c>
      <c r="L639" s="42">
        <v>0.48480000000000001</v>
      </c>
      <c r="M639">
        <v>1</v>
      </c>
    </row>
    <row r="640" spans="3:13" x14ac:dyDescent="0.15">
      <c r="C640" s="43">
        <v>607</v>
      </c>
      <c r="D640" s="42">
        <v>607</v>
      </c>
      <c r="E640" s="42">
        <v>0.48559999999999998</v>
      </c>
      <c r="F640" s="42">
        <v>125</v>
      </c>
      <c r="G640" s="42">
        <v>62.156800000000004</v>
      </c>
      <c r="H640" s="42">
        <v>2.0110430395387149</v>
      </c>
      <c r="I640" s="42">
        <v>1</v>
      </c>
      <c r="J640" s="42">
        <v>2.0593080724876445</v>
      </c>
      <c r="K640" s="42">
        <v>0.9765625</v>
      </c>
      <c r="L640" s="42">
        <v>0.48559999999999998</v>
      </c>
      <c r="M640">
        <v>1</v>
      </c>
    </row>
    <row r="641" spans="3:13" x14ac:dyDescent="0.15">
      <c r="C641" s="43">
        <v>608</v>
      </c>
      <c r="D641" s="42">
        <v>608</v>
      </c>
      <c r="E641" s="42">
        <v>0.4864</v>
      </c>
      <c r="F641" s="42">
        <v>125</v>
      </c>
      <c r="G641" s="42">
        <v>62.2592</v>
      </c>
      <c r="H641" s="42">
        <v>2.0077354029605261</v>
      </c>
      <c r="I641" s="42">
        <v>1</v>
      </c>
      <c r="J641" s="42">
        <v>2.0559210526315788</v>
      </c>
      <c r="K641" s="42">
        <v>0.9765625</v>
      </c>
      <c r="L641" s="42">
        <v>0.4864</v>
      </c>
      <c r="M641">
        <v>1</v>
      </c>
    </row>
    <row r="642" spans="3:13" x14ac:dyDescent="0.15">
      <c r="C642" s="43">
        <v>609</v>
      </c>
      <c r="D642" s="42">
        <v>609</v>
      </c>
      <c r="E642" s="42">
        <v>0.48720000000000002</v>
      </c>
      <c r="F642" s="42">
        <v>125</v>
      </c>
      <c r="G642" s="42">
        <v>62.361600000000003</v>
      </c>
      <c r="H642" s="42">
        <v>2.0044386288998357</v>
      </c>
      <c r="I642" s="42">
        <v>1</v>
      </c>
      <c r="J642" s="42">
        <v>2.0525451559934318</v>
      </c>
      <c r="K642" s="42">
        <v>0.9765625</v>
      </c>
      <c r="L642" s="42">
        <v>0.48720000000000002</v>
      </c>
      <c r="M642">
        <v>1</v>
      </c>
    </row>
    <row r="643" spans="3:13" x14ac:dyDescent="0.15">
      <c r="C643" s="43">
        <v>610</v>
      </c>
      <c r="D643" s="42">
        <v>610</v>
      </c>
      <c r="E643" s="42">
        <v>0.48799999999999999</v>
      </c>
      <c r="F643" s="42">
        <v>125</v>
      </c>
      <c r="G643" s="42">
        <v>62.464000000000006</v>
      </c>
      <c r="H643" s="42">
        <v>2.0011526639344264</v>
      </c>
      <c r="I643" s="42">
        <v>1</v>
      </c>
      <c r="J643" s="42">
        <v>2.0491803278688523</v>
      </c>
      <c r="K643" s="42">
        <v>0.9765625</v>
      </c>
      <c r="L643" s="42">
        <v>0.48799999999999999</v>
      </c>
      <c r="M643">
        <v>1</v>
      </c>
    </row>
    <row r="644" spans="3:13" x14ac:dyDescent="0.15">
      <c r="C644" s="43">
        <v>611</v>
      </c>
      <c r="D644" s="42">
        <v>611</v>
      </c>
      <c r="E644" s="42">
        <v>0.48880000000000001</v>
      </c>
      <c r="F644" s="42">
        <v>125</v>
      </c>
      <c r="G644" s="42">
        <v>62.566400000000002</v>
      </c>
      <c r="H644" s="42">
        <v>1.9978774549918166</v>
      </c>
      <c r="I644" s="42">
        <v>1</v>
      </c>
      <c r="J644" s="42">
        <v>2.0458265139116203</v>
      </c>
      <c r="K644" s="42">
        <v>0.9765625</v>
      </c>
      <c r="L644" s="42">
        <v>0.48880000000000001</v>
      </c>
      <c r="M644">
        <v>1</v>
      </c>
    </row>
    <row r="645" spans="3:13" x14ac:dyDescent="0.15">
      <c r="C645" s="43">
        <v>612</v>
      </c>
      <c r="D645" s="42">
        <v>612</v>
      </c>
      <c r="E645" s="42">
        <v>0.48959999999999998</v>
      </c>
      <c r="F645" s="42">
        <v>125</v>
      </c>
      <c r="G645" s="42">
        <v>62.668800000000005</v>
      </c>
      <c r="H645" s="42">
        <v>1.9946129493464053</v>
      </c>
      <c r="I645" s="42">
        <v>1</v>
      </c>
      <c r="J645" s="42">
        <v>2.0424836601307192</v>
      </c>
      <c r="K645" s="42">
        <v>0.9765625</v>
      </c>
      <c r="L645" s="42">
        <v>0.48959999999999998</v>
      </c>
      <c r="M645">
        <v>1</v>
      </c>
    </row>
    <row r="646" spans="3:13" x14ac:dyDescent="0.15">
      <c r="C646" s="43">
        <v>613</v>
      </c>
      <c r="D646" s="42">
        <v>613</v>
      </c>
      <c r="E646" s="42">
        <v>0.4904</v>
      </c>
      <c r="F646" s="42">
        <v>125</v>
      </c>
      <c r="G646" s="42">
        <v>62.7712</v>
      </c>
      <c r="H646" s="42">
        <v>1.9913590946166395</v>
      </c>
      <c r="I646" s="42">
        <v>1</v>
      </c>
      <c r="J646" s="42">
        <v>2.0391517128874388</v>
      </c>
      <c r="K646" s="42">
        <v>0.9765625</v>
      </c>
      <c r="L646" s="42">
        <v>0.4904</v>
      </c>
      <c r="M646">
        <v>1</v>
      </c>
    </row>
    <row r="647" spans="3:13" x14ac:dyDescent="0.15">
      <c r="C647" s="43">
        <v>614</v>
      </c>
      <c r="D647" s="42">
        <v>614</v>
      </c>
      <c r="E647" s="42">
        <v>0.49120000000000003</v>
      </c>
      <c r="F647" s="42">
        <v>125</v>
      </c>
      <c r="G647" s="42">
        <v>62.873600000000003</v>
      </c>
      <c r="H647" s="42">
        <v>1.9881158387622149</v>
      </c>
      <c r="I647" s="42">
        <v>1</v>
      </c>
      <c r="J647" s="42">
        <v>2.0358306188925082</v>
      </c>
      <c r="K647" s="42">
        <v>0.9765625</v>
      </c>
      <c r="L647" s="42">
        <v>0.49120000000000003</v>
      </c>
      <c r="M647">
        <v>1</v>
      </c>
    </row>
    <row r="648" spans="3:13" x14ac:dyDescent="0.15">
      <c r="C648" s="43">
        <v>615</v>
      </c>
      <c r="D648" s="42">
        <v>615</v>
      </c>
      <c r="E648" s="42">
        <v>0.49199999999999999</v>
      </c>
      <c r="F648" s="42">
        <v>125</v>
      </c>
      <c r="G648" s="42">
        <v>62.976000000000006</v>
      </c>
      <c r="H648" s="42">
        <v>1.9848831300813008</v>
      </c>
      <c r="I648" s="42">
        <v>1</v>
      </c>
      <c r="J648" s="42">
        <v>2.0325203252032522</v>
      </c>
      <c r="K648" s="42">
        <v>0.9765625</v>
      </c>
      <c r="L648" s="42">
        <v>0.49199999999999999</v>
      </c>
      <c r="M648">
        <v>1</v>
      </c>
    </row>
    <row r="649" spans="3:13" x14ac:dyDescent="0.15">
      <c r="C649" s="43">
        <v>616</v>
      </c>
      <c r="D649" s="42">
        <v>616</v>
      </c>
      <c r="E649" s="42">
        <v>0.49280000000000002</v>
      </c>
      <c r="F649" s="42">
        <v>125</v>
      </c>
      <c r="G649" s="42">
        <v>63.078400000000002</v>
      </c>
      <c r="H649" s="42">
        <v>1.9816609172077921</v>
      </c>
      <c r="I649" s="42">
        <v>1</v>
      </c>
      <c r="J649" s="42">
        <v>2.029220779220779</v>
      </c>
      <c r="K649" s="42">
        <v>0.9765625</v>
      </c>
      <c r="L649" s="42">
        <v>0.49280000000000002</v>
      </c>
      <c r="M649">
        <v>1</v>
      </c>
    </row>
    <row r="650" spans="3:13" x14ac:dyDescent="0.15">
      <c r="C650" s="43">
        <v>617</v>
      </c>
      <c r="D650" s="42">
        <v>617</v>
      </c>
      <c r="E650" s="42">
        <v>0.49359999999999998</v>
      </c>
      <c r="F650" s="42">
        <v>125</v>
      </c>
      <c r="G650" s="42">
        <v>63.180800000000005</v>
      </c>
      <c r="H650" s="42">
        <v>1.97844914910859</v>
      </c>
      <c r="I650" s="42">
        <v>1</v>
      </c>
      <c r="J650" s="42">
        <v>2.025931928687196</v>
      </c>
      <c r="K650" s="42">
        <v>0.9765625</v>
      </c>
      <c r="L650" s="42">
        <v>0.49359999999999998</v>
      </c>
      <c r="M650">
        <v>1</v>
      </c>
    </row>
    <row r="651" spans="3:13" x14ac:dyDescent="0.15">
      <c r="C651" s="43">
        <v>618</v>
      </c>
      <c r="D651" s="42">
        <v>618</v>
      </c>
      <c r="E651" s="42">
        <v>0.49440000000000001</v>
      </c>
      <c r="F651" s="42">
        <v>125</v>
      </c>
      <c r="G651" s="42">
        <v>63.283200000000001</v>
      </c>
      <c r="H651" s="42">
        <v>1.9752477750809061</v>
      </c>
      <c r="I651" s="42">
        <v>1</v>
      </c>
      <c r="J651" s="42">
        <v>2.0226537216828477</v>
      </c>
      <c r="K651" s="42">
        <v>0.9765625</v>
      </c>
      <c r="L651" s="42">
        <v>0.49440000000000001</v>
      </c>
      <c r="M651">
        <v>1</v>
      </c>
    </row>
    <row r="652" spans="3:13" x14ac:dyDescent="0.15">
      <c r="C652" s="43">
        <v>619</v>
      </c>
      <c r="D652" s="42">
        <v>619</v>
      </c>
      <c r="E652" s="42">
        <v>0.49519999999999997</v>
      </c>
      <c r="F652" s="42">
        <v>125</v>
      </c>
      <c r="G652" s="42">
        <v>63.385600000000004</v>
      </c>
      <c r="H652" s="42">
        <v>1.9720567447495962</v>
      </c>
      <c r="I652" s="42">
        <v>1</v>
      </c>
      <c r="J652" s="42">
        <v>2.0193861066235868</v>
      </c>
      <c r="K652" s="42">
        <v>0.9765625</v>
      </c>
      <c r="L652" s="42">
        <v>0.49519999999999997</v>
      </c>
      <c r="M652">
        <v>1</v>
      </c>
    </row>
    <row r="653" spans="3:13" x14ac:dyDescent="0.15">
      <c r="C653" s="43">
        <v>620</v>
      </c>
      <c r="D653" s="42">
        <v>620</v>
      </c>
      <c r="E653" s="42">
        <v>0.496</v>
      </c>
      <c r="F653" s="42">
        <v>125</v>
      </c>
      <c r="G653" s="42">
        <v>63.488</v>
      </c>
      <c r="H653" s="42">
        <v>1.9688760080645162</v>
      </c>
      <c r="I653" s="42">
        <v>1</v>
      </c>
      <c r="J653" s="42">
        <v>2.0161290322580645</v>
      </c>
      <c r="K653" s="42">
        <v>0.9765625</v>
      </c>
      <c r="L653" s="42">
        <v>0.496</v>
      </c>
      <c r="M653">
        <v>1</v>
      </c>
    </row>
    <row r="654" spans="3:13" x14ac:dyDescent="0.15">
      <c r="C654" s="43">
        <v>621</v>
      </c>
      <c r="D654" s="42">
        <v>621</v>
      </c>
      <c r="E654" s="42">
        <v>0.49680000000000002</v>
      </c>
      <c r="F654" s="42">
        <v>125</v>
      </c>
      <c r="G654" s="42">
        <v>63.590400000000002</v>
      </c>
      <c r="H654" s="42">
        <v>1.9657055152979066</v>
      </c>
      <c r="I654" s="42">
        <v>1</v>
      </c>
      <c r="J654" s="42">
        <v>2.0128824476650564</v>
      </c>
      <c r="K654" s="42">
        <v>0.9765625</v>
      </c>
      <c r="L654" s="42">
        <v>0.49680000000000002</v>
      </c>
      <c r="M654">
        <v>1</v>
      </c>
    </row>
    <row r="655" spans="3:13" x14ac:dyDescent="0.15">
      <c r="C655" s="43">
        <v>622</v>
      </c>
      <c r="D655" s="42">
        <v>622</v>
      </c>
      <c r="E655" s="42">
        <v>0.49759999999999999</v>
      </c>
      <c r="F655" s="42">
        <v>125</v>
      </c>
      <c r="G655" s="42">
        <v>63.692800000000005</v>
      </c>
      <c r="H655" s="42">
        <v>1.9625452170418007</v>
      </c>
      <c r="I655" s="42">
        <v>1</v>
      </c>
      <c r="J655" s="42">
        <v>2.009646302250804</v>
      </c>
      <c r="K655" s="42">
        <v>0.9765625</v>
      </c>
      <c r="L655" s="42">
        <v>0.49759999999999999</v>
      </c>
      <c r="M655">
        <v>1</v>
      </c>
    </row>
    <row r="656" spans="3:13" x14ac:dyDescent="0.15">
      <c r="C656" s="43">
        <v>623</v>
      </c>
      <c r="D656" s="42">
        <v>623</v>
      </c>
      <c r="E656" s="42">
        <v>0.49840000000000001</v>
      </c>
      <c r="F656" s="42">
        <v>125</v>
      </c>
      <c r="G656" s="42">
        <v>63.795200000000001</v>
      </c>
      <c r="H656" s="42">
        <v>1.9593950642054574</v>
      </c>
      <c r="I656" s="42">
        <v>1</v>
      </c>
      <c r="J656" s="42">
        <v>2.0064205457463884</v>
      </c>
      <c r="K656" s="42">
        <v>0.9765625</v>
      </c>
      <c r="L656" s="42">
        <v>0.49840000000000001</v>
      </c>
      <c r="M656">
        <v>1</v>
      </c>
    </row>
    <row r="657" spans="3:13" x14ac:dyDescent="0.15">
      <c r="C657" s="43">
        <v>624</v>
      </c>
      <c r="D657" s="42">
        <v>624</v>
      </c>
      <c r="E657" s="42">
        <v>0.49919999999999998</v>
      </c>
      <c r="F657" s="42">
        <v>126</v>
      </c>
      <c r="G657" s="42">
        <v>63.897600000000004</v>
      </c>
      <c r="H657" s="42">
        <v>1.9719050480769231</v>
      </c>
      <c r="I657" s="42">
        <v>1</v>
      </c>
      <c r="J657" s="42">
        <v>2.0032051282051282</v>
      </c>
      <c r="K657" s="42">
        <v>0.984375</v>
      </c>
      <c r="L657" s="42">
        <v>0.49919999999999998</v>
      </c>
      <c r="M657">
        <v>1</v>
      </c>
    </row>
    <row r="658" spans="3:13" x14ac:dyDescent="0.15">
      <c r="C658" s="43">
        <v>625</v>
      </c>
      <c r="D658" s="42">
        <v>625</v>
      </c>
      <c r="E658" s="42">
        <v>0.5</v>
      </c>
      <c r="F658" s="42">
        <v>126</v>
      </c>
      <c r="G658" s="42">
        <v>64</v>
      </c>
      <c r="H658" s="42">
        <v>1.96875</v>
      </c>
      <c r="I658" s="42">
        <v>1</v>
      </c>
      <c r="J658" s="42">
        <v>2</v>
      </c>
      <c r="K658" s="42">
        <v>0.984375</v>
      </c>
      <c r="L658" s="42">
        <v>0.5</v>
      </c>
      <c r="M658">
        <v>1</v>
      </c>
    </row>
    <row r="659" spans="3:13" x14ac:dyDescent="0.15">
      <c r="C659" s="43">
        <v>626</v>
      </c>
      <c r="D659" s="42">
        <v>626</v>
      </c>
      <c r="E659" s="42">
        <v>0.50080000000000002</v>
      </c>
      <c r="F659" s="42">
        <v>126</v>
      </c>
      <c r="G659" s="42">
        <v>64.102400000000003</v>
      </c>
      <c r="H659" s="42">
        <v>1.9656050319488818</v>
      </c>
      <c r="I659" s="42">
        <v>1</v>
      </c>
      <c r="J659" s="42">
        <v>1.9968051118210861</v>
      </c>
      <c r="K659" s="42">
        <v>0.984375</v>
      </c>
      <c r="L659" s="42">
        <v>0.50080000000000002</v>
      </c>
      <c r="M659">
        <v>1</v>
      </c>
    </row>
    <row r="660" spans="3:13" x14ac:dyDescent="0.15">
      <c r="C660" s="43">
        <v>627</v>
      </c>
      <c r="D660" s="42">
        <v>627</v>
      </c>
      <c r="E660" s="42">
        <v>0.50160000000000005</v>
      </c>
      <c r="F660" s="42">
        <v>126</v>
      </c>
      <c r="G660" s="42">
        <v>64.204800000000006</v>
      </c>
      <c r="H660" s="42">
        <v>1.9624700956937797</v>
      </c>
      <c r="I660" s="42">
        <v>1</v>
      </c>
      <c r="J660" s="42">
        <v>1.9936204146730461</v>
      </c>
      <c r="K660" s="42">
        <v>0.984375</v>
      </c>
      <c r="L660" s="42">
        <v>0.50160000000000005</v>
      </c>
      <c r="M660">
        <v>1</v>
      </c>
    </row>
    <row r="661" spans="3:13" x14ac:dyDescent="0.15">
      <c r="C661" s="43">
        <v>628</v>
      </c>
      <c r="D661" s="42">
        <v>628</v>
      </c>
      <c r="E661" s="42">
        <v>0.50239999999999996</v>
      </c>
      <c r="F661" s="42">
        <v>126</v>
      </c>
      <c r="G661" s="42">
        <v>64.307200000000009</v>
      </c>
      <c r="H661" s="42">
        <v>1.9593451433121021</v>
      </c>
      <c r="I661" s="42">
        <v>1</v>
      </c>
      <c r="J661" s="42">
        <v>1.9904458598726116</v>
      </c>
      <c r="K661" s="42">
        <v>0.984375</v>
      </c>
      <c r="L661" s="42">
        <v>0.50239999999999996</v>
      </c>
      <c r="M661">
        <v>1</v>
      </c>
    </row>
    <row r="662" spans="3:13" x14ac:dyDescent="0.15">
      <c r="C662" s="43">
        <v>629</v>
      </c>
      <c r="D662" s="42">
        <v>629</v>
      </c>
      <c r="E662" s="42">
        <v>0.50319999999999998</v>
      </c>
      <c r="F662" s="42">
        <v>126</v>
      </c>
      <c r="G662" s="42">
        <v>64.409599999999998</v>
      </c>
      <c r="H662" s="42">
        <v>1.9562301271860096</v>
      </c>
      <c r="I662" s="42">
        <v>1</v>
      </c>
      <c r="J662" s="42">
        <v>1.9872813990461049</v>
      </c>
      <c r="K662" s="42">
        <v>0.984375</v>
      </c>
      <c r="L662" s="42">
        <v>0.50319999999999998</v>
      </c>
      <c r="M662">
        <v>1</v>
      </c>
    </row>
    <row r="663" spans="3:13" x14ac:dyDescent="0.15">
      <c r="C663" s="43">
        <v>630</v>
      </c>
      <c r="D663" s="42">
        <v>630</v>
      </c>
      <c r="E663" s="42">
        <v>0.504</v>
      </c>
      <c r="F663" s="42">
        <v>126</v>
      </c>
      <c r="G663" s="42">
        <v>64.512</v>
      </c>
      <c r="H663" s="42">
        <v>1.953125</v>
      </c>
      <c r="I663" s="42">
        <v>1</v>
      </c>
      <c r="J663" s="42">
        <v>1.9841269841269842</v>
      </c>
      <c r="K663" s="42">
        <v>0.984375</v>
      </c>
      <c r="L663" s="42">
        <v>0.504</v>
      </c>
      <c r="M663">
        <v>1</v>
      </c>
    </row>
    <row r="664" spans="3:13" x14ac:dyDescent="0.15">
      <c r="C664" s="43">
        <v>631</v>
      </c>
      <c r="D664" s="42">
        <v>631</v>
      </c>
      <c r="E664" s="42">
        <v>0.50480000000000003</v>
      </c>
      <c r="F664" s="42">
        <v>126</v>
      </c>
      <c r="G664" s="42">
        <v>64.614400000000003</v>
      </c>
      <c r="H664" s="42">
        <v>1.9500297147385102</v>
      </c>
      <c r="I664" s="42">
        <v>1</v>
      </c>
      <c r="J664" s="42">
        <v>1.9809825673534072</v>
      </c>
      <c r="K664" s="42">
        <v>0.984375</v>
      </c>
      <c r="L664" s="42">
        <v>0.50480000000000003</v>
      </c>
      <c r="M664">
        <v>1</v>
      </c>
    </row>
    <row r="665" spans="3:13" x14ac:dyDescent="0.15">
      <c r="C665" s="43">
        <v>632</v>
      </c>
      <c r="D665" s="42">
        <v>632</v>
      </c>
      <c r="E665" s="42">
        <v>0.50560000000000005</v>
      </c>
      <c r="F665" s="42">
        <v>126</v>
      </c>
      <c r="G665" s="42">
        <v>64.716800000000006</v>
      </c>
      <c r="H665" s="42">
        <v>1.9469442246835442</v>
      </c>
      <c r="I665" s="42">
        <v>1</v>
      </c>
      <c r="J665" s="42">
        <v>1.9778481012658227</v>
      </c>
      <c r="K665" s="42">
        <v>0.984375</v>
      </c>
      <c r="L665" s="42">
        <v>0.50560000000000005</v>
      </c>
      <c r="M665">
        <v>1</v>
      </c>
    </row>
    <row r="666" spans="3:13" x14ac:dyDescent="0.15">
      <c r="C666" s="43">
        <v>633</v>
      </c>
      <c r="D666" s="42">
        <v>633</v>
      </c>
      <c r="E666" s="42">
        <v>0.50639999999999996</v>
      </c>
      <c r="F666" s="42">
        <v>126</v>
      </c>
      <c r="G666" s="42">
        <v>64.819200000000009</v>
      </c>
      <c r="H666" s="42">
        <v>1.9438684834123223</v>
      </c>
      <c r="I666" s="42">
        <v>1</v>
      </c>
      <c r="J666" s="42">
        <v>1.9747235387045816</v>
      </c>
      <c r="K666" s="42">
        <v>0.984375</v>
      </c>
      <c r="L666" s="42">
        <v>0.50639999999999996</v>
      </c>
      <c r="M666">
        <v>1</v>
      </c>
    </row>
    <row r="667" spans="3:13" x14ac:dyDescent="0.15">
      <c r="C667" s="43">
        <v>634</v>
      </c>
      <c r="D667" s="42">
        <v>634</v>
      </c>
      <c r="E667" s="42">
        <v>0.50719999999999998</v>
      </c>
      <c r="F667" s="42">
        <v>126</v>
      </c>
      <c r="G667" s="42">
        <v>64.921599999999998</v>
      </c>
      <c r="H667" s="42">
        <v>1.9408024447949528</v>
      </c>
      <c r="I667" s="42">
        <v>1</v>
      </c>
      <c r="J667" s="42">
        <v>1.9716088328075709</v>
      </c>
      <c r="K667" s="42">
        <v>0.984375</v>
      </c>
      <c r="L667" s="42">
        <v>0.50719999999999998</v>
      </c>
      <c r="M667">
        <v>1</v>
      </c>
    </row>
    <row r="668" spans="3:13" x14ac:dyDescent="0.15">
      <c r="C668" s="43">
        <v>635</v>
      </c>
      <c r="D668" s="42">
        <v>635</v>
      </c>
      <c r="E668" s="42">
        <v>0.50800000000000001</v>
      </c>
      <c r="F668" s="42">
        <v>126</v>
      </c>
      <c r="G668" s="42">
        <v>65.024000000000001</v>
      </c>
      <c r="H668" s="42">
        <v>1.9377460629921259</v>
      </c>
      <c r="I668" s="42">
        <v>1</v>
      </c>
      <c r="J668" s="42">
        <v>1.9685039370078741</v>
      </c>
      <c r="K668" s="42">
        <v>0.984375</v>
      </c>
      <c r="L668" s="42">
        <v>0.50800000000000001</v>
      </c>
      <c r="M668">
        <v>1</v>
      </c>
    </row>
    <row r="669" spans="3:13" x14ac:dyDescent="0.15">
      <c r="C669" s="43">
        <v>636</v>
      </c>
      <c r="D669" s="42">
        <v>636</v>
      </c>
      <c r="E669" s="42">
        <v>0.50880000000000003</v>
      </c>
      <c r="F669" s="42">
        <v>126</v>
      </c>
      <c r="G669" s="42">
        <v>65.126400000000004</v>
      </c>
      <c r="H669" s="42">
        <v>1.9346992924528301</v>
      </c>
      <c r="I669" s="42">
        <v>1</v>
      </c>
      <c r="J669" s="42">
        <v>1.9654088050314464</v>
      </c>
      <c r="K669" s="42">
        <v>0.984375</v>
      </c>
      <c r="L669" s="42">
        <v>0.50880000000000003</v>
      </c>
      <c r="M669">
        <v>1</v>
      </c>
    </row>
    <row r="670" spans="3:13" x14ac:dyDescent="0.15">
      <c r="C670" s="43">
        <v>637</v>
      </c>
      <c r="D670" s="42">
        <v>637</v>
      </c>
      <c r="E670" s="42">
        <v>0.50960000000000005</v>
      </c>
      <c r="F670" s="42">
        <v>126</v>
      </c>
      <c r="G670" s="42">
        <v>65.228800000000007</v>
      </c>
      <c r="H670" s="42">
        <v>1.9316620879120878</v>
      </c>
      <c r="I670" s="42">
        <v>1</v>
      </c>
      <c r="J670" s="42">
        <v>1.9623233908948192</v>
      </c>
      <c r="K670" s="42">
        <v>0.984375</v>
      </c>
      <c r="L670" s="42">
        <v>0.50960000000000005</v>
      </c>
      <c r="M670">
        <v>1</v>
      </c>
    </row>
    <row r="671" spans="3:13" x14ac:dyDescent="0.15">
      <c r="C671" s="43">
        <v>638</v>
      </c>
      <c r="D671" s="42">
        <v>638</v>
      </c>
      <c r="E671" s="42">
        <v>0.51039999999999996</v>
      </c>
      <c r="F671" s="42">
        <v>126</v>
      </c>
      <c r="G671" s="42">
        <v>65.33120000000001</v>
      </c>
      <c r="H671" s="42">
        <v>1.9286344043887149</v>
      </c>
      <c r="I671" s="42">
        <v>1</v>
      </c>
      <c r="J671" s="42">
        <v>1.9592476489028214</v>
      </c>
      <c r="K671" s="42">
        <v>0.984375</v>
      </c>
      <c r="L671" s="42">
        <v>0.51039999999999996</v>
      </c>
      <c r="M671">
        <v>1</v>
      </c>
    </row>
    <row r="672" spans="3:13" x14ac:dyDescent="0.15">
      <c r="C672" s="43">
        <v>639</v>
      </c>
      <c r="D672" s="42">
        <v>639</v>
      </c>
      <c r="E672" s="42">
        <v>0.51119999999999999</v>
      </c>
      <c r="F672" s="42">
        <v>126</v>
      </c>
      <c r="G672" s="42">
        <v>65.433599999999998</v>
      </c>
      <c r="H672" s="42">
        <v>1.9256161971830987</v>
      </c>
      <c r="I672" s="42">
        <v>1</v>
      </c>
      <c r="J672" s="42">
        <v>1.9561815336463224</v>
      </c>
      <c r="K672" s="42">
        <v>0.984375</v>
      </c>
      <c r="L672" s="42">
        <v>0.51119999999999999</v>
      </c>
      <c r="M672">
        <v>1</v>
      </c>
    </row>
    <row r="673" spans="3:13" x14ac:dyDescent="0.15">
      <c r="C673" s="43">
        <v>640</v>
      </c>
      <c r="D673" s="42">
        <v>640</v>
      </c>
      <c r="E673" s="42">
        <v>0.51200000000000001</v>
      </c>
      <c r="F673" s="42">
        <v>126</v>
      </c>
      <c r="G673" s="42">
        <v>65.536000000000001</v>
      </c>
      <c r="H673" s="42">
        <v>1.922607421875</v>
      </c>
      <c r="I673" s="42">
        <v>1</v>
      </c>
      <c r="J673" s="42">
        <v>1.953125</v>
      </c>
      <c r="K673" s="42">
        <v>0.984375</v>
      </c>
      <c r="L673" s="42">
        <v>0.51200000000000001</v>
      </c>
      <c r="M673">
        <v>1</v>
      </c>
    </row>
    <row r="674" spans="3:13" x14ac:dyDescent="0.15">
      <c r="C674" s="43">
        <v>641</v>
      </c>
      <c r="D674" s="42">
        <v>641</v>
      </c>
      <c r="E674" s="42">
        <v>0.51280000000000003</v>
      </c>
      <c r="F674" s="42">
        <v>126</v>
      </c>
      <c r="G674" s="42">
        <v>65.638400000000004</v>
      </c>
      <c r="H674" s="42">
        <v>1.9196080343213728</v>
      </c>
      <c r="I674" s="42">
        <v>1</v>
      </c>
      <c r="J674" s="42">
        <v>1.9500780031201246</v>
      </c>
      <c r="K674" s="42">
        <v>0.984375</v>
      </c>
      <c r="L674" s="42">
        <v>0.51280000000000003</v>
      </c>
      <c r="M674">
        <v>1</v>
      </c>
    </row>
    <row r="675" spans="3:13" x14ac:dyDescent="0.15">
      <c r="C675" s="43">
        <v>642</v>
      </c>
      <c r="D675" s="42">
        <v>642</v>
      </c>
      <c r="E675" s="42">
        <v>0.51359999999999995</v>
      </c>
      <c r="F675" s="42">
        <v>126</v>
      </c>
      <c r="G675" s="42">
        <v>65.740800000000007</v>
      </c>
      <c r="H675" s="42">
        <v>1.9166179906542058</v>
      </c>
      <c r="I675" s="42">
        <v>1</v>
      </c>
      <c r="J675" s="42">
        <v>1.9470404984423677</v>
      </c>
      <c r="K675" s="42">
        <v>0.984375</v>
      </c>
      <c r="L675" s="42">
        <v>0.51359999999999995</v>
      </c>
      <c r="M675">
        <v>1</v>
      </c>
    </row>
    <row r="676" spans="3:13" x14ac:dyDescent="0.15">
      <c r="C676" s="43">
        <v>643</v>
      </c>
      <c r="D676" s="42">
        <v>643</v>
      </c>
      <c r="E676" s="42">
        <v>0.51439999999999997</v>
      </c>
      <c r="F676" s="42">
        <v>126</v>
      </c>
      <c r="G676" s="42">
        <v>65.84320000000001</v>
      </c>
      <c r="H676" s="42">
        <v>1.9136372472783827</v>
      </c>
      <c r="I676" s="42">
        <v>1</v>
      </c>
      <c r="J676" s="42">
        <v>1.9440124416796269</v>
      </c>
      <c r="K676" s="42">
        <v>0.984375</v>
      </c>
      <c r="L676" s="42">
        <v>0.51439999999999997</v>
      </c>
      <c r="M676">
        <v>1</v>
      </c>
    </row>
    <row r="677" spans="3:13" x14ac:dyDescent="0.15">
      <c r="C677" s="43">
        <v>644</v>
      </c>
      <c r="D677" s="42">
        <v>644</v>
      </c>
      <c r="E677" s="42">
        <v>0.51519999999999999</v>
      </c>
      <c r="F677" s="42">
        <v>126</v>
      </c>
      <c r="G677" s="42">
        <v>65.945599999999999</v>
      </c>
      <c r="H677" s="42">
        <v>1.9106657608695652</v>
      </c>
      <c r="I677" s="42">
        <v>1</v>
      </c>
      <c r="J677" s="42">
        <v>1.9409937888198758</v>
      </c>
      <c r="K677" s="42">
        <v>0.984375</v>
      </c>
      <c r="L677" s="42">
        <v>0.51519999999999999</v>
      </c>
      <c r="M677">
        <v>1</v>
      </c>
    </row>
    <row r="678" spans="3:13" x14ac:dyDescent="0.15">
      <c r="C678" s="43">
        <v>645</v>
      </c>
      <c r="D678" s="42">
        <v>645</v>
      </c>
      <c r="E678" s="42">
        <v>0.51600000000000001</v>
      </c>
      <c r="F678" s="42">
        <v>126</v>
      </c>
      <c r="G678" s="42">
        <v>66.048000000000002</v>
      </c>
      <c r="H678" s="42">
        <v>1.9077034883720929</v>
      </c>
      <c r="I678" s="42">
        <v>1</v>
      </c>
      <c r="J678" s="42">
        <v>1.9379844961240309</v>
      </c>
      <c r="K678" s="42">
        <v>0.984375</v>
      </c>
      <c r="L678" s="42">
        <v>0.51600000000000001</v>
      </c>
      <c r="M678">
        <v>1</v>
      </c>
    </row>
    <row r="679" spans="3:13" x14ac:dyDescent="0.15">
      <c r="C679" s="43">
        <v>646</v>
      </c>
      <c r="D679" s="42">
        <v>646</v>
      </c>
      <c r="E679" s="42">
        <v>0.51680000000000004</v>
      </c>
      <c r="F679" s="42">
        <v>126</v>
      </c>
      <c r="G679" s="42">
        <v>66.150400000000005</v>
      </c>
      <c r="H679" s="42">
        <v>1.9047503869969038</v>
      </c>
      <c r="I679" s="42">
        <v>1</v>
      </c>
      <c r="J679" s="42">
        <v>1.9349845201238389</v>
      </c>
      <c r="K679" s="42">
        <v>0.984375</v>
      </c>
      <c r="L679" s="42">
        <v>0.51680000000000004</v>
      </c>
      <c r="M679">
        <v>1</v>
      </c>
    </row>
    <row r="680" spans="3:13" x14ac:dyDescent="0.15">
      <c r="C680" s="43">
        <v>647</v>
      </c>
      <c r="D680" s="42">
        <v>647</v>
      </c>
      <c r="E680" s="42">
        <v>0.51759999999999995</v>
      </c>
      <c r="F680" s="42">
        <v>126</v>
      </c>
      <c r="G680" s="42">
        <v>66.252800000000008</v>
      </c>
      <c r="H680" s="42">
        <v>1.9018064142194746</v>
      </c>
      <c r="I680" s="42">
        <v>1</v>
      </c>
      <c r="J680" s="42">
        <v>1.9319938176197837</v>
      </c>
      <c r="K680" s="42">
        <v>0.984375</v>
      </c>
      <c r="L680" s="42">
        <v>0.51759999999999995</v>
      </c>
      <c r="M680">
        <v>1</v>
      </c>
    </row>
    <row r="681" spans="3:13" x14ac:dyDescent="0.15">
      <c r="C681" s="43">
        <v>648</v>
      </c>
      <c r="D681" s="42">
        <v>648</v>
      </c>
      <c r="E681" s="42">
        <v>0.51839999999999997</v>
      </c>
      <c r="F681" s="42">
        <v>126</v>
      </c>
      <c r="G681" s="42">
        <v>66.355199999999996</v>
      </c>
      <c r="H681" s="42">
        <v>1.8988715277777779</v>
      </c>
      <c r="I681" s="42">
        <v>1</v>
      </c>
      <c r="J681" s="42">
        <v>1.9290123456790125</v>
      </c>
      <c r="K681" s="42">
        <v>0.984375</v>
      </c>
      <c r="L681" s="42">
        <v>0.51839999999999997</v>
      </c>
      <c r="M681">
        <v>1</v>
      </c>
    </row>
    <row r="682" spans="3:13" x14ac:dyDescent="0.15">
      <c r="C682" s="43">
        <v>649</v>
      </c>
      <c r="D682" s="42">
        <v>649</v>
      </c>
      <c r="E682" s="42">
        <v>0.51919999999999999</v>
      </c>
      <c r="F682" s="42">
        <v>126</v>
      </c>
      <c r="G682" s="42">
        <v>66.457599999999999</v>
      </c>
      <c r="H682" s="42">
        <v>1.8959456856702619</v>
      </c>
      <c r="I682" s="42">
        <v>1</v>
      </c>
      <c r="J682" s="42">
        <v>1.926040061633282</v>
      </c>
      <c r="K682" s="42">
        <v>0.984375</v>
      </c>
      <c r="L682" s="42">
        <v>0.51919999999999999</v>
      </c>
      <c r="M682">
        <v>1</v>
      </c>
    </row>
    <row r="683" spans="3:13" x14ac:dyDescent="0.15">
      <c r="C683" s="43">
        <v>650</v>
      </c>
      <c r="D683" s="42">
        <v>650</v>
      </c>
      <c r="E683" s="42">
        <v>0.52</v>
      </c>
      <c r="F683" s="42">
        <v>126</v>
      </c>
      <c r="G683" s="42">
        <v>66.56</v>
      </c>
      <c r="H683" s="42">
        <v>1.893028846153846</v>
      </c>
      <c r="I683" s="42">
        <v>1</v>
      </c>
      <c r="J683" s="42">
        <v>1.9230769230769229</v>
      </c>
      <c r="K683" s="42">
        <v>0.984375</v>
      </c>
      <c r="L683" s="42">
        <v>0.52</v>
      </c>
      <c r="M683">
        <v>1</v>
      </c>
    </row>
    <row r="684" spans="3:13" x14ac:dyDescent="0.15">
      <c r="C684" s="43">
        <v>651</v>
      </c>
      <c r="D684" s="42">
        <v>651</v>
      </c>
      <c r="E684" s="42">
        <v>0.52080000000000004</v>
      </c>
      <c r="F684" s="42">
        <v>126</v>
      </c>
      <c r="G684" s="42">
        <v>66.662400000000005</v>
      </c>
      <c r="H684" s="42">
        <v>1.8901209677419353</v>
      </c>
      <c r="I684" s="42">
        <v>1</v>
      </c>
      <c r="J684" s="42">
        <v>1.9201228878648231</v>
      </c>
      <c r="K684" s="42">
        <v>0.984375</v>
      </c>
      <c r="L684" s="42">
        <v>0.52080000000000004</v>
      </c>
      <c r="M684">
        <v>1</v>
      </c>
    </row>
    <row r="685" spans="3:13" x14ac:dyDescent="0.15">
      <c r="C685" s="43">
        <v>652</v>
      </c>
      <c r="D685" s="42">
        <v>652</v>
      </c>
      <c r="E685" s="42">
        <v>0.52159999999999995</v>
      </c>
      <c r="F685" s="42">
        <v>126</v>
      </c>
      <c r="G685" s="42">
        <v>66.764800000000008</v>
      </c>
      <c r="H685" s="42">
        <v>1.8872220092024541</v>
      </c>
      <c r="I685" s="42">
        <v>1</v>
      </c>
      <c r="J685" s="42">
        <v>1.9171779141104297</v>
      </c>
      <c r="K685" s="42">
        <v>0.984375</v>
      </c>
      <c r="L685" s="42">
        <v>0.52159999999999995</v>
      </c>
      <c r="M685">
        <v>1</v>
      </c>
    </row>
    <row r="686" spans="3:13" x14ac:dyDescent="0.15">
      <c r="C686" s="43">
        <v>653</v>
      </c>
      <c r="D686" s="42">
        <v>653</v>
      </c>
      <c r="E686" s="42">
        <v>0.52239999999999998</v>
      </c>
      <c r="F686" s="42">
        <v>126</v>
      </c>
      <c r="G686" s="42">
        <v>66.867199999999997</v>
      </c>
      <c r="H686" s="42">
        <v>1.884331929555896</v>
      </c>
      <c r="I686" s="42">
        <v>1</v>
      </c>
      <c r="J686" s="42">
        <v>1.9142419601837672</v>
      </c>
      <c r="K686" s="42">
        <v>0.984375</v>
      </c>
      <c r="L686" s="42">
        <v>0.52239999999999998</v>
      </c>
      <c r="M686">
        <v>1</v>
      </c>
    </row>
    <row r="687" spans="3:13" x14ac:dyDescent="0.15">
      <c r="C687" s="43">
        <v>654</v>
      </c>
      <c r="D687" s="42">
        <v>654</v>
      </c>
      <c r="E687" s="42">
        <v>0.5232</v>
      </c>
      <c r="F687" s="42">
        <v>126</v>
      </c>
      <c r="G687" s="42">
        <v>66.9696</v>
      </c>
      <c r="H687" s="42">
        <v>1.8814506880733946</v>
      </c>
      <c r="I687" s="42">
        <v>1</v>
      </c>
      <c r="J687" s="42">
        <v>1.9113149847094801</v>
      </c>
      <c r="K687" s="42">
        <v>0.984375</v>
      </c>
      <c r="L687" s="42">
        <v>0.5232</v>
      </c>
      <c r="M687">
        <v>1</v>
      </c>
    </row>
    <row r="688" spans="3:13" x14ac:dyDescent="0.15">
      <c r="C688" s="43">
        <v>655</v>
      </c>
      <c r="D688" s="42">
        <v>655</v>
      </c>
      <c r="E688" s="42">
        <v>0.52400000000000002</v>
      </c>
      <c r="F688" s="42">
        <v>126</v>
      </c>
      <c r="G688" s="42">
        <v>67.072000000000003</v>
      </c>
      <c r="H688" s="42">
        <v>1.8785782442748091</v>
      </c>
      <c r="I688" s="42">
        <v>1</v>
      </c>
      <c r="J688" s="42">
        <v>1.9083969465648853</v>
      </c>
      <c r="K688" s="42">
        <v>0.984375</v>
      </c>
      <c r="L688" s="42">
        <v>0.52400000000000002</v>
      </c>
      <c r="M688">
        <v>1</v>
      </c>
    </row>
    <row r="689" spans="3:13" x14ac:dyDescent="0.15">
      <c r="C689" s="43">
        <v>656</v>
      </c>
      <c r="D689" s="42">
        <v>656</v>
      </c>
      <c r="E689" s="42">
        <v>0.52480000000000004</v>
      </c>
      <c r="F689" s="42">
        <v>126</v>
      </c>
      <c r="G689" s="42">
        <v>67.174400000000006</v>
      </c>
      <c r="H689" s="42">
        <v>1.8757145579268291</v>
      </c>
      <c r="I689" s="42">
        <v>1</v>
      </c>
      <c r="J689" s="42">
        <v>1.9054878048780486</v>
      </c>
      <c r="K689" s="42">
        <v>0.984375</v>
      </c>
      <c r="L689" s="42">
        <v>0.52480000000000004</v>
      </c>
      <c r="M689">
        <v>1</v>
      </c>
    </row>
    <row r="690" spans="3:13" x14ac:dyDescent="0.15">
      <c r="C690" s="43">
        <v>657</v>
      </c>
      <c r="D690" s="42">
        <v>657</v>
      </c>
      <c r="E690" s="42">
        <v>0.52559999999999996</v>
      </c>
      <c r="F690" s="42">
        <v>126</v>
      </c>
      <c r="G690" s="42">
        <v>67.276800000000009</v>
      </c>
      <c r="H690" s="42">
        <v>1.872859589041096</v>
      </c>
      <c r="I690" s="42">
        <v>1</v>
      </c>
      <c r="J690" s="42">
        <v>1.9025875190258754</v>
      </c>
      <c r="K690" s="42">
        <v>0.984375</v>
      </c>
      <c r="L690" s="42">
        <v>0.52559999999999996</v>
      </c>
      <c r="M690">
        <v>1</v>
      </c>
    </row>
    <row r="691" spans="3:13" x14ac:dyDescent="0.15">
      <c r="C691" s="43">
        <v>658</v>
      </c>
      <c r="D691" s="42">
        <v>658</v>
      </c>
      <c r="E691" s="42">
        <v>0.52639999999999998</v>
      </c>
      <c r="F691" s="42">
        <v>126</v>
      </c>
      <c r="G691" s="42">
        <v>67.379199999999997</v>
      </c>
      <c r="H691" s="42">
        <v>1.8700132978723405</v>
      </c>
      <c r="I691" s="42">
        <v>1</v>
      </c>
      <c r="J691" s="42">
        <v>1.899696048632219</v>
      </c>
      <c r="K691" s="42">
        <v>0.984375</v>
      </c>
      <c r="L691" s="42">
        <v>0.52639999999999998</v>
      </c>
      <c r="M691">
        <v>1</v>
      </c>
    </row>
    <row r="692" spans="3:13" x14ac:dyDescent="0.15">
      <c r="C692" s="43">
        <v>659</v>
      </c>
      <c r="D692" s="42">
        <v>659</v>
      </c>
      <c r="E692" s="42">
        <v>0.5272</v>
      </c>
      <c r="F692" s="42">
        <v>126</v>
      </c>
      <c r="G692" s="42">
        <v>67.4816</v>
      </c>
      <c r="H692" s="42">
        <v>1.8671756449165402</v>
      </c>
      <c r="I692" s="42">
        <v>1</v>
      </c>
      <c r="J692" s="42">
        <v>1.896813353566009</v>
      </c>
      <c r="K692" s="42">
        <v>0.984375</v>
      </c>
      <c r="L692" s="42">
        <v>0.5272</v>
      </c>
      <c r="M692">
        <v>1</v>
      </c>
    </row>
    <row r="693" spans="3:13" x14ac:dyDescent="0.15">
      <c r="C693" s="43">
        <v>660</v>
      </c>
      <c r="D693" s="42">
        <v>660</v>
      </c>
      <c r="E693" s="42">
        <v>0.52800000000000002</v>
      </c>
      <c r="F693" s="42">
        <v>126</v>
      </c>
      <c r="G693" s="42">
        <v>67.584000000000003</v>
      </c>
      <c r="H693" s="42">
        <v>1.8643465909090908</v>
      </c>
      <c r="I693" s="42">
        <v>1</v>
      </c>
      <c r="J693" s="42">
        <v>1.8939393939393938</v>
      </c>
      <c r="K693" s="42">
        <v>0.984375</v>
      </c>
      <c r="L693" s="42">
        <v>0.52800000000000002</v>
      </c>
      <c r="M693">
        <v>1</v>
      </c>
    </row>
    <row r="694" spans="3:13" x14ac:dyDescent="0.15">
      <c r="C694" s="43">
        <v>661</v>
      </c>
      <c r="D694" s="42">
        <v>661</v>
      </c>
      <c r="E694" s="42">
        <v>0.52880000000000005</v>
      </c>
      <c r="F694" s="42">
        <v>126</v>
      </c>
      <c r="G694" s="42">
        <v>67.686400000000006</v>
      </c>
      <c r="H694" s="42">
        <v>1.8615260968229952</v>
      </c>
      <c r="I694" s="42">
        <v>1</v>
      </c>
      <c r="J694" s="42">
        <v>1.8910741301059</v>
      </c>
      <c r="K694" s="42">
        <v>0.984375</v>
      </c>
      <c r="L694" s="42">
        <v>0.52880000000000005</v>
      </c>
      <c r="M694">
        <v>1</v>
      </c>
    </row>
    <row r="695" spans="3:13" x14ac:dyDescent="0.15">
      <c r="C695" s="43">
        <v>662</v>
      </c>
      <c r="D695" s="42">
        <v>662</v>
      </c>
      <c r="E695" s="42">
        <v>0.52959999999999996</v>
      </c>
      <c r="F695" s="42">
        <v>126</v>
      </c>
      <c r="G695" s="42">
        <v>67.788800000000009</v>
      </c>
      <c r="H695" s="42">
        <v>1.8587141238670697</v>
      </c>
      <c r="I695" s="42">
        <v>1</v>
      </c>
      <c r="J695" s="42">
        <v>1.8882175226586104</v>
      </c>
      <c r="K695" s="42">
        <v>0.984375</v>
      </c>
      <c r="L695" s="42">
        <v>0.52959999999999996</v>
      </c>
      <c r="M695">
        <v>1</v>
      </c>
    </row>
    <row r="696" spans="3:13" x14ac:dyDescent="0.15">
      <c r="C696" s="43">
        <v>663</v>
      </c>
      <c r="D696" s="42">
        <v>663</v>
      </c>
      <c r="E696" s="42">
        <v>0.53039999999999998</v>
      </c>
      <c r="F696" s="42">
        <v>126</v>
      </c>
      <c r="G696" s="42">
        <v>67.891199999999998</v>
      </c>
      <c r="H696" s="42">
        <v>1.8559106334841629</v>
      </c>
      <c r="I696" s="42">
        <v>1</v>
      </c>
      <c r="J696" s="42">
        <v>1.8853695324283559</v>
      </c>
      <c r="K696" s="42">
        <v>0.984375</v>
      </c>
      <c r="L696" s="42">
        <v>0.53039999999999998</v>
      </c>
      <c r="M696">
        <v>1</v>
      </c>
    </row>
    <row r="697" spans="3:13" x14ac:dyDescent="0.15">
      <c r="C697" s="43">
        <v>664</v>
      </c>
      <c r="D697" s="42">
        <v>664</v>
      </c>
      <c r="E697" s="42">
        <v>0.53120000000000001</v>
      </c>
      <c r="F697" s="42">
        <v>126</v>
      </c>
      <c r="G697" s="42">
        <v>67.993600000000001</v>
      </c>
      <c r="H697" s="42">
        <v>1.8531155873493976</v>
      </c>
      <c r="I697" s="42">
        <v>1</v>
      </c>
      <c r="J697" s="42">
        <v>1.8825301204819276</v>
      </c>
      <c r="K697" s="42">
        <v>0.984375</v>
      </c>
      <c r="L697" s="42">
        <v>0.53120000000000001</v>
      </c>
      <c r="M697">
        <v>1</v>
      </c>
    </row>
    <row r="698" spans="3:13" x14ac:dyDescent="0.15">
      <c r="C698" s="43">
        <v>665</v>
      </c>
      <c r="D698" s="42">
        <v>665</v>
      </c>
      <c r="E698" s="42">
        <v>0.53200000000000003</v>
      </c>
      <c r="F698" s="42">
        <v>126</v>
      </c>
      <c r="G698" s="42">
        <v>68.096000000000004</v>
      </c>
      <c r="H698" s="42">
        <v>1.850328947368421</v>
      </c>
      <c r="I698" s="42">
        <v>1</v>
      </c>
      <c r="J698" s="42">
        <v>1.8796992481203008</v>
      </c>
      <c r="K698" s="42">
        <v>0.984375</v>
      </c>
      <c r="L698" s="42">
        <v>0.53200000000000003</v>
      </c>
      <c r="M698">
        <v>1</v>
      </c>
    </row>
    <row r="699" spans="3:13" x14ac:dyDescent="0.15">
      <c r="C699" s="43">
        <v>666</v>
      </c>
      <c r="D699" s="42">
        <v>666</v>
      </c>
      <c r="E699" s="42">
        <v>0.53280000000000005</v>
      </c>
      <c r="F699" s="42">
        <v>126</v>
      </c>
      <c r="G699" s="42">
        <v>68.198400000000007</v>
      </c>
      <c r="H699" s="42">
        <v>1.8475506756756754</v>
      </c>
      <c r="I699" s="42">
        <v>1</v>
      </c>
      <c r="J699" s="42">
        <v>1.8768768768768767</v>
      </c>
      <c r="K699" s="42">
        <v>0.984375</v>
      </c>
      <c r="L699" s="42">
        <v>0.53280000000000005</v>
      </c>
      <c r="M699">
        <v>1</v>
      </c>
    </row>
    <row r="700" spans="3:13" x14ac:dyDescent="0.15">
      <c r="C700" s="43">
        <v>667</v>
      </c>
      <c r="D700" s="42">
        <v>667</v>
      </c>
      <c r="E700" s="42">
        <v>0.53359999999999996</v>
      </c>
      <c r="F700" s="42">
        <v>126</v>
      </c>
      <c r="G700" s="42">
        <v>68.30080000000001</v>
      </c>
      <c r="H700" s="42">
        <v>1.8447807346326839</v>
      </c>
      <c r="I700" s="42">
        <v>1</v>
      </c>
      <c r="J700" s="42">
        <v>1.8740629685157422</v>
      </c>
      <c r="K700" s="42">
        <v>0.984375</v>
      </c>
      <c r="L700" s="42">
        <v>0.53359999999999996</v>
      </c>
      <c r="M700">
        <v>1</v>
      </c>
    </row>
    <row r="701" spans="3:13" x14ac:dyDescent="0.15">
      <c r="C701" s="43">
        <v>668</v>
      </c>
      <c r="D701" s="42">
        <v>668</v>
      </c>
      <c r="E701" s="42">
        <v>0.53439999999999999</v>
      </c>
      <c r="F701" s="42">
        <v>126</v>
      </c>
      <c r="G701" s="42">
        <v>68.403199999999998</v>
      </c>
      <c r="H701" s="42">
        <v>1.8420190868263473</v>
      </c>
      <c r="I701" s="42">
        <v>1</v>
      </c>
      <c r="J701" s="42">
        <v>1.8712574850299402</v>
      </c>
      <c r="K701" s="42">
        <v>0.984375</v>
      </c>
      <c r="L701" s="42">
        <v>0.53439999999999999</v>
      </c>
      <c r="M701">
        <v>1</v>
      </c>
    </row>
    <row r="702" spans="3:13" x14ac:dyDescent="0.15">
      <c r="C702" s="43">
        <v>669</v>
      </c>
      <c r="D702" s="42">
        <v>669</v>
      </c>
      <c r="E702" s="42">
        <v>0.53520000000000001</v>
      </c>
      <c r="F702" s="42">
        <v>126</v>
      </c>
      <c r="G702" s="42">
        <v>68.505600000000001</v>
      </c>
      <c r="H702" s="42">
        <v>1.8392656950672646</v>
      </c>
      <c r="I702" s="42">
        <v>1</v>
      </c>
      <c r="J702" s="42">
        <v>1.8684603886397608</v>
      </c>
      <c r="K702" s="42">
        <v>0.984375</v>
      </c>
      <c r="L702" s="42">
        <v>0.53520000000000001</v>
      </c>
      <c r="M702">
        <v>1</v>
      </c>
    </row>
    <row r="703" spans="3:13" x14ac:dyDescent="0.15">
      <c r="C703" s="43">
        <v>670</v>
      </c>
      <c r="D703" s="42">
        <v>670</v>
      </c>
      <c r="E703" s="42">
        <v>0.53600000000000003</v>
      </c>
      <c r="F703" s="42">
        <v>126</v>
      </c>
      <c r="G703" s="42">
        <v>68.608000000000004</v>
      </c>
      <c r="H703" s="42">
        <v>1.8365205223880596</v>
      </c>
      <c r="I703" s="42">
        <v>1</v>
      </c>
      <c r="J703" s="42">
        <v>1.8656716417910446</v>
      </c>
      <c r="K703" s="42">
        <v>0.984375</v>
      </c>
      <c r="L703" s="42">
        <v>0.53600000000000003</v>
      </c>
      <c r="M703">
        <v>1</v>
      </c>
    </row>
    <row r="704" spans="3:13" x14ac:dyDescent="0.15">
      <c r="C704" s="43">
        <v>671</v>
      </c>
      <c r="D704" s="42">
        <v>671</v>
      </c>
      <c r="E704" s="42">
        <v>0.53680000000000005</v>
      </c>
      <c r="F704" s="42">
        <v>126</v>
      </c>
      <c r="G704" s="42">
        <v>68.710400000000007</v>
      </c>
      <c r="H704" s="42">
        <v>1.8337835320417286</v>
      </c>
      <c r="I704" s="42">
        <v>1</v>
      </c>
      <c r="J704" s="42">
        <v>1.862891207153502</v>
      </c>
      <c r="K704" s="42">
        <v>0.984375</v>
      </c>
      <c r="L704" s="42">
        <v>0.53680000000000005</v>
      </c>
      <c r="M704">
        <v>1</v>
      </c>
    </row>
    <row r="705" spans="3:13" x14ac:dyDescent="0.15">
      <c r="C705" s="43">
        <v>672</v>
      </c>
      <c r="D705" s="42">
        <v>672</v>
      </c>
      <c r="E705" s="42">
        <v>0.53759999999999997</v>
      </c>
      <c r="F705" s="42">
        <v>126</v>
      </c>
      <c r="G705" s="42">
        <v>68.81280000000001</v>
      </c>
      <c r="H705" s="42">
        <v>1.8310546875000002</v>
      </c>
      <c r="I705" s="42">
        <v>1</v>
      </c>
      <c r="J705" s="42">
        <v>1.8601190476190477</v>
      </c>
      <c r="K705" s="42">
        <v>0.984375</v>
      </c>
      <c r="L705" s="42">
        <v>0.53759999999999997</v>
      </c>
      <c r="M705">
        <v>1</v>
      </c>
    </row>
    <row r="706" spans="3:13" x14ac:dyDescent="0.15">
      <c r="C706" s="43">
        <v>673</v>
      </c>
      <c r="D706" s="42">
        <v>673</v>
      </c>
      <c r="E706" s="42">
        <v>0.53839999999999999</v>
      </c>
      <c r="F706" s="42">
        <v>126</v>
      </c>
      <c r="G706" s="42">
        <v>68.915199999999999</v>
      </c>
      <c r="H706" s="42">
        <v>1.8283339524517088</v>
      </c>
      <c r="I706" s="42">
        <v>1</v>
      </c>
      <c r="J706" s="42">
        <v>1.8573551263001487</v>
      </c>
      <c r="K706" s="42">
        <v>0.984375</v>
      </c>
      <c r="L706" s="42">
        <v>0.53839999999999999</v>
      </c>
      <c r="M706">
        <v>1</v>
      </c>
    </row>
    <row r="707" spans="3:13" x14ac:dyDescent="0.15">
      <c r="C707" s="43">
        <v>674</v>
      </c>
      <c r="D707" s="42">
        <v>674</v>
      </c>
      <c r="E707" s="42">
        <v>0.53920000000000001</v>
      </c>
      <c r="F707" s="42">
        <v>126</v>
      </c>
      <c r="G707" s="42">
        <v>69.017600000000002</v>
      </c>
      <c r="H707" s="42">
        <v>1.8256212908011868</v>
      </c>
      <c r="I707" s="42">
        <v>1</v>
      </c>
      <c r="J707" s="42">
        <v>1.8545994065281899</v>
      </c>
      <c r="K707" s="42">
        <v>0.984375</v>
      </c>
      <c r="L707" s="42">
        <v>0.53920000000000001</v>
      </c>
      <c r="M707">
        <v>1</v>
      </c>
    </row>
    <row r="708" spans="3:13" x14ac:dyDescent="0.15">
      <c r="C708" s="43">
        <v>675</v>
      </c>
      <c r="D708" s="42">
        <v>675</v>
      </c>
      <c r="E708" s="42">
        <v>0.54</v>
      </c>
      <c r="F708" s="42">
        <v>126</v>
      </c>
      <c r="G708" s="42">
        <v>69.12</v>
      </c>
      <c r="H708" s="42">
        <v>1.8229166666666665</v>
      </c>
      <c r="I708" s="42">
        <v>1</v>
      </c>
      <c r="J708" s="42">
        <v>1.8518518518518516</v>
      </c>
      <c r="K708" s="42">
        <v>0.984375</v>
      </c>
      <c r="L708" s="42">
        <v>0.54</v>
      </c>
      <c r="M708">
        <v>1</v>
      </c>
    </row>
    <row r="709" spans="3:13" x14ac:dyDescent="0.15">
      <c r="C709" s="43">
        <v>676</v>
      </c>
      <c r="D709" s="42">
        <v>676</v>
      </c>
      <c r="E709" s="42">
        <v>0.54079999999999995</v>
      </c>
      <c r="F709" s="42">
        <v>126</v>
      </c>
      <c r="G709" s="42">
        <v>69.222400000000007</v>
      </c>
      <c r="H709" s="42">
        <v>1.8202200443786984</v>
      </c>
      <c r="I709" s="42">
        <v>1</v>
      </c>
      <c r="J709" s="42">
        <v>1.8491124260355032</v>
      </c>
      <c r="K709" s="42">
        <v>0.984375</v>
      </c>
      <c r="L709" s="42">
        <v>0.54079999999999995</v>
      </c>
      <c r="M709">
        <v>1</v>
      </c>
    </row>
    <row r="710" spans="3:13" x14ac:dyDescent="0.15">
      <c r="C710" s="43">
        <v>677</v>
      </c>
      <c r="D710" s="42">
        <v>677</v>
      </c>
      <c r="E710" s="42">
        <v>0.54159999999999997</v>
      </c>
      <c r="F710" s="42">
        <v>126</v>
      </c>
      <c r="G710" s="42">
        <v>69.32480000000001</v>
      </c>
      <c r="H710" s="42">
        <v>1.817531388478582</v>
      </c>
      <c r="I710" s="42">
        <v>1</v>
      </c>
      <c r="J710" s="42">
        <v>1.8463810930576072</v>
      </c>
      <c r="K710" s="42">
        <v>0.984375</v>
      </c>
      <c r="L710" s="42">
        <v>0.54159999999999997</v>
      </c>
      <c r="M710">
        <v>1</v>
      </c>
    </row>
    <row r="711" spans="3:13" x14ac:dyDescent="0.15">
      <c r="C711" s="43">
        <v>678</v>
      </c>
      <c r="D711" s="42">
        <v>678</v>
      </c>
      <c r="E711" s="42">
        <v>0.54239999999999999</v>
      </c>
      <c r="F711" s="42">
        <v>126</v>
      </c>
      <c r="G711" s="42">
        <v>69.427199999999999</v>
      </c>
      <c r="H711" s="42">
        <v>1.8148506637168142</v>
      </c>
      <c r="I711" s="42">
        <v>1</v>
      </c>
      <c r="J711" s="42">
        <v>1.8436578171091447</v>
      </c>
      <c r="K711" s="42">
        <v>0.984375</v>
      </c>
      <c r="L711" s="42">
        <v>0.54239999999999999</v>
      </c>
      <c r="M711">
        <v>1</v>
      </c>
    </row>
    <row r="712" spans="3:13" x14ac:dyDescent="0.15">
      <c r="C712" s="43">
        <v>679</v>
      </c>
      <c r="D712" s="42">
        <v>679</v>
      </c>
      <c r="E712" s="42">
        <v>0.54320000000000002</v>
      </c>
      <c r="F712" s="42">
        <v>126</v>
      </c>
      <c r="G712" s="42">
        <v>69.529600000000002</v>
      </c>
      <c r="H712" s="42">
        <v>1.8121778350515463</v>
      </c>
      <c r="I712" s="42">
        <v>1</v>
      </c>
      <c r="J712" s="42">
        <v>1.840942562592047</v>
      </c>
      <c r="K712" s="42">
        <v>0.984375</v>
      </c>
      <c r="L712" s="42">
        <v>0.54320000000000002</v>
      </c>
      <c r="M712">
        <v>1</v>
      </c>
    </row>
    <row r="713" spans="3:13" x14ac:dyDescent="0.15">
      <c r="C713" s="43">
        <v>680</v>
      </c>
      <c r="D713" s="42">
        <v>680</v>
      </c>
      <c r="E713" s="42">
        <v>0.54400000000000004</v>
      </c>
      <c r="F713" s="42">
        <v>126</v>
      </c>
      <c r="G713" s="42">
        <v>69.632000000000005</v>
      </c>
      <c r="H713" s="42">
        <v>1.8095128676470587</v>
      </c>
      <c r="I713" s="42">
        <v>1</v>
      </c>
      <c r="J713" s="42">
        <v>1.838235294117647</v>
      </c>
      <c r="K713" s="42">
        <v>0.984375</v>
      </c>
      <c r="L713" s="42">
        <v>0.54400000000000004</v>
      </c>
      <c r="M713">
        <v>1</v>
      </c>
    </row>
    <row r="714" spans="3:13" x14ac:dyDescent="0.15">
      <c r="C714" s="43">
        <v>681</v>
      </c>
      <c r="D714" s="42">
        <v>681</v>
      </c>
      <c r="E714" s="42">
        <v>0.54479999999999995</v>
      </c>
      <c r="F714" s="42">
        <v>126</v>
      </c>
      <c r="G714" s="42">
        <v>69.734400000000008</v>
      </c>
      <c r="H714" s="42">
        <v>1.8068557268722469</v>
      </c>
      <c r="I714" s="42">
        <v>1</v>
      </c>
      <c r="J714" s="42">
        <v>1.8355359765051398</v>
      </c>
      <c r="K714" s="42">
        <v>0.984375</v>
      </c>
      <c r="L714" s="42">
        <v>0.54479999999999995</v>
      </c>
      <c r="M714">
        <v>1</v>
      </c>
    </row>
    <row r="715" spans="3:13" x14ac:dyDescent="0.15">
      <c r="C715" s="43">
        <v>682</v>
      </c>
      <c r="D715" s="42">
        <v>682</v>
      </c>
      <c r="E715" s="42">
        <v>0.54559999999999997</v>
      </c>
      <c r="F715" s="42">
        <v>126</v>
      </c>
      <c r="G715" s="42">
        <v>69.836799999999997</v>
      </c>
      <c r="H715" s="42">
        <v>1.8042063782991202</v>
      </c>
      <c r="I715" s="42">
        <v>1</v>
      </c>
      <c r="J715" s="42">
        <v>1.8328445747800588</v>
      </c>
      <c r="K715" s="42">
        <v>0.984375</v>
      </c>
      <c r="L715" s="42">
        <v>0.54559999999999997</v>
      </c>
      <c r="M715">
        <v>1</v>
      </c>
    </row>
    <row r="716" spans="3:13" x14ac:dyDescent="0.15">
      <c r="C716" s="43">
        <v>683</v>
      </c>
      <c r="D716" s="42">
        <v>683</v>
      </c>
      <c r="E716" s="42">
        <v>0.5464</v>
      </c>
      <c r="F716" s="42">
        <v>126</v>
      </c>
      <c r="G716" s="42">
        <v>69.9392</v>
      </c>
      <c r="H716" s="42">
        <v>1.8015647877013177</v>
      </c>
      <c r="I716" s="42">
        <v>1</v>
      </c>
      <c r="J716" s="42">
        <v>1.8301610541727673</v>
      </c>
      <c r="K716" s="42">
        <v>0.984375</v>
      </c>
      <c r="L716" s="42">
        <v>0.5464</v>
      </c>
      <c r="M716">
        <v>1</v>
      </c>
    </row>
    <row r="717" spans="3:13" x14ac:dyDescent="0.15">
      <c r="C717" s="43">
        <v>684</v>
      </c>
      <c r="D717" s="42">
        <v>684</v>
      </c>
      <c r="E717" s="42">
        <v>0.54720000000000002</v>
      </c>
      <c r="F717" s="42">
        <v>126</v>
      </c>
      <c r="G717" s="42">
        <v>70.041600000000003</v>
      </c>
      <c r="H717" s="42">
        <v>1.7989309210526314</v>
      </c>
      <c r="I717" s="42">
        <v>1</v>
      </c>
      <c r="J717" s="42">
        <v>1.827485380116959</v>
      </c>
      <c r="K717" s="42">
        <v>0.984375</v>
      </c>
      <c r="L717" s="42">
        <v>0.54720000000000002</v>
      </c>
      <c r="M717">
        <v>1</v>
      </c>
    </row>
    <row r="718" spans="3:13" x14ac:dyDescent="0.15">
      <c r="C718" s="43">
        <v>685</v>
      </c>
      <c r="D718" s="42">
        <v>685</v>
      </c>
      <c r="E718" s="42">
        <v>0.54800000000000004</v>
      </c>
      <c r="F718" s="42">
        <v>126</v>
      </c>
      <c r="G718" s="42">
        <v>70.144000000000005</v>
      </c>
      <c r="H718" s="42">
        <v>1.7963047445255473</v>
      </c>
      <c r="I718" s="42">
        <v>1</v>
      </c>
      <c r="J718" s="42">
        <v>1.824817518248175</v>
      </c>
      <c r="K718" s="42">
        <v>0.984375</v>
      </c>
      <c r="L718" s="42">
        <v>0.54800000000000004</v>
      </c>
      <c r="M718">
        <v>1</v>
      </c>
    </row>
    <row r="719" spans="3:13" x14ac:dyDescent="0.15">
      <c r="C719" s="43">
        <v>686</v>
      </c>
      <c r="D719" s="42">
        <v>686</v>
      </c>
      <c r="E719" s="42">
        <v>0.54879999999999995</v>
      </c>
      <c r="F719" s="42">
        <v>126</v>
      </c>
      <c r="G719" s="42">
        <v>70.246400000000008</v>
      </c>
      <c r="H719" s="42">
        <v>1.793686224489796</v>
      </c>
      <c r="I719" s="42">
        <v>1</v>
      </c>
      <c r="J719" s="42">
        <v>1.8221574344023326</v>
      </c>
      <c r="K719" s="42">
        <v>0.984375</v>
      </c>
      <c r="L719" s="42">
        <v>0.54879999999999995</v>
      </c>
      <c r="M719">
        <v>1</v>
      </c>
    </row>
    <row r="720" spans="3:13" x14ac:dyDescent="0.15">
      <c r="C720" s="43">
        <v>687</v>
      </c>
      <c r="D720" s="42">
        <v>687</v>
      </c>
      <c r="E720" s="42">
        <v>0.54959999999999998</v>
      </c>
      <c r="F720" s="42">
        <v>126</v>
      </c>
      <c r="G720" s="42">
        <v>70.348799999999997</v>
      </c>
      <c r="H720" s="42">
        <v>1.791075327510917</v>
      </c>
      <c r="I720" s="42">
        <v>1</v>
      </c>
      <c r="J720" s="42">
        <v>1.819505094614265</v>
      </c>
      <c r="K720" s="42">
        <v>0.984375</v>
      </c>
      <c r="L720" s="42">
        <v>0.54959999999999998</v>
      </c>
      <c r="M720">
        <v>1</v>
      </c>
    </row>
    <row r="721" spans="3:13" x14ac:dyDescent="0.15">
      <c r="C721" s="43">
        <v>688</v>
      </c>
      <c r="D721" s="42">
        <v>688</v>
      </c>
      <c r="E721" s="42">
        <v>0.5504</v>
      </c>
      <c r="F721" s="42">
        <v>126</v>
      </c>
      <c r="G721" s="42">
        <v>70.4512</v>
      </c>
      <c r="H721" s="42">
        <v>1.7884720203488371</v>
      </c>
      <c r="I721" s="42">
        <v>1</v>
      </c>
      <c r="J721" s="42">
        <v>1.816860465116279</v>
      </c>
      <c r="K721" s="42">
        <v>0.984375</v>
      </c>
      <c r="L721" s="42">
        <v>0.5504</v>
      </c>
      <c r="M721">
        <v>1</v>
      </c>
    </row>
    <row r="722" spans="3:13" x14ac:dyDescent="0.15">
      <c r="C722" s="43">
        <v>689</v>
      </c>
      <c r="D722" s="42">
        <v>689</v>
      </c>
      <c r="E722" s="42">
        <v>0.55120000000000002</v>
      </c>
      <c r="F722" s="42">
        <v>126</v>
      </c>
      <c r="G722" s="42">
        <v>70.553600000000003</v>
      </c>
      <c r="H722" s="42">
        <v>1.7858762699564585</v>
      </c>
      <c r="I722" s="42">
        <v>1</v>
      </c>
      <c r="J722" s="42">
        <v>1.8142235123367199</v>
      </c>
      <c r="K722" s="42">
        <v>0.984375</v>
      </c>
      <c r="L722" s="42">
        <v>0.55120000000000002</v>
      </c>
      <c r="M722">
        <v>1</v>
      </c>
    </row>
    <row r="723" spans="3:13" x14ac:dyDescent="0.15">
      <c r="C723" s="43">
        <v>690</v>
      </c>
      <c r="D723" s="42">
        <v>690</v>
      </c>
      <c r="E723" s="42">
        <v>0.55200000000000005</v>
      </c>
      <c r="F723" s="42">
        <v>126</v>
      </c>
      <c r="G723" s="42">
        <v>70.656000000000006</v>
      </c>
      <c r="H723" s="42">
        <v>1.7832880434782608</v>
      </c>
      <c r="I723" s="42">
        <v>1</v>
      </c>
      <c r="J723" s="42">
        <v>1.8115942028985506</v>
      </c>
      <c r="K723" s="42">
        <v>0.984375</v>
      </c>
      <c r="L723" s="42">
        <v>0.55200000000000005</v>
      </c>
      <c r="M723">
        <v>1</v>
      </c>
    </row>
    <row r="724" spans="3:13" x14ac:dyDescent="0.15">
      <c r="C724" s="43">
        <v>691</v>
      </c>
      <c r="D724" s="42">
        <v>691</v>
      </c>
      <c r="E724" s="42">
        <v>0.55279999999999996</v>
      </c>
      <c r="F724" s="42">
        <v>126</v>
      </c>
      <c r="G724" s="42">
        <v>70.758400000000009</v>
      </c>
      <c r="H724" s="42">
        <v>1.7807073082489147</v>
      </c>
      <c r="I724" s="42">
        <v>1</v>
      </c>
      <c r="J724" s="42">
        <v>1.8089725036179451</v>
      </c>
      <c r="K724" s="42">
        <v>0.984375</v>
      </c>
      <c r="L724" s="42">
        <v>0.55279999999999996</v>
      </c>
      <c r="M724">
        <v>1</v>
      </c>
    </row>
    <row r="725" spans="3:13" x14ac:dyDescent="0.15">
      <c r="C725" s="43">
        <v>692</v>
      </c>
      <c r="D725" s="42">
        <v>692</v>
      </c>
      <c r="E725" s="42">
        <v>0.55359999999999998</v>
      </c>
      <c r="F725" s="42">
        <v>126</v>
      </c>
      <c r="G725" s="42">
        <v>70.860799999999998</v>
      </c>
      <c r="H725" s="42">
        <v>1.7781340317919077</v>
      </c>
      <c r="I725" s="42">
        <v>1</v>
      </c>
      <c r="J725" s="42">
        <v>1.8063583815028903</v>
      </c>
      <c r="K725" s="42">
        <v>0.984375</v>
      </c>
      <c r="L725" s="42">
        <v>0.55359999999999998</v>
      </c>
      <c r="M725">
        <v>1</v>
      </c>
    </row>
    <row r="726" spans="3:13" x14ac:dyDescent="0.15">
      <c r="C726" s="43">
        <v>693</v>
      </c>
      <c r="D726" s="42">
        <v>693</v>
      </c>
      <c r="E726" s="42">
        <v>0.5544</v>
      </c>
      <c r="F726" s="42">
        <v>126</v>
      </c>
      <c r="G726" s="42">
        <v>70.963200000000001</v>
      </c>
      <c r="H726" s="42">
        <v>1.7755681818181819</v>
      </c>
      <c r="I726" s="42">
        <v>1</v>
      </c>
      <c r="J726" s="42">
        <v>1.8037518037518037</v>
      </c>
      <c r="K726" s="42">
        <v>0.984375</v>
      </c>
      <c r="L726" s="42">
        <v>0.5544</v>
      </c>
      <c r="M726">
        <v>1</v>
      </c>
    </row>
    <row r="727" spans="3:13" x14ac:dyDescent="0.15">
      <c r="C727" s="43">
        <v>694</v>
      </c>
      <c r="D727" s="42">
        <v>694</v>
      </c>
      <c r="E727" s="42">
        <v>0.55520000000000003</v>
      </c>
      <c r="F727" s="42">
        <v>126</v>
      </c>
      <c r="G727" s="42">
        <v>71.065600000000003</v>
      </c>
      <c r="H727" s="42">
        <v>1.7730097262247837</v>
      </c>
      <c r="I727" s="42">
        <v>1</v>
      </c>
      <c r="J727" s="42">
        <v>1.8011527377521612</v>
      </c>
      <c r="K727" s="42">
        <v>0.984375</v>
      </c>
      <c r="L727" s="42">
        <v>0.55520000000000003</v>
      </c>
      <c r="M727">
        <v>1</v>
      </c>
    </row>
    <row r="728" spans="3:13" x14ac:dyDescent="0.15">
      <c r="C728" s="43">
        <v>695</v>
      </c>
      <c r="D728" s="42">
        <v>695</v>
      </c>
      <c r="E728" s="42">
        <v>0.55600000000000005</v>
      </c>
      <c r="F728" s="42">
        <v>126</v>
      </c>
      <c r="G728" s="42">
        <v>71.168000000000006</v>
      </c>
      <c r="H728" s="42">
        <v>1.770458633093525</v>
      </c>
      <c r="I728" s="42">
        <v>1</v>
      </c>
      <c r="J728" s="42">
        <v>1.7985611510791366</v>
      </c>
      <c r="K728" s="42">
        <v>0.984375</v>
      </c>
      <c r="L728" s="42">
        <v>0.55600000000000005</v>
      </c>
      <c r="M728">
        <v>1</v>
      </c>
    </row>
    <row r="729" spans="3:13" x14ac:dyDescent="0.15">
      <c r="C729" s="43">
        <v>696</v>
      </c>
      <c r="D729" s="42">
        <v>696</v>
      </c>
      <c r="E729" s="42">
        <v>0.55679999999999996</v>
      </c>
      <c r="F729" s="42">
        <v>126</v>
      </c>
      <c r="G729" s="42">
        <v>71.270400000000009</v>
      </c>
      <c r="H729" s="42">
        <v>1.7679148706896552</v>
      </c>
      <c r="I729" s="42">
        <v>1</v>
      </c>
      <c r="J729" s="42">
        <v>1.795977011494253</v>
      </c>
      <c r="K729" s="42">
        <v>0.984375</v>
      </c>
      <c r="L729" s="42">
        <v>0.55679999999999996</v>
      </c>
      <c r="M729">
        <v>1</v>
      </c>
    </row>
    <row r="730" spans="3:13" x14ac:dyDescent="0.15">
      <c r="C730" s="43">
        <v>697</v>
      </c>
      <c r="D730" s="42">
        <v>697</v>
      </c>
      <c r="E730" s="42">
        <v>0.55759999999999998</v>
      </c>
      <c r="F730" s="42">
        <v>126</v>
      </c>
      <c r="G730" s="42">
        <v>71.372799999999998</v>
      </c>
      <c r="H730" s="42">
        <v>1.7653784074605452</v>
      </c>
      <c r="I730" s="42">
        <v>1</v>
      </c>
      <c r="J730" s="42">
        <v>1.793400286944046</v>
      </c>
      <c r="K730" s="42">
        <v>0.984375</v>
      </c>
      <c r="L730" s="42">
        <v>0.55759999999999998</v>
      </c>
      <c r="M730">
        <v>1</v>
      </c>
    </row>
    <row r="731" spans="3:13" x14ac:dyDescent="0.15">
      <c r="C731" s="43">
        <v>698</v>
      </c>
      <c r="D731" s="42">
        <v>698</v>
      </c>
      <c r="E731" s="42">
        <v>0.55840000000000001</v>
      </c>
      <c r="F731" s="42">
        <v>126</v>
      </c>
      <c r="G731" s="42">
        <v>71.475200000000001</v>
      </c>
      <c r="H731" s="42">
        <v>1.7628492120343839</v>
      </c>
      <c r="I731" s="42">
        <v>1</v>
      </c>
      <c r="J731" s="42">
        <v>1.7908309455587392</v>
      </c>
      <c r="K731" s="42">
        <v>0.984375</v>
      </c>
      <c r="L731" s="42">
        <v>0.55840000000000001</v>
      </c>
      <c r="M731">
        <v>1</v>
      </c>
    </row>
    <row r="732" spans="3:13" x14ac:dyDescent="0.15">
      <c r="C732" s="43">
        <v>699</v>
      </c>
      <c r="D732" s="42">
        <v>699</v>
      </c>
      <c r="E732" s="42">
        <v>0.55920000000000003</v>
      </c>
      <c r="F732" s="42">
        <v>126</v>
      </c>
      <c r="G732" s="42">
        <v>71.577600000000004</v>
      </c>
      <c r="H732" s="42">
        <v>1.7603272532188841</v>
      </c>
      <c r="I732" s="42">
        <v>1</v>
      </c>
      <c r="J732" s="42">
        <v>1.7882689556509297</v>
      </c>
      <c r="K732" s="42">
        <v>0.984375</v>
      </c>
      <c r="L732" s="42">
        <v>0.55920000000000003</v>
      </c>
      <c r="M732">
        <v>1</v>
      </c>
    </row>
    <row r="733" spans="3:13" x14ac:dyDescent="0.15">
      <c r="C733" s="43">
        <v>700</v>
      </c>
      <c r="D733" s="42">
        <v>700</v>
      </c>
      <c r="E733" s="42">
        <v>0.56000000000000005</v>
      </c>
      <c r="F733" s="42">
        <v>126</v>
      </c>
      <c r="G733" s="42">
        <v>71.680000000000007</v>
      </c>
      <c r="H733" s="42">
        <v>1.7578124999999998</v>
      </c>
      <c r="I733" s="42">
        <v>1</v>
      </c>
      <c r="J733" s="42">
        <v>1.7857142857142856</v>
      </c>
      <c r="K733" s="42">
        <v>0.984375</v>
      </c>
      <c r="L733" s="42">
        <v>0.56000000000000005</v>
      </c>
      <c r="M733">
        <v>1</v>
      </c>
    </row>
    <row r="734" spans="3:13" x14ac:dyDescent="0.15">
      <c r="C734" s="43">
        <v>701</v>
      </c>
      <c r="D734" s="42">
        <v>701</v>
      </c>
      <c r="E734" s="42">
        <v>0.56079999999999997</v>
      </c>
      <c r="F734" s="42">
        <v>126</v>
      </c>
      <c r="G734" s="42">
        <v>71.78240000000001</v>
      </c>
      <c r="H734" s="42">
        <v>1.7553049215406562</v>
      </c>
      <c r="I734" s="42">
        <v>1</v>
      </c>
      <c r="J734" s="42">
        <v>1.783166904422254</v>
      </c>
      <c r="K734" s="42">
        <v>0.984375</v>
      </c>
      <c r="L734" s="42">
        <v>0.56079999999999997</v>
      </c>
      <c r="M734">
        <v>1</v>
      </c>
    </row>
    <row r="735" spans="3:13" x14ac:dyDescent="0.15">
      <c r="C735" s="43">
        <v>702</v>
      </c>
      <c r="D735" s="42">
        <v>702</v>
      </c>
      <c r="E735" s="42">
        <v>0.56159999999999999</v>
      </c>
      <c r="F735" s="42">
        <v>126</v>
      </c>
      <c r="G735" s="42">
        <v>71.884799999999998</v>
      </c>
      <c r="H735" s="42">
        <v>1.7528044871794872</v>
      </c>
      <c r="I735" s="42">
        <v>1</v>
      </c>
      <c r="J735" s="42">
        <v>1.7806267806267806</v>
      </c>
      <c r="K735" s="42">
        <v>0.984375</v>
      </c>
      <c r="L735" s="42">
        <v>0.56159999999999999</v>
      </c>
      <c r="M735">
        <v>1</v>
      </c>
    </row>
    <row r="736" spans="3:13" x14ac:dyDescent="0.15">
      <c r="C736" s="43">
        <v>703</v>
      </c>
      <c r="D736" s="42">
        <v>703</v>
      </c>
      <c r="E736" s="42">
        <v>0.56240000000000001</v>
      </c>
      <c r="F736" s="42">
        <v>126</v>
      </c>
      <c r="G736" s="42">
        <v>71.987200000000001</v>
      </c>
      <c r="H736" s="42">
        <v>1.7503111664295874</v>
      </c>
      <c r="I736" s="42">
        <v>1</v>
      </c>
      <c r="J736" s="42">
        <v>1.7780938833570412</v>
      </c>
      <c r="K736" s="42">
        <v>0.984375</v>
      </c>
      <c r="L736" s="42">
        <v>0.56240000000000001</v>
      </c>
      <c r="M736">
        <v>1</v>
      </c>
    </row>
    <row r="737" spans="3:13" x14ac:dyDescent="0.15">
      <c r="C737" s="43">
        <v>704</v>
      </c>
      <c r="D737" s="42">
        <v>704</v>
      </c>
      <c r="E737" s="42">
        <v>0.56320000000000003</v>
      </c>
      <c r="F737" s="42">
        <v>126</v>
      </c>
      <c r="G737" s="42">
        <v>72.089600000000004</v>
      </c>
      <c r="H737" s="42">
        <v>1.7478249289772727</v>
      </c>
      <c r="I737" s="42">
        <v>1</v>
      </c>
      <c r="J737" s="42">
        <v>1.7755681818181817</v>
      </c>
      <c r="K737" s="42">
        <v>0.984375</v>
      </c>
      <c r="L737" s="42">
        <v>0.56320000000000003</v>
      </c>
      <c r="M737">
        <v>1</v>
      </c>
    </row>
    <row r="738" spans="3:13" x14ac:dyDescent="0.15">
      <c r="C738" s="43">
        <v>705</v>
      </c>
      <c r="D738" s="42">
        <v>705</v>
      </c>
      <c r="E738" s="42">
        <v>0.56399999999999995</v>
      </c>
      <c r="F738" s="42">
        <v>126</v>
      </c>
      <c r="G738" s="42">
        <v>72.192000000000007</v>
      </c>
      <c r="H738" s="42">
        <v>1.7453457446808511</v>
      </c>
      <c r="I738" s="42">
        <v>1</v>
      </c>
      <c r="J738" s="42">
        <v>1.773049645390071</v>
      </c>
      <c r="K738" s="42">
        <v>0.984375</v>
      </c>
      <c r="L738" s="42">
        <v>0.56399999999999995</v>
      </c>
      <c r="M738">
        <v>1</v>
      </c>
    </row>
    <row r="739" spans="3:13" x14ac:dyDescent="0.15">
      <c r="C739" s="43">
        <v>706</v>
      </c>
      <c r="D739" s="42">
        <v>706</v>
      </c>
      <c r="E739" s="42">
        <v>0.56479999999999997</v>
      </c>
      <c r="F739" s="42">
        <v>126</v>
      </c>
      <c r="G739" s="42">
        <v>72.29440000000001</v>
      </c>
      <c r="H739" s="42">
        <v>1.7428735835694051</v>
      </c>
      <c r="I739" s="42">
        <v>1</v>
      </c>
      <c r="J739" s="42">
        <v>1.7705382436260624</v>
      </c>
      <c r="K739" s="42">
        <v>0.984375</v>
      </c>
      <c r="L739" s="42">
        <v>0.56479999999999997</v>
      </c>
      <c r="M739">
        <v>1</v>
      </c>
    </row>
    <row r="740" spans="3:13" x14ac:dyDescent="0.15">
      <c r="C740" s="43">
        <v>707</v>
      </c>
      <c r="D740" s="42">
        <v>707</v>
      </c>
      <c r="E740" s="42">
        <v>0.56559999999999999</v>
      </c>
      <c r="F740" s="42">
        <v>126</v>
      </c>
      <c r="G740" s="42">
        <v>72.396799999999999</v>
      </c>
      <c r="H740" s="42">
        <v>1.7404084158415842</v>
      </c>
      <c r="I740" s="42">
        <v>1</v>
      </c>
      <c r="J740" s="42">
        <v>1.768033946251768</v>
      </c>
      <c r="K740" s="42">
        <v>0.984375</v>
      </c>
      <c r="L740" s="42">
        <v>0.56559999999999999</v>
      </c>
      <c r="M740">
        <v>1</v>
      </c>
    </row>
    <row r="741" spans="3:13" x14ac:dyDescent="0.15">
      <c r="C741" s="43">
        <v>708</v>
      </c>
      <c r="D741" s="42">
        <v>708</v>
      </c>
      <c r="E741" s="42">
        <v>0.56640000000000001</v>
      </c>
      <c r="F741" s="42">
        <v>126</v>
      </c>
      <c r="G741" s="42">
        <v>72.499200000000002</v>
      </c>
      <c r="H741" s="42">
        <v>1.7379502118644068</v>
      </c>
      <c r="I741" s="42">
        <v>1</v>
      </c>
      <c r="J741" s="42">
        <v>1.7655367231638417</v>
      </c>
      <c r="K741" s="42">
        <v>0.984375</v>
      </c>
      <c r="L741" s="42">
        <v>0.56640000000000001</v>
      </c>
      <c r="M741">
        <v>1</v>
      </c>
    </row>
    <row r="742" spans="3:13" x14ac:dyDescent="0.15">
      <c r="C742" s="43">
        <v>709</v>
      </c>
      <c r="D742" s="42">
        <v>709</v>
      </c>
      <c r="E742" s="42">
        <v>0.56720000000000004</v>
      </c>
      <c r="F742" s="42">
        <v>126</v>
      </c>
      <c r="G742" s="42">
        <v>72.601600000000005</v>
      </c>
      <c r="H742" s="42">
        <v>1.7354989421720732</v>
      </c>
      <c r="I742" s="42">
        <v>1</v>
      </c>
      <c r="J742" s="42">
        <v>1.7630465444287728</v>
      </c>
      <c r="K742" s="42">
        <v>0.984375</v>
      </c>
      <c r="L742" s="42">
        <v>0.56720000000000004</v>
      </c>
      <c r="M742">
        <v>1</v>
      </c>
    </row>
    <row r="743" spans="3:13" x14ac:dyDescent="0.15">
      <c r="C743" s="43">
        <v>710</v>
      </c>
      <c r="D743" s="42">
        <v>710</v>
      </c>
      <c r="E743" s="42">
        <v>0.56799999999999995</v>
      </c>
      <c r="F743" s="42">
        <v>126</v>
      </c>
      <c r="G743" s="42">
        <v>72.704000000000008</v>
      </c>
      <c r="H743" s="42">
        <v>1.733054577464789</v>
      </c>
      <c r="I743" s="42">
        <v>1</v>
      </c>
      <c r="J743" s="42">
        <v>1.7605633802816902</v>
      </c>
      <c r="K743" s="42">
        <v>0.984375</v>
      </c>
      <c r="L743" s="42">
        <v>0.56799999999999995</v>
      </c>
      <c r="M743">
        <v>1</v>
      </c>
    </row>
    <row r="744" spans="3:13" x14ac:dyDescent="0.15">
      <c r="C744" s="43">
        <v>711</v>
      </c>
      <c r="D744" s="42">
        <v>711</v>
      </c>
      <c r="E744" s="42">
        <v>0.56879999999999997</v>
      </c>
      <c r="F744" s="42">
        <v>126</v>
      </c>
      <c r="G744" s="42">
        <v>72.806399999999996</v>
      </c>
      <c r="H744" s="42">
        <v>1.7306170886075951</v>
      </c>
      <c r="I744" s="42">
        <v>1</v>
      </c>
      <c r="J744" s="42">
        <v>1.7580872011251758</v>
      </c>
      <c r="K744" s="42">
        <v>0.984375</v>
      </c>
      <c r="L744" s="42">
        <v>0.56879999999999997</v>
      </c>
      <c r="M744">
        <v>1</v>
      </c>
    </row>
    <row r="745" spans="3:13" x14ac:dyDescent="0.15">
      <c r="C745" s="43">
        <v>712</v>
      </c>
      <c r="D745" s="42">
        <v>712</v>
      </c>
      <c r="E745" s="42">
        <v>0.5696</v>
      </c>
      <c r="F745" s="42">
        <v>126</v>
      </c>
      <c r="G745" s="42">
        <v>72.908799999999999</v>
      </c>
      <c r="H745" s="42">
        <v>1.7281864466292134</v>
      </c>
      <c r="I745" s="42">
        <v>1</v>
      </c>
      <c r="J745" s="42">
        <v>1.75561797752809</v>
      </c>
      <c r="K745" s="42">
        <v>0.984375</v>
      </c>
      <c r="L745" s="42">
        <v>0.5696</v>
      </c>
      <c r="M745">
        <v>1</v>
      </c>
    </row>
    <row r="746" spans="3:13" x14ac:dyDescent="0.15">
      <c r="C746" s="43">
        <v>713</v>
      </c>
      <c r="D746" s="42">
        <v>713</v>
      </c>
      <c r="E746" s="42">
        <v>0.57040000000000002</v>
      </c>
      <c r="F746" s="42">
        <v>126</v>
      </c>
      <c r="G746" s="42">
        <v>73.011200000000002</v>
      </c>
      <c r="H746" s="42">
        <v>1.7257626227208975</v>
      </c>
      <c r="I746" s="42">
        <v>1</v>
      </c>
      <c r="J746" s="42">
        <v>1.7531556802244039</v>
      </c>
      <c r="K746" s="42">
        <v>0.984375</v>
      </c>
      <c r="L746" s="42">
        <v>0.57040000000000002</v>
      </c>
      <c r="M746">
        <v>1</v>
      </c>
    </row>
    <row r="747" spans="3:13" x14ac:dyDescent="0.15">
      <c r="C747" s="43">
        <v>714</v>
      </c>
      <c r="D747" s="42">
        <v>714</v>
      </c>
      <c r="E747" s="42">
        <v>0.57120000000000004</v>
      </c>
      <c r="F747" s="42">
        <v>126</v>
      </c>
      <c r="G747" s="42">
        <v>73.113600000000005</v>
      </c>
      <c r="H747" s="42">
        <v>1.7233455882352939</v>
      </c>
      <c r="I747" s="42">
        <v>1</v>
      </c>
      <c r="J747" s="42">
        <v>1.7507002801120446</v>
      </c>
      <c r="K747" s="42">
        <v>0.984375</v>
      </c>
      <c r="L747" s="42">
        <v>0.57120000000000004</v>
      </c>
      <c r="M747">
        <v>1</v>
      </c>
    </row>
    <row r="748" spans="3:13" x14ac:dyDescent="0.15">
      <c r="C748" s="43">
        <v>715</v>
      </c>
      <c r="D748" s="42">
        <v>715</v>
      </c>
      <c r="E748" s="42">
        <v>0.57199999999999995</v>
      </c>
      <c r="F748" s="42">
        <v>126</v>
      </c>
      <c r="G748" s="42">
        <v>73.216000000000008</v>
      </c>
      <c r="H748" s="42">
        <v>1.7209353146853148</v>
      </c>
      <c r="I748" s="42">
        <v>1</v>
      </c>
      <c r="J748" s="42">
        <v>1.7482517482517483</v>
      </c>
      <c r="K748" s="42">
        <v>0.984375</v>
      </c>
      <c r="L748" s="42">
        <v>0.57199999999999995</v>
      </c>
      <c r="M748">
        <v>1</v>
      </c>
    </row>
    <row r="749" spans="3:13" x14ac:dyDescent="0.15">
      <c r="C749" s="43">
        <v>716</v>
      </c>
      <c r="D749" s="42">
        <v>716</v>
      </c>
      <c r="E749" s="42">
        <v>0.57279999999999998</v>
      </c>
      <c r="F749" s="42">
        <v>126</v>
      </c>
      <c r="G749" s="42">
        <v>73.318399999999997</v>
      </c>
      <c r="H749" s="42">
        <v>1.7185317737430168</v>
      </c>
      <c r="I749" s="42">
        <v>1</v>
      </c>
      <c r="J749" s="42">
        <v>1.7458100558659218</v>
      </c>
      <c r="K749" s="42">
        <v>0.984375</v>
      </c>
      <c r="L749" s="42">
        <v>0.57279999999999998</v>
      </c>
      <c r="M749">
        <v>1</v>
      </c>
    </row>
    <row r="750" spans="3:13" x14ac:dyDescent="0.15">
      <c r="C750" s="43">
        <v>717</v>
      </c>
      <c r="D750" s="42">
        <v>717</v>
      </c>
      <c r="E750" s="42">
        <v>0.5736</v>
      </c>
      <c r="F750" s="42">
        <v>126</v>
      </c>
      <c r="G750" s="42">
        <v>73.4208</v>
      </c>
      <c r="H750" s="42">
        <v>1.7161349372384938</v>
      </c>
      <c r="I750" s="42">
        <v>1</v>
      </c>
      <c r="J750" s="42">
        <v>1.7433751743375174</v>
      </c>
      <c r="K750" s="42">
        <v>0.984375</v>
      </c>
      <c r="L750" s="42">
        <v>0.5736</v>
      </c>
      <c r="M750">
        <v>1</v>
      </c>
    </row>
    <row r="751" spans="3:13" x14ac:dyDescent="0.15">
      <c r="C751" s="43">
        <v>718</v>
      </c>
      <c r="D751" s="42">
        <v>718</v>
      </c>
      <c r="E751" s="42">
        <v>0.57440000000000002</v>
      </c>
      <c r="F751" s="42">
        <v>126</v>
      </c>
      <c r="G751" s="42">
        <v>73.523200000000003</v>
      </c>
      <c r="H751" s="42">
        <v>1.7137447771587744</v>
      </c>
      <c r="I751" s="42">
        <v>1</v>
      </c>
      <c r="J751" s="42">
        <v>1.7409470752089136</v>
      </c>
      <c r="K751" s="42">
        <v>0.984375</v>
      </c>
      <c r="L751" s="42">
        <v>0.57440000000000002</v>
      </c>
      <c r="M751">
        <v>1</v>
      </c>
    </row>
    <row r="752" spans="3:13" x14ac:dyDescent="0.15">
      <c r="C752" s="43">
        <v>719</v>
      </c>
      <c r="D752" s="42">
        <v>719</v>
      </c>
      <c r="E752" s="42">
        <v>0.57520000000000004</v>
      </c>
      <c r="F752" s="42">
        <v>126</v>
      </c>
      <c r="G752" s="42">
        <v>73.625600000000006</v>
      </c>
      <c r="H752" s="42">
        <v>1.7113612656467314</v>
      </c>
      <c r="I752" s="42">
        <v>1</v>
      </c>
      <c r="J752" s="42">
        <v>1.7385257301808066</v>
      </c>
      <c r="K752" s="42">
        <v>0.984375</v>
      </c>
      <c r="L752" s="42">
        <v>0.57520000000000004</v>
      </c>
      <c r="M752">
        <v>1</v>
      </c>
    </row>
    <row r="753" spans="3:13" x14ac:dyDescent="0.15">
      <c r="C753" s="43">
        <v>720</v>
      </c>
      <c r="D753" s="42">
        <v>720</v>
      </c>
      <c r="E753" s="42">
        <v>0.57599999999999996</v>
      </c>
      <c r="F753" s="42">
        <v>126</v>
      </c>
      <c r="G753" s="42">
        <v>73.728000000000009</v>
      </c>
      <c r="H753" s="42">
        <v>1.7089843750000002</v>
      </c>
      <c r="I753" s="42">
        <v>1</v>
      </c>
      <c r="J753" s="42">
        <v>1.7361111111111112</v>
      </c>
      <c r="K753" s="42">
        <v>0.984375</v>
      </c>
      <c r="L753" s="42">
        <v>0.57599999999999996</v>
      </c>
      <c r="M753">
        <v>1</v>
      </c>
    </row>
    <row r="754" spans="3:13" x14ac:dyDescent="0.15">
      <c r="C754" s="43">
        <v>721</v>
      </c>
      <c r="D754" s="42">
        <v>721</v>
      </c>
      <c r="E754" s="42">
        <v>0.57679999999999998</v>
      </c>
      <c r="F754" s="42">
        <v>126</v>
      </c>
      <c r="G754" s="42">
        <v>73.830399999999997</v>
      </c>
      <c r="H754" s="42">
        <v>1.706614077669903</v>
      </c>
      <c r="I754" s="42">
        <v>1</v>
      </c>
      <c r="J754" s="42">
        <v>1.7337031900138697</v>
      </c>
      <c r="K754" s="42">
        <v>0.984375</v>
      </c>
      <c r="L754" s="42">
        <v>0.57679999999999998</v>
      </c>
      <c r="M754">
        <v>1</v>
      </c>
    </row>
    <row r="755" spans="3:13" x14ac:dyDescent="0.15">
      <c r="C755" s="43">
        <v>722</v>
      </c>
      <c r="D755" s="42">
        <v>722</v>
      </c>
      <c r="E755" s="42">
        <v>0.5776</v>
      </c>
      <c r="F755" s="42">
        <v>126</v>
      </c>
      <c r="G755" s="42">
        <v>73.9328</v>
      </c>
      <c r="H755" s="42">
        <v>1.7042503462603877</v>
      </c>
      <c r="I755" s="42">
        <v>1</v>
      </c>
      <c r="J755" s="42">
        <v>1.7313019390581716</v>
      </c>
      <c r="K755" s="42">
        <v>0.984375</v>
      </c>
      <c r="L755" s="42">
        <v>0.5776</v>
      </c>
      <c r="M755">
        <v>1</v>
      </c>
    </row>
    <row r="756" spans="3:13" x14ac:dyDescent="0.15">
      <c r="C756" s="43">
        <v>723</v>
      </c>
      <c r="D756" s="42">
        <v>723</v>
      </c>
      <c r="E756" s="42">
        <v>0.57840000000000003</v>
      </c>
      <c r="F756" s="42">
        <v>126</v>
      </c>
      <c r="G756" s="42">
        <v>74.035200000000003</v>
      </c>
      <c r="H756" s="42">
        <v>1.7018931535269708</v>
      </c>
      <c r="I756" s="42">
        <v>1</v>
      </c>
      <c r="J756" s="42">
        <v>1.7289073305670815</v>
      </c>
      <c r="K756" s="42">
        <v>0.984375</v>
      </c>
      <c r="L756" s="42">
        <v>0.57840000000000003</v>
      </c>
      <c r="M756">
        <v>1</v>
      </c>
    </row>
    <row r="757" spans="3:13" x14ac:dyDescent="0.15">
      <c r="C757" s="43">
        <v>724</v>
      </c>
      <c r="D757" s="42">
        <v>724</v>
      </c>
      <c r="E757" s="42">
        <v>0.57920000000000005</v>
      </c>
      <c r="F757" s="42">
        <v>126</v>
      </c>
      <c r="G757" s="42">
        <v>74.137600000000006</v>
      </c>
      <c r="H757" s="42">
        <v>1.6995424723756904</v>
      </c>
      <c r="I757" s="42">
        <v>1</v>
      </c>
      <c r="J757" s="42">
        <v>1.7265193370165743</v>
      </c>
      <c r="K757" s="42">
        <v>0.984375</v>
      </c>
      <c r="L757" s="42">
        <v>0.57920000000000005</v>
      </c>
      <c r="M757">
        <v>1</v>
      </c>
    </row>
    <row r="758" spans="3:13" x14ac:dyDescent="0.15">
      <c r="C758" s="43">
        <v>725</v>
      </c>
      <c r="D758" s="42">
        <v>725</v>
      </c>
      <c r="E758" s="42">
        <v>0.57999999999999996</v>
      </c>
      <c r="F758" s="42">
        <v>126</v>
      </c>
      <c r="G758" s="42">
        <v>74.240000000000009</v>
      </c>
      <c r="H758" s="42">
        <v>1.6971982758620692</v>
      </c>
      <c r="I758" s="42">
        <v>1</v>
      </c>
      <c r="J758" s="42">
        <v>1.7241379310344829</v>
      </c>
      <c r="K758" s="42">
        <v>0.984375</v>
      </c>
      <c r="L758" s="42">
        <v>0.57999999999999996</v>
      </c>
      <c r="M758">
        <v>1</v>
      </c>
    </row>
    <row r="759" spans="3:13" x14ac:dyDescent="0.15">
      <c r="C759" s="43">
        <v>726</v>
      </c>
      <c r="D759" s="42">
        <v>726</v>
      </c>
      <c r="E759" s="42">
        <v>0.58079999999999998</v>
      </c>
      <c r="F759" s="42">
        <v>126</v>
      </c>
      <c r="G759" s="42">
        <v>74.342399999999998</v>
      </c>
      <c r="H759" s="42">
        <v>1.6948605371900827</v>
      </c>
      <c r="I759" s="42">
        <v>1</v>
      </c>
      <c r="J759" s="42">
        <v>1.721763085399449</v>
      </c>
      <c r="K759" s="42">
        <v>0.984375</v>
      </c>
      <c r="L759" s="42">
        <v>0.58079999999999998</v>
      </c>
      <c r="M759">
        <v>1</v>
      </c>
    </row>
    <row r="760" spans="3:13" x14ac:dyDescent="0.15">
      <c r="C760" s="43">
        <v>727</v>
      </c>
      <c r="D760" s="42">
        <v>727</v>
      </c>
      <c r="E760" s="42">
        <v>0.58160000000000001</v>
      </c>
      <c r="F760" s="42">
        <v>126</v>
      </c>
      <c r="G760" s="42">
        <v>74.444800000000001</v>
      </c>
      <c r="H760" s="42">
        <v>1.6925292297111416</v>
      </c>
      <c r="I760" s="42">
        <v>1</v>
      </c>
      <c r="J760" s="42">
        <v>1.71939477303989</v>
      </c>
      <c r="K760" s="42">
        <v>0.984375</v>
      </c>
      <c r="L760" s="42">
        <v>0.58160000000000001</v>
      </c>
      <c r="M760">
        <v>1</v>
      </c>
    </row>
    <row r="761" spans="3:13" x14ac:dyDescent="0.15">
      <c r="C761" s="43">
        <v>728</v>
      </c>
      <c r="D761" s="42">
        <v>728</v>
      </c>
      <c r="E761" s="42">
        <v>0.58240000000000003</v>
      </c>
      <c r="F761" s="42">
        <v>126</v>
      </c>
      <c r="G761" s="42">
        <v>74.547200000000004</v>
      </c>
      <c r="H761" s="42">
        <v>1.6902043269230769</v>
      </c>
      <c r="I761" s="42">
        <v>1</v>
      </c>
      <c r="J761" s="42">
        <v>1.7170329670329669</v>
      </c>
      <c r="K761" s="42">
        <v>0.984375</v>
      </c>
      <c r="L761" s="42">
        <v>0.58240000000000003</v>
      </c>
      <c r="M761">
        <v>1</v>
      </c>
    </row>
    <row r="762" spans="3:13" x14ac:dyDescent="0.15">
      <c r="C762" s="43">
        <v>729</v>
      </c>
      <c r="D762" s="42">
        <v>729</v>
      </c>
      <c r="E762" s="42">
        <v>0.58320000000000005</v>
      </c>
      <c r="F762" s="42">
        <v>126</v>
      </c>
      <c r="G762" s="42">
        <v>74.649600000000007</v>
      </c>
      <c r="H762" s="42">
        <v>1.6878858024691357</v>
      </c>
      <c r="I762" s="42">
        <v>1</v>
      </c>
      <c r="J762" s="42">
        <v>1.7146776406035664</v>
      </c>
      <c r="K762" s="42">
        <v>0.984375</v>
      </c>
      <c r="L762" s="42">
        <v>0.58320000000000005</v>
      </c>
      <c r="M762">
        <v>1</v>
      </c>
    </row>
    <row r="763" spans="3:13" x14ac:dyDescent="0.15">
      <c r="C763" s="43">
        <v>730</v>
      </c>
      <c r="D763" s="42">
        <v>730</v>
      </c>
      <c r="E763" s="42">
        <v>0.58399999999999996</v>
      </c>
      <c r="F763" s="42">
        <v>126</v>
      </c>
      <c r="G763" s="42">
        <v>74.75200000000001</v>
      </c>
      <c r="H763" s="42">
        <v>1.6855736301369864</v>
      </c>
      <c r="I763" s="42">
        <v>1</v>
      </c>
      <c r="J763" s="42">
        <v>1.7123287671232879</v>
      </c>
      <c r="K763" s="42">
        <v>0.984375</v>
      </c>
      <c r="L763" s="42">
        <v>0.58399999999999996</v>
      </c>
      <c r="M763">
        <v>1</v>
      </c>
    </row>
    <row r="764" spans="3:13" x14ac:dyDescent="0.15">
      <c r="C764" s="43">
        <v>731</v>
      </c>
      <c r="D764" s="42">
        <v>731</v>
      </c>
      <c r="E764" s="42">
        <v>0.58479999999999999</v>
      </c>
      <c r="F764" s="42">
        <v>126</v>
      </c>
      <c r="G764" s="42">
        <v>74.854399999999998</v>
      </c>
      <c r="H764" s="42">
        <v>1.6832677838577292</v>
      </c>
      <c r="I764" s="42">
        <v>1</v>
      </c>
      <c r="J764" s="42">
        <v>1.7099863201094392</v>
      </c>
      <c r="K764" s="42">
        <v>0.984375</v>
      </c>
      <c r="L764" s="42">
        <v>0.58479999999999999</v>
      </c>
      <c r="M764">
        <v>1</v>
      </c>
    </row>
    <row r="765" spans="3:13" x14ac:dyDescent="0.15">
      <c r="C765" s="43">
        <v>732</v>
      </c>
      <c r="D765" s="42">
        <v>732</v>
      </c>
      <c r="E765" s="42">
        <v>0.58560000000000001</v>
      </c>
      <c r="F765" s="42">
        <v>126</v>
      </c>
      <c r="G765" s="42">
        <v>74.956800000000001</v>
      </c>
      <c r="H765" s="42">
        <v>1.680968237704918</v>
      </c>
      <c r="I765" s="42">
        <v>1</v>
      </c>
      <c r="J765" s="42">
        <v>1.7076502732240437</v>
      </c>
      <c r="K765" s="42">
        <v>0.984375</v>
      </c>
      <c r="L765" s="42">
        <v>0.58560000000000001</v>
      </c>
      <c r="M765">
        <v>1</v>
      </c>
    </row>
    <row r="766" spans="3:13" x14ac:dyDescent="0.15">
      <c r="C766" s="43">
        <v>733</v>
      </c>
      <c r="D766" s="42">
        <v>733</v>
      </c>
      <c r="E766" s="42">
        <v>0.58640000000000003</v>
      </c>
      <c r="F766" s="42">
        <v>126</v>
      </c>
      <c r="G766" s="42">
        <v>75.059200000000004</v>
      </c>
      <c r="H766" s="42">
        <v>1.678674965893588</v>
      </c>
      <c r="I766" s="42">
        <v>1</v>
      </c>
      <c r="J766" s="42">
        <v>1.7053206002728512</v>
      </c>
      <c r="K766" s="42">
        <v>0.984375</v>
      </c>
      <c r="L766" s="42">
        <v>0.58640000000000003</v>
      </c>
      <c r="M766">
        <v>1</v>
      </c>
    </row>
    <row r="767" spans="3:13" x14ac:dyDescent="0.15">
      <c r="C767" s="43">
        <v>734</v>
      </c>
      <c r="D767" s="42">
        <v>734</v>
      </c>
      <c r="E767" s="42">
        <v>0.58720000000000006</v>
      </c>
      <c r="F767" s="42">
        <v>126</v>
      </c>
      <c r="G767" s="42">
        <v>75.161600000000007</v>
      </c>
      <c r="H767" s="42">
        <v>1.6763879427792914</v>
      </c>
      <c r="I767" s="42">
        <v>1</v>
      </c>
      <c r="J767" s="42">
        <v>1.7029972752043596</v>
      </c>
      <c r="K767" s="42">
        <v>0.984375</v>
      </c>
      <c r="L767" s="42">
        <v>0.58720000000000006</v>
      </c>
      <c r="M767">
        <v>1</v>
      </c>
    </row>
    <row r="768" spans="3:13" x14ac:dyDescent="0.15">
      <c r="C768" s="43">
        <v>735</v>
      </c>
      <c r="D768" s="42">
        <v>735</v>
      </c>
      <c r="E768" s="42">
        <v>0.58799999999999997</v>
      </c>
      <c r="F768" s="42">
        <v>126</v>
      </c>
      <c r="G768" s="42">
        <v>75.26400000000001</v>
      </c>
      <c r="H768" s="42">
        <v>1.674107142857143</v>
      </c>
      <c r="I768" s="42">
        <v>1</v>
      </c>
      <c r="J768" s="42">
        <v>1.7006802721088436</v>
      </c>
      <c r="K768" s="42">
        <v>0.984375</v>
      </c>
      <c r="L768" s="42">
        <v>0.58799999999999997</v>
      </c>
      <c r="M768">
        <v>1</v>
      </c>
    </row>
    <row r="769" spans="3:13" x14ac:dyDescent="0.15">
      <c r="C769" s="43">
        <v>736</v>
      </c>
      <c r="D769" s="42">
        <v>736</v>
      </c>
      <c r="E769" s="42">
        <v>0.58879999999999999</v>
      </c>
      <c r="F769" s="42">
        <v>126</v>
      </c>
      <c r="G769" s="42">
        <v>75.366399999999999</v>
      </c>
      <c r="H769" s="42">
        <v>1.6718325407608696</v>
      </c>
      <c r="I769" s="42">
        <v>1</v>
      </c>
      <c r="J769" s="42">
        <v>1.6983695652173914</v>
      </c>
      <c r="K769" s="42">
        <v>0.984375</v>
      </c>
      <c r="L769" s="42">
        <v>0.58879999999999999</v>
      </c>
      <c r="M769">
        <v>1</v>
      </c>
    </row>
    <row r="770" spans="3:13" x14ac:dyDescent="0.15">
      <c r="C770" s="43">
        <v>737</v>
      </c>
      <c r="D770" s="42">
        <v>737</v>
      </c>
      <c r="E770" s="42">
        <v>0.58960000000000001</v>
      </c>
      <c r="F770" s="42">
        <v>126</v>
      </c>
      <c r="G770" s="42">
        <v>75.468800000000002</v>
      </c>
      <c r="H770" s="42">
        <v>1.6695641112618724</v>
      </c>
      <c r="I770" s="42">
        <v>1</v>
      </c>
      <c r="J770" s="42">
        <v>1.6960651289009498</v>
      </c>
      <c r="K770" s="42">
        <v>0.984375</v>
      </c>
      <c r="L770" s="42">
        <v>0.58960000000000001</v>
      </c>
      <c r="M770">
        <v>1</v>
      </c>
    </row>
    <row r="771" spans="3:13" x14ac:dyDescent="0.15">
      <c r="C771" s="43">
        <v>738</v>
      </c>
      <c r="D771" s="42">
        <v>738</v>
      </c>
      <c r="E771" s="42">
        <v>0.59040000000000004</v>
      </c>
      <c r="F771" s="42">
        <v>126</v>
      </c>
      <c r="G771" s="42">
        <v>75.571200000000005</v>
      </c>
      <c r="H771" s="42">
        <v>1.6673018292682926</v>
      </c>
      <c r="I771" s="42">
        <v>1</v>
      </c>
      <c r="J771" s="42">
        <v>1.6937669376693767</v>
      </c>
      <c r="K771" s="42">
        <v>0.984375</v>
      </c>
      <c r="L771" s="42">
        <v>0.59040000000000004</v>
      </c>
      <c r="M771">
        <v>1</v>
      </c>
    </row>
    <row r="772" spans="3:13" x14ac:dyDescent="0.15">
      <c r="C772" s="43">
        <v>739</v>
      </c>
      <c r="D772" s="42">
        <v>739</v>
      </c>
      <c r="E772" s="42">
        <v>0.59119999999999995</v>
      </c>
      <c r="F772" s="42">
        <v>126</v>
      </c>
      <c r="G772" s="42">
        <v>75.673600000000008</v>
      </c>
      <c r="H772" s="42">
        <v>1.6650456698240867</v>
      </c>
      <c r="I772" s="42">
        <v>1</v>
      </c>
      <c r="J772" s="42">
        <v>1.6914749661705009</v>
      </c>
      <c r="K772" s="42">
        <v>0.984375</v>
      </c>
      <c r="L772" s="42">
        <v>0.59119999999999995</v>
      </c>
      <c r="M772">
        <v>1</v>
      </c>
    </row>
    <row r="773" spans="3:13" x14ac:dyDescent="0.15">
      <c r="C773" s="43">
        <v>740</v>
      </c>
      <c r="D773" s="42">
        <v>740</v>
      </c>
      <c r="E773" s="42">
        <v>0.59199999999999997</v>
      </c>
      <c r="F773" s="42">
        <v>126</v>
      </c>
      <c r="G773" s="42">
        <v>75.77600000000001</v>
      </c>
      <c r="H773" s="42">
        <v>1.6627956081081081</v>
      </c>
      <c r="I773" s="42">
        <v>1</v>
      </c>
      <c r="J773" s="42">
        <v>1.6891891891891893</v>
      </c>
      <c r="K773" s="42">
        <v>0.984375</v>
      </c>
      <c r="L773" s="42">
        <v>0.59199999999999997</v>
      </c>
      <c r="M773">
        <v>1</v>
      </c>
    </row>
    <row r="774" spans="3:13" x14ac:dyDescent="0.15">
      <c r="C774" s="43">
        <v>741</v>
      </c>
      <c r="D774" s="42">
        <v>741</v>
      </c>
      <c r="E774" s="42">
        <v>0.59279999999999999</v>
      </c>
      <c r="F774" s="42">
        <v>126</v>
      </c>
      <c r="G774" s="42">
        <v>75.878399999999999</v>
      </c>
      <c r="H774" s="42">
        <v>1.6605516194331984</v>
      </c>
      <c r="I774" s="42">
        <v>1</v>
      </c>
      <c r="J774" s="42">
        <v>1.6869095816464237</v>
      </c>
      <c r="K774" s="42">
        <v>0.984375</v>
      </c>
      <c r="L774" s="42">
        <v>0.59279999999999999</v>
      </c>
      <c r="M774">
        <v>1</v>
      </c>
    </row>
    <row r="775" spans="3:13" x14ac:dyDescent="0.15">
      <c r="C775" s="43">
        <v>742</v>
      </c>
      <c r="D775" s="42">
        <v>742</v>
      </c>
      <c r="E775" s="42">
        <v>0.59360000000000002</v>
      </c>
      <c r="F775" s="42">
        <v>126</v>
      </c>
      <c r="G775" s="42">
        <v>75.980800000000002</v>
      </c>
      <c r="H775" s="42">
        <v>1.6583136792452831</v>
      </c>
      <c r="I775" s="42">
        <v>1</v>
      </c>
      <c r="J775" s="42">
        <v>1.6846361185983827</v>
      </c>
      <c r="K775" s="42">
        <v>0.984375</v>
      </c>
      <c r="L775" s="42">
        <v>0.59360000000000002</v>
      </c>
      <c r="M775">
        <v>1</v>
      </c>
    </row>
    <row r="776" spans="3:13" x14ac:dyDescent="0.15">
      <c r="C776" s="43">
        <v>743</v>
      </c>
      <c r="D776" s="42">
        <v>743</v>
      </c>
      <c r="E776" s="42">
        <v>0.59440000000000004</v>
      </c>
      <c r="F776" s="42">
        <v>126</v>
      </c>
      <c r="G776" s="42">
        <v>76.083200000000005</v>
      </c>
      <c r="H776" s="42">
        <v>1.6560817631224762</v>
      </c>
      <c r="I776" s="42">
        <v>1</v>
      </c>
      <c r="J776" s="42">
        <v>1.6823687752355314</v>
      </c>
      <c r="K776" s="42">
        <v>0.984375</v>
      </c>
      <c r="L776" s="42">
        <v>0.59440000000000004</v>
      </c>
      <c r="M776">
        <v>1</v>
      </c>
    </row>
    <row r="777" spans="3:13" x14ac:dyDescent="0.15">
      <c r="C777" s="43">
        <v>744</v>
      </c>
      <c r="D777" s="42">
        <v>744</v>
      </c>
      <c r="E777" s="42">
        <v>0.59519999999999995</v>
      </c>
      <c r="F777" s="42">
        <v>126</v>
      </c>
      <c r="G777" s="42">
        <v>76.185600000000008</v>
      </c>
      <c r="H777" s="42">
        <v>1.6538558467741937</v>
      </c>
      <c r="I777" s="42">
        <v>1</v>
      </c>
      <c r="J777" s="42">
        <v>1.6801075268817205</v>
      </c>
      <c r="K777" s="42">
        <v>0.984375</v>
      </c>
      <c r="L777" s="42">
        <v>0.59519999999999995</v>
      </c>
      <c r="M777">
        <v>1</v>
      </c>
    </row>
    <row r="778" spans="3:13" x14ac:dyDescent="0.15">
      <c r="C778" s="43">
        <v>745</v>
      </c>
      <c r="D778" s="42">
        <v>745</v>
      </c>
      <c r="E778" s="42">
        <v>0.59599999999999997</v>
      </c>
      <c r="F778" s="42">
        <v>126</v>
      </c>
      <c r="G778" s="42">
        <v>76.287999999999997</v>
      </c>
      <c r="H778" s="42">
        <v>1.6516359060402686</v>
      </c>
      <c r="I778" s="42">
        <v>1</v>
      </c>
      <c r="J778" s="42">
        <v>1.6778523489932886</v>
      </c>
      <c r="K778" s="42">
        <v>0.984375</v>
      </c>
      <c r="L778" s="42">
        <v>0.59599999999999997</v>
      </c>
      <c r="M778">
        <v>1</v>
      </c>
    </row>
    <row r="779" spans="3:13" x14ac:dyDescent="0.15">
      <c r="C779" s="43">
        <v>746</v>
      </c>
      <c r="D779" s="42">
        <v>746</v>
      </c>
      <c r="E779" s="42">
        <v>0.5968</v>
      </c>
      <c r="F779" s="42">
        <v>126</v>
      </c>
      <c r="G779" s="42">
        <v>76.3904</v>
      </c>
      <c r="H779" s="42">
        <v>1.6494219168900803</v>
      </c>
      <c r="I779" s="42">
        <v>1</v>
      </c>
      <c r="J779" s="42">
        <v>1.6756032171581769</v>
      </c>
      <c r="K779" s="42">
        <v>0.984375</v>
      </c>
      <c r="L779" s="42">
        <v>0.5968</v>
      </c>
      <c r="M779">
        <v>1</v>
      </c>
    </row>
    <row r="780" spans="3:13" x14ac:dyDescent="0.15">
      <c r="C780" s="43">
        <v>747</v>
      </c>
      <c r="D780" s="42">
        <v>747</v>
      </c>
      <c r="E780" s="42">
        <v>0.59760000000000002</v>
      </c>
      <c r="F780" s="42">
        <v>126</v>
      </c>
      <c r="G780" s="42">
        <v>76.492800000000003</v>
      </c>
      <c r="H780" s="42">
        <v>1.6472138554216866</v>
      </c>
      <c r="I780" s="42">
        <v>1</v>
      </c>
      <c r="J780" s="42">
        <v>1.6733601070950468</v>
      </c>
      <c r="K780" s="42">
        <v>0.984375</v>
      </c>
      <c r="L780" s="42">
        <v>0.59760000000000002</v>
      </c>
      <c r="M780">
        <v>1</v>
      </c>
    </row>
    <row r="781" spans="3:13" x14ac:dyDescent="0.15">
      <c r="C781" s="43">
        <v>748</v>
      </c>
      <c r="D781" s="42">
        <v>748</v>
      </c>
      <c r="E781" s="42">
        <v>0.59840000000000004</v>
      </c>
      <c r="F781" s="42">
        <v>126</v>
      </c>
      <c r="G781" s="42">
        <v>76.595200000000006</v>
      </c>
      <c r="H781" s="42">
        <v>1.6450116978609624</v>
      </c>
      <c r="I781" s="42">
        <v>1</v>
      </c>
      <c r="J781" s="42">
        <v>1.6711229946524062</v>
      </c>
      <c r="K781" s="42">
        <v>0.984375</v>
      </c>
      <c r="L781" s="42">
        <v>0.59840000000000004</v>
      </c>
      <c r="M781">
        <v>1</v>
      </c>
    </row>
    <row r="782" spans="3:13" x14ac:dyDescent="0.15">
      <c r="C782" s="43">
        <v>749</v>
      </c>
      <c r="D782" s="42">
        <v>749</v>
      </c>
      <c r="E782" s="42">
        <v>0.59919999999999995</v>
      </c>
      <c r="F782" s="42">
        <v>126</v>
      </c>
      <c r="G782" s="42">
        <v>76.697600000000008</v>
      </c>
      <c r="H782" s="42">
        <v>1.6428154205607477</v>
      </c>
      <c r="I782" s="42">
        <v>1</v>
      </c>
      <c r="J782" s="42">
        <v>1.6688918558077437</v>
      </c>
      <c r="K782" s="42">
        <v>0.984375</v>
      </c>
      <c r="L782" s="42">
        <v>0.59919999999999995</v>
      </c>
      <c r="M782">
        <v>1</v>
      </c>
    </row>
    <row r="783" spans="3:13" x14ac:dyDescent="0.15">
      <c r="C783" s="43">
        <v>750</v>
      </c>
      <c r="D783" s="42">
        <v>750</v>
      </c>
      <c r="E783" s="42">
        <v>0.6</v>
      </c>
      <c r="F783" s="42">
        <v>126</v>
      </c>
      <c r="G783" s="42">
        <v>76.8</v>
      </c>
      <c r="H783" s="42">
        <v>1.640625</v>
      </c>
      <c r="I783" s="42">
        <v>1</v>
      </c>
      <c r="J783" s="42">
        <v>1.6666666666666667</v>
      </c>
      <c r="K783" s="42">
        <v>0.984375</v>
      </c>
      <c r="L783" s="42">
        <v>0.6</v>
      </c>
      <c r="M783">
        <v>1</v>
      </c>
    </row>
    <row r="784" spans="3:13" x14ac:dyDescent="0.15">
      <c r="C784" s="43">
        <v>751</v>
      </c>
      <c r="D784" s="42">
        <v>751</v>
      </c>
      <c r="E784" s="42">
        <v>0.6008</v>
      </c>
      <c r="F784" s="42">
        <v>126</v>
      </c>
      <c r="G784" s="42">
        <v>76.9024</v>
      </c>
      <c r="H784" s="42">
        <v>1.6384404127829562</v>
      </c>
      <c r="I784" s="42">
        <v>1</v>
      </c>
      <c r="J784" s="42">
        <v>1.6644474034620507</v>
      </c>
      <c r="K784" s="42">
        <v>0.984375</v>
      </c>
      <c r="L784" s="42">
        <v>0.6008</v>
      </c>
      <c r="M784">
        <v>1</v>
      </c>
    </row>
    <row r="785" spans="3:13" x14ac:dyDescent="0.15">
      <c r="C785" s="43">
        <v>752</v>
      </c>
      <c r="D785" s="42">
        <v>752</v>
      </c>
      <c r="E785" s="42">
        <v>0.60160000000000002</v>
      </c>
      <c r="F785" s="42">
        <v>126</v>
      </c>
      <c r="G785" s="42">
        <v>77.004800000000003</v>
      </c>
      <c r="H785" s="42">
        <v>1.6362616356382977</v>
      </c>
      <c r="I785" s="42">
        <v>1</v>
      </c>
      <c r="J785" s="42">
        <v>1.6622340425531914</v>
      </c>
      <c r="K785" s="42">
        <v>0.984375</v>
      </c>
      <c r="L785" s="42">
        <v>0.60160000000000002</v>
      </c>
      <c r="M785">
        <v>1</v>
      </c>
    </row>
    <row r="786" spans="3:13" x14ac:dyDescent="0.15">
      <c r="C786" s="43">
        <v>753</v>
      </c>
      <c r="D786" s="42">
        <v>753</v>
      </c>
      <c r="E786" s="42">
        <v>0.60240000000000005</v>
      </c>
      <c r="F786" s="42">
        <v>126</v>
      </c>
      <c r="G786" s="42">
        <v>77.107200000000006</v>
      </c>
      <c r="H786" s="42">
        <v>1.6340886454183265</v>
      </c>
      <c r="I786" s="42">
        <v>1</v>
      </c>
      <c r="J786" s="42">
        <v>1.6600265604249667</v>
      </c>
      <c r="K786" s="42">
        <v>0.984375</v>
      </c>
      <c r="L786" s="42">
        <v>0.60240000000000005</v>
      </c>
      <c r="M786">
        <v>1</v>
      </c>
    </row>
    <row r="787" spans="3:13" x14ac:dyDescent="0.15">
      <c r="C787" s="43">
        <v>754</v>
      </c>
      <c r="D787" s="42">
        <v>754</v>
      </c>
      <c r="E787" s="42">
        <v>0.60319999999999996</v>
      </c>
      <c r="F787" s="42">
        <v>126</v>
      </c>
      <c r="G787" s="42">
        <v>77.209600000000009</v>
      </c>
      <c r="H787" s="42">
        <v>1.6319214190981433</v>
      </c>
      <c r="I787" s="42">
        <v>1</v>
      </c>
      <c r="J787" s="42">
        <v>1.6578249336870028</v>
      </c>
      <c r="K787" s="42">
        <v>0.984375</v>
      </c>
      <c r="L787" s="42">
        <v>0.60319999999999996</v>
      </c>
      <c r="M787">
        <v>1</v>
      </c>
    </row>
    <row r="788" spans="3:13" x14ac:dyDescent="0.15">
      <c r="C788" s="43">
        <v>755</v>
      </c>
      <c r="D788" s="42">
        <v>755</v>
      </c>
      <c r="E788" s="42">
        <v>0.60399999999999998</v>
      </c>
      <c r="F788" s="42">
        <v>126</v>
      </c>
      <c r="G788" s="42">
        <v>77.311999999999998</v>
      </c>
      <c r="H788" s="42">
        <v>1.6297599337748345</v>
      </c>
      <c r="I788" s="42">
        <v>1</v>
      </c>
      <c r="J788" s="42">
        <v>1.6556291390728477</v>
      </c>
      <c r="K788" s="42">
        <v>0.984375</v>
      </c>
      <c r="L788" s="42">
        <v>0.60399999999999998</v>
      </c>
      <c r="M788">
        <v>1</v>
      </c>
    </row>
    <row r="789" spans="3:13" x14ac:dyDescent="0.15">
      <c r="C789" s="43">
        <v>756</v>
      </c>
      <c r="D789" s="42">
        <v>756</v>
      </c>
      <c r="E789" s="42">
        <v>0.6048</v>
      </c>
      <c r="F789" s="42">
        <v>126</v>
      </c>
      <c r="G789" s="42">
        <v>77.414400000000001</v>
      </c>
      <c r="H789" s="42">
        <v>1.6276041666666667</v>
      </c>
      <c r="I789" s="42">
        <v>1</v>
      </c>
      <c r="J789" s="42">
        <v>1.6534391534391535</v>
      </c>
      <c r="K789" s="42">
        <v>0.984375</v>
      </c>
      <c r="L789" s="42">
        <v>0.6048</v>
      </c>
      <c r="M789">
        <v>1</v>
      </c>
    </row>
    <row r="790" spans="3:13" x14ac:dyDescent="0.15">
      <c r="C790" s="43">
        <v>757</v>
      </c>
      <c r="D790" s="42">
        <v>757</v>
      </c>
      <c r="E790" s="42">
        <v>0.60560000000000003</v>
      </c>
      <c r="F790" s="42">
        <v>126</v>
      </c>
      <c r="G790" s="42">
        <v>77.516800000000003</v>
      </c>
      <c r="H790" s="42">
        <v>1.6254540951122853</v>
      </c>
      <c r="I790" s="42">
        <v>1</v>
      </c>
      <c r="J790" s="42">
        <v>1.6512549537648613</v>
      </c>
      <c r="K790" s="42">
        <v>0.984375</v>
      </c>
      <c r="L790" s="42">
        <v>0.60560000000000003</v>
      </c>
      <c r="M790">
        <v>1</v>
      </c>
    </row>
    <row r="791" spans="3:13" x14ac:dyDescent="0.15">
      <c r="C791" s="43">
        <v>758</v>
      </c>
      <c r="D791" s="42">
        <v>758</v>
      </c>
      <c r="E791" s="42">
        <v>0.60640000000000005</v>
      </c>
      <c r="F791" s="42">
        <v>127</v>
      </c>
      <c r="G791" s="42">
        <v>77.619200000000006</v>
      </c>
      <c r="H791" s="42">
        <v>1.6361931068601583</v>
      </c>
      <c r="I791" s="42">
        <v>1</v>
      </c>
      <c r="J791" s="42">
        <v>1.6490765171503956</v>
      </c>
      <c r="K791" s="42">
        <v>0.9921875</v>
      </c>
      <c r="L791" s="42">
        <v>0.60640000000000005</v>
      </c>
      <c r="M791">
        <v>1</v>
      </c>
    </row>
    <row r="792" spans="3:13" x14ac:dyDescent="0.15">
      <c r="C792" s="43">
        <v>759</v>
      </c>
      <c r="D792" s="42">
        <v>759</v>
      </c>
      <c r="E792" s="42">
        <v>0.60719999999999996</v>
      </c>
      <c r="F792" s="42">
        <v>127</v>
      </c>
      <c r="G792" s="42">
        <v>77.721600000000009</v>
      </c>
      <c r="H792" s="42">
        <v>1.6340373847167327</v>
      </c>
      <c r="I792" s="42">
        <v>1</v>
      </c>
      <c r="J792" s="42">
        <v>1.6469038208168645</v>
      </c>
      <c r="K792" s="42">
        <v>0.9921875</v>
      </c>
      <c r="L792" s="42">
        <v>0.60719999999999996</v>
      </c>
      <c r="M792">
        <v>1</v>
      </c>
    </row>
    <row r="793" spans="3:13" x14ac:dyDescent="0.15">
      <c r="C793" s="43">
        <v>760</v>
      </c>
      <c r="D793" s="42">
        <v>760</v>
      </c>
      <c r="E793" s="42">
        <v>0.60799999999999998</v>
      </c>
      <c r="F793" s="42">
        <v>127</v>
      </c>
      <c r="G793" s="42">
        <v>77.823999999999998</v>
      </c>
      <c r="H793" s="42">
        <v>1.6318873355263159</v>
      </c>
      <c r="I793" s="42">
        <v>1</v>
      </c>
      <c r="J793" s="42">
        <v>1.6447368421052633</v>
      </c>
      <c r="K793" s="42">
        <v>0.9921875</v>
      </c>
      <c r="L793" s="42">
        <v>0.60799999999999998</v>
      </c>
      <c r="M793">
        <v>1</v>
      </c>
    </row>
    <row r="794" spans="3:13" x14ac:dyDescent="0.15">
      <c r="C794" s="43">
        <v>761</v>
      </c>
      <c r="D794" s="42">
        <v>761</v>
      </c>
      <c r="E794" s="42">
        <v>0.60880000000000001</v>
      </c>
      <c r="F794" s="42">
        <v>127</v>
      </c>
      <c r="G794" s="42">
        <v>77.926400000000001</v>
      </c>
      <c r="H794" s="42">
        <v>1.6297429369250986</v>
      </c>
      <c r="I794" s="42">
        <v>1</v>
      </c>
      <c r="J794" s="42">
        <v>1.6425755584756898</v>
      </c>
      <c r="K794" s="42">
        <v>0.9921875</v>
      </c>
      <c r="L794" s="42">
        <v>0.60880000000000001</v>
      </c>
      <c r="M794">
        <v>1</v>
      </c>
    </row>
    <row r="795" spans="3:13" x14ac:dyDescent="0.15">
      <c r="C795" s="43">
        <v>762</v>
      </c>
      <c r="D795" s="42">
        <v>762</v>
      </c>
      <c r="E795" s="42">
        <v>0.60960000000000003</v>
      </c>
      <c r="F795" s="42">
        <v>127</v>
      </c>
      <c r="G795" s="42">
        <v>78.028800000000004</v>
      </c>
      <c r="H795" s="42">
        <v>1.6276041666666665</v>
      </c>
      <c r="I795" s="42">
        <v>1</v>
      </c>
      <c r="J795" s="42">
        <v>1.6404199475065615</v>
      </c>
      <c r="K795" s="42">
        <v>0.9921875</v>
      </c>
      <c r="L795" s="42">
        <v>0.60960000000000003</v>
      </c>
      <c r="M795">
        <v>1</v>
      </c>
    </row>
    <row r="796" spans="3:13" x14ac:dyDescent="0.15">
      <c r="C796" s="43">
        <v>763</v>
      </c>
      <c r="D796" s="42">
        <v>763</v>
      </c>
      <c r="E796" s="42">
        <v>0.61040000000000005</v>
      </c>
      <c r="F796" s="42">
        <v>127</v>
      </c>
      <c r="G796" s="42">
        <v>78.131200000000007</v>
      </c>
      <c r="H796" s="42">
        <v>1.6254710026212318</v>
      </c>
      <c r="I796" s="42">
        <v>1</v>
      </c>
      <c r="J796" s="42">
        <v>1.63826998689384</v>
      </c>
      <c r="K796" s="42">
        <v>0.9921875</v>
      </c>
      <c r="L796" s="42">
        <v>0.61040000000000005</v>
      </c>
      <c r="M796">
        <v>1</v>
      </c>
    </row>
    <row r="797" spans="3:13" x14ac:dyDescent="0.15">
      <c r="C797" s="43">
        <v>764</v>
      </c>
      <c r="D797" s="42">
        <v>764</v>
      </c>
      <c r="E797" s="42">
        <v>0.61119999999999997</v>
      </c>
      <c r="F797" s="42">
        <v>127</v>
      </c>
      <c r="G797" s="42">
        <v>78.23360000000001</v>
      </c>
      <c r="H797" s="42">
        <v>1.6233434227748691</v>
      </c>
      <c r="I797" s="42">
        <v>1</v>
      </c>
      <c r="J797" s="42">
        <v>1.6361256544502618</v>
      </c>
      <c r="K797" s="42">
        <v>0.9921875</v>
      </c>
      <c r="L797" s="42">
        <v>0.61119999999999997</v>
      </c>
      <c r="M797">
        <v>1</v>
      </c>
    </row>
    <row r="798" spans="3:13" x14ac:dyDescent="0.15">
      <c r="C798" s="43">
        <v>765</v>
      </c>
      <c r="D798" s="42">
        <v>765</v>
      </c>
      <c r="E798" s="42">
        <v>0.61199999999999999</v>
      </c>
      <c r="F798" s="42">
        <v>127</v>
      </c>
      <c r="G798" s="42">
        <v>78.335999999999999</v>
      </c>
      <c r="H798" s="42">
        <v>1.6212214052287581</v>
      </c>
      <c r="I798" s="42">
        <v>1</v>
      </c>
      <c r="J798" s="42">
        <v>1.6339869281045751</v>
      </c>
      <c r="K798" s="42">
        <v>0.9921875</v>
      </c>
      <c r="L798" s="42">
        <v>0.61199999999999999</v>
      </c>
      <c r="M798">
        <v>1</v>
      </c>
    </row>
    <row r="799" spans="3:13" x14ac:dyDescent="0.15">
      <c r="C799" s="43">
        <v>766</v>
      </c>
      <c r="D799" s="42">
        <v>766</v>
      </c>
      <c r="E799" s="42">
        <v>0.61280000000000001</v>
      </c>
      <c r="F799" s="42">
        <v>127</v>
      </c>
      <c r="G799" s="42">
        <v>78.438400000000001</v>
      </c>
      <c r="H799" s="42">
        <v>1.6191049281984333</v>
      </c>
      <c r="I799" s="42">
        <v>1</v>
      </c>
      <c r="J799" s="42">
        <v>1.6318537859007833</v>
      </c>
      <c r="K799" s="42">
        <v>0.9921875</v>
      </c>
      <c r="L799" s="42">
        <v>0.61280000000000001</v>
      </c>
      <c r="M799">
        <v>1</v>
      </c>
    </row>
    <row r="800" spans="3:13" x14ac:dyDescent="0.15">
      <c r="C800" s="43">
        <v>767</v>
      </c>
      <c r="D800" s="42">
        <v>767</v>
      </c>
      <c r="E800" s="42">
        <v>0.61360000000000003</v>
      </c>
      <c r="F800" s="42">
        <v>127</v>
      </c>
      <c r="G800" s="42">
        <v>78.540800000000004</v>
      </c>
      <c r="H800" s="42">
        <v>1.6169939700130378</v>
      </c>
      <c r="I800" s="42">
        <v>1</v>
      </c>
      <c r="J800" s="42">
        <v>1.6297262059973923</v>
      </c>
      <c r="K800" s="42">
        <v>0.9921875</v>
      </c>
      <c r="L800" s="42">
        <v>0.61360000000000003</v>
      </c>
      <c r="M800">
        <v>1</v>
      </c>
    </row>
    <row r="801" spans="3:13" x14ac:dyDescent="0.15">
      <c r="C801" s="43">
        <v>768</v>
      </c>
      <c r="D801" s="42">
        <v>768</v>
      </c>
      <c r="E801" s="42">
        <v>0.61439999999999995</v>
      </c>
      <c r="F801" s="42">
        <v>127</v>
      </c>
      <c r="G801" s="42">
        <v>78.643200000000007</v>
      </c>
      <c r="H801" s="42">
        <v>1.6148885091145835</v>
      </c>
      <c r="I801" s="42">
        <v>1</v>
      </c>
      <c r="J801" s="42">
        <v>1.6276041666666667</v>
      </c>
      <c r="K801" s="42">
        <v>0.9921875</v>
      </c>
      <c r="L801" s="42">
        <v>0.61439999999999995</v>
      </c>
      <c r="M801">
        <v>1</v>
      </c>
    </row>
    <row r="802" spans="3:13" x14ac:dyDescent="0.15">
      <c r="C802" s="43">
        <v>769</v>
      </c>
      <c r="D802" s="42">
        <v>769</v>
      </c>
      <c r="E802" s="42">
        <v>0.61519999999999997</v>
      </c>
      <c r="F802" s="42">
        <v>127</v>
      </c>
      <c r="G802" s="42">
        <v>78.74560000000001</v>
      </c>
      <c r="H802" s="42">
        <v>1.6127885240572173</v>
      </c>
      <c r="I802" s="42">
        <v>1</v>
      </c>
      <c r="J802" s="42">
        <v>1.6254876462938883</v>
      </c>
      <c r="K802" s="42">
        <v>0.9921875</v>
      </c>
      <c r="L802" s="42">
        <v>0.61519999999999997</v>
      </c>
      <c r="M802">
        <v>1</v>
      </c>
    </row>
    <row r="803" spans="3:13" x14ac:dyDescent="0.15">
      <c r="C803" s="43">
        <v>770</v>
      </c>
      <c r="D803" s="42">
        <v>770</v>
      </c>
      <c r="E803" s="42">
        <v>0.61599999999999999</v>
      </c>
      <c r="F803" s="42">
        <v>127</v>
      </c>
      <c r="G803" s="42">
        <v>78.847999999999999</v>
      </c>
      <c r="H803" s="42">
        <v>1.6106939935064934</v>
      </c>
      <c r="I803" s="42">
        <v>1</v>
      </c>
      <c r="J803" s="42">
        <v>1.6233766233766234</v>
      </c>
      <c r="K803" s="42">
        <v>0.9921875</v>
      </c>
      <c r="L803" s="42">
        <v>0.61599999999999999</v>
      </c>
      <c r="M803">
        <v>1</v>
      </c>
    </row>
    <row r="804" spans="3:13" x14ac:dyDescent="0.15">
      <c r="C804" s="43">
        <v>771</v>
      </c>
      <c r="D804" s="42">
        <v>771</v>
      </c>
      <c r="E804" s="42">
        <v>0.61680000000000001</v>
      </c>
      <c r="F804" s="42">
        <v>127</v>
      </c>
      <c r="G804" s="42">
        <v>78.950400000000002</v>
      </c>
      <c r="H804" s="42">
        <v>1.608604896238651</v>
      </c>
      <c r="I804" s="42">
        <v>1</v>
      </c>
      <c r="J804" s="42">
        <v>1.6212710765239948</v>
      </c>
      <c r="K804" s="42">
        <v>0.9921875</v>
      </c>
      <c r="L804" s="42">
        <v>0.61680000000000001</v>
      </c>
      <c r="M804">
        <v>1</v>
      </c>
    </row>
    <row r="805" spans="3:13" x14ac:dyDescent="0.15">
      <c r="C805" s="43">
        <v>772</v>
      </c>
      <c r="D805" s="42">
        <v>772</v>
      </c>
      <c r="E805" s="42">
        <v>0.61760000000000004</v>
      </c>
      <c r="F805" s="42">
        <v>127</v>
      </c>
      <c r="G805" s="42">
        <v>79.052800000000005</v>
      </c>
      <c r="H805" s="42">
        <v>1.6065212111398963</v>
      </c>
      <c r="I805" s="42">
        <v>1</v>
      </c>
      <c r="J805" s="42">
        <v>1.6191709844559585</v>
      </c>
      <c r="K805" s="42">
        <v>0.9921875</v>
      </c>
      <c r="L805" s="42">
        <v>0.61760000000000004</v>
      </c>
      <c r="M805">
        <v>1</v>
      </c>
    </row>
    <row r="806" spans="3:13" x14ac:dyDescent="0.15">
      <c r="C806" s="43">
        <v>773</v>
      </c>
      <c r="D806" s="42">
        <v>773</v>
      </c>
      <c r="E806" s="42">
        <v>0.61839999999999995</v>
      </c>
      <c r="F806" s="42">
        <v>127</v>
      </c>
      <c r="G806" s="42">
        <v>79.155200000000008</v>
      </c>
      <c r="H806" s="42">
        <v>1.6044429172056922</v>
      </c>
      <c r="I806" s="42">
        <v>1</v>
      </c>
      <c r="J806" s="42">
        <v>1.6170763260025875</v>
      </c>
      <c r="K806" s="42">
        <v>0.9921875</v>
      </c>
      <c r="L806" s="42">
        <v>0.61839999999999995</v>
      </c>
      <c r="M806">
        <v>1</v>
      </c>
    </row>
    <row r="807" spans="3:13" x14ac:dyDescent="0.15">
      <c r="C807" s="43">
        <v>774</v>
      </c>
      <c r="D807" s="42">
        <v>774</v>
      </c>
      <c r="E807" s="42">
        <v>0.61919999999999997</v>
      </c>
      <c r="F807" s="42">
        <v>127</v>
      </c>
      <c r="G807" s="42">
        <v>79.257600000000011</v>
      </c>
      <c r="H807" s="42">
        <v>1.6023699935400517</v>
      </c>
      <c r="I807" s="42">
        <v>1</v>
      </c>
      <c r="J807" s="42">
        <v>1.6149870801033592</v>
      </c>
      <c r="K807" s="42">
        <v>0.9921875</v>
      </c>
      <c r="L807" s="42">
        <v>0.61919999999999997</v>
      </c>
      <c r="M807">
        <v>1</v>
      </c>
    </row>
    <row r="808" spans="3:13" x14ac:dyDescent="0.15">
      <c r="C808" s="43">
        <v>775</v>
      </c>
      <c r="D808" s="42">
        <v>775</v>
      </c>
      <c r="E808" s="42">
        <v>0.62</v>
      </c>
      <c r="F808" s="42">
        <v>127</v>
      </c>
      <c r="G808" s="42">
        <v>79.36</v>
      </c>
      <c r="H808" s="42">
        <v>1.6003024193548387</v>
      </c>
      <c r="I808" s="42">
        <v>1</v>
      </c>
      <c r="J808" s="42">
        <v>1.6129032258064517</v>
      </c>
      <c r="K808" s="42">
        <v>0.9921875</v>
      </c>
      <c r="L808" s="42">
        <v>0.62</v>
      </c>
      <c r="M808">
        <v>1</v>
      </c>
    </row>
    <row r="809" spans="3:13" x14ac:dyDescent="0.15">
      <c r="C809" s="43">
        <v>776</v>
      </c>
      <c r="D809" s="42">
        <v>776</v>
      </c>
      <c r="E809" s="42">
        <v>0.62080000000000002</v>
      </c>
      <c r="F809" s="42">
        <v>127</v>
      </c>
      <c r="G809" s="42">
        <v>79.462400000000002</v>
      </c>
      <c r="H809" s="42">
        <v>1.5982401739690721</v>
      </c>
      <c r="I809" s="42">
        <v>1</v>
      </c>
      <c r="J809" s="42">
        <v>1.6108247422680413</v>
      </c>
      <c r="K809" s="42">
        <v>0.9921875</v>
      </c>
      <c r="L809" s="42">
        <v>0.62080000000000002</v>
      </c>
      <c r="M809">
        <v>1</v>
      </c>
    </row>
    <row r="810" spans="3:13" x14ac:dyDescent="0.15">
      <c r="C810" s="43">
        <v>777</v>
      </c>
      <c r="D810" s="42">
        <v>777</v>
      </c>
      <c r="E810" s="42">
        <v>0.62160000000000004</v>
      </c>
      <c r="F810" s="42">
        <v>127</v>
      </c>
      <c r="G810" s="42">
        <v>79.564800000000005</v>
      </c>
      <c r="H810" s="42">
        <v>1.5961832368082367</v>
      </c>
      <c r="I810" s="42">
        <v>1</v>
      </c>
      <c r="J810" s="42">
        <v>1.6087516087516087</v>
      </c>
      <c r="K810" s="42">
        <v>0.9921875</v>
      </c>
      <c r="L810" s="42">
        <v>0.62160000000000004</v>
      </c>
      <c r="M810">
        <v>1</v>
      </c>
    </row>
    <row r="811" spans="3:13" x14ac:dyDescent="0.15">
      <c r="C811" s="43">
        <v>778</v>
      </c>
      <c r="D811" s="42">
        <v>778</v>
      </c>
      <c r="E811" s="42">
        <v>0.62239999999999995</v>
      </c>
      <c r="F811" s="42">
        <v>127</v>
      </c>
      <c r="G811" s="42">
        <v>79.667200000000008</v>
      </c>
      <c r="H811" s="42">
        <v>1.5941315874035991</v>
      </c>
      <c r="I811" s="42">
        <v>1</v>
      </c>
      <c r="J811" s="42">
        <v>1.6066838046272496</v>
      </c>
      <c r="K811" s="42">
        <v>0.9921875</v>
      </c>
      <c r="L811" s="42">
        <v>0.62239999999999995</v>
      </c>
      <c r="M811">
        <v>1</v>
      </c>
    </row>
    <row r="812" spans="3:13" x14ac:dyDescent="0.15">
      <c r="C812" s="43">
        <v>779</v>
      </c>
      <c r="D812" s="42">
        <v>779</v>
      </c>
      <c r="E812" s="42">
        <v>0.62319999999999998</v>
      </c>
      <c r="F812" s="42">
        <v>127</v>
      </c>
      <c r="G812" s="42">
        <v>79.769599999999997</v>
      </c>
      <c r="H812" s="42">
        <v>1.5920852053915278</v>
      </c>
      <c r="I812" s="42">
        <v>1</v>
      </c>
      <c r="J812" s="42">
        <v>1.6046213093709885</v>
      </c>
      <c r="K812" s="42">
        <v>0.9921875</v>
      </c>
      <c r="L812" s="42">
        <v>0.62319999999999998</v>
      </c>
      <c r="M812">
        <v>1</v>
      </c>
    </row>
    <row r="813" spans="3:13" x14ac:dyDescent="0.15">
      <c r="C813" s="43">
        <v>780</v>
      </c>
      <c r="D813" s="42">
        <v>780</v>
      </c>
      <c r="E813" s="42">
        <v>0.624</v>
      </c>
      <c r="F813" s="42">
        <v>127</v>
      </c>
      <c r="G813" s="42">
        <v>79.872</v>
      </c>
      <c r="H813" s="42">
        <v>1.5900440705128205</v>
      </c>
      <c r="I813" s="42">
        <v>1</v>
      </c>
      <c r="J813" s="42">
        <v>1.6025641025641026</v>
      </c>
      <c r="K813" s="42">
        <v>0.9921875</v>
      </c>
      <c r="L813" s="42">
        <v>0.624</v>
      </c>
      <c r="M813">
        <v>1</v>
      </c>
    </row>
    <row r="814" spans="3:13" x14ac:dyDescent="0.15">
      <c r="C814" s="43">
        <v>781</v>
      </c>
      <c r="D814" s="42">
        <v>781</v>
      </c>
      <c r="E814" s="42">
        <v>0.62480000000000002</v>
      </c>
      <c r="F814" s="42">
        <v>127</v>
      </c>
      <c r="G814" s="42">
        <v>79.974400000000003</v>
      </c>
      <c r="H814" s="42">
        <v>1.5880081626120357</v>
      </c>
      <c r="I814" s="42">
        <v>1</v>
      </c>
      <c r="J814" s="42">
        <v>1.6005121638924455</v>
      </c>
      <c r="K814" s="42">
        <v>0.9921875</v>
      </c>
      <c r="L814" s="42">
        <v>0.62480000000000002</v>
      </c>
      <c r="M814">
        <v>1</v>
      </c>
    </row>
    <row r="815" spans="3:13" x14ac:dyDescent="0.15">
      <c r="C815" s="43">
        <v>782</v>
      </c>
      <c r="D815" s="42">
        <v>782</v>
      </c>
      <c r="E815" s="42">
        <v>0.62560000000000004</v>
      </c>
      <c r="F815" s="42">
        <v>127</v>
      </c>
      <c r="G815" s="42">
        <v>80.076800000000006</v>
      </c>
      <c r="H815" s="42">
        <v>1.5859774616368285</v>
      </c>
      <c r="I815" s="42">
        <v>1</v>
      </c>
      <c r="J815" s="42">
        <v>1.5984654731457799</v>
      </c>
      <c r="K815" s="42">
        <v>0.9921875</v>
      </c>
      <c r="L815" s="42">
        <v>0.62560000000000004</v>
      </c>
      <c r="M815">
        <v>1</v>
      </c>
    </row>
    <row r="816" spans="3:13" x14ac:dyDescent="0.15">
      <c r="C816" s="43">
        <v>783</v>
      </c>
      <c r="D816" s="42">
        <v>783</v>
      </c>
      <c r="E816" s="42">
        <v>0.62639999999999996</v>
      </c>
      <c r="F816" s="42">
        <v>127</v>
      </c>
      <c r="G816" s="42">
        <v>80.179200000000009</v>
      </c>
      <c r="H816" s="42">
        <v>1.5839519476372925</v>
      </c>
      <c r="I816" s="42">
        <v>1</v>
      </c>
      <c r="J816" s="42">
        <v>1.5964240102171137</v>
      </c>
      <c r="K816" s="42">
        <v>0.9921875</v>
      </c>
      <c r="L816" s="42">
        <v>0.62639999999999996</v>
      </c>
      <c r="M816">
        <v>1</v>
      </c>
    </row>
    <row r="817" spans="3:13" x14ac:dyDescent="0.15">
      <c r="C817" s="43">
        <v>784</v>
      </c>
      <c r="D817" s="42">
        <v>784</v>
      </c>
      <c r="E817" s="42">
        <v>0.62719999999999998</v>
      </c>
      <c r="F817" s="42">
        <v>127</v>
      </c>
      <c r="G817" s="42">
        <v>80.281599999999997</v>
      </c>
      <c r="H817" s="42">
        <v>1.5819316007653061</v>
      </c>
      <c r="I817" s="42">
        <v>1</v>
      </c>
      <c r="J817" s="42">
        <v>1.5943877551020409</v>
      </c>
      <c r="K817" s="42">
        <v>0.9921875</v>
      </c>
      <c r="L817" s="42">
        <v>0.62719999999999998</v>
      </c>
      <c r="M817">
        <v>1</v>
      </c>
    </row>
    <row r="818" spans="3:13" x14ac:dyDescent="0.15">
      <c r="C818" s="43">
        <v>785</v>
      </c>
      <c r="D818" s="42">
        <v>785</v>
      </c>
      <c r="E818" s="42">
        <v>0.628</v>
      </c>
      <c r="F818" s="42">
        <v>127</v>
      </c>
      <c r="G818" s="42">
        <v>80.384</v>
      </c>
      <c r="H818" s="42">
        <v>1.5799164012738853</v>
      </c>
      <c r="I818" s="42">
        <v>1</v>
      </c>
      <c r="J818" s="42">
        <v>1.5923566878980893</v>
      </c>
      <c r="K818" s="42">
        <v>0.9921875</v>
      </c>
      <c r="L818" s="42">
        <v>0.628</v>
      </c>
      <c r="M818">
        <v>1</v>
      </c>
    </row>
    <row r="819" spans="3:13" x14ac:dyDescent="0.15">
      <c r="C819" s="43">
        <v>786</v>
      </c>
      <c r="D819" s="42">
        <v>786</v>
      </c>
      <c r="E819" s="42">
        <v>0.62880000000000003</v>
      </c>
      <c r="F819" s="42">
        <v>127</v>
      </c>
      <c r="G819" s="42">
        <v>80.486400000000003</v>
      </c>
      <c r="H819" s="42">
        <v>1.5779063295165394</v>
      </c>
      <c r="I819" s="42">
        <v>1</v>
      </c>
      <c r="J819" s="42">
        <v>1.5903307888040712</v>
      </c>
      <c r="K819" s="42">
        <v>0.9921875</v>
      </c>
      <c r="L819" s="42">
        <v>0.62880000000000003</v>
      </c>
      <c r="M819">
        <v>1</v>
      </c>
    </row>
    <row r="820" spans="3:13" x14ac:dyDescent="0.15">
      <c r="C820" s="43">
        <v>787</v>
      </c>
      <c r="D820" s="42">
        <v>787</v>
      </c>
      <c r="E820" s="42">
        <v>0.62960000000000005</v>
      </c>
      <c r="F820" s="42">
        <v>127</v>
      </c>
      <c r="G820" s="42">
        <v>80.588800000000006</v>
      </c>
      <c r="H820" s="42">
        <v>1.5759013659466328</v>
      </c>
      <c r="I820" s="42">
        <v>1</v>
      </c>
      <c r="J820" s="42">
        <v>1.5883100381194408</v>
      </c>
      <c r="K820" s="42">
        <v>0.9921875</v>
      </c>
      <c r="L820" s="42">
        <v>0.62960000000000005</v>
      </c>
      <c r="M820">
        <v>1</v>
      </c>
    </row>
    <row r="821" spans="3:13" x14ac:dyDescent="0.15">
      <c r="C821" s="43">
        <v>788</v>
      </c>
      <c r="D821" s="42">
        <v>788</v>
      </c>
      <c r="E821" s="42">
        <v>0.63039999999999996</v>
      </c>
      <c r="F821" s="42">
        <v>127</v>
      </c>
      <c r="G821" s="42">
        <v>80.691200000000009</v>
      </c>
      <c r="H821" s="42">
        <v>1.5739014911167513</v>
      </c>
      <c r="I821" s="42">
        <v>1</v>
      </c>
      <c r="J821" s="42">
        <v>1.586294416243655</v>
      </c>
      <c r="K821" s="42">
        <v>0.9921875</v>
      </c>
      <c r="L821" s="42">
        <v>0.63039999999999996</v>
      </c>
      <c r="M821">
        <v>1</v>
      </c>
    </row>
    <row r="822" spans="3:13" x14ac:dyDescent="0.15">
      <c r="C822" s="43">
        <v>789</v>
      </c>
      <c r="D822" s="42">
        <v>789</v>
      </c>
      <c r="E822" s="42">
        <v>0.63119999999999998</v>
      </c>
      <c r="F822" s="42">
        <v>127</v>
      </c>
      <c r="G822" s="42">
        <v>80.793599999999998</v>
      </c>
      <c r="H822" s="42">
        <v>1.5719066856780735</v>
      </c>
      <c r="I822" s="42">
        <v>1</v>
      </c>
      <c r="J822" s="42">
        <v>1.5842839036755387</v>
      </c>
      <c r="K822" s="42">
        <v>0.9921875</v>
      </c>
      <c r="L822" s="42">
        <v>0.63119999999999998</v>
      </c>
      <c r="M822">
        <v>1</v>
      </c>
    </row>
    <row r="823" spans="3:13" x14ac:dyDescent="0.15">
      <c r="C823" s="43">
        <v>790</v>
      </c>
      <c r="D823" s="42">
        <v>790</v>
      </c>
      <c r="E823" s="42">
        <v>0.63200000000000001</v>
      </c>
      <c r="F823" s="42">
        <v>127</v>
      </c>
      <c r="G823" s="42">
        <v>80.896000000000001</v>
      </c>
      <c r="H823" s="42">
        <v>1.5699169303797469</v>
      </c>
      <c r="I823" s="42">
        <v>1</v>
      </c>
      <c r="J823" s="42">
        <v>1.5822784810126582</v>
      </c>
      <c r="K823" s="42">
        <v>0.9921875</v>
      </c>
      <c r="L823" s="42">
        <v>0.63200000000000001</v>
      </c>
      <c r="M823">
        <v>1</v>
      </c>
    </row>
    <row r="824" spans="3:13" x14ac:dyDescent="0.15">
      <c r="C824" s="43">
        <v>791</v>
      </c>
      <c r="D824" s="42">
        <v>791</v>
      </c>
      <c r="E824" s="42">
        <v>0.63280000000000003</v>
      </c>
      <c r="F824" s="42">
        <v>127</v>
      </c>
      <c r="G824" s="42">
        <v>80.998400000000004</v>
      </c>
      <c r="H824" s="42">
        <v>1.5679322060682679</v>
      </c>
      <c r="I824" s="42">
        <v>1</v>
      </c>
      <c r="J824" s="42">
        <v>1.5802781289506953</v>
      </c>
      <c r="K824" s="42">
        <v>0.9921875</v>
      </c>
      <c r="L824" s="42">
        <v>0.63280000000000003</v>
      </c>
      <c r="M824">
        <v>1</v>
      </c>
    </row>
    <row r="825" spans="3:13" x14ac:dyDescent="0.15">
      <c r="C825" s="43">
        <v>792</v>
      </c>
      <c r="D825" s="42">
        <v>792</v>
      </c>
      <c r="E825" s="42">
        <v>0.63360000000000005</v>
      </c>
      <c r="F825" s="42">
        <v>127</v>
      </c>
      <c r="G825" s="42">
        <v>81.100800000000007</v>
      </c>
      <c r="H825" s="42">
        <v>1.5659524936868685</v>
      </c>
      <c r="I825" s="42">
        <v>1</v>
      </c>
      <c r="J825" s="42">
        <v>1.5782828282828281</v>
      </c>
      <c r="K825" s="42">
        <v>0.9921875</v>
      </c>
      <c r="L825" s="42">
        <v>0.63360000000000005</v>
      </c>
      <c r="M825">
        <v>1</v>
      </c>
    </row>
    <row r="826" spans="3:13" x14ac:dyDescent="0.15">
      <c r="C826" s="43">
        <v>793</v>
      </c>
      <c r="D826" s="42">
        <v>793</v>
      </c>
      <c r="E826" s="42">
        <v>0.63439999999999996</v>
      </c>
      <c r="F826" s="42">
        <v>127</v>
      </c>
      <c r="G826" s="42">
        <v>81.20320000000001</v>
      </c>
      <c r="H826" s="42">
        <v>1.5639777742749055</v>
      </c>
      <c r="I826" s="42">
        <v>1</v>
      </c>
      <c r="J826" s="42">
        <v>1.5762925598991173</v>
      </c>
      <c r="K826" s="42">
        <v>0.9921875</v>
      </c>
      <c r="L826" s="42">
        <v>0.63439999999999996</v>
      </c>
      <c r="M826">
        <v>1</v>
      </c>
    </row>
    <row r="827" spans="3:13" x14ac:dyDescent="0.15">
      <c r="C827" s="43">
        <v>794</v>
      </c>
      <c r="D827" s="42">
        <v>794</v>
      </c>
      <c r="E827" s="42">
        <v>0.63519999999999999</v>
      </c>
      <c r="F827" s="42">
        <v>127</v>
      </c>
      <c r="G827" s="42">
        <v>81.305599999999998</v>
      </c>
      <c r="H827" s="42">
        <v>1.5620080289672544</v>
      </c>
      <c r="I827" s="42">
        <v>1</v>
      </c>
      <c r="J827" s="42">
        <v>1.5743073047858942</v>
      </c>
      <c r="K827" s="42">
        <v>0.9921875</v>
      </c>
      <c r="L827" s="42">
        <v>0.63519999999999999</v>
      </c>
      <c r="M827">
        <v>1</v>
      </c>
    </row>
    <row r="828" spans="3:13" x14ac:dyDescent="0.15">
      <c r="C828" s="43">
        <v>795</v>
      </c>
      <c r="D828" s="42">
        <v>795</v>
      </c>
      <c r="E828" s="42">
        <v>0.63600000000000001</v>
      </c>
      <c r="F828" s="42">
        <v>127</v>
      </c>
      <c r="G828" s="42">
        <v>81.408000000000001</v>
      </c>
      <c r="H828" s="42">
        <v>1.5600432389937107</v>
      </c>
      <c r="I828" s="42">
        <v>1</v>
      </c>
      <c r="J828" s="42">
        <v>1.5723270440251571</v>
      </c>
      <c r="K828" s="42">
        <v>0.9921875</v>
      </c>
      <c r="L828" s="42">
        <v>0.63600000000000001</v>
      </c>
      <c r="M828">
        <v>1</v>
      </c>
    </row>
    <row r="829" spans="3:13" x14ac:dyDescent="0.15">
      <c r="C829" s="43">
        <v>796</v>
      </c>
      <c r="D829" s="42">
        <v>796</v>
      </c>
      <c r="E829" s="42">
        <v>0.63680000000000003</v>
      </c>
      <c r="F829" s="42">
        <v>127</v>
      </c>
      <c r="G829" s="42">
        <v>81.510400000000004</v>
      </c>
      <c r="H829" s="42">
        <v>1.5580833856783918</v>
      </c>
      <c r="I829" s="42">
        <v>1</v>
      </c>
      <c r="J829" s="42">
        <v>1.5703517587939697</v>
      </c>
      <c r="K829" s="42">
        <v>0.9921875</v>
      </c>
      <c r="L829" s="42">
        <v>0.63680000000000003</v>
      </c>
      <c r="M829">
        <v>1</v>
      </c>
    </row>
    <row r="830" spans="3:13" x14ac:dyDescent="0.15">
      <c r="C830" s="43">
        <v>797</v>
      </c>
      <c r="D830" s="42">
        <v>797</v>
      </c>
      <c r="E830" s="42">
        <v>0.63759999999999994</v>
      </c>
      <c r="F830" s="42">
        <v>127</v>
      </c>
      <c r="G830" s="42">
        <v>81.612799999999993</v>
      </c>
      <c r="H830" s="42">
        <v>1.5561284504391468</v>
      </c>
      <c r="I830" s="42">
        <v>1</v>
      </c>
      <c r="J830" s="42">
        <v>1.5683814303638646</v>
      </c>
      <c r="K830" s="42">
        <v>0.9921875</v>
      </c>
      <c r="L830" s="42">
        <v>0.63759999999999994</v>
      </c>
      <c r="M830">
        <v>1</v>
      </c>
    </row>
    <row r="831" spans="3:13" x14ac:dyDescent="0.15">
      <c r="C831" s="43">
        <v>798</v>
      </c>
      <c r="D831" s="42">
        <v>798</v>
      </c>
      <c r="E831" s="42">
        <v>0.63839999999999997</v>
      </c>
      <c r="F831" s="42">
        <v>127</v>
      </c>
      <c r="G831" s="42">
        <v>81.71520000000001</v>
      </c>
      <c r="H831" s="42">
        <v>1.5541784147869675</v>
      </c>
      <c r="I831" s="42">
        <v>1</v>
      </c>
      <c r="J831" s="42">
        <v>1.5664160401002507</v>
      </c>
      <c r="K831" s="42">
        <v>0.9921875</v>
      </c>
      <c r="L831" s="42">
        <v>0.63839999999999997</v>
      </c>
      <c r="M831">
        <v>1</v>
      </c>
    </row>
    <row r="832" spans="3:13" x14ac:dyDescent="0.15">
      <c r="C832" s="43">
        <v>799</v>
      </c>
      <c r="D832" s="42">
        <v>799</v>
      </c>
      <c r="E832" s="42">
        <v>0.63919999999999999</v>
      </c>
      <c r="F832" s="42">
        <v>127</v>
      </c>
      <c r="G832" s="42">
        <v>81.817599999999999</v>
      </c>
      <c r="H832" s="42">
        <v>1.5522332603254068</v>
      </c>
      <c r="I832" s="42">
        <v>1</v>
      </c>
      <c r="J832" s="42">
        <v>1.5644555694618274</v>
      </c>
      <c r="K832" s="42">
        <v>0.9921875</v>
      </c>
      <c r="L832" s="42">
        <v>0.63919999999999999</v>
      </c>
      <c r="M832">
        <v>1</v>
      </c>
    </row>
    <row r="833" spans="3:13" x14ac:dyDescent="0.15">
      <c r="C833" s="43">
        <v>800</v>
      </c>
      <c r="D833" s="42">
        <v>800</v>
      </c>
      <c r="E833" s="42">
        <v>0.64</v>
      </c>
      <c r="F833" s="42">
        <v>127</v>
      </c>
      <c r="G833" s="42">
        <v>81.92</v>
      </c>
      <c r="H833" s="42">
        <v>1.55029296875</v>
      </c>
      <c r="I833" s="42">
        <v>1</v>
      </c>
      <c r="J833" s="42">
        <v>1.5625</v>
      </c>
      <c r="K833" s="42">
        <v>0.9921875</v>
      </c>
      <c r="L833" s="42">
        <v>0.64</v>
      </c>
      <c r="M833">
        <v>1</v>
      </c>
    </row>
    <row r="834" spans="3:13" x14ac:dyDescent="0.15">
      <c r="C834" s="43">
        <v>801</v>
      </c>
      <c r="D834" s="42">
        <v>801</v>
      </c>
      <c r="E834" s="42">
        <v>0.64080000000000004</v>
      </c>
      <c r="F834" s="42">
        <v>127</v>
      </c>
      <c r="G834" s="42">
        <v>82.022400000000005</v>
      </c>
      <c r="H834" s="42">
        <v>1.5483575218476904</v>
      </c>
      <c r="I834" s="42">
        <v>1</v>
      </c>
      <c r="J834" s="42">
        <v>1.5605493133583019</v>
      </c>
      <c r="K834" s="42">
        <v>0.9921875</v>
      </c>
      <c r="L834" s="42">
        <v>0.64080000000000004</v>
      </c>
      <c r="M834">
        <v>1</v>
      </c>
    </row>
    <row r="835" spans="3:13" x14ac:dyDescent="0.15">
      <c r="C835" s="43">
        <v>802</v>
      </c>
      <c r="D835" s="42">
        <v>802</v>
      </c>
      <c r="E835" s="42">
        <v>0.64159999999999995</v>
      </c>
      <c r="F835" s="42">
        <v>127</v>
      </c>
      <c r="G835" s="42">
        <v>82.124800000000008</v>
      </c>
      <c r="H835" s="42">
        <v>1.5464269014962595</v>
      </c>
      <c r="I835" s="42">
        <v>1</v>
      </c>
      <c r="J835" s="42">
        <v>1.5586034912718205</v>
      </c>
      <c r="K835" s="42">
        <v>0.9921875</v>
      </c>
      <c r="L835" s="42">
        <v>0.64159999999999995</v>
      </c>
      <c r="M835">
        <v>1</v>
      </c>
    </row>
    <row r="836" spans="3:13" x14ac:dyDescent="0.15">
      <c r="C836" s="43">
        <v>803</v>
      </c>
      <c r="D836" s="42">
        <v>803</v>
      </c>
      <c r="E836" s="42">
        <v>0.64239999999999997</v>
      </c>
      <c r="F836" s="42">
        <v>127</v>
      </c>
      <c r="G836" s="42">
        <v>82.227200000000011</v>
      </c>
      <c r="H836" s="42">
        <v>1.544501089663761</v>
      </c>
      <c r="I836" s="42">
        <v>1</v>
      </c>
      <c r="J836" s="42">
        <v>1.5566625155666252</v>
      </c>
      <c r="K836" s="42">
        <v>0.9921875</v>
      </c>
      <c r="L836" s="42">
        <v>0.64239999999999997</v>
      </c>
      <c r="M836">
        <v>1</v>
      </c>
    </row>
    <row r="837" spans="3:13" x14ac:dyDescent="0.15">
      <c r="C837" s="43">
        <v>804</v>
      </c>
      <c r="D837" s="42">
        <v>804</v>
      </c>
      <c r="E837" s="42">
        <v>0.64319999999999999</v>
      </c>
      <c r="F837" s="42">
        <v>127</v>
      </c>
      <c r="G837" s="42">
        <v>82.329599999999999</v>
      </c>
      <c r="H837" s="42">
        <v>1.5425800684079602</v>
      </c>
      <c r="I837" s="42">
        <v>1</v>
      </c>
      <c r="J837" s="42">
        <v>1.5547263681592041</v>
      </c>
      <c r="K837" s="42">
        <v>0.9921875</v>
      </c>
      <c r="L837" s="42">
        <v>0.64319999999999999</v>
      </c>
      <c r="M837">
        <v>1</v>
      </c>
    </row>
    <row r="838" spans="3:13" x14ac:dyDescent="0.15">
      <c r="C838" s="43">
        <v>805</v>
      </c>
      <c r="D838" s="42">
        <v>805</v>
      </c>
      <c r="E838" s="42">
        <v>0.64400000000000002</v>
      </c>
      <c r="F838" s="42">
        <v>127</v>
      </c>
      <c r="G838" s="42">
        <v>82.432000000000002</v>
      </c>
      <c r="H838" s="42">
        <v>1.5406638198757763</v>
      </c>
      <c r="I838" s="42">
        <v>1</v>
      </c>
      <c r="J838" s="42">
        <v>1.5527950310559007</v>
      </c>
      <c r="K838" s="42">
        <v>0.9921875</v>
      </c>
      <c r="L838" s="42">
        <v>0.64400000000000002</v>
      </c>
      <c r="M838">
        <v>1</v>
      </c>
    </row>
    <row r="839" spans="3:13" x14ac:dyDescent="0.15">
      <c r="C839" s="43">
        <v>806</v>
      </c>
      <c r="D839" s="42">
        <v>806</v>
      </c>
      <c r="E839" s="42">
        <v>0.64480000000000004</v>
      </c>
      <c r="F839" s="42">
        <v>127</v>
      </c>
      <c r="G839" s="42">
        <v>82.534400000000005</v>
      </c>
      <c r="H839" s="42">
        <v>1.5387523263027294</v>
      </c>
      <c r="I839" s="42">
        <v>1</v>
      </c>
      <c r="J839" s="42">
        <v>1.5508684863523572</v>
      </c>
      <c r="K839" s="42">
        <v>0.9921875</v>
      </c>
      <c r="L839" s="42">
        <v>0.64480000000000004</v>
      </c>
      <c r="M839">
        <v>1</v>
      </c>
    </row>
    <row r="840" spans="3:13" x14ac:dyDescent="0.15">
      <c r="C840" s="43">
        <v>807</v>
      </c>
      <c r="D840" s="42">
        <v>807</v>
      </c>
      <c r="E840" s="42">
        <v>0.64559999999999995</v>
      </c>
      <c r="F840" s="42">
        <v>127</v>
      </c>
      <c r="G840" s="42">
        <v>82.636800000000008</v>
      </c>
      <c r="H840" s="42">
        <v>1.5368455700123917</v>
      </c>
      <c r="I840" s="42">
        <v>1</v>
      </c>
      <c r="J840" s="42">
        <v>1.5489467162329618</v>
      </c>
      <c r="K840" s="42">
        <v>0.9921875</v>
      </c>
      <c r="L840" s="42">
        <v>0.64559999999999995</v>
      </c>
      <c r="M840">
        <v>1</v>
      </c>
    </row>
    <row r="841" spans="3:13" x14ac:dyDescent="0.15">
      <c r="C841" s="43">
        <v>808</v>
      </c>
      <c r="D841" s="42">
        <v>808</v>
      </c>
      <c r="E841" s="42">
        <v>0.64639999999999997</v>
      </c>
      <c r="F841" s="42">
        <v>127</v>
      </c>
      <c r="G841" s="42">
        <v>82.739200000000011</v>
      </c>
      <c r="H841" s="42">
        <v>1.5349435334158417</v>
      </c>
      <c r="I841" s="42">
        <v>1</v>
      </c>
      <c r="J841" s="42">
        <v>1.5470297029702971</v>
      </c>
      <c r="K841" s="42">
        <v>0.9921875</v>
      </c>
      <c r="L841" s="42">
        <v>0.64639999999999997</v>
      </c>
      <c r="M841">
        <v>1</v>
      </c>
    </row>
    <row r="842" spans="3:13" x14ac:dyDescent="0.15">
      <c r="C842" s="43">
        <v>809</v>
      </c>
      <c r="D842" s="42">
        <v>809</v>
      </c>
      <c r="E842" s="42">
        <v>0.6472</v>
      </c>
      <c r="F842" s="42">
        <v>127</v>
      </c>
      <c r="G842" s="42">
        <v>82.8416</v>
      </c>
      <c r="H842" s="42">
        <v>1.5330461990111248</v>
      </c>
      <c r="I842" s="42">
        <v>1</v>
      </c>
      <c r="J842" s="42">
        <v>1.5451174289245984</v>
      </c>
      <c r="K842" s="42">
        <v>0.9921875</v>
      </c>
      <c r="L842" s="42">
        <v>0.6472</v>
      </c>
      <c r="M842">
        <v>1</v>
      </c>
    </row>
    <row r="843" spans="3:13" x14ac:dyDescent="0.15">
      <c r="C843" s="43">
        <v>810</v>
      </c>
      <c r="D843" s="42">
        <v>810</v>
      </c>
      <c r="E843" s="42">
        <v>0.64800000000000002</v>
      </c>
      <c r="F843" s="42">
        <v>127</v>
      </c>
      <c r="G843" s="42">
        <v>82.944000000000003</v>
      </c>
      <c r="H843" s="42">
        <v>1.531153549382716</v>
      </c>
      <c r="I843" s="42">
        <v>1</v>
      </c>
      <c r="J843" s="42">
        <v>1.5432098765432098</v>
      </c>
      <c r="K843" s="42">
        <v>0.9921875</v>
      </c>
      <c r="L843" s="42">
        <v>0.64800000000000002</v>
      </c>
      <c r="M843">
        <v>1</v>
      </c>
    </row>
    <row r="844" spans="3:13" x14ac:dyDescent="0.15">
      <c r="C844" s="43">
        <v>811</v>
      </c>
      <c r="D844" s="42">
        <v>811</v>
      </c>
      <c r="E844" s="42">
        <v>0.64880000000000004</v>
      </c>
      <c r="F844" s="42">
        <v>127</v>
      </c>
      <c r="G844" s="42">
        <v>83.046400000000006</v>
      </c>
      <c r="H844" s="42">
        <v>1.5292655672009863</v>
      </c>
      <c r="I844" s="42">
        <v>1</v>
      </c>
      <c r="J844" s="42">
        <v>1.5413070283600492</v>
      </c>
      <c r="K844" s="42">
        <v>0.9921875</v>
      </c>
      <c r="L844" s="42">
        <v>0.64880000000000004</v>
      </c>
      <c r="M844">
        <v>1</v>
      </c>
    </row>
    <row r="845" spans="3:13" x14ac:dyDescent="0.15">
      <c r="C845" s="43">
        <v>812</v>
      </c>
      <c r="D845" s="42">
        <v>812</v>
      </c>
      <c r="E845" s="42">
        <v>0.64959999999999996</v>
      </c>
      <c r="F845" s="42">
        <v>127</v>
      </c>
      <c r="G845" s="42">
        <v>83.148800000000008</v>
      </c>
      <c r="H845" s="42">
        <v>1.527382235221675</v>
      </c>
      <c r="I845" s="42">
        <v>1</v>
      </c>
      <c r="J845" s="42">
        <v>1.5394088669950741</v>
      </c>
      <c r="K845" s="42">
        <v>0.9921875</v>
      </c>
      <c r="L845" s="42">
        <v>0.64959999999999996</v>
      </c>
      <c r="M845">
        <v>1</v>
      </c>
    </row>
    <row r="846" spans="3:13" x14ac:dyDescent="0.15">
      <c r="C846" s="43">
        <v>813</v>
      </c>
      <c r="D846" s="42">
        <v>813</v>
      </c>
      <c r="E846" s="42">
        <v>0.65039999999999998</v>
      </c>
      <c r="F846" s="42">
        <v>127</v>
      </c>
      <c r="G846" s="42">
        <v>83.251199999999997</v>
      </c>
      <c r="H846" s="42">
        <v>1.5255035362853628</v>
      </c>
      <c r="I846" s="42">
        <v>1</v>
      </c>
      <c r="J846" s="42">
        <v>1.5375153751537516</v>
      </c>
      <c r="K846" s="42">
        <v>0.9921875</v>
      </c>
      <c r="L846" s="42">
        <v>0.65039999999999998</v>
      </c>
      <c r="M846">
        <v>1</v>
      </c>
    </row>
    <row r="847" spans="3:13" x14ac:dyDescent="0.15">
      <c r="C847" s="43">
        <v>814</v>
      </c>
      <c r="D847" s="42">
        <v>814</v>
      </c>
      <c r="E847" s="42">
        <v>0.6512</v>
      </c>
      <c r="F847" s="42">
        <v>127</v>
      </c>
      <c r="G847" s="42">
        <v>83.3536</v>
      </c>
      <c r="H847" s="42">
        <v>1.5236294533169532</v>
      </c>
      <c r="I847" s="42">
        <v>1</v>
      </c>
      <c r="J847" s="42">
        <v>1.5356265356265357</v>
      </c>
      <c r="K847" s="42">
        <v>0.9921875</v>
      </c>
      <c r="L847" s="42">
        <v>0.6512</v>
      </c>
      <c r="M847">
        <v>1</v>
      </c>
    </row>
    <row r="848" spans="3:13" x14ac:dyDescent="0.15">
      <c r="C848" s="43">
        <v>815</v>
      </c>
      <c r="D848" s="42">
        <v>815</v>
      </c>
      <c r="E848" s="42">
        <v>0.65200000000000002</v>
      </c>
      <c r="F848" s="42">
        <v>127</v>
      </c>
      <c r="G848" s="42">
        <v>83.456000000000003</v>
      </c>
      <c r="H848" s="42">
        <v>1.5217599693251533</v>
      </c>
      <c r="I848" s="42">
        <v>1</v>
      </c>
      <c r="J848" s="42">
        <v>1.5337423312883436</v>
      </c>
      <c r="K848" s="42">
        <v>0.9921875</v>
      </c>
      <c r="L848" s="42">
        <v>0.65200000000000002</v>
      </c>
      <c r="M848">
        <v>1</v>
      </c>
    </row>
    <row r="849" spans="3:13" x14ac:dyDescent="0.15">
      <c r="C849" s="43">
        <v>816</v>
      </c>
      <c r="D849" s="42">
        <v>816</v>
      </c>
      <c r="E849" s="42">
        <v>0.65280000000000005</v>
      </c>
      <c r="F849" s="42">
        <v>127</v>
      </c>
      <c r="G849" s="42">
        <v>83.558400000000006</v>
      </c>
      <c r="H849" s="42">
        <v>1.5198950674019607</v>
      </c>
      <c r="I849" s="42">
        <v>1</v>
      </c>
      <c r="J849" s="42">
        <v>1.5318627450980391</v>
      </c>
      <c r="K849" s="42">
        <v>0.9921875</v>
      </c>
      <c r="L849" s="42">
        <v>0.65280000000000005</v>
      </c>
      <c r="M849">
        <v>1</v>
      </c>
    </row>
    <row r="850" spans="3:13" x14ac:dyDescent="0.15">
      <c r="C850" s="43">
        <v>817</v>
      </c>
      <c r="D850" s="42">
        <v>817</v>
      </c>
      <c r="E850" s="42">
        <v>0.65359999999999996</v>
      </c>
      <c r="F850" s="42">
        <v>127</v>
      </c>
      <c r="G850" s="42">
        <v>83.660800000000009</v>
      </c>
      <c r="H850" s="42">
        <v>1.5180347307221542</v>
      </c>
      <c r="I850" s="42">
        <v>1</v>
      </c>
      <c r="J850" s="42">
        <v>1.5299877600979193</v>
      </c>
      <c r="K850" s="42">
        <v>0.9921875</v>
      </c>
      <c r="L850" s="42">
        <v>0.65359999999999996</v>
      </c>
      <c r="M850">
        <v>1</v>
      </c>
    </row>
    <row r="851" spans="3:13" x14ac:dyDescent="0.15">
      <c r="C851" s="43">
        <v>818</v>
      </c>
      <c r="D851" s="42">
        <v>818</v>
      </c>
      <c r="E851" s="42">
        <v>0.65439999999999998</v>
      </c>
      <c r="F851" s="42">
        <v>127</v>
      </c>
      <c r="G851" s="42">
        <v>83.763199999999998</v>
      </c>
      <c r="H851" s="42">
        <v>1.5161789425427874</v>
      </c>
      <c r="I851" s="42">
        <v>1</v>
      </c>
      <c r="J851" s="42">
        <v>1.5281173594132029</v>
      </c>
      <c r="K851" s="42">
        <v>0.9921875</v>
      </c>
      <c r="L851" s="42">
        <v>0.65439999999999998</v>
      </c>
      <c r="M851">
        <v>1</v>
      </c>
    </row>
    <row r="852" spans="3:13" x14ac:dyDescent="0.15">
      <c r="C852" s="43">
        <v>819</v>
      </c>
      <c r="D852" s="42">
        <v>819</v>
      </c>
      <c r="E852" s="42">
        <v>0.6552</v>
      </c>
      <c r="F852" s="42">
        <v>127</v>
      </c>
      <c r="G852" s="42">
        <v>83.865600000000001</v>
      </c>
      <c r="H852" s="42">
        <v>1.5143276862026862</v>
      </c>
      <c r="I852" s="42">
        <v>1</v>
      </c>
      <c r="J852" s="42">
        <v>1.5262515262515262</v>
      </c>
      <c r="K852" s="42">
        <v>0.9921875</v>
      </c>
      <c r="L852" s="42">
        <v>0.6552</v>
      </c>
      <c r="M852">
        <v>1</v>
      </c>
    </row>
    <row r="853" spans="3:13" x14ac:dyDescent="0.15">
      <c r="C853" s="43">
        <v>820</v>
      </c>
      <c r="D853" s="42">
        <v>820</v>
      </c>
      <c r="E853" s="42">
        <v>0.65600000000000003</v>
      </c>
      <c r="F853" s="42">
        <v>127</v>
      </c>
      <c r="G853" s="42">
        <v>83.968000000000004</v>
      </c>
      <c r="H853" s="42">
        <v>1.5124809451219512</v>
      </c>
      <c r="I853" s="42">
        <v>1</v>
      </c>
      <c r="J853" s="42">
        <v>1.524390243902439</v>
      </c>
      <c r="K853" s="42">
        <v>0.9921875</v>
      </c>
      <c r="L853" s="42">
        <v>0.65600000000000003</v>
      </c>
      <c r="M853">
        <v>1</v>
      </c>
    </row>
    <row r="854" spans="3:13" x14ac:dyDescent="0.15">
      <c r="C854" s="43">
        <v>821</v>
      </c>
      <c r="D854" s="42">
        <v>821</v>
      </c>
      <c r="E854" s="42">
        <v>0.65680000000000005</v>
      </c>
      <c r="F854" s="42">
        <v>127</v>
      </c>
      <c r="G854" s="42">
        <v>84.070400000000006</v>
      </c>
      <c r="H854" s="42">
        <v>1.5106387028014616</v>
      </c>
      <c r="I854" s="42">
        <v>1</v>
      </c>
      <c r="J854" s="42">
        <v>1.5225334957369061</v>
      </c>
      <c r="K854" s="42">
        <v>0.9921875</v>
      </c>
      <c r="L854" s="42">
        <v>0.65680000000000005</v>
      </c>
      <c r="M854">
        <v>1</v>
      </c>
    </row>
    <row r="855" spans="3:13" x14ac:dyDescent="0.15">
      <c r="C855" s="43">
        <v>822</v>
      </c>
      <c r="D855" s="42">
        <v>822</v>
      </c>
      <c r="E855" s="42">
        <v>0.65759999999999996</v>
      </c>
      <c r="F855" s="42">
        <v>127</v>
      </c>
      <c r="G855" s="42">
        <v>84.172800000000009</v>
      </c>
      <c r="H855" s="42">
        <v>1.5088009428223845</v>
      </c>
      <c r="I855" s="42">
        <v>1</v>
      </c>
      <c r="J855" s="42">
        <v>1.5206812652068127</v>
      </c>
      <c r="K855" s="42">
        <v>0.9921875</v>
      </c>
      <c r="L855" s="42">
        <v>0.65759999999999996</v>
      </c>
      <c r="M855">
        <v>1</v>
      </c>
    </row>
    <row r="856" spans="3:13" x14ac:dyDescent="0.15">
      <c r="C856" s="43">
        <v>823</v>
      </c>
      <c r="D856" s="42">
        <v>823</v>
      </c>
      <c r="E856" s="42">
        <v>0.65839999999999999</v>
      </c>
      <c r="F856" s="42">
        <v>127</v>
      </c>
      <c r="G856" s="42">
        <v>84.275199999999998</v>
      </c>
      <c r="H856" s="42">
        <v>1.5069676488456865</v>
      </c>
      <c r="I856" s="42">
        <v>1</v>
      </c>
      <c r="J856" s="42">
        <v>1.5188335358444716</v>
      </c>
      <c r="K856" s="42">
        <v>0.9921875</v>
      </c>
      <c r="L856" s="42">
        <v>0.65839999999999999</v>
      </c>
      <c r="M856">
        <v>1</v>
      </c>
    </row>
    <row r="857" spans="3:13" x14ac:dyDescent="0.15">
      <c r="C857" s="43">
        <v>824</v>
      </c>
      <c r="D857" s="42">
        <v>824</v>
      </c>
      <c r="E857" s="42">
        <v>0.65920000000000001</v>
      </c>
      <c r="F857" s="42">
        <v>127</v>
      </c>
      <c r="G857" s="42">
        <v>84.377600000000001</v>
      </c>
      <c r="H857" s="42">
        <v>1.5051388046116505</v>
      </c>
      <c r="I857" s="42">
        <v>1</v>
      </c>
      <c r="J857" s="42">
        <v>1.5169902912621358</v>
      </c>
      <c r="K857" s="42">
        <v>0.9921875</v>
      </c>
      <c r="L857" s="42">
        <v>0.65920000000000001</v>
      </c>
      <c r="M857">
        <v>1</v>
      </c>
    </row>
    <row r="858" spans="3:13" x14ac:dyDescent="0.15">
      <c r="C858" s="43">
        <v>825</v>
      </c>
      <c r="D858" s="42">
        <v>825</v>
      </c>
      <c r="E858" s="42">
        <v>0.66</v>
      </c>
      <c r="F858" s="42">
        <v>127</v>
      </c>
      <c r="G858" s="42">
        <v>84.48</v>
      </c>
      <c r="H858" s="42">
        <v>1.5033143939393938</v>
      </c>
      <c r="I858" s="42">
        <v>1</v>
      </c>
      <c r="J858" s="42">
        <v>1.5151515151515151</v>
      </c>
      <c r="K858" s="42">
        <v>0.9921875</v>
      </c>
      <c r="L858" s="42">
        <v>0.66</v>
      </c>
      <c r="M858">
        <v>1</v>
      </c>
    </row>
    <row r="859" spans="3:13" x14ac:dyDescent="0.15">
      <c r="C859" s="43">
        <v>826</v>
      </c>
      <c r="D859" s="42">
        <v>826</v>
      </c>
      <c r="E859" s="42">
        <v>0.66080000000000005</v>
      </c>
      <c r="F859" s="42">
        <v>127</v>
      </c>
      <c r="G859" s="42">
        <v>84.582400000000007</v>
      </c>
      <c r="H859" s="42">
        <v>1.5014944007263922</v>
      </c>
      <c r="I859" s="42">
        <v>1</v>
      </c>
      <c r="J859" s="42">
        <v>1.5133171912832928</v>
      </c>
      <c r="K859" s="42">
        <v>0.9921875</v>
      </c>
      <c r="L859" s="42">
        <v>0.66080000000000005</v>
      </c>
      <c r="M859">
        <v>1</v>
      </c>
    </row>
    <row r="860" spans="3:13" x14ac:dyDescent="0.15">
      <c r="C860" s="43">
        <v>827</v>
      </c>
      <c r="D860" s="42">
        <v>827</v>
      </c>
      <c r="E860" s="42">
        <v>0.66159999999999997</v>
      </c>
      <c r="F860" s="42">
        <v>127</v>
      </c>
      <c r="G860" s="42">
        <v>84.68480000000001</v>
      </c>
      <c r="H860" s="42">
        <v>1.4996788089480049</v>
      </c>
      <c r="I860" s="42">
        <v>1</v>
      </c>
      <c r="J860" s="42">
        <v>1.5114873035066507</v>
      </c>
      <c r="K860" s="42">
        <v>0.9921875</v>
      </c>
      <c r="L860" s="42">
        <v>0.66159999999999997</v>
      </c>
      <c r="M860">
        <v>1</v>
      </c>
    </row>
    <row r="861" spans="3:13" x14ac:dyDescent="0.15">
      <c r="C861" s="43">
        <v>828</v>
      </c>
      <c r="D861" s="42">
        <v>828</v>
      </c>
      <c r="E861" s="42">
        <v>0.66239999999999999</v>
      </c>
      <c r="F861" s="42">
        <v>127</v>
      </c>
      <c r="G861" s="42">
        <v>84.787199999999999</v>
      </c>
      <c r="H861" s="42">
        <v>1.4978676026570048</v>
      </c>
      <c r="I861" s="42">
        <v>1</v>
      </c>
      <c r="J861" s="42">
        <v>1.5096618357487923</v>
      </c>
      <c r="K861" s="42">
        <v>0.9921875</v>
      </c>
      <c r="L861" s="42">
        <v>0.66239999999999999</v>
      </c>
      <c r="M861">
        <v>1</v>
      </c>
    </row>
    <row r="862" spans="3:13" x14ac:dyDescent="0.15">
      <c r="C862" s="43">
        <v>829</v>
      </c>
      <c r="D862" s="42">
        <v>829</v>
      </c>
      <c r="E862" s="42">
        <v>0.66320000000000001</v>
      </c>
      <c r="F862" s="42">
        <v>127</v>
      </c>
      <c r="G862" s="42">
        <v>84.889600000000002</v>
      </c>
      <c r="H862" s="42">
        <v>1.4960607659831122</v>
      </c>
      <c r="I862" s="42">
        <v>1</v>
      </c>
      <c r="J862" s="42">
        <v>1.5078407720144753</v>
      </c>
      <c r="K862" s="42">
        <v>0.9921875</v>
      </c>
      <c r="L862" s="42">
        <v>0.66320000000000001</v>
      </c>
      <c r="M862">
        <v>1</v>
      </c>
    </row>
    <row r="863" spans="3:13" x14ac:dyDescent="0.15">
      <c r="C863" s="43">
        <v>830</v>
      </c>
      <c r="D863" s="42">
        <v>830</v>
      </c>
      <c r="E863" s="42">
        <v>0.66400000000000003</v>
      </c>
      <c r="F863" s="42">
        <v>127</v>
      </c>
      <c r="G863" s="42">
        <v>84.992000000000004</v>
      </c>
      <c r="H863" s="42">
        <v>1.49425828313253</v>
      </c>
      <c r="I863" s="42">
        <v>1</v>
      </c>
      <c r="J863" s="42">
        <v>1.506024096385542</v>
      </c>
      <c r="K863" s="42">
        <v>0.9921875</v>
      </c>
      <c r="L863" s="42">
        <v>0.66400000000000003</v>
      </c>
      <c r="M863">
        <v>1</v>
      </c>
    </row>
    <row r="864" spans="3:13" x14ac:dyDescent="0.15">
      <c r="C864" s="43">
        <v>831</v>
      </c>
      <c r="D864" s="42">
        <v>831</v>
      </c>
      <c r="E864" s="42">
        <v>0.66479999999999995</v>
      </c>
      <c r="F864" s="42">
        <v>127</v>
      </c>
      <c r="G864" s="42">
        <v>85.094400000000007</v>
      </c>
      <c r="H864" s="42">
        <v>1.4924601383874851</v>
      </c>
      <c r="I864" s="42">
        <v>1</v>
      </c>
      <c r="J864" s="42">
        <v>1.5042117930204575</v>
      </c>
      <c r="K864" s="42">
        <v>0.9921875</v>
      </c>
      <c r="L864" s="42">
        <v>0.66479999999999995</v>
      </c>
      <c r="M864">
        <v>1</v>
      </c>
    </row>
    <row r="865" spans="3:13" x14ac:dyDescent="0.15">
      <c r="C865" s="43">
        <v>832</v>
      </c>
      <c r="D865" s="42">
        <v>832</v>
      </c>
      <c r="E865" s="42">
        <v>0.66559999999999997</v>
      </c>
      <c r="F865" s="42">
        <v>127</v>
      </c>
      <c r="G865" s="42">
        <v>85.19680000000001</v>
      </c>
      <c r="H865" s="42">
        <v>1.4906663161057694</v>
      </c>
      <c r="I865" s="42">
        <v>1</v>
      </c>
      <c r="J865" s="42">
        <v>1.5024038461538463</v>
      </c>
      <c r="K865" s="42">
        <v>0.9921875</v>
      </c>
      <c r="L865" s="42">
        <v>0.66559999999999997</v>
      </c>
      <c r="M865">
        <v>1</v>
      </c>
    </row>
    <row r="866" spans="3:13" x14ac:dyDescent="0.15">
      <c r="C866" s="43">
        <v>833</v>
      </c>
      <c r="D866" s="42">
        <v>833</v>
      </c>
      <c r="E866" s="42">
        <v>0.66639999999999999</v>
      </c>
      <c r="F866" s="42">
        <v>127</v>
      </c>
      <c r="G866" s="42">
        <v>85.299199999999999</v>
      </c>
      <c r="H866" s="42">
        <v>1.4888768007202882</v>
      </c>
      <c r="I866" s="42">
        <v>1</v>
      </c>
      <c r="J866" s="42">
        <v>1.5006002400960385</v>
      </c>
      <c r="K866" s="42">
        <v>0.9921875</v>
      </c>
      <c r="L866" s="42">
        <v>0.66639999999999999</v>
      </c>
      <c r="M866">
        <v>1</v>
      </c>
    </row>
    <row r="867" spans="3:13" x14ac:dyDescent="0.15">
      <c r="C867" s="43">
        <v>834</v>
      </c>
      <c r="D867" s="42">
        <v>834</v>
      </c>
      <c r="E867" s="42">
        <v>0.66720000000000002</v>
      </c>
      <c r="F867" s="42">
        <v>127</v>
      </c>
      <c r="G867" s="42">
        <v>85.401600000000002</v>
      </c>
      <c r="H867" s="42">
        <v>1.487091576738609</v>
      </c>
      <c r="I867" s="42">
        <v>1</v>
      </c>
      <c r="J867" s="42">
        <v>1.4988009592326139</v>
      </c>
      <c r="K867" s="42">
        <v>0.9921875</v>
      </c>
      <c r="L867" s="42">
        <v>0.66720000000000002</v>
      </c>
      <c r="M867">
        <v>1</v>
      </c>
    </row>
    <row r="868" spans="3:13" x14ac:dyDescent="0.15">
      <c r="C868" s="43">
        <v>835</v>
      </c>
      <c r="D868" s="42">
        <v>835</v>
      </c>
      <c r="E868" s="42">
        <v>0.66800000000000004</v>
      </c>
      <c r="F868" s="42">
        <v>127</v>
      </c>
      <c r="G868" s="42">
        <v>85.504000000000005</v>
      </c>
      <c r="H868" s="42">
        <v>1.4853106287425148</v>
      </c>
      <c r="I868" s="42">
        <v>1</v>
      </c>
      <c r="J868" s="42">
        <v>1.4970059880239519</v>
      </c>
      <c r="K868" s="42">
        <v>0.9921875</v>
      </c>
      <c r="L868" s="42">
        <v>0.66800000000000004</v>
      </c>
      <c r="M868">
        <v>1</v>
      </c>
    </row>
    <row r="869" spans="3:13" x14ac:dyDescent="0.15">
      <c r="C869" s="43">
        <v>836</v>
      </c>
      <c r="D869" s="42">
        <v>836</v>
      </c>
      <c r="E869" s="42">
        <v>0.66879999999999995</v>
      </c>
      <c r="F869" s="42">
        <v>127</v>
      </c>
      <c r="G869" s="42">
        <v>85.606400000000008</v>
      </c>
      <c r="H869" s="42">
        <v>1.4835339413875599</v>
      </c>
      <c r="I869" s="42">
        <v>1</v>
      </c>
      <c r="J869" s="42">
        <v>1.4952153110047848</v>
      </c>
      <c r="K869" s="42">
        <v>0.9921875</v>
      </c>
      <c r="L869" s="42">
        <v>0.66879999999999995</v>
      </c>
      <c r="M869">
        <v>1</v>
      </c>
    </row>
    <row r="870" spans="3:13" x14ac:dyDescent="0.15">
      <c r="C870" s="43">
        <v>837</v>
      </c>
      <c r="D870" s="42">
        <v>837</v>
      </c>
      <c r="E870" s="42">
        <v>0.66959999999999997</v>
      </c>
      <c r="F870" s="42">
        <v>127</v>
      </c>
      <c r="G870" s="42">
        <v>85.708800000000011</v>
      </c>
      <c r="H870" s="42">
        <v>1.4817614994026285</v>
      </c>
      <c r="I870" s="42">
        <v>1</v>
      </c>
      <c r="J870" s="42">
        <v>1.4934289127837514</v>
      </c>
      <c r="K870" s="42">
        <v>0.9921875</v>
      </c>
      <c r="L870" s="42">
        <v>0.66959999999999997</v>
      </c>
      <c r="M870">
        <v>1</v>
      </c>
    </row>
    <row r="871" spans="3:13" x14ac:dyDescent="0.15">
      <c r="C871" s="43">
        <v>838</v>
      </c>
      <c r="D871" s="42">
        <v>838</v>
      </c>
      <c r="E871" s="42">
        <v>0.6704</v>
      </c>
      <c r="F871" s="42">
        <v>127</v>
      </c>
      <c r="G871" s="42">
        <v>85.811199999999999</v>
      </c>
      <c r="H871" s="42">
        <v>1.4799932875894988</v>
      </c>
      <c r="I871" s="42">
        <v>1</v>
      </c>
      <c r="J871" s="42">
        <v>1.4916467780429594</v>
      </c>
      <c r="K871" s="42">
        <v>0.9921875</v>
      </c>
      <c r="L871" s="42">
        <v>0.6704</v>
      </c>
      <c r="M871">
        <v>1</v>
      </c>
    </row>
    <row r="872" spans="3:13" x14ac:dyDescent="0.15">
      <c r="C872" s="43">
        <v>839</v>
      </c>
      <c r="D872" s="42">
        <v>839</v>
      </c>
      <c r="E872" s="42">
        <v>0.67120000000000002</v>
      </c>
      <c r="F872" s="42">
        <v>127</v>
      </c>
      <c r="G872" s="42">
        <v>85.913600000000002</v>
      </c>
      <c r="H872" s="42">
        <v>1.4782292908224075</v>
      </c>
      <c r="I872" s="42">
        <v>1</v>
      </c>
      <c r="J872" s="42">
        <v>1.4898688915375446</v>
      </c>
      <c r="K872" s="42">
        <v>0.9921875</v>
      </c>
      <c r="L872" s="42">
        <v>0.67120000000000002</v>
      </c>
      <c r="M872">
        <v>1</v>
      </c>
    </row>
    <row r="873" spans="3:13" x14ac:dyDescent="0.15">
      <c r="C873" s="43">
        <v>840</v>
      </c>
      <c r="D873" s="42">
        <v>840</v>
      </c>
      <c r="E873" s="42">
        <v>0.67200000000000004</v>
      </c>
      <c r="F873" s="42">
        <v>127</v>
      </c>
      <c r="G873" s="42">
        <v>86.016000000000005</v>
      </c>
      <c r="H873" s="42">
        <v>1.4764694940476188</v>
      </c>
      <c r="I873" s="42">
        <v>1</v>
      </c>
      <c r="J873" s="42">
        <v>1.4880952380952379</v>
      </c>
      <c r="K873" s="42">
        <v>0.9921875</v>
      </c>
      <c r="L873" s="42">
        <v>0.67200000000000004</v>
      </c>
      <c r="M873">
        <v>1</v>
      </c>
    </row>
    <row r="874" spans="3:13" x14ac:dyDescent="0.15">
      <c r="C874" s="43">
        <v>841</v>
      </c>
      <c r="D874" s="42">
        <v>841</v>
      </c>
      <c r="E874" s="42">
        <v>0.67279999999999995</v>
      </c>
      <c r="F874" s="42">
        <v>127</v>
      </c>
      <c r="G874" s="42">
        <v>86.118400000000008</v>
      </c>
      <c r="H874" s="42">
        <v>1.4747138822829966</v>
      </c>
      <c r="I874" s="42">
        <v>1</v>
      </c>
      <c r="J874" s="42">
        <v>1.4863258026159336</v>
      </c>
      <c r="K874" s="42">
        <v>0.9921875</v>
      </c>
      <c r="L874" s="42">
        <v>0.67279999999999995</v>
      </c>
      <c r="M874">
        <v>1</v>
      </c>
    </row>
    <row r="875" spans="3:13" x14ac:dyDescent="0.15">
      <c r="C875" s="43">
        <v>842</v>
      </c>
      <c r="D875" s="42">
        <v>842</v>
      </c>
      <c r="E875" s="42">
        <v>0.67359999999999998</v>
      </c>
      <c r="F875" s="42">
        <v>127</v>
      </c>
      <c r="G875" s="42">
        <v>86.220800000000011</v>
      </c>
      <c r="H875" s="42">
        <v>1.4729624406175772</v>
      </c>
      <c r="I875" s="42">
        <v>1</v>
      </c>
      <c r="J875" s="42">
        <v>1.484560570071259</v>
      </c>
      <c r="K875" s="42">
        <v>0.9921875</v>
      </c>
      <c r="L875" s="42">
        <v>0.67359999999999998</v>
      </c>
      <c r="M875">
        <v>1</v>
      </c>
    </row>
    <row r="876" spans="3:13" x14ac:dyDescent="0.15">
      <c r="C876" s="43">
        <v>843</v>
      </c>
      <c r="D876" s="42">
        <v>843</v>
      </c>
      <c r="E876" s="42">
        <v>0.6744</v>
      </c>
      <c r="F876" s="42">
        <v>127</v>
      </c>
      <c r="G876" s="42">
        <v>86.3232</v>
      </c>
      <c r="H876" s="42">
        <v>1.4712151542111507</v>
      </c>
      <c r="I876" s="42">
        <v>1</v>
      </c>
      <c r="J876" s="42">
        <v>1.4827995255041519</v>
      </c>
      <c r="K876" s="42">
        <v>0.9921875</v>
      </c>
      <c r="L876" s="42">
        <v>0.6744</v>
      </c>
      <c r="M876">
        <v>1</v>
      </c>
    </row>
    <row r="877" spans="3:13" x14ac:dyDescent="0.15">
      <c r="C877" s="43">
        <v>844</v>
      </c>
      <c r="D877" s="42">
        <v>844</v>
      </c>
      <c r="E877" s="42">
        <v>0.67520000000000002</v>
      </c>
      <c r="F877" s="42">
        <v>127</v>
      </c>
      <c r="G877" s="42">
        <v>86.425600000000003</v>
      </c>
      <c r="H877" s="42">
        <v>1.4694720082938388</v>
      </c>
      <c r="I877" s="42">
        <v>1</v>
      </c>
      <c r="J877" s="42">
        <v>1.481042654028436</v>
      </c>
      <c r="K877" s="42">
        <v>0.9921875</v>
      </c>
      <c r="L877" s="42">
        <v>0.67520000000000002</v>
      </c>
      <c r="M877">
        <v>1</v>
      </c>
    </row>
    <row r="878" spans="3:13" x14ac:dyDescent="0.15">
      <c r="C878" s="43">
        <v>845</v>
      </c>
      <c r="D878" s="42">
        <v>845</v>
      </c>
      <c r="E878" s="42">
        <v>0.67600000000000005</v>
      </c>
      <c r="F878" s="42">
        <v>127</v>
      </c>
      <c r="G878" s="42">
        <v>86.528000000000006</v>
      </c>
      <c r="H878" s="42">
        <v>1.4677329881656804</v>
      </c>
      <c r="I878" s="42">
        <v>1</v>
      </c>
      <c r="J878" s="42">
        <v>1.4792899408284024</v>
      </c>
      <c r="K878" s="42">
        <v>0.9921875</v>
      </c>
      <c r="L878" s="42">
        <v>0.67600000000000005</v>
      </c>
      <c r="M878">
        <v>1</v>
      </c>
    </row>
    <row r="879" spans="3:13" x14ac:dyDescent="0.15">
      <c r="C879" s="43">
        <v>846</v>
      </c>
      <c r="D879" s="42">
        <v>846</v>
      </c>
      <c r="E879" s="42">
        <v>0.67679999999999996</v>
      </c>
      <c r="F879" s="42">
        <v>127</v>
      </c>
      <c r="G879" s="42">
        <v>86.630400000000009</v>
      </c>
      <c r="H879" s="42">
        <v>1.4659980791962175</v>
      </c>
      <c r="I879" s="42">
        <v>1</v>
      </c>
      <c r="J879" s="42">
        <v>1.4775413711583925</v>
      </c>
      <c r="K879" s="42">
        <v>0.9921875</v>
      </c>
      <c r="L879" s="42">
        <v>0.67679999999999996</v>
      </c>
      <c r="M879">
        <v>1</v>
      </c>
    </row>
    <row r="880" spans="3:13" x14ac:dyDescent="0.15">
      <c r="C880" s="43">
        <v>847</v>
      </c>
      <c r="D880" s="42">
        <v>847</v>
      </c>
      <c r="E880" s="42">
        <v>0.67759999999999998</v>
      </c>
      <c r="F880" s="42">
        <v>127</v>
      </c>
      <c r="G880" s="42">
        <v>86.732799999999997</v>
      </c>
      <c r="H880" s="42">
        <v>1.464267266824085</v>
      </c>
      <c r="I880" s="42">
        <v>1</v>
      </c>
      <c r="J880" s="42">
        <v>1.475796930342385</v>
      </c>
      <c r="K880" s="42">
        <v>0.9921875</v>
      </c>
      <c r="L880" s="42">
        <v>0.67759999999999998</v>
      </c>
      <c r="M880">
        <v>1</v>
      </c>
    </row>
    <row r="881" spans="3:13" x14ac:dyDescent="0.15">
      <c r="C881" s="43">
        <v>848</v>
      </c>
      <c r="D881" s="42">
        <v>848</v>
      </c>
      <c r="E881" s="42">
        <v>0.6784</v>
      </c>
      <c r="F881" s="42">
        <v>127</v>
      </c>
      <c r="G881" s="42">
        <v>86.8352</v>
      </c>
      <c r="H881" s="42">
        <v>1.4625405365566038</v>
      </c>
      <c r="I881" s="42">
        <v>1</v>
      </c>
      <c r="J881" s="42">
        <v>1.4740566037735849</v>
      </c>
      <c r="K881" s="42">
        <v>0.9921875</v>
      </c>
      <c r="L881" s="42">
        <v>0.6784</v>
      </c>
      <c r="M881">
        <v>1</v>
      </c>
    </row>
    <row r="882" spans="3:13" x14ac:dyDescent="0.15">
      <c r="C882" s="43">
        <v>849</v>
      </c>
      <c r="D882" s="42">
        <v>849</v>
      </c>
      <c r="E882" s="42">
        <v>0.67920000000000003</v>
      </c>
      <c r="F882" s="42">
        <v>127</v>
      </c>
      <c r="G882" s="42">
        <v>86.937600000000003</v>
      </c>
      <c r="H882" s="42">
        <v>1.4608178739693758</v>
      </c>
      <c r="I882" s="42">
        <v>1</v>
      </c>
      <c r="J882" s="42">
        <v>1.4723203769140165</v>
      </c>
      <c r="K882" s="42">
        <v>0.9921875</v>
      </c>
      <c r="L882" s="42">
        <v>0.67920000000000003</v>
      </c>
      <c r="M882">
        <v>1</v>
      </c>
    </row>
    <row r="883" spans="3:13" x14ac:dyDescent="0.15">
      <c r="C883" s="43">
        <v>850</v>
      </c>
      <c r="D883" s="42">
        <v>850</v>
      </c>
      <c r="E883" s="42">
        <v>0.68</v>
      </c>
      <c r="F883" s="42">
        <v>127</v>
      </c>
      <c r="G883" s="42">
        <v>87.04</v>
      </c>
      <c r="H883" s="42">
        <v>1.4590992647058822</v>
      </c>
      <c r="I883" s="42">
        <v>1</v>
      </c>
      <c r="J883" s="42">
        <v>1.4705882352941175</v>
      </c>
      <c r="K883" s="42">
        <v>0.9921875</v>
      </c>
      <c r="L883" s="42">
        <v>0.68</v>
      </c>
      <c r="M883">
        <v>1</v>
      </c>
    </row>
    <row r="884" spans="3:13" x14ac:dyDescent="0.15">
      <c r="C884" s="43">
        <v>851</v>
      </c>
      <c r="D884" s="42">
        <v>851</v>
      </c>
      <c r="E884" s="42">
        <v>0.68079999999999996</v>
      </c>
      <c r="F884" s="42">
        <v>127</v>
      </c>
      <c r="G884" s="42">
        <v>87.142400000000009</v>
      </c>
      <c r="H884" s="42">
        <v>1.4573846944770859</v>
      </c>
      <c r="I884" s="42">
        <v>1</v>
      </c>
      <c r="J884" s="42">
        <v>1.4688601645123385</v>
      </c>
      <c r="K884" s="42">
        <v>0.9921875</v>
      </c>
      <c r="L884" s="42">
        <v>0.68079999999999996</v>
      </c>
      <c r="M884">
        <v>1</v>
      </c>
    </row>
    <row r="885" spans="3:13" x14ac:dyDescent="0.15">
      <c r="C885" s="43">
        <v>852</v>
      </c>
      <c r="D885" s="42">
        <v>852</v>
      </c>
      <c r="E885" s="42">
        <v>0.68159999999999998</v>
      </c>
      <c r="F885" s="42">
        <v>127</v>
      </c>
      <c r="G885" s="42">
        <v>87.244799999999998</v>
      </c>
      <c r="H885" s="42">
        <v>1.455674149061033</v>
      </c>
      <c r="I885" s="42">
        <v>1</v>
      </c>
      <c r="J885" s="42">
        <v>1.4671361502347418</v>
      </c>
      <c r="K885" s="42">
        <v>0.9921875</v>
      </c>
      <c r="L885" s="42">
        <v>0.68159999999999998</v>
      </c>
      <c r="M885">
        <v>1</v>
      </c>
    </row>
    <row r="886" spans="3:13" x14ac:dyDescent="0.15">
      <c r="C886" s="43">
        <v>853</v>
      </c>
      <c r="D886" s="42">
        <v>853</v>
      </c>
      <c r="E886" s="42">
        <v>0.68240000000000001</v>
      </c>
      <c r="F886" s="42">
        <v>127</v>
      </c>
      <c r="G886" s="42">
        <v>87.347200000000001</v>
      </c>
      <c r="H886" s="42">
        <v>1.4539676143024618</v>
      </c>
      <c r="I886" s="42">
        <v>1</v>
      </c>
      <c r="J886" s="42">
        <v>1.4654161781946073</v>
      </c>
      <c r="K886" s="42">
        <v>0.9921875</v>
      </c>
      <c r="L886" s="42">
        <v>0.68240000000000001</v>
      </c>
      <c r="M886">
        <v>1</v>
      </c>
    </row>
    <row r="887" spans="3:13" x14ac:dyDescent="0.15">
      <c r="C887" s="43">
        <v>854</v>
      </c>
      <c r="D887" s="42">
        <v>854</v>
      </c>
      <c r="E887" s="42">
        <v>0.68320000000000003</v>
      </c>
      <c r="F887" s="42">
        <v>127</v>
      </c>
      <c r="G887" s="42">
        <v>87.449600000000004</v>
      </c>
      <c r="H887" s="42">
        <v>1.4522650761124121</v>
      </c>
      <c r="I887" s="42">
        <v>1</v>
      </c>
      <c r="J887" s="42">
        <v>1.4637002341920373</v>
      </c>
      <c r="K887" s="42">
        <v>0.9921875</v>
      </c>
      <c r="L887" s="42">
        <v>0.68320000000000003</v>
      </c>
      <c r="M887">
        <v>1</v>
      </c>
    </row>
    <row r="888" spans="3:13" x14ac:dyDescent="0.15">
      <c r="C888" s="43">
        <v>855</v>
      </c>
      <c r="D888" s="42">
        <v>855</v>
      </c>
      <c r="E888" s="42">
        <v>0.68400000000000005</v>
      </c>
      <c r="F888" s="42">
        <v>127</v>
      </c>
      <c r="G888" s="42">
        <v>87.552000000000007</v>
      </c>
      <c r="H888" s="42">
        <v>1.4505665204678362</v>
      </c>
      <c r="I888" s="42">
        <v>1</v>
      </c>
      <c r="J888" s="42">
        <v>1.4619883040935671</v>
      </c>
      <c r="K888" s="42">
        <v>0.9921875</v>
      </c>
      <c r="L888" s="42">
        <v>0.68400000000000005</v>
      </c>
      <c r="M888">
        <v>1</v>
      </c>
    </row>
    <row r="889" spans="3:13" x14ac:dyDescent="0.15">
      <c r="C889" s="43">
        <v>856</v>
      </c>
      <c r="D889" s="42">
        <v>856</v>
      </c>
      <c r="E889" s="42">
        <v>0.68479999999999996</v>
      </c>
      <c r="F889" s="42">
        <v>127</v>
      </c>
      <c r="G889" s="42">
        <v>87.65440000000001</v>
      </c>
      <c r="H889" s="42">
        <v>1.448871933411215</v>
      </c>
      <c r="I889" s="42">
        <v>1</v>
      </c>
      <c r="J889" s="42">
        <v>1.4602803738317758</v>
      </c>
      <c r="K889" s="42">
        <v>0.9921875</v>
      </c>
      <c r="L889" s="42">
        <v>0.68479999999999996</v>
      </c>
      <c r="M889">
        <v>1</v>
      </c>
    </row>
    <row r="890" spans="3:13" x14ac:dyDescent="0.15">
      <c r="C890" s="43">
        <v>857</v>
      </c>
      <c r="D890" s="42">
        <v>857</v>
      </c>
      <c r="E890" s="42">
        <v>0.68559999999999999</v>
      </c>
      <c r="F890" s="42">
        <v>127</v>
      </c>
      <c r="G890" s="42">
        <v>87.756799999999998</v>
      </c>
      <c r="H890" s="42">
        <v>1.4471813010501751</v>
      </c>
      <c r="I890" s="42">
        <v>1</v>
      </c>
      <c r="J890" s="42">
        <v>1.4585764294049008</v>
      </c>
      <c r="K890" s="42">
        <v>0.9921875</v>
      </c>
      <c r="L890" s="42">
        <v>0.68559999999999999</v>
      </c>
      <c r="M890">
        <v>1</v>
      </c>
    </row>
    <row r="891" spans="3:13" x14ac:dyDescent="0.15">
      <c r="C891" s="43">
        <v>858</v>
      </c>
      <c r="D891" s="42">
        <v>858</v>
      </c>
      <c r="E891" s="42">
        <v>0.68640000000000001</v>
      </c>
      <c r="F891" s="42">
        <v>127</v>
      </c>
      <c r="G891" s="42">
        <v>87.859200000000001</v>
      </c>
      <c r="H891" s="42">
        <v>1.4454946095571095</v>
      </c>
      <c r="I891" s="42">
        <v>1</v>
      </c>
      <c r="J891" s="42">
        <v>1.4568764568764569</v>
      </c>
      <c r="K891" s="42">
        <v>0.9921875</v>
      </c>
      <c r="L891" s="42">
        <v>0.68640000000000001</v>
      </c>
      <c r="M891">
        <v>1</v>
      </c>
    </row>
    <row r="892" spans="3:13" x14ac:dyDescent="0.15">
      <c r="C892" s="43">
        <v>859</v>
      </c>
      <c r="D892" s="42">
        <v>859</v>
      </c>
      <c r="E892" s="42">
        <v>0.68720000000000003</v>
      </c>
      <c r="F892" s="42">
        <v>127</v>
      </c>
      <c r="G892" s="42">
        <v>87.961600000000004</v>
      </c>
      <c r="H892" s="42">
        <v>1.4438118451688009</v>
      </c>
      <c r="I892" s="42">
        <v>1</v>
      </c>
      <c r="J892" s="42">
        <v>1.4551804423748544</v>
      </c>
      <c r="K892" s="42">
        <v>0.9921875</v>
      </c>
      <c r="L892" s="42">
        <v>0.68720000000000003</v>
      </c>
      <c r="M892">
        <v>1</v>
      </c>
    </row>
    <row r="893" spans="3:13" x14ac:dyDescent="0.15">
      <c r="C893" s="43">
        <v>860</v>
      </c>
      <c r="D893" s="42">
        <v>860</v>
      </c>
      <c r="E893" s="42">
        <v>0.68799999999999994</v>
      </c>
      <c r="F893" s="42">
        <v>127</v>
      </c>
      <c r="G893" s="42">
        <v>88.064000000000007</v>
      </c>
      <c r="H893" s="42">
        <v>1.4421329941860466</v>
      </c>
      <c r="I893" s="42">
        <v>1</v>
      </c>
      <c r="J893" s="42">
        <v>1.4534883720930234</v>
      </c>
      <c r="K893" s="42">
        <v>0.9921875</v>
      </c>
      <c r="L893" s="42">
        <v>0.68799999999999994</v>
      </c>
      <c r="M893">
        <v>1</v>
      </c>
    </row>
    <row r="894" spans="3:13" x14ac:dyDescent="0.15">
      <c r="C894" s="43">
        <v>861</v>
      </c>
      <c r="D894" s="42">
        <v>861</v>
      </c>
      <c r="E894" s="42">
        <v>0.68879999999999997</v>
      </c>
      <c r="F894" s="42">
        <v>127</v>
      </c>
      <c r="G894" s="42">
        <v>88.16640000000001</v>
      </c>
      <c r="H894" s="42">
        <v>1.4404580429732869</v>
      </c>
      <c r="I894" s="42">
        <v>1</v>
      </c>
      <c r="J894" s="42">
        <v>1.4518002322880372</v>
      </c>
      <c r="K894" s="42">
        <v>0.9921875</v>
      </c>
      <c r="L894" s="42">
        <v>0.68879999999999997</v>
      </c>
      <c r="M894">
        <v>1</v>
      </c>
    </row>
    <row r="895" spans="3:13" x14ac:dyDescent="0.15">
      <c r="C895" s="43">
        <v>862</v>
      </c>
      <c r="D895" s="42">
        <v>862</v>
      </c>
      <c r="E895" s="42">
        <v>0.68959999999999999</v>
      </c>
      <c r="F895" s="42">
        <v>127</v>
      </c>
      <c r="G895" s="42">
        <v>88.268799999999999</v>
      </c>
      <c r="H895" s="42">
        <v>1.4387869779582367</v>
      </c>
      <c r="I895" s="42">
        <v>1</v>
      </c>
      <c r="J895" s="42">
        <v>1.4501160092807426</v>
      </c>
      <c r="K895" s="42">
        <v>0.9921875</v>
      </c>
      <c r="L895" s="42">
        <v>0.68959999999999999</v>
      </c>
      <c r="M895">
        <v>1</v>
      </c>
    </row>
    <row r="896" spans="3:13" x14ac:dyDescent="0.15">
      <c r="C896" s="43">
        <v>863</v>
      </c>
      <c r="D896" s="42">
        <v>863</v>
      </c>
      <c r="E896" s="42">
        <v>0.69040000000000001</v>
      </c>
      <c r="F896" s="42">
        <v>127</v>
      </c>
      <c r="G896" s="42">
        <v>88.371200000000002</v>
      </c>
      <c r="H896" s="42">
        <v>1.4371197856315179</v>
      </c>
      <c r="I896" s="42">
        <v>1</v>
      </c>
      <c r="J896" s="42">
        <v>1.4484356894553883</v>
      </c>
      <c r="K896" s="42">
        <v>0.9921875</v>
      </c>
      <c r="L896" s="42">
        <v>0.69040000000000001</v>
      </c>
      <c r="M896">
        <v>1</v>
      </c>
    </row>
    <row r="897" spans="3:13" x14ac:dyDescent="0.15">
      <c r="C897" s="43">
        <v>864</v>
      </c>
      <c r="D897" s="42">
        <v>864</v>
      </c>
      <c r="E897" s="42">
        <v>0.69120000000000004</v>
      </c>
      <c r="F897" s="42">
        <v>127</v>
      </c>
      <c r="G897" s="42">
        <v>88.473600000000005</v>
      </c>
      <c r="H897" s="42">
        <v>1.4354564525462963</v>
      </c>
      <c r="I897" s="42">
        <v>1</v>
      </c>
      <c r="J897" s="42">
        <v>1.4467592592592591</v>
      </c>
      <c r="K897" s="42">
        <v>0.9921875</v>
      </c>
      <c r="L897" s="42">
        <v>0.69120000000000004</v>
      </c>
      <c r="M897">
        <v>1</v>
      </c>
    </row>
    <row r="898" spans="3:13" x14ac:dyDescent="0.15">
      <c r="C898" s="43">
        <v>865</v>
      </c>
      <c r="D898" s="42">
        <v>865</v>
      </c>
      <c r="E898" s="42">
        <v>0.69199999999999995</v>
      </c>
      <c r="F898" s="42">
        <v>127</v>
      </c>
      <c r="G898" s="42">
        <v>88.576000000000008</v>
      </c>
      <c r="H898" s="42">
        <v>1.4337969653179192</v>
      </c>
      <c r="I898" s="42">
        <v>1</v>
      </c>
      <c r="J898" s="42">
        <v>1.4450867052023122</v>
      </c>
      <c r="K898" s="42">
        <v>0.9921875</v>
      </c>
      <c r="L898" s="42">
        <v>0.69199999999999995</v>
      </c>
      <c r="M898">
        <v>1</v>
      </c>
    </row>
    <row r="899" spans="3:13" x14ac:dyDescent="0.15">
      <c r="C899" s="43">
        <v>866</v>
      </c>
      <c r="D899" s="42">
        <v>866</v>
      </c>
      <c r="E899" s="42">
        <v>0.69279999999999997</v>
      </c>
      <c r="F899" s="42">
        <v>127</v>
      </c>
      <c r="G899" s="42">
        <v>88.678400000000011</v>
      </c>
      <c r="H899" s="42">
        <v>1.4321413106235565</v>
      </c>
      <c r="I899" s="42">
        <v>1</v>
      </c>
      <c r="J899" s="42">
        <v>1.4434180138568129</v>
      </c>
      <c r="K899" s="42">
        <v>0.9921875</v>
      </c>
      <c r="L899" s="42">
        <v>0.69279999999999997</v>
      </c>
      <c r="M899">
        <v>1</v>
      </c>
    </row>
    <row r="900" spans="3:13" x14ac:dyDescent="0.15">
      <c r="C900" s="43">
        <v>867</v>
      </c>
      <c r="D900" s="42">
        <v>867</v>
      </c>
      <c r="E900" s="42">
        <v>0.69359999999999999</v>
      </c>
      <c r="F900" s="42">
        <v>127</v>
      </c>
      <c r="G900" s="42">
        <v>88.780799999999999</v>
      </c>
      <c r="H900" s="42">
        <v>1.4304894752018456</v>
      </c>
      <c r="I900" s="42">
        <v>1</v>
      </c>
      <c r="J900" s="42">
        <v>1.441753171856978</v>
      </c>
      <c r="K900" s="42">
        <v>0.9921875</v>
      </c>
      <c r="L900" s="42">
        <v>0.69359999999999999</v>
      </c>
      <c r="M900">
        <v>1</v>
      </c>
    </row>
    <row r="901" spans="3:13" x14ac:dyDescent="0.15">
      <c r="C901" s="43">
        <v>868</v>
      </c>
      <c r="D901" s="42">
        <v>868</v>
      </c>
      <c r="E901" s="42">
        <v>0.69440000000000002</v>
      </c>
      <c r="F901" s="42">
        <v>127</v>
      </c>
      <c r="G901" s="42">
        <v>88.883200000000002</v>
      </c>
      <c r="H901" s="42">
        <v>1.4288414458525345</v>
      </c>
      <c r="I901" s="42">
        <v>1</v>
      </c>
      <c r="J901" s="42">
        <v>1.4400921658986174</v>
      </c>
      <c r="K901" s="42">
        <v>0.9921875</v>
      </c>
      <c r="L901" s="42">
        <v>0.69440000000000002</v>
      </c>
      <c r="M901">
        <v>1</v>
      </c>
    </row>
    <row r="902" spans="3:13" x14ac:dyDescent="0.15">
      <c r="C902" s="43">
        <v>869</v>
      </c>
      <c r="D902" s="42">
        <v>869</v>
      </c>
      <c r="E902" s="42">
        <v>0.69520000000000004</v>
      </c>
      <c r="F902" s="42">
        <v>127</v>
      </c>
      <c r="G902" s="42">
        <v>88.985600000000005</v>
      </c>
      <c r="H902" s="42">
        <v>1.4271972094361334</v>
      </c>
      <c r="I902" s="42">
        <v>1</v>
      </c>
      <c r="J902" s="42">
        <v>1.4384349827387801</v>
      </c>
      <c r="K902" s="42">
        <v>0.9921875</v>
      </c>
      <c r="L902" s="42">
        <v>0.69520000000000004</v>
      </c>
      <c r="M902">
        <v>1</v>
      </c>
    </row>
    <row r="903" spans="3:13" x14ac:dyDescent="0.15">
      <c r="C903" s="43">
        <v>870</v>
      </c>
      <c r="D903" s="42">
        <v>870</v>
      </c>
      <c r="E903" s="42">
        <v>0.69599999999999995</v>
      </c>
      <c r="F903" s="42">
        <v>127</v>
      </c>
      <c r="G903" s="42">
        <v>89.088000000000008</v>
      </c>
      <c r="H903" s="42">
        <v>1.4255567528735633</v>
      </c>
      <c r="I903" s="42">
        <v>1</v>
      </c>
      <c r="J903" s="42">
        <v>1.4367816091954024</v>
      </c>
      <c r="K903" s="42">
        <v>0.9921875</v>
      </c>
      <c r="L903" s="42">
        <v>0.69599999999999995</v>
      </c>
      <c r="M903">
        <v>1</v>
      </c>
    </row>
    <row r="904" spans="3:13" x14ac:dyDescent="0.15">
      <c r="C904" s="43">
        <v>871</v>
      </c>
      <c r="D904" s="42">
        <v>871</v>
      </c>
      <c r="E904" s="42">
        <v>0.69679999999999997</v>
      </c>
      <c r="F904" s="42">
        <v>127</v>
      </c>
      <c r="G904" s="42">
        <v>89.190400000000011</v>
      </c>
      <c r="H904" s="42">
        <v>1.4239200631458095</v>
      </c>
      <c r="I904" s="42">
        <v>1</v>
      </c>
      <c r="J904" s="42">
        <v>1.4351320321469576</v>
      </c>
      <c r="K904" s="42">
        <v>0.9921875</v>
      </c>
      <c r="L904" s="42">
        <v>0.69679999999999997</v>
      </c>
      <c r="M904">
        <v>1</v>
      </c>
    </row>
    <row r="905" spans="3:13" x14ac:dyDescent="0.15">
      <c r="C905" s="43">
        <v>872</v>
      </c>
      <c r="D905" s="42">
        <v>872</v>
      </c>
      <c r="E905" s="42">
        <v>0.6976</v>
      </c>
      <c r="F905" s="42">
        <v>127</v>
      </c>
      <c r="G905" s="42">
        <v>89.2928</v>
      </c>
      <c r="H905" s="42">
        <v>1.422287127293578</v>
      </c>
      <c r="I905" s="42">
        <v>1</v>
      </c>
      <c r="J905" s="42">
        <v>1.4334862385321101</v>
      </c>
      <c r="K905" s="42">
        <v>0.9921875</v>
      </c>
      <c r="L905" s="42">
        <v>0.6976</v>
      </c>
      <c r="M905">
        <v>1</v>
      </c>
    </row>
    <row r="906" spans="3:13" x14ac:dyDescent="0.15">
      <c r="C906" s="43">
        <v>873</v>
      </c>
      <c r="D906" s="42">
        <v>873</v>
      </c>
      <c r="E906" s="42">
        <v>0.69840000000000002</v>
      </c>
      <c r="F906" s="42">
        <v>127</v>
      </c>
      <c r="G906" s="42">
        <v>89.395200000000003</v>
      </c>
      <c r="H906" s="42">
        <v>1.420657932416953</v>
      </c>
      <c r="I906" s="42">
        <v>1</v>
      </c>
      <c r="J906" s="42">
        <v>1.43184421534937</v>
      </c>
      <c r="K906" s="42">
        <v>0.9921875</v>
      </c>
      <c r="L906" s="42">
        <v>0.69840000000000002</v>
      </c>
      <c r="M906">
        <v>1</v>
      </c>
    </row>
    <row r="907" spans="3:13" x14ac:dyDescent="0.15">
      <c r="C907" s="43">
        <v>874</v>
      </c>
      <c r="D907" s="42">
        <v>874</v>
      </c>
      <c r="E907" s="42">
        <v>0.69920000000000004</v>
      </c>
      <c r="F907" s="42">
        <v>127</v>
      </c>
      <c r="G907" s="42">
        <v>89.497600000000006</v>
      </c>
      <c r="H907" s="42">
        <v>1.419032465675057</v>
      </c>
      <c r="I907" s="42">
        <v>1</v>
      </c>
      <c r="J907" s="42">
        <v>1.4302059496567505</v>
      </c>
      <c r="K907" s="42">
        <v>0.9921875</v>
      </c>
      <c r="L907" s="42">
        <v>0.69920000000000004</v>
      </c>
      <c r="M907">
        <v>1</v>
      </c>
    </row>
    <row r="908" spans="3:13" x14ac:dyDescent="0.15">
      <c r="C908" s="43">
        <v>875</v>
      </c>
      <c r="D908" s="42">
        <v>875</v>
      </c>
      <c r="E908" s="42">
        <v>0.7</v>
      </c>
      <c r="F908" s="42">
        <v>127</v>
      </c>
      <c r="G908" s="42">
        <v>89.600000000000009</v>
      </c>
      <c r="H908" s="42">
        <v>1.4174107142857144</v>
      </c>
      <c r="I908" s="42">
        <v>1</v>
      </c>
      <c r="J908" s="42">
        <v>1.4285714285714286</v>
      </c>
      <c r="K908" s="42">
        <v>0.9921875</v>
      </c>
      <c r="L908" s="42">
        <v>0.7</v>
      </c>
      <c r="M908">
        <v>1</v>
      </c>
    </row>
    <row r="909" spans="3:13" x14ac:dyDescent="0.15">
      <c r="C909" s="43">
        <v>876</v>
      </c>
      <c r="D909" s="42">
        <v>876</v>
      </c>
      <c r="E909" s="42">
        <v>0.70079999999999998</v>
      </c>
      <c r="F909" s="42">
        <v>127</v>
      </c>
      <c r="G909" s="42">
        <v>89.702399999999997</v>
      </c>
      <c r="H909" s="42">
        <v>1.4157926655251143</v>
      </c>
      <c r="I909" s="42">
        <v>1</v>
      </c>
      <c r="J909" s="42">
        <v>1.4269406392694064</v>
      </c>
      <c r="K909" s="42">
        <v>0.9921875</v>
      </c>
      <c r="L909" s="42">
        <v>0.70079999999999998</v>
      </c>
      <c r="M909">
        <v>1</v>
      </c>
    </row>
    <row r="910" spans="3:13" x14ac:dyDescent="0.15">
      <c r="C910" s="43">
        <v>877</v>
      </c>
      <c r="D910" s="42">
        <v>877</v>
      </c>
      <c r="E910" s="42">
        <v>0.7016</v>
      </c>
      <c r="F910" s="42">
        <v>127</v>
      </c>
      <c r="G910" s="42">
        <v>89.8048</v>
      </c>
      <c r="H910" s="42">
        <v>1.41417830672748</v>
      </c>
      <c r="I910" s="42">
        <v>1</v>
      </c>
      <c r="J910" s="42">
        <v>1.4253135689851768</v>
      </c>
      <c r="K910" s="42">
        <v>0.9921875</v>
      </c>
      <c r="L910" s="42">
        <v>0.7016</v>
      </c>
      <c r="M910">
        <v>1</v>
      </c>
    </row>
    <row r="911" spans="3:13" x14ac:dyDescent="0.15">
      <c r="C911" s="43">
        <v>878</v>
      </c>
      <c r="D911" s="42">
        <v>878</v>
      </c>
      <c r="E911" s="42">
        <v>0.70240000000000002</v>
      </c>
      <c r="F911" s="42">
        <v>127</v>
      </c>
      <c r="G911" s="42">
        <v>89.907200000000003</v>
      </c>
      <c r="H911" s="42">
        <v>1.4125676252847379</v>
      </c>
      <c r="I911" s="42">
        <v>1</v>
      </c>
      <c r="J911" s="42">
        <v>1.4236902050113895</v>
      </c>
      <c r="K911" s="42">
        <v>0.9921875</v>
      </c>
      <c r="L911" s="42">
        <v>0.70240000000000002</v>
      </c>
      <c r="M911">
        <v>1</v>
      </c>
    </row>
    <row r="912" spans="3:13" x14ac:dyDescent="0.15">
      <c r="C912" s="43">
        <v>879</v>
      </c>
      <c r="D912" s="42">
        <v>879</v>
      </c>
      <c r="E912" s="42">
        <v>0.70320000000000005</v>
      </c>
      <c r="F912" s="42">
        <v>127</v>
      </c>
      <c r="G912" s="42">
        <v>90.009600000000006</v>
      </c>
      <c r="H912" s="42">
        <v>1.4109606086461888</v>
      </c>
      <c r="I912" s="42">
        <v>1</v>
      </c>
      <c r="J912" s="42">
        <v>1.422070534698521</v>
      </c>
      <c r="K912" s="42">
        <v>0.9921875</v>
      </c>
      <c r="L912" s="42">
        <v>0.70320000000000005</v>
      </c>
      <c r="M912">
        <v>1</v>
      </c>
    </row>
    <row r="913" spans="3:13" x14ac:dyDescent="0.15">
      <c r="C913" s="43">
        <v>880</v>
      </c>
      <c r="D913" s="42">
        <v>880</v>
      </c>
      <c r="E913" s="42">
        <v>0.70399999999999996</v>
      </c>
      <c r="F913" s="42">
        <v>127</v>
      </c>
      <c r="G913" s="42">
        <v>90.112000000000009</v>
      </c>
      <c r="H913" s="42">
        <v>1.4093572443181819</v>
      </c>
      <c r="I913" s="42">
        <v>1</v>
      </c>
      <c r="J913" s="42">
        <v>1.4204545454545456</v>
      </c>
      <c r="K913" s="42">
        <v>0.9921875</v>
      </c>
      <c r="L913" s="42">
        <v>0.70399999999999996</v>
      </c>
      <c r="M913">
        <v>1</v>
      </c>
    </row>
    <row r="914" spans="3:13" x14ac:dyDescent="0.15">
      <c r="C914" s="43">
        <v>881</v>
      </c>
      <c r="D914" s="42">
        <v>881</v>
      </c>
      <c r="E914" s="42">
        <v>0.70479999999999998</v>
      </c>
      <c r="F914" s="42">
        <v>127</v>
      </c>
      <c r="G914" s="42">
        <v>90.214399999999998</v>
      </c>
      <c r="H914" s="42">
        <v>1.4077575198637913</v>
      </c>
      <c r="I914" s="42">
        <v>1</v>
      </c>
      <c r="J914" s="42">
        <v>1.4188422247446084</v>
      </c>
      <c r="K914" s="42">
        <v>0.9921875</v>
      </c>
      <c r="L914" s="42">
        <v>0.70479999999999998</v>
      </c>
      <c r="M914">
        <v>1</v>
      </c>
    </row>
    <row r="915" spans="3:13" x14ac:dyDescent="0.15">
      <c r="C915" s="43">
        <v>882</v>
      </c>
      <c r="D915" s="42">
        <v>882</v>
      </c>
      <c r="E915" s="42">
        <v>0.7056</v>
      </c>
      <c r="F915" s="42">
        <v>127</v>
      </c>
      <c r="G915" s="42">
        <v>90.316800000000001</v>
      </c>
      <c r="H915" s="42">
        <v>1.4061614229024944</v>
      </c>
      <c r="I915" s="42">
        <v>1</v>
      </c>
      <c r="J915" s="42">
        <v>1.4172335600907029</v>
      </c>
      <c r="K915" s="42">
        <v>0.9921875</v>
      </c>
      <c r="L915" s="42">
        <v>0.7056</v>
      </c>
      <c r="M915">
        <v>1</v>
      </c>
    </row>
    <row r="916" spans="3:13" x14ac:dyDescent="0.15">
      <c r="C916" s="43">
        <v>883</v>
      </c>
      <c r="D916" s="42">
        <v>883</v>
      </c>
      <c r="E916" s="42">
        <v>0.70640000000000003</v>
      </c>
      <c r="F916" s="42">
        <v>127</v>
      </c>
      <c r="G916" s="42">
        <v>90.419200000000004</v>
      </c>
      <c r="H916" s="42">
        <v>1.4045689411098528</v>
      </c>
      <c r="I916" s="42">
        <v>1</v>
      </c>
      <c r="J916" s="42">
        <v>1.4156285390713477</v>
      </c>
      <c r="K916" s="42">
        <v>0.9921875</v>
      </c>
      <c r="L916" s="42">
        <v>0.70640000000000003</v>
      </c>
      <c r="M916">
        <v>1</v>
      </c>
    </row>
    <row r="917" spans="3:13" x14ac:dyDescent="0.15">
      <c r="C917" s="43">
        <v>884</v>
      </c>
      <c r="D917" s="42">
        <v>884</v>
      </c>
      <c r="E917" s="42">
        <v>0.70720000000000005</v>
      </c>
      <c r="F917" s="42">
        <v>127</v>
      </c>
      <c r="G917" s="42">
        <v>90.521600000000007</v>
      </c>
      <c r="H917" s="42">
        <v>1.4029800622171944</v>
      </c>
      <c r="I917" s="42">
        <v>1</v>
      </c>
      <c r="J917" s="42">
        <v>1.4140271493212668</v>
      </c>
      <c r="K917" s="42">
        <v>0.9921875</v>
      </c>
      <c r="L917" s="42">
        <v>0.70720000000000005</v>
      </c>
      <c r="M917">
        <v>1</v>
      </c>
    </row>
    <row r="918" spans="3:13" x14ac:dyDescent="0.15">
      <c r="C918" s="43">
        <v>885</v>
      </c>
      <c r="D918" s="42">
        <v>885</v>
      </c>
      <c r="E918" s="42">
        <v>0.70799999999999996</v>
      </c>
      <c r="F918" s="42">
        <v>127</v>
      </c>
      <c r="G918" s="42">
        <v>90.624000000000009</v>
      </c>
      <c r="H918" s="42">
        <v>1.4013947740112995</v>
      </c>
      <c r="I918" s="42">
        <v>1</v>
      </c>
      <c r="J918" s="42">
        <v>1.4124293785310735</v>
      </c>
      <c r="K918" s="42">
        <v>0.9921875</v>
      </c>
      <c r="L918" s="42">
        <v>0.70799999999999996</v>
      </c>
      <c r="M918">
        <v>1</v>
      </c>
    </row>
    <row r="919" spans="3:13" x14ac:dyDescent="0.15">
      <c r="C919" s="43">
        <v>886</v>
      </c>
      <c r="D919" s="42">
        <v>886</v>
      </c>
      <c r="E919" s="42">
        <v>0.70879999999999999</v>
      </c>
      <c r="F919" s="42">
        <v>127</v>
      </c>
      <c r="G919" s="42">
        <v>90.726399999999998</v>
      </c>
      <c r="H919" s="42">
        <v>1.3998130643340858</v>
      </c>
      <c r="I919" s="42">
        <v>1</v>
      </c>
      <c r="J919" s="42">
        <v>1.4108352144469527</v>
      </c>
      <c r="K919" s="42">
        <v>0.9921875</v>
      </c>
      <c r="L919" s="42">
        <v>0.70879999999999999</v>
      </c>
      <c r="M919">
        <v>1</v>
      </c>
    </row>
    <row r="920" spans="3:13" x14ac:dyDescent="0.15">
      <c r="C920" s="43">
        <v>887</v>
      </c>
      <c r="D920" s="42">
        <v>887</v>
      </c>
      <c r="E920" s="42">
        <v>0.70960000000000001</v>
      </c>
      <c r="F920" s="42">
        <v>127</v>
      </c>
      <c r="G920" s="42">
        <v>90.828800000000001</v>
      </c>
      <c r="H920" s="42">
        <v>1.3982349210823</v>
      </c>
      <c r="I920" s="42">
        <v>1</v>
      </c>
      <c r="J920" s="42">
        <v>1.4092446448703495</v>
      </c>
      <c r="K920" s="42">
        <v>0.9921875</v>
      </c>
      <c r="L920" s="42">
        <v>0.70960000000000001</v>
      </c>
      <c r="M920">
        <v>1</v>
      </c>
    </row>
    <row r="921" spans="3:13" x14ac:dyDescent="0.15">
      <c r="C921" s="43">
        <v>888</v>
      </c>
      <c r="D921" s="42">
        <v>888</v>
      </c>
      <c r="E921" s="42">
        <v>0.71040000000000003</v>
      </c>
      <c r="F921" s="42">
        <v>127</v>
      </c>
      <c r="G921" s="42">
        <v>90.931200000000004</v>
      </c>
      <c r="H921" s="42">
        <v>1.3966603322072071</v>
      </c>
      <c r="I921" s="42">
        <v>1</v>
      </c>
      <c r="J921" s="42">
        <v>1.4076576576576576</v>
      </c>
      <c r="K921" s="42">
        <v>0.9921875</v>
      </c>
      <c r="L921" s="42">
        <v>0.71040000000000003</v>
      </c>
      <c r="M921">
        <v>1</v>
      </c>
    </row>
    <row r="922" spans="3:13" x14ac:dyDescent="0.15">
      <c r="C922" s="43">
        <v>889</v>
      </c>
      <c r="D922" s="42">
        <v>889</v>
      </c>
      <c r="E922" s="42">
        <v>0.71120000000000005</v>
      </c>
      <c r="F922" s="42">
        <v>127</v>
      </c>
      <c r="G922" s="42">
        <v>91.033600000000007</v>
      </c>
      <c r="H922" s="42">
        <v>1.3950892857142856</v>
      </c>
      <c r="I922" s="42">
        <v>1</v>
      </c>
      <c r="J922" s="42">
        <v>1.4060742407199098</v>
      </c>
      <c r="K922" s="42">
        <v>0.9921875</v>
      </c>
      <c r="L922" s="42">
        <v>0.71120000000000005</v>
      </c>
      <c r="M922">
        <v>1</v>
      </c>
    </row>
    <row r="923" spans="3:13" x14ac:dyDescent="0.15">
      <c r="C923" s="43">
        <v>890</v>
      </c>
      <c r="D923" s="42">
        <v>890</v>
      </c>
      <c r="E923" s="42">
        <v>0.71199999999999997</v>
      </c>
      <c r="F923" s="42">
        <v>127</v>
      </c>
      <c r="G923" s="42">
        <v>91.13600000000001</v>
      </c>
      <c r="H923" s="42">
        <v>1.3935217696629214</v>
      </c>
      <c r="I923" s="42">
        <v>1</v>
      </c>
      <c r="J923" s="42">
        <v>1.404494382022472</v>
      </c>
      <c r="K923" s="42">
        <v>0.9921875</v>
      </c>
      <c r="L923" s="42">
        <v>0.71199999999999997</v>
      </c>
      <c r="M923">
        <v>1</v>
      </c>
    </row>
    <row r="924" spans="3:13" x14ac:dyDescent="0.15">
      <c r="C924" s="43">
        <v>891</v>
      </c>
      <c r="D924" s="42">
        <v>891</v>
      </c>
      <c r="E924" s="42">
        <v>0.71279999999999999</v>
      </c>
      <c r="F924" s="42">
        <v>127</v>
      </c>
      <c r="G924" s="42">
        <v>91.238399999999999</v>
      </c>
      <c r="H924" s="42">
        <v>1.3919577721661056</v>
      </c>
      <c r="I924" s="42">
        <v>1</v>
      </c>
      <c r="J924" s="42">
        <v>1.4029180695847363</v>
      </c>
      <c r="K924" s="42">
        <v>0.9921875</v>
      </c>
      <c r="L924" s="42">
        <v>0.71279999999999999</v>
      </c>
      <c r="M924">
        <v>1</v>
      </c>
    </row>
    <row r="925" spans="3:13" x14ac:dyDescent="0.15">
      <c r="C925" s="43">
        <v>892</v>
      </c>
      <c r="D925" s="42">
        <v>892</v>
      </c>
      <c r="E925" s="42">
        <v>0.71360000000000001</v>
      </c>
      <c r="F925" s="42">
        <v>127</v>
      </c>
      <c r="G925" s="42">
        <v>91.340800000000002</v>
      </c>
      <c r="H925" s="42">
        <v>1.3903972813901344</v>
      </c>
      <c r="I925" s="42">
        <v>1</v>
      </c>
      <c r="J925" s="42">
        <v>1.4013452914798206</v>
      </c>
      <c r="K925" s="42">
        <v>0.9921875</v>
      </c>
      <c r="L925" s="42">
        <v>0.71360000000000001</v>
      </c>
      <c r="M925">
        <v>1</v>
      </c>
    </row>
    <row r="926" spans="3:13" x14ac:dyDescent="0.15">
      <c r="C926" s="43">
        <v>893</v>
      </c>
      <c r="D926" s="42">
        <v>893</v>
      </c>
      <c r="E926" s="42">
        <v>0.71440000000000003</v>
      </c>
      <c r="F926" s="42">
        <v>127</v>
      </c>
      <c r="G926" s="42">
        <v>91.443200000000004</v>
      </c>
      <c r="H926" s="42">
        <v>1.3888402855543112</v>
      </c>
      <c r="I926" s="42">
        <v>1</v>
      </c>
      <c r="J926" s="42">
        <v>1.3997760358342664</v>
      </c>
      <c r="K926" s="42">
        <v>0.9921875</v>
      </c>
      <c r="L926" s="42">
        <v>0.71440000000000003</v>
      </c>
      <c r="M926">
        <v>1</v>
      </c>
    </row>
    <row r="927" spans="3:13" x14ac:dyDescent="0.15">
      <c r="C927" s="43">
        <v>894</v>
      </c>
      <c r="D927" s="42">
        <v>894</v>
      </c>
      <c r="E927" s="42">
        <v>0.71519999999999995</v>
      </c>
      <c r="F927" s="42">
        <v>127</v>
      </c>
      <c r="G927" s="42">
        <v>91.545600000000007</v>
      </c>
      <c r="H927" s="42">
        <v>1.3872867729306488</v>
      </c>
      <c r="I927" s="42">
        <v>1</v>
      </c>
      <c r="J927" s="42">
        <v>1.3982102908277405</v>
      </c>
      <c r="K927" s="42">
        <v>0.9921875</v>
      </c>
      <c r="L927" s="42">
        <v>0.71519999999999995</v>
      </c>
      <c r="M927">
        <v>1</v>
      </c>
    </row>
    <row r="928" spans="3:13" x14ac:dyDescent="0.15">
      <c r="C928" s="43">
        <v>895</v>
      </c>
      <c r="D928" s="42">
        <v>895</v>
      </c>
      <c r="E928" s="42">
        <v>0.71599999999999997</v>
      </c>
      <c r="F928" s="42">
        <v>127</v>
      </c>
      <c r="G928" s="42">
        <v>91.64800000000001</v>
      </c>
      <c r="H928" s="42">
        <v>1.3857367318435754</v>
      </c>
      <c r="I928" s="42">
        <v>1</v>
      </c>
      <c r="J928" s="42">
        <v>1.3966480446927374</v>
      </c>
      <c r="K928" s="42">
        <v>0.9921875</v>
      </c>
      <c r="L928" s="42">
        <v>0.71599999999999997</v>
      </c>
      <c r="M928">
        <v>1</v>
      </c>
    </row>
    <row r="929" spans="3:13" x14ac:dyDescent="0.15">
      <c r="C929" s="43">
        <v>896</v>
      </c>
      <c r="D929" s="42">
        <v>896</v>
      </c>
      <c r="E929" s="42">
        <v>0.71679999999999999</v>
      </c>
      <c r="F929" s="42">
        <v>127</v>
      </c>
      <c r="G929" s="42">
        <v>91.750399999999999</v>
      </c>
      <c r="H929" s="42">
        <v>1.3841901506696428</v>
      </c>
      <c r="I929" s="42">
        <v>1</v>
      </c>
      <c r="J929" s="42">
        <v>1.3950892857142858</v>
      </c>
      <c r="K929" s="42">
        <v>0.9921875</v>
      </c>
      <c r="L929" s="42">
        <v>0.71679999999999999</v>
      </c>
      <c r="M929">
        <v>1</v>
      </c>
    </row>
    <row r="930" spans="3:13" x14ac:dyDescent="0.15">
      <c r="C930" s="43">
        <v>897</v>
      </c>
      <c r="D930" s="42">
        <v>897</v>
      </c>
      <c r="E930" s="42">
        <v>0.71760000000000002</v>
      </c>
      <c r="F930" s="42">
        <v>127</v>
      </c>
      <c r="G930" s="42">
        <v>91.852800000000002</v>
      </c>
      <c r="H930" s="42">
        <v>1.3826470178372352</v>
      </c>
      <c r="I930" s="42">
        <v>1</v>
      </c>
      <c r="J930" s="42">
        <v>1.3935340022296543</v>
      </c>
      <c r="K930" s="42">
        <v>0.9921875</v>
      </c>
      <c r="L930" s="42">
        <v>0.71760000000000002</v>
      </c>
      <c r="M930">
        <v>1</v>
      </c>
    </row>
    <row r="931" spans="3:13" x14ac:dyDescent="0.15">
      <c r="C931" s="43">
        <v>898</v>
      </c>
      <c r="D931" s="42">
        <v>898</v>
      </c>
      <c r="E931" s="42">
        <v>0.71840000000000004</v>
      </c>
      <c r="F931" s="42">
        <v>127</v>
      </c>
      <c r="G931" s="42">
        <v>91.955200000000005</v>
      </c>
      <c r="H931" s="42">
        <v>1.3811073218262806</v>
      </c>
      <c r="I931" s="42">
        <v>1</v>
      </c>
      <c r="J931" s="42">
        <v>1.3919821826280623</v>
      </c>
      <c r="K931" s="42">
        <v>0.9921875</v>
      </c>
      <c r="L931" s="42">
        <v>0.71840000000000004</v>
      </c>
      <c r="M931">
        <v>1</v>
      </c>
    </row>
    <row r="932" spans="3:13" x14ac:dyDescent="0.15">
      <c r="C932" s="43">
        <v>899</v>
      </c>
      <c r="D932" s="42">
        <v>899</v>
      </c>
      <c r="E932" s="42">
        <v>0.71919999999999995</v>
      </c>
      <c r="F932" s="42">
        <v>127</v>
      </c>
      <c r="G932" s="42">
        <v>92.057600000000008</v>
      </c>
      <c r="H932" s="42">
        <v>1.3795710511679644</v>
      </c>
      <c r="I932" s="42">
        <v>1</v>
      </c>
      <c r="J932" s="42">
        <v>1.3904338153503895</v>
      </c>
      <c r="K932" s="42">
        <v>0.9921875</v>
      </c>
      <c r="L932" s="42">
        <v>0.71919999999999995</v>
      </c>
      <c r="M932">
        <v>1</v>
      </c>
    </row>
    <row r="933" spans="3:13" x14ac:dyDescent="0.15">
      <c r="C933" s="43">
        <v>900</v>
      </c>
      <c r="D933" s="42">
        <v>900</v>
      </c>
      <c r="E933" s="42">
        <v>0.72</v>
      </c>
      <c r="F933" s="42">
        <v>127</v>
      </c>
      <c r="G933" s="42">
        <v>92.160000000000011</v>
      </c>
      <c r="H933" s="42">
        <v>1.3780381944444444</v>
      </c>
      <c r="I933" s="42">
        <v>1</v>
      </c>
      <c r="J933" s="42">
        <v>1.3888888888888888</v>
      </c>
      <c r="K933" s="42">
        <v>0.9921875</v>
      </c>
      <c r="L933" s="42">
        <v>0.72</v>
      </c>
      <c r="M933">
        <v>1</v>
      </c>
    </row>
    <row r="934" spans="3:13" x14ac:dyDescent="0.15">
      <c r="C934" s="43">
        <v>901</v>
      </c>
      <c r="D934" s="42">
        <v>901</v>
      </c>
      <c r="E934" s="42">
        <v>0.7208</v>
      </c>
      <c r="F934" s="42">
        <v>127</v>
      </c>
      <c r="G934" s="42">
        <v>92.2624</v>
      </c>
      <c r="H934" s="42">
        <v>1.3765087402885683</v>
      </c>
      <c r="I934" s="42">
        <v>1</v>
      </c>
      <c r="J934" s="42">
        <v>1.3873473917869035</v>
      </c>
      <c r="K934" s="42">
        <v>0.9921875</v>
      </c>
      <c r="L934" s="42">
        <v>0.7208</v>
      </c>
      <c r="M934">
        <v>1</v>
      </c>
    </row>
    <row r="935" spans="3:13" x14ac:dyDescent="0.15">
      <c r="C935" s="43">
        <v>902</v>
      </c>
      <c r="D935" s="42">
        <v>902</v>
      </c>
      <c r="E935" s="42">
        <v>0.72160000000000002</v>
      </c>
      <c r="F935" s="42">
        <v>127</v>
      </c>
      <c r="G935" s="42">
        <v>92.364800000000002</v>
      </c>
      <c r="H935" s="42">
        <v>1.374982677383592</v>
      </c>
      <c r="I935" s="42">
        <v>1</v>
      </c>
      <c r="J935" s="42">
        <v>1.3858093126385809</v>
      </c>
      <c r="K935" s="42">
        <v>0.9921875</v>
      </c>
      <c r="L935" s="42">
        <v>0.72160000000000002</v>
      </c>
      <c r="M935">
        <v>1</v>
      </c>
    </row>
    <row r="936" spans="3:13" x14ac:dyDescent="0.15">
      <c r="C936" s="43">
        <v>903</v>
      </c>
      <c r="D936" s="42">
        <v>903</v>
      </c>
      <c r="E936" s="42">
        <v>0.72240000000000004</v>
      </c>
      <c r="F936" s="42">
        <v>127</v>
      </c>
      <c r="G936" s="42">
        <v>92.467200000000005</v>
      </c>
      <c r="H936" s="42">
        <v>1.3734599944629013</v>
      </c>
      <c r="I936" s="42">
        <v>1</v>
      </c>
      <c r="J936" s="42">
        <v>1.3842746400885935</v>
      </c>
      <c r="K936" s="42">
        <v>0.9921875</v>
      </c>
      <c r="L936" s="42">
        <v>0.72240000000000004</v>
      </c>
      <c r="M936">
        <v>1</v>
      </c>
    </row>
    <row r="937" spans="3:13" x14ac:dyDescent="0.15">
      <c r="C937" s="43">
        <v>904</v>
      </c>
      <c r="D937" s="42">
        <v>904</v>
      </c>
      <c r="E937" s="42">
        <v>0.72319999999999995</v>
      </c>
      <c r="F937" s="42">
        <v>127</v>
      </c>
      <c r="G937" s="42">
        <v>92.569600000000008</v>
      </c>
      <c r="H937" s="42">
        <v>1.3719406803097347</v>
      </c>
      <c r="I937" s="42">
        <v>1</v>
      </c>
      <c r="J937" s="42">
        <v>1.3827433628318584</v>
      </c>
      <c r="K937" s="42">
        <v>0.9921875</v>
      </c>
      <c r="L937" s="42">
        <v>0.72319999999999995</v>
      </c>
      <c r="M937">
        <v>1</v>
      </c>
    </row>
    <row r="938" spans="3:13" x14ac:dyDescent="0.15">
      <c r="C938" s="43">
        <v>905</v>
      </c>
      <c r="D938" s="42">
        <v>905</v>
      </c>
      <c r="E938" s="42">
        <v>0.72399999999999998</v>
      </c>
      <c r="F938" s="42">
        <v>127</v>
      </c>
      <c r="G938" s="42">
        <v>92.672000000000011</v>
      </c>
      <c r="H938" s="42">
        <v>1.370424723756906</v>
      </c>
      <c r="I938" s="42">
        <v>1</v>
      </c>
      <c r="J938" s="42">
        <v>1.3812154696132597</v>
      </c>
      <c r="K938" s="42">
        <v>0.9921875</v>
      </c>
      <c r="L938" s="42">
        <v>0.72399999999999998</v>
      </c>
      <c r="M938">
        <v>1</v>
      </c>
    </row>
    <row r="939" spans="3:13" x14ac:dyDescent="0.15">
      <c r="C939" s="43">
        <v>906</v>
      </c>
      <c r="D939" s="42">
        <v>906</v>
      </c>
      <c r="E939" s="42">
        <v>0.7248</v>
      </c>
      <c r="F939" s="42">
        <v>127</v>
      </c>
      <c r="G939" s="42">
        <v>92.7744</v>
      </c>
      <c r="H939" s="42">
        <v>1.3689121136865343</v>
      </c>
      <c r="I939" s="42">
        <v>1</v>
      </c>
      <c r="J939" s="42">
        <v>1.379690949227373</v>
      </c>
      <c r="K939" s="42">
        <v>0.9921875</v>
      </c>
      <c r="L939" s="42">
        <v>0.7248</v>
      </c>
      <c r="M939">
        <v>1</v>
      </c>
    </row>
    <row r="940" spans="3:13" x14ac:dyDescent="0.15">
      <c r="C940" s="43">
        <v>907</v>
      </c>
      <c r="D940" s="42">
        <v>907</v>
      </c>
      <c r="E940" s="42">
        <v>0.72560000000000002</v>
      </c>
      <c r="F940" s="42">
        <v>127</v>
      </c>
      <c r="G940" s="42">
        <v>92.876800000000003</v>
      </c>
      <c r="H940" s="42">
        <v>1.3674028390297683</v>
      </c>
      <c r="I940" s="42">
        <v>1</v>
      </c>
      <c r="J940" s="42">
        <v>1.3781697905181918</v>
      </c>
      <c r="K940" s="42">
        <v>0.9921875</v>
      </c>
      <c r="L940" s="42">
        <v>0.72560000000000002</v>
      </c>
      <c r="M940">
        <v>1</v>
      </c>
    </row>
    <row r="941" spans="3:13" x14ac:dyDescent="0.15">
      <c r="C941" s="43">
        <v>908</v>
      </c>
      <c r="D941" s="42">
        <v>908</v>
      </c>
      <c r="E941" s="42">
        <v>0.72640000000000005</v>
      </c>
      <c r="F941" s="42">
        <v>127</v>
      </c>
      <c r="G941" s="42">
        <v>92.979200000000006</v>
      </c>
      <c r="H941" s="42">
        <v>1.3658968887665197</v>
      </c>
      <c r="I941" s="42">
        <v>1</v>
      </c>
      <c r="J941" s="42">
        <v>1.3766519823788546</v>
      </c>
      <c r="K941" s="42">
        <v>0.9921875</v>
      </c>
      <c r="L941" s="42">
        <v>0.72640000000000005</v>
      </c>
      <c r="M941">
        <v>1</v>
      </c>
    </row>
    <row r="942" spans="3:13" x14ac:dyDescent="0.15">
      <c r="C942" s="43">
        <v>909</v>
      </c>
      <c r="D942" s="42">
        <v>909</v>
      </c>
      <c r="E942" s="42">
        <v>0.72719999999999996</v>
      </c>
      <c r="F942" s="42">
        <v>127</v>
      </c>
      <c r="G942" s="42">
        <v>93.081600000000009</v>
      </c>
      <c r="H942" s="42">
        <v>1.3643942519251926</v>
      </c>
      <c r="I942" s="42">
        <v>1</v>
      </c>
      <c r="J942" s="42">
        <v>1.3751375137513753</v>
      </c>
      <c r="K942" s="42">
        <v>0.9921875</v>
      </c>
      <c r="L942" s="42">
        <v>0.72719999999999996</v>
      </c>
      <c r="M942">
        <v>1</v>
      </c>
    </row>
    <row r="943" spans="3:13" x14ac:dyDescent="0.15">
      <c r="C943" s="43">
        <v>910</v>
      </c>
      <c r="D943" s="42">
        <v>910</v>
      </c>
      <c r="E943" s="42">
        <v>0.72799999999999998</v>
      </c>
      <c r="F943" s="42">
        <v>127</v>
      </c>
      <c r="G943" s="42">
        <v>93.183999999999997</v>
      </c>
      <c r="H943" s="42">
        <v>1.3628949175824177</v>
      </c>
      <c r="I943" s="42">
        <v>1</v>
      </c>
      <c r="J943" s="42">
        <v>1.3736263736263736</v>
      </c>
      <c r="K943" s="42">
        <v>0.9921875</v>
      </c>
      <c r="L943" s="42">
        <v>0.72799999999999998</v>
      </c>
      <c r="M943">
        <v>1</v>
      </c>
    </row>
    <row r="944" spans="3:13" x14ac:dyDescent="0.15">
      <c r="C944" s="43">
        <v>911</v>
      </c>
      <c r="D944" s="42">
        <v>911</v>
      </c>
      <c r="E944" s="42">
        <v>0.7288</v>
      </c>
      <c r="F944" s="42">
        <v>127</v>
      </c>
      <c r="G944" s="42">
        <v>93.2864</v>
      </c>
      <c r="H944" s="42">
        <v>1.3613988748627881</v>
      </c>
      <c r="I944" s="42">
        <v>1</v>
      </c>
      <c r="J944" s="42">
        <v>1.37211855104281</v>
      </c>
      <c r="K944" s="42">
        <v>0.9921875</v>
      </c>
      <c r="L944" s="42">
        <v>0.7288</v>
      </c>
      <c r="M944">
        <v>1</v>
      </c>
    </row>
    <row r="945" spans="3:13" x14ac:dyDescent="0.15">
      <c r="C945" s="43">
        <v>912</v>
      </c>
      <c r="D945" s="42">
        <v>912</v>
      </c>
      <c r="E945" s="42">
        <v>0.72960000000000003</v>
      </c>
      <c r="F945" s="42">
        <v>127</v>
      </c>
      <c r="G945" s="42">
        <v>93.388800000000003</v>
      </c>
      <c r="H945" s="42">
        <v>1.3599061129385965</v>
      </c>
      <c r="I945" s="42">
        <v>1</v>
      </c>
      <c r="J945" s="42">
        <v>1.3706140350877192</v>
      </c>
      <c r="K945" s="42">
        <v>0.9921875</v>
      </c>
      <c r="L945" s="42">
        <v>0.72960000000000003</v>
      </c>
      <c r="M945">
        <v>1</v>
      </c>
    </row>
    <row r="946" spans="3:13" x14ac:dyDescent="0.15">
      <c r="C946" s="43">
        <v>913</v>
      </c>
      <c r="D946" s="42">
        <v>913</v>
      </c>
      <c r="E946" s="42">
        <v>0.73040000000000005</v>
      </c>
      <c r="F946" s="42">
        <v>127</v>
      </c>
      <c r="G946" s="42">
        <v>93.491200000000006</v>
      </c>
      <c r="H946" s="42">
        <v>1.3584166210295727</v>
      </c>
      <c r="I946" s="42">
        <v>1</v>
      </c>
      <c r="J946" s="42">
        <v>1.3691128148959473</v>
      </c>
      <c r="K946" s="42">
        <v>0.9921875</v>
      </c>
      <c r="L946" s="42">
        <v>0.73040000000000005</v>
      </c>
      <c r="M946">
        <v>1</v>
      </c>
    </row>
    <row r="947" spans="3:13" x14ac:dyDescent="0.15">
      <c r="C947" s="43">
        <v>914</v>
      </c>
      <c r="D947" s="42">
        <v>914</v>
      </c>
      <c r="E947" s="42">
        <v>0.73119999999999996</v>
      </c>
      <c r="F947" s="42">
        <v>127</v>
      </c>
      <c r="G947" s="42">
        <v>93.593600000000009</v>
      </c>
      <c r="H947" s="42">
        <v>1.3569303884026258</v>
      </c>
      <c r="I947" s="42">
        <v>1</v>
      </c>
      <c r="J947" s="42">
        <v>1.3676148796498906</v>
      </c>
      <c r="K947" s="42">
        <v>0.9921875</v>
      </c>
      <c r="L947" s="42">
        <v>0.73119999999999996</v>
      </c>
      <c r="M947">
        <v>1</v>
      </c>
    </row>
    <row r="948" spans="3:13" x14ac:dyDescent="0.15">
      <c r="C948" s="43">
        <v>915</v>
      </c>
      <c r="D948" s="42">
        <v>915</v>
      </c>
      <c r="E948" s="42">
        <v>0.73199999999999998</v>
      </c>
      <c r="F948" s="42">
        <v>127</v>
      </c>
      <c r="G948" s="42">
        <v>93.695999999999998</v>
      </c>
      <c r="H948" s="42">
        <v>1.3554474043715847</v>
      </c>
      <c r="I948" s="42">
        <v>1</v>
      </c>
      <c r="J948" s="42">
        <v>1.3661202185792349</v>
      </c>
      <c r="K948" s="42">
        <v>0.9921875</v>
      </c>
      <c r="L948" s="42">
        <v>0.73199999999999998</v>
      </c>
      <c r="M948">
        <v>1</v>
      </c>
    </row>
    <row r="949" spans="3:13" x14ac:dyDescent="0.15">
      <c r="C949" s="43">
        <v>916</v>
      </c>
      <c r="D949" s="42">
        <v>916</v>
      </c>
      <c r="E949" s="42">
        <v>0.73280000000000001</v>
      </c>
      <c r="F949" s="42">
        <v>127</v>
      </c>
      <c r="G949" s="42">
        <v>93.798400000000001</v>
      </c>
      <c r="H949" s="42">
        <v>1.3539676582969433</v>
      </c>
      <c r="I949" s="42">
        <v>1</v>
      </c>
      <c r="J949" s="42">
        <v>1.3646288209606987</v>
      </c>
      <c r="K949" s="42">
        <v>0.9921875</v>
      </c>
      <c r="L949" s="42">
        <v>0.73280000000000001</v>
      </c>
      <c r="M949">
        <v>1</v>
      </c>
    </row>
    <row r="950" spans="3:13" x14ac:dyDescent="0.15">
      <c r="C950" s="43">
        <v>917</v>
      </c>
      <c r="D950" s="42">
        <v>917</v>
      </c>
      <c r="E950" s="42">
        <v>0.73360000000000003</v>
      </c>
      <c r="F950" s="42">
        <v>127</v>
      </c>
      <c r="G950" s="42">
        <v>93.900800000000004</v>
      </c>
      <c r="H950" s="42">
        <v>1.3524911395856052</v>
      </c>
      <c r="I950" s="42">
        <v>1</v>
      </c>
      <c r="J950" s="42">
        <v>1.3631406761177753</v>
      </c>
      <c r="K950" s="42">
        <v>0.9921875</v>
      </c>
      <c r="L950" s="42">
        <v>0.73360000000000003</v>
      </c>
      <c r="M950">
        <v>1</v>
      </c>
    </row>
    <row r="951" spans="3:13" x14ac:dyDescent="0.15">
      <c r="C951" s="43">
        <v>918</v>
      </c>
      <c r="D951" s="42">
        <v>918</v>
      </c>
      <c r="E951" s="42">
        <v>0.73440000000000005</v>
      </c>
      <c r="F951" s="42">
        <v>127</v>
      </c>
      <c r="G951" s="42">
        <v>94.003200000000007</v>
      </c>
      <c r="H951" s="42">
        <v>1.3510178376906317</v>
      </c>
      <c r="I951" s="42">
        <v>1</v>
      </c>
      <c r="J951" s="42">
        <v>1.3616557734204793</v>
      </c>
      <c r="K951" s="42">
        <v>0.9921875</v>
      </c>
      <c r="L951" s="42">
        <v>0.73440000000000005</v>
      </c>
      <c r="M951">
        <v>1</v>
      </c>
    </row>
    <row r="952" spans="3:13" x14ac:dyDescent="0.15">
      <c r="C952" s="43">
        <v>919</v>
      </c>
      <c r="D952" s="42">
        <v>919</v>
      </c>
      <c r="E952" s="42">
        <v>0.73519999999999996</v>
      </c>
      <c r="F952" s="42">
        <v>127</v>
      </c>
      <c r="G952" s="42">
        <v>94.10560000000001</v>
      </c>
      <c r="H952" s="42">
        <v>1.3495477421109903</v>
      </c>
      <c r="I952" s="42">
        <v>1</v>
      </c>
      <c r="J952" s="42">
        <v>1.3601741022850926</v>
      </c>
      <c r="K952" s="42">
        <v>0.9921875</v>
      </c>
      <c r="L952" s="42">
        <v>0.73519999999999996</v>
      </c>
      <c r="M952">
        <v>1</v>
      </c>
    </row>
    <row r="953" spans="3:13" x14ac:dyDescent="0.15">
      <c r="C953" s="43">
        <v>920</v>
      </c>
      <c r="D953" s="42">
        <v>920</v>
      </c>
      <c r="E953" s="42">
        <v>0.73599999999999999</v>
      </c>
      <c r="F953" s="42">
        <v>127</v>
      </c>
      <c r="G953" s="42">
        <v>94.207999999999998</v>
      </c>
      <c r="H953" s="42">
        <v>1.3480808423913044</v>
      </c>
      <c r="I953" s="42">
        <v>1</v>
      </c>
      <c r="J953" s="42">
        <v>1.3586956521739131</v>
      </c>
      <c r="K953" s="42">
        <v>0.9921875</v>
      </c>
      <c r="L953" s="42">
        <v>0.73599999999999999</v>
      </c>
      <c r="M953">
        <v>1</v>
      </c>
    </row>
    <row r="954" spans="3:13" x14ac:dyDescent="0.15">
      <c r="C954" s="43">
        <v>921</v>
      </c>
      <c r="D954" s="42">
        <v>921</v>
      </c>
      <c r="E954" s="42">
        <v>0.73680000000000001</v>
      </c>
      <c r="F954" s="42">
        <v>127</v>
      </c>
      <c r="G954" s="42">
        <v>94.310400000000001</v>
      </c>
      <c r="H954" s="42">
        <v>1.3466171281216068</v>
      </c>
      <c r="I954" s="42">
        <v>1</v>
      </c>
      <c r="J954" s="42">
        <v>1.3572204125950054</v>
      </c>
      <c r="K954" s="42">
        <v>0.9921875</v>
      </c>
      <c r="L954" s="42">
        <v>0.73680000000000001</v>
      </c>
      <c r="M954">
        <v>1</v>
      </c>
    </row>
    <row r="955" spans="3:13" x14ac:dyDescent="0.15">
      <c r="C955" s="43">
        <v>922</v>
      </c>
      <c r="D955" s="42">
        <v>922</v>
      </c>
      <c r="E955" s="42">
        <v>0.73760000000000003</v>
      </c>
      <c r="F955" s="42">
        <v>127</v>
      </c>
      <c r="G955" s="42">
        <v>94.412800000000004</v>
      </c>
      <c r="H955" s="42">
        <v>1.3451565889370931</v>
      </c>
      <c r="I955" s="42">
        <v>1</v>
      </c>
      <c r="J955" s="42">
        <v>1.3557483731019522</v>
      </c>
      <c r="K955" s="42">
        <v>0.9921875</v>
      </c>
      <c r="L955" s="42">
        <v>0.73760000000000003</v>
      </c>
      <c r="M955">
        <v>1</v>
      </c>
    </row>
    <row r="956" spans="3:13" x14ac:dyDescent="0.15">
      <c r="C956" s="43">
        <v>923</v>
      </c>
      <c r="D956" s="42">
        <v>923</v>
      </c>
      <c r="E956" s="42">
        <v>0.73839999999999995</v>
      </c>
      <c r="F956" s="42">
        <v>127</v>
      </c>
      <c r="G956" s="42">
        <v>94.515200000000007</v>
      </c>
      <c r="H956" s="42">
        <v>1.3436992145178766</v>
      </c>
      <c r="I956" s="42">
        <v>1</v>
      </c>
      <c r="J956" s="42">
        <v>1.354279523293608</v>
      </c>
      <c r="K956" s="42">
        <v>0.9921875</v>
      </c>
      <c r="L956" s="42">
        <v>0.73839999999999995</v>
      </c>
      <c r="M956">
        <v>1</v>
      </c>
    </row>
    <row r="957" spans="3:13" x14ac:dyDescent="0.15">
      <c r="C957" s="43">
        <v>924</v>
      </c>
      <c r="D957" s="42">
        <v>924</v>
      </c>
      <c r="E957" s="42">
        <v>0.73919999999999997</v>
      </c>
      <c r="F957" s="42">
        <v>127</v>
      </c>
      <c r="G957" s="42">
        <v>94.61760000000001</v>
      </c>
      <c r="H957" s="42">
        <v>1.3422449945887447</v>
      </c>
      <c r="I957" s="42">
        <v>1</v>
      </c>
      <c r="J957" s="42">
        <v>1.3528138528138529</v>
      </c>
      <c r="K957" s="42">
        <v>0.9921875</v>
      </c>
      <c r="L957" s="42">
        <v>0.73919999999999997</v>
      </c>
      <c r="M957">
        <v>1</v>
      </c>
    </row>
    <row r="958" spans="3:13" x14ac:dyDescent="0.15">
      <c r="C958" s="43">
        <v>925</v>
      </c>
      <c r="D958" s="42">
        <v>925</v>
      </c>
      <c r="E958" s="42">
        <v>0.74</v>
      </c>
      <c r="F958" s="42">
        <v>127</v>
      </c>
      <c r="G958" s="42">
        <v>94.72</v>
      </c>
      <c r="H958" s="42">
        <v>1.3407939189189189</v>
      </c>
      <c r="I958" s="42">
        <v>1</v>
      </c>
      <c r="J958" s="42">
        <v>1.3513513513513513</v>
      </c>
      <c r="K958" s="42">
        <v>0.9921875</v>
      </c>
      <c r="L958" s="42">
        <v>0.74</v>
      </c>
      <c r="M958">
        <v>1</v>
      </c>
    </row>
    <row r="959" spans="3:13" x14ac:dyDescent="0.15">
      <c r="C959" s="43">
        <v>926</v>
      </c>
      <c r="D959" s="42">
        <v>926</v>
      </c>
      <c r="E959" s="42">
        <v>0.74080000000000001</v>
      </c>
      <c r="F959" s="42">
        <v>127</v>
      </c>
      <c r="G959" s="42">
        <v>94.822400000000002</v>
      </c>
      <c r="H959" s="42">
        <v>1.3393459773218142</v>
      </c>
      <c r="I959" s="42">
        <v>1</v>
      </c>
      <c r="J959" s="42">
        <v>1.3498920086393089</v>
      </c>
      <c r="K959" s="42">
        <v>0.9921875</v>
      </c>
      <c r="L959" s="42">
        <v>0.74080000000000001</v>
      </c>
      <c r="M959">
        <v>1</v>
      </c>
    </row>
    <row r="960" spans="3:13" x14ac:dyDescent="0.15">
      <c r="C960" s="43">
        <v>927</v>
      </c>
      <c r="D960" s="42">
        <v>927</v>
      </c>
      <c r="E960" s="42">
        <v>0.74160000000000004</v>
      </c>
      <c r="F960" s="42">
        <v>127</v>
      </c>
      <c r="G960" s="42">
        <v>94.924800000000005</v>
      </c>
      <c r="H960" s="42">
        <v>1.3379011596548003</v>
      </c>
      <c r="I960" s="42">
        <v>1</v>
      </c>
      <c r="J960" s="42">
        <v>1.348435814455232</v>
      </c>
      <c r="K960" s="42">
        <v>0.9921875</v>
      </c>
      <c r="L960" s="42">
        <v>0.74160000000000004</v>
      </c>
      <c r="M960">
        <v>1</v>
      </c>
    </row>
    <row r="961" spans="3:13" x14ac:dyDescent="0.15">
      <c r="C961" s="43">
        <v>928</v>
      </c>
      <c r="D961" s="42">
        <v>928</v>
      </c>
      <c r="E961" s="42">
        <v>0.74239999999999995</v>
      </c>
      <c r="F961" s="42">
        <v>127</v>
      </c>
      <c r="G961" s="42">
        <v>95.027200000000008</v>
      </c>
      <c r="H961" s="42">
        <v>1.3364594558189655</v>
      </c>
      <c r="I961" s="42">
        <v>1</v>
      </c>
      <c r="J961" s="42">
        <v>1.3469827586206897</v>
      </c>
      <c r="K961" s="42">
        <v>0.9921875</v>
      </c>
      <c r="L961" s="42">
        <v>0.74239999999999995</v>
      </c>
      <c r="M961">
        <v>1</v>
      </c>
    </row>
    <row r="962" spans="3:13" x14ac:dyDescent="0.15">
      <c r="C962" s="43">
        <v>929</v>
      </c>
      <c r="D962" s="42">
        <v>929</v>
      </c>
      <c r="E962" s="42">
        <v>0.74319999999999997</v>
      </c>
      <c r="F962" s="42">
        <v>127</v>
      </c>
      <c r="G962" s="42">
        <v>95.129600000000011</v>
      </c>
      <c r="H962" s="42">
        <v>1.3350208557588805</v>
      </c>
      <c r="I962" s="42">
        <v>1</v>
      </c>
      <c r="J962" s="42">
        <v>1.3455328310010766</v>
      </c>
      <c r="K962" s="42">
        <v>0.9921875</v>
      </c>
      <c r="L962" s="42">
        <v>0.74319999999999997</v>
      </c>
      <c r="M962">
        <v>1</v>
      </c>
    </row>
    <row r="963" spans="3:13" x14ac:dyDescent="0.15">
      <c r="C963" s="43">
        <v>930</v>
      </c>
      <c r="D963" s="42">
        <v>930</v>
      </c>
      <c r="E963" s="42">
        <v>0.74399999999999999</v>
      </c>
      <c r="F963" s="42">
        <v>127</v>
      </c>
      <c r="G963" s="42">
        <v>95.231999999999999</v>
      </c>
      <c r="H963" s="42">
        <v>1.3335853494623655</v>
      </c>
      <c r="I963" s="42">
        <v>1</v>
      </c>
      <c r="J963" s="42">
        <v>1.3440860215053763</v>
      </c>
      <c r="K963" s="42">
        <v>0.9921875</v>
      </c>
      <c r="L963" s="42">
        <v>0.74399999999999999</v>
      </c>
      <c r="M963">
        <v>1</v>
      </c>
    </row>
    <row r="964" spans="3:13" x14ac:dyDescent="0.15">
      <c r="C964" s="43">
        <v>931</v>
      </c>
      <c r="D964" s="42">
        <v>931</v>
      </c>
      <c r="E964" s="42">
        <v>0.74480000000000002</v>
      </c>
      <c r="F964" s="42">
        <v>127</v>
      </c>
      <c r="G964" s="42">
        <v>95.334400000000002</v>
      </c>
      <c r="H964" s="42">
        <v>1.3321529269602577</v>
      </c>
      <c r="I964" s="42">
        <v>1</v>
      </c>
      <c r="J964" s="42">
        <v>1.342642320085929</v>
      </c>
      <c r="K964" s="42">
        <v>0.9921875</v>
      </c>
      <c r="L964" s="42">
        <v>0.74480000000000002</v>
      </c>
      <c r="M964">
        <v>1</v>
      </c>
    </row>
    <row r="965" spans="3:13" x14ac:dyDescent="0.15">
      <c r="C965" s="43">
        <v>932</v>
      </c>
      <c r="D965" s="42">
        <v>932</v>
      </c>
      <c r="E965" s="42">
        <v>0.74560000000000004</v>
      </c>
      <c r="F965" s="42">
        <v>127</v>
      </c>
      <c r="G965" s="42">
        <v>95.436800000000005</v>
      </c>
      <c r="H965" s="42">
        <v>1.3307235783261802</v>
      </c>
      <c r="I965" s="42">
        <v>1</v>
      </c>
      <c r="J965" s="42">
        <v>1.3412017167381973</v>
      </c>
      <c r="K965" s="42">
        <v>0.9921875</v>
      </c>
      <c r="L965" s="42">
        <v>0.74560000000000004</v>
      </c>
      <c r="M965">
        <v>1</v>
      </c>
    </row>
    <row r="966" spans="3:13" x14ac:dyDescent="0.15">
      <c r="C966" s="43">
        <v>933</v>
      </c>
      <c r="D966" s="42">
        <v>933</v>
      </c>
      <c r="E966" s="42">
        <v>0.74639999999999995</v>
      </c>
      <c r="F966" s="42">
        <v>127</v>
      </c>
      <c r="G966" s="42">
        <v>95.539200000000008</v>
      </c>
      <c r="H966" s="42">
        <v>1.329297293676313</v>
      </c>
      <c r="I966" s="42">
        <v>1</v>
      </c>
      <c r="J966" s="42">
        <v>1.339764201500536</v>
      </c>
      <c r="K966" s="42">
        <v>0.9921875</v>
      </c>
      <c r="L966" s="42">
        <v>0.74639999999999995</v>
      </c>
      <c r="M966">
        <v>1</v>
      </c>
    </row>
    <row r="967" spans="3:13" x14ac:dyDescent="0.15">
      <c r="C967" s="43">
        <v>934</v>
      </c>
      <c r="D967" s="42">
        <v>934</v>
      </c>
      <c r="E967" s="42">
        <v>0.74719999999999998</v>
      </c>
      <c r="F967" s="42">
        <v>127</v>
      </c>
      <c r="G967" s="42">
        <v>95.641600000000011</v>
      </c>
      <c r="H967" s="42">
        <v>1.327874063169165</v>
      </c>
      <c r="I967" s="42">
        <v>1</v>
      </c>
      <c r="J967" s="42">
        <v>1.3383297644539616</v>
      </c>
      <c r="K967" s="42">
        <v>0.9921875</v>
      </c>
      <c r="L967" s="42">
        <v>0.74719999999999998</v>
      </c>
      <c r="M967">
        <v>1</v>
      </c>
    </row>
    <row r="968" spans="3:13" x14ac:dyDescent="0.15">
      <c r="C968" s="43">
        <v>935</v>
      </c>
      <c r="D968" s="42">
        <v>935</v>
      </c>
      <c r="E968" s="42">
        <v>0.748</v>
      </c>
      <c r="F968" s="42">
        <v>127</v>
      </c>
      <c r="G968" s="42">
        <v>95.744</v>
      </c>
      <c r="H968" s="42">
        <v>1.3264538770053476</v>
      </c>
      <c r="I968" s="42">
        <v>1</v>
      </c>
      <c r="J968" s="42">
        <v>1.3368983957219251</v>
      </c>
      <c r="K968" s="42">
        <v>0.9921875</v>
      </c>
      <c r="L968" s="42">
        <v>0.748</v>
      </c>
      <c r="M968">
        <v>1</v>
      </c>
    </row>
    <row r="969" spans="3:13" x14ac:dyDescent="0.15">
      <c r="C969" s="43">
        <v>936</v>
      </c>
      <c r="D969" s="42">
        <v>936</v>
      </c>
      <c r="E969" s="42">
        <v>0.74880000000000002</v>
      </c>
      <c r="F969" s="42">
        <v>127</v>
      </c>
      <c r="G969" s="42">
        <v>95.846400000000003</v>
      </c>
      <c r="H969" s="42">
        <v>1.3250367254273503</v>
      </c>
      <c r="I969" s="42">
        <v>1</v>
      </c>
      <c r="J969" s="42">
        <v>1.3354700854700854</v>
      </c>
      <c r="K969" s="42">
        <v>0.9921875</v>
      </c>
      <c r="L969" s="42">
        <v>0.74880000000000002</v>
      </c>
      <c r="M969">
        <v>1</v>
      </c>
    </row>
    <row r="970" spans="3:13" x14ac:dyDescent="0.15">
      <c r="C970" s="43">
        <v>937</v>
      </c>
      <c r="D970" s="42">
        <v>937</v>
      </c>
      <c r="E970" s="42">
        <v>0.74960000000000004</v>
      </c>
      <c r="F970" s="42">
        <v>127</v>
      </c>
      <c r="G970" s="42">
        <v>95.948800000000006</v>
      </c>
      <c r="H970" s="42">
        <v>1.3236225987193169</v>
      </c>
      <c r="I970" s="42">
        <v>1</v>
      </c>
      <c r="J970" s="42">
        <v>1.3340448239060831</v>
      </c>
      <c r="K970" s="42">
        <v>0.9921875</v>
      </c>
      <c r="L970" s="42">
        <v>0.74960000000000004</v>
      </c>
      <c r="M970">
        <v>1</v>
      </c>
    </row>
    <row r="971" spans="3:13" x14ac:dyDescent="0.15">
      <c r="C971" s="43">
        <v>938</v>
      </c>
      <c r="D971" s="42">
        <v>938</v>
      </c>
      <c r="E971" s="42">
        <v>0.75039999999999996</v>
      </c>
      <c r="F971" s="42">
        <v>127</v>
      </c>
      <c r="G971" s="42">
        <v>96.051200000000009</v>
      </c>
      <c r="H971" s="42">
        <v>1.3222114872068231</v>
      </c>
      <c r="I971" s="42">
        <v>1</v>
      </c>
      <c r="J971" s="42">
        <v>1.3326226012793179</v>
      </c>
      <c r="K971" s="42">
        <v>0.9921875</v>
      </c>
      <c r="L971" s="42">
        <v>0.75039999999999996</v>
      </c>
      <c r="M971">
        <v>1</v>
      </c>
    </row>
    <row r="972" spans="3:13" x14ac:dyDescent="0.15">
      <c r="C972" s="43">
        <v>939</v>
      </c>
      <c r="D972" s="42">
        <v>939</v>
      </c>
      <c r="E972" s="42">
        <v>0.75119999999999998</v>
      </c>
      <c r="F972" s="42">
        <v>127</v>
      </c>
      <c r="G972" s="42">
        <v>96.153600000000012</v>
      </c>
      <c r="H972" s="42">
        <v>1.320803381256656</v>
      </c>
      <c r="I972" s="42">
        <v>1</v>
      </c>
      <c r="J972" s="42">
        <v>1.3312034078807242</v>
      </c>
      <c r="K972" s="42">
        <v>0.9921875</v>
      </c>
      <c r="L972" s="42">
        <v>0.75119999999999998</v>
      </c>
      <c r="M972">
        <v>1</v>
      </c>
    </row>
    <row r="973" spans="3:13" x14ac:dyDescent="0.15">
      <c r="C973" s="43">
        <v>940</v>
      </c>
      <c r="D973" s="42">
        <v>940</v>
      </c>
      <c r="E973" s="42">
        <v>0.752</v>
      </c>
      <c r="F973" s="42">
        <v>127</v>
      </c>
      <c r="G973" s="42">
        <v>96.256</v>
      </c>
      <c r="H973" s="42">
        <v>1.3193982712765957</v>
      </c>
      <c r="I973" s="42">
        <v>1</v>
      </c>
      <c r="J973" s="42">
        <v>1.3297872340425532</v>
      </c>
      <c r="K973" s="42">
        <v>0.9921875</v>
      </c>
      <c r="L973" s="42">
        <v>0.752</v>
      </c>
      <c r="M973">
        <v>1</v>
      </c>
    </row>
    <row r="974" spans="3:13" x14ac:dyDescent="0.15">
      <c r="C974" s="43">
        <v>941</v>
      </c>
      <c r="D974" s="42">
        <v>941</v>
      </c>
      <c r="E974" s="42">
        <v>0.75280000000000002</v>
      </c>
      <c r="F974" s="42">
        <v>127</v>
      </c>
      <c r="G974" s="42">
        <v>96.358400000000003</v>
      </c>
      <c r="H974" s="42">
        <v>1.3179961477151965</v>
      </c>
      <c r="I974" s="42">
        <v>1</v>
      </c>
      <c r="J974" s="42">
        <v>1.3283740701381508</v>
      </c>
      <c r="K974" s="42">
        <v>0.9921875</v>
      </c>
      <c r="L974" s="42">
        <v>0.75280000000000002</v>
      </c>
      <c r="M974">
        <v>1</v>
      </c>
    </row>
    <row r="975" spans="3:13" x14ac:dyDescent="0.15">
      <c r="C975" s="43">
        <v>942</v>
      </c>
      <c r="D975" s="42">
        <v>942</v>
      </c>
      <c r="E975" s="42">
        <v>0.75360000000000005</v>
      </c>
      <c r="F975" s="42">
        <v>127</v>
      </c>
      <c r="G975" s="42">
        <v>96.460800000000006</v>
      </c>
      <c r="H975" s="42">
        <v>1.3165970010615711</v>
      </c>
      <c r="I975" s="42">
        <v>1</v>
      </c>
      <c r="J975" s="42">
        <v>1.3269639065817409</v>
      </c>
      <c r="K975" s="42">
        <v>0.9921875</v>
      </c>
      <c r="L975" s="42">
        <v>0.75360000000000005</v>
      </c>
      <c r="M975">
        <v>1</v>
      </c>
    </row>
    <row r="976" spans="3:13" x14ac:dyDescent="0.15">
      <c r="C976" s="43">
        <v>943</v>
      </c>
      <c r="D976" s="42">
        <v>943</v>
      </c>
      <c r="E976" s="42">
        <v>0.75439999999999996</v>
      </c>
      <c r="F976" s="42">
        <v>127</v>
      </c>
      <c r="G976" s="42">
        <v>96.563200000000009</v>
      </c>
      <c r="H976" s="42">
        <v>1.3152008218451749</v>
      </c>
      <c r="I976" s="42">
        <v>1</v>
      </c>
      <c r="J976" s="42">
        <v>1.3255567338282079</v>
      </c>
      <c r="K976" s="42">
        <v>0.9921875</v>
      </c>
      <c r="L976" s="42">
        <v>0.75439999999999996</v>
      </c>
      <c r="M976">
        <v>1</v>
      </c>
    </row>
    <row r="977" spans="3:13" x14ac:dyDescent="0.15">
      <c r="C977" s="43">
        <v>944</v>
      </c>
      <c r="D977" s="42">
        <v>944</v>
      </c>
      <c r="E977" s="42">
        <v>0.75519999999999998</v>
      </c>
      <c r="F977" s="42">
        <v>127</v>
      </c>
      <c r="G977" s="42">
        <v>96.665599999999998</v>
      </c>
      <c r="H977" s="42">
        <v>1.3138076006355932</v>
      </c>
      <c r="I977" s="42">
        <v>1</v>
      </c>
      <c r="J977" s="42">
        <v>1.3241525423728815</v>
      </c>
      <c r="K977" s="42">
        <v>0.9921875</v>
      </c>
      <c r="L977" s="42">
        <v>0.75519999999999998</v>
      </c>
      <c r="M977">
        <v>1</v>
      </c>
    </row>
    <row r="978" spans="3:13" x14ac:dyDescent="0.15">
      <c r="C978" s="43">
        <v>945</v>
      </c>
      <c r="D978" s="42">
        <v>945</v>
      </c>
      <c r="E978" s="42">
        <v>0.75600000000000001</v>
      </c>
      <c r="F978" s="42">
        <v>127</v>
      </c>
      <c r="G978" s="42">
        <v>96.768000000000001</v>
      </c>
      <c r="H978" s="42">
        <v>1.3124173280423281</v>
      </c>
      <c r="I978" s="42">
        <v>1</v>
      </c>
      <c r="J978" s="42">
        <v>1.3227513227513228</v>
      </c>
      <c r="K978" s="42">
        <v>0.9921875</v>
      </c>
      <c r="L978" s="42">
        <v>0.75600000000000001</v>
      </c>
      <c r="M978">
        <v>1</v>
      </c>
    </row>
    <row r="979" spans="3:13" x14ac:dyDescent="0.15">
      <c r="C979" s="43">
        <v>946</v>
      </c>
      <c r="D979" s="42">
        <v>946</v>
      </c>
      <c r="E979" s="42">
        <v>0.75680000000000003</v>
      </c>
      <c r="F979" s="42">
        <v>127</v>
      </c>
      <c r="G979" s="42">
        <v>96.870400000000004</v>
      </c>
      <c r="H979" s="42">
        <v>1.3110299947145876</v>
      </c>
      <c r="I979" s="42">
        <v>1</v>
      </c>
      <c r="J979" s="42">
        <v>1.3213530655391119</v>
      </c>
      <c r="K979" s="42">
        <v>0.9921875</v>
      </c>
      <c r="L979" s="42">
        <v>0.75680000000000003</v>
      </c>
      <c r="M979">
        <v>1</v>
      </c>
    </row>
    <row r="980" spans="3:13" x14ac:dyDescent="0.15">
      <c r="C980" s="43">
        <v>947</v>
      </c>
      <c r="D980" s="42">
        <v>947</v>
      </c>
      <c r="E980" s="42">
        <v>0.75760000000000005</v>
      </c>
      <c r="F980" s="42">
        <v>128</v>
      </c>
      <c r="G980" s="42">
        <v>96.972800000000007</v>
      </c>
      <c r="H980" s="42">
        <v>1.3199577613516367</v>
      </c>
      <c r="I980" s="42">
        <v>1</v>
      </c>
      <c r="J980" s="42">
        <v>1.3199577613516367</v>
      </c>
      <c r="K980" s="42">
        <v>1</v>
      </c>
      <c r="L980" s="42">
        <v>0.75760000000000005</v>
      </c>
      <c r="M980">
        <v>1</v>
      </c>
    </row>
    <row r="981" spans="3:13" x14ac:dyDescent="0.15">
      <c r="C981" s="43">
        <v>948</v>
      </c>
      <c r="D981" s="42">
        <v>948</v>
      </c>
      <c r="E981" s="42">
        <v>0.75839999999999996</v>
      </c>
      <c r="F981" s="42">
        <v>128</v>
      </c>
      <c r="G981" s="42">
        <v>97.075200000000009</v>
      </c>
      <c r="H981" s="42">
        <v>1.3185654008438819</v>
      </c>
      <c r="I981" s="42">
        <v>1</v>
      </c>
      <c r="J981" s="42">
        <v>1.3185654008438819</v>
      </c>
      <c r="K981" s="42">
        <v>1</v>
      </c>
      <c r="L981" s="42">
        <v>0.75839999999999996</v>
      </c>
      <c r="M981">
        <v>1</v>
      </c>
    </row>
    <row r="982" spans="3:13" x14ac:dyDescent="0.15">
      <c r="C982" s="43">
        <v>949</v>
      </c>
      <c r="D982" s="42">
        <v>949</v>
      </c>
      <c r="E982" s="42">
        <v>0.75919999999999999</v>
      </c>
      <c r="F982" s="42">
        <v>128</v>
      </c>
      <c r="G982" s="42">
        <v>97.177599999999998</v>
      </c>
      <c r="H982" s="42">
        <v>1.3171759747102214</v>
      </c>
      <c r="I982" s="42">
        <v>1</v>
      </c>
      <c r="J982" s="42">
        <v>1.3171759747102214</v>
      </c>
      <c r="K982" s="42">
        <v>1</v>
      </c>
      <c r="L982" s="42">
        <v>0.75919999999999999</v>
      </c>
      <c r="M982">
        <v>1</v>
      </c>
    </row>
    <row r="983" spans="3:13" x14ac:dyDescent="0.15">
      <c r="C983" s="43">
        <v>950</v>
      </c>
      <c r="D983" s="42">
        <v>950</v>
      </c>
      <c r="E983" s="42">
        <v>0.76</v>
      </c>
      <c r="F983" s="42">
        <v>128</v>
      </c>
      <c r="G983" s="42">
        <v>97.28</v>
      </c>
      <c r="H983" s="42">
        <v>1.3157894736842106</v>
      </c>
      <c r="I983" s="42">
        <v>1</v>
      </c>
      <c r="J983" s="42">
        <v>1.3157894736842106</v>
      </c>
      <c r="K983" s="42">
        <v>1</v>
      </c>
      <c r="L983" s="42">
        <v>0.76</v>
      </c>
      <c r="M983">
        <v>1</v>
      </c>
    </row>
    <row r="984" spans="3:13" x14ac:dyDescent="0.15">
      <c r="C984" s="43">
        <v>951</v>
      </c>
      <c r="D984" s="42">
        <v>951</v>
      </c>
      <c r="E984" s="42">
        <v>0.76080000000000003</v>
      </c>
      <c r="F984" s="42">
        <v>128</v>
      </c>
      <c r="G984" s="42">
        <v>97.382400000000004</v>
      </c>
      <c r="H984" s="42">
        <v>1.3144058885383807</v>
      </c>
      <c r="I984" s="42">
        <v>1</v>
      </c>
      <c r="J984" s="42">
        <v>1.3144058885383807</v>
      </c>
      <c r="K984" s="42">
        <v>1</v>
      </c>
      <c r="L984" s="42">
        <v>0.76080000000000003</v>
      </c>
      <c r="M984">
        <v>1</v>
      </c>
    </row>
    <row r="985" spans="3:13" x14ac:dyDescent="0.15">
      <c r="C985" s="43">
        <v>952</v>
      </c>
      <c r="D985" s="42">
        <v>952</v>
      </c>
      <c r="E985" s="42">
        <v>0.76160000000000005</v>
      </c>
      <c r="F985" s="42">
        <v>128</v>
      </c>
      <c r="G985" s="42">
        <v>97.484800000000007</v>
      </c>
      <c r="H985" s="42">
        <v>1.3130252100840336</v>
      </c>
      <c r="I985" s="42">
        <v>1</v>
      </c>
      <c r="J985" s="42">
        <v>1.3130252100840336</v>
      </c>
      <c r="K985" s="42">
        <v>1</v>
      </c>
      <c r="L985" s="42">
        <v>0.76160000000000005</v>
      </c>
      <c r="M985">
        <v>1</v>
      </c>
    </row>
    <row r="986" spans="3:13" x14ac:dyDescent="0.15">
      <c r="C986" s="43">
        <v>953</v>
      </c>
      <c r="D986" s="42">
        <v>953</v>
      </c>
      <c r="E986" s="42">
        <v>0.76239999999999997</v>
      </c>
      <c r="F986" s="42">
        <v>128</v>
      </c>
      <c r="G986" s="42">
        <v>97.58720000000001</v>
      </c>
      <c r="H986" s="42">
        <v>1.3116474291710389</v>
      </c>
      <c r="I986" s="42">
        <v>1</v>
      </c>
      <c r="J986" s="42">
        <v>1.3116474291710389</v>
      </c>
      <c r="K986" s="42">
        <v>1</v>
      </c>
      <c r="L986" s="42">
        <v>0.76239999999999997</v>
      </c>
      <c r="M986">
        <v>1</v>
      </c>
    </row>
    <row r="987" spans="3:13" x14ac:dyDescent="0.15">
      <c r="C987" s="43">
        <v>954</v>
      </c>
      <c r="D987" s="42">
        <v>954</v>
      </c>
      <c r="E987" s="42">
        <v>0.76319999999999999</v>
      </c>
      <c r="F987" s="42">
        <v>128</v>
      </c>
      <c r="G987" s="42">
        <v>97.689599999999999</v>
      </c>
      <c r="H987" s="42">
        <v>1.3102725366876311</v>
      </c>
      <c r="I987" s="42">
        <v>1</v>
      </c>
      <c r="J987" s="42">
        <v>1.3102725366876311</v>
      </c>
      <c r="K987" s="42">
        <v>1</v>
      </c>
      <c r="L987" s="42">
        <v>0.76319999999999999</v>
      </c>
      <c r="M987">
        <v>1</v>
      </c>
    </row>
    <row r="988" spans="3:13" x14ac:dyDescent="0.15">
      <c r="C988" s="43">
        <v>955</v>
      </c>
      <c r="D988" s="42">
        <v>955</v>
      </c>
      <c r="E988" s="42">
        <v>0.76400000000000001</v>
      </c>
      <c r="F988" s="42">
        <v>128</v>
      </c>
      <c r="G988" s="42">
        <v>97.792000000000002</v>
      </c>
      <c r="H988" s="42">
        <v>1.3089005235602094</v>
      </c>
      <c r="I988" s="42">
        <v>1</v>
      </c>
      <c r="J988" s="42">
        <v>1.3089005235602094</v>
      </c>
      <c r="K988" s="42">
        <v>1</v>
      </c>
      <c r="L988" s="42">
        <v>0.76400000000000001</v>
      </c>
      <c r="M988">
        <v>1</v>
      </c>
    </row>
    <row r="989" spans="3:13" x14ac:dyDescent="0.15">
      <c r="C989" s="43">
        <v>956</v>
      </c>
      <c r="D989" s="42">
        <v>956</v>
      </c>
      <c r="E989" s="42">
        <v>0.76480000000000004</v>
      </c>
      <c r="F989" s="42">
        <v>128</v>
      </c>
      <c r="G989" s="42">
        <v>97.894400000000005</v>
      </c>
      <c r="H989" s="42">
        <v>1.3075313807531379</v>
      </c>
      <c r="I989" s="42">
        <v>1</v>
      </c>
      <c r="J989" s="42">
        <v>1.3075313807531379</v>
      </c>
      <c r="K989" s="42">
        <v>1</v>
      </c>
      <c r="L989" s="42">
        <v>0.76480000000000004</v>
      </c>
      <c r="M989">
        <v>1</v>
      </c>
    </row>
    <row r="990" spans="3:13" x14ac:dyDescent="0.15">
      <c r="C990" s="43">
        <v>957</v>
      </c>
      <c r="D990" s="42">
        <v>957</v>
      </c>
      <c r="E990" s="42">
        <v>0.76559999999999995</v>
      </c>
      <c r="F990" s="42">
        <v>128</v>
      </c>
      <c r="G990" s="42">
        <v>97.996800000000007</v>
      </c>
      <c r="H990" s="42">
        <v>1.3061650992685476</v>
      </c>
      <c r="I990" s="42">
        <v>1</v>
      </c>
      <c r="J990" s="42">
        <v>1.3061650992685476</v>
      </c>
      <c r="K990" s="42">
        <v>1</v>
      </c>
      <c r="L990" s="42">
        <v>0.76559999999999995</v>
      </c>
      <c r="M990">
        <v>1</v>
      </c>
    </row>
    <row r="991" spans="3:13" x14ac:dyDescent="0.15">
      <c r="C991" s="43">
        <v>958</v>
      </c>
      <c r="D991" s="42">
        <v>958</v>
      </c>
      <c r="E991" s="42">
        <v>0.76639999999999997</v>
      </c>
      <c r="F991" s="42">
        <v>128</v>
      </c>
      <c r="G991" s="42">
        <v>98.09920000000001</v>
      </c>
      <c r="H991" s="42">
        <v>1.3048016701461378</v>
      </c>
      <c r="I991" s="42">
        <v>1</v>
      </c>
      <c r="J991" s="42">
        <v>1.3048016701461378</v>
      </c>
      <c r="K991" s="42">
        <v>1</v>
      </c>
      <c r="L991" s="42">
        <v>0.76639999999999997</v>
      </c>
      <c r="M991">
        <v>1</v>
      </c>
    </row>
    <row r="992" spans="3:13" x14ac:dyDescent="0.15">
      <c r="C992" s="43">
        <v>959</v>
      </c>
      <c r="D992" s="42">
        <v>959</v>
      </c>
      <c r="E992" s="42">
        <v>0.76719999999999999</v>
      </c>
      <c r="F992" s="42">
        <v>128</v>
      </c>
      <c r="G992" s="42">
        <v>98.201599999999999</v>
      </c>
      <c r="H992" s="42">
        <v>1.3034410844629822</v>
      </c>
      <c r="I992" s="42">
        <v>1</v>
      </c>
      <c r="J992" s="42">
        <v>1.3034410844629822</v>
      </c>
      <c r="K992" s="42">
        <v>1</v>
      </c>
      <c r="L992" s="42">
        <v>0.76719999999999999</v>
      </c>
      <c r="M992">
        <v>1</v>
      </c>
    </row>
    <row r="993" spans="3:13" x14ac:dyDescent="0.15">
      <c r="C993" s="43">
        <v>960</v>
      </c>
      <c r="D993" s="42">
        <v>960</v>
      </c>
      <c r="E993" s="42">
        <v>0.76800000000000002</v>
      </c>
      <c r="F993" s="42">
        <v>128</v>
      </c>
      <c r="G993" s="42">
        <v>98.304000000000002</v>
      </c>
      <c r="H993" s="42">
        <v>1.3020833333333333</v>
      </c>
      <c r="I993" s="42">
        <v>1</v>
      </c>
      <c r="J993" s="42">
        <v>1.3020833333333333</v>
      </c>
      <c r="K993" s="42">
        <v>1</v>
      </c>
      <c r="L993" s="42">
        <v>0.76800000000000002</v>
      </c>
      <c r="M993">
        <v>1</v>
      </c>
    </row>
    <row r="994" spans="3:13" x14ac:dyDescent="0.15">
      <c r="C994" s="43">
        <v>961</v>
      </c>
      <c r="D994" s="42">
        <v>961</v>
      </c>
      <c r="E994" s="42">
        <v>0.76880000000000004</v>
      </c>
      <c r="F994" s="42">
        <v>128</v>
      </c>
      <c r="G994" s="42">
        <v>98.406400000000005</v>
      </c>
      <c r="H994" s="42">
        <v>1.3007284079084287</v>
      </c>
      <c r="I994" s="42">
        <v>1</v>
      </c>
      <c r="J994" s="42">
        <v>1.3007284079084287</v>
      </c>
      <c r="K994" s="42">
        <v>1</v>
      </c>
      <c r="L994" s="42">
        <v>0.76880000000000004</v>
      </c>
      <c r="M994">
        <v>1</v>
      </c>
    </row>
    <row r="995" spans="3:13" x14ac:dyDescent="0.15">
      <c r="C995" s="43">
        <v>962</v>
      </c>
      <c r="D995" s="42">
        <v>962</v>
      </c>
      <c r="E995" s="42">
        <v>0.76959999999999995</v>
      </c>
      <c r="F995" s="42">
        <v>128</v>
      </c>
      <c r="G995" s="42">
        <v>98.508800000000008</v>
      </c>
      <c r="H995" s="42">
        <v>1.2993762993762994</v>
      </c>
      <c r="I995" s="42">
        <v>1</v>
      </c>
      <c r="J995" s="42">
        <v>1.2993762993762994</v>
      </c>
      <c r="K995" s="42">
        <v>1</v>
      </c>
      <c r="L995" s="42">
        <v>0.76959999999999995</v>
      </c>
      <c r="M995">
        <v>1</v>
      </c>
    </row>
    <row r="996" spans="3:13" x14ac:dyDescent="0.15">
      <c r="C996" s="43">
        <v>963</v>
      </c>
      <c r="D996" s="42">
        <v>963</v>
      </c>
      <c r="E996" s="42">
        <v>0.77039999999999997</v>
      </c>
      <c r="F996" s="42">
        <v>128</v>
      </c>
      <c r="G996" s="42">
        <v>98.611200000000011</v>
      </c>
      <c r="H996" s="42">
        <v>1.2980269989615785</v>
      </c>
      <c r="I996" s="42">
        <v>1</v>
      </c>
      <c r="J996" s="42">
        <v>1.2980269989615785</v>
      </c>
      <c r="K996" s="42">
        <v>1</v>
      </c>
      <c r="L996" s="42">
        <v>0.77039999999999997</v>
      </c>
      <c r="M996">
        <v>1</v>
      </c>
    </row>
    <row r="997" spans="3:13" x14ac:dyDescent="0.15">
      <c r="C997" s="43">
        <v>964</v>
      </c>
      <c r="D997" s="42">
        <v>964</v>
      </c>
      <c r="E997" s="42">
        <v>0.7712</v>
      </c>
      <c r="F997" s="42">
        <v>128</v>
      </c>
      <c r="G997" s="42">
        <v>98.7136</v>
      </c>
      <c r="H997" s="42">
        <v>1.2966804979253113</v>
      </c>
      <c r="I997" s="42">
        <v>1</v>
      </c>
      <c r="J997" s="42">
        <v>1.2966804979253113</v>
      </c>
      <c r="K997" s="42">
        <v>1</v>
      </c>
      <c r="L997" s="42">
        <v>0.7712</v>
      </c>
      <c r="M997">
        <v>1</v>
      </c>
    </row>
    <row r="998" spans="3:13" x14ac:dyDescent="0.15">
      <c r="C998" s="43">
        <v>965</v>
      </c>
      <c r="D998" s="42">
        <v>965</v>
      </c>
      <c r="E998" s="42">
        <v>0.77200000000000002</v>
      </c>
      <c r="F998" s="42">
        <v>128</v>
      </c>
      <c r="G998" s="42">
        <v>98.816000000000003</v>
      </c>
      <c r="H998" s="42">
        <v>1.2953367875647668</v>
      </c>
      <c r="I998" s="42">
        <v>1</v>
      </c>
      <c r="J998" s="42">
        <v>1.2953367875647668</v>
      </c>
      <c r="K998" s="42">
        <v>1</v>
      </c>
      <c r="L998" s="42">
        <v>0.77200000000000002</v>
      </c>
      <c r="M998">
        <v>1</v>
      </c>
    </row>
    <row r="999" spans="3:13" x14ac:dyDescent="0.15">
      <c r="C999" s="43">
        <v>966</v>
      </c>
      <c r="D999" s="42">
        <v>966</v>
      </c>
      <c r="E999" s="42">
        <v>0.77280000000000004</v>
      </c>
      <c r="F999" s="42">
        <v>128</v>
      </c>
      <c r="G999" s="42">
        <v>98.918400000000005</v>
      </c>
      <c r="H999" s="42">
        <v>1.2939958592132506</v>
      </c>
      <c r="I999" s="42">
        <v>1</v>
      </c>
      <c r="J999" s="42">
        <v>1.2939958592132506</v>
      </c>
      <c r="K999" s="42">
        <v>1</v>
      </c>
      <c r="L999" s="42">
        <v>0.77280000000000004</v>
      </c>
      <c r="M999">
        <v>1</v>
      </c>
    </row>
    <row r="1000" spans="3:13" x14ac:dyDescent="0.15">
      <c r="C1000" s="43">
        <v>967</v>
      </c>
      <c r="D1000" s="42">
        <v>967</v>
      </c>
      <c r="E1000" s="42">
        <v>0.77359999999999995</v>
      </c>
      <c r="F1000" s="42">
        <v>128</v>
      </c>
      <c r="G1000" s="42">
        <v>99.020800000000008</v>
      </c>
      <c r="H1000" s="42">
        <v>1.2926577042399174</v>
      </c>
      <c r="I1000" s="42">
        <v>1</v>
      </c>
      <c r="J1000" s="42">
        <v>1.2926577042399174</v>
      </c>
      <c r="K1000" s="42">
        <v>1</v>
      </c>
      <c r="L1000" s="42">
        <v>0.77359999999999995</v>
      </c>
      <c r="M1000">
        <v>1</v>
      </c>
    </row>
    <row r="1001" spans="3:13" x14ac:dyDescent="0.15">
      <c r="C1001" s="43">
        <v>968</v>
      </c>
      <c r="D1001" s="42">
        <v>968</v>
      </c>
      <c r="E1001" s="42">
        <v>0.77439999999999998</v>
      </c>
      <c r="F1001" s="42">
        <v>128</v>
      </c>
      <c r="G1001" s="42">
        <v>99.123200000000011</v>
      </c>
      <c r="H1001" s="42">
        <v>1.2913223140495869</v>
      </c>
      <c r="I1001" s="42">
        <v>1</v>
      </c>
      <c r="J1001" s="42">
        <v>1.2913223140495869</v>
      </c>
      <c r="K1001" s="42">
        <v>1</v>
      </c>
      <c r="L1001" s="42">
        <v>0.77439999999999998</v>
      </c>
      <c r="M1001">
        <v>1</v>
      </c>
    </row>
    <row r="1002" spans="3:13" x14ac:dyDescent="0.15">
      <c r="C1002" s="43">
        <v>969</v>
      </c>
      <c r="D1002" s="42">
        <v>969</v>
      </c>
      <c r="E1002" s="42">
        <v>0.7752</v>
      </c>
      <c r="F1002" s="42">
        <v>128</v>
      </c>
      <c r="G1002" s="42">
        <v>99.2256</v>
      </c>
      <c r="H1002" s="42">
        <v>1.2899896800825594</v>
      </c>
      <c r="I1002" s="42">
        <v>1</v>
      </c>
      <c r="J1002" s="42">
        <v>1.2899896800825594</v>
      </c>
      <c r="K1002" s="42">
        <v>1</v>
      </c>
      <c r="L1002" s="42">
        <v>0.7752</v>
      </c>
      <c r="M1002">
        <v>1</v>
      </c>
    </row>
    <row r="1003" spans="3:13" x14ac:dyDescent="0.15">
      <c r="C1003" s="43">
        <v>970</v>
      </c>
      <c r="D1003" s="42">
        <v>970</v>
      </c>
      <c r="E1003" s="42">
        <v>0.77600000000000002</v>
      </c>
      <c r="F1003" s="42">
        <v>128</v>
      </c>
      <c r="G1003" s="42">
        <v>99.328000000000003</v>
      </c>
      <c r="H1003" s="42">
        <v>1.2886597938144329</v>
      </c>
      <c r="I1003" s="42">
        <v>1</v>
      </c>
      <c r="J1003" s="42">
        <v>1.2886597938144329</v>
      </c>
      <c r="K1003" s="42">
        <v>1</v>
      </c>
      <c r="L1003" s="42">
        <v>0.77600000000000002</v>
      </c>
      <c r="M1003">
        <v>1</v>
      </c>
    </row>
    <row r="1004" spans="3:13" x14ac:dyDescent="0.15">
      <c r="C1004" s="43">
        <v>971</v>
      </c>
      <c r="D1004" s="42">
        <v>971</v>
      </c>
      <c r="E1004" s="42">
        <v>0.77680000000000005</v>
      </c>
      <c r="F1004" s="42">
        <v>128</v>
      </c>
      <c r="G1004" s="42">
        <v>99.430400000000006</v>
      </c>
      <c r="H1004" s="42">
        <v>1.2873326467559216</v>
      </c>
      <c r="I1004" s="42">
        <v>1</v>
      </c>
      <c r="J1004" s="42">
        <v>1.2873326467559216</v>
      </c>
      <c r="K1004" s="42">
        <v>1</v>
      </c>
      <c r="L1004" s="42">
        <v>0.77680000000000005</v>
      </c>
      <c r="M1004">
        <v>1</v>
      </c>
    </row>
    <row r="1005" spans="3:13" x14ac:dyDescent="0.15">
      <c r="C1005" s="43">
        <v>972</v>
      </c>
      <c r="D1005" s="42">
        <v>972</v>
      </c>
      <c r="E1005" s="42">
        <v>0.77759999999999996</v>
      </c>
      <c r="F1005" s="42">
        <v>128</v>
      </c>
      <c r="G1005" s="42">
        <v>99.532800000000009</v>
      </c>
      <c r="H1005" s="42">
        <v>1.286008230452675</v>
      </c>
      <c r="I1005" s="42">
        <v>1</v>
      </c>
      <c r="J1005" s="42">
        <v>1.286008230452675</v>
      </c>
      <c r="K1005" s="42">
        <v>1</v>
      </c>
      <c r="L1005" s="42">
        <v>0.77759999999999996</v>
      </c>
      <c r="M1005">
        <v>1</v>
      </c>
    </row>
    <row r="1006" spans="3:13" x14ac:dyDescent="0.15">
      <c r="C1006" s="43">
        <v>973</v>
      </c>
      <c r="D1006" s="42">
        <v>973</v>
      </c>
      <c r="E1006" s="42">
        <v>0.77839999999999998</v>
      </c>
      <c r="F1006" s="42">
        <v>128</v>
      </c>
      <c r="G1006" s="42">
        <v>99.635200000000012</v>
      </c>
      <c r="H1006" s="42">
        <v>1.2846865364850977</v>
      </c>
      <c r="I1006" s="42">
        <v>1</v>
      </c>
      <c r="J1006" s="42">
        <v>1.2846865364850977</v>
      </c>
      <c r="K1006" s="42">
        <v>1</v>
      </c>
      <c r="L1006" s="42">
        <v>0.77839999999999998</v>
      </c>
      <c r="M1006">
        <v>1</v>
      </c>
    </row>
    <row r="1007" spans="3:13" x14ac:dyDescent="0.15">
      <c r="C1007" s="43">
        <v>974</v>
      </c>
      <c r="D1007" s="42">
        <v>974</v>
      </c>
      <c r="E1007" s="42">
        <v>0.7792</v>
      </c>
      <c r="F1007" s="42">
        <v>128</v>
      </c>
      <c r="G1007" s="42">
        <v>99.7376</v>
      </c>
      <c r="H1007" s="42">
        <v>1.2833675564681726</v>
      </c>
      <c r="I1007" s="42">
        <v>1</v>
      </c>
      <c r="J1007" s="42">
        <v>1.2833675564681726</v>
      </c>
      <c r="K1007" s="42">
        <v>1</v>
      </c>
      <c r="L1007" s="42">
        <v>0.7792</v>
      </c>
      <c r="M1007">
        <v>1</v>
      </c>
    </row>
    <row r="1008" spans="3:13" x14ac:dyDescent="0.15">
      <c r="C1008" s="43">
        <v>975</v>
      </c>
      <c r="D1008" s="42">
        <v>975</v>
      </c>
      <c r="E1008" s="42">
        <v>0.78</v>
      </c>
      <c r="F1008" s="42">
        <v>128</v>
      </c>
      <c r="G1008" s="42">
        <v>99.84</v>
      </c>
      <c r="H1008" s="42">
        <v>1.2820512820512819</v>
      </c>
      <c r="I1008" s="42">
        <v>1</v>
      </c>
      <c r="J1008" s="42">
        <v>1.2820512820512819</v>
      </c>
      <c r="K1008" s="42">
        <v>1</v>
      </c>
      <c r="L1008" s="42">
        <v>0.78</v>
      </c>
      <c r="M1008">
        <v>1</v>
      </c>
    </row>
    <row r="1009" spans="3:13" x14ac:dyDescent="0.15">
      <c r="C1009" s="43">
        <v>976</v>
      </c>
      <c r="D1009" s="42">
        <v>976</v>
      </c>
      <c r="E1009" s="42">
        <v>0.78080000000000005</v>
      </c>
      <c r="F1009" s="42">
        <v>128</v>
      </c>
      <c r="G1009" s="42">
        <v>99.942400000000006</v>
      </c>
      <c r="H1009" s="42">
        <v>1.2807377049180326</v>
      </c>
      <c r="I1009" s="42">
        <v>1</v>
      </c>
      <c r="J1009" s="42">
        <v>1.2807377049180326</v>
      </c>
      <c r="K1009" s="42">
        <v>1</v>
      </c>
      <c r="L1009" s="42">
        <v>0.78080000000000005</v>
      </c>
      <c r="M1009">
        <v>1</v>
      </c>
    </row>
    <row r="1010" spans="3:13" x14ac:dyDescent="0.15">
      <c r="C1010" s="43">
        <v>977</v>
      </c>
      <c r="D1010" s="42">
        <v>977</v>
      </c>
      <c r="E1010" s="42">
        <v>0.78159999999999996</v>
      </c>
      <c r="F1010" s="42">
        <v>128</v>
      </c>
      <c r="G1010" s="42">
        <v>100.04480000000001</v>
      </c>
      <c r="H1010" s="42">
        <v>1.2794268167860798</v>
      </c>
      <c r="I1010" s="42">
        <v>1</v>
      </c>
      <c r="J1010" s="42">
        <v>1.2794268167860798</v>
      </c>
      <c r="K1010" s="42">
        <v>1</v>
      </c>
      <c r="L1010" s="42">
        <v>0.78159999999999996</v>
      </c>
      <c r="M1010">
        <v>1</v>
      </c>
    </row>
    <row r="1011" spans="3:13" x14ac:dyDescent="0.15">
      <c r="C1011" s="43">
        <v>978</v>
      </c>
      <c r="D1011" s="42">
        <v>978</v>
      </c>
      <c r="E1011" s="42">
        <v>0.78239999999999998</v>
      </c>
      <c r="F1011" s="42">
        <v>128</v>
      </c>
      <c r="G1011" s="42">
        <v>100.1472</v>
      </c>
      <c r="H1011" s="42">
        <v>1.278118609406953</v>
      </c>
      <c r="I1011" s="42">
        <v>1</v>
      </c>
      <c r="J1011" s="42">
        <v>1.278118609406953</v>
      </c>
      <c r="K1011" s="42">
        <v>1</v>
      </c>
      <c r="L1011" s="42">
        <v>0.78239999999999998</v>
      </c>
      <c r="M1011">
        <v>1</v>
      </c>
    </row>
    <row r="1012" spans="3:13" x14ac:dyDescent="0.15">
      <c r="C1012" s="43">
        <v>979</v>
      </c>
      <c r="D1012" s="42">
        <v>979</v>
      </c>
      <c r="E1012" s="42">
        <v>0.78320000000000001</v>
      </c>
      <c r="F1012" s="42">
        <v>128</v>
      </c>
      <c r="G1012" s="42">
        <v>100.2496</v>
      </c>
      <c r="H1012" s="42">
        <v>1.2768130745658834</v>
      </c>
      <c r="I1012" s="42">
        <v>1</v>
      </c>
      <c r="J1012" s="42">
        <v>1.2768130745658834</v>
      </c>
      <c r="K1012" s="42">
        <v>1</v>
      </c>
      <c r="L1012" s="42">
        <v>0.78320000000000001</v>
      </c>
      <c r="M1012">
        <v>1</v>
      </c>
    </row>
    <row r="1013" spans="3:13" x14ac:dyDescent="0.15">
      <c r="C1013" s="43">
        <v>980</v>
      </c>
      <c r="D1013" s="42">
        <v>980</v>
      </c>
      <c r="E1013" s="42">
        <v>0.78400000000000003</v>
      </c>
      <c r="F1013" s="42">
        <v>128</v>
      </c>
      <c r="G1013" s="42">
        <v>100.352</v>
      </c>
      <c r="H1013" s="42">
        <v>1.2755102040816326</v>
      </c>
      <c r="I1013" s="42">
        <v>1</v>
      </c>
      <c r="J1013" s="42">
        <v>1.2755102040816326</v>
      </c>
      <c r="K1013" s="42">
        <v>1</v>
      </c>
      <c r="L1013" s="42">
        <v>0.78400000000000003</v>
      </c>
      <c r="M1013">
        <v>1</v>
      </c>
    </row>
    <row r="1014" spans="3:13" x14ac:dyDescent="0.15">
      <c r="C1014" s="43">
        <v>981</v>
      </c>
      <c r="D1014" s="42">
        <v>981</v>
      </c>
      <c r="E1014" s="42">
        <v>0.78480000000000005</v>
      </c>
      <c r="F1014" s="42">
        <v>128</v>
      </c>
      <c r="G1014" s="42">
        <v>100.45440000000001</v>
      </c>
      <c r="H1014" s="42">
        <v>1.2742099898063199</v>
      </c>
      <c r="I1014" s="42">
        <v>1</v>
      </c>
      <c r="J1014" s="42">
        <v>1.2742099898063199</v>
      </c>
      <c r="K1014" s="42">
        <v>1</v>
      </c>
      <c r="L1014" s="42">
        <v>0.78480000000000005</v>
      </c>
      <c r="M1014">
        <v>1</v>
      </c>
    </row>
    <row r="1015" spans="3:13" x14ac:dyDescent="0.15">
      <c r="C1015" s="43">
        <v>982</v>
      </c>
      <c r="D1015" s="42">
        <v>982</v>
      </c>
      <c r="E1015" s="42">
        <v>0.78559999999999997</v>
      </c>
      <c r="F1015" s="42">
        <v>128</v>
      </c>
      <c r="G1015" s="42">
        <v>100.55680000000001</v>
      </c>
      <c r="H1015" s="42">
        <v>1.2729124236252547</v>
      </c>
      <c r="I1015" s="42">
        <v>1</v>
      </c>
      <c r="J1015" s="42">
        <v>1.2729124236252547</v>
      </c>
      <c r="K1015" s="42">
        <v>1</v>
      </c>
      <c r="L1015" s="42">
        <v>0.78559999999999997</v>
      </c>
      <c r="M1015">
        <v>1</v>
      </c>
    </row>
    <row r="1016" spans="3:13" x14ac:dyDescent="0.15">
      <c r="C1016" s="43">
        <v>983</v>
      </c>
      <c r="D1016" s="42">
        <v>983</v>
      </c>
      <c r="E1016" s="42">
        <v>0.78639999999999999</v>
      </c>
      <c r="F1016" s="42">
        <v>128</v>
      </c>
      <c r="G1016" s="42">
        <v>100.6592</v>
      </c>
      <c r="H1016" s="42">
        <v>1.2716174974567651</v>
      </c>
      <c r="I1016" s="42">
        <v>1</v>
      </c>
      <c r="J1016" s="42">
        <v>1.2716174974567651</v>
      </c>
      <c r="K1016" s="42">
        <v>1</v>
      </c>
      <c r="L1016" s="42">
        <v>0.78639999999999999</v>
      </c>
      <c r="M1016">
        <v>1</v>
      </c>
    </row>
    <row r="1017" spans="3:13" x14ac:dyDescent="0.15">
      <c r="C1017" s="43">
        <v>984</v>
      </c>
      <c r="D1017" s="42">
        <v>984</v>
      </c>
      <c r="E1017" s="42">
        <v>0.78720000000000001</v>
      </c>
      <c r="F1017" s="42">
        <v>128</v>
      </c>
      <c r="G1017" s="42">
        <v>100.7616</v>
      </c>
      <c r="H1017" s="42">
        <v>1.2703252032520325</v>
      </c>
      <c r="I1017" s="42">
        <v>1</v>
      </c>
      <c r="J1017" s="42">
        <v>1.2703252032520325</v>
      </c>
      <c r="K1017" s="42">
        <v>1</v>
      </c>
      <c r="L1017" s="42">
        <v>0.78720000000000001</v>
      </c>
      <c r="M1017">
        <v>1</v>
      </c>
    </row>
    <row r="1018" spans="3:13" x14ac:dyDescent="0.15">
      <c r="C1018" s="43">
        <v>985</v>
      </c>
      <c r="D1018" s="42">
        <v>985</v>
      </c>
      <c r="E1018" s="42">
        <v>0.78800000000000003</v>
      </c>
      <c r="F1018" s="42">
        <v>128</v>
      </c>
      <c r="G1018" s="42">
        <v>100.864</v>
      </c>
      <c r="H1018" s="42">
        <v>1.2690355329949239</v>
      </c>
      <c r="I1018" s="42">
        <v>1</v>
      </c>
      <c r="J1018" s="42">
        <v>1.2690355329949239</v>
      </c>
      <c r="K1018" s="42">
        <v>1</v>
      </c>
      <c r="L1018" s="42">
        <v>0.78800000000000003</v>
      </c>
      <c r="M1018">
        <v>1</v>
      </c>
    </row>
    <row r="1019" spans="3:13" x14ac:dyDescent="0.15">
      <c r="C1019" s="43">
        <v>986</v>
      </c>
      <c r="D1019" s="42">
        <v>986</v>
      </c>
      <c r="E1019" s="42">
        <v>0.78879999999999995</v>
      </c>
      <c r="F1019" s="42">
        <v>128</v>
      </c>
      <c r="G1019" s="42">
        <v>100.96640000000001</v>
      </c>
      <c r="H1019" s="42">
        <v>1.2677484787018256</v>
      </c>
      <c r="I1019" s="42">
        <v>1</v>
      </c>
      <c r="J1019" s="42">
        <v>1.2677484787018256</v>
      </c>
      <c r="K1019" s="42">
        <v>1</v>
      </c>
      <c r="L1019" s="42">
        <v>0.78879999999999995</v>
      </c>
      <c r="M1019">
        <v>1</v>
      </c>
    </row>
    <row r="1020" spans="3:13" x14ac:dyDescent="0.15">
      <c r="C1020" s="43">
        <v>987</v>
      </c>
      <c r="D1020" s="42">
        <v>987</v>
      </c>
      <c r="E1020" s="42">
        <v>0.78959999999999997</v>
      </c>
      <c r="F1020" s="42">
        <v>128</v>
      </c>
      <c r="G1020" s="42">
        <v>101.06880000000001</v>
      </c>
      <c r="H1020" s="42">
        <v>1.2664640324214793</v>
      </c>
      <c r="I1020" s="42">
        <v>1</v>
      </c>
      <c r="J1020" s="42">
        <v>1.2664640324214793</v>
      </c>
      <c r="K1020" s="42">
        <v>1</v>
      </c>
      <c r="L1020" s="42">
        <v>0.78959999999999997</v>
      </c>
      <c r="M1020">
        <v>1</v>
      </c>
    </row>
    <row r="1021" spans="3:13" x14ac:dyDescent="0.15">
      <c r="C1021" s="43">
        <v>988</v>
      </c>
      <c r="D1021" s="42">
        <v>988</v>
      </c>
      <c r="E1021" s="42">
        <v>0.79039999999999999</v>
      </c>
      <c r="F1021" s="42">
        <v>128</v>
      </c>
      <c r="G1021" s="42">
        <v>101.1712</v>
      </c>
      <c r="H1021" s="42">
        <v>1.2651821862348178</v>
      </c>
      <c r="I1021" s="42">
        <v>1</v>
      </c>
      <c r="J1021" s="42">
        <v>1.2651821862348178</v>
      </c>
      <c r="K1021" s="42">
        <v>1</v>
      </c>
      <c r="L1021" s="42">
        <v>0.79039999999999999</v>
      </c>
      <c r="M1021">
        <v>1</v>
      </c>
    </row>
    <row r="1022" spans="3:13" x14ac:dyDescent="0.15">
      <c r="C1022" s="43">
        <v>989</v>
      </c>
      <c r="D1022" s="42">
        <v>989</v>
      </c>
      <c r="E1022" s="42">
        <v>0.79120000000000001</v>
      </c>
      <c r="F1022" s="42">
        <v>128</v>
      </c>
      <c r="G1022" s="42">
        <v>101.2736</v>
      </c>
      <c r="H1022" s="42">
        <v>1.2639029322548028</v>
      </c>
      <c r="I1022" s="42">
        <v>1</v>
      </c>
      <c r="J1022" s="42">
        <v>1.2639029322548028</v>
      </c>
      <c r="K1022" s="42">
        <v>1</v>
      </c>
      <c r="L1022" s="42">
        <v>0.79120000000000001</v>
      </c>
      <c r="M1022">
        <v>1</v>
      </c>
    </row>
    <row r="1023" spans="3:13" x14ac:dyDescent="0.15">
      <c r="C1023" s="43">
        <v>990</v>
      </c>
      <c r="D1023" s="42">
        <v>990</v>
      </c>
      <c r="E1023" s="42">
        <v>0.79200000000000004</v>
      </c>
      <c r="F1023" s="42">
        <v>128</v>
      </c>
      <c r="G1023" s="42">
        <v>101.376</v>
      </c>
      <c r="H1023" s="42">
        <v>1.2626262626262625</v>
      </c>
      <c r="I1023" s="42">
        <v>1</v>
      </c>
      <c r="J1023" s="42">
        <v>1.2626262626262625</v>
      </c>
      <c r="K1023" s="42">
        <v>1</v>
      </c>
      <c r="L1023" s="42">
        <v>0.79200000000000004</v>
      </c>
      <c r="M1023">
        <v>1</v>
      </c>
    </row>
    <row r="1024" spans="3:13" x14ac:dyDescent="0.15">
      <c r="C1024" s="43">
        <v>991</v>
      </c>
      <c r="D1024" s="42">
        <v>991</v>
      </c>
      <c r="E1024" s="42">
        <v>0.79279999999999995</v>
      </c>
      <c r="F1024" s="42">
        <v>128</v>
      </c>
      <c r="G1024" s="42">
        <v>101.47840000000001</v>
      </c>
      <c r="H1024" s="42">
        <v>1.2613521695257317</v>
      </c>
      <c r="I1024" s="42">
        <v>1</v>
      </c>
      <c r="J1024" s="42">
        <v>1.2613521695257317</v>
      </c>
      <c r="K1024" s="42">
        <v>1</v>
      </c>
      <c r="L1024" s="42">
        <v>0.79279999999999995</v>
      </c>
      <c r="M1024">
        <v>1</v>
      </c>
    </row>
    <row r="1025" spans="3:13" x14ac:dyDescent="0.15">
      <c r="C1025" s="43">
        <v>992</v>
      </c>
      <c r="D1025" s="42">
        <v>992</v>
      </c>
      <c r="E1025" s="42">
        <v>0.79359999999999997</v>
      </c>
      <c r="F1025" s="42">
        <v>128</v>
      </c>
      <c r="G1025" s="42">
        <v>101.58080000000001</v>
      </c>
      <c r="H1025" s="42">
        <v>1.2600806451612903</v>
      </c>
      <c r="I1025" s="42">
        <v>1</v>
      </c>
      <c r="J1025" s="42">
        <v>1.2600806451612903</v>
      </c>
      <c r="K1025" s="42">
        <v>1</v>
      </c>
      <c r="L1025" s="42">
        <v>0.79359999999999997</v>
      </c>
      <c r="M1025">
        <v>1</v>
      </c>
    </row>
    <row r="1026" spans="3:13" x14ac:dyDescent="0.15">
      <c r="C1026" s="43">
        <v>993</v>
      </c>
      <c r="D1026" s="42">
        <v>993</v>
      </c>
      <c r="E1026" s="42">
        <v>0.7944</v>
      </c>
      <c r="F1026" s="42">
        <v>128</v>
      </c>
      <c r="G1026" s="42">
        <v>101.6832</v>
      </c>
      <c r="H1026" s="42">
        <v>1.2588116817724069</v>
      </c>
      <c r="I1026" s="42">
        <v>1</v>
      </c>
      <c r="J1026" s="42">
        <v>1.2588116817724069</v>
      </c>
      <c r="K1026" s="42">
        <v>1</v>
      </c>
      <c r="L1026" s="42">
        <v>0.7944</v>
      </c>
      <c r="M1026">
        <v>1</v>
      </c>
    </row>
    <row r="1027" spans="3:13" x14ac:dyDescent="0.15">
      <c r="C1027" s="43">
        <v>994</v>
      </c>
      <c r="D1027" s="42">
        <v>994</v>
      </c>
      <c r="E1027" s="42">
        <v>0.79520000000000002</v>
      </c>
      <c r="F1027" s="42">
        <v>128</v>
      </c>
      <c r="G1027" s="42">
        <v>101.7856</v>
      </c>
      <c r="H1027" s="42">
        <v>1.2575452716297786</v>
      </c>
      <c r="I1027" s="42">
        <v>1</v>
      </c>
      <c r="J1027" s="42">
        <v>1.2575452716297786</v>
      </c>
      <c r="K1027" s="42">
        <v>1</v>
      </c>
      <c r="L1027" s="42">
        <v>0.79520000000000002</v>
      </c>
      <c r="M1027">
        <v>1</v>
      </c>
    </row>
    <row r="1028" spans="3:13" x14ac:dyDescent="0.15">
      <c r="C1028" s="43">
        <v>995</v>
      </c>
      <c r="D1028" s="42">
        <v>995</v>
      </c>
      <c r="E1028" s="42">
        <v>0.79600000000000004</v>
      </c>
      <c r="F1028" s="42">
        <v>128</v>
      </c>
      <c r="G1028" s="42">
        <v>101.88800000000001</v>
      </c>
      <c r="H1028" s="42">
        <v>1.2562814070351758</v>
      </c>
      <c r="I1028" s="42">
        <v>1</v>
      </c>
      <c r="J1028" s="42">
        <v>1.2562814070351758</v>
      </c>
      <c r="K1028" s="42">
        <v>1</v>
      </c>
      <c r="L1028" s="42">
        <v>0.79600000000000004</v>
      </c>
      <c r="M1028">
        <v>1</v>
      </c>
    </row>
    <row r="1029" spans="3:13" x14ac:dyDescent="0.15">
      <c r="C1029" s="43">
        <v>996</v>
      </c>
      <c r="D1029" s="42">
        <v>996</v>
      </c>
      <c r="E1029" s="42">
        <v>0.79679999999999995</v>
      </c>
      <c r="F1029" s="42">
        <v>128</v>
      </c>
      <c r="G1029" s="42">
        <v>101.99040000000001</v>
      </c>
      <c r="H1029" s="42">
        <v>1.2550200803212852</v>
      </c>
      <c r="I1029" s="42">
        <v>1</v>
      </c>
      <c r="J1029" s="42">
        <v>1.2550200803212852</v>
      </c>
      <c r="K1029" s="42">
        <v>1</v>
      </c>
      <c r="L1029" s="42">
        <v>0.79679999999999995</v>
      </c>
      <c r="M1029">
        <v>1</v>
      </c>
    </row>
    <row r="1030" spans="3:13" x14ac:dyDescent="0.15">
      <c r="C1030" s="43">
        <v>997</v>
      </c>
      <c r="D1030" s="42">
        <v>997</v>
      </c>
      <c r="E1030" s="42">
        <v>0.79759999999999998</v>
      </c>
      <c r="F1030" s="42">
        <v>128</v>
      </c>
      <c r="G1030" s="42">
        <v>102.09280000000001</v>
      </c>
      <c r="H1030" s="42">
        <v>1.2537612838515546</v>
      </c>
      <c r="I1030" s="42">
        <v>1</v>
      </c>
      <c r="J1030" s="42">
        <v>1.2537612838515546</v>
      </c>
      <c r="K1030" s="42">
        <v>1</v>
      </c>
      <c r="L1030" s="42">
        <v>0.79759999999999998</v>
      </c>
      <c r="M1030">
        <v>1</v>
      </c>
    </row>
    <row r="1031" spans="3:13" x14ac:dyDescent="0.15">
      <c r="C1031" s="43">
        <v>998</v>
      </c>
      <c r="D1031" s="42">
        <v>998</v>
      </c>
      <c r="E1031" s="42">
        <v>0.7984</v>
      </c>
      <c r="F1031" s="42">
        <v>128</v>
      </c>
      <c r="G1031" s="42">
        <v>102.1952</v>
      </c>
      <c r="H1031" s="42">
        <v>1.2525050100200401</v>
      </c>
      <c r="I1031" s="42">
        <v>1</v>
      </c>
      <c r="J1031" s="42">
        <v>1.2525050100200401</v>
      </c>
      <c r="K1031" s="42">
        <v>1</v>
      </c>
      <c r="L1031" s="42">
        <v>0.7984</v>
      </c>
      <c r="M1031">
        <v>1</v>
      </c>
    </row>
    <row r="1032" spans="3:13" x14ac:dyDescent="0.15">
      <c r="C1032" s="43">
        <v>999</v>
      </c>
      <c r="D1032" s="42">
        <v>999</v>
      </c>
      <c r="E1032" s="42">
        <v>0.79920000000000002</v>
      </c>
      <c r="F1032" s="42">
        <v>128</v>
      </c>
      <c r="G1032" s="42">
        <v>102.2976</v>
      </c>
      <c r="H1032" s="42">
        <v>1.2512512512512513</v>
      </c>
      <c r="I1032" s="42">
        <v>1</v>
      </c>
      <c r="J1032" s="42">
        <v>1.2512512512512513</v>
      </c>
      <c r="K1032" s="42">
        <v>1</v>
      </c>
      <c r="L1032" s="42">
        <v>0.79920000000000002</v>
      </c>
      <c r="M1032">
        <v>1</v>
      </c>
    </row>
    <row r="1033" spans="3:13" x14ac:dyDescent="0.15">
      <c r="C1033" s="43">
        <v>1000</v>
      </c>
      <c r="D1033" s="42">
        <v>1000</v>
      </c>
      <c r="E1033" s="42">
        <v>0.8</v>
      </c>
      <c r="F1033" s="42">
        <v>128</v>
      </c>
      <c r="G1033" s="42">
        <v>102.4</v>
      </c>
      <c r="H1033" s="42">
        <v>1.25</v>
      </c>
      <c r="I1033" s="42">
        <v>1</v>
      </c>
      <c r="J1033" s="42">
        <v>1.25</v>
      </c>
      <c r="K1033" s="42">
        <v>1</v>
      </c>
      <c r="L1033" s="42">
        <v>0.8</v>
      </c>
      <c r="M1033">
        <v>1</v>
      </c>
    </row>
    <row r="1034" spans="3:13" x14ac:dyDescent="0.15">
      <c r="C1034" s="43">
        <v>1001</v>
      </c>
      <c r="D1034" s="42">
        <v>1001</v>
      </c>
      <c r="E1034" s="42">
        <v>0.80079999999999996</v>
      </c>
      <c r="F1034" s="42">
        <v>128</v>
      </c>
      <c r="G1034" s="42">
        <v>102.50240000000001</v>
      </c>
      <c r="H1034" s="42">
        <v>1.2487512487512489</v>
      </c>
      <c r="I1034" s="42">
        <v>1</v>
      </c>
      <c r="J1034" s="42">
        <v>1.2487512487512489</v>
      </c>
      <c r="K1034" s="42">
        <v>1</v>
      </c>
      <c r="L1034" s="42">
        <v>0.80079999999999996</v>
      </c>
      <c r="M1034">
        <v>1</v>
      </c>
    </row>
    <row r="1035" spans="3:13" x14ac:dyDescent="0.15">
      <c r="C1035" s="43">
        <v>1002</v>
      </c>
      <c r="D1035" s="42">
        <v>1002</v>
      </c>
      <c r="E1035" s="42">
        <v>0.80159999999999998</v>
      </c>
      <c r="F1035" s="42">
        <v>128</v>
      </c>
      <c r="G1035" s="42">
        <v>102.60480000000001</v>
      </c>
      <c r="H1035" s="42">
        <v>1.2475049900199602</v>
      </c>
      <c r="I1035" s="42">
        <v>1</v>
      </c>
      <c r="J1035" s="42">
        <v>1.2475049900199602</v>
      </c>
      <c r="K1035" s="42">
        <v>1</v>
      </c>
      <c r="L1035" s="42">
        <v>0.80159999999999998</v>
      </c>
      <c r="M1035">
        <v>1</v>
      </c>
    </row>
    <row r="1036" spans="3:13" x14ac:dyDescent="0.15">
      <c r="C1036" s="43">
        <v>1003</v>
      </c>
      <c r="D1036" s="42">
        <v>1003</v>
      </c>
      <c r="E1036" s="42">
        <v>0.8024</v>
      </c>
      <c r="F1036" s="42">
        <v>128</v>
      </c>
      <c r="G1036" s="42">
        <v>102.7072</v>
      </c>
      <c r="H1036" s="42">
        <v>1.2462612163509472</v>
      </c>
      <c r="I1036" s="42">
        <v>1</v>
      </c>
      <c r="J1036" s="42">
        <v>1.2462612163509472</v>
      </c>
      <c r="K1036" s="42">
        <v>1</v>
      </c>
      <c r="L1036" s="42">
        <v>0.8024</v>
      </c>
      <c r="M1036">
        <v>1</v>
      </c>
    </row>
    <row r="1037" spans="3:13" x14ac:dyDescent="0.15">
      <c r="C1037" s="43">
        <v>1004</v>
      </c>
      <c r="D1037" s="42">
        <v>1004</v>
      </c>
      <c r="E1037" s="42">
        <v>0.80320000000000003</v>
      </c>
      <c r="F1037" s="42">
        <v>128</v>
      </c>
      <c r="G1037" s="42">
        <v>102.8096</v>
      </c>
      <c r="H1037" s="42">
        <v>1.2450199203187251</v>
      </c>
      <c r="I1037" s="42">
        <v>1</v>
      </c>
      <c r="J1037" s="42">
        <v>1.2450199203187251</v>
      </c>
      <c r="K1037" s="42">
        <v>1</v>
      </c>
      <c r="L1037" s="42">
        <v>0.80320000000000003</v>
      </c>
      <c r="M1037">
        <v>1</v>
      </c>
    </row>
    <row r="1038" spans="3:13" x14ac:dyDescent="0.15">
      <c r="C1038" s="43">
        <v>1005</v>
      </c>
      <c r="D1038" s="42">
        <v>1005</v>
      </c>
      <c r="E1038" s="42">
        <v>0.80400000000000005</v>
      </c>
      <c r="F1038" s="42">
        <v>128</v>
      </c>
      <c r="G1038" s="42">
        <v>102.91200000000001</v>
      </c>
      <c r="H1038" s="42">
        <v>1.2437810945273631</v>
      </c>
      <c r="I1038" s="42">
        <v>1</v>
      </c>
      <c r="J1038" s="42">
        <v>1.2437810945273631</v>
      </c>
      <c r="K1038" s="42">
        <v>1</v>
      </c>
      <c r="L1038" s="42">
        <v>0.80400000000000005</v>
      </c>
      <c r="M1038">
        <v>1</v>
      </c>
    </row>
    <row r="1039" spans="3:13" x14ac:dyDescent="0.15">
      <c r="C1039" s="43">
        <v>1006</v>
      </c>
      <c r="D1039" s="42">
        <v>1006</v>
      </c>
      <c r="E1039" s="42">
        <v>0.80479999999999996</v>
      </c>
      <c r="F1039" s="42">
        <v>128</v>
      </c>
      <c r="G1039" s="42">
        <v>103.01440000000001</v>
      </c>
      <c r="H1039" s="42">
        <v>1.242544731610338</v>
      </c>
      <c r="I1039" s="42">
        <v>1</v>
      </c>
      <c r="J1039" s="42">
        <v>1.242544731610338</v>
      </c>
      <c r="K1039" s="42">
        <v>1</v>
      </c>
      <c r="L1039" s="42">
        <v>0.80479999999999996</v>
      </c>
      <c r="M1039">
        <v>1</v>
      </c>
    </row>
    <row r="1040" spans="3:13" x14ac:dyDescent="0.15">
      <c r="C1040" s="43">
        <v>1007</v>
      </c>
      <c r="D1040" s="42">
        <v>1007</v>
      </c>
      <c r="E1040" s="42">
        <v>0.80559999999999998</v>
      </c>
      <c r="F1040" s="42">
        <v>128</v>
      </c>
      <c r="G1040" s="42">
        <v>103.11680000000001</v>
      </c>
      <c r="H1040" s="42">
        <v>1.2413108242303874</v>
      </c>
      <c r="I1040" s="42">
        <v>1</v>
      </c>
      <c r="J1040" s="42">
        <v>1.2413108242303874</v>
      </c>
      <c r="K1040" s="42">
        <v>1</v>
      </c>
      <c r="L1040" s="42">
        <v>0.80559999999999998</v>
      </c>
      <c r="M1040">
        <v>1</v>
      </c>
    </row>
    <row r="1041" spans="3:13" x14ac:dyDescent="0.15">
      <c r="C1041" s="43">
        <v>1008</v>
      </c>
      <c r="D1041" s="42">
        <v>1008</v>
      </c>
      <c r="E1041" s="42">
        <v>0.80640000000000001</v>
      </c>
      <c r="F1041" s="42">
        <v>128</v>
      </c>
      <c r="G1041" s="42">
        <v>103.2192</v>
      </c>
      <c r="H1041" s="42">
        <v>1.2400793650793651</v>
      </c>
      <c r="I1041" s="42">
        <v>1</v>
      </c>
      <c r="J1041" s="42">
        <v>1.2400793650793651</v>
      </c>
      <c r="K1041" s="42">
        <v>1</v>
      </c>
      <c r="L1041" s="42">
        <v>0.80640000000000001</v>
      </c>
      <c r="M1041">
        <v>1</v>
      </c>
    </row>
    <row r="1042" spans="3:13" x14ac:dyDescent="0.15">
      <c r="C1042" s="43">
        <v>1009</v>
      </c>
      <c r="D1042" s="42">
        <v>1009</v>
      </c>
      <c r="E1042" s="42">
        <v>0.80720000000000003</v>
      </c>
      <c r="F1042" s="42">
        <v>128</v>
      </c>
      <c r="G1042" s="42">
        <v>103.3216</v>
      </c>
      <c r="H1042" s="42">
        <v>1.2388503468780971</v>
      </c>
      <c r="I1042" s="42">
        <v>1</v>
      </c>
      <c r="J1042" s="42">
        <v>1.2388503468780971</v>
      </c>
      <c r="K1042" s="42">
        <v>1</v>
      </c>
      <c r="L1042" s="42">
        <v>0.80720000000000003</v>
      </c>
      <c r="M1042">
        <v>1</v>
      </c>
    </row>
    <row r="1043" spans="3:13" x14ac:dyDescent="0.15">
      <c r="C1043" s="43">
        <v>1010</v>
      </c>
      <c r="D1043" s="42">
        <v>1010</v>
      </c>
      <c r="E1043" s="42">
        <v>0.80800000000000005</v>
      </c>
      <c r="F1043" s="42">
        <v>128</v>
      </c>
      <c r="G1043" s="42">
        <v>103.42400000000001</v>
      </c>
      <c r="H1043" s="42">
        <v>1.2376237623762376</v>
      </c>
      <c r="I1043" s="42">
        <v>1</v>
      </c>
      <c r="J1043" s="42">
        <v>1.2376237623762376</v>
      </c>
      <c r="K1043" s="42">
        <v>1</v>
      </c>
      <c r="L1043" s="42">
        <v>0.80800000000000005</v>
      </c>
      <c r="M1043">
        <v>1</v>
      </c>
    </row>
    <row r="1044" spans="3:13" x14ac:dyDescent="0.15">
      <c r="C1044" s="43">
        <v>1011</v>
      </c>
      <c r="D1044" s="42">
        <v>1011</v>
      </c>
      <c r="E1044" s="42">
        <v>0.80879999999999996</v>
      </c>
      <c r="F1044" s="42">
        <v>128</v>
      </c>
      <c r="G1044" s="42">
        <v>103.52640000000001</v>
      </c>
      <c r="H1044" s="42">
        <v>1.2363996043521266</v>
      </c>
      <c r="I1044" s="42">
        <v>1</v>
      </c>
      <c r="J1044" s="42">
        <v>1.2363996043521266</v>
      </c>
      <c r="K1044" s="42">
        <v>1</v>
      </c>
      <c r="L1044" s="42">
        <v>0.80879999999999996</v>
      </c>
      <c r="M1044">
        <v>1</v>
      </c>
    </row>
    <row r="1045" spans="3:13" x14ac:dyDescent="0.15">
      <c r="C1045" s="43">
        <v>1012</v>
      </c>
      <c r="D1045" s="42">
        <v>1012</v>
      </c>
      <c r="E1045" s="42">
        <v>0.80959999999999999</v>
      </c>
      <c r="F1045" s="42">
        <v>128</v>
      </c>
      <c r="G1045" s="42">
        <v>103.6288</v>
      </c>
      <c r="H1045" s="42">
        <v>1.2351778656126482</v>
      </c>
      <c r="I1045" s="42">
        <v>1</v>
      </c>
      <c r="J1045" s="42">
        <v>1.2351778656126482</v>
      </c>
      <c r="K1045" s="42">
        <v>1</v>
      </c>
      <c r="L1045" s="42">
        <v>0.80959999999999999</v>
      </c>
      <c r="M1045">
        <v>1</v>
      </c>
    </row>
    <row r="1046" spans="3:13" x14ac:dyDescent="0.15">
      <c r="C1046" s="43">
        <v>1013</v>
      </c>
      <c r="D1046" s="42">
        <v>1013</v>
      </c>
      <c r="E1046" s="42">
        <v>0.81040000000000001</v>
      </c>
      <c r="F1046" s="42">
        <v>128</v>
      </c>
      <c r="G1046" s="42">
        <v>103.7312</v>
      </c>
      <c r="H1046" s="42">
        <v>1.2339585389930898</v>
      </c>
      <c r="I1046" s="42">
        <v>1</v>
      </c>
      <c r="J1046" s="42">
        <v>1.2339585389930898</v>
      </c>
      <c r="K1046" s="42">
        <v>1</v>
      </c>
      <c r="L1046" s="42">
        <v>0.81040000000000001</v>
      </c>
      <c r="M1046">
        <v>1</v>
      </c>
    </row>
    <row r="1047" spans="3:13" x14ac:dyDescent="0.15">
      <c r="C1047" s="43">
        <v>1014</v>
      </c>
      <c r="D1047" s="42">
        <v>1014</v>
      </c>
      <c r="E1047" s="42">
        <v>0.81120000000000003</v>
      </c>
      <c r="F1047" s="42">
        <v>128</v>
      </c>
      <c r="G1047" s="42">
        <v>103.8336</v>
      </c>
      <c r="H1047" s="42">
        <v>1.2327416173570018</v>
      </c>
      <c r="I1047" s="42">
        <v>1</v>
      </c>
      <c r="J1047" s="42">
        <v>1.2327416173570018</v>
      </c>
      <c r="K1047" s="42">
        <v>1</v>
      </c>
      <c r="L1047" s="42">
        <v>0.81120000000000003</v>
      </c>
      <c r="M1047">
        <v>1</v>
      </c>
    </row>
    <row r="1048" spans="3:13" x14ac:dyDescent="0.15">
      <c r="C1048" s="43">
        <v>1015</v>
      </c>
      <c r="D1048" s="42">
        <v>1015</v>
      </c>
      <c r="E1048" s="42">
        <v>0.81200000000000006</v>
      </c>
      <c r="F1048" s="42">
        <v>128</v>
      </c>
      <c r="G1048" s="42">
        <v>103.93600000000001</v>
      </c>
      <c r="H1048" s="42">
        <v>1.2315270935960589</v>
      </c>
      <c r="I1048" s="42">
        <v>1</v>
      </c>
      <c r="J1048" s="42">
        <v>1.2315270935960589</v>
      </c>
      <c r="K1048" s="42">
        <v>1</v>
      </c>
      <c r="L1048" s="42">
        <v>0.81200000000000006</v>
      </c>
      <c r="M1048">
        <v>1</v>
      </c>
    </row>
    <row r="1049" spans="3:13" x14ac:dyDescent="0.15">
      <c r="C1049" s="43">
        <v>1016</v>
      </c>
      <c r="D1049" s="42">
        <v>1016</v>
      </c>
      <c r="E1049" s="42">
        <v>0.81279999999999997</v>
      </c>
      <c r="F1049" s="42">
        <v>128</v>
      </c>
      <c r="G1049" s="42">
        <v>104.03840000000001</v>
      </c>
      <c r="H1049" s="42">
        <v>1.2303149606299213</v>
      </c>
      <c r="I1049" s="42">
        <v>1</v>
      </c>
      <c r="J1049" s="42">
        <v>1.2303149606299213</v>
      </c>
      <c r="K1049" s="42">
        <v>1</v>
      </c>
      <c r="L1049" s="42">
        <v>0.81279999999999997</v>
      </c>
      <c r="M1049">
        <v>1</v>
      </c>
    </row>
    <row r="1050" spans="3:13" x14ac:dyDescent="0.15">
      <c r="C1050" s="43">
        <v>1017</v>
      </c>
      <c r="D1050" s="42">
        <v>1017</v>
      </c>
      <c r="E1050" s="42">
        <v>0.81359999999999999</v>
      </c>
      <c r="F1050" s="42">
        <v>128</v>
      </c>
      <c r="G1050" s="42">
        <v>104.1408</v>
      </c>
      <c r="H1050" s="42">
        <v>1.2291052114060963</v>
      </c>
      <c r="I1050" s="42">
        <v>1</v>
      </c>
      <c r="J1050" s="42">
        <v>1.2291052114060963</v>
      </c>
      <c r="K1050" s="42">
        <v>1</v>
      </c>
      <c r="L1050" s="42">
        <v>0.81359999999999999</v>
      </c>
      <c r="M1050">
        <v>1</v>
      </c>
    </row>
    <row r="1051" spans="3:13" x14ac:dyDescent="0.15">
      <c r="C1051" s="43">
        <v>1018</v>
      </c>
      <c r="D1051" s="42">
        <v>1018</v>
      </c>
      <c r="E1051" s="42">
        <v>0.81440000000000001</v>
      </c>
      <c r="F1051" s="42">
        <v>128</v>
      </c>
      <c r="G1051" s="42">
        <v>104.2432</v>
      </c>
      <c r="H1051" s="42">
        <v>1.2278978388998034</v>
      </c>
      <c r="I1051" s="42">
        <v>1</v>
      </c>
      <c r="J1051" s="42">
        <v>1.2278978388998034</v>
      </c>
      <c r="K1051" s="42">
        <v>1</v>
      </c>
      <c r="L1051" s="42">
        <v>0.81440000000000001</v>
      </c>
      <c r="M1051">
        <v>1</v>
      </c>
    </row>
    <row r="1052" spans="3:13" x14ac:dyDescent="0.15">
      <c r="C1052" s="43">
        <v>1019</v>
      </c>
      <c r="D1052" s="42">
        <v>1019</v>
      </c>
      <c r="E1052" s="42">
        <v>0.81520000000000004</v>
      </c>
      <c r="F1052" s="42">
        <v>128</v>
      </c>
      <c r="G1052" s="42">
        <v>104.3456</v>
      </c>
      <c r="H1052" s="42">
        <v>1.2266928361138369</v>
      </c>
      <c r="I1052" s="42">
        <v>1</v>
      </c>
      <c r="J1052" s="42">
        <v>1.2266928361138369</v>
      </c>
      <c r="K1052" s="42">
        <v>1</v>
      </c>
      <c r="L1052" s="42">
        <v>0.81520000000000004</v>
      </c>
      <c r="M1052">
        <v>1</v>
      </c>
    </row>
    <row r="1053" spans="3:13" x14ac:dyDescent="0.15">
      <c r="C1053" s="43">
        <v>1020</v>
      </c>
      <c r="D1053" s="42">
        <v>1020</v>
      </c>
      <c r="E1053" s="42">
        <v>0.81599999999999995</v>
      </c>
      <c r="F1053" s="42">
        <v>128</v>
      </c>
      <c r="G1053" s="42">
        <v>104.44800000000001</v>
      </c>
      <c r="H1053" s="42">
        <v>1.2254901960784315</v>
      </c>
      <c r="I1053" s="42">
        <v>1</v>
      </c>
      <c r="J1053" s="42">
        <v>1.2254901960784315</v>
      </c>
      <c r="K1053" s="42">
        <v>1</v>
      </c>
      <c r="L1053" s="42">
        <v>0.81599999999999995</v>
      </c>
      <c r="M1053">
        <v>1</v>
      </c>
    </row>
    <row r="1054" spans="3:13" x14ac:dyDescent="0.15">
      <c r="C1054" s="43">
        <v>1021</v>
      </c>
      <c r="D1054" s="42">
        <v>1021</v>
      </c>
      <c r="E1054" s="42">
        <v>0.81679999999999997</v>
      </c>
      <c r="F1054" s="42">
        <v>128</v>
      </c>
      <c r="G1054" s="42">
        <v>104.55040000000001</v>
      </c>
      <c r="H1054" s="42">
        <v>1.2242899118511263</v>
      </c>
      <c r="I1054" s="42">
        <v>1</v>
      </c>
      <c r="J1054" s="42">
        <v>1.2242899118511263</v>
      </c>
      <c r="K1054" s="42">
        <v>1</v>
      </c>
      <c r="L1054" s="42">
        <v>0.81679999999999997</v>
      </c>
      <c r="M1054">
        <v>1</v>
      </c>
    </row>
    <row r="1055" spans="3:13" x14ac:dyDescent="0.15">
      <c r="C1055" s="43">
        <v>1022</v>
      </c>
      <c r="D1055" s="42">
        <v>1022</v>
      </c>
      <c r="E1055" s="42">
        <v>0.81759999999999999</v>
      </c>
      <c r="F1055" s="42">
        <v>128</v>
      </c>
      <c r="G1055" s="42">
        <v>104.6528</v>
      </c>
      <c r="H1055" s="42">
        <v>1.2230919765166341</v>
      </c>
      <c r="I1055" s="42">
        <v>1</v>
      </c>
      <c r="J1055" s="42">
        <v>1.2230919765166341</v>
      </c>
      <c r="K1055" s="42">
        <v>1</v>
      </c>
      <c r="L1055" s="42">
        <v>0.81759999999999999</v>
      </c>
      <c r="M1055">
        <v>1</v>
      </c>
    </row>
    <row r="1056" spans="3:13" x14ac:dyDescent="0.15">
      <c r="C1056" s="43">
        <v>1023</v>
      </c>
      <c r="D1056" s="42">
        <v>1023</v>
      </c>
      <c r="E1056" s="42">
        <v>0.81840000000000002</v>
      </c>
      <c r="F1056" s="42">
        <v>128</v>
      </c>
      <c r="G1056" s="42">
        <v>104.7552</v>
      </c>
      <c r="H1056" s="42">
        <v>1.2218963831867058</v>
      </c>
      <c r="I1056" s="42">
        <v>1</v>
      </c>
      <c r="J1056" s="42">
        <v>1.2218963831867058</v>
      </c>
      <c r="K1056" s="42">
        <v>1</v>
      </c>
      <c r="L1056" s="42">
        <v>0.81840000000000002</v>
      </c>
      <c r="M1056">
        <v>1</v>
      </c>
    </row>
    <row r="1057" spans="3:13" x14ac:dyDescent="0.15">
      <c r="C1057" s="43">
        <v>1024</v>
      </c>
      <c r="D1057" s="42">
        <v>1024</v>
      </c>
      <c r="E1057" s="42">
        <v>0.81920000000000004</v>
      </c>
      <c r="F1057" s="42">
        <v>128</v>
      </c>
      <c r="G1057" s="42">
        <v>104.85760000000001</v>
      </c>
      <c r="H1057" s="42">
        <v>1.220703125</v>
      </c>
      <c r="I1057" s="42">
        <v>1</v>
      </c>
      <c r="J1057" s="42">
        <v>1.220703125</v>
      </c>
      <c r="K1057" s="42">
        <v>1</v>
      </c>
      <c r="L1057" s="42">
        <v>0.81920000000000004</v>
      </c>
      <c r="M1057">
        <v>1</v>
      </c>
    </row>
    <row r="1058" spans="3:13" x14ac:dyDescent="0.15">
      <c r="C1058" s="43">
        <v>1025</v>
      </c>
      <c r="D1058" s="42">
        <v>1025</v>
      </c>
      <c r="E1058" s="42">
        <v>0.82</v>
      </c>
      <c r="F1058" s="42">
        <v>128</v>
      </c>
      <c r="G1058" s="42">
        <v>104.96000000000001</v>
      </c>
      <c r="H1058" s="42">
        <v>1.2195121951219512</v>
      </c>
      <c r="I1058" s="42">
        <v>1</v>
      </c>
      <c r="J1058" s="42">
        <v>1.2195121951219512</v>
      </c>
      <c r="K1058" s="42">
        <v>1</v>
      </c>
      <c r="L1058" s="42">
        <v>0.82</v>
      </c>
      <c r="M1058">
        <v>1</v>
      </c>
    </row>
    <row r="1059" spans="3:13" x14ac:dyDescent="0.15">
      <c r="C1059" s="43">
        <v>1026</v>
      </c>
      <c r="D1059" s="42">
        <v>1026</v>
      </c>
      <c r="E1059" s="42">
        <v>0.82079999999999997</v>
      </c>
      <c r="F1059" s="42">
        <v>128</v>
      </c>
      <c r="G1059" s="42">
        <v>105.06240000000001</v>
      </c>
      <c r="H1059" s="42">
        <v>1.2183235867446394</v>
      </c>
      <c r="I1059" s="42">
        <v>1</v>
      </c>
      <c r="J1059" s="42">
        <v>1.2183235867446394</v>
      </c>
      <c r="K1059" s="42">
        <v>1</v>
      </c>
      <c r="L1059" s="42">
        <v>0.82079999999999997</v>
      </c>
      <c r="M1059">
        <v>1</v>
      </c>
    </row>
    <row r="1060" spans="3:13" x14ac:dyDescent="0.15">
      <c r="C1060" s="43">
        <v>1027</v>
      </c>
      <c r="D1060" s="42">
        <v>1027</v>
      </c>
      <c r="E1060" s="42">
        <v>0.8216</v>
      </c>
      <c r="F1060" s="42">
        <v>128</v>
      </c>
      <c r="G1060" s="42">
        <v>105.1648</v>
      </c>
      <c r="H1060" s="42">
        <v>1.2171372930866602</v>
      </c>
      <c r="I1060" s="42">
        <v>1</v>
      </c>
      <c r="J1060" s="42">
        <v>1.2171372930866602</v>
      </c>
      <c r="K1060" s="42">
        <v>1</v>
      </c>
      <c r="L1060" s="42">
        <v>0.8216</v>
      </c>
      <c r="M1060">
        <v>1</v>
      </c>
    </row>
    <row r="1061" spans="3:13" x14ac:dyDescent="0.15">
      <c r="C1061" s="43">
        <v>1028</v>
      </c>
      <c r="D1061" s="42">
        <v>1028</v>
      </c>
      <c r="E1061" s="42">
        <v>0.82240000000000002</v>
      </c>
      <c r="F1061" s="42">
        <v>128</v>
      </c>
      <c r="G1061" s="42">
        <v>105.2672</v>
      </c>
      <c r="H1061" s="42">
        <v>1.215953307392996</v>
      </c>
      <c r="I1061" s="42">
        <v>1</v>
      </c>
      <c r="J1061" s="42">
        <v>1.215953307392996</v>
      </c>
      <c r="K1061" s="42">
        <v>1</v>
      </c>
      <c r="L1061" s="42">
        <v>0.82240000000000002</v>
      </c>
      <c r="M1061">
        <v>1</v>
      </c>
    </row>
    <row r="1062" spans="3:13" x14ac:dyDescent="0.15">
      <c r="C1062" s="43">
        <v>1029</v>
      </c>
      <c r="D1062" s="42">
        <v>1029</v>
      </c>
      <c r="E1062" s="42">
        <v>0.82320000000000004</v>
      </c>
      <c r="F1062" s="42">
        <v>128</v>
      </c>
      <c r="G1062" s="42">
        <v>105.36960000000001</v>
      </c>
      <c r="H1062" s="42">
        <v>1.2147716229348882</v>
      </c>
      <c r="I1062" s="42">
        <v>1</v>
      </c>
      <c r="J1062" s="42">
        <v>1.2147716229348882</v>
      </c>
      <c r="K1062" s="42">
        <v>1</v>
      </c>
      <c r="L1062" s="42">
        <v>0.82320000000000004</v>
      </c>
      <c r="M1062">
        <v>1</v>
      </c>
    </row>
    <row r="1063" spans="3:13" x14ac:dyDescent="0.15">
      <c r="C1063" s="43">
        <v>1030</v>
      </c>
      <c r="D1063" s="42">
        <v>1030</v>
      </c>
      <c r="E1063" s="42">
        <v>0.82399999999999995</v>
      </c>
      <c r="F1063" s="42">
        <v>128</v>
      </c>
      <c r="G1063" s="42">
        <v>105.47200000000001</v>
      </c>
      <c r="H1063" s="42">
        <v>1.2135922330097089</v>
      </c>
      <c r="I1063" s="42">
        <v>1</v>
      </c>
      <c r="J1063" s="42">
        <v>1.2135922330097089</v>
      </c>
      <c r="K1063" s="42">
        <v>1</v>
      </c>
      <c r="L1063" s="42">
        <v>0.82399999999999995</v>
      </c>
      <c r="M1063">
        <v>1</v>
      </c>
    </row>
    <row r="1064" spans="3:13" x14ac:dyDescent="0.15">
      <c r="C1064" s="43">
        <v>1031</v>
      </c>
      <c r="D1064" s="42">
        <v>1031</v>
      </c>
      <c r="E1064" s="42">
        <v>0.82479999999999998</v>
      </c>
      <c r="F1064" s="42">
        <v>128</v>
      </c>
      <c r="G1064" s="42">
        <v>105.57440000000001</v>
      </c>
      <c r="H1064" s="42">
        <v>1.2124151309408342</v>
      </c>
      <c r="I1064" s="42">
        <v>1</v>
      </c>
      <c r="J1064" s="42">
        <v>1.2124151309408342</v>
      </c>
      <c r="K1064" s="42">
        <v>1</v>
      </c>
      <c r="L1064" s="42">
        <v>0.82479999999999998</v>
      </c>
      <c r="M1064">
        <v>1</v>
      </c>
    </row>
    <row r="1065" spans="3:13" x14ac:dyDescent="0.15">
      <c r="C1065" s="43">
        <v>1032</v>
      </c>
      <c r="D1065" s="42">
        <v>1032</v>
      </c>
      <c r="E1065" s="42">
        <v>0.8256</v>
      </c>
      <c r="F1065" s="42">
        <v>128</v>
      </c>
      <c r="G1065" s="42">
        <v>105.6768</v>
      </c>
      <c r="H1065" s="42">
        <v>1.2112403100775193</v>
      </c>
      <c r="I1065" s="42">
        <v>1</v>
      </c>
      <c r="J1065" s="42">
        <v>1.2112403100775193</v>
      </c>
      <c r="K1065" s="42">
        <v>1</v>
      </c>
      <c r="L1065" s="42">
        <v>0.8256</v>
      </c>
      <c r="M1065">
        <v>1</v>
      </c>
    </row>
    <row r="1066" spans="3:13" x14ac:dyDescent="0.15">
      <c r="C1066" s="43">
        <v>1033</v>
      </c>
      <c r="D1066" s="42">
        <v>1033</v>
      </c>
      <c r="E1066" s="42">
        <v>0.82640000000000002</v>
      </c>
      <c r="F1066" s="42">
        <v>128</v>
      </c>
      <c r="G1066" s="42">
        <v>105.7792</v>
      </c>
      <c r="H1066" s="42">
        <v>1.2100677637947725</v>
      </c>
      <c r="I1066" s="42">
        <v>1</v>
      </c>
      <c r="J1066" s="42">
        <v>1.2100677637947725</v>
      </c>
      <c r="K1066" s="42">
        <v>1</v>
      </c>
      <c r="L1066" s="42">
        <v>0.82640000000000002</v>
      </c>
      <c r="M1066">
        <v>1</v>
      </c>
    </row>
    <row r="1067" spans="3:13" x14ac:dyDescent="0.15">
      <c r="C1067" s="43">
        <v>1034</v>
      </c>
      <c r="D1067" s="42">
        <v>1034</v>
      </c>
      <c r="E1067" s="42">
        <v>0.82720000000000005</v>
      </c>
      <c r="F1067" s="42">
        <v>128</v>
      </c>
      <c r="G1067" s="42">
        <v>105.88160000000001</v>
      </c>
      <c r="H1067" s="42">
        <v>1.2088974854932302</v>
      </c>
      <c r="I1067" s="42">
        <v>1</v>
      </c>
      <c r="J1067" s="42">
        <v>1.2088974854932302</v>
      </c>
      <c r="K1067" s="42">
        <v>1</v>
      </c>
      <c r="L1067" s="42">
        <v>0.82720000000000005</v>
      </c>
      <c r="M1067">
        <v>1</v>
      </c>
    </row>
    <row r="1068" spans="3:13" x14ac:dyDescent="0.15">
      <c r="C1068" s="43">
        <v>1035</v>
      </c>
      <c r="D1068" s="42">
        <v>1035</v>
      </c>
      <c r="E1068" s="42">
        <v>0.82799999999999996</v>
      </c>
      <c r="F1068" s="42">
        <v>128</v>
      </c>
      <c r="G1068" s="42">
        <v>105.98400000000001</v>
      </c>
      <c r="H1068" s="42">
        <v>1.2077294685990339</v>
      </c>
      <c r="I1068" s="42">
        <v>1</v>
      </c>
      <c r="J1068" s="42">
        <v>1.2077294685990339</v>
      </c>
      <c r="K1068" s="42">
        <v>1</v>
      </c>
      <c r="L1068" s="42">
        <v>0.82799999999999996</v>
      </c>
      <c r="M1068">
        <v>1</v>
      </c>
    </row>
    <row r="1069" spans="3:13" x14ac:dyDescent="0.15">
      <c r="C1069" s="43">
        <v>1036</v>
      </c>
      <c r="D1069" s="42">
        <v>1036</v>
      </c>
      <c r="E1069" s="42">
        <v>0.82879999999999998</v>
      </c>
      <c r="F1069" s="42">
        <v>128</v>
      </c>
      <c r="G1069" s="42">
        <v>106.08640000000001</v>
      </c>
      <c r="H1069" s="42">
        <v>1.2065637065637065</v>
      </c>
      <c r="I1069" s="42">
        <v>1</v>
      </c>
      <c r="J1069" s="42">
        <v>1.2065637065637065</v>
      </c>
      <c r="K1069" s="42">
        <v>1</v>
      </c>
      <c r="L1069" s="42">
        <v>0.82879999999999998</v>
      </c>
      <c r="M1069">
        <v>1</v>
      </c>
    </row>
    <row r="1070" spans="3:13" x14ac:dyDescent="0.15">
      <c r="C1070" s="43">
        <v>1037</v>
      </c>
      <c r="D1070" s="42">
        <v>1037</v>
      </c>
      <c r="E1070" s="42">
        <v>0.8296</v>
      </c>
      <c r="F1070" s="42">
        <v>128</v>
      </c>
      <c r="G1070" s="42">
        <v>106.1888</v>
      </c>
      <c r="H1070" s="42">
        <v>1.2054001928640308</v>
      </c>
      <c r="I1070" s="42">
        <v>1</v>
      </c>
      <c r="J1070" s="42">
        <v>1.2054001928640308</v>
      </c>
      <c r="K1070" s="42">
        <v>1</v>
      </c>
      <c r="L1070" s="42">
        <v>0.8296</v>
      </c>
      <c r="M1070">
        <v>1</v>
      </c>
    </row>
    <row r="1071" spans="3:13" x14ac:dyDescent="0.15">
      <c r="C1071" s="43">
        <v>1038</v>
      </c>
      <c r="D1071" s="42">
        <v>1038</v>
      </c>
      <c r="E1071" s="42">
        <v>0.83040000000000003</v>
      </c>
      <c r="F1071" s="42">
        <v>128</v>
      </c>
      <c r="G1071" s="42">
        <v>106.2912</v>
      </c>
      <c r="H1071" s="42">
        <v>1.2042389210019266</v>
      </c>
      <c r="I1071" s="42">
        <v>1</v>
      </c>
      <c r="J1071" s="42">
        <v>1.2042389210019266</v>
      </c>
      <c r="K1071" s="42">
        <v>1</v>
      </c>
      <c r="L1071" s="42">
        <v>0.83040000000000003</v>
      </c>
      <c r="M1071">
        <v>1</v>
      </c>
    </row>
    <row r="1072" spans="3:13" x14ac:dyDescent="0.15">
      <c r="C1072" s="43">
        <v>1039</v>
      </c>
      <c r="D1072" s="42">
        <v>1039</v>
      </c>
      <c r="E1072" s="42">
        <v>0.83120000000000005</v>
      </c>
      <c r="F1072" s="42">
        <v>128</v>
      </c>
      <c r="G1072" s="42">
        <v>106.39360000000001</v>
      </c>
      <c r="H1072" s="42">
        <v>1.2030798845043311</v>
      </c>
      <c r="I1072" s="42">
        <v>1</v>
      </c>
      <c r="J1072" s="42">
        <v>1.2030798845043311</v>
      </c>
      <c r="K1072" s="42">
        <v>1</v>
      </c>
      <c r="L1072" s="42">
        <v>0.83120000000000005</v>
      </c>
      <c r="M1072">
        <v>1</v>
      </c>
    </row>
    <row r="1073" spans="3:13" x14ac:dyDescent="0.15">
      <c r="C1073" s="43">
        <v>1040</v>
      </c>
      <c r="D1073" s="42">
        <v>1040</v>
      </c>
      <c r="E1073" s="42">
        <v>0.83199999999999996</v>
      </c>
      <c r="F1073" s="42">
        <v>128</v>
      </c>
      <c r="G1073" s="42">
        <v>106.49600000000001</v>
      </c>
      <c r="H1073" s="42">
        <v>1.2019230769230769</v>
      </c>
      <c r="I1073" s="42">
        <v>1</v>
      </c>
      <c r="J1073" s="42">
        <v>1.2019230769230769</v>
      </c>
      <c r="K1073" s="42">
        <v>1</v>
      </c>
      <c r="L1073" s="42">
        <v>0.83199999999999996</v>
      </c>
      <c r="M1073">
        <v>1</v>
      </c>
    </row>
    <row r="1074" spans="3:13" x14ac:dyDescent="0.15">
      <c r="C1074" s="43">
        <v>1041</v>
      </c>
      <c r="D1074" s="42">
        <v>1041</v>
      </c>
      <c r="E1074" s="42">
        <v>0.83279999999999998</v>
      </c>
      <c r="F1074" s="42">
        <v>128</v>
      </c>
      <c r="G1074" s="42">
        <v>106.5984</v>
      </c>
      <c r="H1074" s="42">
        <v>1.2007684918347743</v>
      </c>
      <c r="I1074" s="42">
        <v>1</v>
      </c>
      <c r="J1074" s="42">
        <v>1.2007684918347743</v>
      </c>
      <c r="K1074" s="42">
        <v>1</v>
      </c>
      <c r="L1074" s="42">
        <v>0.83279999999999998</v>
      </c>
      <c r="M1074">
        <v>1</v>
      </c>
    </row>
    <row r="1075" spans="3:13" x14ac:dyDescent="0.15">
      <c r="C1075" s="43">
        <v>1042</v>
      </c>
      <c r="D1075" s="42">
        <v>1042</v>
      </c>
      <c r="E1075" s="42">
        <v>0.83360000000000001</v>
      </c>
      <c r="F1075" s="42">
        <v>128</v>
      </c>
      <c r="G1075" s="42">
        <v>106.7008</v>
      </c>
      <c r="H1075" s="42">
        <v>1.199616122840691</v>
      </c>
      <c r="I1075" s="42">
        <v>1</v>
      </c>
      <c r="J1075" s="42">
        <v>1.199616122840691</v>
      </c>
      <c r="K1075" s="42">
        <v>1</v>
      </c>
      <c r="L1075" s="42">
        <v>0.83360000000000001</v>
      </c>
      <c r="M1075">
        <v>1</v>
      </c>
    </row>
    <row r="1076" spans="3:13" x14ac:dyDescent="0.15">
      <c r="C1076" s="43">
        <v>1043</v>
      </c>
      <c r="D1076" s="42">
        <v>1043</v>
      </c>
      <c r="E1076" s="42">
        <v>0.83440000000000003</v>
      </c>
      <c r="F1076" s="42">
        <v>128</v>
      </c>
      <c r="G1076" s="42">
        <v>106.8032</v>
      </c>
      <c r="H1076" s="42">
        <v>1.1984659635666346</v>
      </c>
      <c r="I1076" s="42">
        <v>1</v>
      </c>
      <c r="J1076" s="42">
        <v>1.1984659635666346</v>
      </c>
      <c r="K1076" s="42">
        <v>1</v>
      </c>
      <c r="L1076" s="42">
        <v>0.83440000000000003</v>
      </c>
      <c r="M1076">
        <v>1</v>
      </c>
    </row>
    <row r="1077" spans="3:13" x14ac:dyDescent="0.15">
      <c r="C1077" s="43">
        <v>1044</v>
      </c>
      <c r="D1077" s="42">
        <v>1044</v>
      </c>
      <c r="E1077" s="42">
        <v>0.83520000000000005</v>
      </c>
      <c r="F1077" s="42">
        <v>128</v>
      </c>
      <c r="G1077" s="42">
        <v>106.90560000000001</v>
      </c>
      <c r="H1077" s="42">
        <v>1.1973180076628351</v>
      </c>
      <c r="I1077" s="42">
        <v>1</v>
      </c>
      <c r="J1077" s="42">
        <v>1.1973180076628351</v>
      </c>
      <c r="K1077" s="42">
        <v>1</v>
      </c>
      <c r="L1077" s="42">
        <v>0.83520000000000005</v>
      </c>
      <c r="M1077">
        <v>1</v>
      </c>
    </row>
    <row r="1078" spans="3:13" x14ac:dyDescent="0.15">
      <c r="C1078" s="43">
        <v>1045</v>
      </c>
      <c r="D1078" s="42">
        <v>1045</v>
      </c>
      <c r="E1078" s="42">
        <v>0.83599999999999997</v>
      </c>
      <c r="F1078" s="42">
        <v>128</v>
      </c>
      <c r="G1078" s="42">
        <v>107.00800000000001</v>
      </c>
      <c r="H1078" s="42">
        <v>1.1961722488038278</v>
      </c>
      <c r="I1078" s="42">
        <v>1</v>
      </c>
      <c r="J1078" s="42">
        <v>1.1961722488038278</v>
      </c>
      <c r="K1078" s="42">
        <v>1</v>
      </c>
      <c r="L1078" s="42">
        <v>0.83599999999999997</v>
      </c>
      <c r="M1078">
        <v>1</v>
      </c>
    </row>
    <row r="1079" spans="3:13" x14ac:dyDescent="0.15">
      <c r="C1079" s="43">
        <v>1046</v>
      </c>
      <c r="D1079" s="42">
        <v>1046</v>
      </c>
      <c r="E1079" s="42">
        <v>0.83679999999999999</v>
      </c>
      <c r="F1079" s="42">
        <v>128</v>
      </c>
      <c r="G1079" s="42">
        <v>107.1104</v>
      </c>
      <c r="H1079" s="42">
        <v>1.1950286806883366</v>
      </c>
      <c r="I1079" s="42">
        <v>1</v>
      </c>
      <c r="J1079" s="42">
        <v>1.1950286806883366</v>
      </c>
      <c r="K1079" s="42">
        <v>1</v>
      </c>
      <c r="L1079" s="42">
        <v>0.83679999999999999</v>
      </c>
      <c r="M1079">
        <v>1</v>
      </c>
    </row>
    <row r="1080" spans="3:13" x14ac:dyDescent="0.15">
      <c r="C1080" s="43">
        <v>1047</v>
      </c>
      <c r="D1080" s="42">
        <v>1047</v>
      </c>
      <c r="E1080" s="42">
        <v>0.83760000000000001</v>
      </c>
      <c r="F1080" s="42">
        <v>128</v>
      </c>
      <c r="G1080" s="42">
        <v>107.2128</v>
      </c>
      <c r="H1080" s="42">
        <v>1.1938872970391594</v>
      </c>
      <c r="I1080" s="42">
        <v>1</v>
      </c>
      <c r="J1080" s="42">
        <v>1.1938872970391594</v>
      </c>
      <c r="K1080" s="42">
        <v>1</v>
      </c>
      <c r="L1080" s="42">
        <v>0.83760000000000001</v>
      </c>
      <c r="M1080">
        <v>1</v>
      </c>
    </row>
    <row r="1081" spans="3:13" x14ac:dyDescent="0.15">
      <c r="C1081" s="43">
        <v>1048</v>
      </c>
      <c r="D1081" s="42">
        <v>1048</v>
      </c>
      <c r="E1081" s="42">
        <v>0.83840000000000003</v>
      </c>
      <c r="F1081" s="42">
        <v>128</v>
      </c>
      <c r="G1081" s="42">
        <v>107.3152</v>
      </c>
      <c r="H1081" s="42">
        <v>1.1927480916030533</v>
      </c>
      <c r="I1081" s="42">
        <v>1</v>
      </c>
      <c r="J1081" s="42">
        <v>1.1927480916030533</v>
      </c>
      <c r="K1081" s="42">
        <v>1</v>
      </c>
      <c r="L1081" s="42">
        <v>0.83840000000000003</v>
      </c>
      <c r="M1081">
        <v>1</v>
      </c>
    </row>
    <row r="1082" spans="3:13" x14ac:dyDescent="0.15">
      <c r="C1082" s="43">
        <v>1049</v>
      </c>
      <c r="D1082" s="42">
        <v>1049</v>
      </c>
      <c r="E1082" s="42">
        <v>0.83919999999999995</v>
      </c>
      <c r="F1082" s="42">
        <v>128</v>
      </c>
      <c r="G1082" s="42">
        <v>107.41760000000001</v>
      </c>
      <c r="H1082" s="42">
        <v>1.1916110581506196</v>
      </c>
      <c r="I1082" s="42">
        <v>1</v>
      </c>
      <c r="J1082" s="42">
        <v>1.1916110581506196</v>
      </c>
      <c r="K1082" s="42">
        <v>1</v>
      </c>
      <c r="L1082" s="42">
        <v>0.83919999999999995</v>
      </c>
      <c r="M1082">
        <v>1</v>
      </c>
    </row>
    <row r="1083" spans="3:13" x14ac:dyDescent="0.15">
      <c r="C1083" s="43">
        <v>1050</v>
      </c>
      <c r="D1083" s="42">
        <v>1050</v>
      </c>
      <c r="E1083" s="42">
        <v>0.84</v>
      </c>
      <c r="F1083" s="42">
        <v>128</v>
      </c>
      <c r="G1083" s="42">
        <v>107.52000000000001</v>
      </c>
      <c r="H1083" s="42">
        <v>1.1904761904761905</v>
      </c>
      <c r="I1083" s="42">
        <v>1</v>
      </c>
      <c r="J1083" s="42">
        <v>1.1904761904761905</v>
      </c>
      <c r="K1083" s="42">
        <v>1</v>
      </c>
      <c r="L1083" s="42">
        <v>0.84</v>
      </c>
      <c r="M1083">
        <v>1</v>
      </c>
    </row>
    <row r="1084" spans="3:13" x14ac:dyDescent="0.15">
      <c r="C1084" s="43">
        <v>1051</v>
      </c>
      <c r="D1084" s="42">
        <v>1051</v>
      </c>
      <c r="E1084" s="42">
        <v>0.84079999999999999</v>
      </c>
      <c r="F1084" s="42">
        <v>128</v>
      </c>
      <c r="G1084" s="42">
        <v>107.6224</v>
      </c>
      <c r="H1084" s="42">
        <v>1.1893434823977165</v>
      </c>
      <c r="I1084" s="42">
        <v>1</v>
      </c>
      <c r="J1084" s="42">
        <v>1.1893434823977165</v>
      </c>
      <c r="K1084" s="42">
        <v>1</v>
      </c>
      <c r="L1084" s="42">
        <v>0.84079999999999999</v>
      </c>
      <c r="M1084">
        <v>1</v>
      </c>
    </row>
    <row r="1085" spans="3:13" x14ac:dyDescent="0.15">
      <c r="C1085" s="43">
        <v>1052</v>
      </c>
      <c r="D1085" s="42">
        <v>1052</v>
      </c>
      <c r="E1085" s="42">
        <v>0.84160000000000001</v>
      </c>
      <c r="F1085" s="42">
        <v>128</v>
      </c>
      <c r="G1085" s="42">
        <v>107.7248</v>
      </c>
      <c r="H1085" s="42">
        <v>1.188212927756654</v>
      </c>
      <c r="I1085" s="42">
        <v>1</v>
      </c>
      <c r="J1085" s="42">
        <v>1.188212927756654</v>
      </c>
      <c r="K1085" s="42">
        <v>1</v>
      </c>
      <c r="L1085" s="42">
        <v>0.84160000000000001</v>
      </c>
      <c r="M1085">
        <v>1</v>
      </c>
    </row>
    <row r="1086" spans="3:13" x14ac:dyDescent="0.15">
      <c r="C1086" s="43">
        <v>1053</v>
      </c>
      <c r="D1086" s="42">
        <v>1053</v>
      </c>
      <c r="E1086" s="42">
        <v>0.84240000000000004</v>
      </c>
      <c r="F1086" s="42">
        <v>128</v>
      </c>
      <c r="G1086" s="42">
        <v>107.8272</v>
      </c>
      <c r="H1086" s="42">
        <v>1.1870845204178537</v>
      </c>
      <c r="I1086" s="42">
        <v>1</v>
      </c>
      <c r="J1086" s="42">
        <v>1.1870845204178537</v>
      </c>
      <c r="K1086" s="42">
        <v>1</v>
      </c>
      <c r="L1086" s="42">
        <v>0.84240000000000004</v>
      </c>
      <c r="M1086">
        <v>1</v>
      </c>
    </row>
    <row r="1087" spans="3:13" x14ac:dyDescent="0.15">
      <c r="C1087" s="43">
        <v>1054</v>
      </c>
      <c r="D1087" s="42">
        <v>1054</v>
      </c>
      <c r="E1087" s="42">
        <v>0.84319999999999995</v>
      </c>
      <c r="F1087" s="42">
        <v>128</v>
      </c>
      <c r="G1087" s="42">
        <v>107.92960000000001</v>
      </c>
      <c r="H1087" s="42">
        <v>1.1859582542694498</v>
      </c>
      <c r="I1087" s="42">
        <v>1</v>
      </c>
      <c r="J1087" s="42">
        <v>1.1859582542694498</v>
      </c>
      <c r="K1087" s="42">
        <v>1</v>
      </c>
      <c r="L1087" s="42">
        <v>0.84319999999999995</v>
      </c>
      <c r="M1087">
        <v>1</v>
      </c>
    </row>
    <row r="1088" spans="3:13" x14ac:dyDescent="0.15">
      <c r="C1088" s="43">
        <v>1055</v>
      </c>
      <c r="D1088" s="42">
        <v>1055</v>
      </c>
      <c r="E1088" s="42">
        <v>0.84399999999999997</v>
      </c>
      <c r="F1088" s="42">
        <v>128</v>
      </c>
      <c r="G1088" s="42">
        <v>108.03200000000001</v>
      </c>
      <c r="H1088" s="42">
        <v>1.1848341232227488</v>
      </c>
      <c r="I1088" s="42">
        <v>1</v>
      </c>
      <c r="J1088" s="42">
        <v>1.1848341232227488</v>
      </c>
      <c r="K1088" s="42">
        <v>1</v>
      </c>
      <c r="L1088" s="42">
        <v>0.84399999999999997</v>
      </c>
      <c r="M1088">
        <v>1</v>
      </c>
    </row>
    <row r="1089" spans="3:13" x14ac:dyDescent="0.15">
      <c r="C1089" s="43">
        <v>1056</v>
      </c>
      <c r="D1089" s="42">
        <v>1056</v>
      </c>
      <c r="E1089" s="42">
        <v>0.8448</v>
      </c>
      <c r="F1089" s="42">
        <v>128</v>
      </c>
      <c r="G1089" s="42">
        <v>108.1344</v>
      </c>
      <c r="H1089" s="42">
        <v>1.1837121212121213</v>
      </c>
      <c r="I1089" s="42">
        <v>1</v>
      </c>
      <c r="J1089" s="42">
        <v>1.1837121212121213</v>
      </c>
      <c r="K1089" s="42">
        <v>1</v>
      </c>
      <c r="L1089" s="42">
        <v>0.8448</v>
      </c>
      <c r="M1089">
        <v>1</v>
      </c>
    </row>
    <row r="1090" spans="3:13" x14ac:dyDescent="0.15">
      <c r="C1090" s="43">
        <v>1057</v>
      </c>
      <c r="D1090" s="42">
        <v>1057</v>
      </c>
      <c r="E1090" s="42">
        <v>0.84560000000000002</v>
      </c>
      <c r="F1090" s="42">
        <v>128</v>
      </c>
      <c r="G1090" s="42">
        <v>108.2368</v>
      </c>
      <c r="H1090" s="42">
        <v>1.1825922421948911</v>
      </c>
      <c r="I1090" s="42">
        <v>1</v>
      </c>
      <c r="J1090" s="42">
        <v>1.1825922421948911</v>
      </c>
      <c r="K1090" s="42">
        <v>1</v>
      </c>
      <c r="L1090" s="42">
        <v>0.84560000000000002</v>
      </c>
      <c r="M1090">
        <v>1</v>
      </c>
    </row>
    <row r="1091" spans="3:13" x14ac:dyDescent="0.15">
      <c r="C1091" s="43">
        <v>1058</v>
      </c>
      <c r="D1091" s="42">
        <v>1058</v>
      </c>
      <c r="E1091" s="42">
        <v>0.84640000000000004</v>
      </c>
      <c r="F1091" s="42">
        <v>128</v>
      </c>
      <c r="G1091" s="42">
        <v>108.33920000000001</v>
      </c>
      <c r="H1091" s="42">
        <v>1.1814744801512287</v>
      </c>
      <c r="I1091" s="42">
        <v>1</v>
      </c>
      <c r="J1091" s="42">
        <v>1.1814744801512287</v>
      </c>
      <c r="K1091" s="42">
        <v>1</v>
      </c>
      <c r="L1091" s="42">
        <v>0.84640000000000004</v>
      </c>
      <c r="M1091">
        <v>1</v>
      </c>
    </row>
    <row r="1092" spans="3:13" x14ac:dyDescent="0.15">
      <c r="C1092" s="43">
        <v>1059</v>
      </c>
      <c r="D1092" s="42">
        <v>1059</v>
      </c>
      <c r="E1092" s="42">
        <v>0.84719999999999995</v>
      </c>
      <c r="F1092" s="42">
        <v>128</v>
      </c>
      <c r="G1092" s="42">
        <v>108.44160000000001</v>
      </c>
      <c r="H1092" s="42">
        <v>1.1803588290840417</v>
      </c>
      <c r="I1092" s="42">
        <v>1</v>
      </c>
      <c r="J1092" s="42">
        <v>1.1803588290840417</v>
      </c>
      <c r="K1092" s="42">
        <v>1</v>
      </c>
      <c r="L1092" s="42">
        <v>0.84719999999999995</v>
      </c>
      <c r="M1092">
        <v>1</v>
      </c>
    </row>
    <row r="1093" spans="3:13" x14ac:dyDescent="0.15">
      <c r="C1093" s="43">
        <v>1060</v>
      </c>
      <c r="D1093" s="42">
        <v>1060</v>
      </c>
      <c r="E1093" s="42">
        <v>0.84799999999999998</v>
      </c>
      <c r="F1093" s="42">
        <v>128</v>
      </c>
      <c r="G1093" s="42">
        <v>108.54400000000001</v>
      </c>
      <c r="H1093" s="42">
        <v>1.179245283018868</v>
      </c>
      <c r="I1093" s="42">
        <v>1</v>
      </c>
      <c r="J1093" s="42">
        <v>1.179245283018868</v>
      </c>
      <c r="K1093" s="42">
        <v>1</v>
      </c>
      <c r="L1093" s="42">
        <v>0.84799999999999998</v>
      </c>
      <c r="M1093">
        <v>1</v>
      </c>
    </row>
    <row r="1094" spans="3:13" x14ac:dyDescent="0.15">
      <c r="C1094" s="43">
        <v>1061</v>
      </c>
      <c r="D1094" s="42">
        <v>1061</v>
      </c>
      <c r="E1094" s="42">
        <v>0.8488</v>
      </c>
      <c r="F1094" s="42">
        <v>128</v>
      </c>
      <c r="G1094" s="42">
        <v>108.6464</v>
      </c>
      <c r="H1094" s="42">
        <v>1.1781338360037701</v>
      </c>
      <c r="I1094" s="42">
        <v>1</v>
      </c>
      <c r="J1094" s="42">
        <v>1.1781338360037701</v>
      </c>
      <c r="K1094" s="42">
        <v>1</v>
      </c>
      <c r="L1094" s="42">
        <v>0.8488</v>
      </c>
      <c r="M1094">
        <v>1</v>
      </c>
    </row>
    <row r="1095" spans="3:13" x14ac:dyDescent="0.15">
      <c r="C1095" s="43">
        <v>1062</v>
      </c>
      <c r="D1095" s="42">
        <v>1062</v>
      </c>
      <c r="E1095" s="42">
        <v>0.84960000000000002</v>
      </c>
      <c r="F1095" s="42">
        <v>128</v>
      </c>
      <c r="G1095" s="42">
        <v>108.7488</v>
      </c>
      <c r="H1095" s="42">
        <v>1.1770244821092279</v>
      </c>
      <c r="I1095" s="42">
        <v>1</v>
      </c>
      <c r="J1095" s="42">
        <v>1.1770244821092279</v>
      </c>
      <c r="K1095" s="42">
        <v>1</v>
      </c>
      <c r="L1095" s="42">
        <v>0.84960000000000002</v>
      </c>
      <c r="M1095">
        <v>1</v>
      </c>
    </row>
    <row r="1096" spans="3:13" x14ac:dyDescent="0.15">
      <c r="C1096" s="43">
        <v>1063</v>
      </c>
      <c r="D1096" s="42">
        <v>1063</v>
      </c>
      <c r="E1096" s="42">
        <v>0.85040000000000004</v>
      </c>
      <c r="F1096" s="42">
        <v>128</v>
      </c>
      <c r="G1096" s="42">
        <v>108.85120000000001</v>
      </c>
      <c r="H1096" s="42">
        <v>1.1759172154280337</v>
      </c>
      <c r="I1096" s="42">
        <v>1</v>
      </c>
      <c r="J1096" s="42">
        <v>1.1759172154280337</v>
      </c>
      <c r="K1096" s="42">
        <v>1</v>
      </c>
      <c r="L1096" s="42">
        <v>0.85040000000000004</v>
      </c>
      <c r="M1096">
        <v>1</v>
      </c>
    </row>
    <row r="1097" spans="3:13" x14ac:dyDescent="0.15">
      <c r="C1097" s="43">
        <v>1064</v>
      </c>
      <c r="D1097" s="42">
        <v>1064</v>
      </c>
      <c r="E1097" s="42">
        <v>0.85119999999999996</v>
      </c>
      <c r="F1097" s="42">
        <v>128</v>
      </c>
      <c r="G1097" s="42">
        <v>108.95360000000001</v>
      </c>
      <c r="H1097" s="42">
        <v>1.1748120300751881</v>
      </c>
      <c r="I1097" s="42">
        <v>1</v>
      </c>
      <c r="J1097" s="42">
        <v>1.1748120300751881</v>
      </c>
      <c r="K1097" s="42">
        <v>1</v>
      </c>
      <c r="L1097" s="42">
        <v>0.85119999999999996</v>
      </c>
      <c r="M1097">
        <v>1</v>
      </c>
    </row>
    <row r="1098" spans="3:13" x14ac:dyDescent="0.15">
      <c r="C1098" s="43">
        <v>1065</v>
      </c>
      <c r="D1098" s="42">
        <v>1065</v>
      </c>
      <c r="E1098" s="42">
        <v>0.85199999999999998</v>
      </c>
      <c r="F1098" s="42">
        <v>128</v>
      </c>
      <c r="G1098" s="42">
        <v>109.05600000000001</v>
      </c>
      <c r="H1098" s="42">
        <v>1.1737089201877935</v>
      </c>
      <c r="I1098" s="42">
        <v>1</v>
      </c>
      <c r="J1098" s="42">
        <v>1.1737089201877935</v>
      </c>
      <c r="K1098" s="42">
        <v>1</v>
      </c>
      <c r="L1098" s="42">
        <v>0.85199999999999998</v>
      </c>
      <c r="M1098">
        <v>1</v>
      </c>
    </row>
    <row r="1099" spans="3:13" x14ac:dyDescent="0.15">
      <c r="C1099" s="43">
        <v>1066</v>
      </c>
      <c r="D1099" s="42">
        <v>1066</v>
      </c>
      <c r="E1099" s="42">
        <v>0.8528</v>
      </c>
      <c r="F1099" s="42">
        <v>128</v>
      </c>
      <c r="G1099" s="42">
        <v>109.1584</v>
      </c>
      <c r="H1099" s="42">
        <v>1.1726078799249531</v>
      </c>
      <c r="I1099" s="42">
        <v>1</v>
      </c>
      <c r="J1099" s="42">
        <v>1.1726078799249531</v>
      </c>
      <c r="K1099" s="42">
        <v>1</v>
      </c>
      <c r="L1099" s="42">
        <v>0.8528</v>
      </c>
      <c r="M1099">
        <v>1</v>
      </c>
    </row>
    <row r="1100" spans="3:13" x14ac:dyDescent="0.15">
      <c r="C1100" s="43">
        <v>1067</v>
      </c>
      <c r="D1100" s="42">
        <v>1067</v>
      </c>
      <c r="E1100" s="42">
        <v>0.85360000000000003</v>
      </c>
      <c r="F1100" s="42">
        <v>128</v>
      </c>
      <c r="G1100" s="42">
        <v>109.2608</v>
      </c>
      <c r="H1100" s="42">
        <v>1.1715089034676662</v>
      </c>
      <c r="I1100" s="42">
        <v>1</v>
      </c>
      <c r="J1100" s="42">
        <v>1.1715089034676662</v>
      </c>
      <c r="K1100" s="42">
        <v>1</v>
      </c>
      <c r="L1100" s="42">
        <v>0.85360000000000003</v>
      </c>
      <c r="M1100">
        <v>1</v>
      </c>
    </row>
    <row r="1101" spans="3:13" x14ac:dyDescent="0.15">
      <c r="C1101" s="43">
        <v>1068</v>
      </c>
      <c r="D1101" s="42">
        <v>1068</v>
      </c>
      <c r="E1101" s="42">
        <v>0.85440000000000005</v>
      </c>
      <c r="F1101" s="42">
        <v>128</v>
      </c>
      <c r="G1101" s="42">
        <v>109.36320000000001</v>
      </c>
      <c r="H1101" s="42">
        <v>1.1704119850187265</v>
      </c>
      <c r="I1101" s="42">
        <v>1</v>
      </c>
      <c r="J1101" s="42">
        <v>1.1704119850187265</v>
      </c>
      <c r="K1101" s="42">
        <v>1</v>
      </c>
      <c r="L1101" s="42">
        <v>0.85440000000000005</v>
      </c>
      <c r="M1101">
        <v>1</v>
      </c>
    </row>
    <row r="1102" spans="3:13" x14ac:dyDescent="0.15">
      <c r="C1102" s="43">
        <v>1069</v>
      </c>
      <c r="D1102" s="42">
        <v>1069</v>
      </c>
      <c r="E1102" s="42">
        <v>0.85519999999999996</v>
      </c>
      <c r="F1102" s="42">
        <v>128</v>
      </c>
      <c r="G1102" s="42">
        <v>109.46560000000001</v>
      </c>
      <c r="H1102" s="42">
        <v>1.1693171188026192</v>
      </c>
      <c r="I1102" s="42">
        <v>1</v>
      </c>
      <c r="J1102" s="42">
        <v>1.1693171188026192</v>
      </c>
      <c r="K1102" s="42">
        <v>1</v>
      </c>
      <c r="L1102" s="42">
        <v>0.85519999999999996</v>
      </c>
      <c r="M1102">
        <v>1</v>
      </c>
    </row>
    <row r="1103" spans="3:13" x14ac:dyDescent="0.15">
      <c r="C1103" s="43">
        <v>1070</v>
      </c>
      <c r="D1103" s="42">
        <v>1070</v>
      </c>
      <c r="E1103" s="42">
        <v>0.85599999999999998</v>
      </c>
      <c r="F1103" s="42">
        <v>128</v>
      </c>
      <c r="G1103" s="42">
        <v>109.56800000000001</v>
      </c>
      <c r="H1103" s="42">
        <v>1.1682242990654206</v>
      </c>
      <c r="I1103" s="42">
        <v>1</v>
      </c>
      <c r="J1103" s="42">
        <v>1.1682242990654206</v>
      </c>
      <c r="K1103" s="42">
        <v>1</v>
      </c>
      <c r="L1103" s="42">
        <v>0.85599999999999998</v>
      </c>
      <c r="M1103">
        <v>1</v>
      </c>
    </row>
    <row r="1104" spans="3:13" x14ac:dyDescent="0.15">
      <c r="C1104" s="43">
        <v>1071</v>
      </c>
      <c r="D1104" s="42">
        <v>1071</v>
      </c>
      <c r="E1104" s="42">
        <v>0.85680000000000001</v>
      </c>
      <c r="F1104" s="42">
        <v>128</v>
      </c>
      <c r="G1104" s="42">
        <v>109.6704</v>
      </c>
      <c r="H1104" s="42">
        <v>1.1671335200746966</v>
      </c>
      <c r="I1104" s="42">
        <v>1</v>
      </c>
      <c r="J1104" s="42">
        <v>1.1671335200746966</v>
      </c>
      <c r="K1104" s="42">
        <v>1</v>
      </c>
      <c r="L1104" s="42">
        <v>0.85680000000000001</v>
      </c>
      <c r="M1104">
        <v>1</v>
      </c>
    </row>
    <row r="1105" spans="3:13" x14ac:dyDescent="0.15">
      <c r="C1105" s="43">
        <v>1072</v>
      </c>
      <c r="D1105" s="42">
        <v>1072</v>
      </c>
      <c r="E1105" s="42">
        <v>0.85760000000000003</v>
      </c>
      <c r="F1105" s="42">
        <v>128</v>
      </c>
      <c r="G1105" s="42">
        <v>109.7728</v>
      </c>
      <c r="H1105" s="42">
        <v>1.166044776119403</v>
      </c>
      <c r="I1105" s="42">
        <v>1</v>
      </c>
      <c r="J1105" s="42">
        <v>1.166044776119403</v>
      </c>
      <c r="K1105" s="42">
        <v>1</v>
      </c>
      <c r="L1105" s="42">
        <v>0.85760000000000003</v>
      </c>
      <c r="M1105">
        <v>1</v>
      </c>
    </row>
    <row r="1106" spans="3:13" x14ac:dyDescent="0.15">
      <c r="C1106" s="43">
        <v>1073</v>
      </c>
      <c r="D1106" s="42">
        <v>1073</v>
      </c>
      <c r="E1106" s="42">
        <v>0.85840000000000005</v>
      </c>
      <c r="F1106" s="42">
        <v>128</v>
      </c>
      <c r="G1106" s="42">
        <v>109.87520000000001</v>
      </c>
      <c r="H1106" s="42">
        <v>1.1649580615097856</v>
      </c>
      <c r="I1106" s="42">
        <v>1</v>
      </c>
      <c r="J1106" s="42">
        <v>1.1649580615097856</v>
      </c>
      <c r="K1106" s="42">
        <v>1</v>
      </c>
      <c r="L1106" s="42">
        <v>0.85840000000000005</v>
      </c>
      <c r="M1106">
        <v>1</v>
      </c>
    </row>
    <row r="1107" spans="3:13" x14ac:dyDescent="0.15">
      <c r="C1107" s="43">
        <v>1074</v>
      </c>
      <c r="D1107" s="42">
        <v>1074</v>
      </c>
      <c r="E1107" s="42">
        <v>0.85919999999999996</v>
      </c>
      <c r="F1107" s="42">
        <v>128</v>
      </c>
      <c r="G1107" s="42">
        <v>109.97760000000001</v>
      </c>
      <c r="H1107" s="42">
        <v>1.1638733705772812</v>
      </c>
      <c r="I1107" s="42">
        <v>1</v>
      </c>
      <c r="J1107" s="42">
        <v>1.1638733705772812</v>
      </c>
      <c r="K1107" s="42">
        <v>1</v>
      </c>
      <c r="L1107" s="42">
        <v>0.85919999999999996</v>
      </c>
      <c r="M1107">
        <v>1</v>
      </c>
    </row>
    <row r="1108" spans="3:13" x14ac:dyDescent="0.15">
      <c r="C1108" s="43">
        <v>1075</v>
      </c>
      <c r="D1108" s="42">
        <v>1075</v>
      </c>
      <c r="E1108" s="42">
        <v>0.86</v>
      </c>
      <c r="F1108" s="42">
        <v>128</v>
      </c>
      <c r="G1108" s="42">
        <v>110.08</v>
      </c>
      <c r="H1108" s="42">
        <v>1.1627906976744187</v>
      </c>
      <c r="I1108" s="42">
        <v>1</v>
      </c>
      <c r="J1108" s="42">
        <v>1.1627906976744187</v>
      </c>
      <c r="K1108" s="42">
        <v>1</v>
      </c>
      <c r="L1108" s="42">
        <v>0.86</v>
      </c>
      <c r="M1108">
        <v>1</v>
      </c>
    </row>
    <row r="1109" spans="3:13" x14ac:dyDescent="0.15">
      <c r="C1109" s="43">
        <v>1076</v>
      </c>
      <c r="D1109" s="42">
        <v>1076</v>
      </c>
      <c r="E1109" s="42">
        <v>0.86080000000000001</v>
      </c>
      <c r="F1109" s="42">
        <v>128</v>
      </c>
      <c r="G1109" s="42">
        <v>110.1824</v>
      </c>
      <c r="H1109" s="42">
        <v>1.1617100371747211</v>
      </c>
      <c r="I1109" s="42">
        <v>1</v>
      </c>
      <c r="J1109" s="42">
        <v>1.1617100371747211</v>
      </c>
      <c r="K1109" s="42">
        <v>1</v>
      </c>
      <c r="L1109" s="42">
        <v>0.86080000000000001</v>
      </c>
      <c r="M1109">
        <v>1</v>
      </c>
    </row>
    <row r="1110" spans="3:13" x14ac:dyDescent="0.15">
      <c r="C1110" s="43">
        <v>1077</v>
      </c>
      <c r="D1110" s="42">
        <v>1077</v>
      </c>
      <c r="E1110" s="42">
        <v>0.86160000000000003</v>
      </c>
      <c r="F1110" s="42">
        <v>128</v>
      </c>
      <c r="G1110" s="42">
        <v>110.2848</v>
      </c>
      <c r="H1110" s="42">
        <v>1.160631383472609</v>
      </c>
      <c r="I1110" s="42">
        <v>1</v>
      </c>
      <c r="J1110" s="42">
        <v>1.160631383472609</v>
      </c>
      <c r="K1110" s="42">
        <v>1</v>
      </c>
      <c r="L1110" s="42">
        <v>0.86160000000000003</v>
      </c>
      <c r="M1110">
        <v>1</v>
      </c>
    </row>
    <row r="1111" spans="3:13" x14ac:dyDescent="0.15">
      <c r="C1111" s="43">
        <v>1078</v>
      </c>
      <c r="D1111" s="42">
        <v>1078</v>
      </c>
      <c r="E1111" s="42">
        <v>0.86240000000000006</v>
      </c>
      <c r="F1111" s="42">
        <v>128</v>
      </c>
      <c r="G1111" s="42">
        <v>110.38720000000001</v>
      </c>
      <c r="H1111" s="42">
        <v>1.1595547309833023</v>
      </c>
      <c r="I1111" s="42">
        <v>1</v>
      </c>
      <c r="J1111" s="42">
        <v>1.1595547309833023</v>
      </c>
      <c r="K1111" s="42">
        <v>1</v>
      </c>
      <c r="L1111" s="42">
        <v>0.86240000000000006</v>
      </c>
      <c r="M1111">
        <v>1</v>
      </c>
    </row>
    <row r="1112" spans="3:13" x14ac:dyDescent="0.15">
      <c r="C1112" s="43">
        <v>1079</v>
      </c>
      <c r="D1112" s="42">
        <v>1079</v>
      </c>
      <c r="E1112" s="42">
        <v>0.86319999999999997</v>
      </c>
      <c r="F1112" s="42">
        <v>128</v>
      </c>
      <c r="G1112" s="42">
        <v>110.48960000000001</v>
      </c>
      <c r="H1112" s="42">
        <v>1.1584800741427248</v>
      </c>
      <c r="I1112" s="42">
        <v>1</v>
      </c>
      <c r="J1112" s="42">
        <v>1.1584800741427248</v>
      </c>
      <c r="K1112" s="42">
        <v>1</v>
      </c>
      <c r="L1112" s="42">
        <v>0.86319999999999997</v>
      </c>
      <c r="M1112">
        <v>1</v>
      </c>
    </row>
    <row r="1113" spans="3:13" x14ac:dyDescent="0.15">
      <c r="C1113" s="43">
        <v>1080</v>
      </c>
      <c r="D1113" s="42">
        <v>1080</v>
      </c>
      <c r="E1113" s="42">
        <v>0.86399999999999999</v>
      </c>
      <c r="F1113" s="42">
        <v>128</v>
      </c>
      <c r="G1113" s="42">
        <v>110.592</v>
      </c>
      <c r="H1113" s="42">
        <v>1.1574074074074074</v>
      </c>
      <c r="I1113" s="42">
        <v>1</v>
      </c>
      <c r="J1113" s="42">
        <v>1.1574074074074074</v>
      </c>
      <c r="K1113" s="42">
        <v>1</v>
      </c>
      <c r="L1113" s="42">
        <v>0.86399999999999999</v>
      </c>
      <c r="M1113">
        <v>1</v>
      </c>
    </row>
    <row r="1114" spans="3:13" x14ac:dyDescent="0.15">
      <c r="C1114" s="43">
        <v>1081</v>
      </c>
      <c r="D1114" s="42">
        <v>1081</v>
      </c>
      <c r="E1114" s="42">
        <v>0.86480000000000001</v>
      </c>
      <c r="F1114" s="42">
        <v>128</v>
      </c>
      <c r="G1114" s="42">
        <v>110.6944</v>
      </c>
      <c r="H1114" s="42">
        <v>1.1563367252543941</v>
      </c>
      <c r="I1114" s="42">
        <v>1</v>
      </c>
      <c r="J1114" s="42">
        <v>1.1563367252543941</v>
      </c>
      <c r="K1114" s="42">
        <v>1</v>
      </c>
      <c r="L1114" s="42">
        <v>0.86480000000000001</v>
      </c>
      <c r="M1114">
        <v>1</v>
      </c>
    </row>
    <row r="1115" spans="3:13" x14ac:dyDescent="0.15">
      <c r="C1115" s="43">
        <v>1082</v>
      </c>
      <c r="D1115" s="42">
        <v>1082</v>
      </c>
      <c r="E1115" s="42">
        <v>0.86560000000000004</v>
      </c>
      <c r="F1115" s="42">
        <v>128</v>
      </c>
      <c r="G1115" s="42">
        <v>110.7968</v>
      </c>
      <c r="H1115" s="42">
        <v>1.155268022181146</v>
      </c>
      <c r="I1115" s="42">
        <v>1</v>
      </c>
      <c r="J1115" s="42">
        <v>1.155268022181146</v>
      </c>
      <c r="K1115" s="42">
        <v>1</v>
      </c>
      <c r="L1115" s="42">
        <v>0.86560000000000004</v>
      </c>
      <c r="M1115">
        <v>1</v>
      </c>
    </row>
    <row r="1116" spans="3:13" x14ac:dyDescent="0.15">
      <c r="C1116" s="43">
        <v>1083</v>
      </c>
      <c r="D1116" s="42">
        <v>1083</v>
      </c>
      <c r="E1116" s="42">
        <v>0.86639999999999995</v>
      </c>
      <c r="F1116" s="42">
        <v>128</v>
      </c>
      <c r="G1116" s="42">
        <v>110.89920000000001</v>
      </c>
      <c r="H1116" s="42">
        <v>1.1542012927054479</v>
      </c>
      <c r="I1116" s="42">
        <v>1</v>
      </c>
      <c r="J1116" s="42">
        <v>1.1542012927054479</v>
      </c>
      <c r="K1116" s="42">
        <v>1</v>
      </c>
      <c r="L1116" s="42">
        <v>0.86639999999999995</v>
      </c>
      <c r="M1116">
        <v>1</v>
      </c>
    </row>
    <row r="1117" spans="3:13" x14ac:dyDescent="0.15">
      <c r="C1117" s="43">
        <v>1084</v>
      </c>
      <c r="D1117" s="42">
        <v>1084</v>
      </c>
      <c r="E1117" s="42">
        <v>0.86719999999999997</v>
      </c>
      <c r="F1117" s="42">
        <v>128</v>
      </c>
      <c r="G1117" s="42">
        <v>111.00160000000001</v>
      </c>
      <c r="H1117" s="42">
        <v>1.1531365313653137</v>
      </c>
      <c r="I1117" s="42">
        <v>1</v>
      </c>
      <c r="J1117" s="42">
        <v>1.1531365313653137</v>
      </c>
      <c r="K1117" s="42">
        <v>1</v>
      </c>
      <c r="L1117" s="42">
        <v>0.86719999999999997</v>
      </c>
      <c r="M1117">
        <v>1</v>
      </c>
    </row>
    <row r="1118" spans="3:13" x14ac:dyDescent="0.15">
      <c r="C1118" s="43">
        <v>1085</v>
      </c>
      <c r="D1118" s="42">
        <v>1085</v>
      </c>
      <c r="E1118" s="42">
        <v>0.86799999999999999</v>
      </c>
      <c r="F1118" s="42">
        <v>128</v>
      </c>
      <c r="G1118" s="42">
        <v>111.104</v>
      </c>
      <c r="H1118" s="42">
        <v>1.1520737327188941</v>
      </c>
      <c r="I1118" s="42">
        <v>1</v>
      </c>
      <c r="J1118" s="42">
        <v>1.1520737327188941</v>
      </c>
      <c r="K1118" s="42">
        <v>1</v>
      </c>
      <c r="L1118" s="42">
        <v>0.86799999999999999</v>
      </c>
      <c r="M1118">
        <v>1</v>
      </c>
    </row>
    <row r="1119" spans="3:13" x14ac:dyDescent="0.15">
      <c r="C1119" s="43">
        <v>1086</v>
      </c>
      <c r="D1119" s="42">
        <v>1086</v>
      </c>
      <c r="E1119" s="42">
        <v>0.86880000000000002</v>
      </c>
      <c r="F1119" s="42">
        <v>128</v>
      </c>
      <c r="G1119" s="42">
        <v>111.2064</v>
      </c>
      <c r="H1119" s="42">
        <v>1.1510128913443831</v>
      </c>
      <c r="I1119" s="42">
        <v>1</v>
      </c>
      <c r="J1119" s="42">
        <v>1.1510128913443831</v>
      </c>
      <c r="K1119" s="42">
        <v>1</v>
      </c>
      <c r="L1119" s="42">
        <v>0.86880000000000002</v>
      </c>
      <c r="M1119">
        <v>1</v>
      </c>
    </row>
    <row r="1120" spans="3:13" x14ac:dyDescent="0.15">
      <c r="C1120" s="43">
        <v>1087</v>
      </c>
      <c r="D1120" s="42">
        <v>1087</v>
      </c>
      <c r="E1120" s="42">
        <v>0.86960000000000004</v>
      </c>
      <c r="F1120" s="42">
        <v>128</v>
      </c>
      <c r="G1120" s="42">
        <v>111.30880000000001</v>
      </c>
      <c r="H1120" s="42">
        <v>1.1499540018399264</v>
      </c>
      <c r="I1120" s="42">
        <v>1</v>
      </c>
      <c r="J1120" s="42">
        <v>1.1499540018399264</v>
      </c>
      <c r="K1120" s="42">
        <v>1</v>
      </c>
      <c r="L1120" s="42">
        <v>0.86960000000000004</v>
      </c>
      <c r="M1120">
        <v>1</v>
      </c>
    </row>
    <row r="1121" spans="3:13" x14ac:dyDescent="0.15">
      <c r="C1121" s="43">
        <v>1088</v>
      </c>
      <c r="D1121" s="42">
        <v>1088</v>
      </c>
      <c r="E1121" s="42">
        <v>0.87039999999999995</v>
      </c>
      <c r="F1121" s="42">
        <v>128</v>
      </c>
      <c r="G1121" s="42">
        <v>111.41120000000001</v>
      </c>
      <c r="H1121" s="42">
        <v>1.1488970588235294</v>
      </c>
      <c r="I1121" s="42">
        <v>1</v>
      </c>
      <c r="J1121" s="42">
        <v>1.1488970588235294</v>
      </c>
      <c r="K1121" s="42">
        <v>1</v>
      </c>
      <c r="L1121" s="42">
        <v>0.87039999999999995</v>
      </c>
      <c r="M1121">
        <v>1</v>
      </c>
    </row>
    <row r="1122" spans="3:13" x14ac:dyDescent="0.15">
      <c r="C1122" s="43">
        <v>1089</v>
      </c>
      <c r="D1122" s="42">
        <v>1089</v>
      </c>
      <c r="E1122" s="42">
        <v>0.87119999999999997</v>
      </c>
      <c r="F1122" s="42">
        <v>128</v>
      </c>
      <c r="G1122" s="42">
        <v>111.51360000000001</v>
      </c>
      <c r="H1122" s="42">
        <v>1.1478420569329661</v>
      </c>
      <c r="I1122" s="42">
        <v>1</v>
      </c>
      <c r="J1122" s="42">
        <v>1.1478420569329661</v>
      </c>
      <c r="K1122" s="42">
        <v>1</v>
      </c>
      <c r="L1122" s="42">
        <v>0.87119999999999997</v>
      </c>
      <c r="M1122">
        <v>1</v>
      </c>
    </row>
    <row r="1123" spans="3:13" x14ac:dyDescent="0.15">
      <c r="C1123" s="43">
        <v>1090</v>
      </c>
      <c r="D1123" s="42">
        <v>1090</v>
      </c>
      <c r="E1123" s="42">
        <v>0.872</v>
      </c>
      <c r="F1123" s="42">
        <v>128</v>
      </c>
      <c r="G1123" s="42">
        <v>111.616</v>
      </c>
      <c r="H1123" s="42">
        <v>1.1467889908256881</v>
      </c>
      <c r="I1123" s="42">
        <v>1</v>
      </c>
      <c r="J1123" s="42">
        <v>1.1467889908256881</v>
      </c>
      <c r="K1123" s="42">
        <v>1</v>
      </c>
      <c r="L1123" s="42">
        <v>0.872</v>
      </c>
      <c r="M1123">
        <v>1</v>
      </c>
    </row>
    <row r="1124" spans="3:13" x14ac:dyDescent="0.15">
      <c r="C1124" s="43">
        <v>1091</v>
      </c>
      <c r="D1124" s="42">
        <v>1091</v>
      </c>
      <c r="E1124" s="42">
        <v>0.87280000000000002</v>
      </c>
      <c r="F1124" s="42">
        <v>128</v>
      </c>
      <c r="G1124" s="42">
        <v>111.7184</v>
      </c>
      <c r="H1124" s="42">
        <v>1.1457378551787352</v>
      </c>
      <c r="I1124" s="42">
        <v>1</v>
      </c>
      <c r="J1124" s="42">
        <v>1.1457378551787352</v>
      </c>
      <c r="K1124" s="42">
        <v>1</v>
      </c>
      <c r="L1124" s="42">
        <v>0.87280000000000002</v>
      </c>
      <c r="M1124">
        <v>1</v>
      </c>
    </row>
    <row r="1125" spans="3:13" x14ac:dyDescent="0.15">
      <c r="C1125" s="43">
        <v>1092</v>
      </c>
      <c r="D1125" s="42">
        <v>1092</v>
      </c>
      <c r="E1125" s="42">
        <v>0.87360000000000004</v>
      </c>
      <c r="F1125" s="42">
        <v>128</v>
      </c>
      <c r="G1125" s="42">
        <v>111.82080000000001</v>
      </c>
      <c r="H1125" s="42">
        <v>1.1446886446886446</v>
      </c>
      <c r="I1125" s="42">
        <v>1</v>
      </c>
      <c r="J1125" s="42">
        <v>1.1446886446886446</v>
      </c>
      <c r="K1125" s="42">
        <v>1</v>
      </c>
      <c r="L1125" s="42">
        <v>0.87360000000000004</v>
      </c>
      <c r="M1125">
        <v>1</v>
      </c>
    </row>
    <row r="1126" spans="3:13" x14ac:dyDescent="0.15">
      <c r="C1126" s="43">
        <v>1093</v>
      </c>
      <c r="D1126" s="42">
        <v>1093</v>
      </c>
      <c r="E1126" s="42">
        <v>0.87439999999999996</v>
      </c>
      <c r="F1126" s="42">
        <v>128</v>
      </c>
      <c r="G1126" s="42">
        <v>111.92320000000001</v>
      </c>
      <c r="H1126" s="42">
        <v>1.1436413540713632</v>
      </c>
      <c r="I1126" s="42">
        <v>1</v>
      </c>
      <c r="J1126" s="42">
        <v>1.1436413540713632</v>
      </c>
      <c r="K1126" s="42">
        <v>1</v>
      </c>
      <c r="L1126" s="42">
        <v>0.87439999999999996</v>
      </c>
      <c r="M1126">
        <v>1</v>
      </c>
    </row>
    <row r="1127" spans="3:13" x14ac:dyDescent="0.15">
      <c r="C1127" s="43">
        <v>1094</v>
      </c>
      <c r="D1127" s="42">
        <v>1094</v>
      </c>
      <c r="E1127" s="42">
        <v>0.87519999999999998</v>
      </c>
      <c r="F1127" s="42">
        <v>128</v>
      </c>
      <c r="G1127" s="42">
        <v>112.02560000000001</v>
      </c>
      <c r="H1127" s="42">
        <v>1.1425959780621573</v>
      </c>
      <c r="I1127" s="42">
        <v>1</v>
      </c>
      <c r="J1127" s="42">
        <v>1.1425959780621573</v>
      </c>
      <c r="K1127" s="42">
        <v>1</v>
      </c>
      <c r="L1127" s="42">
        <v>0.87519999999999998</v>
      </c>
      <c r="M1127">
        <v>1</v>
      </c>
    </row>
    <row r="1128" spans="3:13" x14ac:dyDescent="0.15">
      <c r="C1128" s="43">
        <v>1095</v>
      </c>
      <c r="D1128" s="42">
        <v>1095</v>
      </c>
      <c r="E1128" s="42">
        <v>0.876</v>
      </c>
      <c r="F1128" s="42">
        <v>128</v>
      </c>
      <c r="G1128" s="42">
        <v>112.128</v>
      </c>
      <c r="H1128" s="42">
        <v>1.1415525114155252</v>
      </c>
      <c r="I1128" s="42">
        <v>1</v>
      </c>
      <c r="J1128" s="42">
        <v>1.1415525114155252</v>
      </c>
      <c r="K1128" s="42">
        <v>1</v>
      </c>
      <c r="L1128" s="42">
        <v>0.876</v>
      </c>
      <c r="M1128">
        <v>1</v>
      </c>
    </row>
    <row r="1129" spans="3:13" x14ac:dyDescent="0.15">
      <c r="C1129" s="43">
        <v>1096</v>
      </c>
      <c r="D1129" s="42">
        <v>1096</v>
      </c>
      <c r="E1129" s="42">
        <v>0.87680000000000002</v>
      </c>
      <c r="F1129" s="42">
        <v>128</v>
      </c>
      <c r="G1129" s="42">
        <v>112.2304</v>
      </c>
      <c r="H1129" s="42">
        <v>1.1405109489051095</v>
      </c>
      <c r="I1129" s="42">
        <v>1</v>
      </c>
      <c r="J1129" s="42">
        <v>1.1405109489051095</v>
      </c>
      <c r="K1129" s="42">
        <v>1</v>
      </c>
      <c r="L1129" s="42">
        <v>0.87680000000000002</v>
      </c>
      <c r="M1129">
        <v>1</v>
      </c>
    </row>
    <row r="1130" spans="3:13" x14ac:dyDescent="0.15">
      <c r="C1130" s="43">
        <v>1097</v>
      </c>
      <c r="D1130" s="42">
        <v>1097</v>
      </c>
      <c r="E1130" s="42">
        <v>0.87760000000000005</v>
      </c>
      <c r="F1130" s="42">
        <v>128</v>
      </c>
      <c r="G1130" s="42">
        <v>112.33280000000001</v>
      </c>
      <c r="H1130" s="42">
        <v>1.1394712853236098</v>
      </c>
      <c r="I1130" s="42">
        <v>1</v>
      </c>
      <c r="J1130" s="42">
        <v>1.1394712853236098</v>
      </c>
      <c r="K1130" s="42">
        <v>1</v>
      </c>
      <c r="L1130" s="42">
        <v>0.87760000000000005</v>
      </c>
      <c r="M1130">
        <v>1</v>
      </c>
    </row>
    <row r="1131" spans="3:13" x14ac:dyDescent="0.15">
      <c r="C1131" s="43">
        <v>1098</v>
      </c>
      <c r="D1131" s="42">
        <v>1098</v>
      </c>
      <c r="E1131" s="42">
        <v>0.87839999999999996</v>
      </c>
      <c r="F1131" s="42">
        <v>128</v>
      </c>
      <c r="G1131" s="42">
        <v>112.43520000000001</v>
      </c>
      <c r="H1131" s="42">
        <v>1.1384335154826959</v>
      </c>
      <c r="I1131" s="42">
        <v>1</v>
      </c>
      <c r="J1131" s="42">
        <v>1.1384335154826959</v>
      </c>
      <c r="K1131" s="42">
        <v>1</v>
      </c>
      <c r="L1131" s="42">
        <v>0.87839999999999996</v>
      </c>
      <c r="M1131">
        <v>1</v>
      </c>
    </row>
    <row r="1132" spans="3:13" x14ac:dyDescent="0.15">
      <c r="C1132" s="43">
        <v>1099</v>
      </c>
      <c r="D1132" s="42">
        <v>1099</v>
      </c>
      <c r="E1132" s="42">
        <v>0.87919999999999998</v>
      </c>
      <c r="F1132" s="42">
        <v>128</v>
      </c>
      <c r="G1132" s="42">
        <v>112.53760000000001</v>
      </c>
      <c r="H1132" s="42">
        <v>1.1373976342129208</v>
      </c>
      <c r="I1132" s="42">
        <v>1</v>
      </c>
      <c r="J1132" s="42">
        <v>1.1373976342129208</v>
      </c>
      <c r="K1132" s="42">
        <v>1</v>
      </c>
      <c r="L1132" s="42">
        <v>0.87919999999999998</v>
      </c>
      <c r="M1132">
        <v>1</v>
      </c>
    </row>
    <row r="1133" spans="3:13" x14ac:dyDescent="0.15">
      <c r="C1133" s="43">
        <v>1100</v>
      </c>
      <c r="D1133" s="42">
        <v>1100</v>
      </c>
      <c r="E1133" s="42">
        <v>0.88</v>
      </c>
      <c r="F1133" s="42">
        <v>128</v>
      </c>
      <c r="G1133" s="42">
        <v>112.64</v>
      </c>
      <c r="H1133" s="42">
        <v>1.1363636363636365</v>
      </c>
      <c r="I1133" s="42">
        <v>1</v>
      </c>
      <c r="J1133" s="42">
        <v>1.1363636363636365</v>
      </c>
      <c r="K1133" s="42">
        <v>1</v>
      </c>
      <c r="L1133" s="42">
        <v>0.88</v>
      </c>
      <c r="M1133">
        <v>1</v>
      </c>
    </row>
    <row r="1134" spans="3:13" x14ac:dyDescent="0.15">
      <c r="C1134" s="43">
        <v>1101</v>
      </c>
      <c r="D1134" s="42">
        <v>1101</v>
      </c>
      <c r="E1134" s="42">
        <v>0.88080000000000003</v>
      </c>
      <c r="F1134" s="42">
        <v>128</v>
      </c>
      <c r="G1134" s="42">
        <v>112.7424</v>
      </c>
      <c r="H1134" s="42">
        <v>1.1353315168029063</v>
      </c>
      <c r="I1134" s="42">
        <v>1</v>
      </c>
      <c r="J1134" s="42">
        <v>1.1353315168029063</v>
      </c>
      <c r="K1134" s="42">
        <v>1</v>
      </c>
      <c r="L1134" s="42">
        <v>0.88080000000000003</v>
      </c>
      <c r="M1134">
        <v>1</v>
      </c>
    </row>
    <row r="1135" spans="3:13" x14ac:dyDescent="0.15">
      <c r="C1135" s="43">
        <v>1102</v>
      </c>
      <c r="D1135" s="42">
        <v>1102</v>
      </c>
      <c r="E1135" s="42">
        <v>0.88160000000000005</v>
      </c>
      <c r="F1135" s="42">
        <v>128</v>
      </c>
      <c r="G1135" s="42">
        <v>112.84480000000001</v>
      </c>
      <c r="H1135" s="42">
        <v>1.1343012704174229</v>
      </c>
      <c r="I1135" s="42">
        <v>1</v>
      </c>
      <c r="J1135" s="42">
        <v>1.1343012704174229</v>
      </c>
      <c r="K1135" s="42">
        <v>1</v>
      </c>
      <c r="L1135" s="42">
        <v>0.88160000000000005</v>
      </c>
      <c r="M1135">
        <v>1</v>
      </c>
    </row>
    <row r="1136" spans="3:13" x14ac:dyDescent="0.15">
      <c r="C1136" s="43">
        <v>1103</v>
      </c>
      <c r="D1136" s="42">
        <v>1103</v>
      </c>
      <c r="E1136" s="42">
        <v>0.88239999999999996</v>
      </c>
      <c r="F1136" s="42">
        <v>128</v>
      </c>
      <c r="G1136" s="42">
        <v>112.94720000000001</v>
      </c>
      <c r="H1136" s="42">
        <v>1.1332728921124207</v>
      </c>
      <c r="I1136" s="42">
        <v>1</v>
      </c>
      <c r="J1136" s="42">
        <v>1.1332728921124207</v>
      </c>
      <c r="K1136" s="42">
        <v>1</v>
      </c>
      <c r="L1136" s="42">
        <v>0.88239999999999996</v>
      </c>
      <c r="M1136">
        <v>1</v>
      </c>
    </row>
    <row r="1137" spans="3:13" x14ac:dyDescent="0.15">
      <c r="C1137" s="43">
        <v>1104</v>
      </c>
      <c r="D1137" s="42">
        <v>1104</v>
      </c>
      <c r="E1137" s="42">
        <v>0.88319999999999999</v>
      </c>
      <c r="F1137" s="42">
        <v>128</v>
      </c>
      <c r="G1137" s="42">
        <v>113.04960000000001</v>
      </c>
      <c r="H1137" s="42">
        <v>1.1322463768115942</v>
      </c>
      <c r="I1137" s="42">
        <v>1</v>
      </c>
      <c r="J1137" s="42">
        <v>1.1322463768115942</v>
      </c>
      <c r="K1137" s="42">
        <v>1</v>
      </c>
      <c r="L1137" s="42">
        <v>0.88319999999999999</v>
      </c>
      <c r="M1137">
        <v>1</v>
      </c>
    </row>
    <row r="1138" spans="3:13" x14ac:dyDescent="0.15">
      <c r="C1138" s="43">
        <v>1105</v>
      </c>
      <c r="D1138" s="42">
        <v>1105</v>
      </c>
      <c r="E1138" s="42">
        <v>0.88400000000000001</v>
      </c>
      <c r="F1138" s="42">
        <v>128</v>
      </c>
      <c r="G1138" s="42">
        <v>113.152</v>
      </c>
      <c r="H1138" s="42">
        <v>1.1312217194570136</v>
      </c>
      <c r="I1138" s="42">
        <v>1</v>
      </c>
      <c r="J1138" s="42">
        <v>1.1312217194570136</v>
      </c>
      <c r="K1138" s="42">
        <v>1</v>
      </c>
      <c r="L1138" s="42">
        <v>0.88400000000000001</v>
      </c>
      <c r="M1138">
        <v>1</v>
      </c>
    </row>
    <row r="1139" spans="3:13" x14ac:dyDescent="0.15">
      <c r="C1139" s="43">
        <v>1106</v>
      </c>
      <c r="D1139" s="42">
        <v>1106</v>
      </c>
      <c r="E1139" s="42">
        <v>0.88480000000000003</v>
      </c>
      <c r="F1139" s="42">
        <v>128</v>
      </c>
      <c r="G1139" s="42">
        <v>113.2544</v>
      </c>
      <c r="H1139" s="42">
        <v>1.1301989150090415</v>
      </c>
      <c r="I1139" s="42">
        <v>1</v>
      </c>
      <c r="J1139" s="42">
        <v>1.1301989150090415</v>
      </c>
      <c r="K1139" s="42">
        <v>1</v>
      </c>
      <c r="L1139" s="42">
        <v>0.88480000000000003</v>
      </c>
      <c r="M1139">
        <v>1</v>
      </c>
    </row>
    <row r="1140" spans="3:13" x14ac:dyDescent="0.15">
      <c r="C1140" s="43">
        <v>1107</v>
      </c>
      <c r="D1140" s="42">
        <v>1107</v>
      </c>
      <c r="E1140" s="42">
        <v>0.88560000000000005</v>
      </c>
      <c r="F1140" s="42">
        <v>128</v>
      </c>
      <c r="G1140" s="42">
        <v>113.35680000000001</v>
      </c>
      <c r="H1140" s="42">
        <v>1.1291779584462511</v>
      </c>
      <c r="I1140" s="42">
        <v>1</v>
      </c>
      <c r="J1140" s="42">
        <v>1.1291779584462511</v>
      </c>
      <c r="K1140" s="42">
        <v>1</v>
      </c>
      <c r="L1140" s="42">
        <v>0.88560000000000005</v>
      </c>
      <c r="M1140">
        <v>1</v>
      </c>
    </row>
    <row r="1141" spans="3:13" x14ac:dyDescent="0.15">
      <c r="C1141" s="43">
        <v>1108</v>
      </c>
      <c r="D1141" s="42">
        <v>1108</v>
      </c>
      <c r="E1141" s="42">
        <v>0.88639999999999997</v>
      </c>
      <c r="F1141" s="42">
        <v>128</v>
      </c>
      <c r="G1141" s="42">
        <v>113.45920000000001</v>
      </c>
      <c r="H1141" s="42">
        <v>1.128158844765343</v>
      </c>
      <c r="I1141" s="42">
        <v>1</v>
      </c>
      <c r="J1141" s="42">
        <v>1.128158844765343</v>
      </c>
      <c r="K1141" s="42">
        <v>1</v>
      </c>
      <c r="L1141" s="42">
        <v>0.88639999999999997</v>
      </c>
      <c r="M1141">
        <v>1</v>
      </c>
    </row>
    <row r="1142" spans="3:13" x14ac:dyDescent="0.15">
      <c r="C1142" s="43">
        <v>1109</v>
      </c>
      <c r="D1142" s="42">
        <v>1109</v>
      </c>
      <c r="E1142" s="42">
        <v>0.88719999999999999</v>
      </c>
      <c r="F1142" s="42">
        <v>128</v>
      </c>
      <c r="G1142" s="42">
        <v>113.5616</v>
      </c>
      <c r="H1142" s="42">
        <v>1.127141568981064</v>
      </c>
      <c r="I1142" s="42">
        <v>1</v>
      </c>
      <c r="J1142" s="42">
        <v>1.127141568981064</v>
      </c>
      <c r="K1142" s="42">
        <v>1</v>
      </c>
      <c r="L1142" s="42">
        <v>0.88719999999999999</v>
      </c>
      <c r="M1142">
        <v>1</v>
      </c>
    </row>
    <row r="1143" spans="3:13" x14ac:dyDescent="0.15">
      <c r="C1143" s="43">
        <v>1110</v>
      </c>
      <c r="D1143" s="42">
        <v>1110</v>
      </c>
      <c r="E1143" s="42">
        <v>0.88800000000000001</v>
      </c>
      <c r="F1143" s="42">
        <v>128</v>
      </c>
      <c r="G1143" s="42">
        <v>113.664</v>
      </c>
      <c r="H1143" s="42">
        <v>1.1261261261261262</v>
      </c>
      <c r="I1143" s="42">
        <v>1</v>
      </c>
      <c r="J1143" s="42">
        <v>1.1261261261261262</v>
      </c>
      <c r="K1143" s="42">
        <v>1</v>
      </c>
      <c r="L1143" s="42">
        <v>0.88800000000000001</v>
      </c>
      <c r="M1143">
        <v>1</v>
      </c>
    </row>
    <row r="1144" spans="3:13" x14ac:dyDescent="0.15">
      <c r="C1144" s="43">
        <v>1111</v>
      </c>
      <c r="D1144" s="42">
        <v>1111</v>
      </c>
      <c r="E1144" s="42">
        <v>0.88880000000000003</v>
      </c>
      <c r="F1144" s="42">
        <v>128</v>
      </c>
      <c r="G1144" s="42">
        <v>113.7664</v>
      </c>
      <c r="H1144" s="42">
        <v>1.1251125112511251</v>
      </c>
      <c r="I1144" s="42">
        <v>1</v>
      </c>
      <c r="J1144" s="42">
        <v>1.1251125112511251</v>
      </c>
      <c r="K1144" s="42">
        <v>1</v>
      </c>
      <c r="L1144" s="42">
        <v>0.88880000000000003</v>
      </c>
      <c r="M1144">
        <v>1</v>
      </c>
    </row>
    <row r="1145" spans="3:13" x14ac:dyDescent="0.15">
      <c r="C1145" s="43">
        <v>1112</v>
      </c>
      <c r="D1145" s="42">
        <v>1112</v>
      </c>
      <c r="E1145" s="42">
        <v>0.88959999999999995</v>
      </c>
      <c r="F1145" s="42">
        <v>128</v>
      </c>
      <c r="G1145" s="42">
        <v>113.86880000000001</v>
      </c>
      <c r="H1145" s="42">
        <v>1.1241007194244605</v>
      </c>
      <c r="I1145" s="42">
        <v>1</v>
      </c>
      <c r="J1145" s="42">
        <v>1.1241007194244605</v>
      </c>
      <c r="K1145" s="42">
        <v>1</v>
      </c>
      <c r="L1145" s="42">
        <v>0.88959999999999995</v>
      </c>
      <c r="M1145">
        <v>1</v>
      </c>
    </row>
    <row r="1146" spans="3:13" x14ac:dyDescent="0.15">
      <c r="C1146" s="43">
        <v>1113</v>
      </c>
      <c r="D1146" s="42">
        <v>1113</v>
      </c>
      <c r="E1146" s="42">
        <v>0.89039999999999997</v>
      </c>
      <c r="F1146" s="42">
        <v>128</v>
      </c>
      <c r="G1146" s="42">
        <v>113.97120000000001</v>
      </c>
      <c r="H1146" s="42">
        <v>1.1230907457322552</v>
      </c>
      <c r="I1146" s="42">
        <v>1</v>
      </c>
      <c r="J1146" s="42">
        <v>1.1230907457322552</v>
      </c>
      <c r="K1146" s="42">
        <v>1</v>
      </c>
      <c r="L1146" s="42">
        <v>0.89039999999999997</v>
      </c>
      <c r="M1146">
        <v>1</v>
      </c>
    </row>
    <row r="1147" spans="3:13" x14ac:dyDescent="0.15">
      <c r="C1147" s="43">
        <v>1114</v>
      </c>
      <c r="D1147" s="42">
        <v>1114</v>
      </c>
      <c r="E1147" s="42">
        <v>0.89119999999999999</v>
      </c>
      <c r="F1147" s="42">
        <v>128</v>
      </c>
      <c r="G1147" s="42">
        <v>114.0736</v>
      </c>
      <c r="H1147" s="42">
        <v>1.1220825852782765</v>
      </c>
      <c r="I1147" s="42">
        <v>1</v>
      </c>
      <c r="J1147" s="42">
        <v>1.1220825852782765</v>
      </c>
      <c r="K1147" s="42">
        <v>1</v>
      </c>
      <c r="L1147" s="42">
        <v>0.89119999999999999</v>
      </c>
      <c r="M1147">
        <v>1</v>
      </c>
    </row>
    <row r="1148" spans="3:13" x14ac:dyDescent="0.15">
      <c r="C1148" s="43">
        <v>1115</v>
      </c>
      <c r="D1148" s="42">
        <v>1115</v>
      </c>
      <c r="E1148" s="42">
        <v>0.89200000000000002</v>
      </c>
      <c r="F1148" s="42">
        <v>128</v>
      </c>
      <c r="G1148" s="42">
        <v>114.176</v>
      </c>
      <c r="H1148" s="42">
        <v>1.1210762331838564</v>
      </c>
      <c r="I1148" s="42">
        <v>1</v>
      </c>
      <c r="J1148" s="42">
        <v>1.1210762331838564</v>
      </c>
      <c r="K1148" s="42">
        <v>1</v>
      </c>
      <c r="L1148" s="42">
        <v>0.89200000000000002</v>
      </c>
      <c r="M1148">
        <v>1</v>
      </c>
    </row>
    <row r="1149" spans="3:13" x14ac:dyDescent="0.15">
      <c r="C1149" s="43">
        <v>1116</v>
      </c>
      <c r="D1149" s="42">
        <v>1116</v>
      </c>
      <c r="E1149" s="42">
        <v>0.89280000000000004</v>
      </c>
      <c r="F1149" s="42">
        <v>128</v>
      </c>
      <c r="G1149" s="42">
        <v>114.2784</v>
      </c>
      <c r="H1149" s="42">
        <v>1.1200716845878136</v>
      </c>
      <c r="I1149" s="42">
        <v>1</v>
      </c>
      <c r="J1149" s="42">
        <v>1.1200716845878136</v>
      </c>
      <c r="K1149" s="42">
        <v>1</v>
      </c>
      <c r="L1149" s="42">
        <v>0.89280000000000004</v>
      </c>
      <c r="M1149">
        <v>1</v>
      </c>
    </row>
    <row r="1150" spans="3:13" x14ac:dyDescent="0.15">
      <c r="C1150" s="43">
        <v>1117</v>
      </c>
      <c r="D1150" s="42">
        <v>1117</v>
      </c>
      <c r="E1150" s="42">
        <v>0.89359999999999995</v>
      </c>
      <c r="F1150" s="42">
        <v>128</v>
      </c>
      <c r="G1150" s="42">
        <v>114.38080000000001</v>
      </c>
      <c r="H1150" s="42">
        <v>1.1190689346463742</v>
      </c>
      <c r="I1150" s="42">
        <v>1</v>
      </c>
      <c r="J1150" s="42">
        <v>1.1190689346463742</v>
      </c>
      <c r="K1150" s="42">
        <v>1</v>
      </c>
      <c r="L1150" s="42">
        <v>0.89359999999999995</v>
      </c>
      <c r="M1150">
        <v>1</v>
      </c>
    </row>
    <row r="1151" spans="3:13" x14ac:dyDescent="0.15">
      <c r="C1151" s="43">
        <v>1118</v>
      </c>
      <c r="D1151" s="42">
        <v>1118</v>
      </c>
      <c r="E1151" s="42">
        <v>0.89439999999999997</v>
      </c>
      <c r="F1151" s="42">
        <v>128</v>
      </c>
      <c r="G1151" s="42">
        <v>114.48320000000001</v>
      </c>
      <c r="H1151" s="42">
        <v>1.1180679785330949</v>
      </c>
      <c r="I1151" s="42">
        <v>1</v>
      </c>
      <c r="J1151" s="42">
        <v>1.1180679785330949</v>
      </c>
      <c r="K1151" s="42">
        <v>1</v>
      </c>
      <c r="L1151" s="42">
        <v>0.89439999999999997</v>
      </c>
      <c r="M1151">
        <v>1</v>
      </c>
    </row>
    <row r="1152" spans="3:13" x14ac:dyDescent="0.15">
      <c r="C1152" s="43">
        <v>1119</v>
      </c>
      <c r="D1152" s="42">
        <v>1119</v>
      </c>
      <c r="E1152" s="42">
        <v>0.8952</v>
      </c>
      <c r="F1152" s="42">
        <v>128</v>
      </c>
      <c r="G1152" s="42">
        <v>114.5856</v>
      </c>
      <c r="H1152" s="42">
        <v>1.1170688114387846</v>
      </c>
      <c r="I1152" s="42">
        <v>1</v>
      </c>
      <c r="J1152" s="42">
        <v>1.1170688114387846</v>
      </c>
      <c r="K1152" s="42">
        <v>1</v>
      </c>
      <c r="L1152" s="42">
        <v>0.8952</v>
      </c>
      <c r="M1152">
        <v>1</v>
      </c>
    </row>
    <row r="1153" spans="3:13" x14ac:dyDescent="0.15">
      <c r="C1153" s="43">
        <v>1120</v>
      </c>
      <c r="D1153" s="42">
        <v>1120</v>
      </c>
      <c r="E1153" s="42">
        <v>0.89600000000000002</v>
      </c>
      <c r="F1153" s="42">
        <v>128</v>
      </c>
      <c r="G1153" s="42">
        <v>114.688</v>
      </c>
      <c r="H1153" s="42">
        <v>1.1160714285714286</v>
      </c>
      <c r="I1153" s="42">
        <v>1</v>
      </c>
      <c r="J1153" s="42">
        <v>1.1160714285714286</v>
      </c>
      <c r="K1153" s="42">
        <v>1</v>
      </c>
      <c r="L1153" s="42">
        <v>0.89600000000000002</v>
      </c>
      <c r="M1153">
        <v>1</v>
      </c>
    </row>
    <row r="1154" spans="3:13" x14ac:dyDescent="0.15">
      <c r="C1154" s="43">
        <v>1121</v>
      </c>
      <c r="D1154" s="42">
        <v>1121</v>
      </c>
      <c r="E1154" s="42">
        <v>0.89680000000000004</v>
      </c>
      <c r="F1154" s="42">
        <v>128</v>
      </c>
      <c r="G1154" s="42">
        <v>114.79040000000001</v>
      </c>
      <c r="H1154" s="42">
        <v>1.1150758251561106</v>
      </c>
      <c r="I1154" s="42">
        <v>1</v>
      </c>
      <c r="J1154" s="42">
        <v>1.1150758251561106</v>
      </c>
      <c r="K1154" s="42">
        <v>1</v>
      </c>
      <c r="L1154" s="42">
        <v>0.89680000000000004</v>
      </c>
      <c r="M1154">
        <v>1</v>
      </c>
    </row>
    <row r="1155" spans="3:13" x14ac:dyDescent="0.15">
      <c r="C1155" s="43">
        <v>1122</v>
      </c>
      <c r="D1155" s="42">
        <v>1122</v>
      </c>
      <c r="E1155" s="42">
        <v>0.89759999999999995</v>
      </c>
      <c r="F1155" s="42">
        <v>128</v>
      </c>
      <c r="G1155" s="42">
        <v>114.89280000000001</v>
      </c>
      <c r="H1155" s="42">
        <v>1.1140819964349378</v>
      </c>
      <c r="I1155" s="42">
        <v>1</v>
      </c>
      <c r="J1155" s="42">
        <v>1.1140819964349378</v>
      </c>
      <c r="K1155" s="42">
        <v>1</v>
      </c>
      <c r="L1155" s="42">
        <v>0.89759999999999995</v>
      </c>
      <c r="M1155">
        <v>1</v>
      </c>
    </row>
    <row r="1156" spans="3:13" x14ac:dyDescent="0.15">
      <c r="C1156" s="43">
        <v>1123</v>
      </c>
      <c r="D1156" s="42">
        <v>1123</v>
      </c>
      <c r="E1156" s="42">
        <v>0.89839999999999998</v>
      </c>
      <c r="F1156" s="42">
        <v>128</v>
      </c>
      <c r="G1156" s="42">
        <v>114.99520000000001</v>
      </c>
      <c r="H1156" s="42">
        <v>1.1130899376669636</v>
      </c>
      <c r="I1156" s="42">
        <v>1</v>
      </c>
      <c r="J1156" s="42">
        <v>1.1130899376669636</v>
      </c>
      <c r="K1156" s="42">
        <v>1</v>
      </c>
      <c r="L1156" s="42">
        <v>0.89839999999999998</v>
      </c>
      <c r="M1156">
        <v>1</v>
      </c>
    </row>
    <row r="1157" spans="3:13" x14ac:dyDescent="0.15">
      <c r="C1157" s="43">
        <v>1124</v>
      </c>
      <c r="D1157" s="42">
        <v>1124</v>
      </c>
      <c r="E1157" s="42">
        <v>0.8992</v>
      </c>
      <c r="F1157" s="42">
        <v>128</v>
      </c>
      <c r="G1157" s="42">
        <v>115.0976</v>
      </c>
      <c r="H1157" s="42">
        <v>1.1120996441281139</v>
      </c>
      <c r="I1157" s="42">
        <v>1</v>
      </c>
      <c r="J1157" s="42">
        <v>1.1120996441281139</v>
      </c>
      <c r="K1157" s="42">
        <v>1</v>
      </c>
      <c r="L1157" s="42">
        <v>0.8992</v>
      </c>
      <c r="M1157">
        <v>1</v>
      </c>
    </row>
    <row r="1158" spans="3:13" x14ac:dyDescent="0.15">
      <c r="C1158" s="43">
        <v>1125</v>
      </c>
      <c r="D1158" s="42">
        <v>1125</v>
      </c>
      <c r="E1158" s="42">
        <v>0.9</v>
      </c>
      <c r="F1158" s="42">
        <v>128</v>
      </c>
      <c r="G1158" s="42">
        <v>115.2</v>
      </c>
      <c r="H1158" s="42">
        <v>1.1111111111111112</v>
      </c>
      <c r="I1158" s="42">
        <v>1</v>
      </c>
      <c r="J1158" s="42">
        <v>1.1111111111111112</v>
      </c>
      <c r="K1158" s="42">
        <v>1</v>
      </c>
      <c r="L1158" s="42">
        <v>0.9</v>
      </c>
      <c r="M1158">
        <v>1</v>
      </c>
    </row>
    <row r="1159" spans="3:13" x14ac:dyDescent="0.15">
      <c r="C1159" s="43">
        <v>1126</v>
      </c>
      <c r="D1159" s="42">
        <v>1126</v>
      </c>
      <c r="E1159" s="42">
        <v>0.90080000000000005</v>
      </c>
      <c r="F1159" s="42">
        <v>128</v>
      </c>
      <c r="G1159" s="42">
        <v>115.30240000000001</v>
      </c>
      <c r="H1159" s="42">
        <v>1.1101243339253997</v>
      </c>
      <c r="I1159" s="42">
        <v>1</v>
      </c>
      <c r="J1159" s="42">
        <v>1.1101243339253997</v>
      </c>
      <c r="K1159" s="42">
        <v>1</v>
      </c>
      <c r="L1159" s="42">
        <v>0.90080000000000005</v>
      </c>
      <c r="M1159">
        <v>1</v>
      </c>
    </row>
    <row r="1160" spans="3:13" x14ac:dyDescent="0.15">
      <c r="C1160" s="43">
        <v>1127</v>
      </c>
      <c r="D1160" s="42">
        <v>1127</v>
      </c>
      <c r="E1160" s="42">
        <v>0.90159999999999996</v>
      </c>
      <c r="F1160" s="42">
        <v>128</v>
      </c>
      <c r="G1160" s="42">
        <v>115.40480000000001</v>
      </c>
      <c r="H1160" s="42">
        <v>1.1091393078970719</v>
      </c>
      <c r="I1160" s="42">
        <v>1</v>
      </c>
      <c r="J1160" s="42">
        <v>1.1091393078970719</v>
      </c>
      <c r="K1160" s="42">
        <v>1</v>
      </c>
      <c r="L1160" s="42">
        <v>0.90159999999999996</v>
      </c>
      <c r="M1160">
        <v>1</v>
      </c>
    </row>
    <row r="1161" spans="3:13" x14ac:dyDescent="0.15">
      <c r="C1161" s="43">
        <v>1128</v>
      </c>
      <c r="D1161" s="42">
        <v>1128</v>
      </c>
      <c r="E1161" s="42">
        <v>0.90239999999999998</v>
      </c>
      <c r="F1161" s="42">
        <v>128</v>
      </c>
      <c r="G1161" s="42">
        <v>115.50720000000001</v>
      </c>
      <c r="H1161" s="42">
        <v>1.1081560283687943</v>
      </c>
      <c r="I1161" s="42">
        <v>1</v>
      </c>
      <c r="J1161" s="42">
        <v>1.1081560283687943</v>
      </c>
      <c r="K1161" s="42">
        <v>1</v>
      </c>
      <c r="L1161" s="42">
        <v>0.90239999999999998</v>
      </c>
      <c r="M1161">
        <v>1</v>
      </c>
    </row>
    <row r="1162" spans="3:13" x14ac:dyDescent="0.15">
      <c r="C1162" s="43">
        <v>1129</v>
      </c>
      <c r="D1162" s="42">
        <v>1129</v>
      </c>
      <c r="E1162" s="42">
        <v>0.9032</v>
      </c>
      <c r="F1162" s="42">
        <v>128</v>
      </c>
      <c r="G1162" s="42">
        <v>115.6096</v>
      </c>
      <c r="H1162" s="42">
        <v>1.1071744906997343</v>
      </c>
      <c r="I1162" s="42">
        <v>1</v>
      </c>
      <c r="J1162" s="42">
        <v>1.1071744906997343</v>
      </c>
      <c r="K1162" s="42">
        <v>1</v>
      </c>
      <c r="L1162" s="42">
        <v>0.9032</v>
      </c>
      <c r="M1162">
        <v>1</v>
      </c>
    </row>
    <row r="1163" spans="3:13" x14ac:dyDescent="0.15">
      <c r="C1163" s="43">
        <v>1130</v>
      </c>
      <c r="D1163" s="42">
        <v>1130</v>
      </c>
      <c r="E1163" s="42">
        <v>0.90400000000000003</v>
      </c>
      <c r="F1163" s="42">
        <v>128</v>
      </c>
      <c r="G1163" s="42">
        <v>115.712</v>
      </c>
      <c r="H1163" s="42">
        <v>1.1061946902654867</v>
      </c>
      <c r="I1163" s="42">
        <v>1</v>
      </c>
      <c r="J1163" s="42">
        <v>1.1061946902654867</v>
      </c>
      <c r="K1163" s="42">
        <v>1</v>
      </c>
      <c r="L1163" s="42">
        <v>0.90400000000000003</v>
      </c>
      <c r="M1163">
        <v>1</v>
      </c>
    </row>
    <row r="1164" spans="3:13" x14ac:dyDescent="0.15">
      <c r="C1164" s="43">
        <v>1131</v>
      </c>
      <c r="D1164" s="42">
        <v>1131</v>
      </c>
      <c r="E1164" s="42">
        <v>0.90480000000000005</v>
      </c>
      <c r="F1164" s="42">
        <v>128</v>
      </c>
      <c r="G1164" s="42">
        <v>115.81440000000001</v>
      </c>
      <c r="H1164" s="42">
        <v>1.1052166224580018</v>
      </c>
      <c r="I1164" s="42">
        <v>1</v>
      </c>
      <c r="J1164" s="42">
        <v>1.1052166224580018</v>
      </c>
      <c r="K1164" s="42">
        <v>1</v>
      </c>
      <c r="L1164" s="42">
        <v>0.90480000000000005</v>
      </c>
      <c r="M1164">
        <v>1</v>
      </c>
    </row>
    <row r="1165" spans="3:13" x14ac:dyDescent="0.15">
      <c r="C1165" s="43">
        <v>1132</v>
      </c>
      <c r="D1165" s="42">
        <v>1132</v>
      </c>
      <c r="E1165" s="42">
        <v>0.90559999999999996</v>
      </c>
      <c r="F1165" s="42">
        <v>128</v>
      </c>
      <c r="G1165" s="42">
        <v>115.91680000000001</v>
      </c>
      <c r="H1165" s="42">
        <v>1.1042402826855124</v>
      </c>
      <c r="I1165" s="42">
        <v>1</v>
      </c>
      <c r="J1165" s="42">
        <v>1.1042402826855124</v>
      </c>
      <c r="K1165" s="42">
        <v>1</v>
      </c>
      <c r="L1165" s="42">
        <v>0.90559999999999996</v>
      </c>
      <c r="M1165">
        <v>1</v>
      </c>
    </row>
    <row r="1166" spans="3:13" x14ac:dyDescent="0.15">
      <c r="C1166" s="43">
        <v>1133</v>
      </c>
      <c r="D1166" s="42">
        <v>1133</v>
      </c>
      <c r="E1166" s="42">
        <v>0.90639999999999998</v>
      </c>
      <c r="F1166" s="42">
        <v>128</v>
      </c>
      <c r="G1166" s="42">
        <v>116.01920000000001</v>
      </c>
      <c r="H1166" s="42">
        <v>1.1032656663724625</v>
      </c>
      <c r="I1166" s="42">
        <v>1</v>
      </c>
      <c r="J1166" s="42">
        <v>1.1032656663724625</v>
      </c>
      <c r="K1166" s="42">
        <v>1</v>
      </c>
      <c r="L1166" s="42">
        <v>0.90639999999999998</v>
      </c>
      <c r="M1166">
        <v>1</v>
      </c>
    </row>
    <row r="1167" spans="3:13" x14ac:dyDescent="0.15">
      <c r="C1167" s="43">
        <v>1134</v>
      </c>
      <c r="D1167" s="42">
        <v>1134</v>
      </c>
      <c r="E1167" s="42">
        <v>0.90720000000000001</v>
      </c>
      <c r="F1167" s="42">
        <v>128</v>
      </c>
      <c r="G1167" s="42">
        <v>116.1216</v>
      </c>
      <c r="H1167" s="42">
        <v>1.1022927689594355</v>
      </c>
      <c r="I1167" s="42">
        <v>1</v>
      </c>
      <c r="J1167" s="42">
        <v>1.1022927689594355</v>
      </c>
      <c r="K1167" s="42">
        <v>1</v>
      </c>
      <c r="L1167" s="42">
        <v>0.90720000000000001</v>
      </c>
      <c r="M1167">
        <v>1</v>
      </c>
    </row>
    <row r="1168" spans="3:13" x14ac:dyDescent="0.15">
      <c r="C1168" s="43">
        <v>1135</v>
      </c>
      <c r="D1168" s="42">
        <v>1135</v>
      </c>
      <c r="E1168" s="42">
        <v>0.90800000000000003</v>
      </c>
      <c r="F1168" s="42">
        <v>128</v>
      </c>
      <c r="G1168" s="42">
        <v>116.224</v>
      </c>
      <c r="H1168" s="42">
        <v>1.1013215859030836</v>
      </c>
      <c r="I1168" s="42">
        <v>1</v>
      </c>
      <c r="J1168" s="42">
        <v>1.1013215859030836</v>
      </c>
      <c r="K1168" s="42">
        <v>1</v>
      </c>
      <c r="L1168" s="42">
        <v>0.90800000000000003</v>
      </c>
      <c r="M1168">
        <v>1</v>
      </c>
    </row>
    <row r="1169" spans="3:13" x14ac:dyDescent="0.15">
      <c r="C1169" s="43">
        <v>1136</v>
      </c>
      <c r="D1169" s="42">
        <v>1136</v>
      </c>
      <c r="E1169" s="42">
        <v>0.90880000000000005</v>
      </c>
      <c r="F1169" s="42">
        <v>128</v>
      </c>
      <c r="G1169" s="42">
        <v>116.32640000000001</v>
      </c>
      <c r="H1169" s="42">
        <v>1.1003521126760563</v>
      </c>
      <c r="I1169" s="42">
        <v>1</v>
      </c>
      <c r="J1169" s="42">
        <v>1.1003521126760563</v>
      </c>
      <c r="K1169" s="42">
        <v>1</v>
      </c>
      <c r="L1169" s="42">
        <v>0.90880000000000005</v>
      </c>
      <c r="M1169">
        <v>1</v>
      </c>
    </row>
    <row r="1170" spans="3:13" x14ac:dyDescent="0.15">
      <c r="C1170" s="43">
        <v>1137</v>
      </c>
      <c r="D1170" s="42">
        <v>1137</v>
      </c>
      <c r="E1170" s="42">
        <v>0.90959999999999996</v>
      </c>
      <c r="F1170" s="42">
        <v>128</v>
      </c>
      <c r="G1170" s="42">
        <v>116.42880000000001</v>
      </c>
      <c r="H1170" s="42">
        <v>1.0993843447669305</v>
      </c>
      <c r="I1170" s="42">
        <v>1</v>
      </c>
      <c r="J1170" s="42">
        <v>1.0993843447669305</v>
      </c>
      <c r="K1170" s="42">
        <v>1</v>
      </c>
      <c r="L1170" s="42">
        <v>0.90959999999999996</v>
      </c>
      <c r="M1170">
        <v>1</v>
      </c>
    </row>
    <row r="1171" spans="3:13" x14ac:dyDescent="0.15">
      <c r="C1171" s="43">
        <v>1138</v>
      </c>
      <c r="D1171" s="42">
        <v>1138</v>
      </c>
      <c r="E1171" s="42">
        <v>0.91039999999999999</v>
      </c>
      <c r="F1171" s="42">
        <v>128</v>
      </c>
      <c r="G1171" s="42">
        <v>116.53120000000001</v>
      </c>
      <c r="H1171" s="42">
        <v>1.0984182776801406</v>
      </c>
      <c r="I1171" s="42">
        <v>1</v>
      </c>
      <c r="J1171" s="42">
        <v>1.0984182776801406</v>
      </c>
      <c r="K1171" s="42">
        <v>1</v>
      </c>
      <c r="L1171" s="42">
        <v>0.91039999999999999</v>
      </c>
      <c r="M1171">
        <v>1</v>
      </c>
    </row>
    <row r="1172" spans="3:13" x14ac:dyDescent="0.15">
      <c r="C1172" s="43">
        <v>1139</v>
      </c>
      <c r="D1172" s="42">
        <v>1139</v>
      </c>
      <c r="E1172" s="42">
        <v>0.91120000000000001</v>
      </c>
      <c r="F1172" s="42">
        <v>128</v>
      </c>
      <c r="G1172" s="42">
        <v>116.6336</v>
      </c>
      <c r="H1172" s="42">
        <v>1.0974539069359086</v>
      </c>
      <c r="I1172" s="42">
        <v>1</v>
      </c>
      <c r="J1172" s="42">
        <v>1.0974539069359086</v>
      </c>
      <c r="K1172" s="42">
        <v>1</v>
      </c>
      <c r="L1172" s="42">
        <v>0.91120000000000001</v>
      </c>
      <c r="M1172">
        <v>1</v>
      </c>
    </row>
    <row r="1173" spans="3:13" x14ac:dyDescent="0.15">
      <c r="C1173" s="43">
        <v>1140</v>
      </c>
      <c r="D1173" s="42">
        <v>1140</v>
      </c>
      <c r="E1173" s="42">
        <v>0.91200000000000003</v>
      </c>
      <c r="F1173" s="42">
        <v>128</v>
      </c>
      <c r="G1173" s="42">
        <v>116.736</v>
      </c>
      <c r="H1173" s="42">
        <v>1.0964912280701753</v>
      </c>
      <c r="I1173" s="42">
        <v>1</v>
      </c>
      <c r="J1173" s="42">
        <v>1.0964912280701753</v>
      </c>
      <c r="K1173" s="42">
        <v>1</v>
      </c>
      <c r="L1173" s="42">
        <v>0.91200000000000003</v>
      </c>
      <c r="M1173">
        <v>1</v>
      </c>
    </row>
    <row r="1174" spans="3:13" x14ac:dyDescent="0.15">
      <c r="C1174" s="43">
        <v>1141</v>
      </c>
      <c r="D1174" s="42">
        <v>1141</v>
      </c>
      <c r="E1174" s="42">
        <v>0.91279999999999994</v>
      </c>
      <c r="F1174" s="42">
        <v>128</v>
      </c>
      <c r="G1174" s="42">
        <v>116.83839999999999</v>
      </c>
      <c r="H1174" s="42">
        <v>1.0955302366345312</v>
      </c>
      <c r="I1174" s="42">
        <v>1</v>
      </c>
      <c r="J1174" s="42">
        <v>1.0955302366345312</v>
      </c>
      <c r="K1174" s="42">
        <v>1</v>
      </c>
      <c r="L1174" s="42">
        <v>0.91279999999999994</v>
      </c>
      <c r="M1174">
        <v>1</v>
      </c>
    </row>
    <row r="1175" spans="3:13" x14ac:dyDescent="0.15">
      <c r="C1175" s="43">
        <v>1142</v>
      </c>
      <c r="D1175" s="42">
        <v>1142</v>
      </c>
      <c r="E1175" s="42">
        <v>0.91359999999999997</v>
      </c>
      <c r="F1175" s="42">
        <v>128</v>
      </c>
      <c r="G1175" s="42">
        <v>116.94080000000001</v>
      </c>
      <c r="H1175" s="42">
        <v>1.0945709281961471</v>
      </c>
      <c r="I1175" s="42">
        <v>1</v>
      </c>
      <c r="J1175" s="42">
        <v>1.0945709281961471</v>
      </c>
      <c r="K1175" s="42">
        <v>1</v>
      </c>
      <c r="L1175" s="42">
        <v>0.91359999999999997</v>
      </c>
      <c r="M1175">
        <v>1</v>
      </c>
    </row>
    <row r="1176" spans="3:13" x14ac:dyDescent="0.15">
      <c r="C1176" s="43">
        <v>1143</v>
      </c>
      <c r="D1176" s="42">
        <v>1143</v>
      </c>
      <c r="E1176" s="42">
        <v>0.91439999999999999</v>
      </c>
      <c r="F1176" s="42">
        <v>128</v>
      </c>
      <c r="G1176" s="42">
        <v>117.0432</v>
      </c>
      <c r="H1176" s="42">
        <v>1.0936132983377078</v>
      </c>
      <c r="I1176" s="42">
        <v>1</v>
      </c>
      <c r="J1176" s="42">
        <v>1.0936132983377078</v>
      </c>
      <c r="K1176" s="42">
        <v>1</v>
      </c>
      <c r="L1176" s="42">
        <v>0.91439999999999999</v>
      </c>
      <c r="M1176">
        <v>1</v>
      </c>
    </row>
    <row r="1177" spans="3:13" x14ac:dyDescent="0.15">
      <c r="C1177" s="43">
        <v>1144</v>
      </c>
      <c r="D1177" s="42">
        <v>1144</v>
      </c>
      <c r="E1177" s="42">
        <v>0.91520000000000001</v>
      </c>
      <c r="F1177" s="42">
        <v>128</v>
      </c>
      <c r="G1177" s="42">
        <v>117.1456</v>
      </c>
      <c r="H1177" s="42">
        <v>1.0926573426573427</v>
      </c>
      <c r="I1177" s="42">
        <v>1</v>
      </c>
      <c r="J1177" s="42">
        <v>1.0926573426573427</v>
      </c>
      <c r="K1177" s="42">
        <v>1</v>
      </c>
      <c r="L1177" s="42">
        <v>0.91520000000000001</v>
      </c>
      <c r="M1177">
        <v>1</v>
      </c>
    </row>
    <row r="1178" spans="3:13" x14ac:dyDescent="0.15">
      <c r="C1178" s="43">
        <v>1145</v>
      </c>
      <c r="D1178" s="42">
        <v>1145</v>
      </c>
      <c r="E1178" s="42">
        <v>0.91600000000000004</v>
      </c>
      <c r="F1178" s="42">
        <v>128</v>
      </c>
      <c r="G1178" s="42">
        <v>117.248</v>
      </c>
      <c r="H1178" s="42">
        <v>1.0917030567685588</v>
      </c>
      <c r="I1178" s="42">
        <v>1</v>
      </c>
      <c r="J1178" s="42">
        <v>1.0917030567685588</v>
      </c>
      <c r="K1178" s="42">
        <v>1</v>
      </c>
      <c r="L1178" s="42">
        <v>0.91600000000000004</v>
      </c>
      <c r="M1178">
        <v>1</v>
      </c>
    </row>
    <row r="1179" spans="3:13" x14ac:dyDescent="0.15">
      <c r="C1179" s="43">
        <v>1146</v>
      </c>
      <c r="D1179" s="42">
        <v>1146</v>
      </c>
      <c r="E1179" s="42">
        <v>0.91679999999999995</v>
      </c>
      <c r="F1179" s="42">
        <v>128</v>
      </c>
      <c r="G1179" s="42">
        <v>117.35040000000001</v>
      </c>
      <c r="H1179" s="42">
        <v>1.0907504363001745</v>
      </c>
      <c r="I1179" s="42">
        <v>1</v>
      </c>
      <c r="J1179" s="42">
        <v>1.0907504363001745</v>
      </c>
      <c r="K1179" s="42">
        <v>1</v>
      </c>
      <c r="L1179" s="42">
        <v>0.91679999999999995</v>
      </c>
      <c r="M1179">
        <v>1</v>
      </c>
    </row>
    <row r="1180" spans="3:13" x14ac:dyDescent="0.15">
      <c r="C1180" s="43">
        <v>1147</v>
      </c>
      <c r="D1180" s="42">
        <v>1147</v>
      </c>
      <c r="E1180" s="42">
        <v>0.91759999999999997</v>
      </c>
      <c r="F1180" s="42">
        <v>128</v>
      </c>
      <c r="G1180" s="42">
        <v>117.45280000000001</v>
      </c>
      <c r="H1180" s="42">
        <v>1.0897994768962511</v>
      </c>
      <c r="I1180" s="42">
        <v>1</v>
      </c>
      <c r="J1180" s="42">
        <v>1.0897994768962511</v>
      </c>
      <c r="K1180" s="42">
        <v>1</v>
      </c>
      <c r="L1180" s="42">
        <v>0.91759999999999997</v>
      </c>
      <c r="M1180">
        <v>1</v>
      </c>
    </row>
    <row r="1181" spans="3:13" x14ac:dyDescent="0.15">
      <c r="C1181" s="43">
        <v>1148</v>
      </c>
      <c r="D1181" s="42">
        <v>1148</v>
      </c>
      <c r="E1181" s="42">
        <v>0.91839999999999999</v>
      </c>
      <c r="F1181" s="42">
        <v>128</v>
      </c>
      <c r="G1181" s="42">
        <v>117.5552</v>
      </c>
      <c r="H1181" s="42">
        <v>1.0888501742160279</v>
      </c>
      <c r="I1181" s="42">
        <v>1</v>
      </c>
      <c r="J1181" s="42">
        <v>1.0888501742160279</v>
      </c>
      <c r="K1181" s="42">
        <v>1</v>
      </c>
      <c r="L1181" s="42">
        <v>0.91839999999999999</v>
      </c>
      <c r="M1181">
        <v>1</v>
      </c>
    </row>
    <row r="1182" spans="3:13" x14ac:dyDescent="0.15">
      <c r="C1182" s="43">
        <v>1149</v>
      </c>
      <c r="D1182" s="42">
        <v>1149</v>
      </c>
      <c r="E1182" s="42">
        <v>0.91920000000000002</v>
      </c>
      <c r="F1182" s="42">
        <v>128</v>
      </c>
      <c r="G1182" s="42">
        <v>117.6576</v>
      </c>
      <c r="H1182" s="42">
        <v>1.0879025239338556</v>
      </c>
      <c r="I1182" s="42">
        <v>1</v>
      </c>
      <c r="J1182" s="42">
        <v>1.0879025239338556</v>
      </c>
      <c r="K1182" s="42">
        <v>1</v>
      </c>
      <c r="L1182" s="42">
        <v>0.91920000000000002</v>
      </c>
      <c r="M1182">
        <v>1</v>
      </c>
    </row>
    <row r="1183" spans="3:13" x14ac:dyDescent="0.15">
      <c r="C1183" s="43">
        <v>1150</v>
      </c>
      <c r="D1183" s="42">
        <v>1150</v>
      </c>
      <c r="E1183" s="42">
        <v>0.92</v>
      </c>
      <c r="F1183" s="42">
        <v>128</v>
      </c>
      <c r="G1183" s="42">
        <v>117.76</v>
      </c>
      <c r="H1183" s="42">
        <v>1.0869565217391304</v>
      </c>
      <c r="I1183" s="42">
        <v>1</v>
      </c>
      <c r="J1183" s="42">
        <v>1.0869565217391304</v>
      </c>
      <c r="K1183" s="42">
        <v>1</v>
      </c>
      <c r="L1183" s="42">
        <v>0.92</v>
      </c>
      <c r="M1183">
        <v>1</v>
      </c>
    </row>
    <row r="1184" spans="3:13" x14ac:dyDescent="0.15">
      <c r="C1184" s="43">
        <v>1151</v>
      </c>
      <c r="D1184" s="42">
        <v>1151</v>
      </c>
      <c r="E1184" s="42">
        <v>0.92079999999999995</v>
      </c>
      <c r="F1184" s="42">
        <v>128</v>
      </c>
      <c r="G1184" s="42">
        <v>117.86240000000001</v>
      </c>
      <c r="H1184" s="42">
        <v>1.0860121633362294</v>
      </c>
      <c r="I1184" s="42">
        <v>1</v>
      </c>
      <c r="J1184" s="42">
        <v>1.0860121633362294</v>
      </c>
      <c r="K1184" s="42">
        <v>1</v>
      </c>
      <c r="L1184" s="42">
        <v>0.92079999999999995</v>
      </c>
      <c r="M1184">
        <v>1</v>
      </c>
    </row>
    <row r="1185" spans="3:13" x14ac:dyDescent="0.15">
      <c r="C1185" s="43">
        <v>1152</v>
      </c>
      <c r="D1185" s="42">
        <v>1152</v>
      </c>
      <c r="E1185" s="42">
        <v>0.92159999999999997</v>
      </c>
      <c r="F1185" s="42">
        <v>128</v>
      </c>
      <c r="G1185" s="42">
        <v>117.96480000000001</v>
      </c>
      <c r="H1185" s="42">
        <v>1.0850694444444444</v>
      </c>
      <c r="I1185" s="42">
        <v>1</v>
      </c>
      <c r="J1185" s="42">
        <v>1.0850694444444444</v>
      </c>
      <c r="K1185" s="42">
        <v>1</v>
      </c>
      <c r="L1185" s="42">
        <v>0.92159999999999997</v>
      </c>
      <c r="M1185">
        <v>1</v>
      </c>
    </row>
    <row r="1186" spans="3:13" x14ac:dyDescent="0.15">
      <c r="C1186" s="43">
        <v>1153</v>
      </c>
      <c r="D1186" s="42">
        <v>1153</v>
      </c>
      <c r="E1186" s="42">
        <v>0.9224</v>
      </c>
      <c r="F1186" s="42">
        <v>128</v>
      </c>
      <c r="G1186" s="42">
        <v>118.0672</v>
      </c>
      <c r="H1186" s="42">
        <v>1.0841283607979184</v>
      </c>
      <c r="I1186" s="42">
        <v>1</v>
      </c>
      <c r="J1186" s="42">
        <v>1.0841283607979184</v>
      </c>
      <c r="K1186" s="42">
        <v>1</v>
      </c>
      <c r="L1186" s="42">
        <v>0.9224</v>
      </c>
      <c r="M1186">
        <v>1</v>
      </c>
    </row>
    <row r="1187" spans="3:13" x14ac:dyDescent="0.15">
      <c r="C1187" s="43">
        <v>1154</v>
      </c>
      <c r="D1187" s="42">
        <v>1154</v>
      </c>
      <c r="E1187" s="42">
        <v>0.92320000000000002</v>
      </c>
      <c r="F1187" s="42">
        <v>128</v>
      </c>
      <c r="G1187" s="42">
        <v>118.1696</v>
      </c>
      <c r="H1187" s="42">
        <v>1.0831889081455806</v>
      </c>
      <c r="I1187" s="42">
        <v>1</v>
      </c>
      <c r="J1187" s="42">
        <v>1.0831889081455806</v>
      </c>
      <c r="K1187" s="42">
        <v>1</v>
      </c>
      <c r="L1187" s="42">
        <v>0.92320000000000002</v>
      </c>
      <c r="M1187">
        <v>1</v>
      </c>
    </row>
    <row r="1188" spans="3:13" x14ac:dyDescent="0.15">
      <c r="C1188" s="43">
        <v>1155</v>
      </c>
      <c r="D1188" s="42">
        <v>1155</v>
      </c>
      <c r="E1188" s="42">
        <v>0.92400000000000004</v>
      </c>
      <c r="F1188" s="42">
        <v>128</v>
      </c>
      <c r="G1188" s="42">
        <v>118.27200000000001</v>
      </c>
      <c r="H1188" s="42">
        <v>1.0822510822510822</v>
      </c>
      <c r="I1188" s="42">
        <v>1</v>
      </c>
      <c r="J1188" s="42">
        <v>1.0822510822510822</v>
      </c>
      <c r="K1188" s="42">
        <v>1</v>
      </c>
      <c r="L1188" s="42">
        <v>0.92400000000000004</v>
      </c>
      <c r="M1188">
        <v>1</v>
      </c>
    </row>
    <row r="1189" spans="3:13" x14ac:dyDescent="0.15">
      <c r="C1189" s="43">
        <v>1156</v>
      </c>
      <c r="D1189" s="42">
        <v>1156</v>
      </c>
      <c r="E1189" s="42">
        <v>0.92479999999999996</v>
      </c>
      <c r="F1189" s="42">
        <v>128</v>
      </c>
      <c r="G1189" s="42">
        <v>118.37440000000001</v>
      </c>
      <c r="H1189" s="42">
        <v>1.0813148788927336</v>
      </c>
      <c r="I1189" s="42">
        <v>1</v>
      </c>
      <c r="J1189" s="42">
        <v>1.0813148788927336</v>
      </c>
      <c r="K1189" s="42">
        <v>1</v>
      </c>
      <c r="L1189" s="42">
        <v>0.92479999999999996</v>
      </c>
      <c r="M1189">
        <v>1</v>
      </c>
    </row>
    <row r="1190" spans="3:13" x14ac:dyDescent="0.15">
      <c r="C1190" s="43">
        <v>1157</v>
      </c>
      <c r="D1190" s="42">
        <v>1157</v>
      </c>
      <c r="E1190" s="42">
        <v>0.92559999999999998</v>
      </c>
      <c r="F1190" s="42">
        <v>128</v>
      </c>
      <c r="G1190" s="42">
        <v>118.47680000000001</v>
      </c>
      <c r="H1190" s="42">
        <v>1.0803802938634399</v>
      </c>
      <c r="I1190" s="42">
        <v>1</v>
      </c>
      <c r="J1190" s="42">
        <v>1.0803802938634399</v>
      </c>
      <c r="K1190" s="42">
        <v>1</v>
      </c>
      <c r="L1190" s="42">
        <v>0.92559999999999998</v>
      </c>
      <c r="M1190">
        <v>1</v>
      </c>
    </row>
    <row r="1191" spans="3:13" x14ac:dyDescent="0.15">
      <c r="C1191" s="43">
        <v>1158</v>
      </c>
      <c r="D1191" s="42">
        <v>1158</v>
      </c>
      <c r="E1191" s="42">
        <v>0.9264</v>
      </c>
      <c r="F1191" s="42">
        <v>128</v>
      </c>
      <c r="G1191" s="42">
        <v>118.5792</v>
      </c>
      <c r="H1191" s="42">
        <v>1.0794473229706389</v>
      </c>
      <c r="I1191" s="42">
        <v>1</v>
      </c>
      <c r="J1191" s="42">
        <v>1.0794473229706389</v>
      </c>
      <c r="K1191" s="42">
        <v>1</v>
      </c>
      <c r="L1191" s="42">
        <v>0.9264</v>
      </c>
      <c r="M1191">
        <v>1</v>
      </c>
    </row>
    <row r="1192" spans="3:13" x14ac:dyDescent="0.15">
      <c r="C1192" s="43">
        <v>1159</v>
      </c>
      <c r="D1192" s="42">
        <v>1159</v>
      </c>
      <c r="E1192" s="42">
        <v>0.92720000000000002</v>
      </c>
      <c r="F1192" s="42">
        <v>128</v>
      </c>
      <c r="G1192" s="42">
        <v>118.6816</v>
      </c>
      <c r="H1192" s="42">
        <v>1.0785159620362381</v>
      </c>
      <c r="I1192" s="42">
        <v>1</v>
      </c>
      <c r="J1192" s="42">
        <v>1.0785159620362381</v>
      </c>
      <c r="K1192" s="42">
        <v>1</v>
      </c>
      <c r="L1192" s="42">
        <v>0.92720000000000002</v>
      </c>
      <c r="M1192">
        <v>1</v>
      </c>
    </row>
    <row r="1193" spans="3:13" x14ac:dyDescent="0.15">
      <c r="C1193" s="43">
        <v>1160</v>
      </c>
      <c r="D1193" s="42">
        <v>1160</v>
      </c>
      <c r="E1193" s="42">
        <v>0.92800000000000005</v>
      </c>
      <c r="F1193" s="42">
        <v>128</v>
      </c>
      <c r="G1193" s="42">
        <v>118.78400000000001</v>
      </c>
      <c r="H1193" s="42">
        <v>1.0775862068965516</v>
      </c>
      <c r="I1193" s="42">
        <v>1</v>
      </c>
      <c r="J1193" s="42">
        <v>1.0775862068965516</v>
      </c>
      <c r="K1193" s="42">
        <v>1</v>
      </c>
      <c r="L1193" s="42">
        <v>0.92800000000000005</v>
      </c>
      <c r="M1193">
        <v>1</v>
      </c>
    </row>
    <row r="1194" spans="3:13" x14ac:dyDescent="0.15">
      <c r="C1194" s="43">
        <v>1161</v>
      </c>
      <c r="D1194" s="42">
        <v>1161</v>
      </c>
      <c r="E1194" s="42">
        <v>0.92879999999999996</v>
      </c>
      <c r="F1194" s="42">
        <v>128</v>
      </c>
      <c r="G1194" s="42">
        <v>118.88640000000001</v>
      </c>
      <c r="H1194" s="42">
        <v>1.0766580534022394</v>
      </c>
      <c r="I1194" s="42">
        <v>1</v>
      </c>
      <c r="J1194" s="42">
        <v>1.0766580534022394</v>
      </c>
      <c r="K1194" s="42">
        <v>1</v>
      </c>
      <c r="L1194" s="42">
        <v>0.92879999999999996</v>
      </c>
      <c r="M1194">
        <v>1</v>
      </c>
    </row>
    <row r="1195" spans="3:13" x14ac:dyDescent="0.15">
      <c r="C1195" s="43">
        <v>1162</v>
      </c>
      <c r="D1195" s="42">
        <v>1162</v>
      </c>
      <c r="E1195" s="42">
        <v>0.92959999999999998</v>
      </c>
      <c r="F1195" s="42">
        <v>128</v>
      </c>
      <c r="G1195" s="42">
        <v>118.98880000000001</v>
      </c>
      <c r="H1195" s="42">
        <v>1.0757314974182444</v>
      </c>
      <c r="I1195" s="42">
        <v>1</v>
      </c>
      <c r="J1195" s="42">
        <v>1.0757314974182444</v>
      </c>
      <c r="K1195" s="42">
        <v>1</v>
      </c>
      <c r="L1195" s="42">
        <v>0.92959999999999998</v>
      </c>
      <c r="M1195">
        <v>1</v>
      </c>
    </row>
    <row r="1196" spans="3:13" x14ac:dyDescent="0.15">
      <c r="C1196" s="43">
        <v>1163</v>
      </c>
      <c r="D1196" s="42">
        <v>1163</v>
      </c>
      <c r="E1196" s="42">
        <v>0.9304</v>
      </c>
      <c r="F1196" s="42">
        <v>128</v>
      </c>
      <c r="G1196" s="42">
        <v>119.0912</v>
      </c>
      <c r="H1196" s="42">
        <v>1.0748065348237317</v>
      </c>
      <c r="I1196" s="42">
        <v>1</v>
      </c>
      <c r="J1196" s="42">
        <v>1.0748065348237317</v>
      </c>
      <c r="K1196" s="42">
        <v>1</v>
      </c>
      <c r="L1196" s="42">
        <v>0.9304</v>
      </c>
      <c r="M1196">
        <v>1</v>
      </c>
    </row>
    <row r="1197" spans="3:13" x14ac:dyDescent="0.15">
      <c r="C1197" s="43">
        <v>1164</v>
      </c>
      <c r="D1197" s="42">
        <v>1164</v>
      </c>
      <c r="E1197" s="42">
        <v>0.93120000000000003</v>
      </c>
      <c r="F1197" s="42">
        <v>128</v>
      </c>
      <c r="G1197" s="42">
        <v>119.1936</v>
      </c>
      <c r="H1197" s="42">
        <v>1.0738831615120275</v>
      </c>
      <c r="I1197" s="42">
        <v>1</v>
      </c>
      <c r="J1197" s="42">
        <v>1.0738831615120275</v>
      </c>
      <c r="K1197" s="42">
        <v>1</v>
      </c>
      <c r="L1197" s="42">
        <v>0.93120000000000003</v>
      </c>
      <c r="M1197">
        <v>1</v>
      </c>
    </row>
    <row r="1198" spans="3:13" x14ac:dyDescent="0.15">
      <c r="C1198" s="43">
        <v>1165</v>
      </c>
      <c r="D1198" s="42">
        <v>1165</v>
      </c>
      <c r="E1198" s="42">
        <v>0.93200000000000005</v>
      </c>
      <c r="F1198" s="42">
        <v>128</v>
      </c>
      <c r="G1198" s="42">
        <v>119.29600000000001</v>
      </c>
      <c r="H1198" s="42">
        <v>1.0729613733905579</v>
      </c>
      <c r="I1198" s="42">
        <v>1</v>
      </c>
      <c r="J1198" s="42">
        <v>1.0729613733905579</v>
      </c>
      <c r="K1198" s="42">
        <v>1</v>
      </c>
      <c r="L1198" s="42">
        <v>0.93200000000000005</v>
      </c>
      <c r="M1198">
        <v>1</v>
      </c>
    </row>
    <row r="1199" spans="3:13" x14ac:dyDescent="0.15">
      <c r="C1199" s="43">
        <v>1166</v>
      </c>
      <c r="D1199" s="42">
        <v>1166</v>
      </c>
      <c r="E1199" s="42">
        <v>0.93279999999999996</v>
      </c>
      <c r="F1199" s="42">
        <v>128</v>
      </c>
      <c r="G1199" s="42">
        <v>119.39840000000001</v>
      </c>
      <c r="H1199" s="42">
        <v>1.0720411663807892</v>
      </c>
      <c r="I1199" s="42">
        <v>1</v>
      </c>
      <c r="J1199" s="42">
        <v>1.0720411663807892</v>
      </c>
      <c r="K1199" s="42">
        <v>1</v>
      </c>
      <c r="L1199" s="42">
        <v>0.93279999999999996</v>
      </c>
      <c r="M1199">
        <v>1</v>
      </c>
    </row>
    <row r="1200" spans="3:13" x14ac:dyDescent="0.15">
      <c r="C1200" s="43">
        <v>1167</v>
      </c>
      <c r="D1200" s="42">
        <v>1167</v>
      </c>
      <c r="E1200" s="42">
        <v>0.93359999999999999</v>
      </c>
      <c r="F1200" s="42">
        <v>128</v>
      </c>
      <c r="G1200" s="42">
        <v>119.50080000000001</v>
      </c>
      <c r="H1200" s="42">
        <v>1.0711225364181662</v>
      </c>
      <c r="I1200" s="42">
        <v>1</v>
      </c>
      <c r="J1200" s="42">
        <v>1.0711225364181662</v>
      </c>
      <c r="K1200" s="42">
        <v>1</v>
      </c>
      <c r="L1200" s="42">
        <v>0.93359999999999999</v>
      </c>
      <c r="M1200">
        <v>1</v>
      </c>
    </row>
    <row r="1201" spans="3:13" x14ac:dyDescent="0.15">
      <c r="C1201" s="43">
        <v>1168</v>
      </c>
      <c r="D1201" s="42">
        <v>1168</v>
      </c>
      <c r="E1201" s="42">
        <v>0.93440000000000001</v>
      </c>
      <c r="F1201" s="42">
        <v>128</v>
      </c>
      <c r="G1201" s="42">
        <v>119.6032</v>
      </c>
      <c r="H1201" s="42">
        <v>1.0702054794520548</v>
      </c>
      <c r="I1201" s="42">
        <v>1</v>
      </c>
      <c r="J1201" s="42">
        <v>1.0702054794520548</v>
      </c>
      <c r="K1201" s="42">
        <v>1</v>
      </c>
      <c r="L1201" s="42">
        <v>0.93440000000000001</v>
      </c>
      <c r="M1201">
        <v>1</v>
      </c>
    </row>
    <row r="1202" spans="3:13" x14ac:dyDescent="0.15">
      <c r="C1202" s="43">
        <v>1169</v>
      </c>
      <c r="D1202" s="42">
        <v>1169</v>
      </c>
      <c r="E1202" s="42">
        <v>0.93520000000000003</v>
      </c>
      <c r="F1202" s="42">
        <v>128</v>
      </c>
      <c r="G1202" s="42">
        <v>119.7056</v>
      </c>
      <c r="H1202" s="42">
        <v>1.0692899914456799</v>
      </c>
      <c r="I1202" s="42">
        <v>1</v>
      </c>
      <c r="J1202" s="42">
        <v>1.0692899914456799</v>
      </c>
      <c r="K1202" s="42">
        <v>1</v>
      </c>
      <c r="L1202" s="42">
        <v>0.93520000000000003</v>
      </c>
      <c r="M1202">
        <v>1</v>
      </c>
    </row>
    <row r="1203" spans="3:13" x14ac:dyDescent="0.15">
      <c r="C1203" s="43">
        <v>1170</v>
      </c>
      <c r="D1203" s="42">
        <v>1170</v>
      </c>
      <c r="E1203" s="42">
        <v>0.93600000000000005</v>
      </c>
      <c r="F1203" s="42">
        <v>128</v>
      </c>
      <c r="G1203" s="42">
        <v>119.80800000000001</v>
      </c>
      <c r="H1203" s="42">
        <v>1.0683760683760684</v>
      </c>
      <c r="I1203" s="42">
        <v>1</v>
      </c>
      <c r="J1203" s="42">
        <v>1.0683760683760684</v>
      </c>
      <c r="K1203" s="42">
        <v>1</v>
      </c>
      <c r="L1203" s="42">
        <v>0.93600000000000005</v>
      </c>
      <c r="M1203">
        <v>1</v>
      </c>
    </row>
    <row r="1204" spans="3:13" x14ac:dyDescent="0.15">
      <c r="C1204" s="43">
        <v>1171</v>
      </c>
      <c r="D1204" s="42">
        <v>1171</v>
      </c>
      <c r="E1204" s="42">
        <v>0.93679999999999997</v>
      </c>
      <c r="F1204" s="42">
        <v>128</v>
      </c>
      <c r="G1204" s="42">
        <v>119.91040000000001</v>
      </c>
      <c r="H1204" s="42">
        <v>1.067463706233988</v>
      </c>
      <c r="I1204" s="42">
        <v>1</v>
      </c>
      <c r="J1204" s="42">
        <v>1.067463706233988</v>
      </c>
      <c r="K1204" s="42">
        <v>1</v>
      </c>
      <c r="L1204" s="42">
        <v>0.93679999999999997</v>
      </c>
      <c r="M1204">
        <v>1</v>
      </c>
    </row>
    <row r="1205" spans="3:13" x14ac:dyDescent="0.15">
      <c r="C1205" s="43">
        <v>1172</v>
      </c>
      <c r="D1205" s="42">
        <v>1172</v>
      </c>
      <c r="E1205" s="42">
        <v>0.93759999999999999</v>
      </c>
      <c r="F1205" s="42">
        <v>128</v>
      </c>
      <c r="G1205" s="42">
        <v>120.01280000000001</v>
      </c>
      <c r="H1205" s="42">
        <v>1.0665529010238908</v>
      </c>
      <c r="I1205" s="42">
        <v>1</v>
      </c>
      <c r="J1205" s="42">
        <v>1.0665529010238908</v>
      </c>
      <c r="K1205" s="42">
        <v>1</v>
      </c>
      <c r="L1205" s="42">
        <v>0.93759999999999999</v>
      </c>
      <c r="M1205">
        <v>1</v>
      </c>
    </row>
    <row r="1206" spans="3:13" x14ac:dyDescent="0.15">
      <c r="C1206" s="43">
        <v>1173</v>
      </c>
      <c r="D1206" s="42">
        <v>1173</v>
      </c>
      <c r="E1206" s="42">
        <v>0.93840000000000001</v>
      </c>
      <c r="F1206" s="42">
        <v>128</v>
      </c>
      <c r="G1206" s="42">
        <v>120.1152</v>
      </c>
      <c r="H1206" s="42">
        <v>1.0656436487638534</v>
      </c>
      <c r="I1206" s="42">
        <v>1</v>
      </c>
      <c r="J1206" s="42">
        <v>1.0656436487638534</v>
      </c>
      <c r="K1206" s="42">
        <v>1</v>
      </c>
      <c r="L1206" s="42">
        <v>0.93840000000000001</v>
      </c>
      <c r="M1206">
        <v>1</v>
      </c>
    </row>
    <row r="1207" spans="3:13" x14ac:dyDescent="0.15">
      <c r="C1207" s="43">
        <v>1174</v>
      </c>
      <c r="D1207" s="42">
        <v>1174</v>
      </c>
      <c r="E1207" s="42">
        <v>0.93920000000000003</v>
      </c>
      <c r="F1207" s="42">
        <v>128</v>
      </c>
      <c r="G1207" s="42">
        <v>120.2176</v>
      </c>
      <c r="H1207" s="42">
        <v>1.0647359454855196</v>
      </c>
      <c r="I1207" s="42">
        <v>1</v>
      </c>
      <c r="J1207" s="42">
        <v>1.0647359454855196</v>
      </c>
      <c r="K1207" s="42">
        <v>1</v>
      </c>
      <c r="L1207" s="42">
        <v>0.93920000000000003</v>
      </c>
      <c r="M1207">
        <v>1</v>
      </c>
    </row>
    <row r="1208" spans="3:13" x14ac:dyDescent="0.15">
      <c r="C1208" s="43">
        <v>1175</v>
      </c>
      <c r="D1208" s="42">
        <v>1175</v>
      </c>
      <c r="E1208" s="42">
        <v>0.94</v>
      </c>
      <c r="F1208" s="42">
        <v>128</v>
      </c>
      <c r="G1208" s="42">
        <v>120.32000000000001</v>
      </c>
      <c r="H1208" s="42">
        <v>1.0638297872340425</v>
      </c>
      <c r="I1208" s="42">
        <v>1</v>
      </c>
      <c r="J1208" s="42">
        <v>1.0638297872340425</v>
      </c>
      <c r="K1208" s="42">
        <v>1</v>
      </c>
      <c r="L1208" s="42">
        <v>0.94</v>
      </c>
      <c r="M1208">
        <v>1</v>
      </c>
    </row>
    <row r="1209" spans="3:13" x14ac:dyDescent="0.15">
      <c r="C1209" s="43">
        <v>1176</v>
      </c>
      <c r="D1209" s="42">
        <v>1176</v>
      </c>
      <c r="E1209" s="42">
        <v>0.94079999999999997</v>
      </c>
      <c r="F1209" s="42">
        <v>128</v>
      </c>
      <c r="G1209" s="42">
        <v>120.42240000000001</v>
      </c>
      <c r="H1209" s="42">
        <v>1.0629251700680273</v>
      </c>
      <c r="I1209" s="42">
        <v>1</v>
      </c>
      <c r="J1209" s="42">
        <v>1.0629251700680273</v>
      </c>
      <c r="K1209" s="42">
        <v>1</v>
      </c>
      <c r="L1209" s="42">
        <v>0.94079999999999997</v>
      </c>
      <c r="M1209">
        <v>1</v>
      </c>
    </row>
    <row r="1210" spans="3:13" x14ac:dyDescent="0.15">
      <c r="C1210" s="43">
        <v>1177</v>
      </c>
      <c r="D1210" s="42">
        <v>1177</v>
      </c>
      <c r="E1210" s="42">
        <v>0.94159999999999999</v>
      </c>
      <c r="F1210" s="42">
        <v>128</v>
      </c>
      <c r="G1210" s="42">
        <v>120.5248</v>
      </c>
      <c r="H1210" s="42">
        <v>1.0620220900594732</v>
      </c>
      <c r="I1210" s="42">
        <v>1</v>
      </c>
      <c r="J1210" s="42">
        <v>1.0620220900594732</v>
      </c>
      <c r="K1210" s="42">
        <v>1</v>
      </c>
      <c r="L1210" s="42">
        <v>0.94159999999999999</v>
      </c>
      <c r="M1210">
        <v>1</v>
      </c>
    </row>
    <row r="1211" spans="3:13" x14ac:dyDescent="0.15">
      <c r="C1211" s="43">
        <v>1178</v>
      </c>
      <c r="D1211" s="42">
        <v>1178</v>
      </c>
      <c r="E1211" s="42">
        <v>0.94240000000000002</v>
      </c>
      <c r="F1211" s="42">
        <v>128</v>
      </c>
      <c r="G1211" s="42">
        <v>120.6272</v>
      </c>
      <c r="H1211" s="42">
        <v>1.0611205432937181</v>
      </c>
      <c r="I1211" s="42">
        <v>1</v>
      </c>
      <c r="J1211" s="42">
        <v>1.0611205432937181</v>
      </c>
      <c r="K1211" s="42">
        <v>1</v>
      </c>
      <c r="L1211" s="42">
        <v>0.94240000000000002</v>
      </c>
      <c r="M1211">
        <v>1</v>
      </c>
    </row>
    <row r="1212" spans="3:13" x14ac:dyDescent="0.15">
      <c r="C1212" s="43">
        <v>1179</v>
      </c>
      <c r="D1212" s="42">
        <v>1179</v>
      </c>
      <c r="E1212" s="42">
        <v>0.94320000000000004</v>
      </c>
      <c r="F1212" s="42">
        <v>128</v>
      </c>
      <c r="G1212" s="42">
        <v>120.7296</v>
      </c>
      <c r="H1212" s="42">
        <v>1.0602205258693809</v>
      </c>
      <c r="I1212" s="42">
        <v>1</v>
      </c>
      <c r="J1212" s="42">
        <v>1.0602205258693809</v>
      </c>
      <c r="K1212" s="42">
        <v>1</v>
      </c>
      <c r="L1212" s="42">
        <v>0.94320000000000004</v>
      </c>
      <c r="M1212">
        <v>1</v>
      </c>
    </row>
    <row r="1213" spans="3:13" x14ac:dyDescent="0.15">
      <c r="C1213" s="43">
        <v>1180</v>
      </c>
      <c r="D1213" s="42">
        <v>1180</v>
      </c>
      <c r="E1213" s="42">
        <v>0.94399999999999995</v>
      </c>
      <c r="F1213" s="42">
        <v>128</v>
      </c>
      <c r="G1213" s="42">
        <v>120.83200000000001</v>
      </c>
      <c r="H1213" s="42">
        <v>1.0593220338983051</v>
      </c>
      <c r="I1213" s="42">
        <v>1</v>
      </c>
      <c r="J1213" s="42">
        <v>1.0593220338983051</v>
      </c>
      <c r="K1213" s="42">
        <v>1</v>
      </c>
      <c r="L1213" s="42">
        <v>0.94399999999999995</v>
      </c>
      <c r="M1213">
        <v>1</v>
      </c>
    </row>
    <row r="1214" spans="3:13" x14ac:dyDescent="0.15">
      <c r="C1214" s="43">
        <v>1181</v>
      </c>
      <c r="D1214" s="42">
        <v>1181</v>
      </c>
      <c r="E1214" s="42">
        <v>0.94479999999999997</v>
      </c>
      <c r="F1214" s="42">
        <v>128</v>
      </c>
      <c r="G1214" s="42">
        <v>120.93440000000001</v>
      </c>
      <c r="H1214" s="42">
        <v>1.0584250635055039</v>
      </c>
      <c r="I1214" s="42">
        <v>1</v>
      </c>
      <c r="J1214" s="42">
        <v>1.0584250635055039</v>
      </c>
      <c r="K1214" s="42">
        <v>1</v>
      </c>
      <c r="L1214" s="42">
        <v>0.94479999999999997</v>
      </c>
      <c r="M1214">
        <v>1</v>
      </c>
    </row>
    <row r="1215" spans="3:13" x14ac:dyDescent="0.15">
      <c r="C1215" s="43">
        <v>1182</v>
      </c>
      <c r="D1215" s="42">
        <v>1182</v>
      </c>
      <c r="E1215" s="42">
        <v>0.9456</v>
      </c>
      <c r="F1215" s="42">
        <v>128</v>
      </c>
      <c r="G1215" s="42">
        <v>121.0368</v>
      </c>
      <c r="H1215" s="42">
        <v>1.0575296108291032</v>
      </c>
      <c r="I1215" s="42">
        <v>1</v>
      </c>
      <c r="J1215" s="42">
        <v>1.0575296108291032</v>
      </c>
      <c r="K1215" s="42">
        <v>1</v>
      </c>
      <c r="L1215" s="42">
        <v>0.9456</v>
      </c>
      <c r="M1215">
        <v>1</v>
      </c>
    </row>
    <row r="1216" spans="3:13" x14ac:dyDescent="0.15">
      <c r="C1216" s="43">
        <v>1183</v>
      </c>
      <c r="D1216" s="42">
        <v>1183</v>
      </c>
      <c r="E1216" s="42">
        <v>0.94640000000000002</v>
      </c>
      <c r="F1216" s="42">
        <v>128</v>
      </c>
      <c r="G1216" s="42">
        <v>121.1392</v>
      </c>
      <c r="H1216" s="42">
        <v>1.0566356720202874</v>
      </c>
      <c r="I1216" s="42">
        <v>1</v>
      </c>
      <c r="J1216" s="42">
        <v>1.0566356720202874</v>
      </c>
      <c r="K1216" s="42">
        <v>1</v>
      </c>
      <c r="L1216" s="42">
        <v>0.94640000000000002</v>
      </c>
      <c r="M1216">
        <v>1</v>
      </c>
    </row>
    <row r="1217" spans="3:13" x14ac:dyDescent="0.15">
      <c r="C1217" s="43">
        <v>1184</v>
      </c>
      <c r="D1217" s="42">
        <v>1184</v>
      </c>
      <c r="E1217" s="42">
        <v>0.94720000000000004</v>
      </c>
      <c r="F1217" s="42">
        <v>128</v>
      </c>
      <c r="G1217" s="42">
        <v>121.24160000000001</v>
      </c>
      <c r="H1217" s="42">
        <v>1.0557432432432432</v>
      </c>
      <c r="I1217" s="42">
        <v>1</v>
      </c>
      <c r="J1217" s="42">
        <v>1.0557432432432432</v>
      </c>
      <c r="K1217" s="42">
        <v>1</v>
      </c>
      <c r="L1217" s="42">
        <v>0.94720000000000004</v>
      </c>
      <c r="M1217">
        <v>1</v>
      </c>
    </row>
    <row r="1218" spans="3:13" x14ac:dyDescent="0.15">
      <c r="C1218" s="43">
        <v>1185</v>
      </c>
      <c r="D1218" s="42">
        <v>1185</v>
      </c>
      <c r="E1218" s="42">
        <v>0.94799999999999995</v>
      </c>
      <c r="F1218" s="42">
        <v>128</v>
      </c>
      <c r="G1218" s="42">
        <v>121.34400000000001</v>
      </c>
      <c r="H1218" s="42">
        <v>1.0548523206751055</v>
      </c>
      <c r="I1218" s="42">
        <v>1</v>
      </c>
      <c r="J1218" s="42">
        <v>1.0548523206751055</v>
      </c>
      <c r="K1218" s="42">
        <v>1</v>
      </c>
      <c r="L1218" s="42">
        <v>0.94799999999999995</v>
      </c>
      <c r="M1218">
        <v>1</v>
      </c>
    </row>
    <row r="1219" spans="3:13" x14ac:dyDescent="0.15">
      <c r="C1219" s="43">
        <v>1186</v>
      </c>
      <c r="D1219" s="42">
        <v>1186</v>
      </c>
      <c r="E1219" s="42">
        <v>0.94879999999999998</v>
      </c>
      <c r="F1219" s="42">
        <v>128</v>
      </c>
      <c r="G1219" s="42">
        <v>121.44640000000001</v>
      </c>
      <c r="H1219" s="42">
        <v>1.0539629005059021</v>
      </c>
      <c r="I1219" s="42">
        <v>1</v>
      </c>
      <c r="J1219" s="42">
        <v>1.0539629005059021</v>
      </c>
      <c r="K1219" s="42">
        <v>1</v>
      </c>
      <c r="L1219" s="42">
        <v>0.94879999999999998</v>
      </c>
      <c r="M1219">
        <v>1</v>
      </c>
    </row>
    <row r="1220" spans="3:13" x14ac:dyDescent="0.15">
      <c r="C1220" s="43">
        <v>1187</v>
      </c>
      <c r="D1220" s="42">
        <v>1187</v>
      </c>
      <c r="E1220" s="42">
        <v>0.9496</v>
      </c>
      <c r="F1220" s="42">
        <v>128</v>
      </c>
      <c r="G1220" s="42">
        <v>121.5488</v>
      </c>
      <c r="H1220" s="42">
        <v>1.0530749789385003</v>
      </c>
      <c r="I1220" s="42">
        <v>1</v>
      </c>
      <c r="J1220" s="42">
        <v>1.0530749789385003</v>
      </c>
      <c r="K1220" s="42">
        <v>1</v>
      </c>
      <c r="L1220" s="42">
        <v>0.9496</v>
      </c>
      <c r="M1220">
        <v>1</v>
      </c>
    </row>
    <row r="1221" spans="3:13" x14ac:dyDescent="0.15">
      <c r="C1221" s="43">
        <v>1188</v>
      </c>
      <c r="D1221" s="42">
        <v>1188</v>
      </c>
      <c r="E1221" s="42">
        <v>0.95040000000000002</v>
      </c>
      <c r="F1221" s="42">
        <v>128</v>
      </c>
      <c r="G1221" s="42">
        <v>121.6512</v>
      </c>
      <c r="H1221" s="42">
        <v>1.0521885521885521</v>
      </c>
      <c r="I1221" s="42">
        <v>1</v>
      </c>
      <c r="J1221" s="42">
        <v>1.0521885521885521</v>
      </c>
      <c r="K1221" s="42">
        <v>1</v>
      </c>
      <c r="L1221" s="42">
        <v>0.95040000000000002</v>
      </c>
      <c r="M1221">
        <v>1</v>
      </c>
    </row>
    <row r="1222" spans="3:13" x14ac:dyDescent="0.15">
      <c r="C1222" s="43">
        <v>1189</v>
      </c>
      <c r="D1222" s="42">
        <v>1189</v>
      </c>
      <c r="E1222" s="42">
        <v>0.95120000000000005</v>
      </c>
      <c r="F1222" s="42">
        <v>128</v>
      </c>
      <c r="G1222" s="42">
        <v>121.75360000000001</v>
      </c>
      <c r="H1222" s="42">
        <v>1.0513036164844407</v>
      </c>
      <c r="I1222" s="42">
        <v>1</v>
      </c>
      <c r="J1222" s="42">
        <v>1.0513036164844407</v>
      </c>
      <c r="K1222" s="42">
        <v>1</v>
      </c>
      <c r="L1222" s="42">
        <v>0.95120000000000005</v>
      </c>
      <c r="M1222">
        <v>1</v>
      </c>
    </row>
    <row r="1223" spans="3:13" x14ac:dyDescent="0.15">
      <c r="C1223" s="43">
        <v>1190</v>
      </c>
      <c r="D1223" s="42">
        <v>1190</v>
      </c>
      <c r="E1223" s="42">
        <v>0.95199999999999996</v>
      </c>
      <c r="F1223" s="42">
        <v>128</v>
      </c>
      <c r="G1223" s="42">
        <v>121.85600000000001</v>
      </c>
      <c r="H1223" s="42">
        <v>1.0504201680672269</v>
      </c>
      <c r="I1223" s="42">
        <v>1</v>
      </c>
      <c r="J1223" s="42">
        <v>1.0504201680672269</v>
      </c>
      <c r="K1223" s="42">
        <v>1</v>
      </c>
      <c r="L1223" s="42">
        <v>0.95199999999999996</v>
      </c>
      <c r="M1223">
        <v>1</v>
      </c>
    </row>
    <row r="1224" spans="3:13" x14ac:dyDescent="0.15">
      <c r="C1224" s="43">
        <v>1191</v>
      </c>
      <c r="D1224" s="42">
        <v>1191</v>
      </c>
      <c r="E1224" s="42">
        <v>0.95279999999999998</v>
      </c>
      <c r="F1224" s="42">
        <v>128</v>
      </c>
      <c r="G1224" s="42">
        <v>121.95840000000001</v>
      </c>
      <c r="H1224" s="42">
        <v>1.0495382031905962</v>
      </c>
      <c r="I1224" s="42">
        <v>1</v>
      </c>
      <c r="J1224" s="42">
        <v>1.0495382031905962</v>
      </c>
      <c r="K1224" s="42">
        <v>1</v>
      </c>
      <c r="L1224" s="42">
        <v>0.95279999999999998</v>
      </c>
      <c r="M1224">
        <v>1</v>
      </c>
    </row>
    <row r="1225" spans="3:13" x14ac:dyDescent="0.15">
      <c r="C1225" s="43">
        <v>1192</v>
      </c>
      <c r="D1225" s="42">
        <v>1192</v>
      </c>
      <c r="E1225" s="42">
        <v>0.9536</v>
      </c>
      <c r="F1225" s="42">
        <v>128</v>
      </c>
      <c r="G1225" s="42">
        <v>122.0608</v>
      </c>
      <c r="H1225" s="42">
        <v>1.0486577181208054</v>
      </c>
      <c r="I1225" s="42">
        <v>1</v>
      </c>
      <c r="J1225" s="42">
        <v>1.0486577181208054</v>
      </c>
      <c r="K1225" s="42">
        <v>1</v>
      </c>
      <c r="L1225" s="42">
        <v>0.9536</v>
      </c>
      <c r="M1225">
        <v>1</v>
      </c>
    </row>
    <row r="1226" spans="3:13" x14ac:dyDescent="0.15">
      <c r="C1226" s="43">
        <v>1193</v>
      </c>
      <c r="D1226" s="42">
        <v>1193</v>
      </c>
      <c r="E1226" s="42">
        <v>0.95440000000000003</v>
      </c>
      <c r="F1226" s="42">
        <v>128</v>
      </c>
      <c r="G1226" s="42">
        <v>122.1632</v>
      </c>
      <c r="H1226" s="42">
        <v>1.0477787091366304</v>
      </c>
      <c r="I1226" s="42">
        <v>1</v>
      </c>
      <c r="J1226" s="42">
        <v>1.0477787091366304</v>
      </c>
      <c r="K1226" s="42">
        <v>1</v>
      </c>
      <c r="L1226" s="42">
        <v>0.95440000000000003</v>
      </c>
      <c r="M1226">
        <v>1</v>
      </c>
    </row>
    <row r="1227" spans="3:13" x14ac:dyDescent="0.15">
      <c r="C1227" s="43">
        <v>1194</v>
      </c>
      <c r="D1227" s="42">
        <v>1194</v>
      </c>
      <c r="E1227" s="42">
        <v>0.95520000000000005</v>
      </c>
      <c r="F1227" s="42">
        <v>128</v>
      </c>
      <c r="G1227" s="42">
        <v>122.26560000000001</v>
      </c>
      <c r="H1227" s="42">
        <v>1.0469011725293131</v>
      </c>
      <c r="I1227" s="42">
        <v>1</v>
      </c>
      <c r="J1227" s="42">
        <v>1.0469011725293131</v>
      </c>
      <c r="K1227" s="42">
        <v>1</v>
      </c>
      <c r="L1227" s="42">
        <v>0.95520000000000005</v>
      </c>
      <c r="M1227">
        <v>1</v>
      </c>
    </row>
    <row r="1228" spans="3:13" x14ac:dyDescent="0.15">
      <c r="C1228" s="43">
        <v>1195</v>
      </c>
      <c r="D1228" s="42">
        <v>1195</v>
      </c>
      <c r="E1228" s="42">
        <v>0.95599999999999996</v>
      </c>
      <c r="F1228" s="42">
        <v>128</v>
      </c>
      <c r="G1228" s="42">
        <v>122.36800000000001</v>
      </c>
      <c r="H1228" s="42">
        <v>1.0460251046025104</v>
      </c>
      <c r="I1228" s="42">
        <v>1</v>
      </c>
      <c r="J1228" s="42">
        <v>1.0460251046025104</v>
      </c>
      <c r="K1228" s="42">
        <v>1</v>
      </c>
      <c r="L1228" s="42">
        <v>0.95599999999999996</v>
      </c>
      <c r="M1228">
        <v>1</v>
      </c>
    </row>
    <row r="1229" spans="3:13" x14ac:dyDescent="0.15">
      <c r="C1229" s="43">
        <v>1196</v>
      </c>
      <c r="D1229" s="42">
        <v>1196</v>
      </c>
      <c r="E1229" s="42">
        <v>0.95679999999999998</v>
      </c>
      <c r="F1229" s="42">
        <v>128</v>
      </c>
      <c r="G1229" s="42">
        <v>122.47040000000001</v>
      </c>
      <c r="H1229" s="42">
        <v>1.0451505016722409</v>
      </c>
      <c r="I1229" s="42">
        <v>1</v>
      </c>
      <c r="J1229" s="42">
        <v>1.0451505016722409</v>
      </c>
      <c r="K1229" s="42">
        <v>1</v>
      </c>
      <c r="L1229" s="42">
        <v>0.95679999999999998</v>
      </c>
      <c r="M1229">
        <v>1</v>
      </c>
    </row>
    <row r="1230" spans="3:13" x14ac:dyDescent="0.15">
      <c r="C1230" s="43">
        <v>1197</v>
      </c>
      <c r="D1230" s="42">
        <v>1197</v>
      </c>
      <c r="E1230" s="42">
        <v>0.95760000000000001</v>
      </c>
      <c r="F1230" s="42">
        <v>128</v>
      </c>
      <c r="G1230" s="42">
        <v>122.5728</v>
      </c>
      <c r="H1230" s="42">
        <v>1.0442773600668338</v>
      </c>
      <c r="I1230" s="42">
        <v>1</v>
      </c>
      <c r="J1230" s="42">
        <v>1.0442773600668338</v>
      </c>
      <c r="K1230" s="42">
        <v>1</v>
      </c>
      <c r="L1230" s="42">
        <v>0.95760000000000001</v>
      </c>
      <c r="M1230">
        <v>1</v>
      </c>
    </row>
    <row r="1231" spans="3:13" x14ac:dyDescent="0.15">
      <c r="C1231" s="43">
        <v>1198</v>
      </c>
      <c r="D1231" s="42">
        <v>1198</v>
      </c>
      <c r="E1231" s="42">
        <v>0.95840000000000003</v>
      </c>
      <c r="F1231" s="42">
        <v>128</v>
      </c>
      <c r="G1231" s="42">
        <v>122.6752</v>
      </c>
      <c r="H1231" s="42">
        <v>1.0434056761268782</v>
      </c>
      <c r="I1231" s="42">
        <v>1</v>
      </c>
      <c r="J1231" s="42">
        <v>1.0434056761268782</v>
      </c>
      <c r="K1231" s="42">
        <v>1</v>
      </c>
      <c r="L1231" s="42">
        <v>0.95840000000000003</v>
      </c>
      <c r="M1231">
        <v>1</v>
      </c>
    </row>
    <row r="1232" spans="3:13" x14ac:dyDescent="0.15">
      <c r="C1232" s="43">
        <v>1199</v>
      </c>
      <c r="D1232" s="42">
        <v>1199</v>
      </c>
      <c r="E1232" s="42">
        <v>0.95920000000000005</v>
      </c>
      <c r="F1232" s="42">
        <v>128</v>
      </c>
      <c r="G1232" s="42">
        <v>122.77760000000001</v>
      </c>
      <c r="H1232" s="42">
        <v>1.042535446205171</v>
      </c>
      <c r="I1232" s="42">
        <v>1</v>
      </c>
      <c r="J1232" s="42">
        <v>1.042535446205171</v>
      </c>
      <c r="K1232" s="42">
        <v>1</v>
      </c>
      <c r="L1232" s="42">
        <v>0.95920000000000005</v>
      </c>
      <c r="M1232">
        <v>1</v>
      </c>
    </row>
    <row r="1233" spans="3:13" x14ac:dyDescent="0.15">
      <c r="C1233" s="43">
        <v>1200</v>
      </c>
      <c r="D1233" s="42">
        <v>1200</v>
      </c>
      <c r="E1233" s="42">
        <v>0.96</v>
      </c>
      <c r="F1233" s="42">
        <v>128</v>
      </c>
      <c r="G1233" s="42">
        <v>122.88000000000001</v>
      </c>
      <c r="H1233" s="42">
        <v>1.0416666666666667</v>
      </c>
      <c r="I1233" s="42">
        <v>1</v>
      </c>
      <c r="J1233" s="42">
        <v>1.0416666666666667</v>
      </c>
      <c r="K1233" s="42">
        <v>1</v>
      </c>
      <c r="L1233" s="42">
        <v>0.96</v>
      </c>
      <c r="M1233">
        <v>1</v>
      </c>
    </row>
    <row r="1234" spans="3:13" x14ac:dyDescent="0.15">
      <c r="C1234" s="43">
        <v>1201</v>
      </c>
      <c r="D1234" s="42">
        <v>1201</v>
      </c>
      <c r="E1234" s="42">
        <v>0.96079999999999999</v>
      </c>
      <c r="F1234" s="42">
        <v>128</v>
      </c>
      <c r="G1234" s="42">
        <v>122.98240000000001</v>
      </c>
      <c r="H1234" s="42">
        <v>1.0407993338884263</v>
      </c>
      <c r="I1234" s="42">
        <v>1</v>
      </c>
      <c r="J1234" s="42">
        <v>1.0407993338884263</v>
      </c>
      <c r="K1234" s="42">
        <v>1</v>
      </c>
      <c r="L1234" s="42">
        <v>0.96079999999999999</v>
      </c>
      <c r="M1234">
        <v>1</v>
      </c>
    </row>
    <row r="1235" spans="3:13" x14ac:dyDescent="0.15">
      <c r="C1235" s="43">
        <v>1202</v>
      </c>
      <c r="D1235" s="42">
        <v>1202</v>
      </c>
      <c r="E1235" s="42">
        <v>0.96160000000000001</v>
      </c>
      <c r="F1235" s="42">
        <v>128</v>
      </c>
      <c r="G1235" s="42">
        <v>123.0848</v>
      </c>
      <c r="H1235" s="42">
        <v>1.0399334442595674</v>
      </c>
      <c r="I1235" s="42">
        <v>1</v>
      </c>
      <c r="J1235" s="42">
        <v>1.0399334442595674</v>
      </c>
      <c r="K1235" s="42">
        <v>1</v>
      </c>
      <c r="L1235" s="42">
        <v>0.96160000000000001</v>
      </c>
      <c r="M1235">
        <v>1</v>
      </c>
    </row>
    <row r="1236" spans="3:13" x14ac:dyDescent="0.15">
      <c r="C1236" s="43">
        <v>1203</v>
      </c>
      <c r="D1236" s="42">
        <v>1203</v>
      </c>
      <c r="E1236" s="42">
        <v>0.96240000000000003</v>
      </c>
      <c r="F1236" s="42">
        <v>128</v>
      </c>
      <c r="G1236" s="42">
        <v>123.1872</v>
      </c>
      <c r="H1236" s="42">
        <v>1.0390689941812137</v>
      </c>
      <c r="I1236" s="42">
        <v>1</v>
      </c>
      <c r="J1236" s="42">
        <v>1.0390689941812137</v>
      </c>
      <c r="K1236" s="42">
        <v>1</v>
      </c>
      <c r="L1236" s="42">
        <v>0.96240000000000003</v>
      </c>
      <c r="M1236">
        <v>1</v>
      </c>
    </row>
    <row r="1237" spans="3:13" x14ac:dyDescent="0.15">
      <c r="C1237" s="43">
        <v>1204</v>
      </c>
      <c r="D1237" s="42">
        <v>1204</v>
      </c>
      <c r="E1237" s="42">
        <v>0.96319999999999995</v>
      </c>
      <c r="F1237" s="42">
        <v>128</v>
      </c>
      <c r="G1237" s="42">
        <v>123.28960000000001</v>
      </c>
      <c r="H1237" s="42">
        <v>1.0382059800664452</v>
      </c>
      <c r="I1237" s="42">
        <v>1</v>
      </c>
      <c r="J1237" s="42">
        <v>1.0382059800664452</v>
      </c>
      <c r="K1237" s="42">
        <v>1</v>
      </c>
      <c r="L1237" s="42">
        <v>0.96319999999999995</v>
      </c>
      <c r="M1237">
        <v>1</v>
      </c>
    </row>
    <row r="1238" spans="3:13" x14ac:dyDescent="0.15">
      <c r="C1238" s="43">
        <v>1205</v>
      </c>
      <c r="D1238" s="42">
        <v>1205</v>
      </c>
      <c r="E1238" s="42">
        <v>0.96399999999999997</v>
      </c>
      <c r="F1238" s="42">
        <v>128</v>
      </c>
      <c r="G1238" s="42">
        <v>123.39200000000001</v>
      </c>
      <c r="H1238" s="42">
        <v>1.0373443983402491</v>
      </c>
      <c r="I1238" s="42">
        <v>1</v>
      </c>
      <c r="J1238" s="42">
        <v>1.0373443983402491</v>
      </c>
      <c r="K1238" s="42">
        <v>1</v>
      </c>
      <c r="L1238" s="42">
        <v>0.96399999999999997</v>
      </c>
      <c r="M1238">
        <v>1</v>
      </c>
    </row>
    <row r="1239" spans="3:13" x14ac:dyDescent="0.15">
      <c r="C1239" s="43">
        <v>1206</v>
      </c>
      <c r="D1239" s="42">
        <v>1206</v>
      </c>
      <c r="E1239" s="42">
        <v>0.96479999999999999</v>
      </c>
      <c r="F1239" s="42">
        <v>128</v>
      </c>
      <c r="G1239" s="42">
        <v>123.4944</v>
      </c>
      <c r="H1239" s="42">
        <v>1.0364842454394694</v>
      </c>
      <c r="I1239" s="42">
        <v>1</v>
      </c>
      <c r="J1239" s="42">
        <v>1.0364842454394694</v>
      </c>
      <c r="K1239" s="42">
        <v>1</v>
      </c>
      <c r="L1239" s="42">
        <v>0.96479999999999999</v>
      </c>
      <c r="M1239">
        <v>1</v>
      </c>
    </row>
    <row r="1240" spans="3:13" x14ac:dyDescent="0.15">
      <c r="C1240" s="43">
        <v>1207</v>
      </c>
      <c r="D1240" s="42">
        <v>1207</v>
      </c>
      <c r="E1240" s="42">
        <v>0.96560000000000001</v>
      </c>
      <c r="F1240" s="42">
        <v>128</v>
      </c>
      <c r="G1240" s="42">
        <v>123.5968</v>
      </c>
      <c r="H1240" s="42">
        <v>1.0356255178127589</v>
      </c>
      <c r="I1240" s="42">
        <v>1</v>
      </c>
      <c r="J1240" s="42">
        <v>1.0356255178127589</v>
      </c>
      <c r="K1240" s="42">
        <v>1</v>
      </c>
      <c r="L1240" s="42">
        <v>0.96560000000000001</v>
      </c>
      <c r="M1240">
        <v>1</v>
      </c>
    </row>
    <row r="1241" spans="3:13" x14ac:dyDescent="0.15">
      <c r="C1241" s="43">
        <v>1208</v>
      </c>
      <c r="D1241" s="42">
        <v>1208</v>
      </c>
      <c r="E1241" s="42">
        <v>0.96640000000000004</v>
      </c>
      <c r="F1241" s="42">
        <v>128</v>
      </c>
      <c r="G1241" s="42">
        <v>123.6992</v>
      </c>
      <c r="H1241" s="42">
        <v>1.0347682119205297</v>
      </c>
      <c r="I1241" s="42">
        <v>1</v>
      </c>
      <c r="J1241" s="42">
        <v>1.0347682119205297</v>
      </c>
      <c r="K1241" s="42">
        <v>1</v>
      </c>
      <c r="L1241" s="42">
        <v>0.96640000000000004</v>
      </c>
      <c r="M1241">
        <v>1</v>
      </c>
    </row>
    <row r="1242" spans="3:13" x14ac:dyDescent="0.15">
      <c r="C1242" s="43">
        <v>1209</v>
      </c>
      <c r="D1242" s="42">
        <v>1209</v>
      </c>
      <c r="E1242" s="42">
        <v>0.96719999999999995</v>
      </c>
      <c r="F1242" s="42">
        <v>128</v>
      </c>
      <c r="G1242" s="42">
        <v>123.80160000000001</v>
      </c>
      <c r="H1242" s="42">
        <v>1.0339123242349049</v>
      </c>
      <c r="I1242" s="42">
        <v>1</v>
      </c>
      <c r="J1242" s="42">
        <v>1.0339123242349049</v>
      </c>
      <c r="K1242" s="42">
        <v>1</v>
      </c>
      <c r="L1242" s="42">
        <v>0.96719999999999995</v>
      </c>
      <c r="M1242">
        <v>1</v>
      </c>
    </row>
    <row r="1243" spans="3:13" x14ac:dyDescent="0.15">
      <c r="C1243" s="43">
        <v>1210</v>
      </c>
      <c r="D1243" s="42">
        <v>1210</v>
      </c>
      <c r="E1243" s="42">
        <v>0.96799999999999997</v>
      </c>
      <c r="F1243" s="42">
        <v>128</v>
      </c>
      <c r="G1243" s="42">
        <v>123.90400000000001</v>
      </c>
      <c r="H1243" s="42">
        <v>1.0330578512396695</v>
      </c>
      <c r="I1243" s="42">
        <v>1</v>
      </c>
      <c r="J1243" s="42">
        <v>1.0330578512396695</v>
      </c>
      <c r="K1243" s="42">
        <v>1</v>
      </c>
      <c r="L1243" s="42">
        <v>0.96799999999999997</v>
      </c>
      <c r="M1243">
        <v>1</v>
      </c>
    </row>
    <row r="1244" spans="3:13" x14ac:dyDescent="0.15">
      <c r="C1244" s="43">
        <v>1211</v>
      </c>
      <c r="D1244" s="42">
        <v>1211</v>
      </c>
      <c r="E1244" s="42">
        <v>0.96879999999999999</v>
      </c>
      <c r="F1244" s="42">
        <v>128</v>
      </c>
      <c r="G1244" s="42">
        <v>124.0064</v>
      </c>
      <c r="H1244" s="42">
        <v>1.0322047894302229</v>
      </c>
      <c r="I1244" s="42">
        <v>1</v>
      </c>
      <c r="J1244" s="42">
        <v>1.0322047894302229</v>
      </c>
      <c r="K1244" s="42">
        <v>1</v>
      </c>
      <c r="L1244" s="42">
        <v>0.96879999999999999</v>
      </c>
      <c r="M1244">
        <v>1</v>
      </c>
    </row>
    <row r="1245" spans="3:13" x14ac:dyDescent="0.15">
      <c r="C1245" s="43">
        <v>1212</v>
      </c>
      <c r="D1245" s="42">
        <v>1212</v>
      </c>
      <c r="E1245" s="42">
        <v>0.96960000000000002</v>
      </c>
      <c r="F1245" s="42">
        <v>128</v>
      </c>
      <c r="G1245" s="42">
        <v>124.1088</v>
      </c>
      <c r="H1245" s="42">
        <v>1.0313531353135312</v>
      </c>
      <c r="I1245" s="42">
        <v>1</v>
      </c>
      <c r="J1245" s="42">
        <v>1.0313531353135312</v>
      </c>
      <c r="K1245" s="42">
        <v>1</v>
      </c>
      <c r="L1245" s="42">
        <v>0.96960000000000002</v>
      </c>
      <c r="M1245">
        <v>1</v>
      </c>
    </row>
    <row r="1246" spans="3:13" x14ac:dyDescent="0.15">
      <c r="C1246" s="43">
        <v>1213</v>
      </c>
      <c r="D1246" s="42">
        <v>1213</v>
      </c>
      <c r="E1246" s="42">
        <v>0.97040000000000004</v>
      </c>
      <c r="F1246" s="42">
        <v>128</v>
      </c>
      <c r="G1246" s="42">
        <v>124.21120000000001</v>
      </c>
      <c r="H1246" s="42">
        <v>1.0305028854080791</v>
      </c>
      <c r="I1246" s="42">
        <v>1</v>
      </c>
      <c r="J1246" s="42">
        <v>1.0305028854080791</v>
      </c>
      <c r="K1246" s="42">
        <v>1</v>
      </c>
      <c r="L1246" s="42">
        <v>0.97040000000000004</v>
      </c>
      <c r="M1246">
        <v>1</v>
      </c>
    </row>
    <row r="1247" spans="3:13" x14ac:dyDescent="0.15">
      <c r="C1247" s="43">
        <v>1214</v>
      </c>
      <c r="D1247" s="42">
        <v>1214</v>
      </c>
      <c r="E1247" s="42">
        <v>0.97119999999999995</v>
      </c>
      <c r="F1247" s="42">
        <v>128</v>
      </c>
      <c r="G1247" s="42">
        <v>124.31360000000001</v>
      </c>
      <c r="H1247" s="42">
        <v>1.0296540362438222</v>
      </c>
      <c r="I1247" s="42">
        <v>1</v>
      </c>
      <c r="J1247" s="42">
        <v>1.0296540362438222</v>
      </c>
      <c r="K1247" s="42">
        <v>1</v>
      </c>
      <c r="L1247" s="42">
        <v>0.97119999999999995</v>
      </c>
      <c r="M1247">
        <v>1</v>
      </c>
    </row>
    <row r="1248" spans="3:13" x14ac:dyDescent="0.15">
      <c r="C1248" s="43">
        <v>1215</v>
      </c>
      <c r="D1248" s="42">
        <v>1215</v>
      </c>
      <c r="E1248" s="42">
        <v>0.97199999999999998</v>
      </c>
      <c r="F1248" s="42">
        <v>128</v>
      </c>
      <c r="G1248" s="42">
        <v>124.41600000000001</v>
      </c>
      <c r="H1248" s="42">
        <v>1.0288065843621399</v>
      </c>
      <c r="I1248" s="42">
        <v>1</v>
      </c>
      <c r="J1248" s="42">
        <v>1.0288065843621399</v>
      </c>
      <c r="K1248" s="42">
        <v>1</v>
      </c>
      <c r="L1248" s="42">
        <v>0.97199999999999998</v>
      </c>
      <c r="M1248">
        <v>1</v>
      </c>
    </row>
    <row r="1249" spans="3:13" x14ac:dyDescent="0.15">
      <c r="C1249" s="43">
        <v>1216</v>
      </c>
      <c r="D1249" s="42">
        <v>1216</v>
      </c>
      <c r="E1249" s="42">
        <v>0.9728</v>
      </c>
      <c r="F1249" s="42">
        <v>128</v>
      </c>
      <c r="G1249" s="42">
        <v>124.5184</v>
      </c>
      <c r="H1249" s="42">
        <v>1.0279605263157894</v>
      </c>
      <c r="I1249" s="42">
        <v>1</v>
      </c>
      <c r="J1249" s="42">
        <v>1.0279605263157894</v>
      </c>
      <c r="K1249" s="42">
        <v>1</v>
      </c>
      <c r="L1249" s="42">
        <v>0.9728</v>
      </c>
      <c r="M1249">
        <v>1</v>
      </c>
    </row>
    <row r="1250" spans="3:13" x14ac:dyDescent="0.15">
      <c r="C1250" s="43">
        <v>1217</v>
      </c>
      <c r="D1250" s="42">
        <v>1217</v>
      </c>
      <c r="E1250" s="42">
        <v>0.97360000000000002</v>
      </c>
      <c r="F1250" s="42">
        <v>128</v>
      </c>
      <c r="G1250" s="42">
        <v>124.6208</v>
      </c>
      <c r="H1250" s="42">
        <v>1.0271158586688578</v>
      </c>
      <c r="I1250" s="42">
        <v>1</v>
      </c>
      <c r="J1250" s="42">
        <v>1.0271158586688578</v>
      </c>
      <c r="K1250" s="42">
        <v>1</v>
      </c>
      <c r="L1250" s="42">
        <v>0.97360000000000002</v>
      </c>
      <c r="M1250">
        <v>1</v>
      </c>
    </row>
    <row r="1251" spans="3:13" x14ac:dyDescent="0.15">
      <c r="C1251" s="43">
        <v>1218</v>
      </c>
      <c r="D1251" s="42">
        <v>1218</v>
      </c>
      <c r="E1251" s="42">
        <v>0.97440000000000004</v>
      </c>
      <c r="F1251" s="42">
        <v>128</v>
      </c>
      <c r="G1251" s="42">
        <v>124.72320000000001</v>
      </c>
      <c r="H1251" s="42">
        <v>1.0262725779967159</v>
      </c>
      <c r="I1251" s="42">
        <v>1</v>
      </c>
      <c r="J1251" s="42">
        <v>1.0262725779967159</v>
      </c>
      <c r="K1251" s="42">
        <v>1</v>
      </c>
      <c r="L1251" s="42">
        <v>0.97440000000000004</v>
      </c>
      <c r="M1251">
        <v>1</v>
      </c>
    </row>
    <row r="1252" spans="3:13" x14ac:dyDescent="0.15">
      <c r="C1252" s="43">
        <v>1219</v>
      </c>
      <c r="D1252" s="42">
        <v>1219</v>
      </c>
      <c r="E1252" s="42">
        <v>0.97519999999999996</v>
      </c>
      <c r="F1252" s="42">
        <v>128</v>
      </c>
      <c r="G1252" s="42">
        <v>124.82560000000001</v>
      </c>
      <c r="H1252" s="42">
        <v>1.0254306808859721</v>
      </c>
      <c r="I1252" s="42">
        <v>1</v>
      </c>
      <c r="J1252" s="42">
        <v>1.0254306808859721</v>
      </c>
      <c r="K1252" s="42">
        <v>1</v>
      </c>
      <c r="L1252" s="42">
        <v>0.97519999999999996</v>
      </c>
      <c r="M1252">
        <v>1</v>
      </c>
    </row>
    <row r="1253" spans="3:13" x14ac:dyDescent="0.15">
      <c r="C1253" s="43">
        <v>1220</v>
      </c>
      <c r="D1253" s="42">
        <v>1220</v>
      </c>
      <c r="E1253" s="42">
        <v>0.97599999999999998</v>
      </c>
      <c r="F1253" s="42">
        <v>128</v>
      </c>
      <c r="G1253" s="42">
        <v>124.92800000000001</v>
      </c>
      <c r="H1253" s="42">
        <v>1.0245901639344261</v>
      </c>
      <c r="I1253" s="42">
        <v>1</v>
      </c>
      <c r="J1253" s="42">
        <v>1.0245901639344261</v>
      </c>
      <c r="K1253" s="42">
        <v>1</v>
      </c>
      <c r="L1253" s="42">
        <v>0.97599999999999998</v>
      </c>
      <c r="M1253">
        <v>1</v>
      </c>
    </row>
    <row r="1254" spans="3:13" x14ac:dyDescent="0.15">
      <c r="C1254" s="43">
        <v>1221</v>
      </c>
      <c r="D1254" s="42">
        <v>1221</v>
      </c>
      <c r="E1254" s="42">
        <v>0.9768</v>
      </c>
      <c r="F1254" s="42">
        <v>128</v>
      </c>
      <c r="G1254" s="42">
        <v>125.0304</v>
      </c>
      <c r="H1254" s="42">
        <v>1.0237510237510237</v>
      </c>
      <c r="I1254" s="42">
        <v>1</v>
      </c>
      <c r="J1254" s="42">
        <v>1.0237510237510237</v>
      </c>
      <c r="K1254" s="42">
        <v>1</v>
      </c>
      <c r="L1254" s="42">
        <v>0.9768</v>
      </c>
      <c r="M1254">
        <v>1</v>
      </c>
    </row>
    <row r="1255" spans="3:13" x14ac:dyDescent="0.15">
      <c r="C1255" s="43">
        <v>1222</v>
      </c>
      <c r="D1255" s="42">
        <v>1222</v>
      </c>
      <c r="E1255" s="42">
        <v>0.97760000000000002</v>
      </c>
      <c r="F1255" s="42">
        <v>128</v>
      </c>
      <c r="G1255" s="42">
        <v>125.1328</v>
      </c>
      <c r="H1255" s="42">
        <v>1.0229132569558101</v>
      </c>
      <c r="I1255" s="42">
        <v>1</v>
      </c>
      <c r="J1255" s="42">
        <v>1.0229132569558101</v>
      </c>
      <c r="K1255" s="42">
        <v>1</v>
      </c>
      <c r="L1255" s="42">
        <v>0.97760000000000002</v>
      </c>
      <c r="M1255">
        <v>1</v>
      </c>
    </row>
    <row r="1256" spans="3:13" x14ac:dyDescent="0.15">
      <c r="C1256" s="43">
        <v>1223</v>
      </c>
      <c r="D1256" s="42">
        <v>1223</v>
      </c>
      <c r="E1256" s="42">
        <v>0.97840000000000005</v>
      </c>
      <c r="F1256" s="42">
        <v>128</v>
      </c>
      <c r="G1256" s="42">
        <v>125.23520000000001</v>
      </c>
      <c r="H1256" s="42">
        <v>1.0220768601798855</v>
      </c>
      <c r="I1256" s="42">
        <v>1</v>
      </c>
      <c r="J1256" s="42">
        <v>1.0220768601798855</v>
      </c>
      <c r="K1256" s="42">
        <v>1</v>
      </c>
      <c r="L1256" s="42">
        <v>0.97840000000000005</v>
      </c>
      <c r="M1256">
        <v>1</v>
      </c>
    </row>
    <row r="1257" spans="3:13" x14ac:dyDescent="0.15">
      <c r="C1257" s="43">
        <v>1224</v>
      </c>
      <c r="D1257" s="42">
        <v>1224</v>
      </c>
      <c r="E1257" s="42">
        <v>0.97919999999999996</v>
      </c>
      <c r="F1257" s="42">
        <v>128</v>
      </c>
      <c r="G1257" s="42">
        <v>125.33760000000001</v>
      </c>
      <c r="H1257" s="42">
        <v>1.0212418300653596</v>
      </c>
      <c r="I1257" s="42">
        <v>1</v>
      </c>
      <c r="J1257" s="42">
        <v>1.0212418300653596</v>
      </c>
      <c r="K1257" s="42">
        <v>1</v>
      </c>
      <c r="L1257" s="42">
        <v>0.97919999999999996</v>
      </c>
      <c r="M1257">
        <v>1</v>
      </c>
    </row>
    <row r="1258" spans="3:13" x14ac:dyDescent="0.15">
      <c r="C1258" s="43">
        <v>1225</v>
      </c>
      <c r="D1258" s="42">
        <v>1225</v>
      </c>
      <c r="E1258" s="42">
        <v>0.98</v>
      </c>
      <c r="F1258" s="42">
        <v>128</v>
      </c>
      <c r="G1258" s="42">
        <v>125.44000000000001</v>
      </c>
      <c r="H1258" s="42">
        <v>1.0204081632653061</v>
      </c>
      <c r="I1258" s="42">
        <v>1</v>
      </c>
      <c r="J1258" s="42">
        <v>1.0204081632653061</v>
      </c>
      <c r="K1258" s="42">
        <v>1</v>
      </c>
      <c r="L1258" s="42">
        <v>0.98</v>
      </c>
      <c r="M1258">
        <v>1</v>
      </c>
    </row>
    <row r="1259" spans="3:13" x14ac:dyDescent="0.15">
      <c r="C1259" s="43">
        <v>1226</v>
      </c>
      <c r="D1259" s="42">
        <v>1226</v>
      </c>
      <c r="E1259" s="42">
        <v>0.98080000000000001</v>
      </c>
      <c r="F1259" s="42">
        <v>128</v>
      </c>
      <c r="G1259" s="42">
        <v>125.5424</v>
      </c>
      <c r="H1259" s="42">
        <v>1.0195758564437194</v>
      </c>
      <c r="I1259" s="42">
        <v>1</v>
      </c>
      <c r="J1259" s="42">
        <v>1.0195758564437194</v>
      </c>
      <c r="K1259" s="42">
        <v>1</v>
      </c>
      <c r="L1259" s="42">
        <v>0.98080000000000001</v>
      </c>
      <c r="M1259">
        <v>1</v>
      </c>
    </row>
    <row r="1260" spans="3:13" x14ac:dyDescent="0.15">
      <c r="C1260" s="43">
        <v>1227</v>
      </c>
      <c r="D1260" s="42">
        <v>1227</v>
      </c>
      <c r="E1260" s="42">
        <v>0.98160000000000003</v>
      </c>
      <c r="F1260" s="42">
        <v>128</v>
      </c>
      <c r="G1260" s="42">
        <v>125.6448</v>
      </c>
      <c r="H1260" s="42">
        <v>1.0187449062754685</v>
      </c>
      <c r="I1260" s="42">
        <v>1</v>
      </c>
      <c r="J1260" s="42">
        <v>1.0187449062754685</v>
      </c>
      <c r="K1260" s="42">
        <v>1</v>
      </c>
      <c r="L1260" s="42">
        <v>0.98160000000000003</v>
      </c>
      <c r="M1260">
        <v>1</v>
      </c>
    </row>
    <row r="1261" spans="3:13" x14ac:dyDescent="0.15">
      <c r="C1261" s="43">
        <v>1228</v>
      </c>
      <c r="D1261" s="42">
        <v>1228</v>
      </c>
      <c r="E1261" s="42">
        <v>0.98240000000000005</v>
      </c>
      <c r="F1261" s="42">
        <v>128</v>
      </c>
      <c r="G1261" s="42">
        <v>125.74720000000001</v>
      </c>
      <c r="H1261" s="42">
        <v>1.0179153094462541</v>
      </c>
      <c r="I1261" s="42">
        <v>1</v>
      </c>
      <c r="J1261" s="42">
        <v>1.0179153094462541</v>
      </c>
      <c r="K1261" s="42">
        <v>1</v>
      </c>
      <c r="L1261" s="42">
        <v>0.98240000000000005</v>
      </c>
      <c r="M1261">
        <v>1</v>
      </c>
    </row>
    <row r="1262" spans="3:13" x14ac:dyDescent="0.15">
      <c r="C1262" s="43">
        <v>1229</v>
      </c>
      <c r="D1262" s="42">
        <v>1229</v>
      </c>
      <c r="E1262" s="42">
        <v>0.98319999999999996</v>
      </c>
      <c r="F1262" s="42">
        <v>128</v>
      </c>
      <c r="G1262" s="42">
        <v>125.84960000000001</v>
      </c>
      <c r="H1262" s="42">
        <v>1.017087062652563</v>
      </c>
      <c r="I1262" s="42">
        <v>1</v>
      </c>
      <c r="J1262" s="42">
        <v>1.017087062652563</v>
      </c>
      <c r="K1262" s="42">
        <v>1</v>
      </c>
      <c r="L1262" s="42">
        <v>0.98319999999999996</v>
      </c>
      <c r="M1262">
        <v>1</v>
      </c>
    </row>
    <row r="1263" spans="3:13" x14ac:dyDescent="0.15">
      <c r="C1263" s="43">
        <v>1230</v>
      </c>
      <c r="D1263" s="42">
        <v>1230</v>
      </c>
      <c r="E1263" s="42">
        <v>0.98399999999999999</v>
      </c>
      <c r="F1263" s="42">
        <v>128</v>
      </c>
      <c r="G1263" s="42">
        <v>125.95200000000001</v>
      </c>
      <c r="H1263" s="42">
        <v>1.0162601626016261</v>
      </c>
      <c r="I1263" s="42">
        <v>1</v>
      </c>
      <c r="J1263" s="42">
        <v>1.0162601626016261</v>
      </c>
      <c r="K1263" s="42">
        <v>1</v>
      </c>
      <c r="L1263" s="42">
        <v>0.98399999999999999</v>
      </c>
      <c r="M1263">
        <v>1</v>
      </c>
    </row>
    <row r="1264" spans="3:13" x14ac:dyDescent="0.15">
      <c r="C1264" s="43">
        <v>1231</v>
      </c>
      <c r="D1264" s="42">
        <v>1231</v>
      </c>
      <c r="E1264" s="42">
        <v>0.98480000000000001</v>
      </c>
      <c r="F1264" s="42">
        <v>128</v>
      </c>
      <c r="G1264" s="42">
        <v>126.0544</v>
      </c>
      <c r="H1264" s="42">
        <v>1.0154346060113728</v>
      </c>
      <c r="I1264" s="42">
        <v>1</v>
      </c>
      <c r="J1264" s="42">
        <v>1.0154346060113728</v>
      </c>
      <c r="K1264" s="42">
        <v>1</v>
      </c>
      <c r="L1264" s="42">
        <v>0.98480000000000001</v>
      </c>
      <c r="M1264">
        <v>1</v>
      </c>
    </row>
    <row r="1265" spans="3:13" x14ac:dyDescent="0.15">
      <c r="C1265" s="43">
        <v>1232</v>
      </c>
      <c r="D1265" s="42">
        <v>1232</v>
      </c>
      <c r="E1265" s="42">
        <v>0.98560000000000003</v>
      </c>
      <c r="F1265" s="42">
        <v>128</v>
      </c>
      <c r="G1265" s="42">
        <v>126.1568</v>
      </c>
      <c r="H1265" s="42">
        <v>1.0146103896103895</v>
      </c>
      <c r="I1265" s="42">
        <v>1</v>
      </c>
      <c r="J1265" s="42">
        <v>1.0146103896103895</v>
      </c>
      <c r="K1265" s="42">
        <v>1</v>
      </c>
      <c r="L1265" s="42">
        <v>0.98560000000000003</v>
      </c>
      <c r="M1265">
        <v>1</v>
      </c>
    </row>
    <row r="1266" spans="3:13" x14ac:dyDescent="0.15">
      <c r="C1266" s="43">
        <v>1233</v>
      </c>
      <c r="D1266" s="42">
        <v>1233</v>
      </c>
      <c r="E1266" s="42">
        <v>0.98640000000000005</v>
      </c>
      <c r="F1266" s="42">
        <v>128</v>
      </c>
      <c r="G1266" s="42">
        <v>126.25920000000001</v>
      </c>
      <c r="H1266" s="42">
        <v>1.013787510137875</v>
      </c>
      <c r="I1266" s="42">
        <v>1</v>
      </c>
      <c r="J1266" s="42">
        <v>1.013787510137875</v>
      </c>
      <c r="K1266" s="42">
        <v>1</v>
      </c>
      <c r="L1266" s="42">
        <v>0.98640000000000005</v>
      </c>
      <c r="M1266">
        <v>1</v>
      </c>
    </row>
    <row r="1267" spans="3:13" x14ac:dyDescent="0.15">
      <c r="C1267" s="43">
        <v>1234</v>
      </c>
      <c r="D1267" s="42">
        <v>1234</v>
      </c>
      <c r="E1267" s="42">
        <v>0.98719999999999997</v>
      </c>
      <c r="F1267" s="42">
        <v>128</v>
      </c>
      <c r="G1267" s="42">
        <v>126.36160000000001</v>
      </c>
      <c r="H1267" s="42">
        <v>1.012965964343598</v>
      </c>
      <c r="I1267" s="42">
        <v>1</v>
      </c>
      <c r="J1267" s="42">
        <v>1.012965964343598</v>
      </c>
      <c r="K1267" s="42">
        <v>1</v>
      </c>
      <c r="L1267" s="42">
        <v>0.98719999999999997</v>
      </c>
      <c r="M1267">
        <v>1</v>
      </c>
    </row>
    <row r="1268" spans="3:13" x14ac:dyDescent="0.15">
      <c r="C1268" s="43">
        <v>1235</v>
      </c>
      <c r="D1268" s="42">
        <v>1235</v>
      </c>
      <c r="E1268" s="42">
        <v>0.98799999999999999</v>
      </c>
      <c r="F1268" s="42">
        <v>128</v>
      </c>
      <c r="G1268" s="42">
        <v>126.46400000000001</v>
      </c>
      <c r="H1268" s="42">
        <v>1.0121457489878543</v>
      </c>
      <c r="I1268" s="42">
        <v>1</v>
      </c>
      <c r="J1268" s="42">
        <v>1.0121457489878543</v>
      </c>
      <c r="K1268" s="42">
        <v>1</v>
      </c>
      <c r="L1268" s="42">
        <v>0.98799999999999999</v>
      </c>
      <c r="M1268">
        <v>1</v>
      </c>
    </row>
    <row r="1269" spans="3:13" x14ac:dyDescent="0.15">
      <c r="C1269" s="43">
        <v>1236</v>
      </c>
      <c r="D1269" s="42">
        <v>1236</v>
      </c>
      <c r="E1269" s="42">
        <v>0.98880000000000001</v>
      </c>
      <c r="F1269" s="42">
        <v>128</v>
      </c>
      <c r="G1269" s="42">
        <v>126.5664</v>
      </c>
      <c r="H1269" s="42">
        <v>1.0113268608414239</v>
      </c>
      <c r="I1269" s="42">
        <v>1</v>
      </c>
      <c r="J1269" s="42">
        <v>1.0113268608414239</v>
      </c>
      <c r="K1269" s="42">
        <v>1</v>
      </c>
      <c r="L1269" s="42">
        <v>0.98880000000000001</v>
      </c>
      <c r="M1269">
        <v>1</v>
      </c>
    </row>
    <row r="1270" spans="3:13" x14ac:dyDescent="0.15">
      <c r="C1270" s="43">
        <v>1237</v>
      </c>
      <c r="D1270" s="42">
        <v>1237</v>
      </c>
      <c r="E1270" s="42">
        <v>0.98960000000000004</v>
      </c>
      <c r="F1270" s="42">
        <v>128</v>
      </c>
      <c r="G1270" s="42">
        <v>126.6688</v>
      </c>
      <c r="H1270" s="42">
        <v>1.0105092966855296</v>
      </c>
      <c r="I1270" s="42">
        <v>1</v>
      </c>
      <c r="J1270" s="42">
        <v>1.0105092966855296</v>
      </c>
      <c r="K1270" s="42">
        <v>1</v>
      </c>
      <c r="L1270" s="42">
        <v>0.98960000000000004</v>
      </c>
      <c r="M1270">
        <v>1</v>
      </c>
    </row>
    <row r="1271" spans="3:13" x14ac:dyDescent="0.15">
      <c r="C1271" s="43">
        <v>1238</v>
      </c>
      <c r="D1271" s="42">
        <v>1238</v>
      </c>
      <c r="E1271" s="42">
        <v>0.99039999999999995</v>
      </c>
      <c r="F1271" s="42">
        <v>128</v>
      </c>
      <c r="G1271" s="42">
        <v>126.77120000000001</v>
      </c>
      <c r="H1271" s="42">
        <v>1.0096930533117934</v>
      </c>
      <c r="I1271" s="42">
        <v>1</v>
      </c>
      <c r="J1271" s="42">
        <v>1.0096930533117934</v>
      </c>
      <c r="K1271" s="42">
        <v>1</v>
      </c>
      <c r="L1271" s="42">
        <v>0.99039999999999995</v>
      </c>
      <c r="M1271">
        <v>1</v>
      </c>
    </row>
    <row r="1272" spans="3:13" x14ac:dyDescent="0.15">
      <c r="C1272" s="43">
        <v>1239</v>
      </c>
      <c r="D1272" s="42">
        <v>1239</v>
      </c>
      <c r="E1272" s="42">
        <v>0.99119999999999997</v>
      </c>
      <c r="F1272" s="42">
        <v>128</v>
      </c>
      <c r="G1272" s="42">
        <v>126.87360000000001</v>
      </c>
      <c r="H1272" s="42">
        <v>1.0088781275221954</v>
      </c>
      <c r="I1272" s="42">
        <v>1</v>
      </c>
      <c r="J1272" s="42">
        <v>1.0088781275221954</v>
      </c>
      <c r="K1272" s="42">
        <v>1</v>
      </c>
      <c r="L1272" s="42">
        <v>0.99119999999999997</v>
      </c>
      <c r="M1272">
        <v>1</v>
      </c>
    </row>
    <row r="1273" spans="3:13" x14ac:dyDescent="0.15">
      <c r="C1273" s="43">
        <v>1240</v>
      </c>
      <c r="D1273" s="42">
        <v>1240</v>
      </c>
      <c r="E1273" s="42">
        <v>0.99199999999999999</v>
      </c>
      <c r="F1273" s="42">
        <v>128</v>
      </c>
      <c r="G1273" s="42">
        <v>126.976</v>
      </c>
      <c r="H1273" s="42">
        <v>1.0080645161290323</v>
      </c>
      <c r="I1273" s="42">
        <v>1</v>
      </c>
      <c r="J1273" s="42">
        <v>1.0080645161290323</v>
      </c>
      <c r="K1273" s="42">
        <v>1</v>
      </c>
      <c r="L1273" s="42">
        <v>0.99199999999999999</v>
      </c>
      <c r="M1273">
        <v>1</v>
      </c>
    </row>
    <row r="1274" spans="3:13" x14ac:dyDescent="0.15">
      <c r="C1274" s="43">
        <v>1241</v>
      </c>
      <c r="D1274" s="42">
        <v>1241</v>
      </c>
      <c r="E1274" s="42">
        <v>0.99280000000000002</v>
      </c>
      <c r="F1274" s="42">
        <v>128</v>
      </c>
      <c r="G1274" s="42">
        <v>127.0784</v>
      </c>
      <c r="H1274" s="42">
        <v>1.0072522159548751</v>
      </c>
      <c r="I1274" s="42">
        <v>1</v>
      </c>
      <c r="J1274" s="42">
        <v>1.0072522159548751</v>
      </c>
      <c r="K1274" s="42">
        <v>1</v>
      </c>
      <c r="L1274" s="42">
        <v>0.99280000000000002</v>
      </c>
      <c r="M1274">
        <v>1</v>
      </c>
    </row>
    <row r="1275" spans="3:13" x14ac:dyDescent="0.15">
      <c r="C1275" s="43">
        <v>1242</v>
      </c>
      <c r="D1275" s="42">
        <v>1242</v>
      </c>
      <c r="E1275" s="42">
        <v>0.99360000000000004</v>
      </c>
      <c r="F1275" s="42">
        <v>128</v>
      </c>
      <c r="G1275" s="42">
        <v>127.1808</v>
      </c>
      <c r="H1275" s="42">
        <v>1.0064412238325282</v>
      </c>
      <c r="I1275" s="42">
        <v>1</v>
      </c>
      <c r="J1275" s="42">
        <v>1.0064412238325282</v>
      </c>
      <c r="K1275" s="42">
        <v>1</v>
      </c>
      <c r="L1275" s="42">
        <v>0.99360000000000004</v>
      </c>
      <c r="M1275">
        <v>1</v>
      </c>
    </row>
    <row r="1276" spans="3:13" x14ac:dyDescent="0.15">
      <c r="C1276" s="43">
        <v>1243</v>
      </c>
      <c r="D1276" s="42">
        <v>1243</v>
      </c>
      <c r="E1276" s="42">
        <v>0.99439999999999995</v>
      </c>
      <c r="F1276" s="42">
        <v>128</v>
      </c>
      <c r="G1276" s="42">
        <v>127.28320000000001</v>
      </c>
      <c r="H1276" s="42">
        <v>1.0056315366049879</v>
      </c>
      <c r="I1276" s="42">
        <v>1</v>
      </c>
      <c r="J1276" s="42">
        <v>1.0056315366049879</v>
      </c>
      <c r="K1276" s="42">
        <v>1</v>
      </c>
      <c r="L1276" s="42">
        <v>0.99439999999999995</v>
      </c>
      <c r="M1276">
        <v>1</v>
      </c>
    </row>
    <row r="1277" spans="3:13" x14ac:dyDescent="0.15">
      <c r="C1277" s="43">
        <v>1244</v>
      </c>
      <c r="D1277" s="42">
        <v>1244</v>
      </c>
      <c r="E1277" s="42">
        <v>0.99519999999999997</v>
      </c>
      <c r="F1277" s="42">
        <v>128</v>
      </c>
      <c r="G1277" s="42">
        <v>127.38560000000001</v>
      </c>
      <c r="H1277" s="42">
        <v>1.004823151125402</v>
      </c>
      <c r="I1277" s="42">
        <v>1</v>
      </c>
      <c r="J1277" s="42">
        <v>1.004823151125402</v>
      </c>
      <c r="K1277" s="42">
        <v>1</v>
      </c>
      <c r="L1277" s="42">
        <v>0.99519999999999997</v>
      </c>
      <c r="M1277">
        <v>1</v>
      </c>
    </row>
    <row r="1278" spans="3:13" x14ac:dyDescent="0.15">
      <c r="C1278" s="43">
        <v>1245</v>
      </c>
      <c r="D1278" s="42">
        <v>1245</v>
      </c>
      <c r="E1278" s="42">
        <v>0.996</v>
      </c>
      <c r="F1278" s="42">
        <v>128</v>
      </c>
      <c r="G1278" s="42">
        <v>127.488</v>
      </c>
      <c r="H1278" s="42">
        <v>1.0040160642570282</v>
      </c>
      <c r="I1278" s="42">
        <v>1</v>
      </c>
      <c r="J1278" s="42">
        <v>1.0040160642570282</v>
      </c>
      <c r="K1278" s="42">
        <v>1</v>
      </c>
      <c r="L1278" s="42">
        <v>0.996</v>
      </c>
      <c r="M1278">
        <v>1</v>
      </c>
    </row>
    <row r="1279" spans="3:13" x14ac:dyDescent="0.15">
      <c r="C1279" s="43">
        <v>1246</v>
      </c>
      <c r="D1279" s="42">
        <v>1246</v>
      </c>
      <c r="E1279" s="42">
        <v>0.99680000000000002</v>
      </c>
      <c r="F1279" s="42">
        <v>128</v>
      </c>
      <c r="G1279" s="42">
        <v>127.5904</v>
      </c>
      <c r="H1279" s="42">
        <v>1.0032102728731942</v>
      </c>
      <c r="I1279" s="42">
        <v>1</v>
      </c>
      <c r="J1279" s="42">
        <v>1.0032102728731942</v>
      </c>
      <c r="K1279" s="42">
        <v>1</v>
      </c>
      <c r="L1279" s="42">
        <v>0.99680000000000002</v>
      </c>
      <c r="M1279">
        <v>1</v>
      </c>
    </row>
    <row r="1280" spans="3:13" x14ac:dyDescent="0.15">
      <c r="C1280" s="43">
        <v>1247</v>
      </c>
      <c r="D1280" s="42">
        <v>1247</v>
      </c>
      <c r="E1280" s="42">
        <v>0.99760000000000004</v>
      </c>
      <c r="F1280" s="42">
        <v>128</v>
      </c>
      <c r="G1280" s="42">
        <v>127.69280000000001</v>
      </c>
      <c r="H1280" s="42">
        <v>1.0024057738572574</v>
      </c>
      <c r="I1280" s="42">
        <v>1</v>
      </c>
      <c r="J1280" s="42">
        <v>1.0024057738572574</v>
      </c>
      <c r="K1280" s="42">
        <v>1</v>
      </c>
      <c r="L1280" s="42">
        <v>0.99760000000000004</v>
      </c>
      <c r="M1280">
        <v>1</v>
      </c>
    </row>
    <row r="1281" spans="2:13" x14ac:dyDescent="0.15">
      <c r="C1281" s="43">
        <v>1248</v>
      </c>
      <c r="D1281" s="42">
        <v>1248</v>
      </c>
      <c r="E1281" s="42">
        <v>0.99839999999999995</v>
      </c>
      <c r="F1281" s="42">
        <v>128</v>
      </c>
      <c r="G1281" s="42">
        <v>127.79520000000001</v>
      </c>
      <c r="H1281" s="42">
        <v>1.0016025641025641</v>
      </c>
      <c r="I1281" s="42">
        <v>1</v>
      </c>
      <c r="J1281" s="42">
        <v>1.0016025641025641</v>
      </c>
      <c r="K1281" s="42">
        <v>1</v>
      </c>
      <c r="L1281" s="42">
        <v>0.99839999999999995</v>
      </c>
      <c r="M1281">
        <v>1</v>
      </c>
    </row>
    <row r="1282" spans="2:13" x14ac:dyDescent="0.15">
      <c r="C1282" s="43">
        <v>1249</v>
      </c>
      <c r="D1282" s="42">
        <v>1249</v>
      </c>
      <c r="E1282" s="42">
        <v>0.99919999999999998</v>
      </c>
      <c r="F1282" s="42">
        <v>128</v>
      </c>
      <c r="G1282" s="42">
        <v>127.89760000000001</v>
      </c>
      <c r="H1282" s="42">
        <v>1.0008006405124099</v>
      </c>
      <c r="I1282" s="42">
        <v>1</v>
      </c>
      <c r="J1282" s="42">
        <v>1.0008006405124099</v>
      </c>
      <c r="K1282" s="42">
        <v>1</v>
      </c>
      <c r="L1282" s="42">
        <v>0.99919999999999998</v>
      </c>
      <c r="M1282">
        <v>1</v>
      </c>
    </row>
    <row r="1283" spans="2:13" x14ac:dyDescent="0.15">
      <c r="C1283" s="43">
        <v>1250</v>
      </c>
      <c r="D1283" s="42">
        <v>1250</v>
      </c>
      <c r="E1283" s="42">
        <v>1</v>
      </c>
      <c r="F1283" s="42">
        <v>128</v>
      </c>
      <c r="G1283" s="42">
        <v>128</v>
      </c>
      <c r="H1283" s="42">
        <v>1</v>
      </c>
      <c r="I1283" s="42">
        <v>1</v>
      </c>
      <c r="J1283" s="42">
        <v>1</v>
      </c>
      <c r="K1283" s="42">
        <v>1</v>
      </c>
      <c r="L1283" s="42">
        <v>1</v>
      </c>
      <c r="M1283">
        <v>1</v>
      </c>
    </row>
    <row r="1285" spans="2:13" ht="19" x14ac:dyDescent="0.25">
      <c r="B1285" s="41" t="s">
        <v>1802</v>
      </c>
    </row>
    <row r="1287" spans="2:13" x14ac:dyDescent="0.15">
      <c r="C1287" s="43" t="s">
        <v>77</v>
      </c>
      <c r="D1287" t="s">
        <v>1693</v>
      </c>
      <c r="E1287" t="s">
        <v>1725</v>
      </c>
      <c r="F1287" t="s">
        <v>1726</v>
      </c>
      <c r="G1287" t="s">
        <v>1727</v>
      </c>
    </row>
    <row r="1288" spans="2:13" x14ac:dyDescent="0.15">
      <c r="C1288" s="43">
        <v>0</v>
      </c>
      <c r="D1288" s="42">
        <v>0</v>
      </c>
      <c r="E1288" s="42">
        <v>0</v>
      </c>
      <c r="F1288" s="42">
        <v>0</v>
      </c>
      <c r="G1288">
        <v>1</v>
      </c>
    </row>
    <row r="1289" spans="2:13" x14ac:dyDescent="0.15">
      <c r="C1289" s="43">
        <v>1</v>
      </c>
      <c r="D1289" s="42">
        <v>0</v>
      </c>
      <c r="E1289" s="42">
        <v>7.8125E-3</v>
      </c>
      <c r="F1289" s="42">
        <v>0</v>
      </c>
      <c r="G1289">
        <v>1</v>
      </c>
    </row>
    <row r="1290" spans="2:13" x14ac:dyDescent="0.15">
      <c r="C1290" s="43">
        <v>2</v>
      </c>
      <c r="D1290" s="42">
        <v>0</v>
      </c>
      <c r="E1290" s="42">
        <v>1.5625E-2</v>
      </c>
      <c r="F1290" s="42">
        <v>0</v>
      </c>
      <c r="G1290">
        <v>1</v>
      </c>
    </row>
    <row r="1291" spans="2:13" x14ac:dyDescent="0.15">
      <c r="C1291" s="43">
        <v>3</v>
      </c>
      <c r="D1291" s="42">
        <v>0</v>
      </c>
      <c r="E1291" s="42">
        <v>2.34375E-2</v>
      </c>
      <c r="F1291" s="42">
        <v>0</v>
      </c>
      <c r="G1291">
        <v>1</v>
      </c>
    </row>
    <row r="1292" spans="2:13" x14ac:dyDescent="0.15">
      <c r="C1292" s="43">
        <v>4</v>
      </c>
      <c r="D1292" s="42">
        <v>0</v>
      </c>
      <c r="E1292" s="42">
        <v>3.125E-2</v>
      </c>
      <c r="F1292" s="42">
        <v>0</v>
      </c>
      <c r="G1292">
        <v>1</v>
      </c>
    </row>
    <row r="1293" spans="2:13" x14ac:dyDescent="0.15">
      <c r="C1293" s="43">
        <v>5</v>
      </c>
      <c r="D1293" s="42">
        <v>0</v>
      </c>
      <c r="E1293" s="42">
        <v>3.90625E-2</v>
      </c>
      <c r="F1293" s="42">
        <v>0</v>
      </c>
      <c r="G1293">
        <v>1</v>
      </c>
    </row>
    <row r="1294" spans="2:13" x14ac:dyDescent="0.15">
      <c r="C1294" s="43">
        <v>6</v>
      </c>
      <c r="D1294" s="42">
        <v>0</v>
      </c>
      <c r="E1294" s="42">
        <v>4.6875E-2</v>
      </c>
      <c r="F1294" s="42">
        <v>0</v>
      </c>
      <c r="G1294">
        <v>1</v>
      </c>
    </row>
    <row r="1295" spans="2:13" x14ac:dyDescent="0.15">
      <c r="C1295" s="43">
        <v>7</v>
      </c>
      <c r="D1295" s="42">
        <v>0</v>
      </c>
      <c r="E1295" s="42">
        <v>5.46875E-2</v>
      </c>
      <c r="F1295" s="42">
        <v>0</v>
      </c>
      <c r="G1295">
        <v>1</v>
      </c>
    </row>
    <row r="1296" spans="2:13" x14ac:dyDescent="0.15">
      <c r="C1296" s="43">
        <v>8</v>
      </c>
      <c r="D1296" s="42">
        <v>0</v>
      </c>
      <c r="E1296" s="42">
        <v>6.25E-2</v>
      </c>
      <c r="F1296" s="42">
        <v>0</v>
      </c>
      <c r="G1296">
        <v>1</v>
      </c>
    </row>
    <row r="1297" spans="3:7" x14ac:dyDescent="0.15">
      <c r="C1297" s="43">
        <v>9</v>
      </c>
      <c r="D1297" s="42">
        <v>0</v>
      </c>
      <c r="E1297" s="42">
        <v>7.03125E-2</v>
      </c>
      <c r="F1297" s="42">
        <v>0</v>
      </c>
      <c r="G1297">
        <v>1</v>
      </c>
    </row>
    <row r="1298" spans="3:7" x14ac:dyDescent="0.15">
      <c r="C1298" s="43">
        <v>10</v>
      </c>
      <c r="D1298" s="42">
        <v>0</v>
      </c>
      <c r="E1298" s="42">
        <v>7.8125E-2</v>
      </c>
      <c r="F1298" s="42">
        <v>0</v>
      </c>
      <c r="G1298">
        <v>1</v>
      </c>
    </row>
    <row r="1299" spans="3:7" x14ac:dyDescent="0.15">
      <c r="C1299" s="43">
        <v>11</v>
      </c>
      <c r="D1299" s="42">
        <v>0</v>
      </c>
      <c r="E1299" s="42">
        <v>8.59375E-2</v>
      </c>
      <c r="F1299" s="42">
        <v>0</v>
      </c>
      <c r="G1299">
        <v>1</v>
      </c>
    </row>
    <row r="1300" spans="3:7" x14ac:dyDescent="0.15">
      <c r="C1300" s="43">
        <v>12</v>
      </c>
      <c r="D1300" s="42">
        <v>0</v>
      </c>
      <c r="E1300" s="42">
        <v>9.375E-2</v>
      </c>
      <c r="F1300" s="42">
        <v>0</v>
      </c>
      <c r="G1300">
        <v>1</v>
      </c>
    </row>
    <row r="1301" spans="3:7" x14ac:dyDescent="0.15">
      <c r="C1301" s="43">
        <v>13</v>
      </c>
      <c r="D1301" s="42">
        <v>0</v>
      </c>
      <c r="E1301" s="42">
        <v>0.1015625</v>
      </c>
      <c r="F1301" s="42">
        <v>0</v>
      </c>
      <c r="G1301">
        <v>1</v>
      </c>
    </row>
    <row r="1302" spans="3:7" x14ac:dyDescent="0.15">
      <c r="C1302" s="43">
        <v>14</v>
      </c>
      <c r="D1302" s="42">
        <v>0</v>
      </c>
      <c r="E1302" s="42">
        <v>0.109375</v>
      </c>
      <c r="F1302" s="42">
        <v>0</v>
      </c>
      <c r="G1302">
        <v>1</v>
      </c>
    </row>
    <row r="1303" spans="3:7" x14ac:dyDescent="0.15">
      <c r="C1303" s="43">
        <v>15</v>
      </c>
      <c r="D1303" s="42">
        <v>0</v>
      </c>
      <c r="E1303" s="42">
        <v>0.1171875</v>
      </c>
      <c r="F1303" s="42">
        <v>0</v>
      </c>
      <c r="G1303">
        <v>1</v>
      </c>
    </row>
    <row r="1304" spans="3:7" x14ac:dyDescent="0.15">
      <c r="C1304" s="43">
        <v>16</v>
      </c>
      <c r="D1304" s="42">
        <v>0</v>
      </c>
      <c r="E1304" s="42">
        <v>0.125</v>
      </c>
      <c r="F1304" s="42">
        <v>0</v>
      </c>
      <c r="G1304">
        <v>1</v>
      </c>
    </row>
    <row r="1305" spans="3:7" x14ac:dyDescent="0.15">
      <c r="C1305" s="43">
        <v>17</v>
      </c>
      <c r="D1305" s="42">
        <v>0</v>
      </c>
      <c r="E1305" s="42">
        <v>0.1328125</v>
      </c>
      <c r="F1305" s="42">
        <v>0</v>
      </c>
      <c r="G1305">
        <v>1</v>
      </c>
    </row>
    <row r="1306" spans="3:7" x14ac:dyDescent="0.15">
      <c r="C1306" s="43">
        <v>18</v>
      </c>
      <c r="D1306" s="42">
        <v>0</v>
      </c>
      <c r="E1306" s="42">
        <v>0.140625</v>
      </c>
      <c r="F1306" s="42">
        <v>0</v>
      </c>
      <c r="G1306">
        <v>1</v>
      </c>
    </row>
    <row r="1307" spans="3:7" x14ac:dyDescent="0.15">
      <c r="C1307" s="43">
        <v>19</v>
      </c>
      <c r="D1307" s="42">
        <v>0</v>
      </c>
      <c r="E1307" s="42">
        <v>0.1484375</v>
      </c>
      <c r="F1307" s="42">
        <v>0</v>
      </c>
      <c r="G1307">
        <v>1</v>
      </c>
    </row>
    <row r="1308" spans="3:7" x14ac:dyDescent="0.15">
      <c r="C1308" s="43">
        <v>20</v>
      </c>
      <c r="D1308" s="42">
        <v>0</v>
      </c>
      <c r="E1308" s="42">
        <v>0.15625</v>
      </c>
      <c r="F1308" s="42">
        <v>0</v>
      </c>
      <c r="G1308">
        <v>1</v>
      </c>
    </row>
    <row r="1309" spans="3:7" x14ac:dyDescent="0.15">
      <c r="C1309" s="43">
        <v>21</v>
      </c>
      <c r="D1309" s="42">
        <v>0</v>
      </c>
      <c r="E1309" s="42">
        <v>0.1640625</v>
      </c>
      <c r="F1309" s="42">
        <v>0</v>
      </c>
      <c r="G1309">
        <v>1</v>
      </c>
    </row>
    <row r="1310" spans="3:7" x14ac:dyDescent="0.15">
      <c r="C1310" s="43">
        <v>22</v>
      </c>
      <c r="D1310" s="42">
        <v>0</v>
      </c>
      <c r="E1310" s="42">
        <v>0.171875</v>
      </c>
      <c r="F1310" s="42">
        <v>0</v>
      </c>
      <c r="G1310">
        <v>1</v>
      </c>
    </row>
    <row r="1311" spans="3:7" x14ac:dyDescent="0.15">
      <c r="C1311" s="43">
        <v>23</v>
      </c>
      <c r="D1311" s="42">
        <v>0</v>
      </c>
      <c r="E1311" s="42">
        <v>0.1796875</v>
      </c>
      <c r="F1311" s="42">
        <v>0</v>
      </c>
      <c r="G1311">
        <v>1</v>
      </c>
    </row>
    <row r="1312" spans="3:7" x14ac:dyDescent="0.15">
      <c r="C1312" s="43">
        <v>24</v>
      </c>
      <c r="D1312" s="42">
        <v>0</v>
      </c>
      <c r="E1312" s="42">
        <v>0.1875</v>
      </c>
      <c r="F1312" s="42">
        <v>0</v>
      </c>
      <c r="G1312">
        <v>1</v>
      </c>
    </row>
    <row r="1313" spans="3:7" x14ac:dyDescent="0.15">
      <c r="C1313" s="43">
        <v>25</v>
      </c>
      <c r="D1313" s="42">
        <v>0</v>
      </c>
      <c r="E1313" s="42">
        <v>0.1953125</v>
      </c>
      <c r="F1313" s="42">
        <v>0</v>
      </c>
      <c r="G1313">
        <v>1</v>
      </c>
    </row>
    <row r="1314" spans="3:7" x14ac:dyDescent="0.15">
      <c r="C1314" s="43">
        <v>26</v>
      </c>
      <c r="D1314" s="42">
        <v>0</v>
      </c>
      <c r="E1314" s="42">
        <v>0.203125</v>
      </c>
      <c r="F1314" s="42">
        <v>0</v>
      </c>
      <c r="G1314">
        <v>1</v>
      </c>
    </row>
    <row r="1315" spans="3:7" x14ac:dyDescent="0.15">
      <c r="C1315" s="43">
        <v>27</v>
      </c>
      <c r="D1315" s="42">
        <v>0</v>
      </c>
      <c r="E1315" s="42">
        <v>0.2109375</v>
      </c>
      <c r="F1315" s="42">
        <v>0</v>
      </c>
      <c r="G1315">
        <v>1</v>
      </c>
    </row>
    <row r="1316" spans="3:7" x14ac:dyDescent="0.15">
      <c r="C1316" s="43">
        <v>28</v>
      </c>
      <c r="D1316" s="42">
        <v>0</v>
      </c>
      <c r="E1316" s="42">
        <v>0.21875</v>
      </c>
      <c r="F1316" s="42">
        <v>0</v>
      </c>
      <c r="G1316">
        <v>1</v>
      </c>
    </row>
    <row r="1317" spans="3:7" x14ac:dyDescent="0.15">
      <c r="C1317" s="43">
        <v>29</v>
      </c>
      <c r="D1317" s="42">
        <v>0</v>
      </c>
      <c r="E1317" s="42">
        <v>0.2265625</v>
      </c>
      <c r="F1317" s="42">
        <v>0</v>
      </c>
      <c r="G1317">
        <v>1</v>
      </c>
    </row>
    <row r="1318" spans="3:7" x14ac:dyDescent="0.15">
      <c r="C1318" s="43">
        <v>30</v>
      </c>
      <c r="D1318" s="42">
        <v>0</v>
      </c>
      <c r="E1318" s="42">
        <v>0.234375</v>
      </c>
      <c r="F1318" s="42">
        <v>0</v>
      </c>
      <c r="G1318">
        <v>1</v>
      </c>
    </row>
    <row r="1319" spans="3:7" x14ac:dyDescent="0.15">
      <c r="C1319" s="43">
        <v>31</v>
      </c>
      <c r="D1319" s="42">
        <v>0</v>
      </c>
      <c r="E1319" s="42">
        <v>0.2421875</v>
      </c>
      <c r="F1319" s="42">
        <v>0</v>
      </c>
      <c r="G1319">
        <v>1</v>
      </c>
    </row>
    <row r="1320" spans="3:7" x14ac:dyDescent="0.15">
      <c r="C1320" s="43">
        <v>32</v>
      </c>
      <c r="D1320" s="42">
        <v>0</v>
      </c>
      <c r="E1320" s="42">
        <v>0.25</v>
      </c>
      <c r="F1320" s="42">
        <v>0</v>
      </c>
      <c r="G1320">
        <v>1</v>
      </c>
    </row>
    <row r="1321" spans="3:7" x14ac:dyDescent="0.15">
      <c r="C1321" s="43">
        <v>33</v>
      </c>
      <c r="D1321" s="42">
        <v>0</v>
      </c>
      <c r="E1321" s="42">
        <v>0.2578125</v>
      </c>
      <c r="F1321" s="42">
        <v>0</v>
      </c>
      <c r="G1321">
        <v>1</v>
      </c>
    </row>
    <row r="1322" spans="3:7" x14ac:dyDescent="0.15">
      <c r="C1322" s="43">
        <v>34</v>
      </c>
      <c r="D1322" s="42">
        <v>0</v>
      </c>
      <c r="E1322" s="42">
        <v>0.265625</v>
      </c>
      <c r="F1322" s="42">
        <v>0</v>
      </c>
      <c r="G1322">
        <v>1</v>
      </c>
    </row>
    <row r="1323" spans="3:7" x14ac:dyDescent="0.15">
      <c r="C1323" s="43">
        <v>35</v>
      </c>
      <c r="D1323" s="42">
        <v>0</v>
      </c>
      <c r="E1323" s="42">
        <v>0.2734375</v>
      </c>
      <c r="F1323" s="42">
        <v>0</v>
      </c>
      <c r="G1323">
        <v>1</v>
      </c>
    </row>
    <row r="1324" spans="3:7" x14ac:dyDescent="0.15">
      <c r="C1324" s="43">
        <v>36</v>
      </c>
      <c r="D1324" s="42">
        <v>0</v>
      </c>
      <c r="E1324" s="42">
        <v>0.28125</v>
      </c>
      <c r="F1324" s="42">
        <v>0</v>
      </c>
      <c r="G1324">
        <v>1</v>
      </c>
    </row>
    <row r="1325" spans="3:7" x14ac:dyDescent="0.15">
      <c r="C1325" s="43">
        <v>37</v>
      </c>
      <c r="D1325" s="42">
        <v>8.9126559714795004E-4</v>
      </c>
      <c r="E1325" s="42">
        <v>0.28125</v>
      </c>
      <c r="F1325" s="42">
        <v>8.9126559714795004E-4</v>
      </c>
      <c r="G1325">
        <v>1</v>
      </c>
    </row>
    <row r="1326" spans="3:7" x14ac:dyDescent="0.15">
      <c r="C1326" s="43">
        <v>38</v>
      </c>
      <c r="D1326" s="42">
        <v>8.9126559714795004E-4</v>
      </c>
      <c r="E1326" s="42">
        <v>0.2890625</v>
      </c>
      <c r="F1326" s="42">
        <v>8.9126559714795004E-4</v>
      </c>
      <c r="G1326">
        <v>1</v>
      </c>
    </row>
    <row r="1327" spans="3:7" x14ac:dyDescent="0.15">
      <c r="C1327" s="43">
        <v>39</v>
      </c>
      <c r="D1327" s="42">
        <v>8.9126559714795004E-4</v>
      </c>
      <c r="E1327" s="42">
        <v>0.296875</v>
      </c>
      <c r="F1327" s="42">
        <v>8.9126559714795004E-4</v>
      </c>
      <c r="G1327">
        <v>1</v>
      </c>
    </row>
    <row r="1328" spans="3:7" x14ac:dyDescent="0.15">
      <c r="C1328" s="43">
        <v>40</v>
      </c>
      <c r="D1328" s="42">
        <v>8.9126559714795004E-4</v>
      </c>
      <c r="E1328" s="42">
        <v>0.3046875</v>
      </c>
      <c r="F1328" s="42">
        <v>8.9126559714795004E-4</v>
      </c>
      <c r="G1328">
        <v>1</v>
      </c>
    </row>
    <row r="1329" spans="3:7" x14ac:dyDescent="0.15">
      <c r="C1329" s="43">
        <v>41</v>
      </c>
      <c r="D1329" s="42">
        <v>8.9126559714795004E-4</v>
      </c>
      <c r="E1329" s="42">
        <v>0.3125</v>
      </c>
      <c r="F1329" s="42">
        <v>8.9126559714795004E-4</v>
      </c>
      <c r="G1329">
        <v>1</v>
      </c>
    </row>
    <row r="1330" spans="3:7" x14ac:dyDescent="0.15">
      <c r="C1330" s="43">
        <v>42</v>
      </c>
      <c r="D1330" s="42">
        <v>8.9126559714795004E-4</v>
      </c>
      <c r="E1330" s="42">
        <v>0.3203125</v>
      </c>
      <c r="F1330" s="42">
        <v>8.9126559714795004E-4</v>
      </c>
      <c r="G1330">
        <v>1</v>
      </c>
    </row>
    <row r="1331" spans="3:7" x14ac:dyDescent="0.15">
      <c r="C1331" s="43">
        <v>43</v>
      </c>
      <c r="D1331" s="42">
        <v>8.9126559714795004E-4</v>
      </c>
      <c r="E1331" s="42">
        <v>0.328125</v>
      </c>
      <c r="F1331" s="42">
        <v>8.9126559714795004E-4</v>
      </c>
      <c r="G1331">
        <v>1</v>
      </c>
    </row>
    <row r="1332" spans="3:7" x14ac:dyDescent="0.15">
      <c r="C1332" s="43">
        <v>44</v>
      </c>
      <c r="D1332" s="42">
        <v>8.9126559714795004E-4</v>
      </c>
      <c r="E1332" s="42">
        <v>0.3359375</v>
      </c>
      <c r="F1332" s="42">
        <v>8.9126559714795004E-4</v>
      </c>
      <c r="G1332">
        <v>1</v>
      </c>
    </row>
    <row r="1333" spans="3:7" x14ac:dyDescent="0.15">
      <c r="C1333" s="43">
        <v>45</v>
      </c>
      <c r="D1333" s="42">
        <v>8.9126559714795004E-4</v>
      </c>
      <c r="E1333" s="42">
        <v>0.34375</v>
      </c>
      <c r="F1333" s="42">
        <v>8.9126559714795004E-4</v>
      </c>
      <c r="G1333">
        <v>1</v>
      </c>
    </row>
    <row r="1334" spans="3:7" x14ac:dyDescent="0.15">
      <c r="C1334" s="43">
        <v>46</v>
      </c>
      <c r="D1334" s="42">
        <v>1.7825311942959001E-3</v>
      </c>
      <c r="E1334" s="42">
        <v>0.34375</v>
      </c>
      <c r="F1334" s="42">
        <v>1.7825311942959001E-3</v>
      </c>
      <c r="G1334">
        <v>1</v>
      </c>
    </row>
    <row r="1335" spans="3:7" x14ac:dyDescent="0.15">
      <c r="C1335" s="43">
        <v>47</v>
      </c>
      <c r="D1335" s="42">
        <v>1.7825311942959001E-3</v>
      </c>
      <c r="E1335" s="42">
        <v>0.3515625</v>
      </c>
      <c r="F1335" s="42">
        <v>1.7825311942959001E-3</v>
      </c>
      <c r="G1335">
        <v>1</v>
      </c>
    </row>
    <row r="1336" spans="3:7" x14ac:dyDescent="0.15">
      <c r="C1336" s="43">
        <v>48</v>
      </c>
      <c r="D1336" s="42">
        <v>1.7825311942959001E-3</v>
      </c>
      <c r="E1336" s="42">
        <v>0.359375</v>
      </c>
      <c r="F1336" s="42">
        <v>1.7825311942959001E-3</v>
      </c>
      <c r="G1336">
        <v>1</v>
      </c>
    </row>
    <row r="1337" spans="3:7" x14ac:dyDescent="0.15">
      <c r="C1337" s="43">
        <v>49</v>
      </c>
      <c r="D1337" s="42">
        <v>1.7825311942959001E-3</v>
      </c>
      <c r="E1337" s="42">
        <v>0.3671875</v>
      </c>
      <c r="F1337" s="42">
        <v>1.7825311942959001E-3</v>
      </c>
      <c r="G1337">
        <v>1</v>
      </c>
    </row>
    <row r="1338" spans="3:7" x14ac:dyDescent="0.15">
      <c r="C1338" s="43">
        <v>50</v>
      </c>
      <c r="D1338" s="42">
        <v>1.7825311942959001E-3</v>
      </c>
      <c r="E1338" s="42">
        <v>0.375</v>
      </c>
      <c r="F1338" s="42">
        <v>1.7825311942959001E-3</v>
      </c>
      <c r="G1338">
        <v>1</v>
      </c>
    </row>
    <row r="1339" spans="3:7" x14ac:dyDescent="0.15">
      <c r="C1339" s="43">
        <v>51</v>
      </c>
      <c r="D1339" s="42">
        <v>1.7825311942959001E-3</v>
      </c>
      <c r="E1339" s="42">
        <v>0.3828125</v>
      </c>
      <c r="F1339" s="42">
        <v>1.7825311942959001E-3</v>
      </c>
      <c r="G1339">
        <v>1</v>
      </c>
    </row>
    <row r="1340" spans="3:7" x14ac:dyDescent="0.15">
      <c r="C1340" s="43">
        <v>52</v>
      </c>
      <c r="D1340" s="42">
        <v>1.7825311942959001E-3</v>
      </c>
      <c r="E1340" s="42">
        <v>0.390625</v>
      </c>
      <c r="F1340" s="42">
        <v>1.7825311942959001E-3</v>
      </c>
      <c r="G1340">
        <v>1</v>
      </c>
    </row>
    <row r="1341" spans="3:7" x14ac:dyDescent="0.15">
      <c r="C1341" s="43">
        <v>53</v>
      </c>
      <c r="D1341" s="42">
        <v>1.7825311942959001E-3</v>
      </c>
      <c r="E1341" s="42">
        <v>0.3984375</v>
      </c>
      <c r="F1341" s="42">
        <v>1.7825311942959001E-3</v>
      </c>
      <c r="G1341">
        <v>1</v>
      </c>
    </row>
    <row r="1342" spans="3:7" x14ac:dyDescent="0.15">
      <c r="C1342" s="43">
        <v>54</v>
      </c>
      <c r="D1342" s="42">
        <v>1.7825311942959001E-3</v>
      </c>
      <c r="E1342" s="42">
        <v>0.40625</v>
      </c>
      <c r="F1342" s="42">
        <v>1.7825311942959001E-3</v>
      </c>
      <c r="G1342">
        <v>1</v>
      </c>
    </row>
    <row r="1343" spans="3:7" x14ac:dyDescent="0.15">
      <c r="C1343" s="43">
        <v>55</v>
      </c>
      <c r="D1343" s="42">
        <v>1.7825311942959001E-3</v>
      </c>
      <c r="E1343" s="42">
        <v>0.4140625</v>
      </c>
      <c r="F1343" s="42">
        <v>1.7825311942959001E-3</v>
      </c>
      <c r="G1343">
        <v>1</v>
      </c>
    </row>
    <row r="1344" spans="3:7" x14ac:dyDescent="0.15">
      <c r="C1344" s="43">
        <v>56</v>
      </c>
      <c r="D1344" s="42">
        <v>1.7825311942959001E-3</v>
      </c>
      <c r="E1344" s="42">
        <v>0.421875</v>
      </c>
      <c r="F1344" s="42">
        <v>1.7825311942959001E-3</v>
      </c>
      <c r="G1344">
        <v>1</v>
      </c>
    </row>
    <row r="1345" spans="3:7" x14ac:dyDescent="0.15">
      <c r="C1345" s="43">
        <v>57</v>
      </c>
      <c r="D1345" s="42">
        <v>2.6737967914438501E-3</v>
      </c>
      <c r="E1345" s="42">
        <v>0.421875</v>
      </c>
      <c r="F1345" s="42">
        <v>2.6737967914438501E-3</v>
      </c>
      <c r="G1345">
        <v>1</v>
      </c>
    </row>
    <row r="1346" spans="3:7" x14ac:dyDescent="0.15">
      <c r="C1346" s="43">
        <v>58</v>
      </c>
      <c r="D1346" s="42">
        <v>2.6737967914438501E-3</v>
      </c>
      <c r="E1346" s="42">
        <v>0.4296875</v>
      </c>
      <c r="F1346" s="42">
        <v>2.6737967914438501E-3</v>
      </c>
      <c r="G1346">
        <v>1</v>
      </c>
    </row>
    <row r="1347" spans="3:7" x14ac:dyDescent="0.15">
      <c r="C1347" s="43">
        <v>59</v>
      </c>
      <c r="D1347" s="42">
        <v>2.6737967914438501E-3</v>
      </c>
      <c r="E1347" s="42">
        <v>0.4375</v>
      </c>
      <c r="F1347" s="42">
        <v>2.6737967914438501E-3</v>
      </c>
      <c r="G1347">
        <v>1</v>
      </c>
    </row>
    <row r="1348" spans="3:7" x14ac:dyDescent="0.15">
      <c r="C1348" s="43">
        <v>60</v>
      </c>
      <c r="D1348" s="42">
        <v>3.5650623885918001E-3</v>
      </c>
      <c r="E1348" s="42">
        <v>0.4375</v>
      </c>
      <c r="F1348" s="42">
        <v>3.5650623885918001E-3</v>
      </c>
      <c r="G1348">
        <v>1</v>
      </c>
    </row>
    <row r="1349" spans="3:7" x14ac:dyDescent="0.15">
      <c r="C1349" s="43">
        <v>61</v>
      </c>
      <c r="D1349" s="42">
        <v>4.4563279857397506E-3</v>
      </c>
      <c r="E1349" s="42">
        <v>0.4375</v>
      </c>
      <c r="F1349" s="42">
        <v>4.4563279857397506E-3</v>
      </c>
      <c r="G1349">
        <v>1</v>
      </c>
    </row>
    <row r="1350" spans="3:7" x14ac:dyDescent="0.15">
      <c r="C1350" s="43">
        <v>62</v>
      </c>
      <c r="D1350" s="42">
        <v>4.4563279857397506E-3</v>
      </c>
      <c r="E1350" s="42">
        <v>0.4453125</v>
      </c>
      <c r="F1350" s="42">
        <v>4.4563279857397506E-3</v>
      </c>
      <c r="G1350">
        <v>1</v>
      </c>
    </row>
    <row r="1351" spans="3:7" x14ac:dyDescent="0.15">
      <c r="C1351" s="43">
        <v>63</v>
      </c>
      <c r="D1351" s="42">
        <v>4.4563279857397506E-3</v>
      </c>
      <c r="E1351" s="42">
        <v>0.453125</v>
      </c>
      <c r="F1351" s="42">
        <v>4.4563279857397506E-3</v>
      </c>
      <c r="G1351">
        <v>1</v>
      </c>
    </row>
    <row r="1352" spans="3:7" x14ac:dyDescent="0.15">
      <c r="C1352" s="43">
        <v>64</v>
      </c>
      <c r="D1352" s="42">
        <v>4.4563279857397506E-3</v>
      </c>
      <c r="E1352" s="42">
        <v>0.4609375</v>
      </c>
      <c r="F1352" s="42">
        <v>4.4563279857397506E-3</v>
      </c>
      <c r="G1352">
        <v>1</v>
      </c>
    </row>
    <row r="1353" spans="3:7" x14ac:dyDescent="0.15">
      <c r="C1353" s="43">
        <v>65</v>
      </c>
      <c r="D1353" s="42">
        <v>4.4563279857397506E-3</v>
      </c>
      <c r="E1353" s="42">
        <v>0.46875</v>
      </c>
      <c r="F1353" s="42">
        <v>4.4563279857397506E-3</v>
      </c>
      <c r="G1353">
        <v>1</v>
      </c>
    </row>
    <row r="1354" spans="3:7" x14ac:dyDescent="0.15">
      <c r="C1354" s="43">
        <v>66</v>
      </c>
      <c r="D1354" s="42">
        <v>5.3475935828877002E-3</v>
      </c>
      <c r="E1354" s="42">
        <v>0.46875</v>
      </c>
      <c r="F1354" s="42">
        <v>5.3475935828877002E-3</v>
      </c>
      <c r="G1354">
        <v>1</v>
      </c>
    </row>
    <row r="1355" spans="3:7" x14ac:dyDescent="0.15">
      <c r="C1355" s="43">
        <v>67</v>
      </c>
      <c r="D1355" s="42">
        <v>5.3475935828877002E-3</v>
      </c>
      <c r="E1355" s="42">
        <v>0.4765625</v>
      </c>
      <c r="F1355" s="42">
        <v>5.3475935828877002E-3</v>
      </c>
      <c r="G1355">
        <v>1</v>
      </c>
    </row>
    <row r="1356" spans="3:7" x14ac:dyDescent="0.15">
      <c r="C1356" s="43">
        <v>68</v>
      </c>
      <c r="D1356" s="42">
        <v>5.3475935828877002E-3</v>
      </c>
      <c r="E1356" s="42">
        <v>0.484375</v>
      </c>
      <c r="F1356" s="42">
        <v>5.3475935828877002E-3</v>
      </c>
      <c r="G1356">
        <v>1</v>
      </c>
    </row>
    <row r="1357" spans="3:7" x14ac:dyDescent="0.15">
      <c r="C1357" s="43">
        <v>69</v>
      </c>
      <c r="D1357" s="42">
        <v>5.3475935828877002E-3</v>
      </c>
      <c r="E1357" s="42">
        <v>0.4921875</v>
      </c>
      <c r="F1357" s="42">
        <v>5.3475935828877002E-3</v>
      </c>
      <c r="G1357">
        <v>1</v>
      </c>
    </row>
    <row r="1358" spans="3:7" x14ac:dyDescent="0.15">
      <c r="C1358" s="43">
        <v>70</v>
      </c>
      <c r="D1358" s="42">
        <v>6.2388591800356507E-3</v>
      </c>
      <c r="E1358" s="42">
        <v>0.4921875</v>
      </c>
      <c r="F1358" s="42">
        <v>6.2388591800356507E-3</v>
      </c>
      <c r="G1358">
        <v>1</v>
      </c>
    </row>
    <row r="1359" spans="3:7" x14ac:dyDescent="0.15">
      <c r="C1359" s="43">
        <v>71</v>
      </c>
      <c r="D1359" s="42">
        <v>7.1301247771836003E-3</v>
      </c>
      <c r="E1359" s="42">
        <v>0.4921875</v>
      </c>
      <c r="F1359" s="42">
        <v>7.1301247771836003E-3</v>
      </c>
      <c r="G1359">
        <v>1</v>
      </c>
    </row>
    <row r="1360" spans="3:7" x14ac:dyDescent="0.15">
      <c r="C1360" s="43">
        <v>72</v>
      </c>
      <c r="D1360" s="42">
        <v>7.1301247771836003E-3</v>
      </c>
      <c r="E1360" s="42">
        <v>0.5</v>
      </c>
      <c r="F1360" s="42">
        <v>7.1301247771836003E-3</v>
      </c>
      <c r="G1360">
        <v>1</v>
      </c>
    </row>
    <row r="1361" spans="3:7" x14ac:dyDescent="0.15">
      <c r="C1361" s="43">
        <v>73</v>
      </c>
      <c r="D1361" s="42">
        <v>8.0213903743315516E-3</v>
      </c>
      <c r="E1361" s="42">
        <v>0.5</v>
      </c>
      <c r="F1361" s="42">
        <v>8.0213903743315516E-3</v>
      </c>
      <c r="G1361">
        <v>1</v>
      </c>
    </row>
    <row r="1362" spans="3:7" x14ac:dyDescent="0.15">
      <c r="C1362" s="43">
        <v>74</v>
      </c>
      <c r="D1362" s="42">
        <v>8.0213903743315516E-3</v>
      </c>
      <c r="E1362" s="42">
        <v>0.5078125</v>
      </c>
      <c r="F1362" s="42">
        <v>8.0213903743315516E-3</v>
      </c>
      <c r="G1362">
        <v>1</v>
      </c>
    </row>
    <row r="1363" spans="3:7" x14ac:dyDescent="0.15">
      <c r="C1363" s="43">
        <v>75</v>
      </c>
      <c r="D1363" s="42">
        <v>8.0213903743315516E-3</v>
      </c>
      <c r="E1363" s="42">
        <v>0.515625</v>
      </c>
      <c r="F1363" s="42">
        <v>8.0213903743315516E-3</v>
      </c>
      <c r="G1363">
        <v>1</v>
      </c>
    </row>
    <row r="1364" spans="3:7" x14ac:dyDescent="0.15">
      <c r="C1364" s="43">
        <v>76</v>
      </c>
      <c r="D1364" s="42">
        <v>8.9126559714795012E-3</v>
      </c>
      <c r="E1364" s="42">
        <v>0.515625</v>
      </c>
      <c r="F1364" s="42">
        <v>8.9126559714795012E-3</v>
      </c>
      <c r="G1364">
        <v>1</v>
      </c>
    </row>
    <row r="1365" spans="3:7" x14ac:dyDescent="0.15">
      <c r="C1365" s="43">
        <v>77</v>
      </c>
      <c r="D1365" s="42">
        <v>8.9126559714795012E-3</v>
      </c>
      <c r="E1365" s="42">
        <v>0.5234375</v>
      </c>
      <c r="F1365" s="42">
        <v>8.9126559714795012E-3</v>
      </c>
      <c r="G1365">
        <v>1</v>
      </c>
    </row>
    <row r="1366" spans="3:7" x14ac:dyDescent="0.15">
      <c r="C1366" s="43">
        <v>78</v>
      </c>
      <c r="D1366" s="42">
        <v>9.8039215686274508E-3</v>
      </c>
      <c r="E1366" s="42">
        <v>0.5234375</v>
      </c>
      <c r="F1366" s="42">
        <v>9.8039215686274508E-3</v>
      </c>
      <c r="G1366">
        <v>1</v>
      </c>
    </row>
    <row r="1367" spans="3:7" x14ac:dyDescent="0.15">
      <c r="C1367" s="43">
        <v>79</v>
      </c>
      <c r="D1367" s="42">
        <v>9.8039215686274508E-3</v>
      </c>
      <c r="E1367" s="42">
        <v>0.53125</v>
      </c>
      <c r="F1367" s="42">
        <v>9.8039215686274508E-3</v>
      </c>
      <c r="G1367">
        <v>1</v>
      </c>
    </row>
    <row r="1368" spans="3:7" x14ac:dyDescent="0.15">
      <c r="C1368" s="43">
        <v>80</v>
      </c>
      <c r="D1368" s="42">
        <v>9.8039215686274508E-3</v>
      </c>
      <c r="E1368" s="42">
        <v>0.5390625</v>
      </c>
      <c r="F1368" s="42">
        <v>9.8039215686274508E-3</v>
      </c>
      <c r="G1368">
        <v>1</v>
      </c>
    </row>
    <row r="1369" spans="3:7" x14ac:dyDescent="0.15">
      <c r="C1369" s="43">
        <v>81</v>
      </c>
      <c r="D1369" s="42">
        <v>9.8039215686274508E-3</v>
      </c>
      <c r="E1369" s="42">
        <v>0.546875</v>
      </c>
      <c r="F1369" s="42">
        <v>9.8039215686274508E-3</v>
      </c>
      <c r="G1369">
        <v>1</v>
      </c>
    </row>
    <row r="1370" spans="3:7" x14ac:dyDescent="0.15">
      <c r="C1370" s="43">
        <v>82</v>
      </c>
      <c r="D1370" s="42">
        <v>1.06951871657754E-2</v>
      </c>
      <c r="E1370" s="42">
        <v>0.546875</v>
      </c>
      <c r="F1370" s="42">
        <v>1.06951871657754E-2</v>
      </c>
      <c r="G1370">
        <v>1</v>
      </c>
    </row>
    <row r="1371" spans="3:7" x14ac:dyDescent="0.15">
      <c r="C1371" s="43">
        <v>83</v>
      </c>
      <c r="D1371" s="42">
        <v>1.1586452762923352E-2</v>
      </c>
      <c r="E1371" s="42">
        <v>0.546875</v>
      </c>
      <c r="F1371" s="42">
        <v>1.1586452762923352E-2</v>
      </c>
      <c r="G1371">
        <v>1</v>
      </c>
    </row>
    <row r="1372" spans="3:7" x14ac:dyDescent="0.15">
      <c r="C1372" s="43">
        <v>84</v>
      </c>
      <c r="D1372" s="42">
        <v>1.1586452762923352E-2</v>
      </c>
      <c r="E1372" s="42">
        <v>0.5546875</v>
      </c>
      <c r="F1372" s="42">
        <v>1.1586452762923352E-2</v>
      </c>
      <c r="G1372">
        <v>1</v>
      </c>
    </row>
    <row r="1373" spans="3:7" x14ac:dyDescent="0.15">
      <c r="C1373" s="43">
        <v>85</v>
      </c>
      <c r="D1373" s="42">
        <v>1.2477718360071301E-2</v>
      </c>
      <c r="E1373" s="42">
        <v>0.5546875</v>
      </c>
      <c r="F1373" s="42">
        <v>1.2477718360071301E-2</v>
      </c>
      <c r="G1373">
        <v>1</v>
      </c>
    </row>
    <row r="1374" spans="3:7" x14ac:dyDescent="0.15">
      <c r="C1374" s="43">
        <v>86</v>
      </c>
      <c r="D1374" s="42">
        <v>1.3368983957219251E-2</v>
      </c>
      <c r="E1374" s="42">
        <v>0.5546875</v>
      </c>
      <c r="F1374" s="42">
        <v>1.3368983957219251E-2</v>
      </c>
      <c r="G1374">
        <v>1</v>
      </c>
    </row>
    <row r="1375" spans="3:7" x14ac:dyDescent="0.15">
      <c r="C1375" s="43">
        <v>87</v>
      </c>
      <c r="D1375" s="42">
        <v>1.4260249554367201E-2</v>
      </c>
      <c r="E1375" s="42">
        <v>0.5546875</v>
      </c>
      <c r="F1375" s="42">
        <v>1.4260249554367201E-2</v>
      </c>
      <c r="G1375">
        <v>1</v>
      </c>
    </row>
    <row r="1376" spans="3:7" x14ac:dyDescent="0.15">
      <c r="C1376" s="43">
        <v>88</v>
      </c>
      <c r="D1376" s="42">
        <v>1.4260249554367201E-2</v>
      </c>
      <c r="E1376" s="42">
        <v>0.5625</v>
      </c>
      <c r="F1376" s="42">
        <v>1.4260249554367201E-2</v>
      </c>
      <c r="G1376">
        <v>1</v>
      </c>
    </row>
    <row r="1377" spans="3:7" x14ac:dyDescent="0.15">
      <c r="C1377" s="43">
        <v>89</v>
      </c>
      <c r="D1377" s="42">
        <v>1.4260249554367201E-2</v>
      </c>
      <c r="E1377" s="42">
        <v>0.5703125</v>
      </c>
      <c r="F1377" s="42">
        <v>1.4260249554367201E-2</v>
      </c>
      <c r="G1377">
        <v>1</v>
      </c>
    </row>
    <row r="1378" spans="3:7" x14ac:dyDescent="0.15">
      <c r="C1378" s="43">
        <v>90</v>
      </c>
      <c r="D1378" s="42">
        <v>1.4260249554367201E-2</v>
      </c>
      <c r="E1378" s="42">
        <v>0.578125</v>
      </c>
      <c r="F1378" s="42">
        <v>1.4260249554367201E-2</v>
      </c>
      <c r="G1378">
        <v>1</v>
      </c>
    </row>
    <row r="1379" spans="3:7" x14ac:dyDescent="0.15">
      <c r="C1379" s="43">
        <v>91</v>
      </c>
      <c r="D1379" s="42">
        <v>1.4260249554367201E-2</v>
      </c>
      <c r="E1379" s="42">
        <v>0.5859375</v>
      </c>
      <c r="F1379" s="42">
        <v>1.4260249554367201E-2</v>
      </c>
      <c r="G1379">
        <v>1</v>
      </c>
    </row>
    <row r="1380" spans="3:7" x14ac:dyDescent="0.15">
      <c r="C1380" s="43">
        <v>92</v>
      </c>
      <c r="D1380" s="42">
        <v>1.5151515151515152E-2</v>
      </c>
      <c r="E1380" s="42">
        <v>0.5859375</v>
      </c>
      <c r="F1380" s="42">
        <v>1.5151515151515152E-2</v>
      </c>
      <c r="G1380">
        <v>1</v>
      </c>
    </row>
    <row r="1381" spans="3:7" x14ac:dyDescent="0.15">
      <c r="C1381" s="43">
        <v>93</v>
      </c>
      <c r="D1381" s="42">
        <v>1.6042780748663103E-2</v>
      </c>
      <c r="E1381" s="42">
        <v>0.5859375</v>
      </c>
      <c r="F1381" s="42">
        <v>1.6042780748663103E-2</v>
      </c>
      <c r="G1381">
        <v>1</v>
      </c>
    </row>
    <row r="1382" spans="3:7" x14ac:dyDescent="0.15">
      <c r="C1382" s="43">
        <v>94</v>
      </c>
      <c r="D1382" s="42">
        <v>1.6042780748663103E-2</v>
      </c>
      <c r="E1382" s="42">
        <v>0.59375</v>
      </c>
      <c r="F1382" s="42">
        <v>1.6042780748663103E-2</v>
      </c>
      <c r="G1382">
        <v>1</v>
      </c>
    </row>
    <row r="1383" spans="3:7" x14ac:dyDescent="0.15">
      <c r="C1383" s="43">
        <v>95</v>
      </c>
      <c r="D1383" s="42">
        <v>1.6934046345811051E-2</v>
      </c>
      <c r="E1383" s="42">
        <v>0.59375</v>
      </c>
      <c r="F1383" s="42">
        <v>1.6934046345811051E-2</v>
      </c>
      <c r="G1383">
        <v>1</v>
      </c>
    </row>
    <row r="1384" spans="3:7" x14ac:dyDescent="0.15">
      <c r="C1384" s="43">
        <v>96</v>
      </c>
      <c r="D1384" s="42">
        <v>1.6934046345811051E-2</v>
      </c>
      <c r="E1384" s="42">
        <v>0.6015625</v>
      </c>
      <c r="F1384" s="42">
        <v>1.6934046345811051E-2</v>
      </c>
      <c r="G1384">
        <v>1</v>
      </c>
    </row>
    <row r="1385" spans="3:7" x14ac:dyDescent="0.15">
      <c r="C1385" s="43">
        <v>97</v>
      </c>
      <c r="D1385" s="42">
        <v>1.6934046345811051E-2</v>
      </c>
      <c r="E1385" s="42">
        <v>0.609375</v>
      </c>
      <c r="F1385" s="42">
        <v>1.6934046345811051E-2</v>
      </c>
      <c r="G1385">
        <v>1</v>
      </c>
    </row>
    <row r="1386" spans="3:7" x14ac:dyDescent="0.15">
      <c r="C1386" s="43">
        <v>98</v>
      </c>
      <c r="D1386" s="42">
        <v>1.7825311942959002E-2</v>
      </c>
      <c r="E1386" s="42">
        <v>0.609375</v>
      </c>
      <c r="F1386" s="42">
        <v>1.7825311942959002E-2</v>
      </c>
      <c r="G1386">
        <v>1</v>
      </c>
    </row>
    <row r="1387" spans="3:7" x14ac:dyDescent="0.15">
      <c r="C1387" s="43">
        <v>99</v>
      </c>
      <c r="D1387" s="42">
        <v>1.7825311942959002E-2</v>
      </c>
      <c r="E1387" s="42">
        <v>0.6171875</v>
      </c>
      <c r="F1387" s="42">
        <v>1.7825311942959002E-2</v>
      </c>
      <c r="G1387">
        <v>1</v>
      </c>
    </row>
    <row r="1388" spans="3:7" x14ac:dyDescent="0.15">
      <c r="C1388" s="43">
        <v>100</v>
      </c>
      <c r="D1388" s="42">
        <v>1.871657754010695E-2</v>
      </c>
      <c r="E1388" s="42">
        <v>0.6171875</v>
      </c>
      <c r="F1388" s="42">
        <v>1.871657754010695E-2</v>
      </c>
      <c r="G1388">
        <v>1</v>
      </c>
    </row>
    <row r="1389" spans="3:7" x14ac:dyDescent="0.15">
      <c r="C1389" s="43">
        <v>101</v>
      </c>
      <c r="D1389" s="42">
        <v>1.9607843137254902E-2</v>
      </c>
      <c r="E1389" s="42">
        <v>0.6171875</v>
      </c>
      <c r="F1389" s="42">
        <v>1.9607843137254902E-2</v>
      </c>
      <c r="G1389">
        <v>1</v>
      </c>
    </row>
    <row r="1390" spans="3:7" x14ac:dyDescent="0.15">
      <c r="C1390" s="43">
        <v>102</v>
      </c>
      <c r="D1390" s="42">
        <v>2.0499108734402853E-2</v>
      </c>
      <c r="E1390" s="42">
        <v>0.6171875</v>
      </c>
      <c r="F1390" s="42">
        <v>2.0499108734402853E-2</v>
      </c>
      <c r="G1390">
        <v>1</v>
      </c>
    </row>
    <row r="1391" spans="3:7" x14ac:dyDescent="0.15">
      <c r="C1391" s="43">
        <v>103</v>
      </c>
      <c r="D1391" s="42">
        <v>2.1390374331550801E-2</v>
      </c>
      <c r="E1391" s="42">
        <v>0.6171875</v>
      </c>
      <c r="F1391" s="42">
        <v>2.1390374331550801E-2</v>
      </c>
      <c r="G1391">
        <v>1</v>
      </c>
    </row>
    <row r="1392" spans="3:7" x14ac:dyDescent="0.15">
      <c r="C1392" s="43">
        <v>104</v>
      </c>
      <c r="D1392" s="42">
        <v>2.1390374331550801E-2</v>
      </c>
      <c r="E1392" s="42">
        <v>0.625</v>
      </c>
      <c r="F1392" s="42">
        <v>2.1390374331550801E-2</v>
      </c>
      <c r="G1392">
        <v>1</v>
      </c>
    </row>
    <row r="1393" spans="3:7" x14ac:dyDescent="0.15">
      <c r="C1393" s="43">
        <v>105</v>
      </c>
      <c r="D1393" s="42">
        <v>2.2281639928698752E-2</v>
      </c>
      <c r="E1393" s="42">
        <v>0.625</v>
      </c>
      <c r="F1393" s="42">
        <v>2.2281639928698752E-2</v>
      </c>
      <c r="G1393">
        <v>1</v>
      </c>
    </row>
    <row r="1394" spans="3:7" x14ac:dyDescent="0.15">
      <c r="C1394" s="43">
        <v>106</v>
      </c>
      <c r="D1394" s="42">
        <v>2.2281639928698752E-2</v>
      </c>
      <c r="E1394" s="42">
        <v>0.6328125</v>
      </c>
      <c r="F1394" s="42">
        <v>2.2281639928698752E-2</v>
      </c>
      <c r="G1394">
        <v>1</v>
      </c>
    </row>
    <row r="1395" spans="3:7" x14ac:dyDescent="0.15">
      <c r="C1395" s="43">
        <v>107</v>
      </c>
      <c r="D1395" s="42">
        <v>2.3172905525846704E-2</v>
      </c>
      <c r="E1395" s="42">
        <v>0.6328125</v>
      </c>
      <c r="F1395" s="42">
        <v>2.3172905525846704E-2</v>
      </c>
      <c r="G1395">
        <v>1</v>
      </c>
    </row>
    <row r="1396" spans="3:7" x14ac:dyDescent="0.15">
      <c r="C1396" s="43">
        <v>108</v>
      </c>
      <c r="D1396" s="42">
        <v>2.3172905525846704E-2</v>
      </c>
      <c r="E1396" s="42">
        <v>0.640625</v>
      </c>
      <c r="F1396" s="42">
        <v>2.3172905525846704E-2</v>
      </c>
      <c r="G1396">
        <v>1</v>
      </c>
    </row>
    <row r="1397" spans="3:7" x14ac:dyDescent="0.15">
      <c r="C1397" s="43">
        <v>109</v>
      </c>
      <c r="D1397" s="42">
        <v>2.4064171122994651E-2</v>
      </c>
      <c r="E1397" s="42">
        <v>0.640625</v>
      </c>
      <c r="F1397" s="42">
        <v>2.4064171122994651E-2</v>
      </c>
      <c r="G1397">
        <v>1</v>
      </c>
    </row>
    <row r="1398" spans="3:7" x14ac:dyDescent="0.15">
      <c r="C1398" s="43">
        <v>110</v>
      </c>
      <c r="D1398" s="42">
        <v>2.4955436720142603E-2</v>
      </c>
      <c r="E1398" s="42">
        <v>0.640625</v>
      </c>
      <c r="F1398" s="42">
        <v>2.4955436720142603E-2</v>
      </c>
      <c r="G1398">
        <v>1</v>
      </c>
    </row>
    <row r="1399" spans="3:7" x14ac:dyDescent="0.15">
      <c r="C1399" s="43">
        <v>111</v>
      </c>
      <c r="D1399" s="42">
        <v>2.4955436720142603E-2</v>
      </c>
      <c r="E1399" s="42">
        <v>0.6484375</v>
      </c>
      <c r="F1399" s="42">
        <v>2.4955436720142603E-2</v>
      </c>
      <c r="G1399">
        <v>1</v>
      </c>
    </row>
    <row r="1400" spans="3:7" x14ac:dyDescent="0.15">
      <c r="C1400" s="43">
        <v>112</v>
      </c>
      <c r="D1400" s="42">
        <v>2.5846702317290554E-2</v>
      </c>
      <c r="E1400" s="42">
        <v>0.6484375</v>
      </c>
      <c r="F1400" s="42">
        <v>2.5846702317290554E-2</v>
      </c>
      <c r="G1400">
        <v>1</v>
      </c>
    </row>
    <row r="1401" spans="3:7" x14ac:dyDescent="0.15">
      <c r="C1401" s="43">
        <v>113</v>
      </c>
      <c r="D1401" s="42">
        <v>2.6737967914438502E-2</v>
      </c>
      <c r="E1401" s="42">
        <v>0.6484375</v>
      </c>
      <c r="F1401" s="42">
        <v>2.6737967914438502E-2</v>
      </c>
      <c r="G1401">
        <v>1</v>
      </c>
    </row>
    <row r="1402" spans="3:7" x14ac:dyDescent="0.15">
      <c r="C1402" s="43">
        <v>114</v>
      </c>
      <c r="D1402" s="42">
        <v>2.7629233511586453E-2</v>
      </c>
      <c r="E1402" s="42">
        <v>0.6484375</v>
      </c>
      <c r="F1402" s="42">
        <v>2.7629233511586453E-2</v>
      </c>
      <c r="G1402">
        <v>1</v>
      </c>
    </row>
    <row r="1403" spans="3:7" x14ac:dyDescent="0.15">
      <c r="C1403" s="43">
        <v>115</v>
      </c>
      <c r="D1403" s="42">
        <v>2.7629233511586453E-2</v>
      </c>
      <c r="E1403" s="42">
        <v>0.65625</v>
      </c>
      <c r="F1403" s="42">
        <v>2.7629233511586453E-2</v>
      </c>
      <c r="G1403">
        <v>1</v>
      </c>
    </row>
    <row r="1404" spans="3:7" x14ac:dyDescent="0.15">
      <c r="C1404" s="43">
        <v>116</v>
      </c>
      <c r="D1404" s="42">
        <v>2.7629233511586453E-2</v>
      </c>
      <c r="E1404" s="42">
        <v>0.6640625</v>
      </c>
      <c r="F1404" s="42">
        <v>2.7629233511586453E-2</v>
      </c>
      <c r="G1404">
        <v>1</v>
      </c>
    </row>
    <row r="1405" spans="3:7" x14ac:dyDescent="0.15">
      <c r="C1405" s="43">
        <v>117</v>
      </c>
      <c r="D1405" s="42">
        <v>2.8520499108734401E-2</v>
      </c>
      <c r="E1405" s="42">
        <v>0.6640625</v>
      </c>
      <c r="F1405" s="42">
        <v>2.8520499108734401E-2</v>
      </c>
      <c r="G1405">
        <v>1</v>
      </c>
    </row>
    <row r="1406" spans="3:7" x14ac:dyDescent="0.15">
      <c r="C1406" s="43">
        <v>118</v>
      </c>
      <c r="D1406" s="42">
        <v>2.8520499108734401E-2</v>
      </c>
      <c r="E1406" s="42">
        <v>0.671875</v>
      </c>
      <c r="F1406" s="42">
        <v>2.8520499108734401E-2</v>
      </c>
      <c r="G1406">
        <v>1</v>
      </c>
    </row>
    <row r="1407" spans="3:7" x14ac:dyDescent="0.15">
      <c r="C1407" s="43">
        <v>119</v>
      </c>
      <c r="D1407" s="42">
        <v>2.9411764705882353E-2</v>
      </c>
      <c r="E1407" s="42">
        <v>0.671875</v>
      </c>
      <c r="F1407" s="42">
        <v>2.9411764705882353E-2</v>
      </c>
      <c r="G1407">
        <v>1</v>
      </c>
    </row>
    <row r="1408" spans="3:7" x14ac:dyDescent="0.15">
      <c r="C1408" s="43">
        <v>120</v>
      </c>
      <c r="D1408" s="42">
        <v>2.9411764705882353E-2</v>
      </c>
      <c r="E1408" s="42">
        <v>0.6796875</v>
      </c>
      <c r="F1408" s="42">
        <v>2.9411764705882353E-2</v>
      </c>
      <c r="G1408">
        <v>1</v>
      </c>
    </row>
    <row r="1409" spans="3:7" x14ac:dyDescent="0.15">
      <c r="C1409" s="43">
        <v>121</v>
      </c>
      <c r="D1409" s="42">
        <v>2.9411764705882353E-2</v>
      </c>
      <c r="E1409" s="42">
        <v>0.6875</v>
      </c>
      <c r="F1409" s="42">
        <v>2.9411764705882353E-2</v>
      </c>
      <c r="G1409">
        <v>1</v>
      </c>
    </row>
    <row r="1410" spans="3:7" x14ac:dyDescent="0.15">
      <c r="C1410" s="43">
        <v>122</v>
      </c>
      <c r="D1410" s="42">
        <v>3.0303030303030304E-2</v>
      </c>
      <c r="E1410" s="42">
        <v>0.6875</v>
      </c>
      <c r="F1410" s="42">
        <v>3.0303030303030304E-2</v>
      </c>
      <c r="G1410">
        <v>1</v>
      </c>
    </row>
    <row r="1411" spans="3:7" x14ac:dyDescent="0.15">
      <c r="C1411" s="43">
        <v>123</v>
      </c>
      <c r="D1411" s="42">
        <v>3.1194295900178252E-2</v>
      </c>
      <c r="E1411" s="42">
        <v>0.6875</v>
      </c>
      <c r="F1411" s="42">
        <v>3.1194295900178252E-2</v>
      </c>
      <c r="G1411">
        <v>1</v>
      </c>
    </row>
    <row r="1412" spans="3:7" x14ac:dyDescent="0.15">
      <c r="C1412" s="43">
        <v>124</v>
      </c>
      <c r="D1412" s="42">
        <v>3.2085561497326207E-2</v>
      </c>
      <c r="E1412" s="42">
        <v>0.6875</v>
      </c>
      <c r="F1412" s="42">
        <v>3.2085561497326207E-2</v>
      </c>
      <c r="G1412">
        <v>1</v>
      </c>
    </row>
    <row r="1413" spans="3:7" x14ac:dyDescent="0.15">
      <c r="C1413" s="43">
        <v>125</v>
      </c>
      <c r="D1413" s="42">
        <v>3.2085561497326207E-2</v>
      </c>
      <c r="E1413" s="42">
        <v>0.6953125</v>
      </c>
      <c r="F1413" s="42">
        <v>3.2085561497326207E-2</v>
      </c>
      <c r="G1413">
        <v>1</v>
      </c>
    </row>
    <row r="1414" spans="3:7" x14ac:dyDescent="0.15">
      <c r="C1414" s="43">
        <v>126</v>
      </c>
      <c r="D1414" s="42">
        <v>3.2085561497326207E-2</v>
      </c>
      <c r="E1414" s="42">
        <v>0.703125</v>
      </c>
      <c r="F1414" s="42">
        <v>3.2085561497326207E-2</v>
      </c>
      <c r="G1414">
        <v>1</v>
      </c>
    </row>
    <row r="1415" spans="3:7" x14ac:dyDescent="0.15">
      <c r="C1415" s="43">
        <v>127</v>
      </c>
      <c r="D1415" s="42">
        <v>3.2085561497326207E-2</v>
      </c>
      <c r="E1415" s="42">
        <v>0.7109375</v>
      </c>
      <c r="F1415" s="42">
        <v>3.2085561497326207E-2</v>
      </c>
      <c r="G1415">
        <v>1</v>
      </c>
    </row>
    <row r="1416" spans="3:7" x14ac:dyDescent="0.15">
      <c r="C1416" s="43">
        <v>128</v>
      </c>
      <c r="D1416" s="42">
        <v>3.2976827094474151E-2</v>
      </c>
      <c r="E1416" s="42">
        <v>0.7109375</v>
      </c>
      <c r="F1416" s="42">
        <v>3.2976827094474151E-2</v>
      </c>
      <c r="G1416">
        <v>1</v>
      </c>
    </row>
    <row r="1417" spans="3:7" x14ac:dyDescent="0.15">
      <c r="C1417" s="43">
        <v>129</v>
      </c>
      <c r="D1417" s="42">
        <v>3.3868092691622102E-2</v>
      </c>
      <c r="E1417" s="42">
        <v>0.7109375</v>
      </c>
      <c r="F1417" s="42">
        <v>3.3868092691622102E-2</v>
      </c>
      <c r="G1417">
        <v>1</v>
      </c>
    </row>
    <row r="1418" spans="3:7" x14ac:dyDescent="0.15">
      <c r="C1418" s="43">
        <v>130</v>
      </c>
      <c r="D1418" s="42">
        <v>3.3868092691622102E-2</v>
      </c>
      <c r="E1418" s="42">
        <v>0.71875</v>
      </c>
      <c r="F1418" s="42">
        <v>3.3868092691622102E-2</v>
      </c>
      <c r="G1418">
        <v>1</v>
      </c>
    </row>
    <row r="1419" spans="3:7" x14ac:dyDescent="0.15">
      <c r="C1419" s="43">
        <v>131</v>
      </c>
      <c r="D1419" s="42">
        <v>3.4759358288770054E-2</v>
      </c>
      <c r="E1419" s="42">
        <v>0.71875</v>
      </c>
      <c r="F1419" s="42">
        <v>3.4759358288770054E-2</v>
      </c>
      <c r="G1419">
        <v>1</v>
      </c>
    </row>
    <row r="1420" spans="3:7" x14ac:dyDescent="0.15">
      <c r="C1420" s="43">
        <v>132</v>
      </c>
      <c r="D1420" s="42">
        <v>3.5650623885918005E-2</v>
      </c>
      <c r="E1420" s="42">
        <v>0.71875</v>
      </c>
      <c r="F1420" s="42">
        <v>3.5650623885918005E-2</v>
      </c>
      <c r="G1420">
        <v>1</v>
      </c>
    </row>
    <row r="1421" spans="3:7" x14ac:dyDescent="0.15">
      <c r="C1421" s="43">
        <v>133</v>
      </c>
      <c r="D1421" s="42">
        <v>3.5650623885918005E-2</v>
      </c>
      <c r="E1421" s="42">
        <v>0.7265625</v>
      </c>
      <c r="F1421" s="42">
        <v>3.5650623885918005E-2</v>
      </c>
      <c r="G1421">
        <v>1</v>
      </c>
    </row>
    <row r="1422" spans="3:7" x14ac:dyDescent="0.15">
      <c r="C1422" s="43">
        <v>134</v>
      </c>
      <c r="D1422" s="42">
        <v>3.6541889483065956E-2</v>
      </c>
      <c r="E1422" s="42">
        <v>0.7265625</v>
      </c>
      <c r="F1422" s="42">
        <v>3.6541889483065956E-2</v>
      </c>
      <c r="G1422">
        <v>1</v>
      </c>
    </row>
    <row r="1423" spans="3:7" x14ac:dyDescent="0.15">
      <c r="C1423" s="43">
        <v>135</v>
      </c>
      <c r="D1423" s="42">
        <v>3.7433155080213901E-2</v>
      </c>
      <c r="E1423" s="42">
        <v>0.7265625</v>
      </c>
      <c r="F1423" s="42">
        <v>3.7433155080213901E-2</v>
      </c>
      <c r="G1423">
        <v>1</v>
      </c>
    </row>
    <row r="1424" spans="3:7" x14ac:dyDescent="0.15">
      <c r="C1424" s="43">
        <v>136</v>
      </c>
      <c r="D1424" s="42">
        <v>3.8324420677361852E-2</v>
      </c>
      <c r="E1424" s="42">
        <v>0.7265625</v>
      </c>
      <c r="F1424" s="42">
        <v>3.8324420677361852E-2</v>
      </c>
      <c r="G1424">
        <v>1</v>
      </c>
    </row>
    <row r="1425" spans="3:7" x14ac:dyDescent="0.15">
      <c r="C1425" s="43">
        <v>137</v>
      </c>
      <c r="D1425" s="42">
        <v>3.9215686274509803E-2</v>
      </c>
      <c r="E1425" s="42">
        <v>0.7265625</v>
      </c>
      <c r="F1425" s="42">
        <v>3.9215686274509803E-2</v>
      </c>
      <c r="G1425">
        <v>1</v>
      </c>
    </row>
    <row r="1426" spans="3:7" x14ac:dyDescent="0.15">
      <c r="C1426" s="43">
        <v>138</v>
      </c>
      <c r="D1426" s="42">
        <v>4.0106951871657755E-2</v>
      </c>
      <c r="E1426" s="42">
        <v>0.7265625</v>
      </c>
      <c r="F1426" s="42">
        <v>4.0106951871657755E-2</v>
      </c>
      <c r="G1426">
        <v>1</v>
      </c>
    </row>
    <row r="1427" spans="3:7" x14ac:dyDescent="0.15">
      <c r="C1427" s="43">
        <v>139</v>
      </c>
      <c r="D1427" s="42">
        <v>4.0998217468805706E-2</v>
      </c>
      <c r="E1427" s="42">
        <v>0.7265625</v>
      </c>
      <c r="F1427" s="42">
        <v>4.0998217468805706E-2</v>
      </c>
      <c r="G1427">
        <v>1</v>
      </c>
    </row>
    <row r="1428" spans="3:7" x14ac:dyDescent="0.15">
      <c r="C1428" s="43">
        <v>140</v>
      </c>
      <c r="D1428" s="42">
        <v>4.1889483065953657E-2</v>
      </c>
      <c r="E1428" s="42">
        <v>0.7265625</v>
      </c>
      <c r="F1428" s="42">
        <v>4.1889483065953657E-2</v>
      </c>
      <c r="G1428">
        <v>1</v>
      </c>
    </row>
    <row r="1429" spans="3:7" x14ac:dyDescent="0.15">
      <c r="C1429" s="43">
        <v>141</v>
      </c>
      <c r="D1429" s="42">
        <v>4.1889483065953657E-2</v>
      </c>
      <c r="E1429" s="42">
        <v>0.734375</v>
      </c>
      <c r="F1429" s="42">
        <v>4.1889483065953657E-2</v>
      </c>
      <c r="G1429">
        <v>1</v>
      </c>
    </row>
    <row r="1430" spans="3:7" x14ac:dyDescent="0.15">
      <c r="C1430" s="43">
        <v>142</v>
      </c>
      <c r="D1430" s="42">
        <v>4.2780748663101602E-2</v>
      </c>
      <c r="E1430" s="42">
        <v>0.734375</v>
      </c>
      <c r="F1430" s="42">
        <v>4.2780748663101602E-2</v>
      </c>
      <c r="G1430">
        <v>1</v>
      </c>
    </row>
    <row r="1431" spans="3:7" x14ac:dyDescent="0.15">
      <c r="C1431" s="43">
        <v>143</v>
      </c>
      <c r="D1431" s="42">
        <v>4.3672014260249553E-2</v>
      </c>
      <c r="E1431" s="42">
        <v>0.734375</v>
      </c>
      <c r="F1431" s="42">
        <v>4.3672014260249553E-2</v>
      </c>
      <c r="G1431">
        <v>1</v>
      </c>
    </row>
    <row r="1432" spans="3:7" x14ac:dyDescent="0.15">
      <c r="C1432" s="43">
        <v>144</v>
      </c>
      <c r="D1432" s="42">
        <v>4.4563279857397504E-2</v>
      </c>
      <c r="E1432" s="42">
        <v>0.734375</v>
      </c>
      <c r="F1432" s="42">
        <v>4.4563279857397504E-2</v>
      </c>
      <c r="G1432">
        <v>1</v>
      </c>
    </row>
    <row r="1433" spans="3:7" x14ac:dyDescent="0.15">
      <c r="C1433" s="43">
        <v>145</v>
      </c>
      <c r="D1433" s="42">
        <v>4.5454545454545456E-2</v>
      </c>
      <c r="E1433" s="42">
        <v>0.734375</v>
      </c>
      <c r="F1433" s="42">
        <v>4.5454545454545456E-2</v>
      </c>
      <c r="G1433">
        <v>1</v>
      </c>
    </row>
    <row r="1434" spans="3:7" x14ac:dyDescent="0.15">
      <c r="C1434" s="43">
        <v>146</v>
      </c>
      <c r="D1434" s="42">
        <v>4.6345811051693407E-2</v>
      </c>
      <c r="E1434" s="42">
        <v>0.734375</v>
      </c>
      <c r="F1434" s="42">
        <v>4.6345811051693407E-2</v>
      </c>
      <c r="G1434">
        <v>1</v>
      </c>
    </row>
    <row r="1435" spans="3:7" x14ac:dyDescent="0.15">
      <c r="C1435" s="43">
        <v>147</v>
      </c>
      <c r="D1435" s="42">
        <v>4.7237076648841352E-2</v>
      </c>
      <c r="E1435" s="42">
        <v>0.734375</v>
      </c>
      <c r="F1435" s="42">
        <v>4.7237076648841352E-2</v>
      </c>
      <c r="G1435">
        <v>1</v>
      </c>
    </row>
    <row r="1436" spans="3:7" x14ac:dyDescent="0.15">
      <c r="C1436" s="43">
        <v>148</v>
      </c>
      <c r="D1436" s="42">
        <v>4.8128342245989303E-2</v>
      </c>
      <c r="E1436" s="42">
        <v>0.734375</v>
      </c>
      <c r="F1436" s="42">
        <v>4.8128342245989303E-2</v>
      </c>
      <c r="G1436">
        <v>1</v>
      </c>
    </row>
    <row r="1437" spans="3:7" x14ac:dyDescent="0.15">
      <c r="C1437" s="43">
        <v>149</v>
      </c>
      <c r="D1437" s="42">
        <v>4.8128342245989303E-2</v>
      </c>
      <c r="E1437" s="42">
        <v>0.7421875</v>
      </c>
      <c r="F1437" s="42">
        <v>4.8128342245989303E-2</v>
      </c>
      <c r="G1437">
        <v>1</v>
      </c>
    </row>
    <row r="1438" spans="3:7" x14ac:dyDescent="0.15">
      <c r="C1438" s="43">
        <v>150</v>
      </c>
      <c r="D1438" s="42">
        <v>4.9019607843137254E-2</v>
      </c>
      <c r="E1438" s="42">
        <v>0.7421875</v>
      </c>
      <c r="F1438" s="42">
        <v>4.9019607843137254E-2</v>
      </c>
      <c r="G1438">
        <v>1</v>
      </c>
    </row>
    <row r="1439" spans="3:7" x14ac:dyDescent="0.15">
      <c r="C1439" s="43">
        <v>151</v>
      </c>
      <c r="D1439" s="42">
        <v>4.9019607843137254E-2</v>
      </c>
      <c r="E1439" s="42">
        <v>0.75</v>
      </c>
      <c r="F1439" s="42">
        <v>4.9019607843137254E-2</v>
      </c>
      <c r="G1439">
        <v>1</v>
      </c>
    </row>
    <row r="1440" spans="3:7" x14ac:dyDescent="0.15">
      <c r="C1440" s="43">
        <v>152</v>
      </c>
      <c r="D1440" s="42">
        <v>4.9910873440285206E-2</v>
      </c>
      <c r="E1440" s="42">
        <v>0.75</v>
      </c>
      <c r="F1440" s="42">
        <v>4.9910873440285206E-2</v>
      </c>
      <c r="G1440">
        <v>1</v>
      </c>
    </row>
    <row r="1441" spans="3:7" x14ac:dyDescent="0.15">
      <c r="C1441" s="43">
        <v>153</v>
      </c>
      <c r="D1441" s="42">
        <v>5.0802139037433157E-2</v>
      </c>
      <c r="E1441" s="42">
        <v>0.75</v>
      </c>
      <c r="F1441" s="42">
        <v>5.0802139037433157E-2</v>
      </c>
      <c r="G1441">
        <v>1</v>
      </c>
    </row>
    <row r="1442" spans="3:7" x14ac:dyDescent="0.15">
      <c r="C1442" s="43">
        <v>154</v>
      </c>
      <c r="D1442" s="42">
        <v>5.0802139037433157E-2</v>
      </c>
      <c r="E1442" s="42">
        <v>0.7578125</v>
      </c>
      <c r="F1442" s="42">
        <v>5.0802139037433157E-2</v>
      </c>
      <c r="G1442">
        <v>1</v>
      </c>
    </row>
    <row r="1443" spans="3:7" x14ac:dyDescent="0.15">
      <c r="C1443" s="43">
        <v>155</v>
      </c>
      <c r="D1443" s="42">
        <v>5.1693404634581108E-2</v>
      </c>
      <c r="E1443" s="42">
        <v>0.7578125</v>
      </c>
      <c r="F1443" s="42">
        <v>5.1693404634581108E-2</v>
      </c>
      <c r="G1443">
        <v>1</v>
      </c>
    </row>
    <row r="1444" spans="3:7" x14ac:dyDescent="0.15">
      <c r="C1444" s="43">
        <v>156</v>
      </c>
      <c r="D1444" s="42">
        <v>5.2584670231729053E-2</v>
      </c>
      <c r="E1444" s="42">
        <v>0.7578125</v>
      </c>
      <c r="F1444" s="42">
        <v>5.2584670231729053E-2</v>
      </c>
      <c r="G1444">
        <v>1</v>
      </c>
    </row>
    <row r="1445" spans="3:7" x14ac:dyDescent="0.15">
      <c r="C1445" s="43">
        <v>157</v>
      </c>
      <c r="D1445" s="42">
        <v>5.3475935828877004E-2</v>
      </c>
      <c r="E1445" s="42">
        <v>0.7578125</v>
      </c>
      <c r="F1445" s="42">
        <v>5.3475935828877004E-2</v>
      </c>
      <c r="G1445">
        <v>1</v>
      </c>
    </row>
    <row r="1446" spans="3:7" x14ac:dyDescent="0.15">
      <c r="C1446" s="43">
        <v>158</v>
      </c>
      <c r="D1446" s="42">
        <v>5.4367201426024955E-2</v>
      </c>
      <c r="E1446" s="42">
        <v>0.7578125</v>
      </c>
      <c r="F1446" s="42">
        <v>5.4367201426024955E-2</v>
      </c>
      <c r="G1446">
        <v>1</v>
      </c>
    </row>
    <row r="1447" spans="3:7" x14ac:dyDescent="0.15">
      <c r="C1447" s="43">
        <v>159</v>
      </c>
      <c r="D1447" s="42">
        <v>5.5258467023172907E-2</v>
      </c>
      <c r="E1447" s="42">
        <v>0.7578125</v>
      </c>
      <c r="F1447" s="42">
        <v>5.5258467023172907E-2</v>
      </c>
      <c r="G1447">
        <v>1</v>
      </c>
    </row>
    <row r="1448" spans="3:7" x14ac:dyDescent="0.15">
      <c r="C1448" s="43">
        <v>160</v>
      </c>
      <c r="D1448" s="42">
        <v>5.5258467023172907E-2</v>
      </c>
      <c r="E1448" s="42">
        <v>0.765625</v>
      </c>
      <c r="F1448" s="42">
        <v>5.5258467023172907E-2</v>
      </c>
      <c r="G1448">
        <v>1</v>
      </c>
    </row>
    <row r="1449" spans="3:7" x14ac:dyDescent="0.15">
      <c r="C1449" s="43">
        <v>161</v>
      </c>
      <c r="D1449" s="42">
        <v>5.6149732620320858E-2</v>
      </c>
      <c r="E1449" s="42">
        <v>0.765625</v>
      </c>
      <c r="F1449" s="42">
        <v>5.6149732620320858E-2</v>
      </c>
      <c r="G1449">
        <v>1</v>
      </c>
    </row>
    <row r="1450" spans="3:7" x14ac:dyDescent="0.15">
      <c r="C1450" s="43">
        <v>162</v>
      </c>
      <c r="D1450" s="42">
        <v>5.7040998217468802E-2</v>
      </c>
      <c r="E1450" s="42">
        <v>0.765625</v>
      </c>
      <c r="F1450" s="42">
        <v>5.7040998217468802E-2</v>
      </c>
      <c r="G1450">
        <v>1</v>
      </c>
    </row>
    <row r="1451" spans="3:7" x14ac:dyDescent="0.15">
      <c r="C1451" s="43">
        <v>163</v>
      </c>
      <c r="D1451" s="42">
        <v>5.7932263814616754E-2</v>
      </c>
      <c r="E1451" s="42">
        <v>0.765625</v>
      </c>
      <c r="F1451" s="42">
        <v>5.7932263814616754E-2</v>
      </c>
      <c r="G1451">
        <v>1</v>
      </c>
    </row>
    <row r="1452" spans="3:7" x14ac:dyDescent="0.15">
      <c r="C1452" s="43">
        <v>164</v>
      </c>
      <c r="D1452" s="42">
        <v>5.7932263814616754E-2</v>
      </c>
      <c r="E1452" s="42">
        <v>0.7734375</v>
      </c>
      <c r="F1452" s="42">
        <v>5.7932263814616754E-2</v>
      </c>
      <c r="G1452">
        <v>1</v>
      </c>
    </row>
    <row r="1453" spans="3:7" x14ac:dyDescent="0.15">
      <c r="C1453" s="43">
        <v>165</v>
      </c>
      <c r="D1453" s="42">
        <v>5.7932263814616754E-2</v>
      </c>
      <c r="E1453" s="42">
        <v>0.78125</v>
      </c>
      <c r="F1453" s="42">
        <v>5.7932263814616754E-2</v>
      </c>
      <c r="G1453">
        <v>1</v>
      </c>
    </row>
    <row r="1454" spans="3:7" x14ac:dyDescent="0.15">
      <c r="C1454" s="43">
        <v>166</v>
      </c>
      <c r="D1454" s="42">
        <v>5.8823529411764705E-2</v>
      </c>
      <c r="E1454" s="42">
        <v>0.78125</v>
      </c>
      <c r="F1454" s="42">
        <v>5.8823529411764705E-2</v>
      </c>
      <c r="G1454">
        <v>1</v>
      </c>
    </row>
    <row r="1455" spans="3:7" x14ac:dyDescent="0.15">
      <c r="C1455" s="43">
        <v>167</v>
      </c>
      <c r="D1455" s="42">
        <v>5.9714795008912656E-2</v>
      </c>
      <c r="E1455" s="42">
        <v>0.78125</v>
      </c>
      <c r="F1455" s="42">
        <v>5.9714795008912656E-2</v>
      </c>
      <c r="G1455">
        <v>1</v>
      </c>
    </row>
    <row r="1456" spans="3:7" x14ac:dyDescent="0.15">
      <c r="C1456" s="43">
        <v>168</v>
      </c>
      <c r="D1456" s="42">
        <v>5.9714795008912656E-2</v>
      </c>
      <c r="E1456" s="42">
        <v>0.7890625</v>
      </c>
      <c r="F1456" s="42">
        <v>5.9714795008912656E-2</v>
      </c>
      <c r="G1456">
        <v>1</v>
      </c>
    </row>
    <row r="1457" spans="3:7" x14ac:dyDescent="0.15">
      <c r="C1457" s="43">
        <v>169</v>
      </c>
      <c r="D1457" s="42">
        <v>6.0606060606060608E-2</v>
      </c>
      <c r="E1457" s="42">
        <v>0.7890625</v>
      </c>
      <c r="F1457" s="42">
        <v>6.0606060606060608E-2</v>
      </c>
      <c r="G1457">
        <v>1</v>
      </c>
    </row>
    <row r="1458" spans="3:7" x14ac:dyDescent="0.15">
      <c r="C1458" s="43">
        <v>170</v>
      </c>
      <c r="D1458" s="42">
        <v>6.1497326203208559E-2</v>
      </c>
      <c r="E1458" s="42">
        <v>0.7890625</v>
      </c>
      <c r="F1458" s="42">
        <v>6.1497326203208559E-2</v>
      </c>
      <c r="G1458">
        <v>1</v>
      </c>
    </row>
    <row r="1459" spans="3:7" x14ac:dyDescent="0.15">
      <c r="C1459" s="43">
        <v>171</v>
      </c>
      <c r="D1459" s="42">
        <v>6.2388591800356503E-2</v>
      </c>
      <c r="E1459" s="42">
        <v>0.7890625</v>
      </c>
      <c r="F1459" s="42">
        <v>6.2388591800356503E-2</v>
      </c>
      <c r="G1459">
        <v>1</v>
      </c>
    </row>
    <row r="1460" spans="3:7" x14ac:dyDescent="0.15">
      <c r="C1460" s="43">
        <v>172</v>
      </c>
      <c r="D1460" s="42">
        <v>6.2388591800356503E-2</v>
      </c>
      <c r="E1460" s="42">
        <v>0.796875</v>
      </c>
      <c r="F1460" s="42">
        <v>6.2388591800356503E-2</v>
      </c>
      <c r="G1460">
        <v>1</v>
      </c>
    </row>
    <row r="1461" spans="3:7" x14ac:dyDescent="0.15">
      <c r="C1461" s="43">
        <v>173</v>
      </c>
      <c r="D1461" s="42">
        <v>6.2388591800356503E-2</v>
      </c>
      <c r="E1461" s="42">
        <v>0.8046875</v>
      </c>
      <c r="F1461" s="42">
        <v>6.2388591800356503E-2</v>
      </c>
      <c r="G1461">
        <v>1</v>
      </c>
    </row>
    <row r="1462" spans="3:7" x14ac:dyDescent="0.15">
      <c r="C1462" s="43">
        <v>174</v>
      </c>
      <c r="D1462" s="42">
        <v>6.3279857397504455E-2</v>
      </c>
      <c r="E1462" s="42">
        <v>0.8046875</v>
      </c>
      <c r="F1462" s="42">
        <v>6.3279857397504455E-2</v>
      </c>
      <c r="G1462">
        <v>1</v>
      </c>
    </row>
    <row r="1463" spans="3:7" x14ac:dyDescent="0.15">
      <c r="C1463" s="43">
        <v>175</v>
      </c>
      <c r="D1463" s="42">
        <v>6.4171122994652413E-2</v>
      </c>
      <c r="E1463" s="42">
        <v>0.8046875</v>
      </c>
      <c r="F1463" s="42">
        <v>6.4171122994652413E-2</v>
      </c>
      <c r="G1463">
        <v>1</v>
      </c>
    </row>
    <row r="1464" spans="3:7" x14ac:dyDescent="0.15">
      <c r="C1464" s="43">
        <v>176</v>
      </c>
      <c r="D1464" s="42">
        <v>6.5062388591800357E-2</v>
      </c>
      <c r="E1464" s="42">
        <v>0.8046875</v>
      </c>
      <c r="F1464" s="42">
        <v>6.5062388591800357E-2</v>
      </c>
      <c r="G1464">
        <v>1</v>
      </c>
    </row>
    <row r="1465" spans="3:7" x14ac:dyDescent="0.15">
      <c r="C1465" s="43">
        <v>177</v>
      </c>
      <c r="D1465" s="42">
        <v>6.5953654188948302E-2</v>
      </c>
      <c r="E1465" s="42">
        <v>0.8046875</v>
      </c>
      <c r="F1465" s="42">
        <v>6.5953654188948302E-2</v>
      </c>
      <c r="G1465">
        <v>1</v>
      </c>
    </row>
    <row r="1466" spans="3:7" x14ac:dyDescent="0.15">
      <c r="C1466" s="43">
        <v>178</v>
      </c>
      <c r="D1466" s="42">
        <v>6.684491978609626E-2</v>
      </c>
      <c r="E1466" s="42">
        <v>0.8046875</v>
      </c>
      <c r="F1466" s="42">
        <v>6.684491978609626E-2</v>
      </c>
      <c r="G1466">
        <v>1</v>
      </c>
    </row>
    <row r="1467" spans="3:7" x14ac:dyDescent="0.15">
      <c r="C1467" s="43">
        <v>179</v>
      </c>
      <c r="D1467" s="42">
        <v>6.7736185383244205E-2</v>
      </c>
      <c r="E1467" s="42">
        <v>0.8046875</v>
      </c>
      <c r="F1467" s="42">
        <v>6.7736185383244205E-2</v>
      </c>
      <c r="G1467">
        <v>1</v>
      </c>
    </row>
    <row r="1468" spans="3:7" x14ac:dyDescent="0.15">
      <c r="C1468" s="43">
        <v>180</v>
      </c>
      <c r="D1468" s="42">
        <v>6.7736185383244205E-2</v>
      </c>
      <c r="E1468" s="42">
        <v>0.8125</v>
      </c>
      <c r="F1468" s="42">
        <v>6.7736185383244205E-2</v>
      </c>
      <c r="G1468">
        <v>1</v>
      </c>
    </row>
    <row r="1469" spans="3:7" x14ac:dyDescent="0.15">
      <c r="C1469" s="43">
        <v>181</v>
      </c>
      <c r="D1469" s="42">
        <v>6.8627450980392163E-2</v>
      </c>
      <c r="E1469" s="42">
        <v>0.8125</v>
      </c>
      <c r="F1469" s="42">
        <v>6.8627450980392163E-2</v>
      </c>
      <c r="G1469">
        <v>1</v>
      </c>
    </row>
    <row r="1470" spans="3:7" x14ac:dyDescent="0.15">
      <c r="C1470" s="43">
        <v>182</v>
      </c>
      <c r="D1470" s="42">
        <v>6.9518716577540107E-2</v>
      </c>
      <c r="E1470" s="42">
        <v>0.8125</v>
      </c>
      <c r="F1470" s="42">
        <v>6.9518716577540107E-2</v>
      </c>
      <c r="G1470">
        <v>1</v>
      </c>
    </row>
    <row r="1471" spans="3:7" x14ac:dyDescent="0.15">
      <c r="C1471" s="43">
        <v>183</v>
      </c>
      <c r="D1471" s="42">
        <v>7.0409982174688052E-2</v>
      </c>
      <c r="E1471" s="42">
        <v>0.8125</v>
      </c>
      <c r="F1471" s="42">
        <v>7.0409982174688052E-2</v>
      </c>
      <c r="G1471">
        <v>1</v>
      </c>
    </row>
    <row r="1472" spans="3:7" x14ac:dyDescent="0.15">
      <c r="C1472" s="43">
        <v>184</v>
      </c>
      <c r="D1472" s="42">
        <v>7.0409982174688052E-2</v>
      </c>
      <c r="E1472" s="42">
        <v>0.8203125</v>
      </c>
      <c r="F1472" s="42">
        <v>7.0409982174688052E-2</v>
      </c>
      <c r="G1472">
        <v>1</v>
      </c>
    </row>
    <row r="1473" spans="3:7" x14ac:dyDescent="0.15">
      <c r="C1473" s="43">
        <v>185</v>
      </c>
      <c r="D1473" s="42">
        <v>7.130124777183601E-2</v>
      </c>
      <c r="E1473" s="42">
        <v>0.8203125</v>
      </c>
      <c r="F1473" s="42">
        <v>7.130124777183601E-2</v>
      </c>
      <c r="G1473">
        <v>1</v>
      </c>
    </row>
    <row r="1474" spans="3:7" x14ac:dyDescent="0.15">
      <c r="C1474" s="43">
        <v>186</v>
      </c>
      <c r="D1474" s="42">
        <v>7.2192513368983954E-2</v>
      </c>
      <c r="E1474" s="42">
        <v>0.8203125</v>
      </c>
      <c r="F1474" s="42">
        <v>7.2192513368983954E-2</v>
      </c>
      <c r="G1474">
        <v>1</v>
      </c>
    </row>
    <row r="1475" spans="3:7" x14ac:dyDescent="0.15">
      <c r="C1475" s="43">
        <v>187</v>
      </c>
      <c r="D1475" s="42">
        <v>7.3083778966131913E-2</v>
      </c>
      <c r="E1475" s="42">
        <v>0.8203125</v>
      </c>
      <c r="F1475" s="42">
        <v>7.3083778966131913E-2</v>
      </c>
      <c r="G1475">
        <v>1</v>
      </c>
    </row>
    <row r="1476" spans="3:7" x14ac:dyDescent="0.15">
      <c r="C1476" s="43">
        <v>188</v>
      </c>
      <c r="D1476" s="42">
        <v>7.3975044563279857E-2</v>
      </c>
      <c r="E1476" s="42">
        <v>0.8203125</v>
      </c>
      <c r="F1476" s="42">
        <v>7.3975044563279857E-2</v>
      </c>
      <c r="G1476">
        <v>1</v>
      </c>
    </row>
    <row r="1477" spans="3:7" x14ac:dyDescent="0.15">
      <c r="C1477" s="43">
        <v>189</v>
      </c>
      <c r="D1477" s="42">
        <v>7.3975044563279857E-2</v>
      </c>
      <c r="E1477" s="42">
        <v>0.828125</v>
      </c>
      <c r="F1477" s="42">
        <v>7.3975044563279857E-2</v>
      </c>
      <c r="G1477">
        <v>1</v>
      </c>
    </row>
    <row r="1478" spans="3:7" x14ac:dyDescent="0.15">
      <c r="C1478" s="43">
        <v>190</v>
      </c>
      <c r="D1478" s="42">
        <v>7.4866310160427801E-2</v>
      </c>
      <c r="E1478" s="42">
        <v>0.828125</v>
      </c>
      <c r="F1478" s="42">
        <v>7.4866310160427801E-2</v>
      </c>
      <c r="G1478">
        <v>1</v>
      </c>
    </row>
    <row r="1479" spans="3:7" x14ac:dyDescent="0.15">
      <c r="C1479" s="43">
        <v>191</v>
      </c>
      <c r="D1479" s="42">
        <v>7.575757575757576E-2</v>
      </c>
      <c r="E1479" s="42">
        <v>0.828125</v>
      </c>
      <c r="F1479" s="42">
        <v>7.575757575757576E-2</v>
      </c>
      <c r="G1479">
        <v>1</v>
      </c>
    </row>
    <row r="1480" spans="3:7" x14ac:dyDescent="0.15">
      <c r="C1480" s="43">
        <v>192</v>
      </c>
      <c r="D1480" s="42">
        <v>7.6648841354723704E-2</v>
      </c>
      <c r="E1480" s="42">
        <v>0.828125</v>
      </c>
      <c r="F1480" s="42">
        <v>7.6648841354723704E-2</v>
      </c>
      <c r="G1480">
        <v>1</v>
      </c>
    </row>
    <row r="1481" spans="3:7" x14ac:dyDescent="0.15">
      <c r="C1481" s="43">
        <v>193</v>
      </c>
      <c r="D1481" s="42">
        <v>7.6648841354723704E-2</v>
      </c>
      <c r="E1481" s="42">
        <v>0.8359375</v>
      </c>
      <c r="F1481" s="42">
        <v>7.6648841354723704E-2</v>
      </c>
      <c r="G1481">
        <v>1</v>
      </c>
    </row>
    <row r="1482" spans="3:7" x14ac:dyDescent="0.15">
      <c r="C1482" s="43">
        <v>194</v>
      </c>
      <c r="D1482" s="42">
        <v>7.6648841354723704E-2</v>
      </c>
      <c r="E1482" s="42">
        <v>0.84375</v>
      </c>
      <c r="F1482" s="42">
        <v>7.6648841354723704E-2</v>
      </c>
      <c r="G1482">
        <v>1</v>
      </c>
    </row>
    <row r="1483" spans="3:7" x14ac:dyDescent="0.15">
      <c r="C1483" s="43">
        <v>195</v>
      </c>
      <c r="D1483" s="42">
        <v>7.7540106951871662E-2</v>
      </c>
      <c r="E1483" s="42">
        <v>0.84375</v>
      </c>
      <c r="F1483" s="42">
        <v>7.7540106951871662E-2</v>
      </c>
      <c r="G1483">
        <v>1</v>
      </c>
    </row>
    <row r="1484" spans="3:7" x14ac:dyDescent="0.15">
      <c r="C1484" s="43">
        <v>196</v>
      </c>
      <c r="D1484" s="42">
        <v>7.8431372549019607E-2</v>
      </c>
      <c r="E1484" s="42">
        <v>0.84375</v>
      </c>
      <c r="F1484" s="42">
        <v>7.8431372549019607E-2</v>
      </c>
      <c r="G1484">
        <v>1</v>
      </c>
    </row>
    <row r="1485" spans="3:7" x14ac:dyDescent="0.15">
      <c r="C1485" s="43">
        <v>197</v>
      </c>
      <c r="D1485" s="42">
        <v>7.9322638146167551E-2</v>
      </c>
      <c r="E1485" s="42">
        <v>0.84375</v>
      </c>
      <c r="F1485" s="42">
        <v>7.9322638146167551E-2</v>
      </c>
      <c r="G1485">
        <v>1</v>
      </c>
    </row>
    <row r="1486" spans="3:7" x14ac:dyDescent="0.15">
      <c r="C1486" s="43">
        <v>198</v>
      </c>
      <c r="D1486" s="42">
        <v>7.9322638146167551E-2</v>
      </c>
      <c r="E1486" s="42">
        <v>0.8515625</v>
      </c>
      <c r="F1486" s="42">
        <v>7.9322638146167551E-2</v>
      </c>
      <c r="G1486">
        <v>1</v>
      </c>
    </row>
    <row r="1487" spans="3:7" x14ac:dyDescent="0.15">
      <c r="C1487" s="43">
        <v>199</v>
      </c>
      <c r="D1487" s="42">
        <v>8.0213903743315509E-2</v>
      </c>
      <c r="E1487" s="42">
        <v>0.8515625</v>
      </c>
      <c r="F1487" s="42">
        <v>8.0213903743315509E-2</v>
      </c>
      <c r="G1487">
        <v>1</v>
      </c>
    </row>
    <row r="1488" spans="3:7" x14ac:dyDescent="0.15">
      <c r="C1488" s="43">
        <v>200</v>
      </c>
      <c r="D1488" s="42">
        <v>8.1105169340463454E-2</v>
      </c>
      <c r="E1488" s="42">
        <v>0.8515625</v>
      </c>
      <c r="F1488" s="42">
        <v>8.1105169340463454E-2</v>
      </c>
      <c r="G1488">
        <v>1</v>
      </c>
    </row>
    <row r="1489" spans="3:7" x14ac:dyDescent="0.15">
      <c r="C1489" s="43">
        <v>201</v>
      </c>
      <c r="D1489" s="42">
        <v>8.1996434937611412E-2</v>
      </c>
      <c r="E1489" s="42">
        <v>0.8515625</v>
      </c>
      <c r="F1489" s="42">
        <v>8.1996434937611412E-2</v>
      </c>
      <c r="G1489">
        <v>1</v>
      </c>
    </row>
    <row r="1490" spans="3:7" x14ac:dyDescent="0.15">
      <c r="C1490" s="43">
        <v>202</v>
      </c>
      <c r="D1490" s="42">
        <v>8.2887700534759357E-2</v>
      </c>
      <c r="E1490" s="42">
        <v>0.8515625</v>
      </c>
      <c r="F1490" s="42">
        <v>8.2887700534759357E-2</v>
      </c>
      <c r="G1490">
        <v>1</v>
      </c>
    </row>
    <row r="1491" spans="3:7" x14ac:dyDescent="0.15">
      <c r="C1491" s="43">
        <v>203</v>
      </c>
      <c r="D1491" s="42">
        <v>8.3778966131907315E-2</v>
      </c>
      <c r="E1491" s="42">
        <v>0.8515625</v>
      </c>
      <c r="F1491" s="42">
        <v>8.3778966131907315E-2</v>
      </c>
      <c r="G1491">
        <v>1</v>
      </c>
    </row>
    <row r="1492" spans="3:7" x14ac:dyDescent="0.15">
      <c r="C1492" s="43">
        <v>204</v>
      </c>
      <c r="D1492" s="42">
        <v>8.4670231729055259E-2</v>
      </c>
      <c r="E1492" s="42">
        <v>0.8515625</v>
      </c>
      <c r="F1492" s="42">
        <v>8.4670231729055259E-2</v>
      </c>
      <c r="G1492">
        <v>1</v>
      </c>
    </row>
    <row r="1493" spans="3:7" x14ac:dyDescent="0.15">
      <c r="C1493" s="43">
        <v>205</v>
      </c>
      <c r="D1493" s="42">
        <v>8.5561497326203204E-2</v>
      </c>
      <c r="E1493" s="42">
        <v>0.8515625</v>
      </c>
      <c r="F1493" s="42">
        <v>8.5561497326203204E-2</v>
      </c>
      <c r="G1493">
        <v>1</v>
      </c>
    </row>
    <row r="1494" spans="3:7" x14ac:dyDescent="0.15">
      <c r="C1494" s="43">
        <v>206</v>
      </c>
      <c r="D1494" s="42">
        <v>8.6452762923351162E-2</v>
      </c>
      <c r="E1494" s="42">
        <v>0.8515625</v>
      </c>
      <c r="F1494" s="42">
        <v>8.6452762923351162E-2</v>
      </c>
      <c r="G1494">
        <v>1</v>
      </c>
    </row>
    <row r="1495" spans="3:7" x14ac:dyDescent="0.15">
      <c r="C1495" s="43">
        <v>207</v>
      </c>
      <c r="D1495" s="42">
        <v>8.7344028520499106E-2</v>
      </c>
      <c r="E1495" s="42">
        <v>0.8515625</v>
      </c>
      <c r="F1495" s="42">
        <v>8.7344028520499106E-2</v>
      </c>
      <c r="G1495">
        <v>1</v>
      </c>
    </row>
    <row r="1496" spans="3:7" x14ac:dyDescent="0.15">
      <c r="C1496" s="43">
        <v>208</v>
      </c>
      <c r="D1496" s="42">
        <v>8.8235294117647065E-2</v>
      </c>
      <c r="E1496" s="42">
        <v>0.8515625</v>
      </c>
      <c r="F1496" s="42">
        <v>8.8235294117647065E-2</v>
      </c>
      <c r="G1496">
        <v>1</v>
      </c>
    </row>
    <row r="1497" spans="3:7" x14ac:dyDescent="0.15">
      <c r="C1497" s="43">
        <v>209</v>
      </c>
      <c r="D1497" s="42">
        <v>8.9126559714795009E-2</v>
      </c>
      <c r="E1497" s="42">
        <v>0.8515625</v>
      </c>
      <c r="F1497" s="42">
        <v>8.9126559714795009E-2</v>
      </c>
      <c r="G1497">
        <v>1</v>
      </c>
    </row>
    <row r="1498" spans="3:7" x14ac:dyDescent="0.15">
      <c r="C1498" s="43">
        <v>210</v>
      </c>
      <c r="D1498" s="42">
        <v>9.0017825311942953E-2</v>
      </c>
      <c r="E1498" s="42">
        <v>0.8515625</v>
      </c>
      <c r="F1498" s="42">
        <v>9.0017825311942953E-2</v>
      </c>
      <c r="G1498">
        <v>1</v>
      </c>
    </row>
    <row r="1499" spans="3:7" x14ac:dyDescent="0.15">
      <c r="C1499" s="43">
        <v>211</v>
      </c>
      <c r="D1499" s="42">
        <v>9.0909090909090912E-2</v>
      </c>
      <c r="E1499" s="42">
        <v>0.8515625</v>
      </c>
      <c r="F1499" s="42">
        <v>9.0909090909090912E-2</v>
      </c>
      <c r="G1499">
        <v>1</v>
      </c>
    </row>
    <row r="1500" spans="3:7" x14ac:dyDescent="0.15">
      <c r="C1500" s="43">
        <v>212</v>
      </c>
      <c r="D1500" s="42">
        <v>9.0909090909090912E-2</v>
      </c>
      <c r="E1500" s="42">
        <v>0.859375</v>
      </c>
      <c r="F1500" s="42">
        <v>9.0909090909090912E-2</v>
      </c>
      <c r="G1500">
        <v>1</v>
      </c>
    </row>
    <row r="1501" spans="3:7" x14ac:dyDescent="0.15">
      <c r="C1501" s="43">
        <v>213</v>
      </c>
      <c r="D1501" s="42">
        <v>9.1800356506238856E-2</v>
      </c>
      <c r="E1501" s="42">
        <v>0.859375</v>
      </c>
      <c r="F1501" s="42">
        <v>9.1800356506238856E-2</v>
      </c>
      <c r="G1501">
        <v>1</v>
      </c>
    </row>
    <row r="1502" spans="3:7" x14ac:dyDescent="0.15">
      <c r="C1502" s="43">
        <v>214</v>
      </c>
      <c r="D1502" s="42">
        <v>9.2691622103386814E-2</v>
      </c>
      <c r="E1502" s="42">
        <v>0.859375</v>
      </c>
      <c r="F1502" s="42">
        <v>9.2691622103386814E-2</v>
      </c>
      <c r="G1502">
        <v>1</v>
      </c>
    </row>
    <row r="1503" spans="3:7" x14ac:dyDescent="0.15">
      <c r="C1503" s="43">
        <v>215</v>
      </c>
      <c r="D1503" s="42">
        <v>9.3582887700534759E-2</v>
      </c>
      <c r="E1503" s="42">
        <v>0.859375</v>
      </c>
      <c r="F1503" s="42">
        <v>9.3582887700534759E-2</v>
      </c>
      <c r="G1503">
        <v>1</v>
      </c>
    </row>
    <row r="1504" spans="3:7" x14ac:dyDescent="0.15">
      <c r="C1504" s="43">
        <v>216</v>
      </c>
      <c r="D1504" s="42">
        <v>9.4474153297682703E-2</v>
      </c>
      <c r="E1504" s="42">
        <v>0.859375</v>
      </c>
      <c r="F1504" s="42">
        <v>9.4474153297682703E-2</v>
      </c>
      <c r="G1504">
        <v>1</v>
      </c>
    </row>
    <row r="1505" spans="3:7" x14ac:dyDescent="0.15">
      <c r="C1505" s="43">
        <v>217</v>
      </c>
      <c r="D1505" s="42">
        <v>9.5365418894830661E-2</v>
      </c>
      <c r="E1505" s="42">
        <v>0.859375</v>
      </c>
      <c r="F1505" s="42">
        <v>9.5365418894830661E-2</v>
      </c>
      <c r="G1505">
        <v>1</v>
      </c>
    </row>
    <row r="1506" spans="3:7" x14ac:dyDescent="0.15">
      <c r="C1506" s="43">
        <v>218</v>
      </c>
      <c r="D1506" s="42">
        <v>9.6256684491978606E-2</v>
      </c>
      <c r="E1506" s="42">
        <v>0.859375</v>
      </c>
      <c r="F1506" s="42">
        <v>9.6256684491978606E-2</v>
      </c>
      <c r="G1506">
        <v>1</v>
      </c>
    </row>
    <row r="1507" spans="3:7" x14ac:dyDescent="0.15">
      <c r="C1507" s="43">
        <v>219</v>
      </c>
      <c r="D1507" s="42">
        <v>9.7147950089126564E-2</v>
      </c>
      <c r="E1507" s="42">
        <v>0.859375</v>
      </c>
      <c r="F1507" s="42">
        <v>9.7147950089126564E-2</v>
      </c>
      <c r="G1507">
        <v>1</v>
      </c>
    </row>
    <row r="1508" spans="3:7" x14ac:dyDescent="0.15">
      <c r="C1508" s="43">
        <v>220</v>
      </c>
      <c r="D1508" s="42">
        <v>9.8039215686274508E-2</v>
      </c>
      <c r="E1508" s="42">
        <v>0.859375</v>
      </c>
      <c r="F1508" s="42">
        <v>9.8039215686274508E-2</v>
      </c>
      <c r="G1508">
        <v>1</v>
      </c>
    </row>
    <row r="1509" spans="3:7" x14ac:dyDescent="0.15">
      <c r="C1509" s="43">
        <v>221</v>
      </c>
      <c r="D1509" s="42">
        <v>9.8930481283422467E-2</v>
      </c>
      <c r="E1509" s="42">
        <v>0.859375</v>
      </c>
      <c r="F1509" s="42">
        <v>9.8930481283422467E-2</v>
      </c>
      <c r="G1509">
        <v>1</v>
      </c>
    </row>
    <row r="1510" spans="3:7" x14ac:dyDescent="0.15">
      <c r="C1510" s="43">
        <v>222</v>
      </c>
      <c r="D1510" s="42">
        <v>9.9821746880570411E-2</v>
      </c>
      <c r="E1510" s="42">
        <v>0.859375</v>
      </c>
      <c r="F1510" s="42">
        <v>9.9821746880570411E-2</v>
      </c>
      <c r="G1510">
        <v>1</v>
      </c>
    </row>
    <row r="1511" spans="3:7" x14ac:dyDescent="0.15">
      <c r="C1511" s="43">
        <v>223</v>
      </c>
      <c r="D1511" s="42">
        <v>0.10071301247771836</v>
      </c>
      <c r="E1511" s="42">
        <v>0.859375</v>
      </c>
      <c r="F1511" s="42">
        <v>0.10071301247771836</v>
      </c>
      <c r="G1511">
        <v>1</v>
      </c>
    </row>
    <row r="1512" spans="3:7" x14ac:dyDescent="0.15">
      <c r="C1512" s="43">
        <v>224</v>
      </c>
      <c r="D1512" s="42">
        <v>0.10160427807486631</v>
      </c>
      <c r="E1512" s="42">
        <v>0.859375</v>
      </c>
      <c r="F1512" s="42">
        <v>0.10160427807486631</v>
      </c>
      <c r="G1512">
        <v>1</v>
      </c>
    </row>
    <row r="1513" spans="3:7" x14ac:dyDescent="0.15">
      <c r="C1513" s="43">
        <v>225</v>
      </c>
      <c r="D1513" s="42">
        <v>0.10249554367201426</v>
      </c>
      <c r="E1513" s="42">
        <v>0.859375</v>
      </c>
      <c r="F1513" s="42">
        <v>0.10249554367201426</v>
      </c>
      <c r="G1513">
        <v>1</v>
      </c>
    </row>
    <row r="1514" spans="3:7" x14ac:dyDescent="0.15">
      <c r="C1514" s="43">
        <v>226</v>
      </c>
      <c r="D1514" s="42">
        <v>0.10338680926916222</v>
      </c>
      <c r="E1514" s="42">
        <v>0.859375</v>
      </c>
      <c r="F1514" s="42">
        <v>0.10338680926916222</v>
      </c>
      <c r="G1514">
        <v>1</v>
      </c>
    </row>
    <row r="1515" spans="3:7" x14ac:dyDescent="0.15">
      <c r="C1515" s="43">
        <v>227</v>
      </c>
      <c r="D1515" s="42">
        <v>0.10427807486631016</v>
      </c>
      <c r="E1515" s="42">
        <v>0.859375</v>
      </c>
      <c r="F1515" s="42">
        <v>0.10427807486631016</v>
      </c>
      <c r="G1515">
        <v>1</v>
      </c>
    </row>
    <row r="1516" spans="3:7" x14ac:dyDescent="0.15">
      <c r="C1516" s="43">
        <v>228</v>
      </c>
      <c r="D1516" s="42">
        <v>0.10516934046345811</v>
      </c>
      <c r="E1516" s="42">
        <v>0.859375</v>
      </c>
      <c r="F1516" s="42">
        <v>0.10516934046345811</v>
      </c>
      <c r="G1516">
        <v>1</v>
      </c>
    </row>
    <row r="1517" spans="3:7" x14ac:dyDescent="0.15">
      <c r="C1517" s="43">
        <v>229</v>
      </c>
      <c r="D1517" s="42">
        <v>0.10606060606060606</v>
      </c>
      <c r="E1517" s="42">
        <v>0.859375</v>
      </c>
      <c r="F1517" s="42">
        <v>0.10606060606060606</v>
      </c>
      <c r="G1517">
        <v>1</v>
      </c>
    </row>
    <row r="1518" spans="3:7" x14ac:dyDescent="0.15">
      <c r="C1518" s="43">
        <v>230</v>
      </c>
      <c r="D1518" s="42">
        <v>0.10695187165775401</v>
      </c>
      <c r="E1518" s="42">
        <v>0.859375</v>
      </c>
      <c r="F1518" s="42">
        <v>0.10695187165775401</v>
      </c>
      <c r="G1518">
        <v>1</v>
      </c>
    </row>
    <row r="1519" spans="3:7" x14ac:dyDescent="0.15">
      <c r="C1519" s="43">
        <v>231</v>
      </c>
      <c r="D1519" s="42">
        <v>0.10695187165775401</v>
      </c>
      <c r="E1519" s="42">
        <v>0.8671875</v>
      </c>
      <c r="F1519" s="42">
        <v>0.10695187165775401</v>
      </c>
      <c r="G1519">
        <v>1</v>
      </c>
    </row>
    <row r="1520" spans="3:7" x14ac:dyDescent="0.15">
      <c r="C1520" s="43">
        <v>232</v>
      </c>
      <c r="D1520" s="42">
        <v>0.10784313725490197</v>
      </c>
      <c r="E1520" s="42">
        <v>0.8671875</v>
      </c>
      <c r="F1520" s="42">
        <v>0.10784313725490197</v>
      </c>
      <c r="G1520">
        <v>1</v>
      </c>
    </row>
    <row r="1521" spans="3:7" x14ac:dyDescent="0.15">
      <c r="C1521" s="43">
        <v>233</v>
      </c>
      <c r="D1521" s="42">
        <v>0.10873440285204991</v>
      </c>
      <c r="E1521" s="42">
        <v>0.8671875</v>
      </c>
      <c r="F1521" s="42">
        <v>0.10873440285204991</v>
      </c>
      <c r="G1521">
        <v>1</v>
      </c>
    </row>
    <row r="1522" spans="3:7" x14ac:dyDescent="0.15">
      <c r="C1522" s="43">
        <v>234</v>
      </c>
      <c r="D1522" s="42">
        <v>0.10962566844919786</v>
      </c>
      <c r="E1522" s="42">
        <v>0.8671875</v>
      </c>
      <c r="F1522" s="42">
        <v>0.10962566844919786</v>
      </c>
      <c r="G1522">
        <v>1</v>
      </c>
    </row>
    <row r="1523" spans="3:7" x14ac:dyDescent="0.15">
      <c r="C1523" s="43">
        <v>235</v>
      </c>
      <c r="D1523" s="42">
        <v>0.11051693404634581</v>
      </c>
      <c r="E1523" s="42">
        <v>0.8671875</v>
      </c>
      <c r="F1523" s="42">
        <v>0.11051693404634581</v>
      </c>
      <c r="G1523">
        <v>1</v>
      </c>
    </row>
    <row r="1524" spans="3:7" x14ac:dyDescent="0.15">
      <c r="C1524" s="43">
        <v>236</v>
      </c>
      <c r="D1524" s="42">
        <v>0.11140819964349376</v>
      </c>
      <c r="E1524" s="42">
        <v>0.8671875</v>
      </c>
      <c r="F1524" s="42">
        <v>0.11140819964349376</v>
      </c>
      <c r="G1524">
        <v>1</v>
      </c>
    </row>
    <row r="1525" spans="3:7" x14ac:dyDescent="0.15">
      <c r="C1525" s="43">
        <v>237</v>
      </c>
      <c r="D1525" s="42">
        <v>0.11229946524064172</v>
      </c>
      <c r="E1525" s="42">
        <v>0.8671875</v>
      </c>
      <c r="F1525" s="42">
        <v>0.11229946524064172</v>
      </c>
      <c r="G1525">
        <v>1</v>
      </c>
    </row>
    <row r="1526" spans="3:7" x14ac:dyDescent="0.15">
      <c r="C1526" s="43">
        <v>238</v>
      </c>
      <c r="D1526" s="42">
        <v>0.11319073083778966</v>
      </c>
      <c r="E1526" s="42">
        <v>0.8671875</v>
      </c>
      <c r="F1526" s="42">
        <v>0.11319073083778966</v>
      </c>
      <c r="G1526">
        <v>1</v>
      </c>
    </row>
    <row r="1527" spans="3:7" x14ac:dyDescent="0.15">
      <c r="C1527" s="43">
        <v>239</v>
      </c>
      <c r="D1527" s="42">
        <v>0.1140819964349376</v>
      </c>
      <c r="E1527" s="42">
        <v>0.8671875</v>
      </c>
      <c r="F1527" s="42">
        <v>0.1140819964349376</v>
      </c>
      <c r="G1527">
        <v>1</v>
      </c>
    </row>
    <row r="1528" spans="3:7" x14ac:dyDescent="0.15">
      <c r="C1528" s="43">
        <v>240</v>
      </c>
      <c r="D1528" s="42">
        <v>0.11497326203208556</v>
      </c>
      <c r="E1528" s="42">
        <v>0.8671875</v>
      </c>
      <c r="F1528" s="42">
        <v>0.11497326203208556</v>
      </c>
      <c r="G1528">
        <v>1</v>
      </c>
    </row>
    <row r="1529" spans="3:7" x14ac:dyDescent="0.15">
      <c r="C1529" s="43">
        <v>241</v>
      </c>
      <c r="D1529" s="42">
        <v>0.11586452762923351</v>
      </c>
      <c r="E1529" s="42">
        <v>0.8671875</v>
      </c>
      <c r="F1529" s="42">
        <v>0.11586452762923351</v>
      </c>
      <c r="G1529">
        <v>1</v>
      </c>
    </row>
    <row r="1530" spans="3:7" x14ac:dyDescent="0.15">
      <c r="C1530" s="43">
        <v>242</v>
      </c>
      <c r="D1530" s="42">
        <v>0.11675579322638147</v>
      </c>
      <c r="E1530" s="42">
        <v>0.8671875</v>
      </c>
      <c r="F1530" s="42">
        <v>0.11675579322638147</v>
      </c>
      <c r="G1530">
        <v>1</v>
      </c>
    </row>
    <row r="1531" spans="3:7" x14ac:dyDescent="0.15">
      <c r="C1531" s="43">
        <v>243</v>
      </c>
      <c r="D1531" s="42">
        <v>0.11764705882352941</v>
      </c>
      <c r="E1531" s="42">
        <v>0.8671875</v>
      </c>
      <c r="F1531" s="42">
        <v>0.11764705882352941</v>
      </c>
      <c r="G1531">
        <v>1</v>
      </c>
    </row>
    <row r="1532" spans="3:7" x14ac:dyDescent="0.15">
      <c r="C1532" s="43">
        <v>244</v>
      </c>
      <c r="D1532" s="42">
        <v>0.11853832442067737</v>
      </c>
      <c r="E1532" s="42">
        <v>0.8671875</v>
      </c>
      <c r="F1532" s="42">
        <v>0.11853832442067737</v>
      </c>
      <c r="G1532">
        <v>1</v>
      </c>
    </row>
    <row r="1533" spans="3:7" x14ac:dyDescent="0.15">
      <c r="C1533" s="43">
        <v>245</v>
      </c>
      <c r="D1533" s="42">
        <v>0.11942959001782531</v>
      </c>
      <c r="E1533" s="42">
        <v>0.8671875</v>
      </c>
      <c r="F1533" s="42">
        <v>0.11942959001782531</v>
      </c>
      <c r="G1533">
        <v>1</v>
      </c>
    </row>
    <row r="1534" spans="3:7" x14ac:dyDescent="0.15">
      <c r="C1534" s="43">
        <v>246</v>
      </c>
      <c r="D1534" s="42">
        <v>0.12032085561497326</v>
      </c>
      <c r="E1534" s="42">
        <v>0.8671875</v>
      </c>
      <c r="F1534" s="42">
        <v>0.12032085561497326</v>
      </c>
      <c r="G1534">
        <v>1</v>
      </c>
    </row>
    <row r="1535" spans="3:7" x14ac:dyDescent="0.15">
      <c r="C1535" s="43">
        <v>247</v>
      </c>
      <c r="D1535" s="42">
        <v>0.12121212121212122</v>
      </c>
      <c r="E1535" s="42">
        <v>0.8671875</v>
      </c>
      <c r="F1535" s="42">
        <v>0.12121212121212122</v>
      </c>
      <c r="G1535">
        <v>1</v>
      </c>
    </row>
    <row r="1536" spans="3:7" x14ac:dyDescent="0.15">
      <c r="C1536" s="43">
        <v>248</v>
      </c>
      <c r="D1536" s="42">
        <v>0.12210338680926916</v>
      </c>
      <c r="E1536" s="42">
        <v>0.8671875</v>
      </c>
      <c r="F1536" s="42">
        <v>0.12210338680926916</v>
      </c>
      <c r="G1536">
        <v>1</v>
      </c>
    </row>
    <row r="1537" spans="3:7" x14ac:dyDescent="0.15">
      <c r="C1537" s="43">
        <v>249</v>
      </c>
      <c r="D1537" s="42">
        <v>0.12210338680926916</v>
      </c>
      <c r="E1537" s="42">
        <v>0.875</v>
      </c>
      <c r="F1537" s="42">
        <v>0.12210338680926916</v>
      </c>
      <c r="G1537">
        <v>1</v>
      </c>
    </row>
    <row r="1538" spans="3:7" x14ac:dyDescent="0.15">
      <c r="C1538" s="43">
        <v>250</v>
      </c>
      <c r="D1538" s="42">
        <v>0.12299465240641712</v>
      </c>
      <c r="E1538" s="42">
        <v>0.875</v>
      </c>
      <c r="F1538" s="42">
        <v>0.12299465240641712</v>
      </c>
      <c r="G1538">
        <v>1</v>
      </c>
    </row>
    <row r="1539" spans="3:7" x14ac:dyDescent="0.15">
      <c r="C1539" s="43">
        <v>251</v>
      </c>
      <c r="D1539" s="42">
        <v>0.12388591800356506</v>
      </c>
      <c r="E1539" s="42">
        <v>0.875</v>
      </c>
      <c r="F1539" s="42">
        <v>0.12388591800356506</v>
      </c>
      <c r="G1539">
        <v>1</v>
      </c>
    </row>
    <row r="1540" spans="3:7" x14ac:dyDescent="0.15">
      <c r="C1540" s="43">
        <v>252</v>
      </c>
      <c r="D1540" s="42">
        <v>0.12477718360071301</v>
      </c>
      <c r="E1540" s="42">
        <v>0.875</v>
      </c>
      <c r="F1540" s="42">
        <v>0.12477718360071301</v>
      </c>
      <c r="G1540">
        <v>1</v>
      </c>
    </row>
    <row r="1541" spans="3:7" x14ac:dyDescent="0.15">
      <c r="C1541" s="43">
        <v>253</v>
      </c>
      <c r="D1541" s="42">
        <v>0.12566844919786097</v>
      </c>
      <c r="E1541" s="42">
        <v>0.875</v>
      </c>
      <c r="F1541" s="42">
        <v>0.12566844919786097</v>
      </c>
      <c r="G1541">
        <v>1</v>
      </c>
    </row>
    <row r="1542" spans="3:7" x14ac:dyDescent="0.15">
      <c r="C1542" s="43">
        <v>254</v>
      </c>
      <c r="D1542" s="42">
        <v>0.12655971479500891</v>
      </c>
      <c r="E1542" s="42">
        <v>0.875</v>
      </c>
      <c r="F1542" s="42">
        <v>0.12655971479500891</v>
      </c>
      <c r="G1542">
        <v>1</v>
      </c>
    </row>
    <row r="1543" spans="3:7" x14ac:dyDescent="0.15">
      <c r="C1543" s="43">
        <v>255</v>
      </c>
      <c r="D1543" s="42">
        <v>0.12745098039215685</v>
      </c>
      <c r="E1543" s="42">
        <v>0.875</v>
      </c>
      <c r="F1543" s="42">
        <v>0.12745098039215685</v>
      </c>
      <c r="G1543">
        <v>1</v>
      </c>
    </row>
    <row r="1544" spans="3:7" x14ac:dyDescent="0.15">
      <c r="C1544" s="43">
        <v>256</v>
      </c>
      <c r="D1544" s="42">
        <v>0.12745098039215685</v>
      </c>
      <c r="E1544" s="42">
        <v>0.8828125</v>
      </c>
      <c r="F1544" s="42">
        <v>0.12745098039215685</v>
      </c>
      <c r="G1544">
        <v>1</v>
      </c>
    </row>
    <row r="1545" spans="3:7" x14ac:dyDescent="0.15">
      <c r="C1545" s="43">
        <v>257</v>
      </c>
      <c r="D1545" s="42">
        <v>0.12834224598930483</v>
      </c>
      <c r="E1545" s="42">
        <v>0.8828125</v>
      </c>
      <c r="F1545" s="42">
        <v>0.12834224598930483</v>
      </c>
      <c r="G1545">
        <v>1</v>
      </c>
    </row>
    <row r="1546" spans="3:7" x14ac:dyDescent="0.15">
      <c r="C1546" s="43">
        <v>258</v>
      </c>
      <c r="D1546" s="42">
        <v>0.12923351158645277</v>
      </c>
      <c r="E1546" s="42">
        <v>0.8828125</v>
      </c>
      <c r="F1546" s="42">
        <v>0.12923351158645277</v>
      </c>
      <c r="G1546">
        <v>1</v>
      </c>
    </row>
    <row r="1547" spans="3:7" x14ac:dyDescent="0.15">
      <c r="C1547" s="43">
        <v>259</v>
      </c>
      <c r="D1547" s="42">
        <v>0.13012477718360071</v>
      </c>
      <c r="E1547" s="42">
        <v>0.8828125</v>
      </c>
      <c r="F1547" s="42">
        <v>0.13012477718360071</v>
      </c>
      <c r="G1547">
        <v>1</v>
      </c>
    </row>
    <row r="1548" spans="3:7" x14ac:dyDescent="0.15">
      <c r="C1548" s="43">
        <v>260</v>
      </c>
      <c r="D1548" s="42">
        <v>0.13101604278074866</v>
      </c>
      <c r="E1548" s="42">
        <v>0.8828125</v>
      </c>
      <c r="F1548" s="42">
        <v>0.13101604278074866</v>
      </c>
      <c r="G1548">
        <v>1</v>
      </c>
    </row>
    <row r="1549" spans="3:7" x14ac:dyDescent="0.15">
      <c r="C1549" s="43">
        <v>261</v>
      </c>
      <c r="D1549" s="42">
        <v>0.1319073083778966</v>
      </c>
      <c r="E1549" s="42">
        <v>0.8828125</v>
      </c>
      <c r="F1549" s="42">
        <v>0.1319073083778966</v>
      </c>
      <c r="G1549">
        <v>1</v>
      </c>
    </row>
    <row r="1550" spans="3:7" x14ac:dyDescent="0.15">
      <c r="C1550" s="43">
        <v>262</v>
      </c>
      <c r="D1550" s="42">
        <v>0.13279857397504458</v>
      </c>
      <c r="E1550" s="42">
        <v>0.8828125</v>
      </c>
      <c r="F1550" s="42">
        <v>0.13279857397504458</v>
      </c>
      <c r="G1550">
        <v>1</v>
      </c>
    </row>
    <row r="1551" spans="3:7" x14ac:dyDescent="0.15">
      <c r="C1551" s="43">
        <v>263</v>
      </c>
      <c r="D1551" s="42">
        <v>0.13368983957219252</v>
      </c>
      <c r="E1551" s="42">
        <v>0.8828125</v>
      </c>
      <c r="F1551" s="42">
        <v>0.13368983957219252</v>
      </c>
      <c r="G1551">
        <v>1</v>
      </c>
    </row>
    <row r="1552" spans="3:7" x14ac:dyDescent="0.15">
      <c r="C1552" s="43">
        <v>264</v>
      </c>
      <c r="D1552" s="42">
        <v>0.13458110516934046</v>
      </c>
      <c r="E1552" s="42">
        <v>0.8828125</v>
      </c>
      <c r="F1552" s="42">
        <v>0.13458110516934046</v>
      </c>
      <c r="G1552">
        <v>1</v>
      </c>
    </row>
    <row r="1553" spans="3:7" x14ac:dyDescent="0.15">
      <c r="C1553" s="43">
        <v>265</v>
      </c>
      <c r="D1553" s="42">
        <v>0.13547237076648841</v>
      </c>
      <c r="E1553" s="42">
        <v>0.8828125</v>
      </c>
      <c r="F1553" s="42">
        <v>0.13547237076648841</v>
      </c>
      <c r="G1553">
        <v>1</v>
      </c>
    </row>
    <row r="1554" spans="3:7" x14ac:dyDescent="0.15">
      <c r="C1554" s="43">
        <v>266</v>
      </c>
      <c r="D1554" s="42">
        <v>0.13547237076648841</v>
      </c>
      <c r="E1554" s="42">
        <v>0.890625</v>
      </c>
      <c r="F1554" s="42">
        <v>0.13547237076648841</v>
      </c>
      <c r="G1554">
        <v>1</v>
      </c>
    </row>
    <row r="1555" spans="3:7" x14ac:dyDescent="0.15">
      <c r="C1555" s="43">
        <v>267</v>
      </c>
      <c r="D1555" s="42">
        <v>0.13636363636363635</v>
      </c>
      <c r="E1555" s="42">
        <v>0.890625</v>
      </c>
      <c r="F1555" s="42">
        <v>0.13636363636363635</v>
      </c>
      <c r="G1555">
        <v>1</v>
      </c>
    </row>
    <row r="1556" spans="3:7" x14ac:dyDescent="0.15">
      <c r="C1556" s="43">
        <v>268</v>
      </c>
      <c r="D1556" s="42">
        <v>0.13725490196078433</v>
      </c>
      <c r="E1556" s="42">
        <v>0.890625</v>
      </c>
      <c r="F1556" s="42">
        <v>0.13725490196078433</v>
      </c>
      <c r="G1556">
        <v>1</v>
      </c>
    </row>
    <row r="1557" spans="3:7" x14ac:dyDescent="0.15">
      <c r="C1557" s="43">
        <v>269</v>
      </c>
      <c r="D1557" s="42">
        <v>0.13814616755793227</v>
      </c>
      <c r="E1557" s="42">
        <v>0.890625</v>
      </c>
      <c r="F1557" s="42">
        <v>0.13814616755793227</v>
      </c>
      <c r="G1557">
        <v>1</v>
      </c>
    </row>
    <row r="1558" spans="3:7" x14ac:dyDescent="0.15">
      <c r="C1558" s="43">
        <v>270</v>
      </c>
      <c r="D1558" s="42">
        <v>0.13903743315508021</v>
      </c>
      <c r="E1558" s="42">
        <v>0.890625</v>
      </c>
      <c r="F1558" s="42">
        <v>0.13903743315508021</v>
      </c>
      <c r="G1558">
        <v>1</v>
      </c>
    </row>
    <row r="1559" spans="3:7" x14ac:dyDescent="0.15">
      <c r="C1559" s="43">
        <v>271</v>
      </c>
      <c r="D1559" s="42">
        <v>0.13903743315508021</v>
      </c>
      <c r="E1559" s="42">
        <v>0.8984375</v>
      </c>
      <c r="F1559" s="42">
        <v>0.13903743315508021</v>
      </c>
      <c r="G1559">
        <v>1</v>
      </c>
    </row>
    <row r="1560" spans="3:7" x14ac:dyDescent="0.15">
      <c r="C1560" s="43">
        <v>272</v>
      </c>
      <c r="D1560" s="42">
        <v>0.13992869875222816</v>
      </c>
      <c r="E1560" s="42">
        <v>0.8984375</v>
      </c>
      <c r="F1560" s="42">
        <v>0.13992869875222816</v>
      </c>
      <c r="G1560">
        <v>1</v>
      </c>
    </row>
    <row r="1561" spans="3:7" x14ac:dyDescent="0.15">
      <c r="C1561" s="43">
        <v>273</v>
      </c>
      <c r="D1561" s="42">
        <v>0.1408199643493761</v>
      </c>
      <c r="E1561" s="42">
        <v>0.8984375</v>
      </c>
      <c r="F1561" s="42">
        <v>0.1408199643493761</v>
      </c>
      <c r="G1561">
        <v>1</v>
      </c>
    </row>
    <row r="1562" spans="3:7" x14ac:dyDescent="0.15">
      <c r="C1562" s="43">
        <v>274</v>
      </c>
      <c r="D1562" s="42">
        <v>0.14171122994652408</v>
      </c>
      <c r="E1562" s="42">
        <v>0.8984375</v>
      </c>
      <c r="F1562" s="42">
        <v>0.14171122994652408</v>
      </c>
      <c r="G1562">
        <v>1</v>
      </c>
    </row>
    <row r="1563" spans="3:7" x14ac:dyDescent="0.15">
      <c r="C1563" s="43">
        <v>275</v>
      </c>
      <c r="D1563" s="42">
        <v>0.14260249554367202</v>
      </c>
      <c r="E1563" s="42">
        <v>0.8984375</v>
      </c>
      <c r="F1563" s="42">
        <v>0.14260249554367202</v>
      </c>
      <c r="G1563">
        <v>1</v>
      </c>
    </row>
    <row r="1564" spans="3:7" x14ac:dyDescent="0.15">
      <c r="C1564" s="43">
        <v>276</v>
      </c>
      <c r="D1564" s="42">
        <v>0.14260249554367202</v>
      </c>
      <c r="E1564" s="42">
        <v>0.90625</v>
      </c>
      <c r="F1564" s="42">
        <v>0.14260249554367202</v>
      </c>
      <c r="G1564">
        <v>1</v>
      </c>
    </row>
    <row r="1565" spans="3:7" x14ac:dyDescent="0.15">
      <c r="C1565" s="43">
        <v>277</v>
      </c>
      <c r="D1565" s="42">
        <v>0.14349376114081996</v>
      </c>
      <c r="E1565" s="42">
        <v>0.90625</v>
      </c>
      <c r="F1565" s="42">
        <v>0.14349376114081996</v>
      </c>
      <c r="G1565">
        <v>1</v>
      </c>
    </row>
    <row r="1566" spans="3:7" x14ac:dyDescent="0.15">
      <c r="C1566" s="43">
        <v>278</v>
      </c>
      <c r="D1566" s="42">
        <v>0.14438502673796791</v>
      </c>
      <c r="E1566" s="42">
        <v>0.90625</v>
      </c>
      <c r="F1566" s="42">
        <v>0.14438502673796791</v>
      </c>
      <c r="G1566">
        <v>1</v>
      </c>
    </row>
    <row r="1567" spans="3:7" x14ac:dyDescent="0.15">
      <c r="C1567" s="43">
        <v>279</v>
      </c>
      <c r="D1567" s="42">
        <v>0.14527629233511585</v>
      </c>
      <c r="E1567" s="42">
        <v>0.90625</v>
      </c>
      <c r="F1567" s="42">
        <v>0.14527629233511585</v>
      </c>
      <c r="G1567">
        <v>1</v>
      </c>
    </row>
    <row r="1568" spans="3:7" x14ac:dyDescent="0.15">
      <c r="C1568" s="43">
        <v>280</v>
      </c>
      <c r="D1568" s="42">
        <v>0.14616755793226383</v>
      </c>
      <c r="E1568" s="42">
        <v>0.90625</v>
      </c>
      <c r="F1568" s="42">
        <v>0.14616755793226383</v>
      </c>
      <c r="G1568">
        <v>1</v>
      </c>
    </row>
    <row r="1569" spans="3:7" x14ac:dyDescent="0.15">
      <c r="C1569" s="43">
        <v>281</v>
      </c>
      <c r="D1569" s="42">
        <v>0.14705882352941177</v>
      </c>
      <c r="E1569" s="42">
        <v>0.90625</v>
      </c>
      <c r="F1569" s="42">
        <v>0.14705882352941177</v>
      </c>
      <c r="G1569">
        <v>1</v>
      </c>
    </row>
    <row r="1570" spans="3:7" x14ac:dyDescent="0.15">
      <c r="C1570" s="43">
        <v>282</v>
      </c>
      <c r="D1570" s="42">
        <v>0.14705882352941177</v>
      </c>
      <c r="E1570" s="42">
        <v>0.9140625</v>
      </c>
      <c r="F1570" s="42">
        <v>0.14705882352941177</v>
      </c>
      <c r="G1570">
        <v>1</v>
      </c>
    </row>
    <row r="1571" spans="3:7" x14ac:dyDescent="0.15">
      <c r="C1571" s="43">
        <v>283</v>
      </c>
      <c r="D1571" s="42">
        <v>0.14795008912655971</v>
      </c>
      <c r="E1571" s="42">
        <v>0.9140625</v>
      </c>
      <c r="F1571" s="42">
        <v>0.14795008912655971</v>
      </c>
      <c r="G1571">
        <v>1</v>
      </c>
    </row>
    <row r="1572" spans="3:7" x14ac:dyDescent="0.15">
      <c r="C1572" s="43">
        <v>284</v>
      </c>
      <c r="D1572" s="42">
        <v>0.14884135472370766</v>
      </c>
      <c r="E1572" s="42">
        <v>0.9140625</v>
      </c>
      <c r="F1572" s="42">
        <v>0.14884135472370766</v>
      </c>
      <c r="G1572">
        <v>1</v>
      </c>
    </row>
    <row r="1573" spans="3:7" x14ac:dyDescent="0.15">
      <c r="C1573" s="43">
        <v>285</v>
      </c>
      <c r="D1573" s="42">
        <v>0.1497326203208556</v>
      </c>
      <c r="E1573" s="42">
        <v>0.9140625</v>
      </c>
      <c r="F1573" s="42">
        <v>0.1497326203208556</v>
      </c>
      <c r="G1573">
        <v>1</v>
      </c>
    </row>
    <row r="1574" spans="3:7" x14ac:dyDescent="0.15">
      <c r="C1574" s="43">
        <v>286</v>
      </c>
      <c r="D1574" s="42">
        <v>0.15062388591800357</v>
      </c>
      <c r="E1574" s="42">
        <v>0.9140625</v>
      </c>
      <c r="F1574" s="42">
        <v>0.15062388591800357</v>
      </c>
      <c r="G1574">
        <v>1</v>
      </c>
    </row>
    <row r="1575" spans="3:7" x14ac:dyDescent="0.15">
      <c r="C1575" s="43">
        <v>287</v>
      </c>
      <c r="D1575" s="42">
        <v>0.15151515151515152</v>
      </c>
      <c r="E1575" s="42">
        <v>0.9140625</v>
      </c>
      <c r="F1575" s="42">
        <v>0.15151515151515152</v>
      </c>
      <c r="G1575">
        <v>1</v>
      </c>
    </row>
    <row r="1576" spans="3:7" x14ac:dyDescent="0.15">
      <c r="C1576" s="43">
        <v>288</v>
      </c>
      <c r="D1576" s="42">
        <v>0.15240641711229946</v>
      </c>
      <c r="E1576" s="42">
        <v>0.9140625</v>
      </c>
      <c r="F1576" s="42">
        <v>0.15240641711229946</v>
      </c>
      <c r="G1576">
        <v>1</v>
      </c>
    </row>
    <row r="1577" spans="3:7" x14ac:dyDescent="0.15">
      <c r="C1577" s="43">
        <v>289</v>
      </c>
      <c r="D1577" s="42">
        <v>0.15329768270944741</v>
      </c>
      <c r="E1577" s="42">
        <v>0.9140625</v>
      </c>
      <c r="F1577" s="42">
        <v>0.15329768270944741</v>
      </c>
      <c r="G1577">
        <v>1</v>
      </c>
    </row>
    <row r="1578" spans="3:7" x14ac:dyDescent="0.15">
      <c r="C1578" s="43">
        <v>290</v>
      </c>
      <c r="D1578" s="42">
        <v>0.15418894830659535</v>
      </c>
      <c r="E1578" s="42">
        <v>0.9140625</v>
      </c>
      <c r="F1578" s="42">
        <v>0.15418894830659535</v>
      </c>
      <c r="G1578">
        <v>1</v>
      </c>
    </row>
    <row r="1579" spans="3:7" x14ac:dyDescent="0.15">
      <c r="C1579" s="43">
        <v>291</v>
      </c>
      <c r="D1579" s="42">
        <v>0.15508021390374332</v>
      </c>
      <c r="E1579" s="42">
        <v>0.9140625</v>
      </c>
      <c r="F1579" s="42">
        <v>0.15508021390374332</v>
      </c>
      <c r="G1579">
        <v>1</v>
      </c>
    </row>
    <row r="1580" spans="3:7" x14ac:dyDescent="0.15">
      <c r="C1580" s="43">
        <v>292</v>
      </c>
      <c r="D1580" s="42">
        <v>0.15597147950089127</v>
      </c>
      <c r="E1580" s="42">
        <v>0.9140625</v>
      </c>
      <c r="F1580" s="42">
        <v>0.15597147950089127</v>
      </c>
      <c r="G1580">
        <v>1</v>
      </c>
    </row>
    <row r="1581" spans="3:7" x14ac:dyDescent="0.15">
      <c r="C1581" s="43">
        <v>293</v>
      </c>
      <c r="D1581" s="42">
        <v>0.15686274509803921</v>
      </c>
      <c r="E1581" s="42">
        <v>0.9140625</v>
      </c>
      <c r="F1581" s="42">
        <v>0.15686274509803921</v>
      </c>
      <c r="G1581">
        <v>1</v>
      </c>
    </row>
    <row r="1582" spans="3:7" x14ac:dyDescent="0.15">
      <c r="C1582" s="43">
        <v>294</v>
      </c>
      <c r="D1582" s="42">
        <v>0.15775401069518716</v>
      </c>
      <c r="E1582" s="42">
        <v>0.9140625</v>
      </c>
      <c r="F1582" s="42">
        <v>0.15775401069518716</v>
      </c>
      <c r="G1582">
        <v>1</v>
      </c>
    </row>
    <row r="1583" spans="3:7" x14ac:dyDescent="0.15">
      <c r="C1583" s="43">
        <v>295</v>
      </c>
      <c r="D1583" s="42">
        <v>0.1586452762923351</v>
      </c>
      <c r="E1583" s="42">
        <v>0.9140625</v>
      </c>
      <c r="F1583" s="42">
        <v>0.1586452762923351</v>
      </c>
      <c r="G1583">
        <v>1</v>
      </c>
    </row>
    <row r="1584" spans="3:7" x14ac:dyDescent="0.15">
      <c r="C1584" s="43">
        <v>296</v>
      </c>
      <c r="D1584" s="42">
        <v>0.15953654188948307</v>
      </c>
      <c r="E1584" s="42">
        <v>0.9140625</v>
      </c>
      <c r="F1584" s="42">
        <v>0.15953654188948307</v>
      </c>
      <c r="G1584">
        <v>1</v>
      </c>
    </row>
    <row r="1585" spans="3:7" x14ac:dyDescent="0.15">
      <c r="C1585" s="43">
        <v>297</v>
      </c>
      <c r="D1585" s="42">
        <v>0.16131907308377896</v>
      </c>
      <c r="E1585" s="42">
        <v>0.9140625</v>
      </c>
      <c r="F1585" s="42">
        <v>0.16131907308377896</v>
      </c>
      <c r="G1585">
        <v>1</v>
      </c>
    </row>
    <row r="1586" spans="3:7" x14ac:dyDescent="0.15">
      <c r="C1586" s="43">
        <v>298</v>
      </c>
      <c r="D1586" s="42">
        <v>0.16221033868092691</v>
      </c>
      <c r="E1586" s="42">
        <v>0.9140625</v>
      </c>
      <c r="F1586" s="42">
        <v>0.16221033868092691</v>
      </c>
      <c r="G1586">
        <v>1</v>
      </c>
    </row>
    <row r="1587" spans="3:7" x14ac:dyDescent="0.15">
      <c r="C1587" s="43">
        <v>299</v>
      </c>
      <c r="D1587" s="42">
        <v>0.16310160427807488</v>
      </c>
      <c r="E1587" s="42">
        <v>0.9140625</v>
      </c>
      <c r="F1587" s="42">
        <v>0.16310160427807488</v>
      </c>
      <c r="G1587">
        <v>1</v>
      </c>
    </row>
    <row r="1588" spans="3:7" x14ac:dyDescent="0.15">
      <c r="C1588" s="43">
        <v>300</v>
      </c>
      <c r="D1588" s="42">
        <v>0.16399286987522282</v>
      </c>
      <c r="E1588" s="42">
        <v>0.9140625</v>
      </c>
      <c r="F1588" s="42">
        <v>0.16399286987522282</v>
      </c>
      <c r="G1588">
        <v>1</v>
      </c>
    </row>
    <row r="1589" spans="3:7" x14ac:dyDescent="0.15">
      <c r="C1589" s="43">
        <v>301</v>
      </c>
      <c r="D1589" s="42">
        <v>0.16488413547237077</v>
      </c>
      <c r="E1589" s="42">
        <v>0.9140625</v>
      </c>
      <c r="F1589" s="42">
        <v>0.16488413547237077</v>
      </c>
      <c r="G1589">
        <v>1</v>
      </c>
    </row>
    <row r="1590" spans="3:7" x14ac:dyDescent="0.15">
      <c r="C1590" s="43">
        <v>302</v>
      </c>
      <c r="D1590" s="42">
        <v>0.16577540106951871</v>
      </c>
      <c r="E1590" s="42">
        <v>0.9140625</v>
      </c>
      <c r="F1590" s="42">
        <v>0.16577540106951871</v>
      </c>
      <c r="G1590">
        <v>1</v>
      </c>
    </row>
    <row r="1591" spans="3:7" x14ac:dyDescent="0.15">
      <c r="C1591" s="43">
        <v>303</v>
      </c>
      <c r="D1591" s="42">
        <v>0.16666666666666666</v>
      </c>
      <c r="E1591" s="42">
        <v>0.9140625</v>
      </c>
      <c r="F1591" s="42">
        <v>0.16666666666666666</v>
      </c>
      <c r="G1591">
        <v>1</v>
      </c>
    </row>
    <row r="1592" spans="3:7" x14ac:dyDescent="0.15">
      <c r="C1592" s="43">
        <v>304</v>
      </c>
      <c r="D1592" s="42">
        <v>0.16755793226381463</v>
      </c>
      <c r="E1592" s="42">
        <v>0.9140625</v>
      </c>
      <c r="F1592" s="42">
        <v>0.16755793226381463</v>
      </c>
      <c r="G1592">
        <v>1</v>
      </c>
    </row>
    <row r="1593" spans="3:7" x14ac:dyDescent="0.15">
      <c r="C1593" s="43">
        <v>305</v>
      </c>
      <c r="D1593" s="42">
        <v>0.16844919786096257</v>
      </c>
      <c r="E1593" s="42">
        <v>0.9140625</v>
      </c>
      <c r="F1593" s="42">
        <v>0.16844919786096257</v>
      </c>
      <c r="G1593">
        <v>1</v>
      </c>
    </row>
    <row r="1594" spans="3:7" x14ac:dyDescent="0.15">
      <c r="C1594" s="43">
        <v>306</v>
      </c>
      <c r="D1594" s="42">
        <v>0.16934046345811052</v>
      </c>
      <c r="E1594" s="42">
        <v>0.9140625</v>
      </c>
      <c r="F1594" s="42">
        <v>0.16934046345811052</v>
      </c>
      <c r="G1594">
        <v>1</v>
      </c>
    </row>
    <row r="1595" spans="3:7" x14ac:dyDescent="0.15">
      <c r="C1595" s="43">
        <v>307</v>
      </c>
      <c r="D1595" s="42">
        <v>0.17023172905525846</v>
      </c>
      <c r="E1595" s="42">
        <v>0.9140625</v>
      </c>
      <c r="F1595" s="42">
        <v>0.17023172905525846</v>
      </c>
      <c r="G1595">
        <v>1</v>
      </c>
    </row>
    <row r="1596" spans="3:7" x14ac:dyDescent="0.15">
      <c r="C1596" s="43">
        <v>308</v>
      </c>
      <c r="D1596" s="42">
        <v>0.17112299465240641</v>
      </c>
      <c r="E1596" s="42">
        <v>0.9140625</v>
      </c>
      <c r="F1596" s="42">
        <v>0.17112299465240641</v>
      </c>
      <c r="G1596">
        <v>1</v>
      </c>
    </row>
    <row r="1597" spans="3:7" x14ac:dyDescent="0.15">
      <c r="C1597" s="43">
        <v>309</v>
      </c>
      <c r="D1597" s="42">
        <v>0.17201426024955438</v>
      </c>
      <c r="E1597" s="42">
        <v>0.9140625</v>
      </c>
      <c r="F1597" s="42">
        <v>0.17201426024955438</v>
      </c>
      <c r="G1597">
        <v>1</v>
      </c>
    </row>
    <row r="1598" spans="3:7" x14ac:dyDescent="0.15">
      <c r="C1598" s="43">
        <v>310</v>
      </c>
      <c r="D1598" s="42">
        <v>0.17290552584670232</v>
      </c>
      <c r="E1598" s="42">
        <v>0.9140625</v>
      </c>
      <c r="F1598" s="42">
        <v>0.17290552584670232</v>
      </c>
      <c r="G1598">
        <v>1</v>
      </c>
    </row>
    <row r="1599" spans="3:7" x14ac:dyDescent="0.15">
      <c r="C1599" s="43">
        <v>311</v>
      </c>
      <c r="D1599" s="42">
        <v>0.17379679144385027</v>
      </c>
      <c r="E1599" s="42">
        <v>0.9140625</v>
      </c>
      <c r="F1599" s="42">
        <v>0.17379679144385027</v>
      </c>
      <c r="G1599">
        <v>1</v>
      </c>
    </row>
    <row r="1600" spans="3:7" x14ac:dyDescent="0.15">
      <c r="C1600" s="43">
        <v>312</v>
      </c>
      <c r="D1600" s="42">
        <v>0.17468805704099821</v>
      </c>
      <c r="E1600" s="42">
        <v>0.9140625</v>
      </c>
      <c r="F1600" s="42">
        <v>0.17468805704099821</v>
      </c>
      <c r="G1600">
        <v>1</v>
      </c>
    </row>
    <row r="1601" spans="3:7" x14ac:dyDescent="0.15">
      <c r="C1601" s="43">
        <v>313</v>
      </c>
      <c r="D1601" s="42">
        <v>0.17557932263814616</v>
      </c>
      <c r="E1601" s="42">
        <v>0.9140625</v>
      </c>
      <c r="F1601" s="42">
        <v>0.17557932263814616</v>
      </c>
      <c r="G1601">
        <v>1</v>
      </c>
    </row>
    <row r="1602" spans="3:7" x14ac:dyDescent="0.15">
      <c r="C1602" s="43">
        <v>314</v>
      </c>
      <c r="D1602" s="42">
        <v>0.17647058823529413</v>
      </c>
      <c r="E1602" s="42">
        <v>0.9140625</v>
      </c>
      <c r="F1602" s="42">
        <v>0.17647058823529413</v>
      </c>
      <c r="G1602">
        <v>1</v>
      </c>
    </row>
    <row r="1603" spans="3:7" x14ac:dyDescent="0.15">
      <c r="C1603" s="43">
        <v>315</v>
      </c>
      <c r="D1603" s="42">
        <v>0.17736185383244207</v>
      </c>
      <c r="E1603" s="42">
        <v>0.9140625</v>
      </c>
      <c r="F1603" s="42">
        <v>0.17736185383244207</v>
      </c>
      <c r="G1603">
        <v>1</v>
      </c>
    </row>
    <row r="1604" spans="3:7" x14ac:dyDescent="0.15">
      <c r="C1604" s="43">
        <v>316</v>
      </c>
      <c r="D1604" s="42">
        <v>0.17825311942959002</v>
      </c>
      <c r="E1604" s="42">
        <v>0.9140625</v>
      </c>
      <c r="F1604" s="42">
        <v>0.17825311942959002</v>
      </c>
      <c r="G1604">
        <v>1</v>
      </c>
    </row>
    <row r="1605" spans="3:7" x14ac:dyDescent="0.15">
      <c r="C1605" s="43">
        <v>317</v>
      </c>
      <c r="D1605" s="42">
        <v>0.17914438502673796</v>
      </c>
      <c r="E1605" s="42">
        <v>0.9140625</v>
      </c>
      <c r="F1605" s="42">
        <v>0.17914438502673796</v>
      </c>
      <c r="G1605">
        <v>1</v>
      </c>
    </row>
    <row r="1606" spans="3:7" x14ac:dyDescent="0.15">
      <c r="C1606" s="43">
        <v>318</v>
      </c>
      <c r="D1606" s="42">
        <v>0.18003565062388591</v>
      </c>
      <c r="E1606" s="42">
        <v>0.9140625</v>
      </c>
      <c r="F1606" s="42">
        <v>0.18003565062388591</v>
      </c>
      <c r="G1606">
        <v>1</v>
      </c>
    </row>
    <row r="1607" spans="3:7" x14ac:dyDescent="0.15">
      <c r="C1607" s="43">
        <v>319</v>
      </c>
      <c r="D1607" s="42">
        <v>0.18092691622103388</v>
      </c>
      <c r="E1607" s="42">
        <v>0.9140625</v>
      </c>
      <c r="F1607" s="42">
        <v>0.18092691622103388</v>
      </c>
      <c r="G1607">
        <v>1</v>
      </c>
    </row>
    <row r="1608" spans="3:7" x14ac:dyDescent="0.15">
      <c r="C1608" s="43">
        <v>320</v>
      </c>
      <c r="D1608" s="42">
        <v>0.18092691622103388</v>
      </c>
      <c r="E1608" s="42">
        <v>0.921875</v>
      </c>
      <c r="F1608" s="42">
        <v>0.18092691622103388</v>
      </c>
      <c r="G1608">
        <v>1</v>
      </c>
    </row>
    <row r="1609" spans="3:7" x14ac:dyDescent="0.15">
      <c r="C1609" s="43">
        <v>321</v>
      </c>
      <c r="D1609" s="42">
        <v>0.18181818181818182</v>
      </c>
      <c r="E1609" s="42">
        <v>0.921875</v>
      </c>
      <c r="F1609" s="42">
        <v>0.18181818181818182</v>
      </c>
      <c r="G1609">
        <v>1</v>
      </c>
    </row>
    <row r="1610" spans="3:7" x14ac:dyDescent="0.15">
      <c r="C1610" s="43">
        <v>322</v>
      </c>
      <c r="D1610" s="42">
        <v>0.18270944741532977</v>
      </c>
      <c r="E1610" s="42">
        <v>0.921875</v>
      </c>
      <c r="F1610" s="42">
        <v>0.18270944741532977</v>
      </c>
      <c r="G1610">
        <v>1</v>
      </c>
    </row>
    <row r="1611" spans="3:7" x14ac:dyDescent="0.15">
      <c r="C1611" s="43">
        <v>323</v>
      </c>
      <c r="D1611" s="42">
        <v>0.18270944741532977</v>
      </c>
      <c r="E1611" s="42">
        <v>0.9296875</v>
      </c>
      <c r="F1611" s="42">
        <v>0.18270944741532977</v>
      </c>
      <c r="G1611">
        <v>1</v>
      </c>
    </row>
    <row r="1612" spans="3:7" x14ac:dyDescent="0.15">
      <c r="C1612" s="43">
        <v>324</v>
      </c>
      <c r="D1612" s="42">
        <v>0.18360071301247771</v>
      </c>
      <c r="E1612" s="42">
        <v>0.9296875</v>
      </c>
      <c r="F1612" s="42">
        <v>0.18360071301247771</v>
      </c>
      <c r="G1612">
        <v>1</v>
      </c>
    </row>
    <row r="1613" spans="3:7" x14ac:dyDescent="0.15">
      <c r="C1613" s="43">
        <v>325</v>
      </c>
      <c r="D1613" s="42">
        <v>0.18449197860962566</v>
      </c>
      <c r="E1613" s="42">
        <v>0.9296875</v>
      </c>
      <c r="F1613" s="42">
        <v>0.18449197860962566</v>
      </c>
      <c r="G1613">
        <v>1</v>
      </c>
    </row>
    <row r="1614" spans="3:7" x14ac:dyDescent="0.15">
      <c r="C1614" s="43">
        <v>326</v>
      </c>
      <c r="D1614" s="42">
        <v>0.18538324420677363</v>
      </c>
      <c r="E1614" s="42">
        <v>0.9296875</v>
      </c>
      <c r="F1614" s="42">
        <v>0.18538324420677363</v>
      </c>
      <c r="G1614">
        <v>1</v>
      </c>
    </row>
    <row r="1615" spans="3:7" x14ac:dyDescent="0.15">
      <c r="C1615" s="43">
        <v>327</v>
      </c>
      <c r="D1615" s="42">
        <v>0.18627450980392157</v>
      </c>
      <c r="E1615" s="42">
        <v>0.9296875</v>
      </c>
      <c r="F1615" s="42">
        <v>0.18627450980392157</v>
      </c>
      <c r="G1615">
        <v>1</v>
      </c>
    </row>
    <row r="1616" spans="3:7" x14ac:dyDescent="0.15">
      <c r="C1616" s="43">
        <v>328</v>
      </c>
      <c r="D1616" s="42">
        <v>0.18716577540106952</v>
      </c>
      <c r="E1616" s="42">
        <v>0.9296875</v>
      </c>
      <c r="F1616" s="42">
        <v>0.18716577540106952</v>
      </c>
      <c r="G1616">
        <v>1</v>
      </c>
    </row>
    <row r="1617" spans="3:7" x14ac:dyDescent="0.15">
      <c r="C1617" s="43">
        <v>329</v>
      </c>
      <c r="D1617" s="42">
        <v>0.18805704099821746</v>
      </c>
      <c r="E1617" s="42">
        <v>0.9296875</v>
      </c>
      <c r="F1617" s="42">
        <v>0.18805704099821746</v>
      </c>
      <c r="G1617">
        <v>1</v>
      </c>
    </row>
    <row r="1618" spans="3:7" x14ac:dyDescent="0.15">
      <c r="C1618" s="43">
        <v>330</v>
      </c>
      <c r="D1618" s="42">
        <v>0.18894830659536541</v>
      </c>
      <c r="E1618" s="42">
        <v>0.9296875</v>
      </c>
      <c r="F1618" s="42">
        <v>0.18894830659536541</v>
      </c>
      <c r="G1618">
        <v>1</v>
      </c>
    </row>
    <row r="1619" spans="3:7" x14ac:dyDescent="0.15">
      <c r="C1619" s="43">
        <v>331</v>
      </c>
      <c r="D1619" s="42">
        <v>0.18983957219251338</v>
      </c>
      <c r="E1619" s="42">
        <v>0.9296875</v>
      </c>
      <c r="F1619" s="42">
        <v>0.18983957219251338</v>
      </c>
      <c r="G1619">
        <v>1</v>
      </c>
    </row>
    <row r="1620" spans="3:7" x14ac:dyDescent="0.15">
      <c r="C1620" s="43">
        <v>332</v>
      </c>
      <c r="D1620" s="42">
        <v>0.19073083778966132</v>
      </c>
      <c r="E1620" s="42">
        <v>0.9296875</v>
      </c>
      <c r="F1620" s="42">
        <v>0.19073083778966132</v>
      </c>
      <c r="G1620">
        <v>1</v>
      </c>
    </row>
    <row r="1621" spans="3:7" x14ac:dyDescent="0.15">
      <c r="C1621" s="43">
        <v>333</v>
      </c>
      <c r="D1621" s="42">
        <v>0.19162210338680927</v>
      </c>
      <c r="E1621" s="42">
        <v>0.9296875</v>
      </c>
      <c r="F1621" s="42">
        <v>0.19162210338680927</v>
      </c>
      <c r="G1621">
        <v>1</v>
      </c>
    </row>
    <row r="1622" spans="3:7" x14ac:dyDescent="0.15">
      <c r="C1622" s="43">
        <v>334</v>
      </c>
      <c r="D1622" s="42">
        <v>0.19251336898395721</v>
      </c>
      <c r="E1622" s="42">
        <v>0.9296875</v>
      </c>
      <c r="F1622" s="42">
        <v>0.19251336898395721</v>
      </c>
      <c r="G1622">
        <v>1</v>
      </c>
    </row>
    <row r="1623" spans="3:7" x14ac:dyDescent="0.15">
      <c r="C1623" s="43">
        <v>335</v>
      </c>
      <c r="D1623" s="42">
        <v>0.19340463458110516</v>
      </c>
      <c r="E1623" s="42">
        <v>0.9296875</v>
      </c>
      <c r="F1623" s="42">
        <v>0.19340463458110516</v>
      </c>
      <c r="G1623">
        <v>1</v>
      </c>
    </row>
    <row r="1624" spans="3:7" x14ac:dyDescent="0.15">
      <c r="C1624" s="43">
        <v>336</v>
      </c>
      <c r="D1624" s="42">
        <v>0.19429590017825313</v>
      </c>
      <c r="E1624" s="42">
        <v>0.9296875</v>
      </c>
      <c r="F1624" s="42">
        <v>0.19429590017825313</v>
      </c>
      <c r="G1624">
        <v>1</v>
      </c>
    </row>
    <row r="1625" spans="3:7" x14ac:dyDescent="0.15">
      <c r="C1625" s="43">
        <v>337</v>
      </c>
      <c r="D1625" s="42">
        <v>0.19518716577540107</v>
      </c>
      <c r="E1625" s="42">
        <v>0.9296875</v>
      </c>
      <c r="F1625" s="42">
        <v>0.19518716577540107</v>
      </c>
      <c r="G1625">
        <v>1</v>
      </c>
    </row>
    <row r="1626" spans="3:7" x14ac:dyDescent="0.15">
      <c r="C1626" s="43">
        <v>338</v>
      </c>
      <c r="D1626" s="42">
        <v>0.19607843137254902</v>
      </c>
      <c r="E1626" s="42">
        <v>0.9296875</v>
      </c>
      <c r="F1626" s="42">
        <v>0.19607843137254902</v>
      </c>
      <c r="G1626">
        <v>1</v>
      </c>
    </row>
    <row r="1627" spans="3:7" x14ac:dyDescent="0.15">
      <c r="C1627" s="43">
        <v>339</v>
      </c>
      <c r="D1627" s="42">
        <v>0.19696969696969696</v>
      </c>
      <c r="E1627" s="42">
        <v>0.9296875</v>
      </c>
      <c r="F1627" s="42">
        <v>0.19696969696969696</v>
      </c>
      <c r="G1627">
        <v>1</v>
      </c>
    </row>
    <row r="1628" spans="3:7" x14ac:dyDescent="0.15">
      <c r="C1628" s="43">
        <v>340</v>
      </c>
      <c r="D1628" s="42">
        <v>0.19786096256684493</v>
      </c>
      <c r="E1628" s="42">
        <v>0.9296875</v>
      </c>
      <c r="F1628" s="42">
        <v>0.19786096256684493</v>
      </c>
      <c r="G1628">
        <v>1</v>
      </c>
    </row>
    <row r="1629" spans="3:7" x14ac:dyDescent="0.15">
      <c r="C1629" s="43">
        <v>341</v>
      </c>
      <c r="D1629" s="42">
        <v>0.19786096256684493</v>
      </c>
      <c r="E1629" s="42">
        <v>0.9375</v>
      </c>
      <c r="F1629" s="42">
        <v>0.19786096256684493</v>
      </c>
      <c r="G1629">
        <v>1</v>
      </c>
    </row>
    <row r="1630" spans="3:7" x14ac:dyDescent="0.15">
      <c r="C1630" s="43">
        <v>342</v>
      </c>
      <c r="D1630" s="42">
        <v>0.19875222816399288</v>
      </c>
      <c r="E1630" s="42">
        <v>0.9375</v>
      </c>
      <c r="F1630" s="42">
        <v>0.19875222816399288</v>
      </c>
      <c r="G1630">
        <v>1</v>
      </c>
    </row>
    <row r="1631" spans="3:7" x14ac:dyDescent="0.15">
      <c r="C1631" s="43">
        <v>343</v>
      </c>
      <c r="D1631" s="42">
        <v>0.19964349376114082</v>
      </c>
      <c r="E1631" s="42">
        <v>0.9375</v>
      </c>
      <c r="F1631" s="42">
        <v>0.19964349376114082</v>
      </c>
      <c r="G1631">
        <v>1</v>
      </c>
    </row>
    <row r="1632" spans="3:7" x14ac:dyDescent="0.15">
      <c r="C1632" s="43">
        <v>344</v>
      </c>
      <c r="D1632" s="42">
        <v>0.20053475935828877</v>
      </c>
      <c r="E1632" s="42">
        <v>0.9375</v>
      </c>
      <c r="F1632" s="42">
        <v>0.20053475935828877</v>
      </c>
      <c r="G1632">
        <v>1</v>
      </c>
    </row>
    <row r="1633" spans="3:7" x14ac:dyDescent="0.15">
      <c r="C1633" s="43">
        <v>345</v>
      </c>
      <c r="D1633" s="42">
        <v>0.20142602495543671</v>
      </c>
      <c r="E1633" s="42">
        <v>0.9375</v>
      </c>
      <c r="F1633" s="42">
        <v>0.20142602495543671</v>
      </c>
      <c r="G1633">
        <v>1</v>
      </c>
    </row>
    <row r="1634" spans="3:7" x14ac:dyDescent="0.15">
      <c r="C1634" s="43">
        <v>346</v>
      </c>
      <c r="D1634" s="42">
        <v>0.20231729055258468</v>
      </c>
      <c r="E1634" s="42">
        <v>0.9375</v>
      </c>
      <c r="F1634" s="42">
        <v>0.20231729055258468</v>
      </c>
      <c r="G1634">
        <v>1</v>
      </c>
    </row>
    <row r="1635" spans="3:7" x14ac:dyDescent="0.15">
      <c r="C1635" s="43">
        <v>347</v>
      </c>
      <c r="D1635" s="42">
        <v>0.20320855614973263</v>
      </c>
      <c r="E1635" s="42">
        <v>0.9375</v>
      </c>
      <c r="F1635" s="42">
        <v>0.20320855614973263</v>
      </c>
      <c r="G1635">
        <v>1</v>
      </c>
    </row>
    <row r="1636" spans="3:7" x14ac:dyDescent="0.15">
      <c r="C1636" s="43">
        <v>348</v>
      </c>
      <c r="D1636" s="42">
        <v>0.20409982174688057</v>
      </c>
      <c r="E1636" s="42">
        <v>0.9375</v>
      </c>
      <c r="F1636" s="42">
        <v>0.20409982174688057</v>
      </c>
      <c r="G1636">
        <v>1</v>
      </c>
    </row>
    <row r="1637" spans="3:7" x14ac:dyDescent="0.15">
      <c r="C1637" s="43">
        <v>349</v>
      </c>
      <c r="D1637" s="42">
        <v>0.20499108734402852</v>
      </c>
      <c r="E1637" s="42">
        <v>0.9375</v>
      </c>
      <c r="F1637" s="42">
        <v>0.20499108734402852</v>
      </c>
      <c r="G1637">
        <v>1</v>
      </c>
    </row>
    <row r="1638" spans="3:7" x14ac:dyDescent="0.15">
      <c r="C1638" s="43">
        <v>350</v>
      </c>
      <c r="D1638" s="42">
        <v>0.20588235294117646</v>
      </c>
      <c r="E1638" s="42">
        <v>0.9375</v>
      </c>
      <c r="F1638" s="42">
        <v>0.20588235294117646</v>
      </c>
      <c r="G1638">
        <v>1</v>
      </c>
    </row>
    <row r="1639" spans="3:7" x14ac:dyDescent="0.15">
      <c r="C1639" s="43">
        <v>351</v>
      </c>
      <c r="D1639" s="42">
        <v>0.20677361853832443</v>
      </c>
      <c r="E1639" s="42">
        <v>0.9375</v>
      </c>
      <c r="F1639" s="42">
        <v>0.20677361853832443</v>
      </c>
      <c r="G1639">
        <v>1</v>
      </c>
    </row>
    <row r="1640" spans="3:7" x14ac:dyDescent="0.15">
      <c r="C1640" s="43">
        <v>352</v>
      </c>
      <c r="D1640" s="42">
        <v>0.20766488413547238</v>
      </c>
      <c r="E1640" s="42">
        <v>0.9375</v>
      </c>
      <c r="F1640" s="42">
        <v>0.20766488413547238</v>
      </c>
      <c r="G1640">
        <v>1</v>
      </c>
    </row>
    <row r="1641" spans="3:7" x14ac:dyDescent="0.15">
      <c r="C1641" s="43">
        <v>353</v>
      </c>
      <c r="D1641" s="42">
        <v>0.20855614973262032</v>
      </c>
      <c r="E1641" s="42">
        <v>0.9375</v>
      </c>
      <c r="F1641" s="42">
        <v>0.20855614973262032</v>
      </c>
      <c r="G1641">
        <v>1</v>
      </c>
    </row>
    <row r="1642" spans="3:7" x14ac:dyDescent="0.15">
      <c r="C1642" s="43">
        <v>354</v>
      </c>
      <c r="D1642" s="42">
        <v>0.20944741532976827</v>
      </c>
      <c r="E1642" s="42">
        <v>0.9375</v>
      </c>
      <c r="F1642" s="42">
        <v>0.20944741532976827</v>
      </c>
      <c r="G1642">
        <v>1</v>
      </c>
    </row>
    <row r="1643" spans="3:7" x14ac:dyDescent="0.15">
      <c r="C1643" s="43">
        <v>355</v>
      </c>
      <c r="D1643" s="42">
        <v>0.21033868092691621</v>
      </c>
      <c r="E1643" s="42">
        <v>0.9375</v>
      </c>
      <c r="F1643" s="42">
        <v>0.21033868092691621</v>
      </c>
      <c r="G1643">
        <v>1</v>
      </c>
    </row>
    <row r="1644" spans="3:7" x14ac:dyDescent="0.15">
      <c r="C1644" s="43">
        <v>356</v>
      </c>
      <c r="D1644" s="42">
        <v>0.21122994652406418</v>
      </c>
      <c r="E1644" s="42">
        <v>0.9375</v>
      </c>
      <c r="F1644" s="42">
        <v>0.21122994652406418</v>
      </c>
      <c r="G1644">
        <v>1</v>
      </c>
    </row>
    <row r="1645" spans="3:7" x14ac:dyDescent="0.15">
      <c r="C1645" s="43">
        <v>357</v>
      </c>
      <c r="D1645" s="42">
        <v>0.21212121212121213</v>
      </c>
      <c r="E1645" s="42">
        <v>0.9375</v>
      </c>
      <c r="F1645" s="42">
        <v>0.21212121212121213</v>
      </c>
      <c r="G1645">
        <v>1</v>
      </c>
    </row>
    <row r="1646" spans="3:7" x14ac:dyDescent="0.15">
      <c r="C1646" s="43">
        <v>358</v>
      </c>
      <c r="D1646" s="42">
        <v>0.21301247771836007</v>
      </c>
      <c r="E1646" s="42">
        <v>0.9375</v>
      </c>
      <c r="F1646" s="42">
        <v>0.21301247771836007</v>
      </c>
      <c r="G1646">
        <v>1</v>
      </c>
    </row>
    <row r="1647" spans="3:7" x14ac:dyDescent="0.15">
      <c r="C1647" s="43">
        <v>359</v>
      </c>
      <c r="D1647" s="42">
        <v>0.21390374331550802</v>
      </c>
      <c r="E1647" s="42">
        <v>0.9375</v>
      </c>
      <c r="F1647" s="42">
        <v>0.21390374331550802</v>
      </c>
      <c r="G1647">
        <v>1</v>
      </c>
    </row>
    <row r="1648" spans="3:7" x14ac:dyDescent="0.15">
      <c r="C1648" s="43">
        <v>360</v>
      </c>
      <c r="D1648" s="42">
        <v>0.21479500891265596</v>
      </c>
      <c r="E1648" s="42">
        <v>0.9375</v>
      </c>
      <c r="F1648" s="42">
        <v>0.21479500891265596</v>
      </c>
      <c r="G1648">
        <v>1</v>
      </c>
    </row>
    <row r="1649" spans="3:7" x14ac:dyDescent="0.15">
      <c r="C1649" s="43">
        <v>361</v>
      </c>
      <c r="D1649" s="42">
        <v>0.21568627450980393</v>
      </c>
      <c r="E1649" s="42">
        <v>0.9375</v>
      </c>
      <c r="F1649" s="42">
        <v>0.21568627450980393</v>
      </c>
      <c r="G1649">
        <v>1</v>
      </c>
    </row>
    <row r="1650" spans="3:7" x14ac:dyDescent="0.15">
      <c r="C1650" s="43">
        <v>362</v>
      </c>
      <c r="D1650" s="42">
        <v>0.21657754010695188</v>
      </c>
      <c r="E1650" s="42">
        <v>0.9375</v>
      </c>
      <c r="F1650" s="42">
        <v>0.21657754010695188</v>
      </c>
      <c r="G1650">
        <v>1</v>
      </c>
    </row>
    <row r="1651" spans="3:7" x14ac:dyDescent="0.15">
      <c r="C1651" s="43">
        <v>363</v>
      </c>
      <c r="D1651" s="42">
        <v>0.21746880570409982</v>
      </c>
      <c r="E1651" s="42">
        <v>0.9375</v>
      </c>
      <c r="F1651" s="42">
        <v>0.21746880570409982</v>
      </c>
      <c r="G1651">
        <v>1</v>
      </c>
    </row>
    <row r="1652" spans="3:7" x14ac:dyDescent="0.15">
      <c r="C1652" s="43">
        <v>364</v>
      </c>
      <c r="D1652" s="42">
        <v>0.21836007130124777</v>
      </c>
      <c r="E1652" s="42">
        <v>0.9375</v>
      </c>
      <c r="F1652" s="42">
        <v>0.21836007130124777</v>
      </c>
      <c r="G1652">
        <v>1</v>
      </c>
    </row>
    <row r="1653" spans="3:7" x14ac:dyDescent="0.15">
      <c r="C1653" s="43">
        <v>365</v>
      </c>
      <c r="D1653" s="42">
        <v>0.21925133689839571</v>
      </c>
      <c r="E1653" s="42">
        <v>0.9375</v>
      </c>
      <c r="F1653" s="42">
        <v>0.21925133689839571</v>
      </c>
      <c r="G1653">
        <v>1</v>
      </c>
    </row>
    <row r="1654" spans="3:7" x14ac:dyDescent="0.15">
      <c r="C1654" s="43">
        <v>366</v>
      </c>
      <c r="D1654" s="42">
        <v>0.22014260249554368</v>
      </c>
      <c r="E1654" s="42">
        <v>0.9375</v>
      </c>
      <c r="F1654" s="42">
        <v>0.22014260249554368</v>
      </c>
      <c r="G1654">
        <v>1</v>
      </c>
    </row>
    <row r="1655" spans="3:7" x14ac:dyDescent="0.15">
      <c r="C1655" s="43">
        <v>367</v>
      </c>
      <c r="D1655" s="42">
        <v>0.22103386809269163</v>
      </c>
      <c r="E1655" s="42">
        <v>0.9375</v>
      </c>
      <c r="F1655" s="42">
        <v>0.22103386809269163</v>
      </c>
      <c r="G1655">
        <v>1</v>
      </c>
    </row>
    <row r="1656" spans="3:7" x14ac:dyDescent="0.15">
      <c r="C1656" s="43">
        <v>368</v>
      </c>
      <c r="D1656" s="42">
        <v>0.22192513368983957</v>
      </c>
      <c r="E1656" s="42">
        <v>0.9375</v>
      </c>
      <c r="F1656" s="42">
        <v>0.22192513368983957</v>
      </c>
      <c r="G1656">
        <v>1</v>
      </c>
    </row>
    <row r="1657" spans="3:7" x14ac:dyDescent="0.15">
      <c r="C1657" s="43">
        <v>369</v>
      </c>
      <c r="D1657" s="42">
        <v>0.22281639928698752</v>
      </c>
      <c r="E1657" s="42">
        <v>0.9375</v>
      </c>
      <c r="F1657" s="42">
        <v>0.22281639928698752</v>
      </c>
      <c r="G1657">
        <v>1</v>
      </c>
    </row>
    <row r="1658" spans="3:7" x14ac:dyDescent="0.15">
      <c r="C1658" s="43">
        <v>370</v>
      </c>
      <c r="D1658" s="42">
        <v>0.22370766488413546</v>
      </c>
      <c r="E1658" s="42">
        <v>0.9375</v>
      </c>
      <c r="F1658" s="42">
        <v>0.22370766488413546</v>
      </c>
      <c r="G1658">
        <v>1</v>
      </c>
    </row>
    <row r="1659" spans="3:7" x14ac:dyDescent="0.15">
      <c r="C1659" s="43">
        <v>371</v>
      </c>
      <c r="D1659" s="42">
        <v>0.22459893048128343</v>
      </c>
      <c r="E1659" s="42">
        <v>0.9375</v>
      </c>
      <c r="F1659" s="42">
        <v>0.22459893048128343</v>
      </c>
      <c r="G1659">
        <v>1</v>
      </c>
    </row>
    <row r="1660" spans="3:7" x14ac:dyDescent="0.15">
      <c r="C1660" s="43">
        <v>372</v>
      </c>
      <c r="D1660" s="42">
        <v>0.22549019607843138</v>
      </c>
      <c r="E1660" s="42">
        <v>0.9375</v>
      </c>
      <c r="F1660" s="42">
        <v>0.22549019607843138</v>
      </c>
      <c r="G1660">
        <v>1</v>
      </c>
    </row>
    <row r="1661" spans="3:7" x14ac:dyDescent="0.15">
      <c r="C1661" s="43">
        <v>373</v>
      </c>
      <c r="D1661" s="42">
        <v>0.22638146167557932</v>
      </c>
      <c r="E1661" s="42">
        <v>0.9375</v>
      </c>
      <c r="F1661" s="42">
        <v>0.22638146167557932</v>
      </c>
      <c r="G1661">
        <v>1</v>
      </c>
    </row>
    <row r="1662" spans="3:7" x14ac:dyDescent="0.15">
      <c r="C1662" s="43">
        <v>374</v>
      </c>
      <c r="D1662" s="42">
        <v>0.22727272727272727</v>
      </c>
      <c r="E1662" s="42">
        <v>0.9375</v>
      </c>
      <c r="F1662" s="42">
        <v>0.22727272727272727</v>
      </c>
      <c r="G1662">
        <v>1</v>
      </c>
    </row>
    <row r="1663" spans="3:7" x14ac:dyDescent="0.15">
      <c r="C1663" s="43">
        <v>375</v>
      </c>
      <c r="D1663" s="42">
        <v>0.22816399286987521</v>
      </c>
      <c r="E1663" s="42">
        <v>0.9375</v>
      </c>
      <c r="F1663" s="42">
        <v>0.22816399286987521</v>
      </c>
      <c r="G1663">
        <v>1</v>
      </c>
    </row>
    <row r="1664" spans="3:7" x14ac:dyDescent="0.15">
      <c r="C1664" s="43">
        <v>376</v>
      </c>
      <c r="D1664" s="42">
        <v>0.22905525846702318</v>
      </c>
      <c r="E1664" s="42">
        <v>0.9375</v>
      </c>
      <c r="F1664" s="42">
        <v>0.22905525846702318</v>
      </c>
      <c r="G1664">
        <v>1</v>
      </c>
    </row>
    <row r="1665" spans="3:7" x14ac:dyDescent="0.15">
      <c r="C1665" s="43">
        <v>377</v>
      </c>
      <c r="D1665" s="42">
        <v>0.22905525846702318</v>
      </c>
      <c r="E1665" s="42">
        <v>0.9453125</v>
      </c>
      <c r="F1665" s="42">
        <v>0.22905525846702318</v>
      </c>
      <c r="G1665">
        <v>1</v>
      </c>
    </row>
    <row r="1666" spans="3:7" x14ac:dyDescent="0.15">
      <c r="C1666" s="43">
        <v>378</v>
      </c>
      <c r="D1666" s="42">
        <v>0.22994652406417113</v>
      </c>
      <c r="E1666" s="42">
        <v>0.9453125</v>
      </c>
      <c r="F1666" s="42">
        <v>0.22994652406417113</v>
      </c>
      <c r="G1666">
        <v>1</v>
      </c>
    </row>
    <row r="1667" spans="3:7" x14ac:dyDescent="0.15">
      <c r="C1667" s="43">
        <v>379</v>
      </c>
      <c r="D1667" s="42">
        <v>0.23083778966131907</v>
      </c>
      <c r="E1667" s="42">
        <v>0.9453125</v>
      </c>
      <c r="F1667" s="42">
        <v>0.23083778966131907</v>
      </c>
      <c r="G1667">
        <v>1</v>
      </c>
    </row>
    <row r="1668" spans="3:7" x14ac:dyDescent="0.15">
      <c r="C1668" s="43">
        <v>380</v>
      </c>
      <c r="D1668" s="42">
        <v>0.23172905525846701</v>
      </c>
      <c r="E1668" s="42">
        <v>0.9453125</v>
      </c>
      <c r="F1668" s="42">
        <v>0.23172905525846701</v>
      </c>
      <c r="G1668">
        <v>1</v>
      </c>
    </row>
    <row r="1669" spans="3:7" x14ac:dyDescent="0.15">
      <c r="C1669" s="43">
        <v>381</v>
      </c>
      <c r="D1669" s="42">
        <v>0.23262032085561499</v>
      </c>
      <c r="E1669" s="42">
        <v>0.9453125</v>
      </c>
      <c r="F1669" s="42">
        <v>0.23262032085561499</v>
      </c>
      <c r="G1669">
        <v>1</v>
      </c>
    </row>
    <row r="1670" spans="3:7" x14ac:dyDescent="0.15">
      <c r="C1670" s="43">
        <v>382</v>
      </c>
      <c r="D1670" s="42">
        <v>0.23351158645276293</v>
      </c>
      <c r="E1670" s="42">
        <v>0.9453125</v>
      </c>
      <c r="F1670" s="42">
        <v>0.23351158645276293</v>
      </c>
      <c r="G1670">
        <v>1</v>
      </c>
    </row>
    <row r="1671" spans="3:7" x14ac:dyDescent="0.15">
      <c r="C1671" s="43">
        <v>383</v>
      </c>
      <c r="D1671" s="42">
        <v>0.23440285204991088</v>
      </c>
      <c r="E1671" s="42">
        <v>0.9453125</v>
      </c>
      <c r="F1671" s="42">
        <v>0.23440285204991088</v>
      </c>
      <c r="G1671">
        <v>1</v>
      </c>
    </row>
    <row r="1672" spans="3:7" x14ac:dyDescent="0.15">
      <c r="C1672" s="43">
        <v>384</v>
      </c>
      <c r="D1672" s="42">
        <v>0.23529411764705882</v>
      </c>
      <c r="E1672" s="42">
        <v>0.9453125</v>
      </c>
      <c r="F1672" s="42">
        <v>0.23529411764705882</v>
      </c>
      <c r="G1672">
        <v>1</v>
      </c>
    </row>
    <row r="1673" spans="3:7" x14ac:dyDescent="0.15">
      <c r="C1673" s="43">
        <v>385</v>
      </c>
      <c r="D1673" s="42">
        <v>0.23618538324420676</v>
      </c>
      <c r="E1673" s="42">
        <v>0.9453125</v>
      </c>
      <c r="F1673" s="42">
        <v>0.23618538324420676</v>
      </c>
      <c r="G1673">
        <v>1</v>
      </c>
    </row>
    <row r="1674" spans="3:7" x14ac:dyDescent="0.15">
      <c r="C1674" s="43">
        <v>386</v>
      </c>
      <c r="D1674" s="42">
        <v>0.23707664884135474</v>
      </c>
      <c r="E1674" s="42">
        <v>0.9453125</v>
      </c>
      <c r="F1674" s="42">
        <v>0.23707664884135474</v>
      </c>
      <c r="G1674">
        <v>1</v>
      </c>
    </row>
    <row r="1675" spans="3:7" x14ac:dyDescent="0.15">
      <c r="C1675" s="43">
        <v>387</v>
      </c>
      <c r="D1675" s="42">
        <v>0.23796791443850268</v>
      </c>
      <c r="E1675" s="42">
        <v>0.9453125</v>
      </c>
      <c r="F1675" s="42">
        <v>0.23796791443850268</v>
      </c>
      <c r="G1675">
        <v>1</v>
      </c>
    </row>
    <row r="1676" spans="3:7" x14ac:dyDescent="0.15">
      <c r="C1676" s="43">
        <v>388</v>
      </c>
      <c r="D1676" s="42">
        <v>0.23885918003565063</v>
      </c>
      <c r="E1676" s="42">
        <v>0.9453125</v>
      </c>
      <c r="F1676" s="42">
        <v>0.23885918003565063</v>
      </c>
      <c r="G1676">
        <v>1</v>
      </c>
    </row>
    <row r="1677" spans="3:7" x14ac:dyDescent="0.15">
      <c r="C1677" s="43">
        <v>389</v>
      </c>
      <c r="D1677" s="42">
        <v>0.23975044563279857</v>
      </c>
      <c r="E1677" s="42">
        <v>0.9453125</v>
      </c>
      <c r="F1677" s="42">
        <v>0.23975044563279857</v>
      </c>
      <c r="G1677">
        <v>1</v>
      </c>
    </row>
    <row r="1678" spans="3:7" x14ac:dyDescent="0.15">
      <c r="C1678" s="43">
        <v>390</v>
      </c>
      <c r="D1678" s="42">
        <v>0.24064171122994651</v>
      </c>
      <c r="E1678" s="42">
        <v>0.9453125</v>
      </c>
      <c r="F1678" s="42">
        <v>0.24064171122994651</v>
      </c>
      <c r="G1678">
        <v>1</v>
      </c>
    </row>
    <row r="1679" spans="3:7" x14ac:dyDescent="0.15">
      <c r="C1679" s="43">
        <v>391</v>
      </c>
      <c r="D1679" s="42">
        <v>0.24153297682709449</v>
      </c>
      <c r="E1679" s="42">
        <v>0.9453125</v>
      </c>
      <c r="F1679" s="42">
        <v>0.24153297682709449</v>
      </c>
      <c r="G1679">
        <v>1</v>
      </c>
    </row>
    <row r="1680" spans="3:7" x14ac:dyDescent="0.15">
      <c r="C1680" s="43">
        <v>392</v>
      </c>
      <c r="D1680" s="42">
        <v>0.24242424242424243</v>
      </c>
      <c r="E1680" s="42">
        <v>0.9453125</v>
      </c>
      <c r="F1680" s="42">
        <v>0.24242424242424243</v>
      </c>
      <c r="G1680">
        <v>1</v>
      </c>
    </row>
    <row r="1681" spans="3:7" x14ac:dyDescent="0.15">
      <c r="C1681" s="43">
        <v>393</v>
      </c>
      <c r="D1681" s="42">
        <v>0.24331550802139038</v>
      </c>
      <c r="E1681" s="42">
        <v>0.9453125</v>
      </c>
      <c r="F1681" s="42">
        <v>0.24331550802139038</v>
      </c>
      <c r="G1681">
        <v>1</v>
      </c>
    </row>
    <row r="1682" spans="3:7" x14ac:dyDescent="0.15">
      <c r="C1682" s="43">
        <v>394</v>
      </c>
      <c r="D1682" s="42">
        <v>0.24420677361853832</v>
      </c>
      <c r="E1682" s="42">
        <v>0.9453125</v>
      </c>
      <c r="F1682" s="42">
        <v>0.24420677361853832</v>
      </c>
      <c r="G1682">
        <v>1</v>
      </c>
    </row>
    <row r="1683" spans="3:7" x14ac:dyDescent="0.15">
      <c r="C1683" s="43">
        <v>395</v>
      </c>
      <c r="D1683" s="42">
        <v>0.24509803921568626</v>
      </c>
      <c r="E1683" s="42">
        <v>0.9453125</v>
      </c>
      <c r="F1683" s="42">
        <v>0.24509803921568626</v>
      </c>
      <c r="G1683">
        <v>1</v>
      </c>
    </row>
    <row r="1684" spans="3:7" x14ac:dyDescent="0.15">
      <c r="C1684" s="43">
        <v>396</v>
      </c>
      <c r="D1684" s="42">
        <v>0.24598930481283424</v>
      </c>
      <c r="E1684" s="42">
        <v>0.9453125</v>
      </c>
      <c r="F1684" s="42">
        <v>0.24598930481283424</v>
      </c>
      <c r="G1684">
        <v>1</v>
      </c>
    </row>
    <row r="1685" spans="3:7" x14ac:dyDescent="0.15">
      <c r="C1685" s="43">
        <v>397</v>
      </c>
      <c r="D1685" s="42">
        <v>0.24688057040998218</v>
      </c>
      <c r="E1685" s="42">
        <v>0.9453125</v>
      </c>
      <c r="F1685" s="42">
        <v>0.24688057040998218</v>
      </c>
      <c r="G1685">
        <v>1</v>
      </c>
    </row>
    <row r="1686" spans="3:7" x14ac:dyDescent="0.15">
      <c r="C1686" s="43">
        <v>398</v>
      </c>
      <c r="D1686" s="42">
        <v>0.24688057040998218</v>
      </c>
      <c r="E1686" s="42">
        <v>0.953125</v>
      </c>
      <c r="F1686" s="42">
        <v>0.24688057040998218</v>
      </c>
      <c r="G1686">
        <v>1</v>
      </c>
    </row>
    <row r="1687" spans="3:7" x14ac:dyDescent="0.15">
      <c r="C1687" s="43">
        <v>399</v>
      </c>
      <c r="D1687" s="42">
        <v>0.24777183600713013</v>
      </c>
      <c r="E1687" s="42">
        <v>0.953125</v>
      </c>
      <c r="F1687" s="42">
        <v>0.24777183600713013</v>
      </c>
      <c r="G1687">
        <v>1</v>
      </c>
    </row>
    <row r="1688" spans="3:7" x14ac:dyDescent="0.15">
      <c r="C1688" s="43">
        <v>400</v>
      </c>
      <c r="D1688" s="42">
        <v>0.24866310160427807</v>
      </c>
      <c r="E1688" s="42">
        <v>0.953125</v>
      </c>
      <c r="F1688" s="42">
        <v>0.24866310160427807</v>
      </c>
      <c r="G1688">
        <v>1</v>
      </c>
    </row>
    <row r="1689" spans="3:7" x14ac:dyDescent="0.15">
      <c r="C1689" s="43">
        <v>401</v>
      </c>
      <c r="D1689" s="42">
        <v>0.24955436720142601</v>
      </c>
      <c r="E1689" s="42">
        <v>0.953125</v>
      </c>
      <c r="F1689" s="42">
        <v>0.24955436720142601</v>
      </c>
      <c r="G1689">
        <v>1</v>
      </c>
    </row>
    <row r="1690" spans="3:7" x14ac:dyDescent="0.15">
      <c r="C1690" s="43">
        <v>402</v>
      </c>
      <c r="D1690" s="42">
        <v>0.25044563279857396</v>
      </c>
      <c r="E1690" s="42">
        <v>0.953125</v>
      </c>
      <c r="F1690" s="42">
        <v>0.25044563279857396</v>
      </c>
      <c r="G1690">
        <v>1</v>
      </c>
    </row>
    <row r="1691" spans="3:7" x14ac:dyDescent="0.15">
      <c r="C1691" s="43">
        <v>403</v>
      </c>
      <c r="D1691" s="42">
        <v>0.25133689839572193</v>
      </c>
      <c r="E1691" s="42">
        <v>0.953125</v>
      </c>
      <c r="F1691" s="42">
        <v>0.25133689839572193</v>
      </c>
      <c r="G1691">
        <v>1</v>
      </c>
    </row>
    <row r="1692" spans="3:7" x14ac:dyDescent="0.15">
      <c r="C1692" s="43">
        <v>404</v>
      </c>
      <c r="D1692" s="42">
        <v>0.2522281639928699</v>
      </c>
      <c r="E1692" s="42">
        <v>0.953125</v>
      </c>
      <c r="F1692" s="42">
        <v>0.2522281639928699</v>
      </c>
      <c r="G1692">
        <v>1</v>
      </c>
    </row>
    <row r="1693" spans="3:7" x14ac:dyDescent="0.15">
      <c r="C1693" s="43">
        <v>405</v>
      </c>
      <c r="D1693" s="42">
        <v>0.25311942959001782</v>
      </c>
      <c r="E1693" s="42">
        <v>0.953125</v>
      </c>
      <c r="F1693" s="42">
        <v>0.25311942959001782</v>
      </c>
      <c r="G1693">
        <v>1</v>
      </c>
    </row>
    <row r="1694" spans="3:7" x14ac:dyDescent="0.15">
      <c r="C1694" s="43">
        <v>406</v>
      </c>
      <c r="D1694" s="42">
        <v>0.25401069518716579</v>
      </c>
      <c r="E1694" s="42">
        <v>0.953125</v>
      </c>
      <c r="F1694" s="42">
        <v>0.25401069518716579</v>
      </c>
      <c r="G1694">
        <v>1</v>
      </c>
    </row>
    <row r="1695" spans="3:7" x14ac:dyDescent="0.15">
      <c r="C1695" s="43">
        <v>407</v>
      </c>
      <c r="D1695" s="42">
        <v>0.25490196078431371</v>
      </c>
      <c r="E1695" s="42">
        <v>0.953125</v>
      </c>
      <c r="F1695" s="42">
        <v>0.25490196078431371</v>
      </c>
      <c r="G1695">
        <v>1</v>
      </c>
    </row>
    <row r="1696" spans="3:7" x14ac:dyDescent="0.15">
      <c r="C1696" s="43">
        <v>408</v>
      </c>
      <c r="D1696" s="42">
        <v>0.25579322638146168</v>
      </c>
      <c r="E1696" s="42">
        <v>0.953125</v>
      </c>
      <c r="F1696" s="42">
        <v>0.25579322638146168</v>
      </c>
      <c r="G1696">
        <v>1</v>
      </c>
    </row>
    <row r="1697" spans="3:7" x14ac:dyDescent="0.15">
      <c r="C1697" s="43">
        <v>409</v>
      </c>
      <c r="D1697" s="42">
        <v>0.25668449197860965</v>
      </c>
      <c r="E1697" s="42">
        <v>0.953125</v>
      </c>
      <c r="F1697" s="42">
        <v>0.25668449197860965</v>
      </c>
      <c r="G1697">
        <v>1</v>
      </c>
    </row>
    <row r="1698" spans="3:7" x14ac:dyDescent="0.15">
      <c r="C1698" s="43">
        <v>410</v>
      </c>
      <c r="D1698" s="42">
        <v>0.25757575757575757</v>
      </c>
      <c r="E1698" s="42">
        <v>0.953125</v>
      </c>
      <c r="F1698" s="42">
        <v>0.25757575757575757</v>
      </c>
      <c r="G1698">
        <v>1</v>
      </c>
    </row>
    <row r="1699" spans="3:7" x14ac:dyDescent="0.15">
      <c r="C1699" s="43">
        <v>411</v>
      </c>
      <c r="D1699" s="42">
        <v>0.25846702317290554</v>
      </c>
      <c r="E1699" s="42">
        <v>0.953125</v>
      </c>
      <c r="F1699" s="42">
        <v>0.25846702317290554</v>
      </c>
      <c r="G1699">
        <v>1</v>
      </c>
    </row>
    <row r="1700" spans="3:7" x14ac:dyDescent="0.15">
      <c r="C1700" s="43">
        <v>412</v>
      </c>
      <c r="D1700" s="42">
        <v>0.25935828877005346</v>
      </c>
      <c r="E1700" s="42">
        <v>0.953125</v>
      </c>
      <c r="F1700" s="42">
        <v>0.25935828877005346</v>
      </c>
      <c r="G1700">
        <v>1</v>
      </c>
    </row>
    <row r="1701" spans="3:7" x14ac:dyDescent="0.15">
      <c r="C1701" s="43">
        <v>413</v>
      </c>
      <c r="D1701" s="42">
        <v>0.26024955436720143</v>
      </c>
      <c r="E1701" s="42">
        <v>0.953125</v>
      </c>
      <c r="F1701" s="42">
        <v>0.26024955436720143</v>
      </c>
      <c r="G1701">
        <v>1</v>
      </c>
    </row>
    <row r="1702" spans="3:7" x14ac:dyDescent="0.15">
      <c r="C1702" s="43">
        <v>414</v>
      </c>
      <c r="D1702" s="42">
        <v>0.2611408199643494</v>
      </c>
      <c r="E1702" s="42">
        <v>0.953125</v>
      </c>
      <c r="F1702" s="42">
        <v>0.2611408199643494</v>
      </c>
      <c r="G1702">
        <v>1</v>
      </c>
    </row>
    <row r="1703" spans="3:7" x14ac:dyDescent="0.15">
      <c r="C1703" s="43">
        <v>415</v>
      </c>
      <c r="D1703" s="42">
        <v>0.26203208556149732</v>
      </c>
      <c r="E1703" s="42">
        <v>0.953125</v>
      </c>
      <c r="F1703" s="42">
        <v>0.26203208556149732</v>
      </c>
      <c r="G1703">
        <v>1</v>
      </c>
    </row>
    <row r="1704" spans="3:7" x14ac:dyDescent="0.15">
      <c r="C1704" s="43">
        <v>416</v>
      </c>
      <c r="D1704" s="42">
        <v>0.26292335115864529</v>
      </c>
      <c r="E1704" s="42">
        <v>0.953125</v>
      </c>
      <c r="F1704" s="42">
        <v>0.26292335115864529</v>
      </c>
      <c r="G1704">
        <v>1</v>
      </c>
    </row>
    <row r="1705" spans="3:7" x14ac:dyDescent="0.15">
      <c r="C1705" s="43">
        <v>417</v>
      </c>
      <c r="D1705" s="42">
        <v>0.26381461675579321</v>
      </c>
      <c r="E1705" s="42">
        <v>0.953125</v>
      </c>
      <c r="F1705" s="42">
        <v>0.26381461675579321</v>
      </c>
      <c r="G1705">
        <v>1</v>
      </c>
    </row>
    <row r="1706" spans="3:7" x14ac:dyDescent="0.15">
      <c r="C1706" s="43">
        <v>418</v>
      </c>
      <c r="D1706" s="42">
        <v>0.26470588235294118</v>
      </c>
      <c r="E1706" s="42">
        <v>0.953125</v>
      </c>
      <c r="F1706" s="42">
        <v>0.26470588235294118</v>
      </c>
      <c r="G1706">
        <v>1</v>
      </c>
    </row>
    <row r="1707" spans="3:7" x14ac:dyDescent="0.15">
      <c r="C1707" s="43">
        <v>419</v>
      </c>
      <c r="D1707" s="42">
        <v>0.26559714795008915</v>
      </c>
      <c r="E1707" s="42">
        <v>0.953125</v>
      </c>
      <c r="F1707" s="42">
        <v>0.26559714795008915</v>
      </c>
      <c r="G1707">
        <v>1</v>
      </c>
    </row>
    <row r="1708" spans="3:7" x14ac:dyDescent="0.15">
      <c r="C1708" s="43">
        <v>420</v>
      </c>
      <c r="D1708" s="42">
        <v>0.26648841354723707</v>
      </c>
      <c r="E1708" s="42">
        <v>0.953125</v>
      </c>
      <c r="F1708" s="42">
        <v>0.26648841354723707</v>
      </c>
      <c r="G1708">
        <v>1</v>
      </c>
    </row>
    <row r="1709" spans="3:7" x14ac:dyDescent="0.15">
      <c r="C1709" s="43">
        <v>421</v>
      </c>
      <c r="D1709" s="42">
        <v>0.26737967914438504</v>
      </c>
      <c r="E1709" s="42">
        <v>0.953125</v>
      </c>
      <c r="F1709" s="42">
        <v>0.26737967914438504</v>
      </c>
      <c r="G1709">
        <v>1</v>
      </c>
    </row>
    <row r="1710" spans="3:7" x14ac:dyDescent="0.15">
      <c r="C1710" s="43">
        <v>422</v>
      </c>
      <c r="D1710" s="42">
        <v>0.26827094474153296</v>
      </c>
      <c r="E1710" s="42">
        <v>0.953125</v>
      </c>
      <c r="F1710" s="42">
        <v>0.26827094474153296</v>
      </c>
      <c r="G1710">
        <v>1</v>
      </c>
    </row>
    <row r="1711" spans="3:7" x14ac:dyDescent="0.15">
      <c r="C1711" s="43">
        <v>423</v>
      </c>
      <c r="D1711" s="42">
        <v>0.26916221033868093</v>
      </c>
      <c r="E1711" s="42">
        <v>0.953125</v>
      </c>
      <c r="F1711" s="42">
        <v>0.26916221033868093</v>
      </c>
      <c r="G1711">
        <v>1</v>
      </c>
    </row>
    <row r="1712" spans="3:7" x14ac:dyDescent="0.15">
      <c r="C1712" s="43">
        <v>424</v>
      </c>
      <c r="D1712" s="42">
        <v>0.2700534759358289</v>
      </c>
      <c r="E1712" s="42">
        <v>0.953125</v>
      </c>
      <c r="F1712" s="42">
        <v>0.2700534759358289</v>
      </c>
      <c r="G1712">
        <v>1</v>
      </c>
    </row>
    <row r="1713" spans="3:7" x14ac:dyDescent="0.15">
      <c r="C1713" s="43">
        <v>425</v>
      </c>
      <c r="D1713" s="42">
        <v>0.27094474153297682</v>
      </c>
      <c r="E1713" s="42">
        <v>0.953125</v>
      </c>
      <c r="F1713" s="42">
        <v>0.27094474153297682</v>
      </c>
      <c r="G1713">
        <v>1</v>
      </c>
    </row>
    <row r="1714" spans="3:7" x14ac:dyDescent="0.15">
      <c r="C1714" s="43">
        <v>426</v>
      </c>
      <c r="D1714" s="42">
        <v>0.27183600713012479</v>
      </c>
      <c r="E1714" s="42">
        <v>0.953125</v>
      </c>
      <c r="F1714" s="42">
        <v>0.27183600713012479</v>
      </c>
      <c r="G1714">
        <v>1</v>
      </c>
    </row>
    <row r="1715" spans="3:7" x14ac:dyDescent="0.15">
      <c r="C1715" s="43">
        <v>427</v>
      </c>
      <c r="D1715" s="42">
        <v>0.27272727272727271</v>
      </c>
      <c r="E1715" s="42">
        <v>0.953125</v>
      </c>
      <c r="F1715" s="42">
        <v>0.27272727272727271</v>
      </c>
      <c r="G1715">
        <v>1</v>
      </c>
    </row>
    <row r="1716" spans="3:7" x14ac:dyDescent="0.15">
      <c r="C1716" s="43">
        <v>428</v>
      </c>
      <c r="D1716" s="42">
        <v>0.27361853832442068</v>
      </c>
      <c r="E1716" s="42">
        <v>0.953125</v>
      </c>
      <c r="F1716" s="42">
        <v>0.27361853832442068</v>
      </c>
      <c r="G1716">
        <v>1</v>
      </c>
    </row>
    <row r="1717" spans="3:7" x14ac:dyDescent="0.15">
      <c r="C1717" s="43">
        <v>429</v>
      </c>
      <c r="D1717" s="42">
        <v>0.27450980392156865</v>
      </c>
      <c r="E1717" s="42">
        <v>0.953125</v>
      </c>
      <c r="F1717" s="42">
        <v>0.27450980392156865</v>
      </c>
      <c r="G1717">
        <v>1</v>
      </c>
    </row>
    <row r="1718" spans="3:7" x14ac:dyDescent="0.15">
      <c r="C1718" s="43">
        <v>430</v>
      </c>
      <c r="D1718" s="42">
        <v>0.27540106951871657</v>
      </c>
      <c r="E1718" s="42">
        <v>0.953125</v>
      </c>
      <c r="F1718" s="42">
        <v>0.27540106951871657</v>
      </c>
      <c r="G1718">
        <v>1</v>
      </c>
    </row>
    <row r="1719" spans="3:7" x14ac:dyDescent="0.15">
      <c r="C1719" s="43">
        <v>431</v>
      </c>
      <c r="D1719" s="42">
        <v>0.27629233511586454</v>
      </c>
      <c r="E1719" s="42">
        <v>0.953125</v>
      </c>
      <c r="F1719" s="42">
        <v>0.27629233511586454</v>
      </c>
      <c r="G1719">
        <v>1</v>
      </c>
    </row>
    <row r="1720" spans="3:7" x14ac:dyDescent="0.15">
      <c r="C1720" s="43">
        <v>432</v>
      </c>
      <c r="D1720" s="42">
        <v>0.27718360071301246</v>
      </c>
      <c r="E1720" s="42">
        <v>0.953125</v>
      </c>
      <c r="F1720" s="42">
        <v>0.27718360071301246</v>
      </c>
      <c r="G1720">
        <v>1</v>
      </c>
    </row>
    <row r="1721" spans="3:7" x14ac:dyDescent="0.15">
      <c r="C1721" s="43">
        <v>433</v>
      </c>
      <c r="D1721" s="42">
        <v>0.27807486631016043</v>
      </c>
      <c r="E1721" s="42">
        <v>0.953125</v>
      </c>
      <c r="F1721" s="42">
        <v>0.27807486631016043</v>
      </c>
      <c r="G1721">
        <v>1</v>
      </c>
    </row>
    <row r="1722" spans="3:7" x14ac:dyDescent="0.15">
      <c r="C1722" s="43">
        <v>434</v>
      </c>
      <c r="D1722" s="42">
        <v>0.2789661319073084</v>
      </c>
      <c r="E1722" s="42">
        <v>0.953125</v>
      </c>
      <c r="F1722" s="42">
        <v>0.2789661319073084</v>
      </c>
      <c r="G1722">
        <v>1</v>
      </c>
    </row>
    <row r="1723" spans="3:7" x14ac:dyDescent="0.15">
      <c r="C1723" s="43">
        <v>435</v>
      </c>
      <c r="D1723" s="42">
        <v>0.27985739750445632</v>
      </c>
      <c r="E1723" s="42">
        <v>0.953125</v>
      </c>
      <c r="F1723" s="42">
        <v>0.27985739750445632</v>
      </c>
      <c r="G1723">
        <v>1</v>
      </c>
    </row>
    <row r="1724" spans="3:7" x14ac:dyDescent="0.15">
      <c r="C1724" s="43">
        <v>436</v>
      </c>
      <c r="D1724" s="42">
        <v>0.28074866310160429</v>
      </c>
      <c r="E1724" s="42">
        <v>0.953125</v>
      </c>
      <c r="F1724" s="42">
        <v>0.28074866310160429</v>
      </c>
      <c r="G1724">
        <v>1</v>
      </c>
    </row>
    <row r="1725" spans="3:7" x14ac:dyDescent="0.15">
      <c r="C1725" s="43">
        <v>437</v>
      </c>
      <c r="D1725" s="42">
        <v>0.28163992869875221</v>
      </c>
      <c r="E1725" s="42">
        <v>0.953125</v>
      </c>
      <c r="F1725" s="42">
        <v>0.28163992869875221</v>
      </c>
      <c r="G1725">
        <v>1</v>
      </c>
    </row>
    <row r="1726" spans="3:7" x14ac:dyDescent="0.15">
      <c r="C1726" s="43">
        <v>438</v>
      </c>
      <c r="D1726" s="42">
        <v>0.28253119429590018</v>
      </c>
      <c r="E1726" s="42">
        <v>0.953125</v>
      </c>
      <c r="F1726" s="42">
        <v>0.28253119429590018</v>
      </c>
      <c r="G1726">
        <v>1</v>
      </c>
    </row>
    <row r="1727" spans="3:7" x14ac:dyDescent="0.15">
      <c r="C1727" s="43">
        <v>439</v>
      </c>
      <c r="D1727" s="42">
        <v>0.28342245989304815</v>
      </c>
      <c r="E1727" s="42">
        <v>0.953125</v>
      </c>
      <c r="F1727" s="42">
        <v>0.28342245989304815</v>
      </c>
      <c r="G1727">
        <v>1</v>
      </c>
    </row>
    <row r="1728" spans="3:7" x14ac:dyDescent="0.15">
      <c r="C1728" s="43">
        <v>440</v>
      </c>
      <c r="D1728" s="42">
        <v>0.28431372549019607</v>
      </c>
      <c r="E1728" s="42">
        <v>0.953125</v>
      </c>
      <c r="F1728" s="42">
        <v>0.28431372549019607</v>
      </c>
      <c r="G1728">
        <v>1</v>
      </c>
    </row>
    <row r="1729" spans="3:7" x14ac:dyDescent="0.15">
      <c r="C1729" s="43">
        <v>441</v>
      </c>
      <c r="D1729" s="42">
        <v>0.28520499108734404</v>
      </c>
      <c r="E1729" s="42">
        <v>0.953125</v>
      </c>
      <c r="F1729" s="42">
        <v>0.28520499108734404</v>
      </c>
      <c r="G1729">
        <v>1</v>
      </c>
    </row>
    <row r="1730" spans="3:7" x14ac:dyDescent="0.15">
      <c r="C1730" s="43">
        <v>442</v>
      </c>
      <c r="D1730" s="42">
        <v>0.28609625668449196</v>
      </c>
      <c r="E1730" s="42">
        <v>0.953125</v>
      </c>
      <c r="F1730" s="42">
        <v>0.28609625668449196</v>
      </c>
      <c r="G1730">
        <v>1</v>
      </c>
    </row>
    <row r="1731" spans="3:7" x14ac:dyDescent="0.15">
      <c r="C1731" s="43">
        <v>443</v>
      </c>
      <c r="D1731" s="42">
        <v>0.28698752228163993</v>
      </c>
      <c r="E1731" s="42">
        <v>0.953125</v>
      </c>
      <c r="F1731" s="42">
        <v>0.28698752228163993</v>
      </c>
      <c r="G1731">
        <v>1</v>
      </c>
    </row>
    <row r="1732" spans="3:7" x14ac:dyDescent="0.15">
      <c r="C1732" s="43">
        <v>444</v>
      </c>
      <c r="D1732" s="42">
        <v>0.2878787878787879</v>
      </c>
      <c r="E1732" s="42">
        <v>0.953125</v>
      </c>
      <c r="F1732" s="42">
        <v>0.2878787878787879</v>
      </c>
      <c r="G1732">
        <v>1</v>
      </c>
    </row>
    <row r="1733" spans="3:7" x14ac:dyDescent="0.15">
      <c r="C1733" s="43">
        <v>445</v>
      </c>
      <c r="D1733" s="42">
        <v>0.28877005347593582</v>
      </c>
      <c r="E1733" s="42">
        <v>0.953125</v>
      </c>
      <c r="F1733" s="42">
        <v>0.28877005347593582</v>
      </c>
      <c r="G1733">
        <v>1</v>
      </c>
    </row>
    <row r="1734" spans="3:7" x14ac:dyDescent="0.15">
      <c r="C1734" s="43">
        <v>446</v>
      </c>
      <c r="D1734" s="42">
        <v>0.28966131907308379</v>
      </c>
      <c r="E1734" s="42">
        <v>0.953125</v>
      </c>
      <c r="F1734" s="42">
        <v>0.28966131907308379</v>
      </c>
      <c r="G1734">
        <v>1</v>
      </c>
    </row>
    <row r="1735" spans="3:7" x14ac:dyDescent="0.15">
      <c r="C1735" s="43">
        <v>447</v>
      </c>
      <c r="D1735" s="42">
        <v>0.29055258467023171</v>
      </c>
      <c r="E1735" s="42">
        <v>0.953125</v>
      </c>
      <c r="F1735" s="42">
        <v>0.29055258467023171</v>
      </c>
      <c r="G1735">
        <v>1</v>
      </c>
    </row>
    <row r="1736" spans="3:7" x14ac:dyDescent="0.15">
      <c r="C1736" s="43">
        <v>448</v>
      </c>
      <c r="D1736" s="42">
        <v>0.29144385026737968</v>
      </c>
      <c r="E1736" s="42">
        <v>0.953125</v>
      </c>
      <c r="F1736" s="42">
        <v>0.29144385026737968</v>
      </c>
      <c r="G1736">
        <v>1</v>
      </c>
    </row>
    <row r="1737" spans="3:7" x14ac:dyDescent="0.15">
      <c r="C1737" s="43">
        <v>449</v>
      </c>
      <c r="D1737" s="42">
        <v>0.29233511586452765</v>
      </c>
      <c r="E1737" s="42">
        <v>0.953125</v>
      </c>
      <c r="F1737" s="42">
        <v>0.29233511586452765</v>
      </c>
      <c r="G1737">
        <v>1</v>
      </c>
    </row>
    <row r="1738" spans="3:7" x14ac:dyDescent="0.15">
      <c r="C1738" s="43">
        <v>450</v>
      </c>
      <c r="D1738" s="42">
        <v>0.29322638146167557</v>
      </c>
      <c r="E1738" s="42">
        <v>0.953125</v>
      </c>
      <c r="F1738" s="42">
        <v>0.29322638146167557</v>
      </c>
      <c r="G1738">
        <v>1</v>
      </c>
    </row>
    <row r="1739" spans="3:7" x14ac:dyDescent="0.15">
      <c r="C1739" s="43">
        <v>451</v>
      </c>
      <c r="D1739" s="42">
        <v>0.29411764705882354</v>
      </c>
      <c r="E1739" s="42">
        <v>0.953125</v>
      </c>
      <c r="F1739" s="42">
        <v>0.29411764705882354</v>
      </c>
      <c r="G1739">
        <v>1</v>
      </c>
    </row>
    <row r="1740" spans="3:7" x14ac:dyDescent="0.15">
      <c r="C1740" s="43">
        <v>452</v>
      </c>
      <c r="D1740" s="42">
        <v>0.29500891265597146</v>
      </c>
      <c r="E1740" s="42">
        <v>0.953125</v>
      </c>
      <c r="F1740" s="42">
        <v>0.29500891265597146</v>
      </c>
      <c r="G1740">
        <v>1</v>
      </c>
    </row>
    <row r="1741" spans="3:7" x14ac:dyDescent="0.15">
      <c r="C1741" s="43">
        <v>453</v>
      </c>
      <c r="D1741" s="42">
        <v>0.29590017825311943</v>
      </c>
      <c r="E1741" s="42">
        <v>0.953125</v>
      </c>
      <c r="F1741" s="42">
        <v>0.29590017825311943</v>
      </c>
      <c r="G1741">
        <v>1</v>
      </c>
    </row>
    <row r="1742" spans="3:7" x14ac:dyDescent="0.15">
      <c r="C1742" s="43">
        <v>454</v>
      </c>
      <c r="D1742" s="42">
        <v>0.2967914438502674</v>
      </c>
      <c r="E1742" s="42">
        <v>0.953125</v>
      </c>
      <c r="F1742" s="42">
        <v>0.2967914438502674</v>
      </c>
      <c r="G1742">
        <v>1</v>
      </c>
    </row>
    <row r="1743" spans="3:7" x14ac:dyDescent="0.15">
      <c r="C1743" s="43">
        <v>455</v>
      </c>
      <c r="D1743" s="42">
        <v>0.29768270944741532</v>
      </c>
      <c r="E1743" s="42">
        <v>0.953125</v>
      </c>
      <c r="F1743" s="42">
        <v>0.29768270944741532</v>
      </c>
      <c r="G1743">
        <v>1</v>
      </c>
    </row>
    <row r="1744" spans="3:7" x14ac:dyDescent="0.15">
      <c r="C1744" s="43">
        <v>456</v>
      </c>
      <c r="D1744" s="42">
        <v>0.29857397504456329</v>
      </c>
      <c r="E1744" s="42">
        <v>0.953125</v>
      </c>
      <c r="F1744" s="42">
        <v>0.29857397504456329</v>
      </c>
      <c r="G1744">
        <v>1</v>
      </c>
    </row>
    <row r="1745" spans="3:7" x14ac:dyDescent="0.15">
      <c r="C1745" s="43">
        <v>457</v>
      </c>
      <c r="D1745" s="42">
        <v>0.29946524064171121</v>
      </c>
      <c r="E1745" s="42">
        <v>0.953125</v>
      </c>
      <c r="F1745" s="42">
        <v>0.29946524064171121</v>
      </c>
      <c r="G1745">
        <v>1</v>
      </c>
    </row>
    <row r="1746" spans="3:7" x14ac:dyDescent="0.15">
      <c r="C1746" s="43">
        <v>458</v>
      </c>
      <c r="D1746" s="42">
        <v>0.30035650623885918</v>
      </c>
      <c r="E1746" s="42">
        <v>0.953125</v>
      </c>
      <c r="F1746" s="42">
        <v>0.30035650623885918</v>
      </c>
      <c r="G1746">
        <v>1</v>
      </c>
    </row>
    <row r="1747" spans="3:7" x14ac:dyDescent="0.15">
      <c r="C1747" s="43">
        <v>459</v>
      </c>
      <c r="D1747" s="42">
        <v>0.30124777183600715</v>
      </c>
      <c r="E1747" s="42">
        <v>0.953125</v>
      </c>
      <c r="F1747" s="42">
        <v>0.30124777183600715</v>
      </c>
      <c r="G1747">
        <v>1</v>
      </c>
    </row>
    <row r="1748" spans="3:7" x14ac:dyDescent="0.15">
      <c r="C1748" s="43">
        <v>460</v>
      </c>
      <c r="D1748" s="42">
        <v>0.30213903743315507</v>
      </c>
      <c r="E1748" s="42">
        <v>0.953125</v>
      </c>
      <c r="F1748" s="42">
        <v>0.30213903743315507</v>
      </c>
      <c r="G1748">
        <v>1</v>
      </c>
    </row>
    <row r="1749" spans="3:7" x14ac:dyDescent="0.15">
      <c r="C1749" s="43">
        <v>461</v>
      </c>
      <c r="D1749" s="42">
        <v>0.30303030303030304</v>
      </c>
      <c r="E1749" s="42">
        <v>0.953125</v>
      </c>
      <c r="F1749" s="42">
        <v>0.30303030303030304</v>
      </c>
      <c r="G1749">
        <v>1</v>
      </c>
    </row>
    <row r="1750" spans="3:7" x14ac:dyDescent="0.15">
      <c r="C1750" s="43">
        <v>462</v>
      </c>
      <c r="D1750" s="42">
        <v>0.30392156862745096</v>
      </c>
      <c r="E1750" s="42">
        <v>0.953125</v>
      </c>
      <c r="F1750" s="42">
        <v>0.30392156862745096</v>
      </c>
      <c r="G1750">
        <v>1</v>
      </c>
    </row>
    <row r="1751" spans="3:7" x14ac:dyDescent="0.15">
      <c r="C1751" s="43">
        <v>463</v>
      </c>
      <c r="D1751" s="42">
        <v>0.30481283422459893</v>
      </c>
      <c r="E1751" s="42">
        <v>0.953125</v>
      </c>
      <c r="F1751" s="42">
        <v>0.30481283422459893</v>
      </c>
      <c r="G1751">
        <v>1</v>
      </c>
    </row>
    <row r="1752" spans="3:7" x14ac:dyDescent="0.15">
      <c r="C1752" s="43">
        <v>464</v>
      </c>
      <c r="D1752" s="42">
        <v>0.3057040998217469</v>
      </c>
      <c r="E1752" s="42">
        <v>0.953125</v>
      </c>
      <c r="F1752" s="42">
        <v>0.3057040998217469</v>
      </c>
      <c r="G1752">
        <v>1</v>
      </c>
    </row>
    <row r="1753" spans="3:7" x14ac:dyDescent="0.15">
      <c r="C1753" s="43">
        <v>465</v>
      </c>
      <c r="D1753" s="42">
        <v>0.30659536541889482</v>
      </c>
      <c r="E1753" s="42">
        <v>0.953125</v>
      </c>
      <c r="F1753" s="42">
        <v>0.30659536541889482</v>
      </c>
      <c r="G1753">
        <v>1</v>
      </c>
    </row>
    <row r="1754" spans="3:7" x14ac:dyDescent="0.15">
      <c r="C1754" s="43">
        <v>466</v>
      </c>
      <c r="D1754" s="42">
        <v>0.30748663101604279</v>
      </c>
      <c r="E1754" s="42">
        <v>0.953125</v>
      </c>
      <c r="F1754" s="42">
        <v>0.30748663101604279</v>
      </c>
      <c r="G1754">
        <v>1</v>
      </c>
    </row>
    <row r="1755" spans="3:7" x14ac:dyDescent="0.15">
      <c r="C1755" s="43">
        <v>467</v>
      </c>
      <c r="D1755" s="42">
        <v>0.30837789661319071</v>
      </c>
      <c r="E1755" s="42">
        <v>0.953125</v>
      </c>
      <c r="F1755" s="42">
        <v>0.30837789661319071</v>
      </c>
      <c r="G1755">
        <v>1</v>
      </c>
    </row>
    <row r="1756" spans="3:7" x14ac:dyDescent="0.15">
      <c r="C1756" s="43">
        <v>468</v>
      </c>
      <c r="D1756" s="42">
        <v>0.30926916221033868</v>
      </c>
      <c r="E1756" s="42">
        <v>0.953125</v>
      </c>
      <c r="F1756" s="42">
        <v>0.30926916221033868</v>
      </c>
      <c r="G1756">
        <v>1</v>
      </c>
    </row>
    <row r="1757" spans="3:7" x14ac:dyDescent="0.15">
      <c r="C1757" s="43">
        <v>469</v>
      </c>
      <c r="D1757" s="42">
        <v>0.31016042780748665</v>
      </c>
      <c r="E1757" s="42">
        <v>0.953125</v>
      </c>
      <c r="F1757" s="42">
        <v>0.31016042780748665</v>
      </c>
      <c r="G1757">
        <v>1</v>
      </c>
    </row>
    <row r="1758" spans="3:7" x14ac:dyDescent="0.15">
      <c r="C1758" s="43">
        <v>470</v>
      </c>
      <c r="D1758" s="42">
        <v>0.31105169340463457</v>
      </c>
      <c r="E1758" s="42">
        <v>0.953125</v>
      </c>
      <c r="F1758" s="42">
        <v>0.31105169340463457</v>
      </c>
      <c r="G1758">
        <v>1</v>
      </c>
    </row>
    <row r="1759" spans="3:7" x14ac:dyDescent="0.15">
      <c r="C1759" s="43">
        <v>471</v>
      </c>
      <c r="D1759" s="42">
        <v>0.31194295900178254</v>
      </c>
      <c r="E1759" s="42">
        <v>0.953125</v>
      </c>
      <c r="F1759" s="42">
        <v>0.31194295900178254</v>
      </c>
      <c r="G1759">
        <v>1</v>
      </c>
    </row>
    <row r="1760" spans="3:7" x14ac:dyDescent="0.15">
      <c r="C1760" s="43">
        <v>472</v>
      </c>
      <c r="D1760" s="42">
        <v>0.31283422459893045</v>
      </c>
      <c r="E1760" s="42">
        <v>0.953125</v>
      </c>
      <c r="F1760" s="42">
        <v>0.31283422459893045</v>
      </c>
      <c r="G1760">
        <v>1</v>
      </c>
    </row>
    <row r="1761" spans="3:7" x14ac:dyDescent="0.15">
      <c r="C1761" s="43">
        <v>473</v>
      </c>
      <c r="D1761" s="42">
        <v>0.31372549019607843</v>
      </c>
      <c r="E1761" s="42">
        <v>0.953125</v>
      </c>
      <c r="F1761" s="42">
        <v>0.31372549019607843</v>
      </c>
      <c r="G1761">
        <v>1</v>
      </c>
    </row>
    <row r="1762" spans="3:7" x14ac:dyDescent="0.15">
      <c r="C1762" s="43">
        <v>474</v>
      </c>
      <c r="D1762" s="42">
        <v>0.3146167557932264</v>
      </c>
      <c r="E1762" s="42">
        <v>0.953125</v>
      </c>
      <c r="F1762" s="42">
        <v>0.3146167557932264</v>
      </c>
      <c r="G1762">
        <v>1</v>
      </c>
    </row>
    <row r="1763" spans="3:7" x14ac:dyDescent="0.15">
      <c r="C1763" s="43">
        <v>475</v>
      </c>
      <c r="D1763" s="42">
        <v>0.31550802139037432</v>
      </c>
      <c r="E1763" s="42">
        <v>0.953125</v>
      </c>
      <c r="F1763" s="42">
        <v>0.31550802139037432</v>
      </c>
      <c r="G1763">
        <v>1</v>
      </c>
    </row>
    <row r="1764" spans="3:7" x14ac:dyDescent="0.15">
      <c r="C1764" s="43">
        <v>476</v>
      </c>
      <c r="D1764" s="42">
        <v>0.31639928698752229</v>
      </c>
      <c r="E1764" s="42">
        <v>0.953125</v>
      </c>
      <c r="F1764" s="42">
        <v>0.31639928698752229</v>
      </c>
      <c r="G1764">
        <v>1</v>
      </c>
    </row>
    <row r="1765" spans="3:7" x14ac:dyDescent="0.15">
      <c r="C1765" s="43">
        <v>477</v>
      </c>
      <c r="D1765" s="42">
        <v>0.3172905525846702</v>
      </c>
      <c r="E1765" s="42">
        <v>0.953125</v>
      </c>
      <c r="F1765" s="42">
        <v>0.3172905525846702</v>
      </c>
      <c r="G1765">
        <v>1</v>
      </c>
    </row>
    <row r="1766" spans="3:7" x14ac:dyDescent="0.15">
      <c r="C1766" s="43">
        <v>478</v>
      </c>
      <c r="D1766" s="42">
        <v>0.31818181818181818</v>
      </c>
      <c r="E1766" s="42">
        <v>0.953125</v>
      </c>
      <c r="F1766" s="42">
        <v>0.31818181818181818</v>
      </c>
      <c r="G1766">
        <v>1</v>
      </c>
    </row>
    <row r="1767" spans="3:7" x14ac:dyDescent="0.15">
      <c r="C1767" s="43">
        <v>479</v>
      </c>
      <c r="D1767" s="42">
        <v>0.31907308377896615</v>
      </c>
      <c r="E1767" s="42">
        <v>0.953125</v>
      </c>
      <c r="F1767" s="42">
        <v>0.31907308377896615</v>
      </c>
      <c r="G1767">
        <v>1</v>
      </c>
    </row>
    <row r="1768" spans="3:7" x14ac:dyDescent="0.15">
      <c r="C1768" s="43">
        <v>480</v>
      </c>
      <c r="D1768" s="42">
        <v>0.31996434937611407</v>
      </c>
      <c r="E1768" s="42">
        <v>0.953125</v>
      </c>
      <c r="F1768" s="42">
        <v>0.31996434937611407</v>
      </c>
      <c r="G1768">
        <v>1</v>
      </c>
    </row>
    <row r="1769" spans="3:7" x14ac:dyDescent="0.15">
      <c r="C1769" s="43">
        <v>481</v>
      </c>
      <c r="D1769" s="42">
        <v>0.32085561497326204</v>
      </c>
      <c r="E1769" s="42">
        <v>0.953125</v>
      </c>
      <c r="F1769" s="42">
        <v>0.32085561497326204</v>
      </c>
      <c r="G1769">
        <v>1</v>
      </c>
    </row>
    <row r="1770" spans="3:7" x14ac:dyDescent="0.15">
      <c r="C1770" s="43">
        <v>482</v>
      </c>
      <c r="D1770" s="42">
        <v>0.32174688057041001</v>
      </c>
      <c r="E1770" s="42">
        <v>0.953125</v>
      </c>
      <c r="F1770" s="42">
        <v>0.32174688057041001</v>
      </c>
      <c r="G1770">
        <v>1</v>
      </c>
    </row>
    <row r="1771" spans="3:7" x14ac:dyDescent="0.15">
      <c r="C1771" s="43">
        <v>483</v>
      </c>
      <c r="D1771" s="42">
        <v>0.32263814616755793</v>
      </c>
      <c r="E1771" s="42">
        <v>0.953125</v>
      </c>
      <c r="F1771" s="42">
        <v>0.32263814616755793</v>
      </c>
      <c r="G1771">
        <v>1</v>
      </c>
    </row>
    <row r="1772" spans="3:7" x14ac:dyDescent="0.15">
      <c r="C1772" s="43">
        <v>484</v>
      </c>
      <c r="D1772" s="42">
        <v>0.3235294117647059</v>
      </c>
      <c r="E1772" s="42">
        <v>0.953125</v>
      </c>
      <c r="F1772" s="42">
        <v>0.3235294117647059</v>
      </c>
      <c r="G1772">
        <v>1</v>
      </c>
    </row>
    <row r="1773" spans="3:7" x14ac:dyDescent="0.15">
      <c r="C1773" s="43">
        <v>485</v>
      </c>
      <c r="D1773" s="42">
        <v>0.32442067736185382</v>
      </c>
      <c r="E1773" s="42">
        <v>0.953125</v>
      </c>
      <c r="F1773" s="42">
        <v>0.32442067736185382</v>
      </c>
      <c r="G1773">
        <v>1</v>
      </c>
    </row>
    <row r="1774" spans="3:7" x14ac:dyDescent="0.15">
      <c r="C1774" s="43">
        <v>486</v>
      </c>
      <c r="D1774" s="42">
        <v>0.32531194295900179</v>
      </c>
      <c r="E1774" s="42">
        <v>0.953125</v>
      </c>
      <c r="F1774" s="42">
        <v>0.32531194295900179</v>
      </c>
      <c r="G1774">
        <v>1</v>
      </c>
    </row>
    <row r="1775" spans="3:7" x14ac:dyDescent="0.15">
      <c r="C1775" s="43">
        <v>487</v>
      </c>
      <c r="D1775" s="42">
        <v>0.32531194295900179</v>
      </c>
      <c r="E1775" s="42">
        <v>0.9609375</v>
      </c>
      <c r="F1775" s="42">
        <v>0.32531194295900179</v>
      </c>
      <c r="G1775">
        <v>1</v>
      </c>
    </row>
    <row r="1776" spans="3:7" x14ac:dyDescent="0.15">
      <c r="C1776" s="43">
        <v>488</v>
      </c>
      <c r="D1776" s="42">
        <v>0.32620320855614976</v>
      </c>
      <c r="E1776" s="42">
        <v>0.9609375</v>
      </c>
      <c r="F1776" s="42">
        <v>0.32620320855614976</v>
      </c>
      <c r="G1776">
        <v>1</v>
      </c>
    </row>
    <row r="1777" spans="3:7" x14ac:dyDescent="0.15">
      <c r="C1777" s="43">
        <v>489</v>
      </c>
      <c r="D1777" s="42">
        <v>0.32709447415329768</v>
      </c>
      <c r="E1777" s="42">
        <v>0.9609375</v>
      </c>
      <c r="F1777" s="42">
        <v>0.32709447415329768</v>
      </c>
      <c r="G1777">
        <v>1</v>
      </c>
    </row>
    <row r="1778" spans="3:7" x14ac:dyDescent="0.15">
      <c r="C1778" s="43">
        <v>490</v>
      </c>
      <c r="D1778" s="42">
        <v>0.32798573975044565</v>
      </c>
      <c r="E1778" s="42">
        <v>0.9609375</v>
      </c>
      <c r="F1778" s="42">
        <v>0.32798573975044565</v>
      </c>
      <c r="G1778">
        <v>1</v>
      </c>
    </row>
    <row r="1779" spans="3:7" x14ac:dyDescent="0.15">
      <c r="C1779" s="43">
        <v>491</v>
      </c>
      <c r="D1779" s="42">
        <v>0.32887700534759357</v>
      </c>
      <c r="E1779" s="42">
        <v>0.9609375</v>
      </c>
      <c r="F1779" s="42">
        <v>0.32887700534759357</v>
      </c>
      <c r="G1779">
        <v>1</v>
      </c>
    </row>
    <row r="1780" spans="3:7" x14ac:dyDescent="0.15">
      <c r="C1780" s="43">
        <v>492</v>
      </c>
      <c r="D1780" s="42">
        <v>0.32976827094474154</v>
      </c>
      <c r="E1780" s="42">
        <v>0.9609375</v>
      </c>
      <c r="F1780" s="42">
        <v>0.32976827094474154</v>
      </c>
      <c r="G1780">
        <v>1</v>
      </c>
    </row>
    <row r="1781" spans="3:7" x14ac:dyDescent="0.15">
      <c r="C1781" s="43">
        <v>493</v>
      </c>
      <c r="D1781" s="42">
        <v>0.33065953654188951</v>
      </c>
      <c r="E1781" s="42">
        <v>0.9609375</v>
      </c>
      <c r="F1781" s="42">
        <v>0.33065953654188951</v>
      </c>
      <c r="G1781">
        <v>1</v>
      </c>
    </row>
    <row r="1782" spans="3:7" x14ac:dyDescent="0.15">
      <c r="C1782" s="43">
        <v>494</v>
      </c>
      <c r="D1782" s="42">
        <v>0.33155080213903743</v>
      </c>
      <c r="E1782" s="42">
        <v>0.9609375</v>
      </c>
      <c r="F1782" s="42">
        <v>0.33155080213903743</v>
      </c>
      <c r="G1782">
        <v>1</v>
      </c>
    </row>
    <row r="1783" spans="3:7" x14ac:dyDescent="0.15">
      <c r="C1783" s="43">
        <v>495</v>
      </c>
      <c r="D1783" s="42">
        <v>0.3324420677361854</v>
      </c>
      <c r="E1783" s="42">
        <v>0.9609375</v>
      </c>
      <c r="F1783" s="42">
        <v>0.3324420677361854</v>
      </c>
      <c r="G1783">
        <v>1</v>
      </c>
    </row>
    <row r="1784" spans="3:7" x14ac:dyDescent="0.15">
      <c r="C1784" s="43">
        <v>496</v>
      </c>
      <c r="D1784" s="42">
        <v>0.33333333333333331</v>
      </c>
      <c r="E1784" s="42">
        <v>0.9609375</v>
      </c>
      <c r="F1784" s="42">
        <v>0.33333333333333331</v>
      </c>
      <c r="G1784">
        <v>1</v>
      </c>
    </row>
    <row r="1785" spans="3:7" x14ac:dyDescent="0.15">
      <c r="C1785" s="43">
        <v>497</v>
      </c>
      <c r="D1785" s="42">
        <v>0.33422459893048129</v>
      </c>
      <c r="E1785" s="42">
        <v>0.9609375</v>
      </c>
      <c r="F1785" s="42">
        <v>0.33422459893048129</v>
      </c>
      <c r="G1785">
        <v>1</v>
      </c>
    </row>
    <row r="1786" spans="3:7" x14ac:dyDescent="0.15">
      <c r="C1786" s="43">
        <v>498</v>
      </c>
      <c r="D1786" s="42">
        <v>0.33511586452762926</v>
      </c>
      <c r="E1786" s="42">
        <v>0.9609375</v>
      </c>
      <c r="F1786" s="42">
        <v>0.33511586452762926</v>
      </c>
      <c r="G1786">
        <v>1</v>
      </c>
    </row>
    <row r="1787" spans="3:7" x14ac:dyDescent="0.15">
      <c r="C1787" s="43">
        <v>499</v>
      </c>
      <c r="D1787" s="42">
        <v>0.33600713012477718</v>
      </c>
      <c r="E1787" s="42">
        <v>0.9609375</v>
      </c>
      <c r="F1787" s="42">
        <v>0.33600713012477718</v>
      </c>
      <c r="G1787">
        <v>1</v>
      </c>
    </row>
    <row r="1788" spans="3:7" x14ac:dyDescent="0.15">
      <c r="C1788" s="43">
        <v>500</v>
      </c>
      <c r="D1788" s="42">
        <v>0.33689839572192515</v>
      </c>
      <c r="E1788" s="42">
        <v>0.9609375</v>
      </c>
      <c r="F1788" s="42">
        <v>0.33689839572192515</v>
      </c>
      <c r="G1788">
        <v>1</v>
      </c>
    </row>
    <row r="1789" spans="3:7" x14ac:dyDescent="0.15">
      <c r="C1789" s="43">
        <v>501</v>
      </c>
      <c r="D1789" s="42">
        <v>0.33778966131907306</v>
      </c>
      <c r="E1789" s="42">
        <v>0.9609375</v>
      </c>
      <c r="F1789" s="42">
        <v>0.33778966131907306</v>
      </c>
      <c r="G1789">
        <v>1</v>
      </c>
    </row>
    <row r="1790" spans="3:7" x14ac:dyDescent="0.15">
      <c r="C1790" s="43">
        <v>502</v>
      </c>
      <c r="D1790" s="42">
        <v>0.33868092691622104</v>
      </c>
      <c r="E1790" s="42">
        <v>0.9609375</v>
      </c>
      <c r="F1790" s="42">
        <v>0.33868092691622104</v>
      </c>
      <c r="G1790">
        <v>1</v>
      </c>
    </row>
    <row r="1791" spans="3:7" x14ac:dyDescent="0.15">
      <c r="C1791" s="43">
        <v>503</v>
      </c>
      <c r="D1791" s="42">
        <v>0.33957219251336901</v>
      </c>
      <c r="E1791" s="42">
        <v>0.9609375</v>
      </c>
      <c r="F1791" s="42">
        <v>0.33957219251336901</v>
      </c>
      <c r="G1791">
        <v>1</v>
      </c>
    </row>
    <row r="1792" spans="3:7" x14ac:dyDescent="0.15">
      <c r="C1792" s="43">
        <v>504</v>
      </c>
      <c r="D1792" s="42">
        <v>0.34046345811051693</v>
      </c>
      <c r="E1792" s="42">
        <v>0.9609375</v>
      </c>
      <c r="F1792" s="42">
        <v>0.34046345811051693</v>
      </c>
      <c r="G1792">
        <v>1</v>
      </c>
    </row>
    <row r="1793" spans="3:7" x14ac:dyDescent="0.15">
      <c r="C1793" s="43">
        <v>505</v>
      </c>
      <c r="D1793" s="42">
        <v>0.3413547237076649</v>
      </c>
      <c r="E1793" s="42">
        <v>0.9609375</v>
      </c>
      <c r="F1793" s="42">
        <v>0.3413547237076649</v>
      </c>
      <c r="G1793">
        <v>1</v>
      </c>
    </row>
    <row r="1794" spans="3:7" x14ac:dyDescent="0.15">
      <c r="C1794" s="43">
        <v>506</v>
      </c>
      <c r="D1794" s="42">
        <v>0.34224598930481281</v>
      </c>
      <c r="E1794" s="42">
        <v>0.9609375</v>
      </c>
      <c r="F1794" s="42">
        <v>0.34224598930481281</v>
      </c>
      <c r="G1794">
        <v>1</v>
      </c>
    </row>
    <row r="1795" spans="3:7" x14ac:dyDescent="0.15">
      <c r="C1795" s="43">
        <v>507</v>
      </c>
      <c r="D1795" s="42">
        <v>0.34313725490196079</v>
      </c>
      <c r="E1795" s="42">
        <v>0.9609375</v>
      </c>
      <c r="F1795" s="42">
        <v>0.34313725490196079</v>
      </c>
      <c r="G1795">
        <v>1</v>
      </c>
    </row>
    <row r="1796" spans="3:7" x14ac:dyDescent="0.15">
      <c r="C1796" s="43">
        <v>508</v>
      </c>
      <c r="D1796" s="42">
        <v>0.34402852049910876</v>
      </c>
      <c r="E1796" s="42">
        <v>0.9609375</v>
      </c>
      <c r="F1796" s="42">
        <v>0.34402852049910876</v>
      </c>
      <c r="G1796">
        <v>1</v>
      </c>
    </row>
    <row r="1797" spans="3:7" x14ac:dyDescent="0.15">
      <c r="C1797" s="43">
        <v>509</v>
      </c>
      <c r="D1797" s="42">
        <v>0.34491978609625668</v>
      </c>
      <c r="E1797" s="42">
        <v>0.9609375</v>
      </c>
      <c r="F1797" s="42">
        <v>0.34491978609625668</v>
      </c>
      <c r="G1797">
        <v>1</v>
      </c>
    </row>
    <row r="1798" spans="3:7" x14ac:dyDescent="0.15">
      <c r="C1798" s="43">
        <v>510</v>
      </c>
      <c r="D1798" s="42">
        <v>0.34581105169340465</v>
      </c>
      <c r="E1798" s="42">
        <v>0.9609375</v>
      </c>
      <c r="F1798" s="42">
        <v>0.34581105169340465</v>
      </c>
      <c r="G1798">
        <v>1</v>
      </c>
    </row>
    <row r="1799" spans="3:7" x14ac:dyDescent="0.15">
      <c r="C1799" s="43">
        <v>511</v>
      </c>
      <c r="D1799" s="42">
        <v>0.34670231729055256</v>
      </c>
      <c r="E1799" s="42">
        <v>0.9609375</v>
      </c>
      <c r="F1799" s="42">
        <v>0.34670231729055256</v>
      </c>
      <c r="G1799">
        <v>1</v>
      </c>
    </row>
    <row r="1800" spans="3:7" x14ac:dyDescent="0.15">
      <c r="C1800" s="43">
        <v>512</v>
      </c>
      <c r="D1800" s="42">
        <v>0.34759358288770054</v>
      </c>
      <c r="E1800" s="42">
        <v>0.9609375</v>
      </c>
      <c r="F1800" s="42">
        <v>0.34759358288770054</v>
      </c>
      <c r="G1800">
        <v>1</v>
      </c>
    </row>
    <row r="1801" spans="3:7" x14ac:dyDescent="0.15">
      <c r="C1801" s="43">
        <v>513</v>
      </c>
      <c r="D1801" s="42">
        <v>0.34848484848484851</v>
      </c>
      <c r="E1801" s="42">
        <v>0.9609375</v>
      </c>
      <c r="F1801" s="42">
        <v>0.34848484848484851</v>
      </c>
      <c r="G1801">
        <v>1</v>
      </c>
    </row>
    <row r="1802" spans="3:7" x14ac:dyDescent="0.15">
      <c r="C1802" s="43">
        <v>514</v>
      </c>
      <c r="D1802" s="42">
        <v>0.34937611408199643</v>
      </c>
      <c r="E1802" s="42">
        <v>0.9609375</v>
      </c>
      <c r="F1802" s="42">
        <v>0.34937611408199643</v>
      </c>
      <c r="G1802">
        <v>1</v>
      </c>
    </row>
    <row r="1803" spans="3:7" x14ac:dyDescent="0.15">
      <c r="C1803" s="43">
        <v>515</v>
      </c>
      <c r="D1803" s="42">
        <v>0.3502673796791444</v>
      </c>
      <c r="E1803" s="42">
        <v>0.9609375</v>
      </c>
      <c r="F1803" s="42">
        <v>0.3502673796791444</v>
      </c>
      <c r="G1803">
        <v>1</v>
      </c>
    </row>
    <row r="1804" spans="3:7" x14ac:dyDescent="0.15">
      <c r="C1804" s="43">
        <v>516</v>
      </c>
      <c r="D1804" s="42">
        <v>0.35115864527629231</v>
      </c>
      <c r="E1804" s="42">
        <v>0.9609375</v>
      </c>
      <c r="F1804" s="42">
        <v>0.35115864527629231</v>
      </c>
      <c r="G1804">
        <v>1</v>
      </c>
    </row>
    <row r="1805" spans="3:7" x14ac:dyDescent="0.15">
      <c r="C1805" s="43">
        <v>517</v>
      </c>
      <c r="D1805" s="42">
        <v>0.35204991087344029</v>
      </c>
      <c r="E1805" s="42">
        <v>0.9609375</v>
      </c>
      <c r="F1805" s="42">
        <v>0.35204991087344029</v>
      </c>
      <c r="G1805">
        <v>1</v>
      </c>
    </row>
    <row r="1806" spans="3:7" x14ac:dyDescent="0.15">
      <c r="C1806" s="43">
        <v>518</v>
      </c>
      <c r="D1806" s="42">
        <v>0.35294117647058826</v>
      </c>
      <c r="E1806" s="42">
        <v>0.9609375</v>
      </c>
      <c r="F1806" s="42">
        <v>0.35294117647058826</v>
      </c>
      <c r="G1806">
        <v>1</v>
      </c>
    </row>
    <row r="1807" spans="3:7" x14ac:dyDescent="0.15">
      <c r="C1807" s="43">
        <v>519</v>
      </c>
      <c r="D1807" s="42">
        <v>0.35383244206773617</v>
      </c>
      <c r="E1807" s="42">
        <v>0.9609375</v>
      </c>
      <c r="F1807" s="42">
        <v>0.35383244206773617</v>
      </c>
      <c r="G1807">
        <v>1</v>
      </c>
    </row>
    <row r="1808" spans="3:7" x14ac:dyDescent="0.15">
      <c r="C1808" s="43">
        <v>520</v>
      </c>
      <c r="D1808" s="42">
        <v>0.35472370766488415</v>
      </c>
      <c r="E1808" s="42">
        <v>0.9609375</v>
      </c>
      <c r="F1808" s="42">
        <v>0.35472370766488415</v>
      </c>
      <c r="G1808">
        <v>1</v>
      </c>
    </row>
    <row r="1809" spans="3:7" x14ac:dyDescent="0.15">
      <c r="C1809" s="43">
        <v>521</v>
      </c>
      <c r="D1809" s="42">
        <v>0.35561497326203206</v>
      </c>
      <c r="E1809" s="42">
        <v>0.9609375</v>
      </c>
      <c r="F1809" s="42">
        <v>0.35561497326203206</v>
      </c>
      <c r="G1809">
        <v>1</v>
      </c>
    </row>
    <row r="1810" spans="3:7" x14ac:dyDescent="0.15">
      <c r="C1810" s="43">
        <v>522</v>
      </c>
      <c r="D1810" s="42">
        <v>0.35650623885918004</v>
      </c>
      <c r="E1810" s="42">
        <v>0.9609375</v>
      </c>
      <c r="F1810" s="42">
        <v>0.35650623885918004</v>
      </c>
      <c r="G1810">
        <v>1</v>
      </c>
    </row>
    <row r="1811" spans="3:7" x14ac:dyDescent="0.15">
      <c r="C1811" s="43">
        <v>523</v>
      </c>
      <c r="D1811" s="42">
        <v>0.35739750445632801</v>
      </c>
      <c r="E1811" s="42">
        <v>0.9609375</v>
      </c>
      <c r="F1811" s="42">
        <v>0.35739750445632801</v>
      </c>
      <c r="G1811">
        <v>1</v>
      </c>
    </row>
    <row r="1812" spans="3:7" x14ac:dyDescent="0.15">
      <c r="C1812" s="43">
        <v>524</v>
      </c>
      <c r="D1812" s="42">
        <v>0.35828877005347592</v>
      </c>
      <c r="E1812" s="42">
        <v>0.9609375</v>
      </c>
      <c r="F1812" s="42">
        <v>0.35828877005347592</v>
      </c>
      <c r="G1812">
        <v>1</v>
      </c>
    </row>
    <row r="1813" spans="3:7" x14ac:dyDescent="0.15">
      <c r="C1813" s="43">
        <v>525</v>
      </c>
      <c r="D1813" s="42">
        <v>0.3591800356506239</v>
      </c>
      <c r="E1813" s="42">
        <v>0.9609375</v>
      </c>
      <c r="F1813" s="42">
        <v>0.3591800356506239</v>
      </c>
      <c r="G1813">
        <v>1</v>
      </c>
    </row>
    <row r="1814" spans="3:7" x14ac:dyDescent="0.15">
      <c r="C1814" s="43">
        <v>526</v>
      </c>
      <c r="D1814" s="42">
        <v>0.36007130124777181</v>
      </c>
      <c r="E1814" s="42">
        <v>0.9609375</v>
      </c>
      <c r="F1814" s="42">
        <v>0.36007130124777181</v>
      </c>
      <c r="G1814">
        <v>1</v>
      </c>
    </row>
    <row r="1815" spans="3:7" x14ac:dyDescent="0.15">
      <c r="C1815" s="43">
        <v>527</v>
      </c>
      <c r="D1815" s="42">
        <v>0.36007130124777181</v>
      </c>
      <c r="E1815" s="42">
        <v>0.96875</v>
      </c>
      <c r="F1815" s="42">
        <v>0.36007130124777181</v>
      </c>
      <c r="G1815">
        <v>1</v>
      </c>
    </row>
    <row r="1816" spans="3:7" x14ac:dyDescent="0.15">
      <c r="C1816" s="43">
        <v>528</v>
      </c>
      <c r="D1816" s="42">
        <v>0.36096256684491979</v>
      </c>
      <c r="E1816" s="42">
        <v>0.96875</v>
      </c>
      <c r="F1816" s="42">
        <v>0.36096256684491979</v>
      </c>
      <c r="G1816">
        <v>1</v>
      </c>
    </row>
    <row r="1817" spans="3:7" x14ac:dyDescent="0.15">
      <c r="C1817" s="43">
        <v>529</v>
      </c>
      <c r="D1817" s="42">
        <v>0.36185383244206776</v>
      </c>
      <c r="E1817" s="42">
        <v>0.96875</v>
      </c>
      <c r="F1817" s="42">
        <v>0.36185383244206776</v>
      </c>
      <c r="G1817">
        <v>1</v>
      </c>
    </row>
    <row r="1818" spans="3:7" x14ac:dyDescent="0.15">
      <c r="C1818" s="43">
        <v>530</v>
      </c>
      <c r="D1818" s="42">
        <v>0.36274509803921567</v>
      </c>
      <c r="E1818" s="42">
        <v>0.96875</v>
      </c>
      <c r="F1818" s="42">
        <v>0.36274509803921567</v>
      </c>
      <c r="G1818">
        <v>1</v>
      </c>
    </row>
    <row r="1819" spans="3:7" x14ac:dyDescent="0.15">
      <c r="C1819" s="43">
        <v>531</v>
      </c>
      <c r="D1819" s="42">
        <v>0.36363636363636365</v>
      </c>
      <c r="E1819" s="42">
        <v>0.96875</v>
      </c>
      <c r="F1819" s="42">
        <v>0.36363636363636365</v>
      </c>
      <c r="G1819">
        <v>1</v>
      </c>
    </row>
    <row r="1820" spans="3:7" x14ac:dyDescent="0.15">
      <c r="C1820" s="43">
        <v>532</v>
      </c>
      <c r="D1820" s="42">
        <v>0.36452762923351156</v>
      </c>
      <c r="E1820" s="42">
        <v>0.96875</v>
      </c>
      <c r="F1820" s="42">
        <v>0.36452762923351156</v>
      </c>
      <c r="G1820">
        <v>1</v>
      </c>
    </row>
    <row r="1821" spans="3:7" x14ac:dyDescent="0.15">
      <c r="C1821" s="43">
        <v>533</v>
      </c>
      <c r="D1821" s="42">
        <v>0.36541889483065954</v>
      </c>
      <c r="E1821" s="42">
        <v>0.96875</v>
      </c>
      <c r="F1821" s="42">
        <v>0.36541889483065954</v>
      </c>
      <c r="G1821">
        <v>1</v>
      </c>
    </row>
    <row r="1822" spans="3:7" x14ac:dyDescent="0.15">
      <c r="C1822" s="43">
        <v>534</v>
      </c>
      <c r="D1822" s="42">
        <v>0.36631016042780751</v>
      </c>
      <c r="E1822" s="42">
        <v>0.96875</v>
      </c>
      <c r="F1822" s="42">
        <v>0.36631016042780751</v>
      </c>
      <c r="G1822">
        <v>1</v>
      </c>
    </row>
    <row r="1823" spans="3:7" x14ac:dyDescent="0.15">
      <c r="C1823" s="43">
        <v>535</v>
      </c>
      <c r="D1823" s="42">
        <v>0.36720142602495542</v>
      </c>
      <c r="E1823" s="42">
        <v>0.96875</v>
      </c>
      <c r="F1823" s="42">
        <v>0.36720142602495542</v>
      </c>
      <c r="G1823">
        <v>1</v>
      </c>
    </row>
    <row r="1824" spans="3:7" x14ac:dyDescent="0.15">
      <c r="C1824" s="43">
        <v>536</v>
      </c>
      <c r="D1824" s="42">
        <v>0.3680926916221034</v>
      </c>
      <c r="E1824" s="42">
        <v>0.96875</v>
      </c>
      <c r="F1824" s="42">
        <v>0.3680926916221034</v>
      </c>
      <c r="G1824">
        <v>1</v>
      </c>
    </row>
    <row r="1825" spans="3:7" x14ac:dyDescent="0.15">
      <c r="C1825" s="43">
        <v>537</v>
      </c>
      <c r="D1825" s="42">
        <v>0.36898395721925131</v>
      </c>
      <c r="E1825" s="42">
        <v>0.96875</v>
      </c>
      <c r="F1825" s="42">
        <v>0.36898395721925131</v>
      </c>
      <c r="G1825">
        <v>1</v>
      </c>
    </row>
    <row r="1826" spans="3:7" x14ac:dyDescent="0.15">
      <c r="C1826" s="43">
        <v>538</v>
      </c>
      <c r="D1826" s="42">
        <v>0.36987522281639929</v>
      </c>
      <c r="E1826" s="42">
        <v>0.96875</v>
      </c>
      <c r="F1826" s="42">
        <v>0.36987522281639929</v>
      </c>
      <c r="G1826">
        <v>1</v>
      </c>
    </row>
    <row r="1827" spans="3:7" x14ac:dyDescent="0.15">
      <c r="C1827" s="43">
        <v>539</v>
      </c>
      <c r="D1827" s="42">
        <v>0.37076648841354726</v>
      </c>
      <c r="E1827" s="42">
        <v>0.96875</v>
      </c>
      <c r="F1827" s="42">
        <v>0.37076648841354726</v>
      </c>
      <c r="G1827">
        <v>1</v>
      </c>
    </row>
    <row r="1828" spans="3:7" x14ac:dyDescent="0.15">
      <c r="C1828" s="43">
        <v>540</v>
      </c>
      <c r="D1828" s="42">
        <v>0.37076648841354726</v>
      </c>
      <c r="E1828" s="42">
        <v>0.9765625</v>
      </c>
      <c r="F1828" s="42">
        <v>0.37076648841354726</v>
      </c>
      <c r="G1828">
        <v>1</v>
      </c>
    </row>
    <row r="1829" spans="3:7" x14ac:dyDescent="0.15">
      <c r="C1829" s="43">
        <v>541</v>
      </c>
      <c r="D1829" s="42">
        <v>0.37165775401069517</v>
      </c>
      <c r="E1829" s="42">
        <v>0.9765625</v>
      </c>
      <c r="F1829" s="42">
        <v>0.37165775401069517</v>
      </c>
      <c r="G1829">
        <v>1</v>
      </c>
    </row>
    <row r="1830" spans="3:7" x14ac:dyDescent="0.15">
      <c r="C1830" s="43">
        <v>542</v>
      </c>
      <c r="D1830" s="42">
        <v>0.37254901960784315</v>
      </c>
      <c r="E1830" s="42">
        <v>0.9765625</v>
      </c>
      <c r="F1830" s="42">
        <v>0.37254901960784315</v>
      </c>
      <c r="G1830">
        <v>1</v>
      </c>
    </row>
    <row r="1831" spans="3:7" x14ac:dyDescent="0.15">
      <c r="C1831" s="43">
        <v>543</v>
      </c>
      <c r="D1831" s="42">
        <v>0.37344028520499106</v>
      </c>
      <c r="E1831" s="42">
        <v>0.9765625</v>
      </c>
      <c r="F1831" s="42">
        <v>0.37344028520499106</v>
      </c>
      <c r="G1831">
        <v>1</v>
      </c>
    </row>
    <row r="1832" spans="3:7" x14ac:dyDescent="0.15">
      <c r="C1832" s="43">
        <v>544</v>
      </c>
      <c r="D1832" s="42">
        <v>0.37433155080213903</v>
      </c>
      <c r="E1832" s="42">
        <v>0.9765625</v>
      </c>
      <c r="F1832" s="42">
        <v>0.37433155080213903</v>
      </c>
      <c r="G1832">
        <v>1</v>
      </c>
    </row>
    <row r="1833" spans="3:7" x14ac:dyDescent="0.15">
      <c r="C1833" s="43">
        <v>545</v>
      </c>
      <c r="D1833" s="42">
        <v>0.37522281639928701</v>
      </c>
      <c r="E1833" s="42">
        <v>0.9765625</v>
      </c>
      <c r="F1833" s="42">
        <v>0.37522281639928701</v>
      </c>
      <c r="G1833">
        <v>1</v>
      </c>
    </row>
    <row r="1834" spans="3:7" x14ac:dyDescent="0.15">
      <c r="C1834" s="43">
        <v>546</v>
      </c>
      <c r="D1834" s="42">
        <v>0.37611408199643492</v>
      </c>
      <c r="E1834" s="42">
        <v>0.9765625</v>
      </c>
      <c r="F1834" s="42">
        <v>0.37611408199643492</v>
      </c>
      <c r="G1834">
        <v>1</v>
      </c>
    </row>
    <row r="1835" spans="3:7" x14ac:dyDescent="0.15">
      <c r="C1835" s="43">
        <v>547</v>
      </c>
      <c r="D1835" s="42">
        <v>0.3770053475935829</v>
      </c>
      <c r="E1835" s="42">
        <v>0.9765625</v>
      </c>
      <c r="F1835" s="42">
        <v>0.3770053475935829</v>
      </c>
      <c r="G1835">
        <v>1</v>
      </c>
    </row>
    <row r="1836" spans="3:7" x14ac:dyDescent="0.15">
      <c r="C1836" s="43">
        <v>548</v>
      </c>
      <c r="D1836" s="42">
        <v>0.37789661319073081</v>
      </c>
      <c r="E1836" s="42">
        <v>0.9765625</v>
      </c>
      <c r="F1836" s="42">
        <v>0.37789661319073081</v>
      </c>
      <c r="G1836">
        <v>1</v>
      </c>
    </row>
    <row r="1837" spans="3:7" x14ac:dyDescent="0.15">
      <c r="C1837" s="43">
        <v>549</v>
      </c>
      <c r="D1837" s="42">
        <v>0.37878787878787878</v>
      </c>
      <c r="E1837" s="42">
        <v>0.9765625</v>
      </c>
      <c r="F1837" s="42">
        <v>0.37878787878787878</v>
      </c>
      <c r="G1837">
        <v>1</v>
      </c>
    </row>
    <row r="1838" spans="3:7" x14ac:dyDescent="0.15">
      <c r="C1838" s="43">
        <v>550</v>
      </c>
      <c r="D1838" s="42">
        <v>0.37967914438502676</v>
      </c>
      <c r="E1838" s="42">
        <v>0.9765625</v>
      </c>
      <c r="F1838" s="42">
        <v>0.37967914438502676</v>
      </c>
      <c r="G1838">
        <v>1</v>
      </c>
    </row>
    <row r="1839" spans="3:7" x14ac:dyDescent="0.15">
      <c r="C1839" s="43">
        <v>551</v>
      </c>
      <c r="D1839" s="42">
        <v>0.38057040998217467</v>
      </c>
      <c r="E1839" s="42">
        <v>0.9765625</v>
      </c>
      <c r="F1839" s="42">
        <v>0.38057040998217467</v>
      </c>
      <c r="G1839">
        <v>1</v>
      </c>
    </row>
    <row r="1840" spans="3:7" x14ac:dyDescent="0.15">
      <c r="C1840" s="43">
        <v>552</v>
      </c>
      <c r="D1840" s="42">
        <v>0.38146167557932265</v>
      </c>
      <c r="E1840" s="42">
        <v>0.9765625</v>
      </c>
      <c r="F1840" s="42">
        <v>0.38146167557932265</v>
      </c>
      <c r="G1840">
        <v>1</v>
      </c>
    </row>
    <row r="1841" spans="3:7" x14ac:dyDescent="0.15">
      <c r="C1841" s="43">
        <v>553</v>
      </c>
      <c r="D1841" s="42">
        <v>0.38235294117647056</v>
      </c>
      <c r="E1841" s="42">
        <v>0.9765625</v>
      </c>
      <c r="F1841" s="42">
        <v>0.38235294117647056</v>
      </c>
      <c r="G1841">
        <v>1</v>
      </c>
    </row>
    <row r="1842" spans="3:7" x14ac:dyDescent="0.15">
      <c r="C1842" s="43">
        <v>554</v>
      </c>
      <c r="D1842" s="42">
        <v>0.38324420677361853</v>
      </c>
      <c r="E1842" s="42">
        <v>0.9765625</v>
      </c>
      <c r="F1842" s="42">
        <v>0.38324420677361853</v>
      </c>
      <c r="G1842">
        <v>1</v>
      </c>
    </row>
    <row r="1843" spans="3:7" x14ac:dyDescent="0.15">
      <c r="C1843" s="43">
        <v>555</v>
      </c>
      <c r="D1843" s="42">
        <v>0.38413547237076651</v>
      </c>
      <c r="E1843" s="42">
        <v>0.9765625</v>
      </c>
      <c r="F1843" s="42">
        <v>0.38413547237076651</v>
      </c>
      <c r="G1843">
        <v>1</v>
      </c>
    </row>
    <row r="1844" spans="3:7" x14ac:dyDescent="0.15">
      <c r="C1844" s="43">
        <v>556</v>
      </c>
      <c r="D1844" s="42">
        <v>0.38502673796791442</v>
      </c>
      <c r="E1844" s="42">
        <v>0.9765625</v>
      </c>
      <c r="F1844" s="42">
        <v>0.38502673796791442</v>
      </c>
      <c r="G1844">
        <v>1</v>
      </c>
    </row>
    <row r="1845" spans="3:7" x14ac:dyDescent="0.15">
      <c r="C1845" s="43">
        <v>557</v>
      </c>
      <c r="D1845" s="42">
        <v>0.3859180035650624</v>
      </c>
      <c r="E1845" s="42">
        <v>0.9765625</v>
      </c>
      <c r="F1845" s="42">
        <v>0.3859180035650624</v>
      </c>
      <c r="G1845">
        <v>1</v>
      </c>
    </row>
    <row r="1846" spans="3:7" x14ac:dyDescent="0.15">
      <c r="C1846" s="43">
        <v>558</v>
      </c>
      <c r="D1846" s="42">
        <v>0.38680926916221031</v>
      </c>
      <c r="E1846" s="42">
        <v>0.9765625</v>
      </c>
      <c r="F1846" s="42">
        <v>0.38680926916221031</v>
      </c>
      <c r="G1846">
        <v>1</v>
      </c>
    </row>
    <row r="1847" spans="3:7" x14ac:dyDescent="0.15">
      <c r="C1847" s="43">
        <v>559</v>
      </c>
      <c r="D1847" s="42">
        <v>0.38770053475935828</v>
      </c>
      <c r="E1847" s="42">
        <v>0.9765625</v>
      </c>
      <c r="F1847" s="42">
        <v>0.38770053475935828</v>
      </c>
      <c r="G1847">
        <v>1</v>
      </c>
    </row>
    <row r="1848" spans="3:7" x14ac:dyDescent="0.15">
      <c r="C1848" s="43">
        <v>560</v>
      </c>
      <c r="D1848" s="42">
        <v>0.38859180035650626</v>
      </c>
      <c r="E1848" s="42">
        <v>0.9765625</v>
      </c>
      <c r="F1848" s="42">
        <v>0.38859180035650626</v>
      </c>
      <c r="G1848">
        <v>1</v>
      </c>
    </row>
    <row r="1849" spans="3:7" x14ac:dyDescent="0.15">
      <c r="C1849" s="43">
        <v>561</v>
      </c>
      <c r="D1849" s="42">
        <v>0.38948306595365417</v>
      </c>
      <c r="E1849" s="42">
        <v>0.9765625</v>
      </c>
      <c r="F1849" s="42">
        <v>0.38948306595365417</v>
      </c>
      <c r="G1849">
        <v>1</v>
      </c>
    </row>
    <row r="1850" spans="3:7" x14ac:dyDescent="0.15">
      <c r="C1850" s="43">
        <v>562</v>
      </c>
      <c r="D1850" s="42">
        <v>0.39037433155080214</v>
      </c>
      <c r="E1850" s="42">
        <v>0.9765625</v>
      </c>
      <c r="F1850" s="42">
        <v>0.39037433155080214</v>
      </c>
      <c r="G1850">
        <v>1</v>
      </c>
    </row>
    <row r="1851" spans="3:7" x14ac:dyDescent="0.15">
      <c r="C1851" s="43">
        <v>563</v>
      </c>
      <c r="D1851" s="42">
        <v>0.39126559714795006</v>
      </c>
      <c r="E1851" s="42">
        <v>0.9765625</v>
      </c>
      <c r="F1851" s="42">
        <v>0.39126559714795006</v>
      </c>
      <c r="G1851">
        <v>1</v>
      </c>
    </row>
    <row r="1852" spans="3:7" x14ac:dyDescent="0.15">
      <c r="C1852" s="43">
        <v>564</v>
      </c>
      <c r="D1852" s="42">
        <v>0.39215686274509803</v>
      </c>
      <c r="E1852" s="42">
        <v>0.9765625</v>
      </c>
      <c r="F1852" s="42">
        <v>0.39215686274509803</v>
      </c>
      <c r="G1852">
        <v>1</v>
      </c>
    </row>
    <row r="1853" spans="3:7" x14ac:dyDescent="0.15">
      <c r="C1853" s="43">
        <v>565</v>
      </c>
      <c r="D1853" s="42">
        <v>0.39304812834224601</v>
      </c>
      <c r="E1853" s="42">
        <v>0.9765625</v>
      </c>
      <c r="F1853" s="42">
        <v>0.39304812834224601</v>
      </c>
      <c r="G1853">
        <v>1</v>
      </c>
    </row>
    <row r="1854" spans="3:7" x14ac:dyDescent="0.15">
      <c r="C1854" s="43">
        <v>566</v>
      </c>
      <c r="D1854" s="42">
        <v>0.39393939393939392</v>
      </c>
      <c r="E1854" s="42">
        <v>0.9765625</v>
      </c>
      <c r="F1854" s="42">
        <v>0.39393939393939392</v>
      </c>
      <c r="G1854">
        <v>1</v>
      </c>
    </row>
    <row r="1855" spans="3:7" x14ac:dyDescent="0.15">
      <c r="C1855" s="43">
        <v>567</v>
      </c>
      <c r="D1855" s="42">
        <v>0.39483065953654189</v>
      </c>
      <c r="E1855" s="42">
        <v>0.9765625</v>
      </c>
      <c r="F1855" s="42">
        <v>0.39483065953654189</v>
      </c>
      <c r="G1855">
        <v>1</v>
      </c>
    </row>
    <row r="1856" spans="3:7" x14ac:dyDescent="0.15">
      <c r="C1856" s="43">
        <v>568</v>
      </c>
      <c r="D1856" s="42">
        <v>0.39572192513368987</v>
      </c>
      <c r="E1856" s="42">
        <v>0.9765625</v>
      </c>
      <c r="F1856" s="42">
        <v>0.39572192513368987</v>
      </c>
      <c r="G1856">
        <v>1</v>
      </c>
    </row>
    <row r="1857" spans="3:7" x14ac:dyDescent="0.15">
      <c r="C1857" s="43">
        <v>569</v>
      </c>
      <c r="D1857" s="42">
        <v>0.39661319073083778</v>
      </c>
      <c r="E1857" s="42">
        <v>0.9765625</v>
      </c>
      <c r="F1857" s="42">
        <v>0.39661319073083778</v>
      </c>
      <c r="G1857">
        <v>1</v>
      </c>
    </row>
    <row r="1858" spans="3:7" x14ac:dyDescent="0.15">
      <c r="C1858" s="43">
        <v>570</v>
      </c>
      <c r="D1858" s="42">
        <v>0.39750445632798576</v>
      </c>
      <c r="E1858" s="42">
        <v>0.9765625</v>
      </c>
      <c r="F1858" s="42">
        <v>0.39750445632798576</v>
      </c>
      <c r="G1858">
        <v>1</v>
      </c>
    </row>
    <row r="1859" spans="3:7" x14ac:dyDescent="0.15">
      <c r="C1859" s="43">
        <v>571</v>
      </c>
      <c r="D1859" s="42">
        <v>0.39839572192513367</v>
      </c>
      <c r="E1859" s="42">
        <v>0.9765625</v>
      </c>
      <c r="F1859" s="42">
        <v>0.39839572192513367</v>
      </c>
      <c r="G1859">
        <v>1</v>
      </c>
    </row>
    <row r="1860" spans="3:7" x14ac:dyDescent="0.15">
      <c r="C1860" s="43">
        <v>572</v>
      </c>
      <c r="D1860" s="42">
        <v>0.39928698752228164</v>
      </c>
      <c r="E1860" s="42">
        <v>0.9765625</v>
      </c>
      <c r="F1860" s="42">
        <v>0.39928698752228164</v>
      </c>
      <c r="G1860">
        <v>1</v>
      </c>
    </row>
    <row r="1861" spans="3:7" x14ac:dyDescent="0.15">
      <c r="C1861" s="43">
        <v>573</v>
      </c>
      <c r="D1861" s="42">
        <v>0.40017825311942962</v>
      </c>
      <c r="E1861" s="42">
        <v>0.9765625</v>
      </c>
      <c r="F1861" s="42">
        <v>0.40017825311942962</v>
      </c>
      <c r="G1861">
        <v>1</v>
      </c>
    </row>
    <row r="1862" spans="3:7" x14ac:dyDescent="0.15">
      <c r="C1862" s="43">
        <v>574</v>
      </c>
      <c r="D1862" s="42">
        <v>0.40106951871657753</v>
      </c>
      <c r="E1862" s="42">
        <v>0.9765625</v>
      </c>
      <c r="F1862" s="42">
        <v>0.40106951871657753</v>
      </c>
      <c r="G1862">
        <v>1</v>
      </c>
    </row>
    <row r="1863" spans="3:7" x14ac:dyDescent="0.15">
      <c r="C1863" s="43">
        <v>575</v>
      </c>
      <c r="D1863" s="42">
        <v>0.40196078431372551</v>
      </c>
      <c r="E1863" s="42">
        <v>0.9765625</v>
      </c>
      <c r="F1863" s="42">
        <v>0.40196078431372551</v>
      </c>
      <c r="G1863">
        <v>1</v>
      </c>
    </row>
    <row r="1864" spans="3:7" x14ac:dyDescent="0.15">
      <c r="C1864" s="43">
        <v>576</v>
      </c>
      <c r="D1864" s="42">
        <v>0.40285204991087342</v>
      </c>
      <c r="E1864" s="42">
        <v>0.9765625</v>
      </c>
      <c r="F1864" s="42">
        <v>0.40285204991087342</v>
      </c>
      <c r="G1864">
        <v>1</v>
      </c>
    </row>
    <row r="1865" spans="3:7" x14ac:dyDescent="0.15">
      <c r="C1865" s="43">
        <v>577</v>
      </c>
      <c r="D1865" s="42">
        <v>0.40374331550802139</v>
      </c>
      <c r="E1865" s="42">
        <v>0.9765625</v>
      </c>
      <c r="F1865" s="42">
        <v>0.40374331550802139</v>
      </c>
      <c r="G1865">
        <v>1</v>
      </c>
    </row>
    <row r="1866" spans="3:7" x14ac:dyDescent="0.15">
      <c r="C1866" s="43">
        <v>578</v>
      </c>
      <c r="D1866" s="42">
        <v>0.40463458110516937</v>
      </c>
      <c r="E1866" s="42">
        <v>0.9765625</v>
      </c>
      <c r="F1866" s="42">
        <v>0.40463458110516937</v>
      </c>
      <c r="G1866">
        <v>1</v>
      </c>
    </row>
    <row r="1867" spans="3:7" x14ac:dyDescent="0.15">
      <c r="C1867" s="43">
        <v>579</v>
      </c>
      <c r="D1867" s="42">
        <v>0.40552584670231728</v>
      </c>
      <c r="E1867" s="42">
        <v>0.9765625</v>
      </c>
      <c r="F1867" s="42">
        <v>0.40552584670231728</v>
      </c>
      <c r="G1867">
        <v>1</v>
      </c>
    </row>
    <row r="1868" spans="3:7" x14ac:dyDescent="0.15">
      <c r="C1868" s="43">
        <v>580</v>
      </c>
      <c r="D1868" s="42">
        <v>0.40641711229946526</v>
      </c>
      <c r="E1868" s="42">
        <v>0.9765625</v>
      </c>
      <c r="F1868" s="42">
        <v>0.40641711229946526</v>
      </c>
      <c r="G1868">
        <v>1</v>
      </c>
    </row>
    <row r="1869" spans="3:7" x14ac:dyDescent="0.15">
      <c r="C1869" s="43">
        <v>581</v>
      </c>
      <c r="D1869" s="42">
        <v>0.40730837789661317</v>
      </c>
      <c r="E1869" s="42">
        <v>0.9765625</v>
      </c>
      <c r="F1869" s="42">
        <v>0.40730837789661317</v>
      </c>
      <c r="G1869">
        <v>1</v>
      </c>
    </row>
    <row r="1870" spans="3:7" x14ac:dyDescent="0.15">
      <c r="C1870" s="43">
        <v>582</v>
      </c>
      <c r="D1870" s="42">
        <v>0.40819964349376114</v>
      </c>
      <c r="E1870" s="42">
        <v>0.9765625</v>
      </c>
      <c r="F1870" s="42">
        <v>0.40819964349376114</v>
      </c>
      <c r="G1870">
        <v>1</v>
      </c>
    </row>
    <row r="1871" spans="3:7" x14ac:dyDescent="0.15">
      <c r="C1871" s="43">
        <v>583</v>
      </c>
      <c r="D1871" s="42">
        <v>0.40909090909090912</v>
      </c>
      <c r="E1871" s="42">
        <v>0.9765625</v>
      </c>
      <c r="F1871" s="42">
        <v>0.40909090909090912</v>
      </c>
      <c r="G1871">
        <v>1</v>
      </c>
    </row>
    <row r="1872" spans="3:7" x14ac:dyDescent="0.15">
      <c r="C1872" s="43">
        <v>584</v>
      </c>
      <c r="D1872" s="42">
        <v>0.40998217468805703</v>
      </c>
      <c r="E1872" s="42">
        <v>0.9765625</v>
      </c>
      <c r="F1872" s="42">
        <v>0.40998217468805703</v>
      </c>
      <c r="G1872">
        <v>1</v>
      </c>
    </row>
    <row r="1873" spans="3:7" x14ac:dyDescent="0.15">
      <c r="C1873" s="43">
        <v>585</v>
      </c>
      <c r="D1873" s="42">
        <v>0.410873440285205</v>
      </c>
      <c r="E1873" s="42">
        <v>0.9765625</v>
      </c>
      <c r="F1873" s="42">
        <v>0.410873440285205</v>
      </c>
      <c r="G1873">
        <v>1</v>
      </c>
    </row>
    <row r="1874" spans="3:7" x14ac:dyDescent="0.15">
      <c r="C1874" s="43">
        <v>586</v>
      </c>
      <c r="D1874" s="42">
        <v>0.41176470588235292</v>
      </c>
      <c r="E1874" s="42">
        <v>0.9765625</v>
      </c>
      <c r="F1874" s="42">
        <v>0.41176470588235292</v>
      </c>
      <c r="G1874">
        <v>1</v>
      </c>
    </row>
    <row r="1875" spans="3:7" x14ac:dyDescent="0.15">
      <c r="C1875" s="43">
        <v>587</v>
      </c>
      <c r="D1875" s="42">
        <v>0.41265597147950089</v>
      </c>
      <c r="E1875" s="42">
        <v>0.9765625</v>
      </c>
      <c r="F1875" s="42">
        <v>0.41265597147950089</v>
      </c>
      <c r="G1875">
        <v>1</v>
      </c>
    </row>
    <row r="1876" spans="3:7" x14ac:dyDescent="0.15">
      <c r="C1876" s="43">
        <v>588</v>
      </c>
      <c r="D1876" s="42">
        <v>0.41354723707664887</v>
      </c>
      <c r="E1876" s="42">
        <v>0.9765625</v>
      </c>
      <c r="F1876" s="42">
        <v>0.41354723707664887</v>
      </c>
      <c r="G1876">
        <v>1</v>
      </c>
    </row>
    <row r="1877" spans="3:7" x14ac:dyDescent="0.15">
      <c r="C1877" s="43">
        <v>589</v>
      </c>
      <c r="D1877" s="42">
        <v>0.41443850267379678</v>
      </c>
      <c r="E1877" s="42">
        <v>0.9765625</v>
      </c>
      <c r="F1877" s="42">
        <v>0.41443850267379678</v>
      </c>
      <c r="G1877">
        <v>1</v>
      </c>
    </row>
    <row r="1878" spans="3:7" x14ac:dyDescent="0.15">
      <c r="C1878" s="43">
        <v>590</v>
      </c>
      <c r="D1878" s="42">
        <v>0.41532976827094475</v>
      </c>
      <c r="E1878" s="42">
        <v>0.9765625</v>
      </c>
      <c r="F1878" s="42">
        <v>0.41532976827094475</v>
      </c>
      <c r="G1878">
        <v>1</v>
      </c>
    </row>
    <row r="1879" spans="3:7" x14ac:dyDescent="0.15">
      <c r="C1879" s="43">
        <v>591</v>
      </c>
      <c r="D1879" s="42">
        <v>0.41622103386809267</v>
      </c>
      <c r="E1879" s="42">
        <v>0.9765625</v>
      </c>
      <c r="F1879" s="42">
        <v>0.41622103386809267</v>
      </c>
      <c r="G1879">
        <v>1</v>
      </c>
    </row>
    <row r="1880" spans="3:7" x14ac:dyDescent="0.15">
      <c r="C1880" s="43">
        <v>592</v>
      </c>
      <c r="D1880" s="42">
        <v>0.41711229946524064</v>
      </c>
      <c r="E1880" s="42">
        <v>0.9765625</v>
      </c>
      <c r="F1880" s="42">
        <v>0.41711229946524064</v>
      </c>
      <c r="G1880">
        <v>1</v>
      </c>
    </row>
    <row r="1881" spans="3:7" x14ac:dyDescent="0.15">
      <c r="C1881" s="43">
        <v>593</v>
      </c>
      <c r="D1881" s="42">
        <v>0.41800356506238862</v>
      </c>
      <c r="E1881" s="42">
        <v>0.9765625</v>
      </c>
      <c r="F1881" s="42">
        <v>0.41800356506238862</v>
      </c>
      <c r="G1881">
        <v>1</v>
      </c>
    </row>
    <row r="1882" spans="3:7" x14ac:dyDescent="0.15">
      <c r="C1882" s="43">
        <v>594</v>
      </c>
      <c r="D1882" s="42">
        <v>0.41889483065953653</v>
      </c>
      <c r="E1882" s="42">
        <v>0.9765625</v>
      </c>
      <c r="F1882" s="42">
        <v>0.41889483065953653</v>
      </c>
      <c r="G1882">
        <v>1</v>
      </c>
    </row>
    <row r="1883" spans="3:7" x14ac:dyDescent="0.15">
      <c r="C1883" s="43">
        <v>595</v>
      </c>
      <c r="D1883" s="42">
        <v>0.4197860962566845</v>
      </c>
      <c r="E1883" s="42">
        <v>0.9765625</v>
      </c>
      <c r="F1883" s="42">
        <v>0.4197860962566845</v>
      </c>
      <c r="G1883">
        <v>1</v>
      </c>
    </row>
    <row r="1884" spans="3:7" x14ac:dyDescent="0.15">
      <c r="C1884" s="43">
        <v>596</v>
      </c>
      <c r="D1884" s="42">
        <v>0.42067736185383242</v>
      </c>
      <c r="E1884" s="42">
        <v>0.9765625</v>
      </c>
      <c r="F1884" s="42">
        <v>0.42067736185383242</v>
      </c>
      <c r="G1884">
        <v>1</v>
      </c>
    </row>
    <row r="1885" spans="3:7" x14ac:dyDescent="0.15">
      <c r="C1885" s="43">
        <v>597</v>
      </c>
      <c r="D1885" s="42">
        <v>0.42156862745098039</v>
      </c>
      <c r="E1885" s="42">
        <v>0.9765625</v>
      </c>
      <c r="F1885" s="42">
        <v>0.42156862745098039</v>
      </c>
      <c r="G1885">
        <v>1</v>
      </c>
    </row>
    <row r="1886" spans="3:7" x14ac:dyDescent="0.15">
      <c r="C1886" s="43">
        <v>598</v>
      </c>
      <c r="D1886" s="42">
        <v>0.42245989304812837</v>
      </c>
      <c r="E1886" s="42">
        <v>0.9765625</v>
      </c>
      <c r="F1886" s="42">
        <v>0.42245989304812837</v>
      </c>
      <c r="G1886">
        <v>1</v>
      </c>
    </row>
    <row r="1887" spans="3:7" x14ac:dyDescent="0.15">
      <c r="C1887" s="43">
        <v>599</v>
      </c>
      <c r="D1887" s="42">
        <v>0.42335115864527628</v>
      </c>
      <c r="E1887" s="42">
        <v>0.9765625</v>
      </c>
      <c r="F1887" s="42">
        <v>0.42335115864527628</v>
      </c>
      <c r="G1887">
        <v>1</v>
      </c>
    </row>
    <row r="1888" spans="3:7" x14ac:dyDescent="0.15">
      <c r="C1888" s="43">
        <v>600</v>
      </c>
      <c r="D1888" s="42">
        <v>0.42424242424242425</v>
      </c>
      <c r="E1888" s="42">
        <v>0.9765625</v>
      </c>
      <c r="F1888" s="42">
        <v>0.42424242424242425</v>
      </c>
      <c r="G1888">
        <v>1</v>
      </c>
    </row>
    <row r="1889" spans="3:7" x14ac:dyDescent="0.15">
      <c r="C1889" s="43">
        <v>601</v>
      </c>
      <c r="D1889" s="42">
        <v>0.42513368983957217</v>
      </c>
      <c r="E1889" s="42">
        <v>0.9765625</v>
      </c>
      <c r="F1889" s="42">
        <v>0.42513368983957217</v>
      </c>
      <c r="G1889">
        <v>1</v>
      </c>
    </row>
    <row r="1890" spans="3:7" x14ac:dyDescent="0.15">
      <c r="C1890" s="43">
        <v>602</v>
      </c>
      <c r="D1890" s="42">
        <v>0.42602495543672014</v>
      </c>
      <c r="E1890" s="42">
        <v>0.9765625</v>
      </c>
      <c r="F1890" s="42">
        <v>0.42602495543672014</v>
      </c>
      <c r="G1890">
        <v>1</v>
      </c>
    </row>
    <row r="1891" spans="3:7" x14ac:dyDescent="0.15">
      <c r="C1891" s="43">
        <v>603</v>
      </c>
      <c r="D1891" s="42">
        <v>0.42691622103386812</v>
      </c>
      <c r="E1891" s="42">
        <v>0.9765625</v>
      </c>
      <c r="F1891" s="42">
        <v>0.42691622103386812</v>
      </c>
      <c r="G1891">
        <v>1</v>
      </c>
    </row>
    <row r="1892" spans="3:7" x14ac:dyDescent="0.15">
      <c r="C1892" s="43">
        <v>604</v>
      </c>
      <c r="D1892" s="42">
        <v>0.42780748663101603</v>
      </c>
      <c r="E1892" s="42">
        <v>0.9765625</v>
      </c>
      <c r="F1892" s="42">
        <v>0.42780748663101603</v>
      </c>
      <c r="G1892">
        <v>1</v>
      </c>
    </row>
    <row r="1893" spans="3:7" x14ac:dyDescent="0.15">
      <c r="C1893" s="43">
        <v>605</v>
      </c>
      <c r="D1893" s="42">
        <v>0.428698752228164</v>
      </c>
      <c r="E1893" s="42">
        <v>0.9765625</v>
      </c>
      <c r="F1893" s="42">
        <v>0.428698752228164</v>
      </c>
      <c r="G1893">
        <v>1</v>
      </c>
    </row>
    <row r="1894" spans="3:7" x14ac:dyDescent="0.15">
      <c r="C1894" s="43">
        <v>606</v>
      </c>
      <c r="D1894" s="42">
        <v>0.42959001782531192</v>
      </c>
      <c r="E1894" s="42">
        <v>0.9765625</v>
      </c>
      <c r="F1894" s="42">
        <v>0.42959001782531192</v>
      </c>
      <c r="G1894">
        <v>1</v>
      </c>
    </row>
    <row r="1895" spans="3:7" x14ac:dyDescent="0.15">
      <c r="C1895" s="43">
        <v>607</v>
      </c>
      <c r="D1895" s="42">
        <v>0.43048128342245989</v>
      </c>
      <c r="E1895" s="42">
        <v>0.9765625</v>
      </c>
      <c r="F1895" s="42">
        <v>0.43048128342245989</v>
      </c>
      <c r="G1895">
        <v>1</v>
      </c>
    </row>
    <row r="1896" spans="3:7" x14ac:dyDescent="0.15">
      <c r="C1896" s="43">
        <v>608</v>
      </c>
      <c r="D1896" s="42">
        <v>0.43137254901960786</v>
      </c>
      <c r="E1896" s="42">
        <v>0.9765625</v>
      </c>
      <c r="F1896" s="42">
        <v>0.43137254901960786</v>
      </c>
      <c r="G1896">
        <v>1</v>
      </c>
    </row>
    <row r="1897" spans="3:7" x14ac:dyDescent="0.15">
      <c r="C1897" s="43">
        <v>609</v>
      </c>
      <c r="D1897" s="42">
        <v>0.43226381461675578</v>
      </c>
      <c r="E1897" s="42">
        <v>0.9765625</v>
      </c>
      <c r="F1897" s="42">
        <v>0.43226381461675578</v>
      </c>
      <c r="G1897">
        <v>1</v>
      </c>
    </row>
    <row r="1898" spans="3:7" x14ac:dyDescent="0.15">
      <c r="C1898" s="43">
        <v>610</v>
      </c>
      <c r="D1898" s="42">
        <v>0.43315508021390375</v>
      </c>
      <c r="E1898" s="42">
        <v>0.9765625</v>
      </c>
      <c r="F1898" s="42">
        <v>0.43315508021390375</v>
      </c>
      <c r="G1898">
        <v>1</v>
      </c>
    </row>
    <row r="1899" spans="3:7" x14ac:dyDescent="0.15">
      <c r="C1899" s="43">
        <v>611</v>
      </c>
      <c r="D1899" s="42">
        <v>0.43404634581105167</v>
      </c>
      <c r="E1899" s="42">
        <v>0.9765625</v>
      </c>
      <c r="F1899" s="42">
        <v>0.43404634581105167</v>
      </c>
      <c r="G1899">
        <v>1</v>
      </c>
    </row>
    <row r="1900" spans="3:7" x14ac:dyDescent="0.15">
      <c r="C1900" s="43">
        <v>612</v>
      </c>
      <c r="D1900" s="42">
        <v>0.43493761140819964</v>
      </c>
      <c r="E1900" s="42">
        <v>0.9765625</v>
      </c>
      <c r="F1900" s="42">
        <v>0.43493761140819964</v>
      </c>
      <c r="G1900">
        <v>1</v>
      </c>
    </row>
    <row r="1901" spans="3:7" x14ac:dyDescent="0.15">
      <c r="C1901" s="43">
        <v>613</v>
      </c>
      <c r="D1901" s="42">
        <v>0.43582887700534761</v>
      </c>
      <c r="E1901" s="42">
        <v>0.9765625</v>
      </c>
      <c r="F1901" s="42">
        <v>0.43582887700534761</v>
      </c>
      <c r="G1901">
        <v>1</v>
      </c>
    </row>
    <row r="1902" spans="3:7" x14ac:dyDescent="0.15">
      <c r="C1902" s="43">
        <v>614</v>
      </c>
      <c r="D1902" s="42">
        <v>0.43672014260249553</v>
      </c>
      <c r="E1902" s="42">
        <v>0.9765625</v>
      </c>
      <c r="F1902" s="42">
        <v>0.43672014260249553</v>
      </c>
      <c r="G1902">
        <v>1</v>
      </c>
    </row>
    <row r="1903" spans="3:7" x14ac:dyDescent="0.15">
      <c r="C1903" s="43">
        <v>615</v>
      </c>
      <c r="D1903" s="42">
        <v>0.4376114081996435</v>
      </c>
      <c r="E1903" s="42">
        <v>0.9765625</v>
      </c>
      <c r="F1903" s="42">
        <v>0.4376114081996435</v>
      </c>
      <c r="G1903">
        <v>1</v>
      </c>
    </row>
    <row r="1904" spans="3:7" x14ac:dyDescent="0.15">
      <c r="C1904" s="43">
        <v>616</v>
      </c>
      <c r="D1904" s="42">
        <v>0.43850267379679142</v>
      </c>
      <c r="E1904" s="42">
        <v>0.9765625</v>
      </c>
      <c r="F1904" s="42">
        <v>0.43850267379679142</v>
      </c>
      <c r="G1904">
        <v>1</v>
      </c>
    </row>
    <row r="1905" spans="3:7" x14ac:dyDescent="0.15">
      <c r="C1905" s="43">
        <v>617</v>
      </c>
      <c r="D1905" s="42">
        <v>0.43939393939393939</v>
      </c>
      <c r="E1905" s="42">
        <v>0.9765625</v>
      </c>
      <c r="F1905" s="42">
        <v>0.43939393939393939</v>
      </c>
      <c r="G1905">
        <v>1</v>
      </c>
    </row>
    <row r="1906" spans="3:7" x14ac:dyDescent="0.15">
      <c r="C1906" s="43">
        <v>618</v>
      </c>
      <c r="D1906" s="42">
        <v>0.44028520499108736</v>
      </c>
      <c r="E1906" s="42">
        <v>0.9765625</v>
      </c>
      <c r="F1906" s="42">
        <v>0.44028520499108736</v>
      </c>
      <c r="G1906">
        <v>1</v>
      </c>
    </row>
    <row r="1907" spans="3:7" x14ac:dyDescent="0.15">
      <c r="C1907" s="43">
        <v>619</v>
      </c>
      <c r="D1907" s="42">
        <v>0.44117647058823528</v>
      </c>
      <c r="E1907" s="42">
        <v>0.9765625</v>
      </c>
      <c r="F1907" s="42">
        <v>0.44117647058823528</v>
      </c>
      <c r="G1907">
        <v>1</v>
      </c>
    </row>
    <row r="1908" spans="3:7" x14ac:dyDescent="0.15">
      <c r="C1908" s="43">
        <v>620</v>
      </c>
      <c r="D1908" s="42">
        <v>0.44206773618538325</v>
      </c>
      <c r="E1908" s="42">
        <v>0.9765625</v>
      </c>
      <c r="F1908" s="42">
        <v>0.44206773618538325</v>
      </c>
      <c r="G1908">
        <v>1</v>
      </c>
    </row>
    <row r="1909" spans="3:7" x14ac:dyDescent="0.15">
      <c r="C1909" s="43">
        <v>621</v>
      </c>
      <c r="D1909" s="42">
        <v>0.44295900178253117</v>
      </c>
      <c r="E1909" s="42">
        <v>0.9765625</v>
      </c>
      <c r="F1909" s="42">
        <v>0.44295900178253117</v>
      </c>
      <c r="G1909">
        <v>1</v>
      </c>
    </row>
    <row r="1910" spans="3:7" x14ac:dyDescent="0.15">
      <c r="C1910" s="43">
        <v>622</v>
      </c>
      <c r="D1910" s="42">
        <v>0.44385026737967914</v>
      </c>
      <c r="E1910" s="42">
        <v>0.9765625</v>
      </c>
      <c r="F1910" s="42">
        <v>0.44385026737967914</v>
      </c>
      <c r="G1910">
        <v>1</v>
      </c>
    </row>
    <row r="1911" spans="3:7" x14ac:dyDescent="0.15">
      <c r="C1911" s="43">
        <v>623</v>
      </c>
      <c r="D1911" s="42">
        <v>0.44385026737967914</v>
      </c>
      <c r="E1911" s="42">
        <v>0.984375</v>
      </c>
      <c r="F1911" s="42">
        <v>0.44385026737967914</v>
      </c>
      <c r="G1911">
        <v>1</v>
      </c>
    </row>
    <row r="1912" spans="3:7" x14ac:dyDescent="0.15">
      <c r="C1912" s="43">
        <v>624</v>
      </c>
      <c r="D1912" s="42">
        <v>0.44474153297682711</v>
      </c>
      <c r="E1912" s="42">
        <v>0.984375</v>
      </c>
      <c r="F1912" s="42">
        <v>0.44474153297682711</v>
      </c>
      <c r="G1912">
        <v>1</v>
      </c>
    </row>
    <row r="1913" spans="3:7" x14ac:dyDescent="0.15">
      <c r="C1913" s="43">
        <v>625</v>
      </c>
      <c r="D1913" s="42">
        <v>0.44563279857397503</v>
      </c>
      <c r="E1913" s="42">
        <v>0.984375</v>
      </c>
      <c r="F1913" s="42">
        <v>0.44563279857397503</v>
      </c>
      <c r="G1913">
        <v>1</v>
      </c>
    </row>
    <row r="1914" spans="3:7" x14ac:dyDescent="0.15">
      <c r="C1914" s="43">
        <v>626</v>
      </c>
      <c r="D1914" s="42">
        <v>0.446524064171123</v>
      </c>
      <c r="E1914" s="42">
        <v>0.984375</v>
      </c>
      <c r="F1914" s="42">
        <v>0.446524064171123</v>
      </c>
      <c r="G1914">
        <v>1</v>
      </c>
    </row>
    <row r="1915" spans="3:7" x14ac:dyDescent="0.15">
      <c r="C1915" s="43">
        <v>627</v>
      </c>
      <c r="D1915" s="42">
        <v>0.44741532976827092</v>
      </c>
      <c r="E1915" s="42">
        <v>0.984375</v>
      </c>
      <c r="F1915" s="42">
        <v>0.44741532976827092</v>
      </c>
      <c r="G1915">
        <v>1</v>
      </c>
    </row>
    <row r="1916" spans="3:7" x14ac:dyDescent="0.15">
      <c r="C1916" s="43">
        <v>628</v>
      </c>
      <c r="D1916" s="42">
        <v>0.44830659536541889</v>
      </c>
      <c r="E1916" s="42">
        <v>0.984375</v>
      </c>
      <c r="F1916" s="42">
        <v>0.44830659536541889</v>
      </c>
      <c r="G1916">
        <v>1</v>
      </c>
    </row>
    <row r="1917" spans="3:7" x14ac:dyDescent="0.15">
      <c r="C1917" s="43">
        <v>629</v>
      </c>
      <c r="D1917" s="42">
        <v>0.44919786096256686</v>
      </c>
      <c r="E1917" s="42">
        <v>0.984375</v>
      </c>
      <c r="F1917" s="42">
        <v>0.44919786096256686</v>
      </c>
      <c r="G1917">
        <v>1</v>
      </c>
    </row>
    <row r="1918" spans="3:7" x14ac:dyDescent="0.15">
      <c r="C1918" s="43">
        <v>630</v>
      </c>
      <c r="D1918" s="42">
        <v>0.45008912655971478</v>
      </c>
      <c r="E1918" s="42">
        <v>0.984375</v>
      </c>
      <c r="F1918" s="42">
        <v>0.45008912655971478</v>
      </c>
      <c r="G1918">
        <v>1</v>
      </c>
    </row>
    <row r="1919" spans="3:7" x14ac:dyDescent="0.15">
      <c r="C1919" s="43">
        <v>631</v>
      </c>
      <c r="D1919" s="42">
        <v>0.45098039215686275</v>
      </c>
      <c r="E1919" s="42">
        <v>0.984375</v>
      </c>
      <c r="F1919" s="42">
        <v>0.45098039215686275</v>
      </c>
      <c r="G1919">
        <v>1</v>
      </c>
    </row>
    <row r="1920" spans="3:7" x14ac:dyDescent="0.15">
      <c r="C1920" s="43">
        <v>632</v>
      </c>
      <c r="D1920" s="42">
        <v>0.45187165775401067</v>
      </c>
      <c r="E1920" s="42">
        <v>0.984375</v>
      </c>
      <c r="F1920" s="42">
        <v>0.45187165775401067</v>
      </c>
      <c r="G1920">
        <v>1</v>
      </c>
    </row>
    <row r="1921" spans="3:7" x14ac:dyDescent="0.15">
      <c r="C1921" s="43">
        <v>633</v>
      </c>
      <c r="D1921" s="42">
        <v>0.45276292335115864</v>
      </c>
      <c r="E1921" s="42">
        <v>0.984375</v>
      </c>
      <c r="F1921" s="42">
        <v>0.45276292335115864</v>
      </c>
      <c r="G1921">
        <v>1</v>
      </c>
    </row>
    <row r="1922" spans="3:7" x14ac:dyDescent="0.15">
      <c r="C1922" s="43">
        <v>634</v>
      </c>
      <c r="D1922" s="42">
        <v>0.45365418894830661</v>
      </c>
      <c r="E1922" s="42">
        <v>0.984375</v>
      </c>
      <c r="F1922" s="42">
        <v>0.45365418894830661</v>
      </c>
      <c r="G1922">
        <v>1</v>
      </c>
    </row>
    <row r="1923" spans="3:7" x14ac:dyDescent="0.15">
      <c r="C1923" s="43">
        <v>635</v>
      </c>
      <c r="D1923" s="42">
        <v>0.45454545454545453</v>
      </c>
      <c r="E1923" s="42">
        <v>0.984375</v>
      </c>
      <c r="F1923" s="42">
        <v>0.45454545454545453</v>
      </c>
      <c r="G1923">
        <v>1</v>
      </c>
    </row>
    <row r="1924" spans="3:7" x14ac:dyDescent="0.15">
      <c r="C1924" s="43">
        <v>636</v>
      </c>
      <c r="D1924" s="42">
        <v>0.4554367201426025</v>
      </c>
      <c r="E1924" s="42">
        <v>0.984375</v>
      </c>
      <c r="F1924" s="42">
        <v>0.4554367201426025</v>
      </c>
      <c r="G1924">
        <v>1</v>
      </c>
    </row>
    <row r="1925" spans="3:7" x14ac:dyDescent="0.15">
      <c r="C1925" s="43">
        <v>637</v>
      </c>
      <c r="D1925" s="42">
        <v>0.45632798573975042</v>
      </c>
      <c r="E1925" s="42">
        <v>0.984375</v>
      </c>
      <c r="F1925" s="42">
        <v>0.45632798573975042</v>
      </c>
      <c r="G1925">
        <v>1</v>
      </c>
    </row>
    <row r="1926" spans="3:7" x14ac:dyDescent="0.15">
      <c r="C1926" s="43">
        <v>638</v>
      </c>
      <c r="D1926" s="42">
        <v>0.45721925133689839</v>
      </c>
      <c r="E1926" s="42">
        <v>0.984375</v>
      </c>
      <c r="F1926" s="42">
        <v>0.45721925133689839</v>
      </c>
      <c r="G1926">
        <v>1</v>
      </c>
    </row>
    <row r="1927" spans="3:7" x14ac:dyDescent="0.15">
      <c r="C1927" s="43">
        <v>639</v>
      </c>
      <c r="D1927" s="42">
        <v>0.45811051693404636</v>
      </c>
      <c r="E1927" s="42">
        <v>0.984375</v>
      </c>
      <c r="F1927" s="42">
        <v>0.45811051693404636</v>
      </c>
      <c r="G1927">
        <v>1</v>
      </c>
    </row>
    <row r="1928" spans="3:7" x14ac:dyDescent="0.15">
      <c r="C1928" s="43">
        <v>640</v>
      </c>
      <c r="D1928" s="42">
        <v>0.45900178253119428</v>
      </c>
      <c r="E1928" s="42">
        <v>0.984375</v>
      </c>
      <c r="F1928" s="42">
        <v>0.45900178253119428</v>
      </c>
      <c r="G1928">
        <v>1</v>
      </c>
    </row>
    <row r="1929" spans="3:7" x14ac:dyDescent="0.15">
      <c r="C1929" s="43">
        <v>641</v>
      </c>
      <c r="D1929" s="42">
        <v>0.45989304812834225</v>
      </c>
      <c r="E1929" s="42">
        <v>0.984375</v>
      </c>
      <c r="F1929" s="42">
        <v>0.45989304812834225</v>
      </c>
      <c r="G1929">
        <v>1</v>
      </c>
    </row>
    <row r="1930" spans="3:7" x14ac:dyDescent="0.15">
      <c r="C1930" s="43">
        <v>642</v>
      </c>
      <c r="D1930" s="42">
        <v>0.46078431372549017</v>
      </c>
      <c r="E1930" s="42">
        <v>0.984375</v>
      </c>
      <c r="F1930" s="42">
        <v>0.46078431372549017</v>
      </c>
      <c r="G1930">
        <v>1</v>
      </c>
    </row>
    <row r="1931" spans="3:7" x14ac:dyDescent="0.15">
      <c r="C1931" s="43">
        <v>643</v>
      </c>
      <c r="D1931" s="42">
        <v>0.46167557932263814</v>
      </c>
      <c r="E1931" s="42">
        <v>0.984375</v>
      </c>
      <c r="F1931" s="42">
        <v>0.46167557932263814</v>
      </c>
      <c r="G1931">
        <v>1</v>
      </c>
    </row>
    <row r="1932" spans="3:7" x14ac:dyDescent="0.15">
      <c r="C1932" s="43">
        <v>644</v>
      </c>
      <c r="D1932" s="42">
        <v>0.46256684491978611</v>
      </c>
      <c r="E1932" s="42">
        <v>0.984375</v>
      </c>
      <c r="F1932" s="42">
        <v>0.46256684491978611</v>
      </c>
      <c r="G1932">
        <v>1</v>
      </c>
    </row>
    <row r="1933" spans="3:7" x14ac:dyDescent="0.15">
      <c r="C1933" s="43">
        <v>645</v>
      </c>
      <c r="D1933" s="42">
        <v>0.46345811051693403</v>
      </c>
      <c r="E1933" s="42">
        <v>0.984375</v>
      </c>
      <c r="F1933" s="42">
        <v>0.46345811051693403</v>
      </c>
      <c r="G1933">
        <v>1</v>
      </c>
    </row>
    <row r="1934" spans="3:7" x14ac:dyDescent="0.15">
      <c r="C1934" s="43">
        <v>646</v>
      </c>
      <c r="D1934" s="42">
        <v>0.464349376114082</v>
      </c>
      <c r="E1934" s="42">
        <v>0.984375</v>
      </c>
      <c r="F1934" s="42">
        <v>0.464349376114082</v>
      </c>
      <c r="G1934">
        <v>1</v>
      </c>
    </row>
    <row r="1935" spans="3:7" x14ac:dyDescent="0.15">
      <c r="C1935" s="43">
        <v>647</v>
      </c>
      <c r="D1935" s="42">
        <v>0.46524064171122997</v>
      </c>
      <c r="E1935" s="42">
        <v>0.984375</v>
      </c>
      <c r="F1935" s="42">
        <v>0.46524064171122997</v>
      </c>
      <c r="G1935">
        <v>1</v>
      </c>
    </row>
    <row r="1936" spans="3:7" x14ac:dyDescent="0.15">
      <c r="C1936" s="43">
        <v>648</v>
      </c>
      <c r="D1936" s="42">
        <v>0.46613190730837789</v>
      </c>
      <c r="E1936" s="42">
        <v>0.984375</v>
      </c>
      <c r="F1936" s="42">
        <v>0.46613190730837789</v>
      </c>
      <c r="G1936">
        <v>1</v>
      </c>
    </row>
    <row r="1937" spans="3:7" x14ac:dyDescent="0.15">
      <c r="C1937" s="43">
        <v>649</v>
      </c>
      <c r="D1937" s="42">
        <v>0.46702317290552586</v>
      </c>
      <c r="E1937" s="42">
        <v>0.984375</v>
      </c>
      <c r="F1937" s="42">
        <v>0.46702317290552586</v>
      </c>
      <c r="G1937">
        <v>1</v>
      </c>
    </row>
    <row r="1938" spans="3:7" x14ac:dyDescent="0.15">
      <c r="C1938" s="43">
        <v>650</v>
      </c>
      <c r="D1938" s="42">
        <v>0.46791443850267378</v>
      </c>
      <c r="E1938" s="42">
        <v>0.984375</v>
      </c>
      <c r="F1938" s="42">
        <v>0.46791443850267378</v>
      </c>
      <c r="G1938">
        <v>1</v>
      </c>
    </row>
    <row r="1939" spans="3:7" x14ac:dyDescent="0.15">
      <c r="C1939" s="43">
        <v>651</v>
      </c>
      <c r="D1939" s="42">
        <v>0.46880570409982175</v>
      </c>
      <c r="E1939" s="42">
        <v>0.984375</v>
      </c>
      <c r="F1939" s="42">
        <v>0.46880570409982175</v>
      </c>
      <c r="G1939">
        <v>1</v>
      </c>
    </row>
    <row r="1940" spans="3:7" x14ac:dyDescent="0.15">
      <c r="C1940" s="43">
        <v>652</v>
      </c>
      <c r="D1940" s="42">
        <v>0.46969696969696972</v>
      </c>
      <c r="E1940" s="42">
        <v>0.984375</v>
      </c>
      <c r="F1940" s="42">
        <v>0.46969696969696972</v>
      </c>
      <c r="G1940">
        <v>1</v>
      </c>
    </row>
    <row r="1941" spans="3:7" x14ac:dyDescent="0.15">
      <c r="C1941" s="43">
        <v>653</v>
      </c>
      <c r="D1941" s="42">
        <v>0.47058823529411764</v>
      </c>
      <c r="E1941" s="42">
        <v>0.984375</v>
      </c>
      <c r="F1941" s="42">
        <v>0.47058823529411764</v>
      </c>
      <c r="G1941">
        <v>1</v>
      </c>
    </row>
    <row r="1942" spans="3:7" x14ac:dyDescent="0.15">
      <c r="C1942" s="43">
        <v>654</v>
      </c>
      <c r="D1942" s="42">
        <v>0.47147950089126561</v>
      </c>
      <c r="E1942" s="42">
        <v>0.984375</v>
      </c>
      <c r="F1942" s="42">
        <v>0.47147950089126561</v>
      </c>
      <c r="G1942">
        <v>1</v>
      </c>
    </row>
    <row r="1943" spans="3:7" x14ac:dyDescent="0.15">
      <c r="C1943" s="43">
        <v>655</v>
      </c>
      <c r="D1943" s="42">
        <v>0.47237076648841353</v>
      </c>
      <c r="E1943" s="42">
        <v>0.984375</v>
      </c>
      <c r="F1943" s="42">
        <v>0.47237076648841353</v>
      </c>
      <c r="G1943">
        <v>1</v>
      </c>
    </row>
    <row r="1944" spans="3:7" x14ac:dyDescent="0.15">
      <c r="C1944" s="43">
        <v>656</v>
      </c>
      <c r="D1944" s="42">
        <v>0.4732620320855615</v>
      </c>
      <c r="E1944" s="42">
        <v>0.984375</v>
      </c>
      <c r="F1944" s="42">
        <v>0.4732620320855615</v>
      </c>
      <c r="G1944">
        <v>1</v>
      </c>
    </row>
    <row r="1945" spans="3:7" x14ac:dyDescent="0.15">
      <c r="C1945" s="43">
        <v>657</v>
      </c>
      <c r="D1945" s="42">
        <v>0.47415329768270947</v>
      </c>
      <c r="E1945" s="42">
        <v>0.984375</v>
      </c>
      <c r="F1945" s="42">
        <v>0.47415329768270947</v>
      </c>
      <c r="G1945">
        <v>1</v>
      </c>
    </row>
    <row r="1946" spans="3:7" x14ac:dyDescent="0.15">
      <c r="C1946" s="43">
        <v>658</v>
      </c>
      <c r="D1946" s="42">
        <v>0.47504456327985739</v>
      </c>
      <c r="E1946" s="42">
        <v>0.984375</v>
      </c>
      <c r="F1946" s="42">
        <v>0.47504456327985739</v>
      </c>
      <c r="G1946">
        <v>1</v>
      </c>
    </row>
    <row r="1947" spans="3:7" x14ac:dyDescent="0.15">
      <c r="C1947" s="43">
        <v>659</v>
      </c>
      <c r="D1947" s="42">
        <v>0.47593582887700536</v>
      </c>
      <c r="E1947" s="42">
        <v>0.984375</v>
      </c>
      <c r="F1947" s="42">
        <v>0.47593582887700536</v>
      </c>
      <c r="G1947">
        <v>1</v>
      </c>
    </row>
    <row r="1948" spans="3:7" x14ac:dyDescent="0.15">
      <c r="C1948" s="43">
        <v>660</v>
      </c>
      <c r="D1948" s="42">
        <v>0.47682709447415328</v>
      </c>
      <c r="E1948" s="42">
        <v>0.984375</v>
      </c>
      <c r="F1948" s="42">
        <v>0.47682709447415328</v>
      </c>
      <c r="G1948">
        <v>1</v>
      </c>
    </row>
    <row r="1949" spans="3:7" x14ac:dyDescent="0.15">
      <c r="C1949" s="43">
        <v>661</v>
      </c>
      <c r="D1949" s="42">
        <v>0.47771836007130125</v>
      </c>
      <c r="E1949" s="42">
        <v>0.984375</v>
      </c>
      <c r="F1949" s="42">
        <v>0.47771836007130125</v>
      </c>
      <c r="G1949">
        <v>1</v>
      </c>
    </row>
    <row r="1950" spans="3:7" x14ac:dyDescent="0.15">
      <c r="C1950" s="43">
        <v>662</v>
      </c>
      <c r="D1950" s="42">
        <v>0.47860962566844922</v>
      </c>
      <c r="E1950" s="42">
        <v>0.984375</v>
      </c>
      <c r="F1950" s="42">
        <v>0.47860962566844922</v>
      </c>
      <c r="G1950">
        <v>1</v>
      </c>
    </row>
    <row r="1951" spans="3:7" x14ac:dyDescent="0.15">
      <c r="C1951" s="43">
        <v>663</v>
      </c>
      <c r="D1951" s="42">
        <v>0.47950089126559714</v>
      </c>
      <c r="E1951" s="42">
        <v>0.984375</v>
      </c>
      <c r="F1951" s="42">
        <v>0.47950089126559714</v>
      </c>
      <c r="G1951">
        <v>1</v>
      </c>
    </row>
    <row r="1952" spans="3:7" x14ac:dyDescent="0.15">
      <c r="C1952" s="43">
        <v>664</v>
      </c>
      <c r="D1952" s="42">
        <v>0.48039215686274511</v>
      </c>
      <c r="E1952" s="42">
        <v>0.984375</v>
      </c>
      <c r="F1952" s="42">
        <v>0.48039215686274511</v>
      </c>
      <c r="G1952">
        <v>1</v>
      </c>
    </row>
    <row r="1953" spans="3:7" x14ac:dyDescent="0.15">
      <c r="C1953" s="43">
        <v>665</v>
      </c>
      <c r="D1953" s="42">
        <v>0.48128342245989303</v>
      </c>
      <c r="E1953" s="42">
        <v>0.984375</v>
      </c>
      <c r="F1953" s="42">
        <v>0.48128342245989303</v>
      </c>
      <c r="G1953">
        <v>1</v>
      </c>
    </row>
    <row r="1954" spans="3:7" x14ac:dyDescent="0.15">
      <c r="C1954" s="43">
        <v>666</v>
      </c>
      <c r="D1954" s="42">
        <v>0.482174688057041</v>
      </c>
      <c r="E1954" s="42">
        <v>0.984375</v>
      </c>
      <c r="F1954" s="42">
        <v>0.482174688057041</v>
      </c>
      <c r="G1954">
        <v>1</v>
      </c>
    </row>
    <row r="1955" spans="3:7" x14ac:dyDescent="0.15">
      <c r="C1955" s="43">
        <v>667</v>
      </c>
      <c r="D1955" s="42">
        <v>0.48306595365418897</v>
      </c>
      <c r="E1955" s="42">
        <v>0.984375</v>
      </c>
      <c r="F1955" s="42">
        <v>0.48306595365418897</v>
      </c>
      <c r="G1955">
        <v>1</v>
      </c>
    </row>
    <row r="1956" spans="3:7" x14ac:dyDescent="0.15">
      <c r="C1956" s="43">
        <v>668</v>
      </c>
      <c r="D1956" s="42">
        <v>0.48395721925133689</v>
      </c>
      <c r="E1956" s="42">
        <v>0.984375</v>
      </c>
      <c r="F1956" s="42">
        <v>0.48395721925133689</v>
      </c>
      <c r="G1956">
        <v>1</v>
      </c>
    </row>
    <row r="1957" spans="3:7" x14ac:dyDescent="0.15">
      <c r="C1957" s="43">
        <v>669</v>
      </c>
      <c r="D1957" s="42">
        <v>0.48484848484848486</v>
      </c>
      <c r="E1957" s="42">
        <v>0.984375</v>
      </c>
      <c r="F1957" s="42">
        <v>0.48484848484848486</v>
      </c>
      <c r="G1957">
        <v>1</v>
      </c>
    </row>
    <row r="1958" spans="3:7" x14ac:dyDescent="0.15">
      <c r="C1958" s="43">
        <v>670</v>
      </c>
      <c r="D1958" s="42">
        <v>0.48573975044563278</v>
      </c>
      <c r="E1958" s="42">
        <v>0.984375</v>
      </c>
      <c r="F1958" s="42">
        <v>0.48573975044563278</v>
      </c>
      <c r="G1958">
        <v>1</v>
      </c>
    </row>
    <row r="1959" spans="3:7" x14ac:dyDescent="0.15">
      <c r="C1959" s="43">
        <v>671</v>
      </c>
      <c r="D1959" s="42">
        <v>0.48663101604278075</v>
      </c>
      <c r="E1959" s="42">
        <v>0.984375</v>
      </c>
      <c r="F1959" s="42">
        <v>0.48663101604278075</v>
      </c>
      <c r="G1959">
        <v>1</v>
      </c>
    </row>
    <row r="1960" spans="3:7" x14ac:dyDescent="0.15">
      <c r="C1960" s="43">
        <v>672</v>
      </c>
      <c r="D1960" s="42">
        <v>0.48752228163992872</v>
      </c>
      <c r="E1960" s="42">
        <v>0.984375</v>
      </c>
      <c r="F1960" s="42">
        <v>0.48752228163992872</v>
      </c>
      <c r="G1960">
        <v>1</v>
      </c>
    </row>
    <row r="1961" spans="3:7" x14ac:dyDescent="0.15">
      <c r="C1961" s="43">
        <v>673</v>
      </c>
      <c r="D1961" s="42">
        <v>0.48841354723707664</v>
      </c>
      <c r="E1961" s="42">
        <v>0.984375</v>
      </c>
      <c r="F1961" s="42">
        <v>0.48841354723707664</v>
      </c>
      <c r="G1961">
        <v>1</v>
      </c>
    </row>
    <row r="1962" spans="3:7" x14ac:dyDescent="0.15">
      <c r="C1962" s="43">
        <v>674</v>
      </c>
      <c r="D1962" s="42">
        <v>0.48930481283422461</v>
      </c>
      <c r="E1962" s="42">
        <v>0.984375</v>
      </c>
      <c r="F1962" s="42">
        <v>0.48930481283422461</v>
      </c>
      <c r="G1962">
        <v>1</v>
      </c>
    </row>
    <row r="1963" spans="3:7" x14ac:dyDescent="0.15">
      <c r="C1963" s="43">
        <v>675</v>
      </c>
      <c r="D1963" s="42">
        <v>0.49019607843137253</v>
      </c>
      <c r="E1963" s="42">
        <v>0.984375</v>
      </c>
      <c r="F1963" s="42">
        <v>0.49019607843137253</v>
      </c>
      <c r="G1963">
        <v>1</v>
      </c>
    </row>
    <row r="1964" spans="3:7" x14ac:dyDescent="0.15">
      <c r="C1964" s="43">
        <v>676</v>
      </c>
      <c r="D1964" s="42">
        <v>0.4910873440285205</v>
      </c>
      <c r="E1964" s="42">
        <v>0.984375</v>
      </c>
      <c r="F1964" s="42">
        <v>0.4910873440285205</v>
      </c>
      <c r="G1964">
        <v>1</v>
      </c>
    </row>
    <row r="1965" spans="3:7" x14ac:dyDescent="0.15">
      <c r="C1965" s="43">
        <v>677</v>
      </c>
      <c r="D1965" s="42">
        <v>0.49197860962566847</v>
      </c>
      <c r="E1965" s="42">
        <v>0.984375</v>
      </c>
      <c r="F1965" s="42">
        <v>0.49197860962566847</v>
      </c>
      <c r="G1965">
        <v>1</v>
      </c>
    </row>
    <row r="1966" spans="3:7" x14ac:dyDescent="0.15">
      <c r="C1966" s="43">
        <v>678</v>
      </c>
      <c r="D1966" s="42">
        <v>0.49286987522281639</v>
      </c>
      <c r="E1966" s="42">
        <v>0.984375</v>
      </c>
      <c r="F1966" s="42">
        <v>0.49286987522281639</v>
      </c>
      <c r="G1966">
        <v>1</v>
      </c>
    </row>
    <row r="1967" spans="3:7" x14ac:dyDescent="0.15">
      <c r="C1967" s="43">
        <v>679</v>
      </c>
      <c r="D1967" s="42">
        <v>0.49376114081996436</v>
      </c>
      <c r="E1967" s="42">
        <v>0.984375</v>
      </c>
      <c r="F1967" s="42">
        <v>0.49376114081996436</v>
      </c>
      <c r="G1967">
        <v>1</v>
      </c>
    </row>
    <row r="1968" spans="3:7" x14ac:dyDescent="0.15">
      <c r="C1968" s="43">
        <v>680</v>
      </c>
      <c r="D1968" s="42">
        <v>0.49465240641711228</v>
      </c>
      <c r="E1968" s="42">
        <v>0.984375</v>
      </c>
      <c r="F1968" s="42">
        <v>0.49465240641711228</v>
      </c>
      <c r="G1968">
        <v>1</v>
      </c>
    </row>
    <row r="1969" spans="3:7" x14ac:dyDescent="0.15">
      <c r="C1969" s="43">
        <v>681</v>
      </c>
      <c r="D1969" s="42">
        <v>0.49554367201426025</v>
      </c>
      <c r="E1969" s="42">
        <v>0.984375</v>
      </c>
      <c r="F1969" s="42">
        <v>0.49554367201426025</v>
      </c>
      <c r="G1969">
        <v>1</v>
      </c>
    </row>
    <row r="1970" spans="3:7" x14ac:dyDescent="0.15">
      <c r="C1970" s="43">
        <v>682</v>
      </c>
      <c r="D1970" s="42">
        <v>0.49643493761140822</v>
      </c>
      <c r="E1970" s="42">
        <v>0.984375</v>
      </c>
      <c r="F1970" s="42">
        <v>0.49643493761140822</v>
      </c>
      <c r="G1970">
        <v>1</v>
      </c>
    </row>
    <row r="1971" spans="3:7" x14ac:dyDescent="0.15">
      <c r="C1971" s="43">
        <v>683</v>
      </c>
      <c r="D1971" s="42">
        <v>0.49732620320855614</v>
      </c>
      <c r="E1971" s="42">
        <v>0.984375</v>
      </c>
      <c r="F1971" s="42">
        <v>0.49732620320855614</v>
      </c>
      <c r="G1971">
        <v>1</v>
      </c>
    </row>
    <row r="1972" spans="3:7" x14ac:dyDescent="0.15">
      <c r="C1972" s="43">
        <v>684</v>
      </c>
      <c r="D1972" s="42">
        <v>0.49821746880570411</v>
      </c>
      <c r="E1972" s="42">
        <v>0.984375</v>
      </c>
      <c r="F1972" s="42">
        <v>0.49821746880570411</v>
      </c>
      <c r="G1972">
        <v>1</v>
      </c>
    </row>
    <row r="1973" spans="3:7" x14ac:dyDescent="0.15">
      <c r="C1973" s="43">
        <v>685</v>
      </c>
      <c r="D1973" s="42">
        <v>0.49910873440285203</v>
      </c>
      <c r="E1973" s="42">
        <v>0.984375</v>
      </c>
      <c r="F1973" s="42">
        <v>0.49910873440285203</v>
      </c>
      <c r="G1973">
        <v>1</v>
      </c>
    </row>
    <row r="1974" spans="3:7" x14ac:dyDescent="0.15">
      <c r="C1974" s="43">
        <v>686</v>
      </c>
      <c r="D1974" s="42">
        <v>0.5</v>
      </c>
      <c r="E1974" s="42">
        <v>0.984375</v>
      </c>
      <c r="F1974" s="42">
        <v>0.5</v>
      </c>
      <c r="G1974">
        <v>1</v>
      </c>
    </row>
    <row r="1975" spans="3:7" x14ac:dyDescent="0.15">
      <c r="C1975" s="43">
        <v>687</v>
      </c>
      <c r="D1975" s="42">
        <v>0.50089126559714792</v>
      </c>
      <c r="E1975" s="42">
        <v>0.984375</v>
      </c>
      <c r="F1975" s="42">
        <v>0.50089126559714792</v>
      </c>
      <c r="G1975">
        <v>1</v>
      </c>
    </row>
    <row r="1976" spans="3:7" x14ac:dyDescent="0.15">
      <c r="C1976" s="43">
        <v>688</v>
      </c>
      <c r="D1976" s="42">
        <v>0.50178253119429594</v>
      </c>
      <c r="E1976" s="42">
        <v>0.984375</v>
      </c>
      <c r="F1976" s="42">
        <v>0.50178253119429594</v>
      </c>
      <c r="G1976">
        <v>1</v>
      </c>
    </row>
    <row r="1977" spans="3:7" x14ac:dyDescent="0.15">
      <c r="C1977" s="43">
        <v>689</v>
      </c>
      <c r="D1977" s="42">
        <v>0.50267379679144386</v>
      </c>
      <c r="E1977" s="42">
        <v>0.984375</v>
      </c>
      <c r="F1977" s="42">
        <v>0.50267379679144386</v>
      </c>
      <c r="G1977">
        <v>1</v>
      </c>
    </row>
    <row r="1978" spans="3:7" x14ac:dyDescent="0.15">
      <c r="C1978" s="43">
        <v>690</v>
      </c>
      <c r="D1978" s="42">
        <v>0.50356506238859178</v>
      </c>
      <c r="E1978" s="42">
        <v>0.984375</v>
      </c>
      <c r="F1978" s="42">
        <v>0.50356506238859178</v>
      </c>
      <c r="G1978">
        <v>1</v>
      </c>
    </row>
    <row r="1979" spans="3:7" x14ac:dyDescent="0.15">
      <c r="C1979" s="43">
        <v>691</v>
      </c>
      <c r="D1979" s="42">
        <v>0.50445632798573981</v>
      </c>
      <c r="E1979" s="42">
        <v>0.984375</v>
      </c>
      <c r="F1979" s="42">
        <v>0.50445632798573981</v>
      </c>
      <c r="G1979">
        <v>1</v>
      </c>
    </row>
    <row r="1980" spans="3:7" x14ac:dyDescent="0.15">
      <c r="C1980" s="43">
        <v>692</v>
      </c>
      <c r="D1980" s="42">
        <v>0.50534759358288772</v>
      </c>
      <c r="E1980" s="42">
        <v>0.984375</v>
      </c>
      <c r="F1980" s="42">
        <v>0.50534759358288772</v>
      </c>
      <c r="G1980">
        <v>1</v>
      </c>
    </row>
    <row r="1981" spans="3:7" x14ac:dyDescent="0.15">
      <c r="C1981" s="43">
        <v>693</v>
      </c>
      <c r="D1981" s="42">
        <v>0.50623885918003564</v>
      </c>
      <c r="E1981" s="42">
        <v>0.984375</v>
      </c>
      <c r="F1981" s="42">
        <v>0.50623885918003564</v>
      </c>
      <c r="G1981">
        <v>1</v>
      </c>
    </row>
    <row r="1982" spans="3:7" x14ac:dyDescent="0.15">
      <c r="C1982" s="43">
        <v>694</v>
      </c>
      <c r="D1982" s="42">
        <v>0.50713012477718356</v>
      </c>
      <c r="E1982" s="42">
        <v>0.984375</v>
      </c>
      <c r="F1982" s="42">
        <v>0.50713012477718356</v>
      </c>
      <c r="G1982">
        <v>1</v>
      </c>
    </row>
    <row r="1983" spans="3:7" x14ac:dyDescent="0.15">
      <c r="C1983" s="43">
        <v>695</v>
      </c>
      <c r="D1983" s="42">
        <v>0.50802139037433158</v>
      </c>
      <c r="E1983" s="42">
        <v>0.984375</v>
      </c>
      <c r="F1983" s="42">
        <v>0.50802139037433158</v>
      </c>
      <c r="G1983">
        <v>1</v>
      </c>
    </row>
    <row r="1984" spans="3:7" x14ac:dyDescent="0.15">
      <c r="C1984" s="43">
        <v>696</v>
      </c>
      <c r="D1984" s="42">
        <v>0.5089126559714795</v>
      </c>
      <c r="E1984" s="42">
        <v>0.984375</v>
      </c>
      <c r="F1984" s="42">
        <v>0.5089126559714795</v>
      </c>
      <c r="G1984">
        <v>1</v>
      </c>
    </row>
    <row r="1985" spans="3:7" x14ac:dyDescent="0.15">
      <c r="C1985" s="43">
        <v>697</v>
      </c>
      <c r="D1985" s="42">
        <v>0.50980392156862742</v>
      </c>
      <c r="E1985" s="42">
        <v>0.984375</v>
      </c>
      <c r="F1985" s="42">
        <v>0.50980392156862742</v>
      </c>
      <c r="G1985">
        <v>1</v>
      </c>
    </row>
    <row r="1986" spans="3:7" x14ac:dyDescent="0.15">
      <c r="C1986" s="43">
        <v>698</v>
      </c>
      <c r="D1986" s="42">
        <v>0.51069518716577544</v>
      </c>
      <c r="E1986" s="42">
        <v>0.984375</v>
      </c>
      <c r="F1986" s="42">
        <v>0.51069518716577544</v>
      </c>
      <c r="G1986">
        <v>1</v>
      </c>
    </row>
    <row r="1987" spans="3:7" x14ac:dyDescent="0.15">
      <c r="C1987" s="43">
        <v>699</v>
      </c>
      <c r="D1987" s="42">
        <v>0.51158645276292336</v>
      </c>
      <c r="E1987" s="42">
        <v>0.984375</v>
      </c>
      <c r="F1987" s="42">
        <v>0.51158645276292336</v>
      </c>
      <c r="G1987">
        <v>1</v>
      </c>
    </row>
    <row r="1988" spans="3:7" x14ac:dyDescent="0.15">
      <c r="C1988" s="43">
        <v>700</v>
      </c>
      <c r="D1988" s="42">
        <v>0.51247771836007128</v>
      </c>
      <c r="E1988" s="42">
        <v>0.984375</v>
      </c>
      <c r="F1988" s="42">
        <v>0.51247771836007128</v>
      </c>
      <c r="G1988">
        <v>1</v>
      </c>
    </row>
    <row r="1989" spans="3:7" x14ac:dyDescent="0.15">
      <c r="C1989" s="43">
        <v>701</v>
      </c>
      <c r="D1989" s="42">
        <v>0.5133689839572193</v>
      </c>
      <c r="E1989" s="42">
        <v>0.984375</v>
      </c>
      <c r="F1989" s="42">
        <v>0.5133689839572193</v>
      </c>
      <c r="G1989">
        <v>1</v>
      </c>
    </row>
    <row r="1990" spans="3:7" x14ac:dyDescent="0.15">
      <c r="C1990" s="43">
        <v>702</v>
      </c>
      <c r="D1990" s="42">
        <v>0.51426024955436722</v>
      </c>
      <c r="E1990" s="42">
        <v>0.984375</v>
      </c>
      <c r="F1990" s="42">
        <v>0.51426024955436722</v>
      </c>
      <c r="G1990">
        <v>1</v>
      </c>
    </row>
    <row r="1991" spans="3:7" x14ac:dyDescent="0.15">
      <c r="C1991" s="43">
        <v>703</v>
      </c>
      <c r="D1991" s="42">
        <v>0.51515151515151514</v>
      </c>
      <c r="E1991" s="42">
        <v>0.984375</v>
      </c>
      <c r="F1991" s="42">
        <v>0.51515151515151514</v>
      </c>
      <c r="G1991">
        <v>1</v>
      </c>
    </row>
    <row r="1992" spans="3:7" x14ac:dyDescent="0.15">
      <c r="C1992" s="43">
        <v>704</v>
      </c>
      <c r="D1992" s="42">
        <v>0.51604278074866305</v>
      </c>
      <c r="E1992" s="42">
        <v>0.984375</v>
      </c>
      <c r="F1992" s="42">
        <v>0.51604278074866305</v>
      </c>
      <c r="G1992">
        <v>1</v>
      </c>
    </row>
    <row r="1993" spans="3:7" x14ac:dyDescent="0.15">
      <c r="C1993" s="43">
        <v>705</v>
      </c>
      <c r="D1993" s="42">
        <v>0.51693404634581108</v>
      </c>
      <c r="E1993" s="42">
        <v>0.984375</v>
      </c>
      <c r="F1993" s="42">
        <v>0.51693404634581108</v>
      </c>
      <c r="G1993">
        <v>1</v>
      </c>
    </row>
    <row r="1994" spans="3:7" x14ac:dyDescent="0.15">
      <c r="C1994" s="43">
        <v>706</v>
      </c>
      <c r="D1994" s="42">
        <v>0.517825311942959</v>
      </c>
      <c r="E1994" s="42">
        <v>0.984375</v>
      </c>
      <c r="F1994" s="42">
        <v>0.517825311942959</v>
      </c>
      <c r="G1994">
        <v>1</v>
      </c>
    </row>
    <row r="1995" spans="3:7" x14ac:dyDescent="0.15">
      <c r="C1995" s="43">
        <v>707</v>
      </c>
      <c r="D1995" s="42">
        <v>0.51871657754010692</v>
      </c>
      <c r="E1995" s="42">
        <v>0.984375</v>
      </c>
      <c r="F1995" s="42">
        <v>0.51871657754010692</v>
      </c>
      <c r="G1995">
        <v>1</v>
      </c>
    </row>
    <row r="1996" spans="3:7" x14ac:dyDescent="0.15">
      <c r="C1996" s="43">
        <v>708</v>
      </c>
      <c r="D1996" s="42">
        <v>0.51960784313725494</v>
      </c>
      <c r="E1996" s="42">
        <v>0.984375</v>
      </c>
      <c r="F1996" s="42">
        <v>0.51960784313725494</v>
      </c>
      <c r="G1996">
        <v>1</v>
      </c>
    </row>
    <row r="1997" spans="3:7" x14ac:dyDescent="0.15">
      <c r="C1997" s="43">
        <v>709</v>
      </c>
      <c r="D1997" s="42">
        <v>0.52049910873440286</v>
      </c>
      <c r="E1997" s="42">
        <v>0.984375</v>
      </c>
      <c r="F1997" s="42">
        <v>0.52049910873440286</v>
      </c>
      <c r="G1997">
        <v>1</v>
      </c>
    </row>
    <row r="1998" spans="3:7" x14ac:dyDescent="0.15">
      <c r="C1998" s="43">
        <v>710</v>
      </c>
      <c r="D1998" s="42">
        <v>0.52139037433155078</v>
      </c>
      <c r="E1998" s="42">
        <v>0.984375</v>
      </c>
      <c r="F1998" s="42">
        <v>0.52139037433155078</v>
      </c>
      <c r="G1998">
        <v>1</v>
      </c>
    </row>
    <row r="1999" spans="3:7" x14ac:dyDescent="0.15">
      <c r="C1999" s="43">
        <v>711</v>
      </c>
      <c r="D1999" s="42">
        <v>0.5222816399286988</v>
      </c>
      <c r="E1999" s="42">
        <v>0.984375</v>
      </c>
      <c r="F1999" s="42">
        <v>0.5222816399286988</v>
      </c>
      <c r="G1999">
        <v>1</v>
      </c>
    </row>
    <row r="2000" spans="3:7" x14ac:dyDescent="0.15">
      <c r="C2000" s="43">
        <v>712</v>
      </c>
      <c r="D2000" s="42">
        <v>0.52317290552584672</v>
      </c>
      <c r="E2000" s="42">
        <v>0.984375</v>
      </c>
      <c r="F2000" s="42">
        <v>0.52317290552584672</v>
      </c>
      <c r="G2000">
        <v>1</v>
      </c>
    </row>
    <row r="2001" spans="3:7" x14ac:dyDescent="0.15">
      <c r="C2001" s="43">
        <v>713</v>
      </c>
      <c r="D2001" s="42">
        <v>0.52406417112299464</v>
      </c>
      <c r="E2001" s="42">
        <v>0.984375</v>
      </c>
      <c r="F2001" s="42">
        <v>0.52406417112299464</v>
      </c>
      <c r="G2001">
        <v>1</v>
      </c>
    </row>
    <row r="2002" spans="3:7" x14ac:dyDescent="0.15">
      <c r="C2002" s="43">
        <v>714</v>
      </c>
      <c r="D2002" s="42">
        <v>0.52495543672014255</v>
      </c>
      <c r="E2002" s="42">
        <v>0.984375</v>
      </c>
      <c r="F2002" s="42">
        <v>0.52495543672014255</v>
      </c>
      <c r="G2002">
        <v>1</v>
      </c>
    </row>
    <row r="2003" spans="3:7" x14ac:dyDescent="0.15">
      <c r="C2003" s="43">
        <v>715</v>
      </c>
      <c r="D2003" s="42">
        <v>0.52584670231729058</v>
      </c>
      <c r="E2003" s="42">
        <v>0.984375</v>
      </c>
      <c r="F2003" s="42">
        <v>0.52584670231729058</v>
      </c>
      <c r="G2003">
        <v>1</v>
      </c>
    </row>
    <row r="2004" spans="3:7" x14ac:dyDescent="0.15">
      <c r="C2004" s="43">
        <v>716</v>
      </c>
      <c r="D2004" s="42">
        <v>0.5267379679144385</v>
      </c>
      <c r="E2004" s="42">
        <v>0.984375</v>
      </c>
      <c r="F2004" s="42">
        <v>0.5267379679144385</v>
      </c>
      <c r="G2004">
        <v>1</v>
      </c>
    </row>
    <row r="2005" spans="3:7" x14ac:dyDescent="0.15">
      <c r="C2005" s="43">
        <v>717</v>
      </c>
      <c r="D2005" s="42">
        <v>0.52762923351158642</v>
      </c>
      <c r="E2005" s="42">
        <v>0.984375</v>
      </c>
      <c r="F2005" s="42">
        <v>0.52762923351158642</v>
      </c>
      <c r="G2005">
        <v>1</v>
      </c>
    </row>
    <row r="2006" spans="3:7" x14ac:dyDescent="0.15">
      <c r="C2006" s="43">
        <v>718</v>
      </c>
      <c r="D2006" s="42">
        <v>0.52852049910873444</v>
      </c>
      <c r="E2006" s="42">
        <v>0.984375</v>
      </c>
      <c r="F2006" s="42">
        <v>0.52852049910873444</v>
      </c>
      <c r="G2006">
        <v>1</v>
      </c>
    </row>
    <row r="2007" spans="3:7" x14ac:dyDescent="0.15">
      <c r="C2007" s="43">
        <v>719</v>
      </c>
      <c r="D2007" s="42">
        <v>0.52941176470588236</v>
      </c>
      <c r="E2007" s="42">
        <v>0.984375</v>
      </c>
      <c r="F2007" s="42">
        <v>0.52941176470588236</v>
      </c>
      <c r="G2007">
        <v>1</v>
      </c>
    </row>
    <row r="2008" spans="3:7" x14ac:dyDescent="0.15">
      <c r="C2008" s="43">
        <v>720</v>
      </c>
      <c r="D2008" s="42">
        <v>0.53030303030303028</v>
      </c>
      <c r="E2008" s="42">
        <v>0.984375</v>
      </c>
      <c r="F2008" s="42">
        <v>0.53030303030303028</v>
      </c>
      <c r="G2008">
        <v>1</v>
      </c>
    </row>
    <row r="2009" spans="3:7" x14ac:dyDescent="0.15">
      <c r="C2009" s="43">
        <v>721</v>
      </c>
      <c r="D2009" s="42">
        <v>0.5311942959001783</v>
      </c>
      <c r="E2009" s="42">
        <v>0.984375</v>
      </c>
      <c r="F2009" s="42">
        <v>0.5311942959001783</v>
      </c>
      <c r="G2009">
        <v>1</v>
      </c>
    </row>
    <row r="2010" spans="3:7" x14ac:dyDescent="0.15">
      <c r="C2010" s="43">
        <v>722</v>
      </c>
      <c r="D2010" s="42">
        <v>0.53208556149732622</v>
      </c>
      <c r="E2010" s="42">
        <v>0.984375</v>
      </c>
      <c r="F2010" s="42">
        <v>0.53208556149732622</v>
      </c>
      <c r="G2010">
        <v>1</v>
      </c>
    </row>
    <row r="2011" spans="3:7" x14ac:dyDescent="0.15">
      <c r="C2011" s="43">
        <v>723</v>
      </c>
      <c r="D2011" s="42">
        <v>0.53297682709447414</v>
      </c>
      <c r="E2011" s="42">
        <v>0.984375</v>
      </c>
      <c r="F2011" s="42">
        <v>0.53297682709447414</v>
      </c>
      <c r="G2011">
        <v>1</v>
      </c>
    </row>
    <row r="2012" spans="3:7" x14ac:dyDescent="0.15">
      <c r="C2012" s="43">
        <v>724</v>
      </c>
      <c r="D2012" s="42">
        <v>0.53386809269162205</v>
      </c>
      <c r="E2012" s="42">
        <v>0.984375</v>
      </c>
      <c r="F2012" s="42">
        <v>0.53386809269162205</v>
      </c>
      <c r="G2012">
        <v>1</v>
      </c>
    </row>
    <row r="2013" spans="3:7" x14ac:dyDescent="0.15">
      <c r="C2013" s="43">
        <v>725</v>
      </c>
      <c r="D2013" s="42">
        <v>0.53475935828877008</v>
      </c>
      <c r="E2013" s="42">
        <v>0.984375</v>
      </c>
      <c r="F2013" s="42">
        <v>0.53475935828877008</v>
      </c>
      <c r="G2013">
        <v>1</v>
      </c>
    </row>
    <row r="2014" spans="3:7" x14ac:dyDescent="0.15">
      <c r="C2014" s="43">
        <v>726</v>
      </c>
      <c r="D2014" s="42">
        <v>0.535650623885918</v>
      </c>
      <c r="E2014" s="42">
        <v>0.984375</v>
      </c>
      <c r="F2014" s="42">
        <v>0.535650623885918</v>
      </c>
      <c r="G2014">
        <v>1</v>
      </c>
    </row>
    <row r="2015" spans="3:7" x14ac:dyDescent="0.15">
      <c r="C2015" s="43">
        <v>727</v>
      </c>
      <c r="D2015" s="42">
        <v>0.53654188948306591</v>
      </c>
      <c r="E2015" s="42">
        <v>0.984375</v>
      </c>
      <c r="F2015" s="42">
        <v>0.53654188948306591</v>
      </c>
      <c r="G2015">
        <v>1</v>
      </c>
    </row>
    <row r="2016" spans="3:7" x14ac:dyDescent="0.15">
      <c r="C2016" s="43">
        <v>728</v>
      </c>
      <c r="D2016" s="42">
        <v>0.53743315508021394</v>
      </c>
      <c r="E2016" s="42">
        <v>0.984375</v>
      </c>
      <c r="F2016" s="42">
        <v>0.53743315508021394</v>
      </c>
      <c r="G2016">
        <v>1</v>
      </c>
    </row>
    <row r="2017" spans="3:7" x14ac:dyDescent="0.15">
      <c r="C2017" s="43">
        <v>729</v>
      </c>
      <c r="D2017" s="42">
        <v>0.53832442067736186</v>
      </c>
      <c r="E2017" s="42">
        <v>0.984375</v>
      </c>
      <c r="F2017" s="42">
        <v>0.53832442067736186</v>
      </c>
      <c r="G2017">
        <v>1</v>
      </c>
    </row>
    <row r="2018" spans="3:7" x14ac:dyDescent="0.15">
      <c r="C2018" s="43">
        <v>730</v>
      </c>
      <c r="D2018" s="42">
        <v>0.53921568627450978</v>
      </c>
      <c r="E2018" s="42">
        <v>0.984375</v>
      </c>
      <c r="F2018" s="42">
        <v>0.53921568627450978</v>
      </c>
      <c r="G2018">
        <v>1</v>
      </c>
    </row>
    <row r="2019" spans="3:7" x14ac:dyDescent="0.15">
      <c r="C2019" s="43">
        <v>731</v>
      </c>
      <c r="D2019" s="42">
        <v>0.5401069518716578</v>
      </c>
      <c r="E2019" s="42">
        <v>0.984375</v>
      </c>
      <c r="F2019" s="42">
        <v>0.5401069518716578</v>
      </c>
      <c r="G2019">
        <v>1</v>
      </c>
    </row>
    <row r="2020" spans="3:7" x14ac:dyDescent="0.15">
      <c r="C2020" s="43">
        <v>732</v>
      </c>
      <c r="D2020" s="42">
        <v>0.54099821746880572</v>
      </c>
      <c r="E2020" s="42">
        <v>0.984375</v>
      </c>
      <c r="F2020" s="42">
        <v>0.54099821746880572</v>
      </c>
      <c r="G2020">
        <v>1</v>
      </c>
    </row>
    <row r="2021" spans="3:7" x14ac:dyDescent="0.15">
      <c r="C2021" s="43">
        <v>733</v>
      </c>
      <c r="D2021" s="42">
        <v>0.54188948306595364</v>
      </c>
      <c r="E2021" s="42">
        <v>0.984375</v>
      </c>
      <c r="F2021" s="42">
        <v>0.54188948306595364</v>
      </c>
      <c r="G2021">
        <v>1</v>
      </c>
    </row>
    <row r="2022" spans="3:7" x14ac:dyDescent="0.15">
      <c r="C2022" s="43">
        <v>734</v>
      </c>
      <c r="D2022" s="42">
        <v>0.54278074866310155</v>
      </c>
      <c r="E2022" s="42">
        <v>0.984375</v>
      </c>
      <c r="F2022" s="42">
        <v>0.54278074866310155</v>
      </c>
      <c r="G2022">
        <v>1</v>
      </c>
    </row>
    <row r="2023" spans="3:7" x14ac:dyDescent="0.15">
      <c r="C2023" s="43">
        <v>735</v>
      </c>
      <c r="D2023" s="42">
        <v>0.54367201426024958</v>
      </c>
      <c r="E2023" s="42">
        <v>0.984375</v>
      </c>
      <c r="F2023" s="42">
        <v>0.54367201426024958</v>
      </c>
      <c r="G2023">
        <v>1</v>
      </c>
    </row>
    <row r="2024" spans="3:7" x14ac:dyDescent="0.15">
      <c r="C2024" s="43">
        <v>736</v>
      </c>
      <c r="D2024" s="42">
        <v>0.5445632798573975</v>
      </c>
      <c r="E2024" s="42">
        <v>0.984375</v>
      </c>
      <c r="F2024" s="42">
        <v>0.5445632798573975</v>
      </c>
      <c r="G2024">
        <v>1</v>
      </c>
    </row>
    <row r="2025" spans="3:7" x14ac:dyDescent="0.15">
      <c r="C2025" s="43">
        <v>737</v>
      </c>
      <c r="D2025" s="42">
        <v>0.54545454545454541</v>
      </c>
      <c r="E2025" s="42">
        <v>0.984375</v>
      </c>
      <c r="F2025" s="42">
        <v>0.54545454545454541</v>
      </c>
      <c r="G2025">
        <v>1</v>
      </c>
    </row>
    <row r="2026" spans="3:7" x14ac:dyDescent="0.15">
      <c r="C2026" s="43">
        <v>738</v>
      </c>
      <c r="D2026" s="42">
        <v>0.54634581105169344</v>
      </c>
      <c r="E2026" s="42">
        <v>0.984375</v>
      </c>
      <c r="F2026" s="42">
        <v>0.54634581105169344</v>
      </c>
      <c r="G2026">
        <v>1</v>
      </c>
    </row>
    <row r="2027" spans="3:7" x14ac:dyDescent="0.15">
      <c r="C2027" s="43">
        <v>739</v>
      </c>
      <c r="D2027" s="42">
        <v>0.54723707664884136</v>
      </c>
      <c r="E2027" s="42">
        <v>0.984375</v>
      </c>
      <c r="F2027" s="42">
        <v>0.54723707664884136</v>
      </c>
      <c r="G2027">
        <v>1</v>
      </c>
    </row>
    <row r="2028" spans="3:7" x14ac:dyDescent="0.15">
      <c r="C2028" s="43">
        <v>740</v>
      </c>
      <c r="D2028" s="42">
        <v>0.54812834224598928</v>
      </c>
      <c r="E2028" s="42">
        <v>0.984375</v>
      </c>
      <c r="F2028" s="42">
        <v>0.54812834224598928</v>
      </c>
      <c r="G2028">
        <v>1</v>
      </c>
    </row>
    <row r="2029" spans="3:7" x14ac:dyDescent="0.15">
      <c r="C2029" s="43">
        <v>741</v>
      </c>
      <c r="D2029" s="42">
        <v>0.5490196078431373</v>
      </c>
      <c r="E2029" s="42">
        <v>0.984375</v>
      </c>
      <c r="F2029" s="42">
        <v>0.5490196078431373</v>
      </c>
      <c r="G2029">
        <v>1</v>
      </c>
    </row>
    <row r="2030" spans="3:7" x14ac:dyDescent="0.15">
      <c r="C2030" s="43">
        <v>742</v>
      </c>
      <c r="D2030" s="42">
        <v>0.54991087344028522</v>
      </c>
      <c r="E2030" s="42">
        <v>0.984375</v>
      </c>
      <c r="F2030" s="42">
        <v>0.54991087344028522</v>
      </c>
      <c r="G2030">
        <v>1</v>
      </c>
    </row>
    <row r="2031" spans="3:7" x14ac:dyDescent="0.15">
      <c r="C2031" s="43">
        <v>743</v>
      </c>
      <c r="D2031" s="42">
        <v>0.55080213903743314</v>
      </c>
      <c r="E2031" s="42">
        <v>0.984375</v>
      </c>
      <c r="F2031" s="42">
        <v>0.55080213903743314</v>
      </c>
      <c r="G2031">
        <v>1</v>
      </c>
    </row>
    <row r="2032" spans="3:7" x14ac:dyDescent="0.15">
      <c r="C2032" s="43">
        <v>744</v>
      </c>
      <c r="D2032" s="42">
        <v>0.55169340463458105</v>
      </c>
      <c r="E2032" s="42">
        <v>0.984375</v>
      </c>
      <c r="F2032" s="42">
        <v>0.55169340463458105</v>
      </c>
      <c r="G2032">
        <v>1</v>
      </c>
    </row>
    <row r="2033" spans="3:7" x14ac:dyDescent="0.15">
      <c r="C2033" s="43">
        <v>745</v>
      </c>
      <c r="D2033" s="42">
        <v>0.55258467023172908</v>
      </c>
      <c r="E2033" s="42">
        <v>0.984375</v>
      </c>
      <c r="F2033" s="42">
        <v>0.55258467023172908</v>
      </c>
      <c r="G2033">
        <v>1</v>
      </c>
    </row>
    <row r="2034" spans="3:7" x14ac:dyDescent="0.15">
      <c r="C2034" s="43">
        <v>746</v>
      </c>
      <c r="D2034" s="42">
        <v>0.553475935828877</v>
      </c>
      <c r="E2034" s="42">
        <v>0.984375</v>
      </c>
      <c r="F2034" s="42">
        <v>0.553475935828877</v>
      </c>
      <c r="G2034">
        <v>1</v>
      </c>
    </row>
    <row r="2035" spans="3:7" x14ac:dyDescent="0.15">
      <c r="C2035" s="43">
        <v>747</v>
      </c>
      <c r="D2035" s="42">
        <v>0.55436720142602491</v>
      </c>
      <c r="E2035" s="42">
        <v>0.984375</v>
      </c>
      <c r="F2035" s="42">
        <v>0.55436720142602491</v>
      </c>
      <c r="G2035">
        <v>1</v>
      </c>
    </row>
    <row r="2036" spans="3:7" x14ac:dyDescent="0.15">
      <c r="C2036" s="43">
        <v>748</v>
      </c>
      <c r="D2036" s="42">
        <v>0.55525846702317294</v>
      </c>
      <c r="E2036" s="42">
        <v>0.984375</v>
      </c>
      <c r="F2036" s="42">
        <v>0.55525846702317294</v>
      </c>
      <c r="G2036">
        <v>1</v>
      </c>
    </row>
    <row r="2037" spans="3:7" x14ac:dyDescent="0.15">
      <c r="C2037" s="43">
        <v>749</v>
      </c>
      <c r="D2037" s="42">
        <v>0.55614973262032086</v>
      </c>
      <c r="E2037" s="42">
        <v>0.984375</v>
      </c>
      <c r="F2037" s="42">
        <v>0.55614973262032086</v>
      </c>
      <c r="G2037">
        <v>1</v>
      </c>
    </row>
    <row r="2038" spans="3:7" x14ac:dyDescent="0.15">
      <c r="C2038" s="43">
        <v>750</v>
      </c>
      <c r="D2038" s="42">
        <v>0.55704099821746877</v>
      </c>
      <c r="E2038" s="42">
        <v>0.984375</v>
      </c>
      <c r="F2038" s="42">
        <v>0.55704099821746877</v>
      </c>
      <c r="G2038">
        <v>1</v>
      </c>
    </row>
    <row r="2039" spans="3:7" x14ac:dyDescent="0.15">
      <c r="C2039" s="43">
        <v>751</v>
      </c>
      <c r="D2039" s="42">
        <v>0.5579322638146168</v>
      </c>
      <c r="E2039" s="42">
        <v>0.984375</v>
      </c>
      <c r="F2039" s="42">
        <v>0.5579322638146168</v>
      </c>
      <c r="G2039">
        <v>1</v>
      </c>
    </row>
    <row r="2040" spans="3:7" x14ac:dyDescent="0.15">
      <c r="C2040" s="43">
        <v>752</v>
      </c>
      <c r="D2040" s="42">
        <v>0.55882352941176472</v>
      </c>
      <c r="E2040" s="42">
        <v>0.984375</v>
      </c>
      <c r="F2040" s="42">
        <v>0.55882352941176472</v>
      </c>
      <c r="G2040">
        <v>1</v>
      </c>
    </row>
    <row r="2041" spans="3:7" x14ac:dyDescent="0.15">
      <c r="C2041" s="43">
        <v>753</v>
      </c>
      <c r="D2041" s="42">
        <v>0.55971479500891264</v>
      </c>
      <c r="E2041" s="42">
        <v>0.984375</v>
      </c>
      <c r="F2041" s="42">
        <v>0.55971479500891264</v>
      </c>
      <c r="G2041">
        <v>1</v>
      </c>
    </row>
    <row r="2042" spans="3:7" x14ac:dyDescent="0.15">
      <c r="C2042" s="43">
        <v>754</v>
      </c>
      <c r="D2042" s="42">
        <v>0.56060606060606055</v>
      </c>
      <c r="E2042" s="42">
        <v>0.984375</v>
      </c>
      <c r="F2042" s="42">
        <v>0.56060606060606055</v>
      </c>
      <c r="G2042">
        <v>1</v>
      </c>
    </row>
    <row r="2043" spans="3:7" x14ac:dyDescent="0.15">
      <c r="C2043" s="43">
        <v>755</v>
      </c>
      <c r="D2043" s="42">
        <v>0.56149732620320858</v>
      </c>
      <c r="E2043" s="42">
        <v>0.984375</v>
      </c>
      <c r="F2043" s="42">
        <v>0.56149732620320858</v>
      </c>
      <c r="G2043">
        <v>1</v>
      </c>
    </row>
    <row r="2044" spans="3:7" x14ac:dyDescent="0.15">
      <c r="C2044" s="43">
        <v>756</v>
      </c>
      <c r="D2044" s="42">
        <v>0.5623885918003565</v>
      </c>
      <c r="E2044" s="42">
        <v>0.984375</v>
      </c>
      <c r="F2044" s="42">
        <v>0.5623885918003565</v>
      </c>
      <c r="G2044">
        <v>1</v>
      </c>
    </row>
    <row r="2045" spans="3:7" x14ac:dyDescent="0.15">
      <c r="C2045" s="43">
        <v>757</v>
      </c>
      <c r="D2045" s="42">
        <v>0.5623885918003565</v>
      </c>
      <c r="E2045" s="42">
        <v>0.9921875</v>
      </c>
      <c r="F2045" s="42">
        <v>0.5623885918003565</v>
      </c>
      <c r="G2045">
        <v>1</v>
      </c>
    </row>
    <row r="2046" spans="3:7" x14ac:dyDescent="0.15">
      <c r="C2046" s="43">
        <v>758</v>
      </c>
      <c r="D2046" s="42">
        <v>0.56327985739750441</v>
      </c>
      <c r="E2046" s="42">
        <v>0.9921875</v>
      </c>
      <c r="F2046" s="42">
        <v>0.56327985739750441</v>
      </c>
      <c r="G2046">
        <v>1</v>
      </c>
    </row>
    <row r="2047" spans="3:7" x14ac:dyDescent="0.15">
      <c r="C2047" s="43">
        <v>759</v>
      </c>
      <c r="D2047" s="42">
        <v>0.56417112299465244</v>
      </c>
      <c r="E2047" s="42">
        <v>0.9921875</v>
      </c>
      <c r="F2047" s="42">
        <v>0.56417112299465244</v>
      </c>
      <c r="G2047">
        <v>1</v>
      </c>
    </row>
    <row r="2048" spans="3:7" x14ac:dyDescent="0.15">
      <c r="C2048" s="43">
        <v>760</v>
      </c>
      <c r="D2048" s="42">
        <v>0.56506238859180036</v>
      </c>
      <c r="E2048" s="42">
        <v>0.9921875</v>
      </c>
      <c r="F2048" s="42">
        <v>0.56506238859180036</v>
      </c>
      <c r="G2048">
        <v>1</v>
      </c>
    </row>
    <row r="2049" spans="3:7" x14ac:dyDescent="0.15">
      <c r="C2049" s="43">
        <v>761</v>
      </c>
      <c r="D2049" s="42">
        <v>0.56595365418894827</v>
      </c>
      <c r="E2049" s="42">
        <v>0.9921875</v>
      </c>
      <c r="F2049" s="42">
        <v>0.56595365418894827</v>
      </c>
      <c r="G2049">
        <v>1</v>
      </c>
    </row>
    <row r="2050" spans="3:7" x14ac:dyDescent="0.15">
      <c r="C2050" s="43">
        <v>762</v>
      </c>
      <c r="D2050" s="42">
        <v>0.5668449197860963</v>
      </c>
      <c r="E2050" s="42">
        <v>0.9921875</v>
      </c>
      <c r="F2050" s="42">
        <v>0.5668449197860963</v>
      </c>
      <c r="G2050">
        <v>1</v>
      </c>
    </row>
    <row r="2051" spans="3:7" x14ac:dyDescent="0.15">
      <c r="C2051" s="43">
        <v>763</v>
      </c>
      <c r="D2051" s="42">
        <v>0.56773618538324422</v>
      </c>
      <c r="E2051" s="42">
        <v>0.9921875</v>
      </c>
      <c r="F2051" s="42">
        <v>0.56773618538324422</v>
      </c>
      <c r="G2051">
        <v>1</v>
      </c>
    </row>
    <row r="2052" spans="3:7" x14ac:dyDescent="0.15">
      <c r="C2052" s="43">
        <v>764</v>
      </c>
      <c r="D2052" s="42">
        <v>0.56862745098039214</v>
      </c>
      <c r="E2052" s="42">
        <v>0.9921875</v>
      </c>
      <c r="F2052" s="42">
        <v>0.56862745098039214</v>
      </c>
      <c r="G2052">
        <v>1</v>
      </c>
    </row>
    <row r="2053" spans="3:7" x14ac:dyDescent="0.15">
      <c r="C2053" s="43">
        <v>765</v>
      </c>
      <c r="D2053" s="42">
        <v>0.56951871657754005</v>
      </c>
      <c r="E2053" s="42">
        <v>0.9921875</v>
      </c>
      <c r="F2053" s="42">
        <v>0.56951871657754005</v>
      </c>
      <c r="G2053">
        <v>1</v>
      </c>
    </row>
    <row r="2054" spans="3:7" x14ac:dyDescent="0.15">
      <c r="C2054" s="43">
        <v>766</v>
      </c>
      <c r="D2054" s="42">
        <v>0.57040998217468808</v>
      </c>
      <c r="E2054" s="42">
        <v>0.9921875</v>
      </c>
      <c r="F2054" s="42">
        <v>0.57040998217468808</v>
      </c>
      <c r="G2054">
        <v>1</v>
      </c>
    </row>
    <row r="2055" spans="3:7" x14ac:dyDescent="0.15">
      <c r="C2055" s="43">
        <v>767</v>
      </c>
      <c r="D2055" s="42">
        <v>0.571301247771836</v>
      </c>
      <c r="E2055" s="42">
        <v>0.9921875</v>
      </c>
      <c r="F2055" s="42">
        <v>0.571301247771836</v>
      </c>
      <c r="G2055">
        <v>1</v>
      </c>
    </row>
    <row r="2056" spans="3:7" x14ac:dyDescent="0.15">
      <c r="C2056" s="43">
        <v>768</v>
      </c>
      <c r="D2056" s="42">
        <v>0.57219251336898391</v>
      </c>
      <c r="E2056" s="42">
        <v>0.9921875</v>
      </c>
      <c r="F2056" s="42">
        <v>0.57219251336898391</v>
      </c>
      <c r="G2056">
        <v>1</v>
      </c>
    </row>
    <row r="2057" spans="3:7" x14ac:dyDescent="0.15">
      <c r="C2057" s="43">
        <v>769</v>
      </c>
      <c r="D2057" s="42">
        <v>0.57308377896613194</v>
      </c>
      <c r="E2057" s="42">
        <v>0.9921875</v>
      </c>
      <c r="F2057" s="42">
        <v>0.57308377896613194</v>
      </c>
      <c r="G2057">
        <v>1</v>
      </c>
    </row>
    <row r="2058" spans="3:7" x14ac:dyDescent="0.15">
      <c r="C2058" s="43">
        <v>770</v>
      </c>
      <c r="D2058" s="42">
        <v>0.57397504456327986</v>
      </c>
      <c r="E2058" s="42">
        <v>0.9921875</v>
      </c>
      <c r="F2058" s="42">
        <v>0.57397504456327986</v>
      </c>
      <c r="G2058">
        <v>1</v>
      </c>
    </row>
    <row r="2059" spans="3:7" x14ac:dyDescent="0.15">
      <c r="C2059" s="43">
        <v>771</v>
      </c>
      <c r="D2059" s="42">
        <v>0.57486631016042777</v>
      </c>
      <c r="E2059" s="42">
        <v>0.9921875</v>
      </c>
      <c r="F2059" s="42">
        <v>0.57486631016042777</v>
      </c>
      <c r="G2059">
        <v>1</v>
      </c>
    </row>
    <row r="2060" spans="3:7" x14ac:dyDescent="0.15">
      <c r="C2060" s="43">
        <v>772</v>
      </c>
      <c r="D2060" s="42">
        <v>0.5757575757575758</v>
      </c>
      <c r="E2060" s="42">
        <v>0.9921875</v>
      </c>
      <c r="F2060" s="42">
        <v>0.5757575757575758</v>
      </c>
      <c r="G2060">
        <v>1</v>
      </c>
    </row>
    <row r="2061" spans="3:7" x14ac:dyDescent="0.15">
      <c r="C2061" s="43">
        <v>773</v>
      </c>
      <c r="D2061" s="42">
        <v>0.57664884135472372</v>
      </c>
      <c r="E2061" s="42">
        <v>0.9921875</v>
      </c>
      <c r="F2061" s="42">
        <v>0.57664884135472372</v>
      </c>
      <c r="G2061">
        <v>1</v>
      </c>
    </row>
    <row r="2062" spans="3:7" x14ac:dyDescent="0.15">
      <c r="C2062" s="43">
        <v>774</v>
      </c>
      <c r="D2062" s="42">
        <v>0.57754010695187163</v>
      </c>
      <c r="E2062" s="42">
        <v>0.9921875</v>
      </c>
      <c r="F2062" s="42">
        <v>0.57754010695187163</v>
      </c>
      <c r="G2062">
        <v>1</v>
      </c>
    </row>
    <row r="2063" spans="3:7" x14ac:dyDescent="0.15">
      <c r="C2063" s="43">
        <v>775</v>
      </c>
      <c r="D2063" s="42">
        <v>0.57843137254901966</v>
      </c>
      <c r="E2063" s="42">
        <v>0.9921875</v>
      </c>
      <c r="F2063" s="42">
        <v>0.57843137254901966</v>
      </c>
      <c r="G2063">
        <v>1</v>
      </c>
    </row>
    <row r="2064" spans="3:7" x14ac:dyDescent="0.15">
      <c r="C2064" s="43">
        <v>776</v>
      </c>
      <c r="D2064" s="42">
        <v>0.57932263814616758</v>
      </c>
      <c r="E2064" s="42">
        <v>0.9921875</v>
      </c>
      <c r="F2064" s="42">
        <v>0.57932263814616758</v>
      </c>
      <c r="G2064">
        <v>1</v>
      </c>
    </row>
    <row r="2065" spans="3:7" x14ac:dyDescent="0.15">
      <c r="C2065" s="43">
        <v>777</v>
      </c>
      <c r="D2065" s="42">
        <v>0.5802139037433155</v>
      </c>
      <c r="E2065" s="42">
        <v>0.9921875</v>
      </c>
      <c r="F2065" s="42">
        <v>0.5802139037433155</v>
      </c>
      <c r="G2065">
        <v>1</v>
      </c>
    </row>
    <row r="2066" spans="3:7" x14ac:dyDescent="0.15">
      <c r="C2066" s="43">
        <v>778</v>
      </c>
      <c r="D2066" s="42">
        <v>0.58110516934046341</v>
      </c>
      <c r="E2066" s="42">
        <v>0.9921875</v>
      </c>
      <c r="F2066" s="42">
        <v>0.58110516934046341</v>
      </c>
      <c r="G2066">
        <v>1</v>
      </c>
    </row>
    <row r="2067" spans="3:7" x14ac:dyDescent="0.15">
      <c r="C2067" s="43">
        <v>779</v>
      </c>
      <c r="D2067" s="42">
        <v>0.58199643493761144</v>
      </c>
      <c r="E2067" s="42">
        <v>0.9921875</v>
      </c>
      <c r="F2067" s="42">
        <v>0.58199643493761144</v>
      </c>
      <c r="G2067">
        <v>1</v>
      </c>
    </row>
    <row r="2068" spans="3:7" x14ac:dyDescent="0.15">
      <c r="C2068" s="43">
        <v>780</v>
      </c>
      <c r="D2068" s="42">
        <v>0.58288770053475936</v>
      </c>
      <c r="E2068" s="42">
        <v>0.9921875</v>
      </c>
      <c r="F2068" s="42">
        <v>0.58288770053475936</v>
      </c>
      <c r="G2068">
        <v>1</v>
      </c>
    </row>
    <row r="2069" spans="3:7" x14ac:dyDescent="0.15">
      <c r="C2069" s="43">
        <v>781</v>
      </c>
      <c r="D2069" s="42">
        <v>0.58377896613190727</v>
      </c>
      <c r="E2069" s="42">
        <v>0.9921875</v>
      </c>
      <c r="F2069" s="42">
        <v>0.58377896613190727</v>
      </c>
      <c r="G2069">
        <v>1</v>
      </c>
    </row>
    <row r="2070" spans="3:7" x14ac:dyDescent="0.15">
      <c r="C2070" s="43">
        <v>782</v>
      </c>
      <c r="D2070" s="42">
        <v>0.5846702317290553</v>
      </c>
      <c r="E2070" s="42">
        <v>0.9921875</v>
      </c>
      <c r="F2070" s="42">
        <v>0.5846702317290553</v>
      </c>
      <c r="G2070">
        <v>1</v>
      </c>
    </row>
    <row r="2071" spans="3:7" x14ac:dyDescent="0.15">
      <c r="C2071" s="43">
        <v>783</v>
      </c>
      <c r="D2071" s="42">
        <v>0.58556149732620322</v>
      </c>
      <c r="E2071" s="42">
        <v>0.9921875</v>
      </c>
      <c r="F2071" s="42">
        <v>0.58556149732620322</v>
      </c>
      <c r="G2071">
        <v>1</v>
      </c>
    </row>
    <row r="2072" spans="3:7" x14ac:dyDescent="0.15">
      <c r="C2072" s="43">
        <v>784</v>
      </c>
      <c r="D2072" s="42">
        <v>0.58645276292335113</v>
      </c>
      <c r="E2072" s="42">
        <v>0.9921875</v>
      </c>
      <c r="F2072" s="42">
        <v>0.58645276292335113</v>
      </c>
      <c r="G2072">
        <v>1</v>
      </c>
    </row>
    <row r="2073" spans="3:7" x14ac:dyDescent="0.15">
      <c r="C2073" s="43">
        <v>785</v>
      </c>
      <c r="D2073" s="42">
        <v>0.58734402852049916</v>
      </c>
      <c r="E2073" s="42">
        <v>0.9921875</v>
      </c>
      <c r="F2073" s="42">
        <v>0.58734402852049916</v>
      </c>
      <c r="G2073">
        <v>1</v>
      </c>
    </row>
    <row r="2074" spans="3:7" x14ac:dyDescent="0.15">
      <c r="C2074" s="43">
        <v>786</v>
      </c>
      <c r="D2074" s="42">
        <v>0.58823529411764708</v>
      </c>
      <c r="E2074" s="42">
        <v>0.9921875</v>
      </c>
      <c r="F2074" s="42">
        <v>0.58823529411764708</v>
      </c>
      <c r="G2074">
        <v>1</v>
      </c>
    </row>
    <row r="2075" spans="3:7" x14ac:dyDescent="0.15">
      <c r="C2075" s="43">
        <v>787</v>
      </c>
      <c r="D2075" s="42">
        <v>0.589126559714795</v>
      </c>
      <c r="E2075" s="42">
        <v>0.9921875</v>
      </c>
      <c r="F2075" s="42">
        <v>0.589126559714795</v>
      </c>
      <c r="G2075">
        <v>1</v>
      </c>
    </row>
    <row r="2076" spans="3:7" x14ac:dyDescent="0.15">
      <c r="C2076" s="43">
        <v>788</v>
      </c>
      <c r="D2076" s="42">
        <v>0.59001782531194291</v>
      </c>
      <c r="E2076" s="42">
        <v>0.9921875</v>
      </c>
      <c r="F2076" s="42">
        <v>0.59001782531194291</v>
      </c>
      <c r="G2076">
        <v>1</v>
      </c>
    </row>
    <row r="2077" spans="3:7" x14ac:dyDescent="0.15">
      <c r="C2077" s="43">
        <v>789</v>
      </c>
      <c r="D2077" s="42">
        <v>0.59090909090909094</v>
      </c>
      <c r="E2077" s="42">
        <v>0.9921875</v>
      </c>
      <c r="F2077" s="42">
        <v>0.59090909090909094</v>
      </c>
      <c r="G2077">
        <v>1</v>
      </c>
    </row>
    <row r="2078" spans="3:7" x14ac:dyDescent="0.15">
      <c r="C2078" s="43">
        <v>790</v>
      </c>
      <c r="D2078" s="42">
        <v>0.59180035650623886</v>
      </c>
      <c r="E2078" s="42">
        <v>0.9921875</v>
      </c>
      <c r="F2078" s="42">
        <v>0.59180035650623886</v>
      </c>
      <c r="G2078">
        <v>1</v>
      </c>
    </row>
    <row r="2079" spans="3:7" x14ac:dyDescent="0.15">
      <c r="C2079" s="43">
        <v>791</v>
      </c>
      <c r="D2079" s="42">
        <v>0.59269162210338677</v>
      </c>
      <c r="E2079" s="42">
        <v>0.9921875</v>
      </c>
      <c r="F2079" s="42">
        <v>0.59269162210338677</v>
      </c>
      <c r="G2079">
        <v>1</v>
      </c>
    </row>
    <row r="2080" spans="3:7" x14ac:dyDescent="0.15">
      <c r="C2080" s="43">
        <v>792</v>
      </c>
      <c r="D2080" s="42">
        <v>0.5935828877005348</v>
      </c>
      <c r="E2080" s="42">
        <v>0.9921875</v>
      </c>
      <c r="F2080" s="42">
        <v>0.5935828877005348</v>
      </c>
      <c r="G2080">
        <v>1</v>
      </c>
    </row>
    <row r="2081" spans="3:7" x14ac:dyDescent="0.15">
      <c r="C2081" s="43">
        <v>793</v>
      </c>
      <c r="D2081" s="42">
        <v>0.59447415329768272</v>
      </c>
      <c r="E2081" s="42">
        <v>0.9921875</v>
      </c>
      <c r="F2081" s="42">
        <v>0.59447415329768272</v>
      </c>
      <c r="G2081">
        <v>1</v>
      </c>
    </row>
    <row r="2082" spans="3:7" x14ac:dyDescent="0.15">
      <c r="C2082" s="43">
        <v>794</v>
      </c>
      <c r="D2082" s="42">
        <v>0.59536541889483063</v>
      </c>
      <c r="E2082" s="42">
        <v>0.9921875</v>
      </c>
      <c r="F2082" s="42">
        <v>0.59536541889483063</v>
      </c>
      <c r="G2082">
        <v>1</v>
      </c>
    </row>
    <row r="2083" spans="3:7" x14ac:dyDescent="0.15">
      <c r="C2083" s="43">
        <v>795</v>
      </c>
      <c r="D2083" s="42">
        <v>0.59625668449197866</v>
      </c>
      <c r="E2083" s="42">
        <v>0.9921875</v>
      </c>
      <c r="F2083" s="42">
        <v>0.59625668449197866</v>
      </c>
      <c r="G2083">
        <v>1</v>
      </c>
    </row>
    <row r="2084" spans="3:7" x14ac:dyDescent="0.15">
      <c r="C2084" s="43">
        <v>796</v>
      </c>
      <c r="D2084" s="42">
        <v>0.59714795008912658</v>
      </c>
      <c r="E2084" s="42">
        <v>0.9921875</v>
      </c>
      <c r="F2084" s="42">
        <v>0.59714795008912658</v>
      </c>
      <c r="G2084">
        <v>1</v>
      </c>
    </row>
    <row r="2085" spans="3:7" x14ac:dyDescent="0.15">
      <c r="C2085" s="43">
        <v>797</v>
      </c>
      <c r="D2085" s="42">
        <v>0.59803921568627449</v>
      </c>
      <c r="E2085" s="42">
        <v>0.9921875</v>
      </c>
      <c r="F2085" s="42">
        <v>0.59803921568627449</v>
      </c>
      <c r="G2085">
        <v>1</v>
      </c>
    </row>
    <row r="2086" spans="3:7" x14ac:dyDescent="0.15">
      <c r="C2086" s="43">
        <v>798</v>
      </c>
      <c r="D2086" s="42">
        <v>0.59893048128342241</v>
      </c>
      <c r="E2086" s="42">
        <v>0.9921875</v>
      </c>
      <c r="F2086" s="42">
        <v>0.59893048128342241</v>
      </c>
      <c r="G2086">
        <v>1</v>
      </c>
    </row>
    <row r="2087" spans="3:7" x14ac:dyDescent="0.15">
      <c r="C2087" s="43">
        <v>799</v>
      </c>
      <c r="D2087" s="42">
        <v>0.59982174688057044</v>
      </c>
      <c r="E2087" s="42">
        <v>0.9921875</v>
      </c>
      <c r="F2087" s="42">
        <v>0.59982174688057044</v>
      </c>
      <c r="G2087">
        <v>1</v>
      </c>
    </row>
    <row r="2088" spans="3:7" x14ac:dyDescent="0.15">
      <c r="C2088" s="43">
        <v>800</v>
      </c>
      <c r="D2088" s="42">
        <v>0.60071301247771836</v>
      </c>
      <c r="E2088" s="42">
        <v>0.9921875</v>
      </c>
      <c r="F2088" s="42">
        <v>0.60071301247771836</v>
      </c>
      <c r="G2088">
        <v>1</v>
      </c>
    </row>
    <row r="2089" spans="3:7" x14ac:dyDescent="0.15">
      <c r="C2089" s="43">
        <v>801</v>
      </c>
      <c r="D2089" s="42">
        <v>0.60160427807486627</v>
      </c>
      <c r="E2089" s="42">
        <v>0.9921875</v>
      </c>
      <c r="F2089" s="42">
        <v>0.60160427807486627</v>
      </c>
      <c r="G2089">
        <v>1</v>
      </c>
    </row>
    <row r="2090" spans="3:7" x14ac:dyDescent="0.15">
      <c r="C2090" s="43">
        <v>802</v>
      </c>
      <c r="D2090" s="42">
        <v>0.6024955436720143</v>
      </c>
      <c r="E2090" s="42">
        <v>0.9921875</v>
      </c>
      <c r="F2090" s="42">
        <v>0.6024955436720143</v>
      </c>
      <c r="G2090">
        <v>1</v>
      </c>
    </row>
    <row r="2091" spans="3:7" x14ac:dyDescent="0.15">
      <c r="C2091" s="43">
        <v>803</v>
      </c>
      <c r="D2091" s="42">
        <v>0.60338680926916222</v>
      </c>
      <c r="E2091" s="42">
        <v>0.9921875</v>
      </c>
      <c r="F2091" s="42">
        <v>0.60338680926916222</v>
      </c>
      <c r="G2091">
        <v>1</v>
      </c>
    </row>
    <row r="2092" spans="3:7" x14ac:dyDescent="0.15">
      <c r="C2092" s="43">
        <v>804</v>
      </c>
      <c r="D2092" s="42">
        <v>0.60427807486631013</v>
      </c>
      <c r="E2092" s="42">
        <v>0.9921875</v>
      </c>
      <c r="F2092" s="42">
        <v>0.60427807486631013</v>
      </c>
      <c r="G2092">
        <v>1</v>
      </c>
    </row>
    <row r="2093" spans="3:7" x14ac:dyDescent="0.15">
      <c r="C2093" s="43">
        <v>805</v>
      </c>
      <c r="D2093" s="42">
        <v>0.60516934046345816</v>
      </c>
      <c r="E2093" s="42">
        <v>0.9921875</v>
      </c>
      <c r="F2093" s="42">
        <v>0.60516934046345816</v>
      </c>
      <c r="G2093">
        <v>1</v>
      </c>
    </row>
    <row r="2094" spans="3:7" x14ac:dyDescent="0.15">
      <c r="C2094" s="43">
        <v>806</v>
      </c>
      <c r="D2094" s="42">
        <v>0.60606060606060608</v>
      </c>
      <c r="E2094" s="42">
        <v>0.9921875</v>
      </c>
      <c r="F2094" s="42">
        <v>0.60606060606060608</v>
      </c>
      <c r="G2094">
        <v>1</v>
      </c>
    </row>
    <row r="2095" spans="3:7" x14ac:dyDescent="0.15">
      <c r="C2095" s="43">
        <v>807</v>
      </c>
      <c r="D2095" s="42">
        <v>0.60695187165775399</v>
      </c>
      <c r="E2095" s="42">
        <v>0.9921875</v>
      </c>
      <c r="F2095" s="42">
        <v>0.60695187165775399</v>
      </c>
      <c r="G2095">
        <v>1</v>
      </c>
    </row>
    <row r="2096" spans="3:7" x14ac:dyDescent="0.15">
      <c r="C2096" s="43">
        <v>808</v>
      </c>
      <c r="D2096" s="42">
        <v>0.60784313725490191</v>
      </c>
      <c r="E2096" s="42">
        <v>0.9921875</v>
      </c>
      <c r="F2096" s="42">
        <v>0.60784313725490191</v>
      </c>
      <c r="G2096">
        <v>1</v>
      </c>
    </row>
    <row r="2097" spans="3:7" x14ac:dyDescent="0.15">
      <c r="C2097" s="43">
        <v>809</v>
      </c>
      <c r="D2097" s="42">
        <v>0.60873440285204994</v>
      </c>
      <c r="E2097" s="42">
        <v>0.9921875</v>
      </c>
      <c r="F2097" s="42">
        <v>0.60873440285204994</v>
      </c>
      <c r="G2097">
        <v>1</v>
      </c>
    </row>
    <row r="2098" spans="3:7" x14ac:dyDescent="0.15">
      <c r="C2098" s="43">
        <v>810</v>
      </c>
      <c r="D2098" s="42">
        <v>0.60962566844919786</v>
      </c>
      <c r="E2098" s="42">
        <v>0.9921875</v>
      </c>
      <c r="F2098" s="42">
        <v>0.60962566844919786</v>
      </c>
      <c r="G2098">
        <v>1</v>
      </c>
    </row>
    <row r="2099" spans="3:7" x14ac:dyDescent="0.15">
      <c r="C2099" s="43">
        <v>811</v>
      </c>
      <c r="D2099" s="42">
        <v>0.61051693404634577</v>
      </c>
      <c r="E2099" s="42">
        <v>0.9921875</v>
      </c>
      <c r="F2099" s="42">
        <v>0.61051693404634577</v>
      </c>
      <c r="G2099">
        <v>1</v>
      </c>
    </row>
    <row r="2100" spans="3:7" x14ac:dyDescent="0.15">
      <c r="C2100" s="43">
        <v>812</v>
      </c>
      <c r="D2100" s="42">
        <v>0.6114081996434938</v>
      </c>
      <c r="E2100" s="42">
        <v>0.9921875</v>
      </c>
      <c r="F2100" s="42">
        <v>0.6114081996434938</v>
      </c>
      <c r="G2100">
        <v>1</v>
      </c>
    </row>
    <row r="2101" spans="3:7" x14ac:dyDescent="0.15">
      <c r="C2101" s="43">
        <v>813</v>
      </c>
      <c r="D2101" s="42">
        <v>0.61229946524064172</v>
      </c>
      <c r="E2101" s="42">
        <v>0.9921875</v>
      </c>
      <c r="F2101" s="42">
        <v>0.61229946524064172</v>
      </c>
      <c r="G2101">
        <v>1</v>
      </c>
    </row>
    <row r="2102" spans="3:7" x14ac:dyDescent="0.15">
      <c r="C2102" s="43">
        <v>814</v>
      </c>
      <c r="D2102" s="42">
        <v>0.61319073083778963</v>
      </c>
      <c r="E2102" s="42">
        <v>0.9921875</v>
      </c>
      <c r="F2102" s="42">
        <v>0.61319073083778963</v>
      </c>
      <c r="G2102">
        <v>1</v>
      </c>
    </row>
    <row r="2103" spans="3:7" x14ac:dyDescent="0.15">
      <c r="C2103" s="43">
        <v>815</v>
      </c>
      <c r="D2103" s="42">
        <v>0.61408199643493766</v>
      </c>
      <c r="E2103" s="42">
        <v>0.9921875</v>
      </c>
      <c r="F2103" s="42">
        <v>0.61408199643493766</v>
      </c>
      <c r="G2103">
        <v>1</v>
      </c>
    </row>
    <row r="2104" spans="3:7" x14ac:dyDescent="0.15">
      <c r="C2104" s="43">
        <v>816</v>
      </c>
      <c r="D2104" s="42">
        <v>0.61497326203208558</v>
      </c>
      <c r="E2104" s="42">
        <v>0.9921875</v>
      </c>
      <c r="F2104" s="42">
        <v>0.61497326203208558</v>
      </c>
      <c r="G2104">
        <v>1</v>
      </c>
    </row>
    <row r="2105" spans="3:7" x14ac:dyDescent="0.15">
      <c r="C2105" s="43">
        <v>817</v>
      </c>
      <c r="D2105" s="42">
        <v>0.61586452762923349</v>
      </c>
      <c r="E2105" s="42">
        <v>0.9921875</v>
      </c>
      <c r="F2105" s="42">
        <v>0.61586452762923349</v>
      </c>
      <c r="G2105">
        <v>1</v>
      </c>
    </row>
    <row r="2106" spans="3:7" x14ac:dyDescent="0.15">
      <c r="C2106" s="43">
        <v>818</v>
      </c>
      <c r="D2106" s="42">
        <v>0.61675579322638141</v>
      </c>
      <c r="E2106" s="42">
        <v>0.9921875</v>
      </c>
      <c r="F2106" s="42">
        <v>0.61675579322638141</v>
      </c>
      <c r="G2106">
        <v>1</v>
      </c>
    </row>
    <row r="2107" spans="3:7" x14ac:dyDescent="0.15">
      <c r="C2107" s="43">
        <v>819</v>
      </c>
      <c r="D2107" s="42">
        <v>0.61764705882352944</v>
      </c>
      <c r="E2107" s="42">
        <v>0.9921875</v>
      </c>
      <c r="F2107" s="42">
        <v>0.61764705882352944</v>
      </c>
      <c r="G2107">
        <v>1</v>
      </c>
    </row>
    <row r="2108" spans="3:7" x14ac:dyDescent="0.15">
      <c r="C2108" s="43">
        <v>820</v>
      </c>
      <c r="D2108" s="42">
        <v>0.61853832442067735</v>
      </c>
      <c r="E2108" s="42">
        <v>0.9921875</v>
      </c>
      <c r="F2108" s="42">
        <v>0.61853832442067735</v>
      </c>
      <c r="G2108">
        <v>1</v>
      </c>
    </row>
    <row r="2109" spans="3:7" x14ac:dyDescent="0.15">
      <c r="C2109" s="43">
        <v>821</v>
      </c>
      <c r="D2109" s="42">
        <v>0.61942959001782527</v>
      </c>
      <c r="E2109" s="42">
        <v>0.9921875</v>
      </c>
      <c r="F2109" s="42">
        <v>0.61942959001782527</v>
      </c>
      <c r="G2109">
        <v>1</v>
      </c>
    </row>
    <row r="2110" spans="3:7" x14ac:dyDescent="0.15">
      <c r="C2110" s="43">
        <v>822</v>
      </c>
      <c r="D2110" s="42">
        <v>0.6203208556149733</v>
      </c>
      <c r="E2110" s="42">
        <v>0.9921875</v>
      </c>
      <c r="F2110" s="42">
        <v>0.6203208556149733</v>
      </c>
      <c r="G2110">
        <v>1</v>
      </c>
    </row>
    <row r="2111" spans="3:7" x14ac:dyDescent="0.15">
      <c r="C2111" s="43">
        <v>823</v>
      </c>
      <c r="D2111" s="42">
        <v>0.62121212121212122</v>
      </c>
      <c r="E2111" s="42">
        <v>0.9921875</v>
      </c>
      <c r="F2111" s="42">
        <v>0.62121212121212122</v>
      </c>
      <c r="G2111">
        <v>1</v>
      </c>
    </row>
    <row r="2112" spans="3:7" x14ac:dyDescent="0.15">
      <c r="C2112" s="43">
        <v>824</v>
      </c>
      <c r="D2112" s="42">
        <v>0.62210338680926913</v>
      </c>
      <c r="E2112" s="42">
        <v>0.9921875</v>
      </c>
      <c r="F2112" s="42">
        <v>0.62210338680926913</v>
      </c>
      <c r="G2112">
        <v>1</v>
      </c>
    </row>
    <row r="2113" spans="3:7" x14ac:dyDescent="0.15">
      <c r="C2113" s="43">
        <v>825</v>
      </c>
      <c r="D2113" s="42">
        <v>0.62299465240641716</v>
      </c>
      <c r="E2113" s="42">
        <v>0.9921875</v>
      </c>
      <c r="F2113" s="42">
        <v>0.62299465240641716</v>
      </c>
      <c r="G2113">
        <v>1</v>
      </c>
    </row>
    <row r="2114" spans="3:7" x14ac:dyDescent="0.15">
      <c r="C2114" s="43">
        <v>826</v>
      </c>
      <c r="D2114" s="42">
        <v>0.62388591800356508</v>
      </c>
      <c r="E2114" s="42">
        <v>0.9921875</v>
      </c>
      <c r="F2114" s="42">
        <v>0.62388591800356508</v>
      </c>
      <c r="G2114">
        <v>1</v>
      </c>
    </row>
    <row r="2115" spans="3:7" x14ac:dyDescent="0.15">
      <c r="C2115" s="43">
        <v>827</v>
      </c>
      <c r="D2115" s="42">
        <v>0.62477718360071299</v>
      </c>
      <c r="E2115" s="42">
        <v>0.9921875</v>
      </c>
      <c r="F2115" s="42">
        <v>0.62477718360071299</v>
      </c>
      <c r="G2115">
        <v>1</v>
      </c>
    </row>
    <row r="2116" spans="3:7" x14ac:dyDescent="0.15">
      <c r="C2116" s="43">
        <v>828</v>
      </c>
      <c r="D2116" s="42">
        <v>0.62566844919786091</v>
      </c>
      <c r="E2116" s="42">
        <v>0.9921875</v>
      </c>
      <c r="F2116" s="42">
        <v>0.62566844919786091</v>
      </c>
      <c r="G2116">
        <v>1</v>
      </c>
    </row>
    <row r="2117" spans="3:7" x14ac:dyDescent="0.15">
      <c r="C2117" s="43">
        <v>829</v>
      </c>
      <c r="D2117" s="42">
        <v>0.62655971479500894</v>
      </c>
      <c r="E2117" s="42">
        <v>0.9921875</v>
      </c>
      <c r="F2117" s="42">
        <v>0.62655971479500894</v>
      </c>
      <c r="G2117">
        <v>1</v>
      </c>
    </row>
    <row r="2118" spans="3:7" x14ac:dyDescent="0.15">
      <c r="C2118" s="43">
        <v>830</v>
      </c>
      <c r="D2118" s="42">
        <v>0.62745098039215685</v>
      </c>
      <c r="E2118" s="42">
        <v>0.9921875</v>
      </c>
      <c r="F2118" s="42">
        <v>0.62745098039215685</v>
      </c>
      <c r="G2118">
        <v>1</v>
      </c>
    </row>
    <row r="2119" spans="3:7" x14ac:dyDescent="0.15">
      <c r="C2119" s="43">
        <v>831</v>
      </c>
      <c r="D2119" s="42">
        <v>0.62834224598930477</v>
      </c>
      <c r="E2119" s="42">
        <v>0.9921875</v>
      </c>
      <c r="F2119" s="42">
        <v>0.62834224598930477</v>
      </c>
      <c r="G2119">
        <v>1</v>
      </c>
    </row>
    <row r="2120" spans="3:7" x14ac:dyDescent="0.15">
      <c r="C2120" s="43">
        <v>832</v>
      </c>
      <c r="D2120" s="42">
        <v>0.6292335115864528</v>
      </c>
      <c r="E2120" s="42">
        <v>0.9921875</v>
      </c>
      <c r="F2120" s="42">
        <v>0.6292335115864528</v>
      </c>
      <c r="G2120">
        <v>1</v>
      </c>
    </row>
    <row r="2121" spans="3:7" x14ac:dyDescent="0.15">
      <c r="C2121" s="43">
        <v>833</v>
      </c>
      <c r="D2121" s="42">
        <v>0.63012477718360071</v>
      </c>
      <c r="E2121" s="42">
        <v>0.9921875</v>
      </c>
      <c r="F2121" s="42">
        <v>0.63012477718360071</v>
      </c>
      <c r="G2121">
        <v>1</v>
      </c>
    </row>
    <row r="2122" spans="3:7" x14ac:dyDescent="0.15">
      <c r="C2122" s="43">
        <v>834</v>
      </c>
      <c r="D2122" s="42">
        <v>0.63101604278074863</v>
      </c>
      <c r="E2122" s="42">
        <v>0.9921875</v>
      </c>
      <c r="F2122" s="42">
        <v>0.63101604278074863</v>
      </c>
      <c r="G2122">
        <v>1</v>
      </c>
    </row>
    <row r="2123" spans="3:7" x14ac:dyDescent="0.15">
      <c r="C2123" s="43">
        <v>835</v>
      </c>
      <c r="D2123" s="42">
        <v>0.63190730837789666</v>
      </c>
      <c r="E2123" s="42">
        <v>0.9921875</v>
      </c>
      <c r="F2123" s="42">
        <v>0.63190730837789666</v>
      </c>
      <c r="G2123">
        <v>1</v>
      </c>
    </row>
    <row r="2124" spans="3:7" x14ac:dyDescent="0.15">
      <c r="C2124" s="43">
        <v>836</v>
      </c>
      <c r="D2124" s="42">
        <v>0.63279857397504458</v>
      </c>
      <c r="E2124" s="42">
        <v>0.9921875</v>
      </c>
      <c r="F2124" s="42">
        <v>0.63279857397504458</v>
      </c>
      <c r="G2124">
        <v>1</v>
      </c>
    </row>
    <row r="2125" spans="3:7" x14ac:dyDescent="0.15">
      <c r="C2125" s="43">
        <v>837</v>
      </c>
      <c r="D2125" s="42">
        <v>0.63368983957219249</v>
      </c>
      <c r="E2125" s="42">
        <v>0.9921875</v>
      </c>
      <c r="F2125" s="42">
        <v>0.63368983957219249</v>
      </c>
      <c r="G2125">
        <v>1</v>
      </c>
    </row>
    <row r="2126" spans="3:7" x14ac:dyDescent="0.15">
      <c r="C2126" s="43">
        <v>838</v>
      </c>
      <c r="D2126" s="42">
        <v>0.63458110516934041</v>
      </c>
      <c r="E2126" s="42">
        <v>0.9921875</v>
      </c>
      <c r="F2126" s="42">
        <v>0.63458110516934041</v>
      </c>
      <c r="G2126">
        <v>1</v>
      </c>
    </row>
    <row r="2127" spans="3:7" x14ac:dyDescent="0.15">
      <c r="C2127" s="43">
        <v>839</v>
      </c>
      <c r="D2127" s="42">
        <v>0.63547237076648844</v>
      </c>
      <c r="E2127" s="42">
        <v>0.9921875</v>
      </c>
      <c r="F2127" s="42">
        <v>0.63547237076648844</v>
      </c>
      <c r="G2127">
        <v>1</v>
      </c>
    </row>
    <row r="2128" spans="3:7" x14ac:dyDescent="0.15">
      <c r="C2128" s="43">
        <v>840</v>
      </c>
      <c r="D2128" s="42">
        <v>0.63636363636363635</v>
      </c>
      <c r="E2128" s="42">
        <v>0.9921875</v>
      </c>
      <c r="F2128" s="42">
        <v>0.63636363636363635</v>
      </c>
      <c r="G2128">
        <v>1</v>
      </c>
    </row>
    <row r="2129" spans="3:7" x14ac:dyDescent="0.15">
      <c r="C2129" s="43">
        <v>841</v>
      </c>
      <c r="D2129" s="42">
        <v>0.63725490196078427</v>
      </c>
      <c r="E2129" s="42">
        <v>0.9921875</v>
      </c>
      <c r="F2129" s="42">
        <v>0.63725490196078427</v>
      </c>
      <c r="G2129">
        <v>1</v>
      </c>
    </row>
    <row r="2130" spans="3:7" x14ac:dyDescent="0.15">
      <c r="C2130" s="43">
        <v>842</v>
      </c>
      <c r="D2130" s="42">
        <v>0.6381461675579323</v>
      </c>
      <c r="E2130" s="42">
        <v>0.9921875</v>
      </c>
      <c r="F2130" s="42">
        <v>0.6381461675579323</v>
      </c>
      <c r="G2130">
        <v>1</v>
      </c>
    </row>
    <row r="2131" spans="3:7" x14ac:dyDescent="0.15">
      <c r="C2131" s="43">
        <v>843</v>
      </c>
      <c r="D2131" s="42">
        <v>0.63903743315508021</v>
      </c>
      <c r="E2131" s="42">
        <v>0.9921875</v>
      </c>
      <c r="F2131" s="42">
        <v>0.63903743315508021</v>
      </c>
      <c r="G2131">
        <v>1</v>
      </c>
    </row>
    <row r="2132" spans="3:7" x14ac:dyDescent="0.15">
      <c r="C2132" s="43">
        <v>844</v>
      </c>
      <c r="D2132" s="42">
        <v>0.63992869875222813</v>
      </c>
      <c r="E2132" s="42">
        <v>0.9921875</v>
      </c>
      <c r="F2132" s="42">
        <v>0.63992869875222813</v>
      </c>
      <c r="G2132">
        <v>1</v>
      </c>
    </row>
    <row r="2133" spans="3:7" x14ac:dyDescent="0.15">
      <c r="C2133" s="43">
        <v>845</v>
      </c>
      <c r="D2133" s="42">
        <v>0.64081996434937616</v>
      </c>
      <c r="E2133" s="42">
        <v>0.9921875</v>
      </c>
      <c r="F2133" s="42">
        <v>0.64081996434937616</v>
      </c>
      <c r="G2133">
        <v>1</v>
      </c>
    </row>
    <row r="2134" spans="3:7" x14ac:dyDescent="0.15">
      <c r="C2134" s="43">
        <v>846</v>
      </c>
      <c r="D2134" s="42">
        <v>0.64171122994652408</v>
      </c>
      <c r="E2134" s="42">
        <v>0.9921875</v>
      </c>
      <c r="F2134" s="42">
        <v>0.64171122994652408</v>
      </c>
      <c r="G2134">
        <v>1</v>
      </c>
    </row>
    <row r="2135" spans="3:7" x14ac:dyDescent="0.15">
      <c r="C2135" s="43">
        <v>847</v>
      </c>
      <c r="D2135" s="42">
        <v>0.64260249554367199</v>
      </c>
      <c r="E2135" s="42">
        <v>0.9921875</v>
      </c>
      <c r="F2135" s="42">
        <v>0.64260249554367199</v>
      </c>
      <c r="G2135">
        <v>1</v>
      </c>
    </row>
    <row r="2136" spans="3:7" x14ac:dyDescent="0.15">
      <c r="C2136" s="43">
        <v>848</v>
      </c>
      <c r="D2136" s="42">
        <v>0.64349376114082002</v>
      </c>
      <c r="E2136" s="42">
        <v>0.9921875</v>
      </c>
      <c r="F2136" s="42">
        <v>0.64349376114082002</v>
      </c>
      <c r="G2136">
        <v>1</v>
      </c>
    </row>
    <row r="2137" spans="3:7" x14ac:dyDescent="0.15">
      <c r="C2137" s="43">
        <v>849</v>
      </c>
      <c r="D2137" s="42">
        <v>0.64438502673796794</v>
      </c>
      <c r="E2137" s="42">
        <v>0.9921875</v>
      </c>
      <c r="F2137" s="42">
        <v>0.64438502673796794</v>
      </c>
      <c r="G2137">
        <v>1</v>
      </c>
    </row>
    <row r="2138" spans="3:7" x14ac:dyDescent="0.15">
      <c r="C2138" s="43">
        <v>850</v>
      </c>
      <c r="D2138" s="42">
        <v>0.64527629233511585</v>
      </c>
      <c r="E2138" s="42">
        <v>0.9921875</v>
      </c>
      <c r="F2138" s="42">
        <v>0.64527629233511585</v>
      </c>
      <c r="G2138">
        <v>1</v>
      </c>
    </row>
    <row r="2139" spans="3:7" x14ac:dyDescent="0.15">
      <c r="C2139" s="43">
        <v>851</v>
      </c>
      <c r="D2139" s="42">
        <v>0.64616755793226377</v>
      </c>
      <c r="E2139" s="42">
        <v>0.9921875</v>
      </c>
      <c r="F2139" s="42">
        <v>0.64616755793226377</v>
      </c>
      <c r="G2139">
        <v>1</v>
      </c>
    </row>
    <row r="2140" spans="3:7" x14ac:dyDescent="0.15">
      <c r="C2140" s="43">
        <v>852</v>
      </c>
      <c r="D2140" s="42">
        <v>0.6470588235294118</v>
      </c>
      <c r="E2140" s="42">
        <v>0.9921875</v>
      </c>
      <c r="F2140" s="42">
        <v>0.6470588235294118</v>
      </c>
      <c r="G2140">
        <v>1</v>
      </c>
    </row>
    <row r="2141" spans="3:7" x14ac:dyDescent="0.15">
      <c r="C2141" s="43">
        <v>853</v>
      </c>
      <c r="D2141" s="42">
        <v>0.64795008912655971</v>
      </c>
      <c r="E2141" s="42">
        <v>0.9921875</v>
      </c>
      <c r="F2141" s="42">
        <v>0.64795008912655971</v>
      </c>
      <c r="G2141">
        <v>1</v>
      </c>
    </row>
    <row r="2142" spans="3:7" x14ac:dyDescent="0.15">
      <c r="C2142" s="43">
        <v>854</v>
      </c>
      <c r="D2142" s="42">
        <v>0.64884135472370763</v>
      </c>
      <c r="E2142" s="42">
        <v>0.9921875</v>
      </c>
      <c r="F2142" s="42">
        <v>0.64884135472370763</v>
      </c>
      <c r="G2142">
        <v>1</v>
      </c>
    </row>
    <row r="2143" spans="3:7" x14ac:dyDescent="0.15">
      <c r="C2143" s="43">
        <v>855</v>
      </c>
      <c r="D2143" s="42">
        <v>0.64973262032085566</v>
      </c>
      <c r="E2143" s="42">
        <v>0.9921875</v>
      </c>
      <c r="F2143" s="42">
        <v>0.64973262032085566</v>
      </c>
      <c r="G2143">
        <v>1</v>
      </c>
    </row>
    <row r="2144" spans="3:7" x14ac:dyDescent="0.15">
      <c r="C2144" s="43">
        <v>856</v>
      </c>
      <c r="D2144" s="42">
        <v>0.65062388591800357</v>
      </c>
      <c r="E2144" s="42">
        <v>0.9921875</v>
      </c>
      <c r="F2144" s="42">
        <v>0.65062388591800357</v>
      </c>
      <c r="G2144">
        <v>1</v>
      </c>
    </row>
    <row r="2145" spans="3:7" x14ac:dyDescent="0.15">
      <c r="C2145" s="43">
        <v>857</v>
      </c>
      <c r="D2145" s="42">
        <v>0.65151515151515149</v>
      </c>
      <c r="E2145" s="42">
        <v>0.9921875</v>
      </c>
      <c r="F2145" s="42">
        <v>0.65151515151515149</v>
      </c>
      <c r="G2145">
        <v>1</v>
      </c>
    </row>
    <row r="2146" spans="3:7" x14ac:dyDescent="0.15">
      <c r="C2146" s="43">
        <v>858</v>
      </c>
      <c r="D2146" s="42">
        <v>0.65240641711229952</v>
      </c>
      <c r="E2146" s="42">
        <v>0.9921875</v>
      </c>
      <c r="F2146" s="42">
        <v>0.65240641711229952</v>
      </c>
      <c r="G2146">
        <v>1</v>
      </c>
    </row>
    <row r="2147" spans="3:7" x14ac:dyDescent="0.15">
      <c r="C2147" s="43">
        <v>859</v>
      </c>
      <c r="D2147" s="42">
        <v>0.65329768270944744</v>
      </c>
      <c r="E2147" s="42">
        <v>0.9921875</v>
      </c>
      <c r="F2147" s="42">
        <v>0.65329768270944744</v>
      </c>
      <c r="G2147">
        <v>1</v>
      </c>
    </row>
    <row r="2148" spans="3:7" x14ac:dyDescent="0.15">
      <c r="C2148" s="43">
        <v>860</v>
      </c>
      <c r="D2148" s="42">
        <v>0.65418894830659535</v>
      </c>
      <c r="E2148" s="42">
        <v>0.9921875</v>
      </c>
      <c r="F2148" s="42">
        <v>0.65418894830659535</v>
      </c>
      <c r="G2148">
        <v>1</v>
      </c>
    </row>
    <row r="2149" spans="3:7" x14ac:dyDescent="0.15">
      <c r="C2149" s="43">
        <v>861</v>
      </c>
      <c r="D2149" s="42">
        <v>0.65508021390374327</v>
      </c>
      <c r="E2149" s="42">
        <v>0.9921875</v>
      </c>
      <c r="F2149" s="42">
        <v>0.65508021390374327</v>
      </c>
      <c r="G2149">
        <v>1</v>
      </c>
    </row>
    <row r="2150" spans="3:7" x14ac:dyDescent="0.15">
      <c r="C2150" s="43">
        <v>862</v>
      </c>
      <c r="D2150" s="42">
        <v>0.6559714795008913</v>
      </c>
      <c r="E2150" s="42">
        <v>0.9921875</v>
      </c>
      <c r="F2150" s="42">
        <v>0.6559714795008913</v>
      </c>
      <c r="G2150">
        <v>1</v>
      </c>
    </row>
    <row r="2151" spans="3:7" x14ac:dyDescent="0.15">
      <c r="C2151" s="43">
        <v>863</v>
      </c>
      <c r="D2151" s="42">
        <v>0.65686274509803921</v>
      </c>
      <c r="E2151" s="42">
        <v>0.9921875</v>
      </c>
      <c r="F2151" s="42">
        <v>0.65686274509803921</v>
      </c>
      <c r="G2151">
        <v>1</v>
      </c>
    </row>
    <row r="2152" spans="3:7" x14ac:dyDescent="0.15">
      <c r="C2152" s="43">
        <v>864</v>
      </c>
      <c r="D2152" s="42">
        <v>0.65775401069518713</v>
      </c>
      <c r="E2152" s="42">
        <v>0.9921875</v>
      </c>
      <c r="F2152" s="42">
        <v>0.65775401069518713</v>
      </c>
      <c r="G2152">
        <v>1</v>
      </c>
    </row>
    <row r="2153" spans="3:7" x14ac:dyDescent="0.15">
      <c r="C2153" s="43">
        <v>865</v>
      </c>
      <c r="D2153" s="42">
        <v>0.65864527629233516</v>
      </c>
      <c r="E2153" s="42">
        <v>0.9921875</v>
      </c>
      <c r="F2153" s="42">
        <v>0.65864527629233516</v>
      </c>
      <c r="G2153">
        <v>1</v>
      </c>
    </row>
    <row r="2154" spans="3:7" x14ac:dyDescent="0.15">
      <c r="C2154" s="43">
        <v>866</v>
      </c>
      <c r="D2154" s="42">
        <v>0.65953654188948307</v>
      </c>
      <c r="E2154" s="42">
        <v>0.9921875</v>
      </c>
      <c r="F2154" s="42">
        <v>0.65953654188948307</v>
      </c>
      <c r="G2154">
        <v>1</v>
      </c>
    </row>
    <row r="2155" spans="3:7" x14ac:dyDescent="0.15">
      <c r="C2155" s="43">
        <v>867</v>
      </c>
      <c r="D2155" s="42">
        <v>0.66042780748663099</v>
      </c>
      <c r="E2155" s="42">
        <v>0.9921875</v>
      </c>
      <c r="F2155" s="42">
        <v>0.66042780748663099</v>
      </c>
      <c r="G2155">
        <v>1</v>
      </c>
    </row>
    <row r="2156" spans="3:7" x14ac:dyDescent="0.15">
      <c r="C2156" s="43">
        <v>868</v>
      </c>
      <c r="D2156" s="42">
        <v>0.66131907308377902</v>
      </c>
      <c r="E2156" s="42">
        <v>0.9921875</v>
      </c>
      <c r="F2156" s="42">
        <v>0.66131907308377902</v>
      </c>
      <c r="G2156">
        <v>1</v>
      </c>
    </row>
    <row r="2157" spans="3:7" x14ac:dyDescent="0.15">
      <c r="C2157" s="43">
        <v>869</v>
      </c>
      <c r="D2157" s="42">
        <v>0.66221033868092694</v>
      </c>
      <c r="E2157" s="42">
        <v>0.9921875</v>
      </c>
      <c r="F2157" s="42">
        <v>0.66221033868092694</v>
      </c>
      <c r="G2157">
        <v>1</v>
      </c>
    </row>
    <row r="2158" spans="3:7" x14ac:dyDescent="0.15">
      <c r="C2158" s="43">
        <v>870</v>
      </c>
      <c r="D2158" s="42">
        <v>0.66310160427807485</v>
      </c>
      <c r="E2158" s="42">
        <v>0.9921875</v>
      </c>
      <c r="F2158" s="42">
        <v>0.66310160427807485</v>
      </c>
      <c r="G2158">
        <v>1</v>
      </c>
    </row>
    <row r="2159" spans="3:7" x14ac:dyDescent="0.15">
      <c r="C2159" s="43">
        <v>871</v>
      </c>
      <c r="D2159" s="42">
        <v>0.66399286987522277</v>
      </c>
      <c r="E2159" s="42">
        <v>0.9921875</v>
      </c>
      <c r="F2159" s="42">
        <v>0.66399286987522277</v>
      </c>
      <c r="G2159">
        <v>1</v>
      </c>
    </row>
    <row r="2160" spans="3:7" x14ac:dyDescent="0.15">
      <c r="C2160" s="43">
        <v>872</v>
      </c>
      <c r="D2160" s="42">
        <v>0.6648841354723708</v>
      </c>
      <c r="E2160" s="42">
        <v>0.9921875</v>
      </c>
      <c r="F2160" s="42">
        <v>0.6648841354723708</v>
      </c>
      <c r="G2160">
        <v>1</v>
      </c>
    </row>
    <row r="2161" spans="3:7" x14ac:dyDescent="0.15">
      <c r="C2161" s="43">
        <v>873</v>
      </c>
      <c r="D2161" s="42">
        <v>0.66577540106951871</v>
      </c>
      <c r="E2161" s="42">
        <v>0.9921875</v>
      </c>
      <c r="F2161" s="42">
        <v>0.66577540106951871</v>
      </c>
      <c r="G2161">
        <v>1</v>
      </c>
    </row>
    <row r="2162" spans="3:7" x14ac:dyDescent="0.15">
      <c r="C2162" s="43">
        <v>874</v>
      </c>
      <c r="D2162" s="42">
        <v>0.66666666666666663</v>
      </c>
      <c r="E2162" s="42">
        <v>0.9921875</v>
      </c>
      <c r="F2162" s="42">
        <v>0.66666666666666663</v>
      </c>
      <c r="G2162">
        <v>1</v>
      </c>
    </row>
    <row r="2163" spans="3:7" x14ac:dyDescent="0.15">
      <c r="C2163" s="43">
        <v>875</v>
      </c>
      <c r="D2163" s="42">
        <v>0.66755793226381466</v>
      </c>
      <c r="E2163" s="42">
        <v>0.9921875</v>
      </c>
      <c r="F2163" s="42">
        <v>0.66755793226381466</v>
      </c>
      <c r="G2163">
        <v>1</v>
      </c>
    </row>
    <row r="2164" spans="3:7" x14ac:dyDescent="0.15">
      <c r="C2164" s="43">
        <v>876</v>
      </c>
      <c r="D2164" s="42">
        <v>0.66844919786096257</v>
      </c>
      <c r="E2164" s="42">
        <v>0.9921875</v>
      </c>
      <c r="F2164" s="42">
        <v>0.66844919786096257</v>
      </c>
      <c r="G2164">
        <v>1</v>
      </c>
    </row>
    <row r="2165" spans="3:7" x14ac:dyDescent="0.15">
      <c r="C2165" s="43">
        <v>877</v>
      </c>
      <c r="D2165" s="42">
        <v>0.66934046345811049</v>
      </c>
      <c r="E2165" s="42">
        <v>0.9921875</v>
      </c>
      <c r="F2165" s="42">
        <v>0.66934046345811049</v>
      </c>
      <c r="G2165">
        <v>1</v>
      </c>
    </row>
    <row r="2166" spans="3:7" x14ac:dyDescent="0.15">
      <c r="C2166" s="43">
        <v>878</v>
      </c>
      <c r="D2166" s="42">
        <v>0.67023172905525852</v>
      </c>
      <c r="E2166" s="42">
        <v>0.9921875</v>
      </c>
      <c r="F2166" s="42">
        <v>0.67023172905525852</v>
      </c>
      <c r="G2166">
        <v>1</v>
      </c>
    </row>
    <row r="2167" spans="3:7" x14ac:dyDescent="0.15">
      <c r="C2167" s="43">
        <v>879</v>
      </c>
      <c r="D2167" s="42">
        <v>0.67112299465240643</v>
      </c>
      <c r="E2167" s="42">
        <v>0.9921875</v>
      </c>
      <c r="F2167" s="42">
        <v>0.67112299465240643</v>
      </c>
      <c r="G2167">
        <v>1</v>
      </c>
    </row>
    <row r="2168" spans="3:7" x14ac:dyDescent="0.15">
      <c r="C2168" s="43">
        <v>880</v>
      </c>
      <c r="D2168" s="42">
        <v>0.67201426024955435</v>
      </c>
      <c r="E2168" s="42">
        <v>0.9921875</v>
      </c>
      <c r="F2168" s="42">
        <v>0.67201426024955435</v>
      </c>
      <c r="G2168">
        <v>1</v>
      </c>
    </row>
    <row r="2169" spans="3:7" x14ac:dyDescent="0.15">
      <c r="C2169" s="43">
        <v>881</v>
      </c>
      <c r="D2169" s="42">
        <v>0.67290552584670227</v>
      </c>
      <c r="E2169" s="42">
        <v>0.9921875</v>
      </c>
      <c r="F2169" s="42">
        <v>0.67290552584670227</v>
      </c>
      <c r="G2169">
        <v>1</v>
      </c>
    </row>
    <row r="2170" spans="3:7" x14ac:dyDescent="0.15">
      <c r="C2170" s="43">
        <v>882</v>
      </c>
      <c r="D2170" s="42">
        <v>0.6737967914438503</v>
      </c>
      <c r="E2170" s="42">
        <v>0.9921875</v>
      </c>
      <c r="F2170" s="42">
        <v>0.6737967914438503</v>
      </c>
      <c r="G2170">
        <v>1</v>
      </c>
    </row>
    <row r="2171" spans="3:7" x14ac:dyDescent="0.15">
      <c r="C2171" s="43">
        <v>883</v>
      </c>
      <c r="D2171" s="42">
        <v>0.67468805704099821</v>
      </c>
      <c r="E2171" s="42">
        <v>0.9921875</v>
      </c>
      <c r="F2171" s="42">
        <v>0.67468805704099821</v>
      </c>
      <c r="G2171">
        <v>1</v>
      </c>
    </row>
    <row r="2172" spans="3:7" x14ac:dyDescent="0.15">
      <c r="C2172" s="43">
        <v>884</v>
      </c>
      <c r="D2172" s="42">
        <v>0.67557932263814613</v>
      </c>
      <c r="E2172" s="42">
        <v>0.9921875</v>
      </c>
      <c r="F2172" s="42">
        <v>0.67557932263814613</v>
      </c>
      <c r="G2172">
        <v>1</v>
      </c>
    </row>
    <row r="2173" spans="3:7" x14ac:dyDescent="0.15">
      <c r="C2173" s="43">
        <v>885</v>
      </c>
      <c r="D2173" s="42">
        <v>0.67647058823529416</v>
      </c>
      <c r="E2173" s="42">
        <v>0.9921875</v>
      </c>
      <c r="F2173" s="42">
        <v>0.67647058823529416</v>
      </c>
      <c r="G2173">
        <v>1</v>
      </c>
    </row>
    <row r="2174" spans="3:7" x14ac:dyDescent="0.15">
      <c r="C2174" s="43">
        <v>886</v>
      </c>
      <c r="D2174" s="42">
        <v>0.67736185383244207</v>
      </c>
      <c r="E2174" s="42">
        <v>0.9921875</v>
      </c>
      <c r="F2174" s="42">
        <v>0.67736185383244207</v>
      </c>
      <c r="G2174">
        <v>1</v>
      </c>
    </row>
    <row r="2175" spans="3:7" x14ac:dyDescent="0.15">
      <c r="C2175" s="43">
        <v>887</v>
      </c>
      <c r="D2175" s="42">
        <v>0.67825311942958999</v>
      </c>
      <c r="E2175" s="42">
        <v>0.9921875</v>
      </c>
      <c r="F2175" s="42">
        <v>0.67825311942958999</v>
      </c>
      <c r="G2175">
        <v>1</v>
      </c>
    </row>
    <row r="2176" spans="3:7" x14ac:dyDescent="0.15">
      <c r="C2176" s="43">
        <v>888</v>
      </c>
      <c r="D2176" s="42">
        <v>0.67914438502673802</v>
      </c>
      <c r="E2176" s="42">
        <v>0.9921875</v>
      </c>
      <c r="F2176" s="42">
        <v>0.67914438502673802</v>
      </c>
      <c r="G2176">
        <v>1</v>
      </c>
    </row>
    <row r="2177" spans="3:7" x14ac:dyDescent="0.15">
      <c r="C2177" s="43">
        <v>889</v>
      </c>
      <c r="D2177" s="42">
        <v>0.68003565062388593</v>
      </c>
      <c r="E2177" s="42">
        <v>0.9921875</v>
      </c>
      <c r="F2177" s="42">
        <v>0.68003565062388593</v>
      </c>
      <c r="G2177">
        <v>1</v>
      </c>
    </row>
    <row r="2178" spans="3:7" x14ac:dyDescent="0.15">
      <c r="C2178" s="43">
        <v>890</v>
      </c>
      <c r="D2178" s="42">
        <v>0.68092691622103385</v>
      </c>
      <c r="E2178" s="42">
        <v>0.9921875</v>
      </c>
      <c r="F2178" s="42">
        <v>0.68092691622103385</v>
      </c>
      <c r="G2178">
        <v>1</v>
      </c>
    </row>
    <row r="2179" spans="3:7" x14ac:dyDescent="0.15">
      <c r="C2179" s="43">
        <v>891</v>
      </c>
      <c r="D2179" s="42">
        <v>0.68181818181818177</v>
      </c>
      <c r="E2179" s="42">
        <v>0.9921875</v>
      </c>
      <c r="F2179" s="42">
        <v>0.68181818181818177</v>
      </c>
      <c r="G2179">
        <v>1</v>
      </c>
    </row>
    <row r="2180" spans="3:7" x14ac:dyDescent="0.15">
      <c r="C2180" s="43">
        <v>892</v>
      </c>
      <c r="D2180" s="42">
        <v>0.6827094474153298</v>
      </c>
      <c r="E2180" s="42">
        <v>0.9921875</v>
      </c>
      <c r="F2180" s="42">
        <v>0.6827094474153298</v>
      </c>
      <c r="G2180">
        <v>1</v>
      </c>
    </row>
    <row r="2181" spans="3:7" x14ac:dyDescent="0.15">
      <c r="C2181" s="43">
        <v>893</v>
      </c>
      <c r="D2181" s="42">
        <v>0.68360071301247771</v>
      </c>
      <c r="E2181" s="42">
        <v>0.9921875</v>
      </c>
      <c r="F2181" s="42">
        <v>0.68360071301247771</v>
      </c>
      <c r="G2181">
        <v>1</v>
      </c>
    </row>
    <row r="2182" spans="3:7" x14ac:dyDescent="0.15">
      <c r="C2182" s="43">
        <v>894</v>
      </c>
      <c r="D2182" s="42">
        <v>0.68449197860962563</v>
      </c>
      <c r="E2182" s="42">
        <v>0.9921875</v>
      </c>
      <c r="F2182" s="42">
        <v>0.68449197860962563</v>
      </c>
      <c r="G2182">
        <v>1</v>
      </c>
    </row>
    <row r="2183" spans="3:7" x14ac:dyDescent="0.15">
      <c r="C2183" s="43">
        <v>895</v>
      </c>
      <c r="D2183" s="42">
        <v>0.68538324420677366</v>
      </c>
      <c r="E2183" s="42">
        <v>0.9921875</v>
      </c>
      <c r="F2183" s="42">
        <v>0.68538324420677366</v>
      </c>
      <c r="G2183">
        <v>1</v>
      </c>
    </row>
    <row r="2184" spans="3:7" x14ac:dyDescent="0.15">
      <c r="C2184" s="43">
        <v>896</v>
      </c>
      <c r="D2184" s="42">
        <v>0.68627450980392157</v>
      </c>
      <c r="E2184" s="42">
        <v>0.9921875</v>
      </c>
      <c r="F2184" s="42">
        <v>0.68627450980392157</v>
      </c>
      <c r="G2184">
        <v>1</v>
      </c>
    </row>
    <row r="2185" spans="3:7" x14ac:dyDescent="0.15">
      <c r="C2185" s="43">
        <v>897</v>
      </c>
      <c r="D2185" s="42">
        <v>0.68716577540106949</v>
      </c>
      <c r="E2185" s="42">
        <v>0.9921875</v>
      </c>
      <c r="F2185" s="42">
        <v>0.68716577540106949</v>
      </c>
      <c r="G2185">
        <v>1</v>
      </c>
    </row>
    <row r="2186" spans="3:7" x14ac:dyDescent="0.15">
      <c r="C2186" s="43">
        <v>898</v>
      </c>
      <c r="D2186" s="42">
        <v>0.68805704099821752</v>
      </c>
      <c r="E2186" s="42">
        <v>0.9921875</v>
      </c>
      <c r="F2186" s="42">
        <v>0.68805704099821752</v>
      </c>
      <c r="G2186">
        <v>1</v>
      </c>
    </row>
    <row r="2187" spans="3:7" x14ac:dyDescent="0.15">
      <c r="C2187" s="43">
        <v>899</v>
      </c>
      <c r="D2187" s="42">
        <v>0.68894830659536543</v>
      </c>
      <c r="E2187" s="42">
        <v>0.9921875</v>
      </c>
      <c r="F2187" s="42">
        <v>0.68894830659536543</v>
      </c>
      <c r="G2187">
        <v>1</v>
      </c>
    </row>
    <row r="2188" spans="3:7" x14ac:dyDescent="0.15">
      <c r="C2188" s="43">
        <v>900</v>
      </c>
      <c r="D2188" s="42">
        <v>0.68983957219251335</v>
      </c>
      <c r="E2188" s="42">
        <v>0.9921875</v>
      </c>
      <c r="F2188" s="42">
        <v>0.68983957219251335</v>
      </c>
      <c r="G2188">
        <v>1</v>
      </c>
    </row>
    <row r="2189" spans="3:7" x14ac:dyDescent="0.15">
      <c r="C2189" s="43">
        <v>901</v>
      </c>
      <c r="D2189" s="42">
        <v>0.69073083778966127</v>
      </c>
      <c r="E2189" s="42">
        <v>0.9921875</v>
      </c>
      <c r="F2189" s="42">
        <v>0.69073083778966127</v>
      </c>
      <c r="G2189">
        <v>1</v>
      </c>
    </row>
    <row r="2190" spans="3:7" x14ac:dyDescent="0.15">
      <c r="C2190" s="43">
        <v>902</v>
      </c>
      <c r="D2190" s="42">
        <v>0.69162210338680929</v>
      </c>
      <c r="E2190" s="42">
        <v>0.9921875</v>
      </c>
      <c r="F2190" s="42">
        <v>0.69162210338680929</v>
      </c>
      <c r="G2190">
        <v>1</v>
      </c>
    </row>
    <row r="2191" spans="3:7" x14ac:dyDescent="0.15">
      <c r="C2191" s="43">
        <v>903</v>
      </c>
      <c r="D2191" s="42">
        <v>0.69251336898395721</v>
      </c>
      <c r="E2191" s="42">
        <v>0.9921875</v>
      </c>
      <c r="F2191" s="42">
        <v>0.69251336898395721</v>
      </c>
      <c r="G2191">
        <v>1</v>
      </c>
    </row>
    <row r="2192" spans="3:7" x14ac:dyDescent="0.15">
      <c r="C2192" s="43">
        <v>904</v>
      </c>
      <c r="D2192" s="42">
        <v>0.69340463458110513</v>
      </c>
      <c r="E2192" s="42">
        <v>0.9921875</v>
      </c>
      <c r="F2192" s="42">
        <v>0.69340463458110513</v>
      </c>
      <c r="G2192">
        <v>1</v>
      </c>
    </row>
    <row r="2193" spans="3:7" x14ac:dyDescent="0.15">
      <c r="C2193" s="43">
        <v>905</v>
      </c>
      <c r="D2193" s="42">
        <v>0.69429590017825316</v>
      </c>
      <c r="E2193" s="42">
        <v>0.9921875</v>
      </c>
      <c r="F2193" s="42">
        <v>0.69429590017825316</v>
      </c>
      <c r="G2193">
        <v>1</v>
      </c>
    </row>
    <row r="2194" spans="3:7" x14ac:dyDescent="0.15">
      <c r="C2194" s="43">
        <v>906</v>
      </c>
      <c r="D2194" s="42">
        <v>0.69518716577540107</v>
      </c>
      <c r="E2194" s="42">
        <v>0.9921875</v>
      </c>
      <c r="F2194" s="42">
        <v>0.69518716577540107</v>
      </c>
      <c r="G2194">
        <v>1</v>
      </c>
    </row>
    <row r="2195" spans="3:7" x14ac:dyDescent="0.15">
      <c r="C2195" s="43">
        <v>907</v>
      </c>
      <c r="D2195" s="42">
        <v>0.69607843137254899</v>
      </c>
      <c r="E2195" s="42">
        <v>0.9921875</v>
      </c>
      <c r="F2195" s="42">
        <v>0.69607843137254899</v>
      </c>
      <c r="G2195">
        <v>1</v>
      </c>
    </row>
    <row r="2196" spans="3:7" x14ac:dyDescent="0.15">
      <c r="C2196" s="43">
        <v>908</v>
      </c>
      <c r="D2196" s="42">
        <v>0.69696969696969702</v>
      </c>
      <c r="E2196" s="42">
        <v>0.9921875</v>
      </c>
      <c r="F2196" s="42">
        <v>0.69696969696969702</v>
      </c>
      <c r="G2196">
        <v>1</v>
      </c>
    </row>
    <row r="2197" spans="3:7" x14ac:dyDescent="0.15">
      <c r="C2197" s="43">
        <v>909</v>
      </c>
      <c r="D2197" s="42">
        <v>0.69786096256684493</v>
      </c>
      <c r="E2197" s="42">
        <v>0.9921875</v>
      </c>
      <c r="F2197" s="42">
        <v>0.69786096256684493</v>
      </c>
      <c r="G2197">
        <v>1</v>
      </c>
    </row>
    <row r="2198" spans="3:7" x14ac:dyDescent="0.15">
      <c r="C2198" s="43">
        <v>910</v>
      </c>
      <c r="D2198" s="42">
        <v>0.69875222816399285</v>
      </c>
      <c r="E2198" s="42">
        <v>0.9921875</v>
      </c>
      <c r="F2198" s="42">
        <v>0.69875222816399285</v>
      </c>
      <c r="G2198">
        <v>1</v>
      </c>
    </row>
    <row r="2199" spans="3:7" x14ac:dyDescent="0.15">
      <c r="C2199" s="43">
        <v>911</v>
      </c>
      <c r="D2199" s="42">
        <v>0.69964349376114077</v>
      </c>
      <c r="E2199" s="42">
        <v>0.9921875</v>
      </c>
      <c r="F2199" s="42">
        <v>0.69964349376114077</v>
      </c>
      <c r="G2199">
        <v>1</v>
      </c>
    </row>
    <row r="2200" spans="3:7" x14ac:dyDescent="0.15">
      <c r="C2200" s="43">
        <v>912</v>
      </c>
      <c r="D2200" s="42">
        <v>0.70053475935828879</v>
      </c>
      <c r="E2200" s="42">
        <v>0.9921875</v>
      </c>
      <c r="F2200" s="42">
        <v>0.70053475935828879</v>
      </c>
      <c r="G2200">
        <v>1</v>
      </c>
    </row>
    <row r="2201" spans="3:7" x14ac:dyDescent="0.15">
      <c r="C2201" s="43">
        <v>913</v>
      </c>
      <c r="D2201" s="42">
        <v>0.70142602495543671</v>
      </c>
      <c r="E2201" s="42">
        <v>0.9921875</v>
      </c>
      <c r="F2201" s="42">
        <v>0.70142602495543671</v>
      </c>
      <c r="G2201">
        <v>1</v>
      </c>
    </row>
    <row r="2202" spans="3:7" x14ac:dyDescent="0.15">
      <c r="C2202" s="43">
        <v>914</v>
      </c>
      <c r="D2202" s="42">
        <v>0.70231729055258463</v>
      </c>
      <c r="E2202" s="42">
        <v>0.9921875</v>
      </c>
      <c r="F2202" s="42">
        <v>0.70231729055258463</v>
      </c>
      <c r="G2202">
        <v>1</v>
      </c>
    </row>
    <row r="2203" spans="3:7" x14ac:dyDescent="0.15">
      <c r="C2203" s="43">
        <v>915</v>
      </c>
      <c r="D2203" s="42">
        <v>0.70320855614973266</v>
      </c>
      <c r="E2203" s="42">
        <v>0.9921875</v>
      </c>
      <c r="F2203" s="42">
        <v>0.70320855614973266</v>
      </c>
      <c r="G2203">
        <v>1</v>
      </c>
    </row>
    <row r="2204" spans="3:7" x14ac:dyDescent="0.15">
      <c r="C2204" s="43">
        <v>916</v>
      </c>
      <c r="D2204" s="42">
        <v>0.70409982174688057</v>
      </c>
      <c r="E2204" s="42">
        <v>0.9921875</v>
      </c>
      <c r="F2204" s="42">
        <v>0.70409982174688057</v>
      </c>
      <c r="G2204">
        <v>1</v>
      </c>
    </row>
    <row r="2205" spans="3:7" x14ac:dyDescent="0.15">
      <c r="C2205" s="43">
        <v>917</v>
      </c>
      <c r="D2205" s="42">
        <v>0.70499108734402849</v>
      </c>
      <c r="E2205" s="42">
        <v>0.9921875</v>
      </c>
      <c r="F2205" s="42">
        <v>0.70499108734402849</v>
      </c>
      <c r="G2205">
        <v>1</v>
      </c>
    </row>
    <row r="2206" spans="3:7" x14ac:dyDescent="0.15">
      <c r="C2206" s="43">
        <v>918</v>
      </c>
      <c r="D2206" s="42">
        <v>0.70588235294117652</v>
      </c>
      <c r="E2206" s="42">
        <v>0.9921875</v>
      </c>
      <c r="F2206" s="42">
        <v>0.70588235294117652</v>
      </c>
      <c r="G2206">
        <v>1</v>
      </c>
    </row>
    <row r="2207" spans="3:7" x14ac:dyDescent="0.15">
      <c r="C2207" s="43">
        <v>919</v>
      </c>
      <c r="D2207" s="42">
        <v>0.70677361853832443</v>
      </c>
      <c r="E2207" s="42">
        <v>0.9921875</v>
      </c>
      <c r="F2207" s="42">
        <v>0.70677361853832443</v>
      </c>
      <c r="G2207">
        <v>1</v>
      </c>
    </row>
    <row r="2208" spans="3:7" x14ac:dyDescent="0.15">
      <c r="C2208" s="43">
        <v>920</v>
      </c>
      <c r="D2208" s="42">
        <v>0.70766488413547235</v>
      </c>
      <c r="E2208" s="42">
        <v>0.9921875</v>
      </c>
      <c r="F2208" s="42">
        <v>0.70766488413547235</v>
      </c>
      <c r="G2208">
        <v>1</v>
      </c>
    </row>
    <row r="2209" spans="3:7" x14ac:dyDescent="0.15">
      <c r="C2209" s="43">
        <v>921</v>
      </c>
      <c r="D2209" s="42">
        <v>0.70855614973262027</v>
      </c>
      <c r="E2209" s="42">
        <v>0.9921875</v>
      </c>
      <c r="F2209" s="42">
        <v>0.70855614973262027</v>
      </c>
      <c r="G2209">
        <v>1</v>
      </c>
    </row>
    <row r="2210" spans="3:7" x14ac:dyDescent="0.15">
      <c r="C2210" s="43">
        <v>922</v>
      </c>
      <c r="D2210" s="42">
        <v>0.70944741532976829</v>
      </c>
      <c r="E2210" s="42">
        <v>0.9921875</v>
      </c>
      <c r="F2210" s="42">
        <v>0.70944741532976829</v>
      </c>
      <c r="G2210">
        <v>1</v>
      </c>
    </row>
    <row r="2211" spans="3:7" x14ac:dyDescent="0.15">
      <c r="C2211" s="43">
        <v>923</v>
      </c>
      <c r="D2211" s="42">
        <v>0.71033868092691621</v>
      </c>
      <c r="E2211" s="42">
        <v>0.9921875</v>
      </c>
      <c r="F2211" s="42">
        <v>0.71033868092691621</v>
      </c>
      <c r="G2211">
        <v>1</v>
      </c>
    </row>
    <row r="2212" spans="3:7" x14ac:dyDescent="0.15">
      <c r="C2212" s="43">
        <v>924</v>
      </c>
      <c r="D2212" s="42">
        <v>0.71122994652406413</v>
      </c>
      <c r="E2212" s="42">
        <v>0.9921875</v>
      </c>
      <c r="F2212" s="42">
        <v>0.71122994652406413</v>
      </c>
      <c r="G2212">
        <v>1</v>
      </c>
    </row>
    <row r="2213" spans="3:7" x14ac:dyDescent="0.15">
      <c r="C2213" s="43">
        <v>925</v>
      </c>
      <c r="D2213" s="42">
        <v>0.71212121212121215</v>
      </c>
      <c r="E2213" s="42">
        <v>0.9921875</v>
      </c>
      <c r="F2213" s="42">
        <v>0.71212121212121215</v>
      </c>
      <c r="G2213">
        <v>1</v>
      </c>
    </row>
    <row r="2214" spans="3:7" x14ac:dyDescent="0.15">
      <c r="C2214" s="43">
        <v>926</v>
      </c>
      <c r="D2214" s="42">
        <v>0.71301247771836007</v>
      </c>
      <c r="E2214" s="42">
        <v>0.9921875</v>
      </c>
      <c r="F2214" s="42">
        <v>0.71301247771836007</v>
      </c>
      <c r="G2214">
        <v>1</v>
      </c>
    </row>
    <row r="2215" spans="3:7" x14ac:dyDescent="0.15">
      <c r="C2215" s="43">
        <v>927</v>
      </c>
      <c r="D2215" s="42">
        <v>0.71390374331550799</v>
      </c>
      <c r="E2215" s="42">
        <v>0.9921875</v>
      </c>
      <c r="F2215" s="42">
        <v>0.71390374331550799</v>
      </c>
      <c r="G2215">
        <v>1</v>
      </c>
    </row>
    <row r="2216" spans="3:7" x14ac:dyDescent="0.15">
      <c r="C2216" s="43">
        <v>928</v>
      </c>
      <c r="D2216" s="42">
        <v>0.71479500891265602</v>
      </c>
      <c r="E2216" s="42">
        <v>0.9921875</v>
      </c>
      <c r="F2216" s="42">
        <v>0.71479500891265602</v>
      </c>
      <c r="G2216">
        <v>1</v>
      </c>
    </row>
    <row r="2217" spans="3:7" x14ac:dyDescent="0.15">
      <c r="C2217" s="43">
        <v>929</v>
      </c>
      <c r="D2217" s="42">
        <v>0.71568627450980393</v>
      </c>
      <c r="E2217" s="42">
        <v>0.9921875</v>
      </c>
      <c r="F2217" s="42">
        <v>0.71568627450980393</v>
      </c>
      <c r="G2217">
        <v>1</v>
      </c>
    </row>
    <row r="2218" spans="3:7" x14ac:dyDescent="0.15">
      <c r="C2218" s="43">
        <v>930</v>
      </c>
      <c r="D2218" s="42">
        <v>0.71657754010695185</v>
      </c>
      <c r="E2218" s="42">
        <v>0.9921875</v>
      </c>
      <c r="F2218" s="42">
        <v>0.71657754010695185</v>
      </c>
      <c r="G2218">
        <v>1</v>
      </c>
    </row>
    <row r="2219" spans="3:7" x14ac:dyDescent="0.15">
      <c r="C2219" s="43">
        <v>931</v>
      </c>
      <c r="D2219" s="42">
        <v>0.71746880570409988</v>
      </c>
      <c r="E2219" s="42">
        <v>0.9921875</v>
      </c>
      <c r="F2219" s="42">
        <v>0.71746880570409988</v>
      </c>
      <c r="G2219">
        <v>1</v>
      </c>
    </row>
    <row r="2220" spans="3:7" x14ac:dyDescent="0.15">
      <c r="C2220" s="43">
        <v>932</v>
      </c>
      <c r="D2220" s="42">
        <v>0.71836007130124779</v>
      </c>
      <c r="E2220" s="42">
        <v>0.9921875</v>
      </c>
      <c r="F2220" s="42">
        <v>0.71836007130124779</v>
      </c>
      <c r="G2220">
        <v>1</v>
      </c>
    </row>
    <row r="2221" spans="3:7" x14ac:dyDescent="0.15">
      <c r="C2221" s="43">
        <v>933</v>
      </c>
      <c r="D2221" s="42">
        <v>0.71925133689839571</v>
      </c>
      <c r="E2221" s="42">
        <v>0.9921875</v>
      </c>
      <c r="F2221" s="42">
        <v>0.71925133689839571</v>
      </c>
      <c r="G2221">
        <v>1</v>
      </c>
    </row>
    <row r="2222" spans="3:7" x14ac:dyDescent="0.15">
      <c r="C2222" s="43">
        <v>934</v>
      </c>
      <c r="D2222" s="42">
        <v>0.72014260249554363</v>
      </c>
      <c r="E2222" s="42">
        <v>0.9921875</v>
      </c>
      <c r="F2222" s="42">
        <v>0.72014260249554363</v>
      </c>
      <c r="G2222">
        <v>1</v>
      </c>
    </row>
    <row r="2223" spans="3:7" x14ac:dyDescent="0.15">
      <c r="C2223" s="43">
        <v>935</v>
      </c>
      <c r="D2223" s="42">
        <v>0.72103386809269165</v>
      </c>
      <c r="E2223" s="42">
        <v>0.9921875</v>
      </c>
      <c r="F2223" s="42">
        <v>0.72103386809269165</v>
      </c>
      <c r="G2223">
        <v>1</v>
      </c>
    </row>
    <row r="2224" spans="3:7" x14ac:dyDescent="0.15">
      <c r="C2224" s="43">
        <v>936</v>
      </c>
      <c r="D2224" s="42">
        <v>0.72192513368983957</v>
      </c>
      <c r="E2224" s="42">
        <v>0.9921875</v>
      </c>
      <c r="F2224" s="42">
        <v>0.72192513368983957</v>
      </c>
      <c r="G2224">
        <v>1</v>
      </c>
    </row>
    <row r="2225" spans="3:7" x14ac:dyDescent="0.15">
      <c r="C2225" s="43">
        <v>937</v>
      </c>
      <c r="D2225" s="42">
        <v>0.72281639928698749</v>
      </c>
      <c r="E2225" s="42">
        <v>0.9921875</v>
      </c>
      <c r="F2225" s="42">
        <v>0.72281639928698749</v>
      </c>
      <c r="G2225">
        <v>1</v>
      </c>
    </row>
    <row r="2226" spans="3:7" x14ac:dyDescent="0.15">
      <c r="C2226" s="43">
        <v>938</v>
      </c>
      <c r="D2226" s="42">
        <v>0.72370766488413552</v>
      </c>
      <c r="E2226" s="42">
        <v>0.9921875</v>
      </c>
      <c r="F2226" s="42">
        <v>0.72370766488413552</v>
      </c>
      <c r="G2226">
        <v>1</v>
      </c>
    </row>
    <row r="2227" spans="3:7" x14ac:dyDescent="0.15">
      <c r="C2227" s="43">
        <v>939</v>
      </c>
      <c r="D2227" s="42">
        <v>0.72459893048128343</v>
      </c>
      <c r="E2227" s="42">
        <v>0.9921875</v>
      </c>
      <c r="F2227" s="42">
        <v>0.72459893048128343</v>
      </c>
      <c r="G2227">
        <v>1</v>
      </c>
    </row>
    <row r="2228" spans="3:7" x14ac:dyDescent="0.15">
      <c r="C2228" s="43">
        <v>940</v>
      </c>
      <c r="D2228" s="42">
        <v>0.72549019607843135</v>
      </c>
      <c r="E2228" s="42">
        <v>0.9921875</v>
      </c>
      <c r="F2228" s="42">
        <v>0.72549019607843135</v>
      </c>
      <c r="G2228">
        <v>1</v>
      </c>
    </row>
    <row r="2229" spans="3:7" x14ac:dyDescent="0.15">
      <c r="C2229" s="43">
        <v>941</v>
      </c>
      <c r="D2229" s="42">
        <v>0.72638146167557938</v>
      </c>
      <c r="E2229" s="42">
        <v>0.9921875</v>
      </c>
      <c r="F2229" s="42">
        <v>0.72638146167557938</v>
      </c>
      <c r="G2229">
        <v>1</v>
      </c>
    </row>
    <row r="2230" spans="3:7" x14ac:dyDescent="0.15">
      <c r="C2230" s="43">
        <v>942</v>
      </c>
      <c r="D2230" s="42">
        <v>0.72727272727272729</v>
      </c>
      <c r="E2230" s="42">
        <v>0.9921875</v>
      </c>
      <c r="F2230" s="42">
        <v>0.72727272727272729</v>
      </c>
      <c r="G2230">
        <v>1</v>
      </c>
    </row>
    <row r="2231" spans="3:7" x14ac:dyDescent="0.15">
      <c r="C2231" s="43">
        <v>943</v>
      </c>
      <c r="D2231" s="42">
        <v>0.72816399286987521</v>
      </c>
      <c r="E2231" s="42">
        <v>0.9921875</v>
      </c>
      <c r="F2231" s="42">
        <v>0.72816399286987521</v>
      </c>
      <c r="G2231">
        <v>1</v>
      </c>
    </row>
    <row r="2232" spans="3:7" x14ac:dyDescent="0.15">
      <c r="C2232" s="43">
        <v>944</v>
      </c>
      <c r="D2232" s="42">
        <v>0.72905525846702313</v>
      </c>
      <c r="E2232" s="42">
        <v>0.9921875</v>
      </c>
      <c r="F2232" s="42">
        <v>0.72905525846702313</v>
      </c>
      <c r="G2232">
        <v>1</v>
      </c>
    </row>
    <row r="2233" spans="3:7" x14ac:dyDescent="0.15">
      <c r="C2233" s="43">
        <v>945</v>
      </c>
      <c r="D2233" s="42">
        <v>0.72994652406417115</v>
      </c>
      <c r="E2233" s="42">
        <v>0.9921875</v>
      </c>
      <c r="F2233" s="42">
        <v>0.72994652406417115</v>
      </c>
      <c r="G2233">
        <v>1</v>
      </c>
    </row>
    <row r="2234" spans="3:7" x14ac:dyDescent="0.15">
      <c r="C2234" s="43">
        <v>946</v>
      </c>
      <c r="D2234" s="42">
        <v>0.72994652406417115</v>
      </c>
      <c r="E2234" s="42">
        <v>1</v>
      </c>
      <c r="F2234" s="42">
        <v>0.72994652406417115</v>
      </c>
      <c r="G2234">
        <v>1</v>
      </c>
    </row>
    <row r="2235" spans="3:7" x14ac:dyDescent="0.15">
      <c r="C2235" s="43">
        <v>947</v>
      </c>
      <c r="D2235" s="42">
        <v>0.73083778966131907</v>
      </c>
      <c r="E2235" s="42">
        <v>1</v>
      </c>
      <c r="F2235" s="42">
        <v>0.73083778966131907</v>
      </c>
      <c r="G2235">
        <v>1</v>
      </c>
    </row>
    <row r="2236" spans="3:7" x14ac:dyDescent="0.15">
      <c r="C2236" s="43">
        <v>948</v>
      </c>
      <c r="D2236" s="42">
        <v>0.73172905525846699</v>
      </c>
      <c r="E2236" s="42">
        <v>1</v>
      </c>
      <c r="F2236" s="42">
        <v>0.73172905525846699</v>
      </c>
      <c r="G2236">
        <v>1</v>
      </c>
    </row>
    <row r="2237" spans="3:7" x14ac:dyDescent="0.15">
      <c r="C2237" s="43">
        <v>949</v>
      </c>
      <c r="D2237" s="42">
        <v>0.73262032085561501</v>
      </c>
      <c r="E2237" s="42">
        <v>1</v>
      </c>
      <c r="F2237" s="42">
        <v>0.73262032085561501</v>
      </c>
      <c r="G2237">
        <v>1</v>
      </c>
    </row>
    <row r="2238" spans="3:7" x14ac:dyDescent="0.15">
      <c r="C2238" s="43">
        <v>950</v>
      </c>
      <c r="D2238" s="42">
        <v>0.73351158645276293</v>
      </c>
      <c r="E2238" s="42">
        <v>1</v>
      </c>
      <c r="F2238" s="42">
        <v>0.73351158645276293</v>
      </c>
      <c r="G2238">
        <v>1</v>
      </c>
    </row>
    <row r="2239" spans="3:7" x14ac:dyDescent="0.15">
      <c r="C2239" s="43">
        <v>951</v>
      </c>
      <c r="D2239" s="42">
        <v>0.73440285204991085</v>
      </c>
      <c r="E2239" s="42">
        <v>1</v>
      </c>
      <c r="F2239" s="42">
        <v>0.73440285204991085</v>
      </c>
      <c r="G2239">
        <v>1</v>
      </c>
    </row>
    <row r="2240" spans="3:7" x14ac:dyDescent="0.15">
      <c r="C2240" s="43">
        <v>952</v>
      </c>
      <c r="D2240" s="42">
        <v>0.73529411764705888</v>
      </c>
      <c r="E2240" s="42">
        <v>1</v>
      </c>
      <c r="F2240" s="42">
        <v>0.73529411764705888</v>
      </c>
      <c r="G2240">
        <v>1</v>
      </c>
    </row>
    <row r="2241" spans="3:7" x14ac:dyDescent="0.15">
      <c r="C2241" s="43">
        <v>953</v>
      </c>
      <c r="D2241" s="42">
        <v>0.73618538324420679</v>
      </c>
      <c r="E2241" s="42">
        <v>1</v>
      </c>
      <c r="F2241" s="42">
        <v>0.73618538324420679</v>
      </c>
      <c r="G2241">
        <v>1</v>
      </c>
    </row>
    <row r="2242" spans="3:7" x14ac:dyDescent="0.15">
      <c r="C2242" s="43">
        <v>954</v>
      </c>
      <c r="D2242" s="42">
        <v>0.73707664884135471</v>
      </c>
      <c r="E2242" s="42">
        <v>1</v>
      </c>
      <c r="F2242" s="42">
        <v>0.73707664884135471</v>
      </c>
      <c r="G2242">
        <v>1</v>
      </c>
    </row>
    <row r="2243" spans="3:7" x14ac:dyDescent="0.15">
      <c r="C2243" s="43">
        <v>955</v>
      </c>
      <c r="D2243" s="42">
        <v>0.73796791443850263</v>
      </c>
      <c r="E2243" s="42">
        <v>1</v>
      </c>
      <c r="F2243" s="42">
        <v>0.73796791443850263</v>
      </c>
      <c r="G2243">
        <v>1</v>
      </c>
    </row>
    <row r="2244" spans="3:7" x14ac:dyDescent="0.15">
      <c r="C2244" s="43">
        <v>956</v>
      </c>
      <c r="D2244" s="42">
        <v>0.73885918003565065</v>
      </c>
      <c r="E2244" s="42">
        <v>1</v>
      </c>
      <c r="F2244" s="42">
        <v>0.73885918003565065</v>
      </c>
      <c r="G2244">
        <v>1</v>
      </c>
    </row>
    <row r="2245" spans="3:7" x14ac:dyDescent="0.15">
      <c r="C2245" s="43">
        <v>957</v>
      </c>
      <c r="D2245" s="42">
        <v>0.73975044563279857</v>
      </c>
      <c r="E2245" s="42">
        <v>1</v>
      </c>
      <c r="F2245" s="42">
        <v>0.73975044563279857</v>
      </c>
      <c r="G2245">
        <v>1</v>
      </c>
    </row>
    <row r="2246" spans="3:7" x14ac:dyDescent="0.15">
      <c r="C2246" s="43">
        <v>958</v>
      </c>
      <c r="D2246" s="42">
        <v>0.74064171122994649</v>
      </c>
      <c r="E2246" s="42">
        <v>1</v>
      </c>
      <c r="F2246" s="42">
        <v>0.74064171122994649</v>
      </c>
      <c r="G2246">
        <v>1</v>
      </c>
    </row>
    <row r="2247" spans="3:7" x14ac:dyDescent="0.15">
      <c r="C2247" s="43">
        <v>959</v>
      </c>
      <c r="D2247" s="42">
        <v>0.74153297682709451</v>
      </c>
      <c r="E2247" s="42">
        <v>1</v>
      </c>
      <c r="F2247" s="42">
        <v>0.74153297682709451</v>
      </c>
      <c r="G2247">
        <v>1</v>
      </c>
    </row>
    <row r="2248" spans="3:7" x14ac:dyDescent="0.15">
      <c r="C2248" s="43">
        <v>960</v>
      </c>
      <c r="D2248" s="42">
        <v>0.74242424242424243</v>
      </c>
      <c r="E2248" s="42">
        <v>1</v>
      </c>
      <c r="F2248" s="42">
        <v>0.74242424242424243</v>
      </c>
      <c r="G2248">
        <v>1</v>
      </c>
    </row>
    <row r="2249" spans="3:7" x14ac:dyDescent="0.15">
      <c r="C2249" s="43">
        <v>961</v>
      </c>
      <c r="D2249" s="42">
        <v>0.74331550802139035</v>
      </c>
      <c r="E2249" s="42">
        <v>1</v>
      </c>
      <c r="F2249" s="42">
        <v>0.74331550802139035</v>
      </c>
      <c r="G2249">
        <v>1</v>
      </c>
    </row>
    <row r="2250" spans="3:7" x14ac:dyDescent="0.15">
      <c r="C2250" s="43">
        <v>962</v>
      </c>
      <c r="D2250" s="42">
        <v>0.74420677361853838</v>
      </c>
      <c r="E2250" s="42">
        <v>1</v>
      </c>
      <c r="F2250" s="42">
        <v>0.74420677361853838</v>
      </c>
      <c r="G2250">
        <v>1</v>
      </c>
    </row>
    <row r="2251" spans="3:7" x14ac:dyDescent="0.15">
      <c r="C2251" s="43">
        <v>963</v>
      </c>
      <c r="D2251" s="42">
        <v>0.74509803921568629</v>
      </c>
      <c r="E2251" s="42">
        <v>1</v>
      </c>
      <c r="F2251" s="42">
        <v>0.74509803921568629</v>
      </c>
      <c r="G2251">
        <v>1</v>
      </c>
    </row>
    <row r="2252" spans="3:7" x14ac:dyDescent="0.15">
      <c r="C2252" s="43">
        <v>964</v>
      </c>
      <c r="D2252" s="42">
        <v>0.74598930481283421</v>
      </c>
      <c r="E2252" s="42">
        <v>1</v>
      </c>
      <c r="F2252" s="42">
        <v>0.74598930481283421</v>
      </c>
      <c r="G2252">
        <v>1</v>
      </c>
    </row>
    <row r="2253" spans="3:7" x14ac:dyDescent="0.15">
      <c r="C2253" s="43">
        <v>965</v>
      </c>
      <c r="D2253" s="42">
        <v>0.74688057040998213</v>
      </c>
      <c r="E2253" s="42">
        <v>1</v>
      </c>
      <c r="F2253" s="42">
        <v>0.74688057040998213</v>
      </c>
      <c r="G2253">
        <v>1</v>
      </c>
    </row>
    <row r="2254" spans="3:7" x14ac:dyDescent="0.15">
      <c r="C2254" s="43">
        <v>966</v>
      </c>
      <c r="D2254" s="42">
        <v>0.74777183600713015</v>
      </c>
      <c r="E2254" s="42">
        <v>1</v>
      </c>
      <c r="F2254" s="42">
        <v>0.74777183600713015</v>
      </c>
      <c r="G2254">
        <v>1</v>
      </c>
    </row>
    <row r="2255" spans="3:7" x14ac:dyDescent="0.15">
      <c r="C2255" s="43">
        <v>967</v>
      </c>
      <c r="D2255" s="42">
        <v>0.74866310160427807</v>
      </c>
      <c r="E2255" s="42">
        <v>1</v>
      </c>
      <c r="F2255" s="42">
        <v>0.74866310160427807</v>
      </c>
      <c r="G2255">
        <v>1</v>
      </c>
    </row>
    <row r="2256" spans="3:7" x14ac:dyDescent="0.15">
      <c r="C2256" s="43">
        <v>968</v>
      </c>
      <c r="D2256" s="42">
        <v>0.74955436720142599</v>
      </c>
      <c r="E2256" s="42">
        <v>1</v>
      </c>
      <c r="F2256" s="42">
        <v>0.74955436720142599</v>
      </c>
      <c r="G2256">
        <v>1</v>
      </c>
    </row>
    <row r="2257" spans="3:7" x14ac:dyDescent="0.15">
      <c r="C2257" s="43">
        <v>969</v>
      </c>
      <c r="D2257" s="42">
        <v>0.75044563279857401</v>
      </c>
      <c r="E2257" s="42">
        <v>1</v>
      </c>
      <c r="F2257" s="42">
        <v>0.75044563279857401</v>
      </c>
      <c r="G2257">
        <v>1</v>
      </c>
    </row>
    <row r="2258" spans="3:7" x14ac:dyDescent="0.15">
      <c r="C2258" s="43">
        <v>970</v>
      </c>
      <c r="D2258" s="42">
        <v>0.75133689839572193</v>
      </c>
      <c r="E2258" s="42">
        <v>1</v>
      </c>
      <c r="F2258" s="42">
        <v>0.75133689839572193</v>
      </c>
      <c r="G2258">
        <v>1</v>
      </c>
    </row>
    <row r="2259" spans="3:7" x14ac:dyDescent="0.15">
      <c r="C2259" s="43">
        <v>971</v>
      </c>
      <c r="D2259" s="42">
        <v>0.75222816399286985</v>
      </c>
      <c r="E2259" s="42">
        <v>1</v>
      </c>
      <c r="F2259" s="42">
        <v>0.75222816399286985</v>
      </c>
      <c r="G2259">
        <v>1</v>
      </c>
    </row>
    <row r="2260" spans="3:7" x14ac:dyDescent="0.15">
      <c r="C2260" s="43">
        <v>972</v>
      </c>
      <c r="D2260" s="42">
        <v>0.75311942959001787</v>
      </c>
      <c r="E2260" s="42">
        <v>1</v>
      </c>
      <c r="F2260" s="42">
        <v>0.75311942959001787</v>
      </c>
      <c r="G2260">
        <v>1</v>
      </c>
    </row>
    <row r="2261" spans="3:7" x14ac:dyDescent="0.15">
      <c r="C2261" s="43">
        <v>973</v>
      </c>
      <c r="D2261" s="42">
        <v>0.75401069518716579</v>
      </c>
      <c r="E2261" s="42">
        <v>1</v>
      </c>
      <c r="F2261" s="42">
        <v>0.75401069518716579</v>
      </c>
      <c r="G2261">
        <v>1</v>
      </c>
    </row>
    <row r="2262" spans="3:7" x14ac:dyDescent="0.15">
      <c r="C2262" s="43">
        <v>974</v>
      </c>
      <c r="D2262" s="42">
        <v>0.75490196078431371</v>
      </c>
      <c r="E2262" s="42">
        <v>1</v>
      </c>
      <c r="F2262" s="42">
        <v>0.75490196078431371</v>
      </c>
      <c r="G2262">
        <v>1</v>
      </c>
    </row>
    <row r="2263" spans="3:7" x14ac:dyDescent="0.15">
      <c r="C2263" s="43">
        <v>975</v>
      </c>
      <c r="D2263" s="42">
        <v>0.75579322638146162</v>
      </c>
      <c r="E2263" s="42">
        <v>1</v>
      </c>
      <c r="F2263" s="42">
        <v>0.75579322638146162</v>
      </c>
      <c r="G2263">
        <v>1</v>
      </c>
    </row>
    <row r="2264" spans="3:7" x14ac:dyDescent="0.15">
      <c r="C2264" s="43">
        <v>976</v>
      </c>
      <c r="D2264" s="42">
        <v>0.75668449197860965</v>
      </c>
      <c r="E2264" s="42">
        <v>1</v>
      </c>
      <c r="F2264" s="42">
        <v>0.75668449197860965</v>
      </c>
      <c r="G2264">
        <v>1</v>
      </c>
    </row>
    <row r="2265" spans="3:7" x14ac:dyDescent="0.15">
      <c r="C2265" s="43">
        <v>977</v>
      </c>
      <c r="D2265" s="42">
        <v>0.75757575757575757</v>
      </c>
      <c r="E2265" s="42">
        <v>1</v>
      </c>
      <c r="F2265" s="42">
        <v>0.75757575757575757</v>
      </c>
      <c r="G2265">
        <v>1</v>
      </c>
    </row>
    <row r="2266" spans="3:7" x14ac:dyDescent="0.15">
      <c r="C2266" s="43">
        <v>978</v>
      </c>
      <c r="D2266" s="42">
        <v>0.75846702317290549</v>
      </c>
      <c r="E2266" s="42">
        <v>1</v>
      </c>
      <c r="F2266" s="42">
        <v>0.75846702317290549</v>
      </c>
      <c r="G2266">
        <v>1</v>
      </c>
    </row>
    <row r="2267" spans="3:7" x14ac:dyDescent="0.15">
      <c r="C2267" s="43">
        <v>979</v>
      </c>
      <c r="D2267" s="42">
        <v>0.75935828877005351</v>
      </c>
      <c r="E2267" s="42">
        <v>1</v>
      </c>
      <c r="F2267" s="42">
        <v>0.75935828877005351</v>
      </c>
      <c r="G2267">
        <v>1</v>
      </c>
    </row>
    <row r="2268" spans="3:7" x14ac:dyDescent="0.15">
      <c r="C2268" s="43">
        <v>980</v>
      </c>
      <c r="D2268" s="42">
        <v>0.76024955436720143</v>
      </c>
      <c r="E2268" s="42">
        <v>1</v>
      </c>
      <c r="F2268" s="42">
        <v>0.76024955436720143</v>
      </c>
      <c r="G2268">
        <v>1</v>
      </c>
    </row>
    <row r="2269" spans="3:7" x14ac:dyDescent="0.15">
      <c r="C2269" s="43">
        <v>981</v>
      </c>
      <c r="D2269" s="42">
        <v>0.76114081996434935</v>
      </c>
      <c r="E2269" s="42">
        <v>1</v>
      </c>
      <c r="F2269" s="42">
        <v>0.76114081996434935</v>
      </c>
      <c r="G2269">
        <v>1</v>
      </c>
    </row>
    <row r="2270" spans="3:7" x14ac:dyDescent="0.15">
      <c r="C2270" s="43">
        <v>982</v>
      </c>
      <c r="D2270" s="42">
        <v>0.76203208556149737</v>
      </c>
      <c r="E2270" s="42">
        <v>1</v>
      </c>
      <c r="F2270" s="42">
        <v>0.76203208556149737</v>
      </c>
      <c r="G2270">
        <v>1</v>
      </c>
    </row>
    <row r="2271" spans="3:7" x14ac:dyDescent="0.15">
      <c r="C2271" s="43">
        <v>983</v>
      </c>
      <c r="D2271" s="42">
        <v>0.76292335115864529</v>
      </c>
      <c r="E2271" s="42">
        <v>1</v>
      </c>
      <c r="F2271" s="42">
        <v>0.76292335115864529</v>
      </c>
      <c r="G2271">
        <v>1</v>
      </c>
    </row>
    <row r="2272" spans="3:7" x14ac:dyDescent="0.15">
      <c r="C2272" s="43">
        <v>984</v>
      </c>
      <c r="D2272" s="42">
        <v>0.76381461675579321</v>
      </c>
      <c r="E2272" s="42">
        <v>1</v>
      </c>
      <c r="F2272" s="42">
        <v>0.76381461675579321</v>
      </c>
      <c r="G2272">
        <v>1</v>
      </c>
    </row>
    <row r="2273" spans="3:7" x14ac:dyDescent="0.15">
      <c r="C2273" s="43">
        <v>985</v>
      </c>
      <c r="D2273" s="42">
        <v>0.76470588235294112</v>
      </c>
      <c r="E2273" s="42">
        <v>1</v>
      </c>
      <c r="F2273" s="42">
        <v>0.76470588235294112</v>
      </c>
      <c r="G2273">
        <v>1</v>
      </c>
    </row>
    <row r="2274" spans="3:7" x14ac:dyDescent="0.15">
      <c r="C2274" s="43">
        <v>986</v>
      </c>
      <c r="D2274" s="42">
        <v>0.76559714795008915</v>
      </c>
      <c r="E2274" s="42">
        <v>1</v>
      </c>
      <c r="F2274" s="42">
        <v>0.76559714795008915</v>
      </c>
      <c r="G2274">
        <v>1</v>
      </c>
    </row>
    <row r="2275" spans="3:7" x14ac:dyDescent="0.15">
      <c r="C2275" s="43">
        <v>987</v>
      </c>
      <c r="D2275" s="42">
        <v>0.76648841354723707</v>
      </c>
      <c r="E2275" s="42">
        <v>1</v>
      </c>
      <c r="F2275" s="42">
        <v>0.76648841354723707</v>
      </c>
      <c r="G2275">
        <v>1</v>
      </c>
    </row>
    <row r="2276" spans="3:7" x14ac:dyDescent="0.15">
      <c r="C2276" s="43">
        <v>988</v>
      </c>
      <c r="D2276" s="42">
        <v>0.76737967914438499</v>
      </c>
      <c r="E2276" s="42">
        <v>1</v>
      </c>
      <c r="F2276" s="42">
        <v>0.76737967914438499</v>
      </c>
      <c r="G2276">
        <v>1</v>
      </c>
    </row>
    <row r="2277" spans="3:7" x14ac:dyDescent="0.15">
      <c r="C2277" s="43">
        <v>989</v>
      </c>
      <c r="D2277" s="42">
        <v>0.76827094474153301</v>
      </c>
      <c r="E2277" s="42">
        <v>1</v>
      </c>
      <c r="F2277" s="42">
        <v>0.76827094474153301</v>
      </c>
      <c r="G2277">
        <v>1</v>
      </c>
    </row>
    <row r="2278" spans="3:7" x14ac:dyDescent="0.15">
      <c r="C2278" s="43">
        <v>990</v>
      </c>
      <c r="D2278" s="42">
        <v>0.76916221033868093</v>
      </c>
      <c r="E2278" s="42">
        <v>1</v>
      </c>
      <c r="F2278" s="42">
        <v>0.76916221033868093</v>
      </c>
      <c r="G2278">
        <v>1</v>
      </c>
    </row>
    <row r="2279" spans="3:7" x14ac:dyDescent="0.15">
      <c r="C2279" s="43">
        <v>991</v>
      </c>
      <c r="D2279" s="42">
        <v>0.77005347593582885</v>
      </c>
      <c r="E2279" s="42">
        <v>1</v>
      </c>
      <c r="F2279" s="42">
        <v>0.77005347593582885</v>
      </c>
      <c r="G2279">
        <v>1</v>
      </c>
    </row>
    <row r="2280" spans="3:7" x14ac:dyDescent="0.15">
      <c r="C2280" s="43">
        <v>992</v>
      </c>
      <c r="D2280" s="42">
        <v>0.77094474153297687</v>
      </c>
      <c r="E2280" s="42">
        <v>1</v>
      </c>
      <c r="F2280" s="42">
        <v>0.77094474153297687</v>
      </c>
      <c r="G2280">
        <v>1</v>
      </c>
    </row>
    <row r="2281" spans="3:7" x14ac:dyDescent="0.15">
      <c r="C2281" s="43">
        <v>993</v>
      </c>
      <c r="D2281" s="42">
        <v>0.77183600713012479</v>
      </c>
      <c r="E2281" s="42">
        <v>1</v>
      </c>
      <c r="F2281" s="42">
        <v>0.77183600713012479</v>
      </c>
      <c r="G2281">
        <v>1</v>
      </c>
    </row>
    <row r="2282" spans="3:7" x14ac:dyDescent="0.15">
      <c r="C2282" s="43">
        <v>994</v>
      </c>
      <c r="D2282" s="42">
        <v>0.77272727272727271</v>
      </c>
      <c r="E2282" s="42">
        <v>1</v>
      </c>
      <c r="F2282" s="42">
        <v>0.77272727272727271</v>
      </c>
      <c r="G2282">
        <v>1</v>
      </c>
    </row>
    <row r="2283" spans="3:7" x14ac:dyDescent="0.15">
      <c r="C2283" s="43">
        <v>995</v>
      </c>
      <c r="D2283" s="42">
        <v>0.77361853832442062</v>
      </c>
      <c r="E2283" s="42">
        <v>1</v>
      </c>
      <c r="F2283" s="42">
        <v>0.77361853832442062</v>
      </c>
      <c r="G2283">
        <v>1</v>
      </c>
    </row>
    <row r="2284" spans="3:7" x14ac:dyDescent="0.15">
      <c r="C2284" s="43">
        <v>996</v>
      </c>
      <c r="D2284" s="42">
        <v>0.77450980392156865</v>
      </c>
      <c r="E2284" s="42">
        <v>1</v>
      </c>
      <c r="F2284" s="42">
        <v>0.77450980392156865</v>
      </c>
      <c r="G2284">
        <v>1</v>
      </c>
    </row>
    <row r="2285" spans="3:7" x14ac:dyDescent="0.15">
      <c r="C2285" s="43">
        <v>997</v>
      </c>
      <c r="D2285" s="42">
        <v>0.77540106951871657</v>
      </c>
      <c r="E2285" s="42">
        <v>1</v>
      </c>
      <c r="F2285" s="42">
        <v>0.77540106951871657</v>
      </c>
      <c r="G2285">
        <v>1</v>
      </c>
    </row>
    <row r="2286" spans="3:7" x14ac:dyDescent="0.15">
      <c r="C2286" s="43">
        <v>998</v>
      </c>
      <c r="D2286" s="42">
        <v>0.77629233511586448</v>
      </c>
      <c r="E2286" s="42">
        <v>1</v>
      </c>
      <c r="F2286" s="42">
        <v>0.77629233511586448</v>
      </c>
      <c r="G2286">
        <v>1</v>
      </c>
    </row>
    <row r="2287" spans="3:7" x14ac:dyDescent="0.15">
      <c r="C2287" s="43">
        <v>999</v>
      </c>
      <c r="D2287" s="42">
        <v>0.77718360071301251</v>
      </c>
      <c r="E2287" s="42">
        <v>1</v>
      </c>
      <c r="F2287" s="42">
        <v>0.77718360071301251</v>
      </c>
      <c r="G2287">
        <v>1</v>
      </c>
    </row>
    <row r="2288" spans="3:7" x14ac:dyDescent="0.15">
      <c r="C2288" s="43">
        <v>1000</v>
      </c>
      <c r="D2288" s="42">
        <v>0.77807486631016043</v>
      </c>
      <c r="E2288" s="42">
        <v>1</v>
      </c>
      <c r="F2288" s="42">
        <v>0.77807486631016043</v>
      </c>
      <c r="G2288">
        <v>1</v>
      </c>
    </row>
    <row r="2289" spans="3:7" x14ac:dyDescent="0.15">
      <c r="C2289" s="43">
        <v>1001</v>
      </c>
      <c r="D2289" s="42">
        <v>0.77896613190730835</v>
      </c>
      <c r="E2289" s="42">
        <v>1</v>
      </c>
      <c r="F2289" s="42">
        <v>0.77896613190730835</v>
      </c>
      <c r="G2289">
        <v>1</v>
      </c>
    </row>
    <row r="2290" spans="3:7" x14ac:dyDescent="0.15">
      <c r="C2290" s="43">
        <v>1002</v>
      </c>
      <c r="D2290" s="42">
        <v>0.77985739750445637</v>
      </c>
      <c r="E2290" s="42">
        <v>1</v>
      </c>
      <c r="F2290" s="42">
        <v>0.77985739750445637</v>
      </c>
      <c r="G2290">
        <v>1</v>
      </c>
    </row>
    <row r="2291" spans="3:7" x14ac:dyDescent="0.15">
      <c r="C2291" s="43">
        <v>1003</v>
      </c>
      <c r="D2291" s="42">
        <v>0.78074866310160429</v>
      </c>
      <c r="E2291" s="42">
        <v>1</v>
      </c>
      <c r="F2291" s="42">
        <v>0.78074866310160429</v>
      </c>
      <c r="G2291">
        <v>1</v>
      </c>
    </row>
    <row r="2292" spans="3:7" x14ac:dyDescent="0.15">
      <c r="C2292" s="43">
        <v>1004</v>
      </c>
      <c r="D2292" s="42">
        <v>0.78163992869875221</v>
      </c>
      <c r="E2292" s="42">
        <v>1</v>
      </c>
      <c r="F2292" s="42">
        <v>0.78163992869875221</v>
      </c>
      <c r="G2292">
        <v>1</v>
      </c>
    </row>
    <row r="2293" spans="3:7" x14ac:dyDescent="0.15">
      <c r="C2293" s="43">
        <v>1005</v>
      </c>
      <c r="D2293" s="42">
        <v>0.78253119429590012</v>
      </c>
      <c r="E2293" s="42">
        <v>1</v>
      </c>
      <c r="F2293" s="42">
        <v>0.78253119429590012</v>
      </c>
      <c r="G2293">
        <v>1</v>
      </c>
    </row>
    <row r="2294" spans="3:7" x14ac:dyDescent="0.15">
      <c r="C2294" s="43">
        <v>1006</v>
      </c>
      <c r="D2294" s="42">
        <v>0.78342245989304815</v>
      </c>
      <c r="E2294" s="42">
        <v>1</v>
      </c>
      <c r="F2294" s="42">
        <v>0.78342245989304815</v>
      </c>
      <c r="G2294">
        <v>1</v>
      </c>
    </row>
    <row r="2295" spans="3:7" x14ac:dyDescent="0.15">
      <c r="C2295" s="43">
        <v>1007</v>
      </c>
      <c r="D2295" s="42">
        <v>0.78431372549019607</v>
      </c>
      <c r="E2295" s="42">
        <v>1</v>
      </c>
      <c r="F2295" s="42">
        <v>0.78431372549019607</v>
      </c>
      <c r="G2295">
        <v>1</v>
      </c>
    </row>
    <row r="2296" spans="3:7" x14ac:dyDescent="0.15">
      <c r="C2296" s="43">
        <v>1008</v>
      </c>
      <c r="D2296" s="42">
        <v>0.78520499108734398</v>
      </c>
      <c r="E2296" s="42">
        <v>1</v>
      </c>
      <c r="F2296" s="42">
        <v>0.78520499108734398</v>
      </c>
      <c r="G2296">
        <v>1</v>
      </c>
    </row>
    <row r="2297" spans="3:7" x14ac:dyDescent="0.15">
      <c r="C2297" s="43">
        <v>1009</v>
      </c>
      <c r="D2297" s="42">
        <v>0.78609625668449201</v>
      </c>
      <c r="E2297" s="42">
        <v>1</v>
      </c>
      <c r="F2297" s="42">
        <v>0.78609625668449201</v>
      </c>
      <c r="G2297">
        <v>1</v>
      </c>
    </row>
    <row r="2298" spans="3:7" x14ac:dyDescent="0.15">
      <c r="C2298" s="43">
        <v>1010</v>
      </c>
      <c r="D2298" s="42">
        <v>0.78698752228163993</v>
      </c>
      <c r="E2298" s="42">
        <v>1</v>
      </c>
      <c r="F2298" s="42">
        <v>0.78698752228163993</v>
      </c>
      <c r="G2298">
        <v>1</v>
      </c>
    </row>
    <row r="2299" spans="3:7" x14ac:dyDescent="0.15">
      <c r="C2299" s="43">
        <v>1011</v>
      </c>
      <c r="D2299" s="42">
        <v>0.78787878787878785</v>
      </c>
      <c r="E2299" s="42">
        <v>1</v>
      </c>
      <c r="F2299" s="42">
        <v>0.78787878787878785</v>
      </c>
      <c r="G2299">
        <v>1</v>
      </c>
    </row>
    <row r="2300" spans="3:7" x14ac:dyDescent="0.15">
      <c r="C2300" s="43">
        <v>1012</v>
      </c>
      <c r="D2300" s="42">
        <v>0.78877005347593587</v>
      </c>
      <c r="E2300" s="42">
        <v>1</v>
      </c>
      <c r="F2300" s="42">
        <v>0.78877005347593587</v>
      </c>
      <c r="G2300">
        <v>1</v>
      </c>
    </row>
    <row r="2301" spans="3:7" x14ac:dyDescent="0.15">
      <c r="C2301" s="43">
        <v>1013</v>
      </c>
      <c r="D2301" s="42">
        <v>0.78966131907308379</v>
      </c>
      <c r="E2301" s="42">
        <v>1</v>
      </c>
      <c r="F2301" s="42">
        <v>0.78966131907308379</v>
      </c>
      <c r="G2301">
        <v>1</v>
      </c>
    </row>
    <row r="2302" spans="3:7" x14ac:dyDescent="0.15">
      <c r="C2302" s="43">
        <v>1014</v>
      </c>
      <c r="D2302" s="42">
        <v>0.79055258467023171</v>
      </c>
      <c r="E2302" s="42">
        <v>1</v>
      </c>
      <c r="F2302" s="42">
        <v>0.79055258467023171</v>
      </c>
      <c r="G2302">
        <v>1</v>
      </c>
    </row>
    <row r="2303" spans="3:7" x14ac:dyDescent="0.15">
      <c r="C2303" s="43">
        <v>1015</v>
      </c>
      <c r="D2303" s="42">
        <v>0.79144385026737973</v>
      </c>
      <c r="E2303" s="42">
        <v>1</v>
      </c>
      <c r="F2303" s="42">
        <v>0.79144385026737973</v>
      </c>
      <c r="G2303">
        <v>1</v>
      </c>
    </row>
    <row r="2304" spans="3:7" x14ac:dyDescent="0.15">
      <c r="C2304" s="43">
        <v>1016</v>
      </c>
      <c r="D2304" s="42">
        <v>0.79233511586452765</v>
      </c>
      <c r="E2304" s="42">
        <v>1</v>
      </c>
      <c r="F2304" s="42">
        <v>0.79233511586452765</v>
      </c>
      <c r="G2304">
        <v>1</v>
      </c>
    </row>
    <row r="2305" spans="3:7" x14ac:dyDescent="0.15">
      <c r="C2305" s="43">
        <v>1017</v>
      </c>
      <c r="D2305" s="42">
        <v>0.79322638146167557</v>
      </c>
      <c r="E2305" s="42">
        <v>1</v>
      </c>
      <c r="F2305" s="42">
        <v>0.79322638146167557</v>
      </c>
      <c r="G2305">
        <v>1</v>
      </c>
    </row>
    <row r="2306" spans="3:7" x14ac:dyDescent="0.15">
      <c r="C2306" s="43">
        <v>1018</v>
      </c>
      <c r="D2306" s="42">
        <v>0.79411764705882348</v>
      </c>
      <c r="E2306" s="42">
        <v>1</v>
      </c>
      <c r="F2306" s="42">
        <v>0.79411764705882348</v>
      </c>
      <c r="G2306">
        <v>1</v>
      </c>
    </row>
    <row r="2307" spans="3:7" x14ac:dyDescent="0.15">
      <c r="C2307" s="43">
        <v>1019</v>
      </c>
      <c r="D2307" s="42">
        <v>0.79500891265597151</v>
      </c>
      <c r="E2307" s="42">
        <v>1</v>
      </c>
      <c r="F2307" s="42">
        <v>0.79500891265597151</v>
      </c>
      <c r="G2307">
        <v>1</v>
      </c>
    </row>
    <row r="2308" spans="3:7" x14ac:dyDescent="0.15">
      <c r="C2308" s="43">
        <v>1020</v>
      </c>
      <c r="D2308" s="42">
        <v>0.79590017825311943</v>
      </c>
      <c r="E2308" s="42">
        <v>1</v>
      </c>
      <c r="F2308" s="42">
        <v>0.79590017825311943</v>
      </c>
      <c r="G2308">
        <v>1</v>
      </c>
    </row>
    <row r="2309" spans="3:7" x14ac:dyDescent="0.15">
      <c r="C2309" s="43">
        <v>1021</v>
      </c>
      <c r="D2309" s="42">
        <v>0.79679144385026734</v>
      </c>
      <c r="E2309" s="42">
        <v>1</v>
      </c>
      <c r="F2309" s="42">
        <v>0.79679144385026734</v>
      </c>
      <c r="G2309">
        <v>1</v>
      </c>
    </row>
    <row r="2310" spans="3:7" x14ac:dyDescent="0.15">
      <c r="C2310" s="43">
        <v>1022</v>
      </c>
      <c r="D2310" s="42">
        <v>0.79768270944741537</v>
      </c>
      <c r="E2310" s="42">
        <v>1</v>
      </c>
      <c r="F2310" s="42">
        <v>0.79768270944741537</v>
      </c>
      <c r="G2310">
        <v>1</v>
      </c>
    </row>
    <row r="2311" spans="3:7" x14ac:dyDescent="0.15">
      <c r="C2311" s="43">
        <v>1023</v>
      </c>
      <c r="D2311" s="42">
        <v>0.79857397504456329</v>
      </c>
      <c r="E2311" s="42">
        <v>1</v>
      </c>
      <c r="F2311" s="42">
        <v>0.79857397504456329</v>
      </c>
      <c r="G2311">
        <v>1</v>
      </c>
    </row>
    <row r="2312" spans="3:7" x14ac:dyDescent="0.15">
      <c r="C2312" s="43">
        <v>1024</v>
      </c>
      <c r="D2312" s="42">
        <v>0.79946524064171121</v>
      </c>
      <c r="E2312" s="42">
        <v>1</v>
      </c>
      <c r="F2312" s="42">
        <v>0.79946524064171121</v>
      </c>
      <c r="G2312">
        <v>1</v>
      </c>
    </row>
    <row r="2313" spans="3:7" x14ac:dyDescent="0.15">
      <c r="C2313" s="43">
        <v>1025</v>
      </c>
      <c r="D2313" s="42">
        <v>0.80035650623885923</v>
      </c>
      <c r="E2313" s="42">
        <v>1</v>
      </c>
      <c r="F2313" s="42">
        <v>0.80035650623885923</v>
      </c>
      <c r="G2313">
        <v>1</v>
      </c>
    </row>
    <row r="2314" spans="3:7" x14ac:dyDescent="0.15">
      <c r="C2314" s="43">
        <v>1026</v>
      </c>
      <c r="D2314" s="42">
        <v>0.80124777183600715</v>
      </c>
      <c r="E2314" s="42">
        <v>1</v>
      </c>
      <c r="F2314" s="42">
        <v>0.80124777183600715</v>
      </c>
      <c r="G2314">
        <v>1</v>
      </c>
    </row>
    <row r="2315" spans="3:7" x14ac:dyDescent="0.15">
      <c r="C2315" s="43">
        <v>1027</v>
      </c>
      <c r="D2315" s="42">
        <v>0.80213903743315507</v>
      </c>
      <c r="E2315" s="42">
        <v>1</v>
      </c>
      <c r="F2315" s="42">
        <v>0.80213903743315507</v>
      </c>
      <c r="G2315">
        <v>1</v>
      </c>
    </row>
    <row r="2316" spans="3:7" x14ac:dyDescent="0.15">
      <c r="C2316" s="43">
        <v>1028</v>
      </c>
      <c r="D2316" s="42">
        <v>0.80303030303030298</v>
      </c>
      <c r="E2316" s="42">
        <v>1</v>
      </c>
      <c r="F2316" s="42">
        <v>0.80303030303030298</v>
      </c>
      <c r="G2316">
        <v>1</v>
      </c>
    </row>
    <row r="2317" spans="3:7" x14ac:dyDescent="0.15">
      <c r="C2317" s="43">
        <v>1029</v>
      </c>
      <c r="D2317" s="42">
        <v>0.80392156862745101</v>
      </c>
      <c r="E2317" s="42">
        <v>1</v>
      </c>
      <c r="F2317" s="42">
        <v>0.80392156862745101</v>
      </c>
      <c r="G2317">
        <v>1</v>
      </c>
    </row>
    <row r="2318" spans="3:7" x14ac:dyDescent="0.15">
      <c r="C2318" s="43">
        <v>1030</v>
      </c>
      <c r="D2318" s="42">
        <v>0.80481283422459893</v>
      </c>
      <c r="E2318" s="42">
        <v>1</v>
      </c>
      <c r="F2318" s="42">
        <v>0.80481283422459893</v>
      </c>
      <c r="G2318">
        <v>1</v>
      </c>
    </row>
    <row r="2319" spans="3:7" x14ac:dyDescent="0.15">
      <c r="C2319" s="43">
        <v>1031</v>
      </c>
      <c r="D2319" s="42">
        <v>0.80570409982174684</v>
      </c>
      <c r="E2319" s="42">
        <v>1</v>
      </c>
      <c r="F2319" s="42">
        <v>0.80570409982174684</v>
      </c>
      <c r="G2319">
        <v>1</v>
      </c>
    </row>
    <row r="2320" spans="3:7" x14ac:dyDescent="0.15">
      <c r="C2320" s="43">
        <v>1032</v>
      </c>
      <c r="D2320" s="42">
        <v>0.80659536541889487</v>
      </c>
      <c r="E2320" s="42">
        <v>1</v>
      </c>
      <c r="F2320" s="42">
        <v>0.80659536541889487</v>
      </c>
      <c r="G2320">
        <v>1</v>
      </c>
    </row>
    <row r="2321" spans="3:7" x14ac:dyDescent="0.15">
      <c r="C2321" s="43">
        <v>1033</v>
      </c>
      <c r="D2321" s="42">
        <v>0.80748663101604279</v>
      </c>
      <c r="E2321" s="42">
        <v>1</v>
      </c>
      <c r="F2321" s="42">
        <v>0.80748663101604279</v>
      </c>
      <c r="G2321">
        <v>1</v>
      </c>
    </row>
    <row r="2322" spans="3:7" x14ac:dyDescent="0.15">
      <c r="C2322" s="43">
        <v>1034</v>
      </c>
      <c r="D2322" s="42">
        <v>0.80837789661319071</v>
      </c>
      <c r="E2322" s="42">
        <v>1</v>
      </c>
      <c r="F2322" s="42">
        <v>0.80837789661319071</v>
      </c>
      <c r="G2322">
        <v>1</v>
      </c>
    </row>
    <row r="2323" spans="3:7" x14ac:dyDescent="0.15">
      <c r="C2323" s="43">
        <v>1035</v>
      </c>
      <c r="D2323" s="42">
        <v>0.80926916221033873</v>
      </c>
      <c r="E2323" s="42">
        <v>1</v>
      </c>
      <c r="F2323" s="42">
        <v>0.80926916221033873</v>
      </c>
      <c r="G2323">
        <v>1</v>
      </c>
    </row>
    <row r="2324" spans="3:7" x14ac:dyDescent="0.15">
      <c r="C2324" s="43">
        <v>1036</v>
      </c>
      <c r="D2324" s="42">
        <v>0.81016042780748665</v>
      </c>
      <c r="E2324" s="42">
        <v>1</v>
      </c>
      <c r="F2324" s="42">
        <v>0.81016042780748665</v>
      </c>
      <c r="G2324">
        <v>1</v>
      </c>
    </row>
    <row r="2325" spans="3:7" x14ac:dyDescent="0.15">
      <c r="C2325" s="43">
        <v>1037</v>
      </c>
      <c r="D2325" s="42">
        <v>0.81105169340463457</v>
      </c>
      <c r="E2325" s="42">
        <v>1</v>
      </c>
      <c r="F2325" s="42">
        <v>0.81105169340463457</v>
      </c>
      <c r="G2325">
        <v>1</v>
      </c>
    </row>
    <row r="2326" spans="3:7" x14ac:dyDescent="0.15">
      <c r="C2326" s="43">
        <v>1038</v>
      </c>
      <c r="D2326" s="42">
        <v>0.81194295900178248</v>
      </c>
      <c r="E2326" s="42">
        <v>1</v>
      </c>
      <c r="F2326" s="42">
        <v>0.81194295900178248</v>
      </c>
      <c r="G2326">
        <v>1</v>
      </c>
    </row>
    <row r="2327" spans="3:7" x14ac:dyDescent="0.15">
      <c r="C2327" s="43">
        <v>1039</v>
      </c>
      <c r="D2327" s="42">
        <v>0.81283422459893051</v>
      </c>
      <c r="E2327" s="42">
        <v>1</v>
      </c>
      <c r="F2327" s="42">
        <v>0.81283422459893051</v>
      </c>
      <c r="G2327">
        <v>1</v>
      </c>
    </row>
    <row r="2328" spans="3:7" x14ac:dyDescent="0.15">
      <c r="C2328" s="43">
        <v>1040</v>
      </c>
      <c r="D2328" s="42">
        <v>0.81372549019607843</v>
      </c>
      <c r="E2328" s="42">
        <v>1</v>
      </c>
      <c r="F2328" s="42">
        <v>0.81372549019607843</v>
      </c>
      <c r="G2328">
        <v>1</v>
      </c>
    </row>
    <row r="2329" spans="3:7" x14ac:dyDescent="0.15">
      <c r="C2329" s="43">
        <v>1041</v>
      </c>
      <c r="D2329" s="42">
        <v>0.81461675579322634</v>
      </c>
      <c r="E2329" s="42">
        <v>1</v>
      </c>
      <c r="F2329" s="42">
        <v>0.81461675579322634</v>
      </c>
      <c r="G2329">
        <v>1</v>
      </c>
    </row>
    <row r="2330" spans="3:7" x14ac:dyDescent="0.15">
      <c r="C2330" s="43">
        <v>1042</v>
      </c>
      <c r="D2330" s="42">
        <v>0.81550802139037437</v>
      </c>
      <c r="E2330" s="42">
        <v>1</v>
      </c>
      <c r="F2330" s="42">
        <v>0.81550802139037437</v>
      </c>
      <c r="G2330">
        <v>1</v>
      </c>
    </row>
    <row r="2331" spans="3:7" x14ac:dyDescent="0.15">
      <c r="C2331" s="43">
        <v>1043</v>
      </c>
      <c r="D2331" s="42">
        <v>0.81639928698752229</v>
      </c>
      <c r="E2331" s="42">
        <v>1</v>
      </c>
      <c r="F2331" s="42">
        <v>0.81639928698752229</v>
      </c>
      <c r="G2331">
        <v>1</v>
      </c>
    </row>
    <row r="2332" spans="3:7" x14ac:dyDescent="0.15">
      <c r="C2332" s="43">
        <v>1044</v>
      </c>
      <c r="D2332" s="42">
        <v>0.8172905525846702</v>
      </c>
      <c r="E2332" s="42">
        <v>1</v>
      </c>
      <c r="F2332" s="42">
        <v>0.8172905525846702</v>
      </c>
      <c r="G2332">
        <v>1</v>
      </c>
    </row>
    <row r="2333" spans="3:7" x14ac:dyDescent="0.15">
      <c r="C2333" s="43">
        <v>1045</v>
      </c>
      <c r="D2333" s="42">
        <v>0.81818181818181823</v>
      </c>
      <c r="E2333" s="42">
        <v>1</v>
      </c>
      <c r="F2333" s="42">
        <v>0.81818181818181823</v>
      </c>
      <c r="G2333">
        <v>1</v>
      </c>
    </row>
    <row r="2334" spans="3:7" x14ac:dyDescent="0.15">
      <c r="C2334" s="43">
        <v>1046</v>
      </c>
      <c r="D2334" s="42">
        <v>0.81907308377896615</v>
      </c>
      <c r="E2334" s="42">
        <v>1</v>
      </c>
      <c r="F2334" s="42">
        <v>0.81907308377896615</v>
      </c>
      <c r="G2334">
        <v>1</v>
      </c>
    </row>
    <row r="2335" spans="3:7" x14ac:dyDescent="0.15">
      <c r="C2335" s="43">
        <v>1047</v>
      </c>
      <c r="D2335" s="42">
        <v>0.81996434937611407</v>
      </c>
      <c r="E2335" s="42">
        <v>1</v>
      </c>
      <c r="F2335" s="42">
        <v>0.81996434937611407</v>
      </c>
      <c r="G2335">
        <v>1</v>
      </c>
    </row>
    <row r="2336" spans="3:7" x14ac:dyDescent="0.15">
      <c r="C2336" s="43">
        <v>1048</v>
      </c>
      <c r="D2336" s="42">
        <v>0.82085561497326198</v>
      </c>
      <c r="E2336" s="42">
        <v>1</v>
      </c>
      <c r="F2336" s="42">
        <v>0.82085561497326198</v>
      </c>
      <c r="G2336">
        <v>1</v>
      </c>
    </row>
    <row r="2337" spans="3:7" x14ac:dyDescent="0.15">
      <c r="C2337" s="43">
        <v>1049</v>
      </c>
      <c r="D2337" s="42">
        <v>0.82174688057041001</v>
      </c>
      <c r="E2337" s="42">
        <v>1</v>
      </c>
      <c r="F2337" s="42">
        <v>0.82174688057041001</v>
      </c>
      <c r="G2337">
        <v>1</v>
      </c>
    </row>
    <row r="2338" spans="3:7" x14ac:dyDescent="0.15">
      <c r="C2338" s="43">
        <v>1050</v>
      </c>
      <c r="D2338" s="42">
        <v>0.82263814616755793</v>
      </c>
      <c r="E2338" s="42">
        <v>1</v>
      </c>
      <c r="F2338" s="42">
        <v>0.82263814616755793</v>
      </c>
      <c r="G2338">
        <v>1</v>
      </c>
    </row>
    <row r="2339" spans="3:7" x14ac:dyDescent="0.15">
      <c r="C2339" s="43">
        <v>1051</v>
      </c>
      <c r="D2339" s="42">
        <v>0.82352941176470584</v>
      </c>
      <c r="E2339" s="42">
        <v>1</v>
      </c>
      <c r="F2339" s="42">
        <v>0.82352941176470584</v>
      </c>
      <c r="G2339">
        <v>1</v>
      </c>
    </row>
    <row r="2340" spans="3:7" x14ac:dyDescent="0.15">
      <c r="C2340" s="43">
        <v>1052</v>
      </c>
      <c r="D2340" s="42">
        <v>0.82442067736185387</v>
      </c>
      <c r="E2340" s="42">
        <v>1</v>
      </c>
      <c r="F2340" s="42">
        <v>0.82442067736185387</v>
      </c>
      <c r="G2340">
        <v>1</v>
      </c>
    </row>
    <row r="2341" spans="3:7" x14ac:dyDescent="0.15">
      <c r="C2341" s="43">
        <v>1053</v>
      </c>
      <c r="D2341" s="42">
        <v>0.82531194295900179</v>
      </c>
      <c r="E2341" s="42">
        <v>1</v>
      </c>
      <c r="F2341" s="42">
        <v>0.82531194295900179</v>
      </c>
      <c r="G2341">
        <v>1</v>
      </c>
    </row>
    <row r="2342" spans="3:7" x14ac:dyDescent="0.15">
      <c r="C2342" s="43">
        <v>1054</v>
      </c>
      <c r="D2342" s="42">
        <v>0.8262032085561497</v>
      </c>
      <c r="E2342" s="42">
        <v>1</v>
      </c>
      <c r="F2342" s="42">
        <v>0.8262032085561497</v>
      </c>
      <c r="G2342">
        <v>1</v>
      </c>
    </row>
    <row r="2343" spans="3:7" x14ac:dyDescent="0.15">
      <c r="C2343" s="43">
        <v>1055</v>
      </c>
      <c r="D2343" s="42">
        <v>0.82709447415329773</v>
      </c>
      <c r="E2343" s="42">
        <v>1</v>
      </c>
      <c r="F2343" s="42">
        <v>0.82709447415329773</v>
      </c>
      <c r="G2343">
        <v>1</v>
      </c>
    </row>
    <row r="2344" spans="3:7" x14ac:dyDescent="0.15">
      <c r="C2344" s="43">
        <v>1056</v>
      </c>
      <c r="D2344" s="42">
        <v>0.82798573975044565</v>
      </c>
      <c r="E2344" s="42">
        <v>1</v>
      </c>
      <c r="F2344" s="42">
        <v>0.82798573975044565</v>
      </c>
      <c r="G2344">
        <v>1</v>
      </c>
    </row>
    <row r="2345" spans="3:7" x14ac:dyDescent="0.15">
      <c r="C2345" s="43">
        <v>1057</v>
      </c>
      <c r="D2345" s="42">
        <v>0.82887700534759357</v>
      </c>
      <c r="E2345" s="42">
        <v>1</v>
      </c>
      <c r="F2345" s="42">
        <v>0.82887700534759357</v>
      </c>
      <c r="G2345">
        <v>1</v>
      </c>
    </row>
    <row r="2346" spans="3:7" x14ac:dyDescent="0.15">
      <c r="C2346" s="43">
        <v>1058</v>
      </c>
      <c r="D2346" s="42">
        <v>0.82976827094474148</v>
      </c>
      <c r="E2346" s="42">
        <v>1</v>
      </c>
      <c r="F2346" s="42">
        <v>0.82976827094474148</v>
      </c>
      <c r="G2346">
        <v>1</v>
      </c>
    </row>
    <row r="2347" spans="3:7" x14ac:dyDescent="0.15">
      <c r="C2347" s="43">
        <v>1059</v>
      </c>
      <c r="D2347" s="42">
        <v>0.83065953654188951</v>
      </c>
      <c r="E2347" s="42">
        <v>1</v>
      </c>
      <c r="F2347" s="42">
        <v>0.83065953654188951</v>
      </c>
      <c r="G2347">
        <v>1</v>
      </c>
    </row>
    <row r="2348" spans="3:7" x14ac:dyDescent="0.15">
      <c r="C2348" s="43">
        <v>1060</v>
      </c>
      <c r="D2348" s="42">
        <v>0.83155080213903743</v>
      </c>
      <c r="E2348" s="42">
        <v>1</v>
      </c>
      <c r="F2348" s="42">
        <v>0.83155080213903743</v>
      </c>
      <c r="G2348">
        <v>1</v>
      </c>
    </row>
    <row r="2349" spans="3:7" x14ac:dyDescent="0.15">
      <c r="C2349" s="43">
        <v>1061</v>
      </c>
      <c r="D2349" s="42">
        <v>0.83244206773618534</v>
      </c>
      <c r="E2349" s="42">
        <v>1</v>
      </c>
      <c r="F2349" s="42">
        <v>0.83244206773618534</v>
      </c>
      <c r="G2349">
        <v>1</v>
      </c>
    </row>
    <row r="2350" spans="3:7" x14ac:dyDescent="0.15">
      <c r="C2350" s="43">
        <v>1062</v>
      </c>
      <c r="D2350" s="42">
        <v>0.83333333333333337</v>
      </c>
      <c r="E2350" s="42">
        <v>1</v>
      </c>
      <c r="F2350" s="42">
        <v>0.83333333333333337</v>
      </c>
      <c r="G2350">
        <v>1</v>
      </c>
    </row>
    <row r="2351" spans="3:7" x14ac:dyDescent="0.15">
      <c r="C2351" s="43">
        <v>1063</v>
      </c>
      <c r="D2351" s="42">
        <v>0.83422459893048129</v>
      </c>
      <c r="E2351" s="42">
        <v>1</v>
      </c>
      <c r="F2351" s="42">
        <v>0.83422459893048129</v>
      </c>
      <c r="G2351">
        <v>1</v>
      </c>
    </row>
    <row r="2352" spans="3:7" x14ac:dyDescent="0.15">
      <c r="C2352" s="43">
        <v>1064</v>
      </c>
      <c r="D2352" s="42">
        <v>0.8351158645276292</v>
      </c>
      <c r="E2352" s="42">
        <v>1</v>
      </c>
      <c r="F2352" s="42">
        <v>0.8351158645276292</v>
      </c>
      <c r="G2352">
        <v>1</v>
      </c>
    </row>
    <row r="2353" spans="3:7" x14ac:dyDescent="0.15">
      <c r="C2353" s="43">
        <v>1065</v>
      </c>
      <c r="D2353" s="42">
        <v>0.83600713012477723</v>
      </c>
      <c r="E2353" s="42">
        <v>1</v>
      </c>
      <c r="F2353" s="42">
        <v>0.83600713012477723</v>
      </c>
      <c r="G2353">
        <v>1</v>
      </c>
    </row>
    <row r="2354" spans="3:7" x14ac:dyDescent="0.15">
      <c r="C2354" s="43">
        <v>1066</v>
      </c>
      <c r="D2354" s="42">
        <v>0.83689839572192515</v>
      </c>
      <c r="E2354" s="42">
        <v>1</v>
      </c>
      <c r="F2354" s="42">
        <v>0.83689839572192515</v>
      </c>
      <c r="G2354">
        <v>1</v>
      </c>
    </row>
    <row r="2355" spans="3:7" x14ac:dyDescent="0.15">
      <c r="C2355" s="43">
        <v>1067</v>
      </c>
      <c r="D2355" s="42">
        <v>0.83778966131907306</v>
      </c>
      <c r="E2355" s="42">
        <v>1</v>
      </c>
      <c r="F2355" s="42">
        <v>0.83778966131907306</v>
      </c>
      <c r="G2355">
        <v>1</v>
      </c>
    </row>
    <row r="2356" spans="3:7" x14ac:dyDescent="0.15">
      <c r="C2356" s="43">
        <v>1068</v>
      </c>
      <c r="D2356" s="42">
        <v>0.83868092691622098</v>
      </c>
      <c r="E2356" s="42">
        <v>1</v>
      </c>
      <c r="F2356" s="42">
        <v>0.83868092691622098</v>
      </c>
      <c r="G2356">
        <v>1</v>
      </c>
    </row>
    <row r="2357" spans="3:7" x14ac:dyDescent="0.15">
      <c r="C2357" s="43">
        <v>1069</v>
      </c>
      <c r="D2357" s="42">
        <v>0.83957219251336901</v>
      </c>
      <c r="E2357" s="42">
        <v>1</v>
      </c>
      <c r="F2357" s="42">
        <v>0.83957219251336901</v>
      </c>
      <c r="G2357">
        <v>1</v>
      </c>
    </row>
    <row r="2358" spans="3:7" x14ac:dyDescent="0.15">
      <c r="C2358" s="43">
        <v>1070</v>
      </c>
      <c r="D2358" s="42">
        <v>0.84046345811051693</v>
      </c>
      <c r="E2358" s="42">
        <v>1</v>
      </c>
      <c r="F2358" s="42">
        <v>0.84046345811051693</v>
      </c>
      <c r="G2358">
        <v>1</v>
      </c>
    </row>
    <row r="2359" spans="3:7" x14ac:dyDescent="0.15">
      <c r="C2359" s="43">
        <v>1071</v>
      </c>
      <c r="D2359" s="42">
        <v>0.84135472370766484</v>
      </c>
      <c r="E2359" s="42">
        <v>1</v>
      </c>
      <c r="F2359" s="42">
        <v>0.84135472370766484</v>
      </c>
      <c r="G2359">
        <v>1</v>
      </c>
    </row>
    <row r="2360" spans="3:7" x14ac:dyDescent="0.15">
      <c r="C2360" s="43">
        <v>1072</v>
      </c>
      <c r="D2360" s="42">
        <v>0.84224598930481287</v>
      </c>
      <c r="E2360" s="42">
        <v>1</v>
      </c>
      <c r="F2360" s="42">
        <v>0.84224598930481287</v>
      </c>
      <c r="G2360">
        <v>1</v>
      </c>
    </row>
    <row r="2361" spans="3:7" x14ac:dyDescent="0.15">
      <c r="C2361" s="43">
        <v>1073</v>
      </c>
      <c r="D2361" s="42">
        <v>0.84313725490196079</v>
      </c>
      <c r="E2361" s="42">
        <v>1</v>
      </c>
      <c r="F2361" s="42">
        <v>0.84313725490196079</v>
      </c>
      <c r="G2361">
        <v>1</v>
      </c>
    </row>
    <row r="2362" spans="3:7" x14ac:dyDescent="0.15">
      <c r="C2362" s="43">
        <v>1074</v>
      </c>
      <c r="D2362" s="42">
        <v>0.8440285204991087</v>
      </c>
      <c r="E2362" s="42">
        <v>1</v>
      </c>
      <c r="F2362" s="42">
        <v>0.8440285204991087</v>
      </c>
      <c r="G2362">
        <v>1</v>
      </c>
    </row>
    <row r="2363" spans="3:7" x14ac:dyDescent="0.15">
      <c r="C2363" s="43">
        <v>1075</v>
      </c>
      <c r="D2363" s="42">
        <v>0.84491978609625673</v>
      </c>
      <c r="E2363" s="42">
        <v>1</v>
      </c>
      <c r="F2363" s="42">
        <v>0.84491978609625673</v>
      </c>
      <c r="G2363">
        <v>1</v>
      </c>
    </row>
    <row r="2364" spans="3:7" x14ac:dyDescent="0.15">
      <c r="C2364" s="43">
        <v>1076</v>
      </c>
      <c r="D2364" s="42">
        <v>0.84581105169340465</v>
      </c>
      <c r="E2364" s="42">
        <v>1</v>
      </c>
      <c r="F2364" s="42">
        <v>0.84581105169340465</v>
      </c>
      <c r="G2364">
        <v>1</v>
      </c>
    </row>
    <row r="2365" spans="3:7" x14ac:dyDescent="0.15">
      <c r="C2365" s="43">
        <v>1077</v>
      </c>
      <c r="D2365" s="42">
        <v>0.84670231729055256</v>
      </c>
      <c r="E2365" s="42">
        <v>1</v>
      </c>
      <c r="F2365" s="42">
        <v>0.84670231729055256</v>
      </c>
      <c r="G2365">
        <v>1</v>
      </c>
    </row>
    <row r="2366" spans="3:7" x14ac:dyDescent="0.15">
      <c r="C2366" s="43">
        <v>1078</v>
      </c>
      <c r="D2366" s="42">
        <v>0.84759358288770048</v>
      </c>
      <c r="E2366" s="42">
        <v>1</v>
      </c>
      <c r="F2366" s="42">
        <v>0.84759358288770048</v>
      </c>
      <c r="G2366">
        <v>1</v>
      </c>
    </row>
    <row r="2367" spans="3:7" x14ac:dyDescent="0.15">
      <c r="C2367" s="43">
        <v>1079</v>
      </c>
      <c r="D2367" s="42">
        <v>0.84848484848484851</v>
      </c>
      <c r="E2367" s="42">
        <v>1</v>
      </c>
      <c r="F2367" s="42">
        <v>0.84848484848484851</v>
      </c>
      <c r="G2367">
        <v>1</v>
      </c>
    </row>
    <row r="2368" spans="3:7" x14ac:dyDescent="0.15">
      <c r="C2368" s="43">
        <v>1080</v>
      </c>
      <c r="D2368" s="42">
        <v>0.84937611408199643</v>
      </c>
      <c r="E2368" s="42">
        <v>1</v>
      </c>
      <c r="F2368" s="42">
        <v>0.84937611408199643</v>
      </c>
      <c r="G2368">
        <v>1</v>
      </c>
    </row>
    <row r="2369" spans="3:7" x14ac:dyDescent="0.15">
      <c r="C2369" s="43">
        <v>1081</v>
      </c>
      <c r="D2369" s="42">
        <v>0.85026737967914434</v>
      </c>
      <c r="E2369" s="42">
        <v>1</v>
      </c>
      <c r="F2369" s="42">
        <v>0.85026737967914434</v>
      </c>
      <c r="G2369">
        <v>1</v>
      </c>
    </row>
    <row r="2370" spans="3:7" x14ac:dyDescent="0.15">
      <c r="C2370" s="43">
        <v>1082</v>
      </c>
      <c r="D2370" s="42">
        <v>0.85115864527629237</v>
      </c>
      <c r="E2370" s="42">
        <v>1</v>
      </c>
      <c r="F2370" s="42">
        <v>0.85115864527629237</v>
      </c>
      <c r="G2370">
        <v>1</v>
      </c>
    </row>
    <row r="2371" spans="3:7" x14ac:dyDescent="0.15">
      <c r="C2371" s="43">
        <v>1083</v>
      </c>
      <c r="D2371" s="42">
        <v>0.85204991087344029</v>
      </c>
      <c r="E2371" s="42">
        <v>1</v>
      </c>
      <c r="F2371" s="42">
        <v>0.85204991087344029</v>
      </c>
      <c r="G2371">
        <v>1</v>
      </c>
    </row>
    <row r="2372" spans="3:7" x14ac:dyDescent="0.15">
      <c r="C2372" s="43">
        <v>1084</v>
      </c>
      <c r="D2372" s="42">
        <v>0.8529411764705882</v>
      </c>
      <c r="E2372" s="42">
        <v>1</v>
      </c>
      <c r="F2372" s="42">
        <v>0.8529411764705882</v>
      </c>
      <c r="G2372">
        <v>1</v>
      </c>
    </row>
    <row r="2373" spans="3:7" x14ac:dyDescent="0.15">
      <c r="C2373" s="43">
        <v>1085</v>
      </c>
      <c r="D2373" s="42">
        <v>0.85383244206773623</v>
      </c>
      <c r="E2373" s="42">
        <v>1</v>
      </c>
      <c r="F2373" s="42">
        <v>0.85383244206773623</v>
      </c>
      <c r="G2373">
        <v>1</v>
      </c>
    </row>
    <row r="2374" spans="3:7" x14ac:dyDescent="0.15">
      <c r="C2374" s="43">
        <v>1086</v>
      </c>
      <c r="D2374" s="42">
        <v>0.85472370766488415</v>
      </c>
      <c r="E2374" s="42">
        <v>1</v>
      </c>
      <c r="F2374" s="42">
        <v>0.85472370766488415</v>
      </c>
      <c r="G2374">
        <v>1</v>
      </c>
    </row>
    <row r="2375" spans="3:7" x14ac:dyDescent="0.15">
      <c r="C2375" s="43">
        <v>1087</v>
      </c>
      <c r="D2375" s="42">
        <v>0.85561497326203206</v>
      </c>
      <c r="E2375" s="42">
        <v>1</v>
      </c>
      <c r="F2375" s="42">
        <v>0.85561497326203206</v>
      </c>
      <c r="G2375">
        <v>1</v>
      </c>
    </row>
    <row r="2376" spans="3:7" x14ac:dyDescent="0.15">
      <c r="C2376" s="43">
        <v>1088</v>
      </c>
      <c r="D2376" s="42">
        <v>0.85650623885917998</v>
      </c>
      <c r="E2376" s="42">
        <v>1</v>
      </c>
      <c r="F2376" s="42">
        <v>0.85650623885917998</v>
      </c>
      <c r="G2376">
        <v>1</v>
      </c>
    </row>
    <row r="2377" spans="3:7" x14ac:dyDescent="0.15">
      <c r="C2377" s="43">
        <v>1089</v>
      </c>
      <c r="D2377" s="42">
        <v>0.85739750445632801</v>
      </c>
      <c r="E2377" s="42">
        <v>1</v>
      </c>
      <c r="F2377" s="42">
        <v>0.85739750445632801</v>
      </c>
      <c r="G2377">
        <v>1</v>
      </c>
    </row>
    <row r="2378" spans="3:7" x14ac:dyDescent="0.15">
      <c r="C2378" s="43">
        <v>1090</v>
      </c>
      <c r="D2378" s="42">
        <v>0.85828877005347592</v>
      </c>
      <c r="E2378" s="42">
        <v>1</v>
      </c>
      <c r="F2378" s="42">
        <v>0.85828877005347592</v>
      </c>
      <c r="G2378">
        <v>1</v>
      </c>
    </row>
    <row r="2379" spans="3:7" x14ac:dyDescent="0.15">
      <c r="C2379" s="43">
        <v>1091</v>
      </c>
      <c r="D2379" s="42">
        <v>0.85918003565062384</v>
      </c>
      <c r="E2379" s="42">
        <v>1</v>
      </c>
      <c r="F2379" s="42">
        <v>0.85918003565062384</v>
      </c>
      <c r="G2379">
        <v>1</v>
      </c>
    </row>
    <row r="2380" spans="3:7" x14ac:dyDescent="0.15">
      <c r="C2380" s="43">
        <v>1092</v>
      </c>
      <c r="D2380" s="42">
        <v>0.86007130124777187</v>
      </c>
      <c r="E2380" s="42">
        <v>1</v>
      </c>
      <c r="F2380" s="42">
        <v>0.86007130124777187</v>
      </c>
      <c r="G2380">
        <v>1</v>
      </c>
    </row>
    <row r="2381" spans="3:7" x14ac:dyDescent="0.15">
      <c r="C2381" s="43">
        <v>1093</v>
      </c>
      <c r="D2381" s="42">
        <v>0.86096256684491979</v>
      </c>
      <c r="E2381" s="42">
        <v>1</v>
      </c>
      <c r="F2381" s="42">
        <v>0.86096256684491979</v>
      </c>
      <c r="G2381">
        <v>1</v>
      </c>
    </row>
    <row r="2382" spans="3:7" x14ac:dyDescent="0.15">
      <c r="C2382" s="43">
        <v>1094</v>
      </c>
      <c r="D2382" s="42">
        <v>0.8618538324420677</v>
      </c>
      <c r="E2382" s="42">
        <v>1</v>
      </c>
      <c r="F2382" s="42">
        <v>0.8618538324420677</v>
      </c>
      <c r="G2382">
        <v>1</v>
      </c>
    </row>
    <row r="2383" spans="3:7" x14ac:dyDescent="0.15">
      <c r="C2383" s="43">
        <v>1095</v>
      </c>
      <c r="D2383" s="42">
        <v>0.86274509803921573</v>
      </c>
      <c r="E2383" s="42">
        <v>1</v>
      </c>
      <c r="F2383" s="42">
        <v>0.86274509803921573</v>
      </c>
      <c r="G2383">
        <v>1</v>
      </c>
    </row>
    <row r="2384" spans="3:7" x14ac:dyDescent="0.15">
      <c r="C2384" s="43">
        <v>1096</v>
      </c>
      <c r="D2384" s="42">
        <v>0.86363636363636365</v>
      </c>
      <c r="E2384" s="42">
        <v>1</v>
      </c>
      <c r="F2384" s="42">
        <v>0.86363636363636365</v>
      </c>
      <c r="G2384">
        <v>1</v>
      </c>
    </row>
    <row r="2385" spans="3:7" x14ac:dyDescent="0.15">
      <c r="C2385" s="43">
        <v>1097</v>
      </c>
      <c r="D2385" s="42">
        <v>0.86452762923351156</v>
      </c>
      <c r="E2385" s="42">
        <v>1</v>
      </c>
      <c r="F2385" s="42">
        <v>0.86452762923351156</v>
      </c>
      <c r="G2385">
        <v>1</v>
      </c>
    </row>
    <row r="2386" spans="3:7" x14ac:dyDescent="0.15">
      <c r="C2386" s="43">
        <v>1098</v>
      </c>
      <c r="D2386" s="42">
        <v>0.86541889483065959</v>
      </c>
      <c r="E2386" s="42">
        <v>1</v>
      </c>
      <c r="F2386" s="42">
        <v>0.86541889483065959</v>
      </c>
      <c r="G2386">
        <v>1</v>
      </c>
    </row>
    <row r="2387" spans="3:7" x14ac:dyDescent="0.15">
      <c r="C2387" s="43">
        <v>1099</v>
      </c>
      <c r="D2387" s="42">
        <v>0.86631016042780751</v>
      </c>
      <c r="E2387" s="42">
        <v>1</v>
      </c>
      <c r="F2387" s="42">
        <v>0.86631016042780751</v>
      </c>
      <c r="G2387">
        <v>1</v>
      </c>
    </row>
    <row r="2388" spans="3:7" x14ac:dyDescent="0.15">
      <c r="C2388" s="43">
        <v>1100</v>
      </c>
      <c r="D2388" s="42">
        <v>0.86720142602495542</v>
      </c>
      <c r="E2388" s="42">
        <v>1</v>
      </c>
      <c r="F2388" s="42">
        <v>0.86720142602495542</v>
      </c>
      <c r="G2388">
        <v>1</v>
      </c>
    </row>
    <row r="2389" spans="3:7" x14ac:dyDescent="0.15">
      <c r="C2389" s="43">
        <v>1101</v>
      </c>
      <c r="D2389" s="42">
        <v>0.86809269162210334</v>
      </c>
      <c r="E2389" s="42">
        <v>1</v>
      </c>
      <c r="F2389" s="42">
        <v>0.86809269162210334</v>
      </c>
      <c r="G2389">
        <v>1</v>
      </c>
    </row>
    <row r="2390" spans="3:7" x14ac:dyDescent="0.15">
      <c r="C2390" s="43">
        <v>1102</v>
      </c>
      <c r="D2390" s="42">
        <v>0.86898395721925137</v>
      </c>
      <c r="E2390" s="42">
        <v>1</v>
      </c>
      <c r="F2390" s="42">
        <v>0.86898395721925137</v>
      </c>
      <c r="G2390">
        <v>1</v>
      </c>
    </row>
    <row r="2391" spans="3:7" x14ac:dyDescent="0.15">
      <c r="C2391" s="43">
        <v>1103</v>
      </c>
      <c r="D2391" s="42">
        <v>0.86987522281639929</v>
      </c>
      <c r="E2391" s="42">
        <v>1</v>
      </c>
      <c r="F2391" s="42">
        <v>0.86987522281639929</v>
      </c>
      <c r="G2391">
        <v>1</v>
      </c>
    </row>
    <row r="2392" spans="3:7" x14ac:dyDescent="0.15">
      <c r="C2392" s="43">
        <v>1104</v>
      </c>
      <c r="D2392" s="42">
        <v>0.8707664884135472</v>
      </c>
      <c r="E2392" s="42">
        <v>1</v>
      </c>
      <c r="F2392" s="42">
        <v>0.8707664884135472</v>
      </c>
      <c r="G2392">
        <v>1</v>
      </c>
    </row>
    <row r="2393" spans="3:7" x14ac:dyDescent="0.15">
      <c r="C2393" s="43">
        <v>1105</v>
      </c>
      <c r="D2393" s="42">
        <v>0.87165775401069523</v>
      </c>
      <c r="E2393" s="42">
        <v>1</v>
      </c>
      <c r="F2393" s="42">
        <v>0.87165775401069523</v>
      </c>
      <c r="G2393">
        <v>1</v>
      </c>
    </row>
    <row r="2394" spans="3:7" x14ac:dyDescent="0.15">
      <c r="C2394" s="43">
        <v>1106</v>
      </c>
      <c r="D2394" s="42">
        <v>0.87254901960784315</v>
      </c>
      <c r="E2394" s="42">
        <v>1</v>
      </c>
      <c r="F2394" s="42">
        <v>0.87254901960784315</v>
      </c>
      <c r="G2394">
        <v>1</v>
      </c>
    </row>
    <row r="2395" spans="3:7" x14ac:dyDescent="0.15">
      <c r="C2395" s="43">
        <v>1107</v>
      </c>
      <c r="D2395" s="42">
        <v>0.87344028520499106</v>
      </c>
      <c r="E2395" s="42">
        <v>1</v>
      </c>
      <c r="F2395" s="42">
        <v>0.87344028520499106</v>
      </c>
      <c r="G2395">
        <v>1</v>
      </c>
    </row>
    <row r="2396" spans="3:7" x14ac:dyDescent="0.15">
      <c r="C2396" s="43">
        <v>1108</v>
      </c>
      <c r="D2396" s="42">
        <v>0.87433155080213909</v>
      </c>
      <c r="E2396" s="42">
        <v>1</v>
      </c>
      <c r="F2396" s="42">
        <v>0.87433155080213909</v>
      </c>
      <c r="G2396">
        <v>1</v>
      </c>
    </row>
    <row r="2397" spans="3:7" x14ac:dyDescent="0.15">
      <c r="C2397" s="43">
        <v>1109</v>
      </c>
      <c r="D2397" s="42">
        <v>0.87522281639928701</v>
      </c>
      <c r="E2397" s="42">
        <v>1</v>
      </c>
      <c r="F2397" s="42">
        <v>0.87522281639928701</v>
      </c>
      <c r="G2397">
        <v>1</v>
      </c>
    </row>
    <row r="2398" spans="3:7" x14ac:dyDescent="0.15">
      <c r="C2398" s="43">
        <v>1110</v>
      </c>
      <c r="D2398" s="42">
        <v>0.87611408199643492</v>
      </c>
      <c r="E2398" s="42">
        <v>1</v>
      </c>
      <c r="F2398" s="42">
        <v>0.87611408199643492</v>
      </c>
      <c r="G2398">
        <v>1</v>
      </c>
    </row>
    <row r="2399" spans="3:7" x14ac:dyDescent="0.15">
      <c r="C2399" s="43">
        <v>1111</v>
      </c>
      <c r="D2399" s="42">
        <v>0.87700534759358284</v>
      </c>
      <c r="E2399" s="42">
        <v>1</v>
      </c>
      <c r="F2399" s="42">
        <v>0.87700534759358284</v>
      </c>
      <c r="G2399">
        <v>1</v>
      </c>
    </row>
    <row r="2400" spans="3:7" x14ac:dyDescent="0.15">
      <c r="C2400" s="43">
        <v>1112</v>
      </c>
      <c r="D2400" s="42">
        <v>0.87789661319073087</v>
      </c>
      <c r="E2400" s="42">
        <v>1</v>
      </c>
      <c r="F2400" s="42">
        <v>0.87789661319073087</v>
      </c>
      <c r="G2400">
        <v>1</v>
      </c>
    </row>
    <row r="2401" spans="3:7" x14ac:dyDescent="0.15">
      <c r="C2401" s="43">
        <v>1113</v>
      </c>
      <c r="D2401" s="42">
        <v>0.87878787878787878</v>
      </c>
      <c r="E2401" s="42">
        <v>1</v>
      </c>
      <c r="F2401" s="42">
        <v>0.87878787878787878</v>
      </c>
      <c r="G2401">
        <v>1</v>
      </c>
    </row>
    <row r="2402" spans="3:7" x14ac:dyDescent="0.15">
      <c r="C2402" s="43">
        <v>1114</v>
      </c>
      <c r="D2402" s="42">
        <v>0.8796791443850267</v>
      </c>
      <c r="E2402" s="42">
        <v>1</v>
      </c>
      <c r="F2402" s="42">
        <v>0.8796791443850267</v>
      </c>
      <c r="G2402">
        <v>1</v>
      </c>
    </row>
    <row r="2403" spans="3:7" x14ac:dyDescent="0.15">
      <c r="C2403" s="43">
        <v>1115</v>
      </c>
      <c r="D2403" s="42">
        <v>0.88057040998217473</v>
      </c>
      <c r="E2403" s="42">
        <v>1</v>
      </c>
      <c r="F2403" s="42">
        <v>0.88057040998217473</v>
      </c>
      <c r="G2403">
        <v>1</v>
      </c>
    </row>
    <row r="2404" spans="3:7" x14ac:dyDescent="0.15">
      <c r="C2404" s="43">
        <v>1116</v>
      </c>
      <c r="D2404" s="42">
        <v>0.88146167557932265</v>
      </c>
      <c r="E2404" s="42">
        <v>1</v>
      </c>
      <c r="F2404" s="42">
        <v>0.88146167557932265</v>
      </c>
      <c r="G2404">
        <v>1</v>
      </c>
    </row>
    <row r="2405" spans="3:7" x14ac:dyDescent="0.15">
      <c r="C2405" s="43">
        <v>1117</v>
      </c>
      <c r="D2405" s="42">
        <v>0.88235294117647056</v>
      </c>
      <c r="E2405" s="42">
        <v>1</v>
      </c>
      <c r="F2405" s="42">
        <v>0.88235294117647056</v>
      </c>
      <c r="G2405">
        <v>1</v>
      </c>
    </row>
    <row r="2406" spans="3:7" x14ac:dyDescent="0.15">
      <c r="C2406" s="43">
        <v>1118</v>
      </c>
      <c r="D2406" s="42">
        <v>0.88324420677361859</v>
      </c>
      <c r="E2406" s="42">
        <v>1</v>
      </c>
      <c r="F2406" s="42">
        <v>0.88324420677361859</v>
      </c>
      <c r="G2406">
        <v>1</v>
      </c>
    </row>
    <row r="2407" spans="3:7" x14ac:dyDescent="0.15">
      <c r="C2407" s="43">
        <v>1119</v>
      </c>
      <c r="D2407" s="42">
        <v>0.88413547237076651</v>
      </c>
      <c r="E2407" s="42">
        <v>1</v>
      </c>
      <c r="F2407" s="42">
        <v>0.88413547237076651</v>
      </c>
      <c r="G2407">
        <v>1</v>
      </c>
    </row>
    <row r="2408" spans="3:7" x14ac:dyDescent="0.15">
      <c r="C2408" s="43">
        <v>1120</v>
      </c>
      <c r="D2408" s="42">
        <v>0.88502673796791442</v>
      </c>
      <c r="E2408" s="42">
        <v>1</v>
      </c>
      <c r="F2408" s="42">
        <v>0.88502673796791442</v>
      </c>
      <c r="G2408">
        <v>1</v>
      </c>
    </row>
    <row r="2409" spans="3:7" x14ac:dyDescent="0.15">
      <c r="C2409" s="43">
        <v>1121</v>
      </c>
      <c r="D2409" s="42">
        <v>0.88591800356506234</v>
      </c>
      <c r="E2409" s="42">
        <v>1</v>
      </c>
      <c r="F2409" s="42">
        <v>0.88591800356506234</v>
      </c>
      <c r="G2409">
        <v>1</v>
      </c>
    </row>
    <row r="2410" spans="3:7" x14ac:dyDescent="0.15">
      <c r="C2410" s="43">
        <v>1122</v>
      </c>
      <c r="D2410" s="42">
        <v>0.88680926916221037</v>
      </c>
      <c r="E2410" s="42">
        <v>1</v>
      </c>
      <c r="F2410" s="42">
        <v>0.88680926916221037</v>
      </c>
      <c r="G2410">
        <v>1</v>
      </c>
    </row>
    <row r="2411" spans="3:7" x14ac:dyDescent="0.15">
      <c r="C2411" s="43">
        <v>1123</v>
      </c>
      <c r="D2411" s="42">
        <v>0.88770053475935828</v>
      </c>
      <c r="E2411" s="42">
        <v>1</v>
      </c>
      <c r="F2411" s="42">
        <v>0.88770053475935828</v>
      </c>
      <c r="G2411">
        <v>1</v>
      </c>
    </row>
    <row r="2412" spans="3:7" x14ac:dyDescent="0.15">
      <c r="C2412" s="43">
        <v>1124</v>
      </c>
      <c r="D2412" s="42">
        <v>0.8885918003565062</v>
      </c>
      <c r="E2412" s="42">
        <v>1</v>
      </c>
      <c r="F2412" s="42">
        <v>0.8885918003565062</v>
      </c>
      <c r="G2412">
        <v>1</v>
      </c>
    </row>
    <row r="2413" spans="3:7" x14ac:dyDescent="0.15">
      <c r="C2413" s="43">
        <v>1125</v>
      </c>
      <c r="D2413" s="42">
        <v>0.88948306595365423</v>
      </c>
      <c r="E2413" s="42">
        <v>1</v>
      </c>
      <c r="F2413" s="42">
        <v>0.88948306595365423</v>
      </c>
      <c r="G2413">
        <v>1</v>
      </c>
    </row>
    <row r="2414" spans="3:7" x14ac:dyDescent="0.15">
      <c r="C2414" s="43">
        <v>1126</v>
      </c>
      <c r="D2414" s="42">
        <v>0.89037433155080214</v>
      </c>
      <c r="E2414" s="42">
        <v>1</v>
      </c>
      <c r="F2414" s="42">
        <v>0.89037433155080214</v>
      </c>
      <c r="G2414">
        <v>1</v>
      </c>
    </row>
    <row r="2415" spans="3:7" x14ac:dyDescent="0.15">
      <c r="C2415" s="43">
        <v>1127</v>
      </c>
      <c r="D2415" s="42">
        <v>0.89126559714795006</v>
      </c>
      <c r="E2415" s="42">
        <v>1</v>
      </c>
      <c r="F2415" s="42">
        <v>0.89126559714795006</v>
      </c>
      <c r="G2415">
        <v>1</v>
      </c>
    </row>
    <row r="2416" spans="3:7" x14ac:dyDescent="0.15">
      <c r="C2416" s="43">
        <v>1128</v>
      </c>
      <c r="D2416" s="42">
        <v>0.89215686274509809</v>
      </c>
      <c r="E2416" s="42">
        <v>1</v>
      </c>
      <c r="F2416" s="42">
        <v>0.89215686274509809</v>
      </c>
      <c r="G2416">
        <v>1</v>
      </c>
    </row>
    <row r="2417" spans="3:7" x14ac:dyDescent="0.15">
      <c r="C2417" s="43">
        <v>1129</v>
      </c>
      <c r="D2417" s="42">
        <v>0.89304812834224601</v>
      </c>
      <c r="E2417" s="42">
        <v>1</v>
      </c>
      <c r="F2417" s="42">
        <v>0.89304812834224601</v>
      </c>
      <c r="G2417">
        <v>1</v>
      </c>
    </row>
    <row r="2418" spans="3:7" x14ac:dyDescent="0.15">
      <c r="C2418" s="43">
        <v>1130</v>
      </c>
      <c r="D2418" s="42">
        <v>0.89393939393939392</v>
      </c>
      <c r="E2418" s="42">
        <v>1</v>
      </c>
      <c r="F2418" s="42">
        <v>0.89393939393939392</v>
      </c>
      <c r="G2418">
        <v>1</v>
      </c>
    </row>
    <row r="2419" spans="3:7" x14ac:dyDescent="0.15">
      <c r="C2419" s="43">
        <v>1131</v>
      </c>
      <c r="D2419" s="42">
        <v>0.89483065953654184</v>
      </c>
      <c r="E2419" s="42">
        <v>1</v>
      </c>
      <c r="F2419" s="42">
        <v>0.89483065953654184</v>
      </c>
      <c r="G2419">
        <v>1</v>
      </c>
    </row>
    <row r="2420" spans="3:7" x14ac:dyDescent="0.15">
      <c r="C2420" s="43">
        <v>1132</v>
      </c>
      <c r="D2420" s="42">
        <v>0.89572192513368987</v>
      </c>
      <c r="E2420" s="42">
        <v>1</v>
      </c>
      <c r="F2420" s="42">
        <v>0.89572192513368987</v>
      </c>
      <c r="G2420">
        <v>1</v>
      </c>
    </row>
    <row r="2421" spans="3:7" x14ac:dyDescent="0.15">
      <c r="C2421" s="43">
        <v>1133</v>
      </c>
      <c r="D2421" s="42">
        <v>0.89661319073083778</v>
      </c>
      <c r="E2421" s="42">
        <v>1</v>
      </c>
      <c r="F2421" s="42">
        <v>0.89661319073083778</v>
      </c>
      <c r="G2421">
        <v>1</v>
      </c>
    </row>
    <row r="2422" spans="3:7" x14ac:dyDescent="0.15">
      <c r="C2422" s="43">
        <v>1134</v>
      </c>
      <c r="D2422" s="42">
        <v>0.8975044563279857</v>
      </c>
      <c r="E2422" s="42">
        <v>1</v>
      </c>
      <c r="F2422" s="42">
        <v>0.8975044563279857</v>
      </c>
      <c r="G2422">
        <v>1</v>
      </c>
    </row>
    <row r="2423" spans="3:7" x14ac:dyDescent="0.15">
      <c r="C2423" s="43">
        <v>1135</v>
      </c>
      <c r="D2423" s="42">
        <v>0.89839572192513373</v>
      </c>
      <c r="E2423" s="42">
        <v>1</v>
      </c>
      <c r="F2423" s="42">
        <v>0.89839572192513373</v>
      </c>
      <c r="G2423">
        <v>1</v>
      </c>
    </row>
    <row r="2424" spans="3:7" x14ac:dyDescent="0.15">
      <c r="C2424" s="43">
        <v>1136</v>
      </c>
      <c r="D2424" s="42">
        <v>0.89928698752228164</v>
      </c>
      <c r="E2424" s="42">
        <v>1</v>
      </c>
      <c r="F2424" s="42">
        <v>0.89928698752228164</v>
      </c>
      <c r="G2424">
        <v>1</v>
      </c>
    </row>
    <row r="2425" spans="3:7" x14ac:dyDescent="0.15">
      <c r="C2425" s="43">
        <v>1137</v>
      </c>
      <c r="D2425" s="42">
        <v>0.90017825311942956</v>
      </c>
      <c r="E2425" s="42">
        <v>1</v>
      </c>
      <c r="F2425" s="42">
        <v>0.90017825311942956</v>
      </c>
      <c r="G2425">
        <v>1</v>
      </c>
    </row>
    <row r="2426" spans="3:7" x14ac:dyDescent="0.15">
      <c r="C2426" s="43">
        <v>1138</v>
      </c>
      <c r="D2426" s="42">
        <v>0.90106951871657759</v>
      </c>
      <c r="E2426" s="42">
        <v>1</v>
      </c>
      <c r="F2426" s="42">
        <v>0.90106951871657759</v>
      </c>
      <c r="G2426">
        <v>1</v>
      </c>
    </row>
    <row r="2427" spans="3:7" x14ac:dyDescent="0.15">
      <c r="C2427" s="43">
        <v>1139</v>
      </c>
      <c r="D2427" s="42">
        <v>0.90196078431372551</v>
      </c>
      <c r="E2427" s="42">
        <v>1</v>
      </c>
      <c r="F2427" s="42">
        <v>0.90196078431372551</v>
      </c>
      <c r="G2427">
        <v>1</v>
      </c>
    </row>
    <row r="2428" spans="3:7" x14ac:dyDescent="0.15">
      <c r="C2428" s="43">
        <v>1140</v>
      </c>
      <c r="D2428" s="42">
        <v>0.90285204991087342</v>
      </c>
      <c r="E2428" s="42">
        <v>1</v>
      </c>
      <c r="F2428" s="42">
        <v>0.90285204991087342</v>
      </c>
      <c r="G2428">
        <v>1</v>
      </c>
    </row>
    <row r="2429" spans="3:7" x14ac:dyDescent="0.15">
      <c r="C2429" s="43">
        <v>1141</v>
      </c>
      <c r="D2429" s="42">
        <v>0.90374331550802134</v>
      </c>
      <c r="E2429" s="42">
        <v>1</v>
      </c>
      <c r="F2429" s="42">
        <v>0.90374331550802134</v>
      </c>
      <c r="G2429">
        <v>1</v>
      </c>
    </row>
    <row r="2430" spans="3:7" x14ac:dyDescent="0.15">
      <c r="C2430" s="43">
        <v>1142</v>
      </c>
      <c r="D2430" s="42">
        <v>0.90463458110516937</v>
      </c>
      <c r="E2430" s="42">
        <v>1</v>
      </c>
      <c r="F2430" s="42">
        <v>0.90463458110516937</v>
      </c>
      <c r="G2430">
        <v>1</v>
      </c>
    </row>
    <row r="2431" spans="3:7" x14ac:dyDescent="0.15">
      <c r="C2431" s="43">
        <v>1143</v>
      </c>
      <c r="D2431" s="42">
        <v>0.90552584670231728</v>
      </c>
      <c r="E2431" s="42">
        <v>1</v>
      </c>
      <c r="F2431" s="42">
        <v>0.90552584670231728</v>
      </c>
      <c r="G2431">
        <v>1</v>
      </c>
    </row>
    <row r="2432" spans="3:7" x14ac:dyDescent="0.15">
      <c r="C2432" s="43">
        <v>1144</v>
      </c>
      <c r="D2432" s="42">
        <v>0.9064171122994652</v>
      </c>
      <c r="E2432" s="42">
        <v>1</v>
      </c>
      <c r="F2432" s="42">
        <v>0.9064171122994652</v>
      </c>
      <c r="G2432">
        <v>1</v>
      </c>
    </row>
    <row r="2433" spans="3:7" x14ac:dyDescent="0.15">
      <c r="C2433" s="43">
        <v>1145</v>
      </c>
      <c r="D2433" s="42">
        <v>0.90730837789661323</v>
      </c>
      <c r="E2433" s="42">
        <v>1</v>
      </c>
      <c r="F2433" s="42">
        <v>0.90730837789661323</v>
      </c>
      <c r="G2433">
        <v>1</v>
      </c>
    </row>
    <row r="2434" spans="3:7" x14ac:dyDescent="0.15">
      <c r="C2434" s="43">
        <v>1146</v>
      </c>
      <c r="D2434" s="42">
        <v>0.90819964349376114</v>
      </c>
      <c r="E2434" s="42">
        <v>1</v>
      </c>
      <c r="F2434" s="42">
        <v>0.90819964349376114</v>
      </c>
      <c r="G2434">
        <v>1</v>
      </c>
    </row>
    <row r="2435" spans="3:7" x14ac:dyDescent="0.15">
      <c r="C2435" s="43">
        <v>1147</v>
      </c>
      <c r="D2435" s="42">
        <v>0.90909090909090906</v>
      </c>
      <c r="E2435" s="42">
        <v>1</v>
      </c>
      <c r="F2435" s="42">
        <v>0.90909090909090906</v>
      </c>
      <c r="G2435">
        <v>1</v>
      </c>
    </row>
    <row r="2436" spans="3:7" x14ac:dyDescent="0.15">
      <c r="C2436" s="43">
        <v>1148</v>
      </c>
      <c r="D2436" s="42">
        <v>0.90998217468805709</v>
      </c>
      <c r="E2436" s="42">
        <v>1</v>
      </c>
      <c r="F2436" s="42">
        <v>0.90998217468805709</v>
      </c>
      <c r="G2436">
        <v>1</v>
      </c>
    </row>
    <row r="2437" spans="3:7" x14ac:dyDescent="0.15">
      <c r="C2437" s="43">
        <v>1149</v>
      </c>
      <c r="D2437" s="42">
        <v>0.910873440285205</v>
      </c>
      <c r="E2437" s="42">
        <v>1</v>
      </c>
      <c r="F2437" s="42">
        <v>0.910873440285205</v>
      </c>
      <c r="G2437">
        <v>1</v>
      </c>
    </row>
    <row r="2438" spans="3:7" x14ac:dyDescent="0.15">
      <c r="C2438" s="43">
        <v>1150</v>
      </c>
      <c r="D2438" s="42">
        <v>0.91176470588235292</v>
      </c>
      <c r="E2438" s="42">
        <v>1</v>
      </c>
      <c r="F2438" s="42">
        <v>0.91176470588235292</v>
      </c>
      <c r="G2438">
        <v>1</v>
      </c>
    </row>
    <row r="2439" spans="3:7" x14ac:dyDescent="0.15">
      <c r="C2439" s="43">
        <v>1151</v>
      </c>
      <c r="D2439" s="42">
        <v>0.91265597147950084</v>
      </c>
      <c r="E2439" s="42">
        <v>1</v>
      </c>
      <c r="F2439" s="42">
        <v>0.91265597147950084</v>
      </c>
      <c r="G2439">
        <v>1</v>
      </c>
    </row>
    <row r="2440" spans="3:7" x14ac:dyDescent="0.15">
      <c r="C2440" s="43">
        <v>1152</v>
      </c>
      <c r="D2440" s="42">
        <v>0.91354723707664887</v>
      </c>
      <c r="E2440" s="42">
        <v>1</v>
      </c>
      <c r="F2440" s="42">
        <v>0.91354723707664887</v>
      </c>
      <c r="G2440">
        <v>1</v>
      </c>
    </row>
    <row r="2441" spans="3:7" x14ac:dyDescent="0.15">
      <c r="C2441" s="43">
        <v>1153</v>
      </c>
      <c r="D2441" s="42">
        <v>0.91443850267379678</v>
      </c>
      <c r="E2441" s="42">
        <v>1</v>
      </c>
      <c r="F2441" s="42">
        <v>0.91443850267379678</v>
      </c>
      <c r="G2441">
        <v>1</v>
      </c>
    </row>
    <row r="2442" spans="3:7" x14ac:dyDescent="0.15">
      <c r="C2442" s="43">
        <v>1154</v>
      </c>
      <c r="D2442" s="42">
        <v>0.9153297682709447</v>
      </c>
      <c r="E2442" s="42">
        <v>1</v>
      </c>
      <c r="F2442" s="42">
        <v>0.9153297682709447</v>
      </c>
      <c r="G2442">
        <v>1</v>
      </c>
    </row>
    <row r="2443" spans="3:7" x14ac:dyDescent="0.15">
      <c r="C2443" s="43">
        <v>1155</v>
      </c>
      <c r="D2443" s="42">
        <v>0.91622103386809273</v>
      </c>
      <c r="E2443" s="42">
        <v>1</v>
      </c>
      <c r="F2443" s="42">
        <v>0.91622103386809273</v>
      </c>
      <c r="G2443">
        <v>1</v>
      </c>
    </row>
    <row r="2444" spans="3:7" x14ac:dyDescent="0.15">
      <c r="C2444" s="43">
        <v>1156</v>
      </c>
      <c r="D2444" s="42">
        <v>0.91711229946524064</v>
      </c>
      <c r="E2444" s="42">
        <v>1</v>
      </c>
      <c r="F2444" s="42">
        <v>0.91711229946524064</v>
      </c>
      <c r="G2444">
        <v>1</v>
      </c>
    </row>
    <row r="2445" spans="3:7" x14ac:dyDescent="0.15">
      <c r="C2445" s="43">
        <v>1157</v>
      </c>
      <c r="D2445" s="42">
        <v>0.91800356506238856</v>
      </c>
      <c r="E2445" s="42">
        <v>1</v>
      </c>
      <c r="F2445" s="42">
        <v>0.91800356506238856</v>
      </c>
      <c r="G2445">
        <v>1</v>
      </c>
    </row>
    <row r="2446" spans="3:7" x14ac:dyDescent="0.15">
      <c r="C2446" s="43">
        <v>1158</v>
      </c>
      <c r="D2446" s="42">
        <v>0.91889483065953659</v>
      </c>
      <c r="E2446" s="42">
        <v>1</v>
      </c>
      <c r="F2446" s="42">
        <v>0.91889483065953659</v>
      </c>
      <c r="G2446">
        <v>1</v>
      </c>
    </row>
    <row r="2447" spans="3:7" x14ac:dyDescent="0.15">
      <c r="C2447" s="43">
        <v>1159</v>
      </c>
      <c r="D2447" s="42">
        <v>0.9197860962566845</v>
      </c>
      <c r="E2447" s="42">
        <v>1</v>
      </c>
      <c r="F2447" s="42">
        <v>0.9197860962566845</v>
      </c>
      <c r="G2447">
        <v>1</v>
      </c>
    </row>
    <row r="2448" spans="3:7" x14ac:dyDescent="0.15">
      <c r="C2448" s="43">
        <v>1160</v>
      </c>
      <c r="D2448" s="42">
        <v>0.92067736185383242</v>
      </c>
      <c r="E2448" s="42">
        <v>1</v>
      </c>
      <c r="F2448" s="42">
        <v>0.92067736185383242</v>
      </c>
      <c r="G2448">
        <v>1</v>
      </c>
    </row>
    <row r="2449" spans="3:7" x14ac:dyDescent="0.15">
      <c r="C2449" s="43">
        <v>1161</v>
      </c>
      <c r="D2449" s="42">
        <v>0.92156862745098034</v>
      </c>
      <c r="E2449" s="42">
        <v>1</v>
      </c>
      <c r="F2449" s="42">
        <v>0.92156862745098034</v>
      </c>
      <c r="G2449">
        <v>1</v>
      </c>
    </row>
    <row r="2450" spans="3:7" x14ac:dyDescent="0.15">
      <c r="C2450" s="43">
        <v>1162</v>
      </c>
      <c r="D2450" s="42">
        <v>0.92245989304812837</v>
      </c>
      <c r="E2450" s="42">
        <v>1</v>
      </c>
      <c r="F2450" s="42">
        <v>0.92245989304812837</v>
      </c>
      <c r="G2450">
        <v>1</v>
      </c>
    </row>
    <row r="2451" spans="3:7" x14ac:dyDescent="0.15">
      <c r="C2451" s="43">
        <v>1163</v>
      </c>
      <c r="D2451" s="42">
        <v>0.92335115864527628</v>
      </c>
      <c r="E2451" s="42">
        <v>1</v>
      </c>
      <c r="F2451" s="42">
        <v>0.92335115864527628</v>
      </c>
      <c r="G2451">
        <v>1</v>
      </c>
    </row>
    <row r="2452" spans="3:7" x14ac:dyDescent="0.15">
      <c r="C2452" s="43">
        <v>1164</v>
      </c>
      <c r="D2452" s="42">
        <v>0.9242424242424242</v>
      </c>
      <c r="E2452" s="42">
        <v>1</v>
      </c>
      <c r="F2452" s="42">
        <v>0.9242424242424242</v>
      </c>
      <c r="G2452">
        <v>1</v>
      </c>
    </row>
    <row r="2453" spans="3:7" x14ac:dyDescent="0.15">
      <c r="C2453" s="43">
        <v>1165</v>
      </c>
      <c r="D2453" s="42">
        <v>0.92513368983957223</v>
      </c>
      <c r="E2453" s="42">
        <v>1</v>
      </c>
      <c r="F2453" s="42">
        <v>0.92513368983957223</v>
      </c>
      <c r="G2453">
        <v>1</v>
      </c>
    </row>
    <row r="2454" spans="3:7" x14ac:dyDescent="0.15">
      <c r="C2454" s="43">
        <v>1166</v>
      </c>
      <c r="D2454" s="42">
        <v>0.92602495543672014</v>
      </c>
      <c r="E2454" s="42">
        <v>1</v>
      </c>
      <c r="F2454" s="42">
        <v>0.92602495543672014</v>
      </c>
      <c r="G2454">
        <v>1</v>
      </c>
    </row>
    <row r="2455" spans="3:7" x14ac:dyDescent="0.15">
      <c r="C2455" s="43">
        <v>1167</v>
      </c>
      <c r="D2455" s="42">
        <v>0.92691622103386806</v>
      </c>
      <c r="E2455" s="42">
        <v>1</v>
      </c>
      <c r="F2455" s="42">
        <v>0.92691622103386806</v>
      </c>
      <c r="G2455">
        <v>1</v>
      </c>
    </row>
    <row r="2456" spans="3:7" x14ac:dyDescent="0.15">
      <c r="C2456" s="43">
        <v>1168</v>
      </c>
      <c r="D2456" s="42">
        <v>0.92780748663101609</v>
      </c>
      <c r="E2456" s="42">
        <v>1</v>
      </c>
      <c r="F2456" s="42">
        <v>0.92780748663101609</v>
      </c>
      <c r="G2456">
        <v>1</v>
      </c>
    </row>
    <row r="2457" spans="3:7" x14ac:dyDescent="0.15">
      <c r="C2457" s="43">
        <v>1169</v>
      </c>
      <c r="D2457" s="42">
        <v>0.928698752228164</v>
      </c>
      <c r="E2457" s="42">
        <v>1</v>
      </c>
      <c r="F2457" s="42">
        <v>0.928698752228164</v>
      </c>
      <c r="G2457">
        <v>1</v>
      </c>
    </row>
    <row r="2458" spans="3:7" x14ac:dyDescent="0.15">
      <c r="C2458" s="43">
        <v>1170</v>
      </c>
      <c r="D2458" s="42">
        <v>0.92959001782531192</v>
      </c>
      <c r="E2458" s="42">
        <v>1</v>
      </c>
      <c r="F2458" s="42">
        <v>0.92959001782531192</v>
      </c>
      <c r="G2458">
        <v>1</v>
      </c>
    </row>
    <row r="2459" spans="3:7" x14ac:dyDescent="0.15">
      <c r="C2459" s="43">
        <v>1171</v>
      </c>
      <c r="D2459" s="42">
        <v>0.93048128342245995</v>
      </c>
      <c r="E2459" s="42">
        <v>1</v>
      </c>
      <c r="F2459" s="42">
        <v>0.93048128342245995</v>
      </c>
      <c r="G2459">
        <v>1</v>
      </c>
    </row>
    <row r="2460" spans="3:7" x14ac:dyDescent="0.15">
      <c r="C2460" s="43">
        <v>1172</v>
      </c>
      <c r="D2460" s="42">
        <v>0.93137254901960786</v>
      </c>
      <c r="E2460" s="42">
        <v>1</v>
      </c>
      <c r="F2460" s="42">
        <v>0.93137254901960786</v>
      </c>
      <c r="G2460">
        <v>1</v>
      </c>
    </row>
    <row r="2461" spans="3:7" x14ac:dyDescent="0.15">
      <c r="C2461" s="43">
        <v>1173</v>
      </c>
      <c r="D2461" s="42">
        <v>0.93226381461675578</v>
      </c>
      <c r="E2461" s="42">
        <v>1</v>
      </c>
      <c r="F2461" s="42">
        <v>0.93226381461675578</v>
      </c>
      <c r="G2461">
        <v>1</v>
      </c>
    </row>
    <row r="2462" spans="3:7" x14ac:dyDescent="0.15">
      <c r="C2462" s="43">
        <v>1174</v>
      </c>
      <c r="D2462" s="42">
        <v>0.9331550802139037</v>
      </c>
      <c r="E2462" s="42">
        <v>1</v>
      </c>
      <c r="F2462" s="42">
        <v>0.9331550802139037</v>
      </c>
      <c r="G2462">
        <v>1</v>
      </c>
    </row>
    <row r="2463" spans="3:7" x14ac:dyDescent="0.15">
      <c r="C2463" s="43">
        <v>1175</v>
      </c>
      <c r="D2463" s="42">
        <v>0.93404634581105173</v>
      </c>
      <c r="E2463" s="42">
        <v>1</v>
      </c>
      <c r="F2463" s="42">
        <v>0.93404634581105173</v>
      </c>
      <c r="G2463">
        <v>1</v>
      </c>
    </row>
    <row r="2464" spans="3:7" x14ac:dyDescent="0.15">
      <c r="C2464" s="43">
        <v>1176</v>
      </c>
      <c r="D2464" s="42">
        <v>0.93493761140819964</v>
      </c>
      <c r="E2464" s="42">
        <v>1</v>
      </c>
      <c r="F2464" s="42">
        <v>0.93493761140819964</v>
      </c>
      <c r="G2464">
        <v>1</v>
      </c>
    </row>
    <row r="2465" spans="3:7" x14ac:dyDescent="0.15">
      <c r="C2465" s="43">
        <v>1177</v>
      </c>
      <c r="D2465" s="42">
        <v>0.93582887700534756</v>
      </c>
      <c r="E2465" s="42">
        <v>1</v>
      </c>
      <c r="F2465" s="42">
        <v>0.93582887700534756</v>
      </c>
      <c r="G2465">
        <v>1</v>
      </c>
    </row>
    <row r="2466" spans="3:7" x14ac:dyDescent="0.15">
      <c r="C2466" s="43">
        <v>1178</v>
      </c>
      <c r="D2466" s="42">
        <v>0.93672014260249559</v>
      </c>
      <c r="E2466" s="42">
        <v>1</v>
      </c>
      <c r="F2466" s="42">
        <v>0.93672014260249559</v>
      </c>
      <c r="G2466">
        <v>1</v>
      </c>
    </row>
    <row r="2467" spans="3:7" x14ac:dyDescent="0.15">
      <c r="C2467" s="43">
        <v>1179</v>
      </c>
      <c r="D2467" s="42">
        <v>0.9376114081996435</v>
      </c>
      <c r="E2467" s="42">
        <v>1</v>
      </c>
      <c r="F2467" s="42">
        <v>0.9376114081996435</v>
      </c>
      <c r="G2467">
        <v>1</v>
      </c>
    </row>
    <row r="2468" spans="3:7" x14ac:dyDescent="0.15">
      <c r="C2468" s="43">
        <v>1180</v>
      </c>
      <c r="D2468" s="42">
        <v>0.93850267379679142</v>
      </c>
      <c r="E2468" s="42">
        <v>1</v>
      </c>
      <c r="F2468" s="42">
        <v>0.93850267379679142</v>
      </c>
      <c r="G2468">
        <v>1</v>
      </c>
    </row>
    <row r="2469" spans="3:7" x14ac:dyDescent="0.15">
      <c r="C2469" s="43">
        <v>1181</v>
      </c>
      <c r="D2469" s="42">
        <v>0.93939393939393945</v>
      </c>
      <c r="E2469" s="42">
        <v>1</v>
      </c>
      <c r="F2469" s="42">
        <v>0.93939393939393945</v>
      </c>
      <c r="G2469">
        <v>1</v>
      </c>
    </row>
    <row r="2470" spans="3:7" x14ac:dyDescent="0.15">
      <c r="C2470" s="43">
        <v>1182</v>
      </c>
      <c r="D2470" s="42">
        <v>0.94028520499108736</v>
      </c>
      <c r="E2470" s="42">
        <v>1</v>
      </c>
      <c r="F2470" s="42">
        <v>0.94028520499108736</v>
      </c>
      <c r="G2470">
        <v>1</v>
      </c>
    </row>
    <row r="2471" spans="3:7" x14ac:dyDescent="0.15">
      <c r="C2471" s="43">
        <v>1183</v>
      </c>
      <c r="D2471" s="42">
        <v>0.94117647058823528</v>
      </c>
      <c r="E2471" s="42">
        <v>1</v>
      </c>
      <c r="F2471" s="42">
        <v>0.94117647058823528</v>
      </c>
      <c r="G2471">
        <v>1</v>
      </c>
    </row>
    <row r="2472" spans="3:7" x14ac:dyDescent="0.15">
      <c r="C2472" s="43">
        <v>1184</v>
      </c>
      <c r="D2472" s="42">
        <v>0.9420677361853832</v>
      </c>
      <c r="E2472" s="42">
        <v>1</v>
      </c>
      <c r="F2472" s="42">
        <v>0.9420677361853832</v>
      </c>
      <c r="G2472">
        <v>1</v>
      </c>
    </row>
    <row r="2473" spans="3:7" x14ac:dyDescent="0.15">
      <c r="C2473" s="43">
        <v>1185</v>
      </c>
      <c r="D2473" s="42">
        <v>0.94295900178253123</v>
      </c>
      <c r="E2473" s="42">
        <v>1</v>
      </c>
      <c r="F2473" s="42">
        <v>0.94295900178253123</v>
      </c>
      <c r="G2473">
        <v>1</v>
      </c>
    </row>
    <row r="2474" spans="3:7" x14ac:dyDescent="0.15">
      <c r="C2474" s="43">
        <v>1186</v>
      </c>
      <c r="D2474" s="42">
        <v>0.94385026737967914</v>
      </c>
      <c r="E2474" s="42">
        <v>1</v>
      </c>
      <c r="F2474" s="42">
        <v>0.94385026737967914</v>
      </c>
      <c r="G2474">
        <v>1</v>
      </c>
    </row>
    <row r="2475" spans="3:7" x14ac:dyDescent="0.15">
      <c r="C2475" s="43">
        <v>1187</v>
      </c>
      <c r="D2475" s="42">
        <v>0.94474153297682706</v>
      </c>
      <c r="E2475" s="42">
        <v>1</v>
      </c>
      <c r="F2475" s="42">
        <v>0.94474153297682706</v>
      </c>
      <c r="G2475">
        <v>1</v>
      </c>
    </row>
    <row r="2476" spans="3:7" x14ac:dyDescent="0.15">
      <c r="C2476" s="43">
        <v>1188</v>
      </c>
      <c r="D2476" s="42">
        <v>0.94563279857397509</v>
      </c>
      <c r="E2476" s="42">
        <v>1</v>
      </c>
      <c r="F2476" s="42">
        <v>0.94563279857397509</v>
      </c>
      <c r="G2476">
        <v>1</v>
      </c>
    </row>
    <row r="2477" spans="3:7" x14ac:dyDescent="0.15">
      <c r="C2477" s="43">
        <v>1189</v>
      </c>
      <c r="D2477" s="42">
        <v>0.946524064171123</v>
      </c>
      <c r="E2477" s="42">
        <v>1</v>
      </c>
      <c r="F2477" s="42">
        <v>0.946524064171123</v>
      </c>
      <c r="G2477">
        <v>1</v>
      </c>
    </row>
    <row r="2478" spans="3:7" x14ac:dyDescent="0.15">
      <c r="C2478" s="43">
        <v>1190</v>
      </c>
      <c r="D2478" s="42">
        <v>0.94741532976827092</v>
      </c>
      <c r="E2478" s="42">
        <v>1</v>
      </c>
      <c r="F2478" s="42">
        <v>0.94741532976827092</v>
      </c>
      <c r="G2478">
        <v>1</v>
      </c>
    </row>
    <row r="2479" spans="3:7" x14ac:dyDescent="0.15">
      <c r="C2479" s="43">
        <v>1191</v>
      </c>
      <c r="D2479" s="42">
        <v>0.94830659536541895</v>
      </c>
      <c r="E2479" s="42">
        <v>1</v>
      </c>
      <c r="F2479" s="42">
        <v>0.94830659536541895</v>
      </c>
      <c r="G2479">
        <v>1</v>
      </c>
    </row>
    <row r="2480" spans="3:7" x14ac:dyDescent="0.15">
      <c r="C2480" s="43">
        <v>1192</v>
      </c>
      <c r="D2480" s="42">
        <v>0.94919786096256686</v>
      </c>
      <c r="E2480" s="42">
        <v>1</v>
      </c>
      <c r="F2480" s="42">
        <v>0.94919786096256686</v>
      </c>
      <c r="G2480">
        <v>1</v>
      </c>
    </row>
    <row r="2481" spans="3:7" x14ac:dyDescent="0.15">
      <c r="C2481" s="43">
        <v>1193</v>
      </c>
      <c r="D2481" s="42">
        <v>0.95008912655971478</v>
      </c>
      <c r="E2481" s="42">
        <v>1</v>
      </c>
      <c r="F2481" s="42">
        <v>0.95008912655971478</v>
      </c>
      <c r="G2481">
        <v>1</v>
      </c>
    </row>
    <row r="2482" spans="3:7" x14ac:dyDescent="0.15">
      <c r="C2482" s="43">
        <v>1194</v>
      </c>
      <c r="D2482" s="42">
        <v>0.9509803921568627</v>
      </c>
      <c r="E2482" s="42">
        <v>1</v>
      </c>
      <c r="F2482" s="42">
        <v>0.9509803921568627</v>
      </c>
      <c r="G2482">
        <v>1</v>
      </c>
    </row>
    <row r="2483" spans="3:7" x14ac:dyDescent="0.15">
      <c r="C2483" s="43">
        <v>1195</v>
      </c>
      <c r="D2483" s="42">
        <v>0.95187165775401072</v>
      </c>
      <c r="E2483" s="42">
        <v>1</v>
      </c>
      <c r="F2483" s="42">
        <v>0.95187165775401072</v>
      </c>
      <c r="G2483">
        <v>1</v>
      </c>
    </row>
    <row r="2484" spans="3:7" x14ac:dyDescent="0.15">
      <c r="C2484" s="43">
        <v>1196</v>
      </c>
      <c r="D2484" s="42">
        <v>0.95276292335115864</v>
      </c>
      <c r="E2484" s="42">
        <v>1</v>
      </c>
      <c r="F2484" s="42">
        <v>0.95276292335115864</v>
      </c>
      <c r="G2484">
        <v>1</v>
      </c>
    </row>
    <row r="2485" spans="3:7" x14ac:dyDescent="0.15">
      <c r="C2485" s="43">
        <v>1197</v>
      </c>
      <c r="D2485" s="42">
        <v>0.95365418894830656</v>
      </c>
      <c r="E2485" s="42">
        <v>1</v>
      </c>
      <c r="F2485" s="42">
        <v>0.95365418894830656</v>
      </c>
      <c r="G2485">
        <v>1</v>
      </c>
    </row>
    <row r="2486" spans="3:7" x14ac:dyDescent="0.15">
      <c r="C2486" s="43">
        <v>1198</v>
      </c>
      <c r="D2486" s="42">
        <v>0.95454545454545459</v>
      </c>
      <c r="E2486" s="42">
        <v>1</v>
      </c>
      <c r="F2486" s="42">
        <v>0.95454545454545459</v>
      </c>
      <c r="G2486">
        <v>1</v>
      </c>
    </row>
    <row r="2487" spans="3:7" x14ac:dyDescent="0.15">
      <c r="C2487" s="43">
        <v>1199</v>
      </c>
      <c r="D2487" s="42">
        <v>0.9554367201426025</v>
      </c>
      <c r="E2487" s="42">
        <v>1</v>
      </c>
      <c r="F2487" s="42">
        <v>0.9554367201426025</v>
      </c>
      <c r="G2487">
        <v>1</v>
      </c>
    </row>
    <row r="2488" spans="3:7" x14ac:dyDescent="0.15">
      <c r="C2488" s="43">
        <v>1200</v>
      </c>
      <c r="D2488" s="42">
        <v>0.95632798573975042</v>
      </c>
      <c r="E2488" s="42">
        <v>1</v>
      </c>
      <c r="F2488" s="42">
        <v>0.95632798573975042</v>
      </c>
      <c r="G2488">
        <v>1</v>
      </c>
    </row>
    <row r="2489" spans="3:7" x14ac:dyDescent="0.15">
      <c r="C2489" s="43">
        <v>1201</v>
      </c>
      <c r="D2489" s="42">
        <v>0.95721925133689845</v>
      </c>
      <c r="E2489" s="42">
        <v>1</v>
      </c>
      <c r="F2489" s="42">
        <v>0.95721925133689845</v>
      </c>
      <c r="G2489">
        <v>1</v>
      </c>
    </row>
    <row r="2490" spans="3:7" x14ac:dyDescent="0.15">
      <c r="C2490" s="43">
        <v>1202</v>
      </c>
      <c r="D2490" s="42">
        <v>0.95811051693404636</v>
      </c>
      <c r="E2490" s="42">
        <v>1</v>
      </c>
      <c r="F2490" s="42">
        <v>0.95811051693404636</v>
      </c>
      <c r="G2490">
        <v>1</v>
      </c>
    </row>
    <row r="2491" spans="3:7" x14ac:dyDescent="0.15">
      <c r="C2491" s="43">
        <v>1203</v>
      </c>
      <c r="D2491" s="42">
        <v>0.95900178253119428</v>
      </c>
      <c r="E2491" s="42">
        <v>1</v>
      </c>
      <c r="F2491" s="42">
        <v>0.95900178253119428</v>
      </c>
      <c r="G2491">
        <v>1</v>
      </c>
    </row>
    <row r="2492" spans="3:7" x14ac:dyDescent="0.15">
      <c r="C2492" s="43">
        <v>1204</v>
      </c>
      <c r="D2492" s="42">
        <v>0.9598930481283422</v>
      </c>
      <c r="E2492" s="42">
        <v>1</v>
      </c>
      <c r="F2492" s="42">
        <v>0.9598930481283422</v>
      </c>
      <c r="G2492">
        <v>1</v>
      </c>
    </row>
    <row r="2493" spans="3:7" x14ac:dyDescent="0.15">
      <c r="C2493" s="43">
        <v>1205</v>
      </c>
      <c r="D2493" s="42">
        <v>0.96078431372549022</v>
      </c>
      <c r="E2493" s="42">
        <v>1</v>
      </c>
      <c r="F2493" s="42">
        <v>0.96078431372549022</v>
      </c>
      <c r="G2493">
        <v>1</v>
      </c>
    </row>
    <row r="2494" spans="3:7" x14ac:dyDescent="0.15">
      <c r="C2494" s="43">
        <v>1206</v>
      </c>
      <c r="D2494" s="42">
        <v>0.96167557932263814</v>
      </c>
      <c r="E2494" s="42">
        <v>1</v>
      </c>
      <c r="F2494" s="42">
        <v>0.96167557932263814</v>
      </c>
      <c r="G2494">
        <v>1</v>
      </c>
    </row>
    <row r="2495" spans="3:7" x14ac:dyDescent="0.15">
      <c r="C2495" s="43">
        <v>1207</v>
      </c>
      <c r="D2495" s="42">
        <v>0.96256684491978606</v>
      </c>
      <c r="E2495" s="42">
        <v>1</v>
      </c>
      <c r="F2495" s="42">
        <v>0.96256684491978606</v>
      </c>
      <c r="G2495">
        <v>1</v>
      </c>
    </row>
    <row r="2496" spans="3:7" x14ac:dyDescent="0.15">
      <c r="C2496" s="43">
        <v>1208</v>
      </c>
      <c r="D2496" s="42">
        <v>0.96345811051693409</v>
      </c>
      <c r="E2496" s="42">
        <v>1</v>
      </c>
      <c r="F2496" s="42">
        <v>0.96345811051693409</v>
      </c>
      <c r="G2496">
        <v>1</v>
      </c>
    </row>
    <row r="2497" spans="3:7" x14ac:dyDescent="0.15">
      <c r="C2497" s="43">
        <v>1209</v>
      </c>
      <c r="D2497" s="42">
        <v>0.964349376114082</v>
      </c>
      <c r="E2497" s="42">
        <v>1</v>
      </c>
      <c r="F2497" s="42">
        <v>0.964349376114082</v>
      </c>
      <c r="G2497">
        <v>1</v>
      </c>
    </row>
    <row r="2498" spans="3:7" x14ac:dyDescent="0.15">
      <c r="C2498" s="43">
        <v>1210</v>
      </c>
      <c r="D2498" s="42">
        <v>0.96524064171122992</v>
      </c>
      <c r="E2498" s="42">
        <v>1</v>
      </c>
      <c r="F2498" s="42">
        <v>0.96524064171122992</v>
      </c>
      <c r="G2498">
        <v>1</v>
      </c>
    </row>
    <row r="2499" spans="3:7" x14ac:dyDescent="0.15">
      <c r="C2499" s="43">
        <v>1211</v>
      </c>
      <c r="D2499" s="42">
        <v>0.96613190730837795</v>
      </c>
      <c r="E2499" s="42">
        <v>1</v>
      </c>
      <c r="F2499" s="42">
        <v>0.96613190730837795</v>
      </c>
      <c r="G2499">
        <v>1</v>
      </c>
    </row>
    <row r="2500" spans="3:7" x14ac:dyDescent="0.15">
      <c r="C2500" s="43">
        <v>1212</v>
      </c>
      <c r="D2500" s="42">
        <v>0.96702317290552586</v>
      </c>
      <c r="E2500" s="42">
        <v>1</v>
      </c>
      <c r="F2500" s="42">
        <v>0.96702317290552586</v>
      </c>
      <c r="G2500">
        <v>1</v>
      </c>
    </row>
    <row r="2501" spans="3:7" x14ac:dyDescent="0.15">
      <c r="C2501" s="43">
        <v>1213</v>
      </c>
      <c r="D2501" s="42">
        <v>0.96791443850267378</v>
      </c>
      <c r="E2501" s="42">
        <v>1</v>
      </c>
      <c r="F2501" s="42">
        <v>0.96791443850267378</v>
      </c>
      <c r="G2501">
        <v>1</v>
      </c>
    </row>
    <row r="2502" spans="3:7" x14ac:dyDescent="0.15">
      <c r="C2502" s="43">
        <v>1214</v>
      </c>
      <c r="D2502" s="42">
        <v>0.9688057040998217</v>
      </c>
      <c r="E2502" s="42">
        <v>1</v>
      </c>
      <c r="F2502" s="42">
        <v>0.9688057040998217</v>
      </c>
      <c r="G2502">
        <v>1</v>
      </c>
    </row>
    <row r="2503" spans="3:7" x14ac:dyDescent="0.15">
      <c r="C2503" s="43">
        <v>1215</v>
      </c>
      <c r="D2503" s="42">
        <v>0.96969696969696972</v>
      </c>
      <c r="E2503" s="42">
        <v>1</v>
      </c>
      <c r="F2503" s="42">
        <v>0.96969696969696972</v>
      </c>
      <c r="G2503">
        <v>1</v>
      </c>
    </row>
    <row r="2504" spans="3:7" x14ac:dyDescent="0.15">
      <c r="C2504" s="43">
        <v>1216</v>
      </c>
      <c r="D2504" s="42">
        <v>0.97058823529411764</v>
      </c>
      <c r="E2504" s="42">
        <v>1</v>
      </c>
      <c r="F2504" s="42">
        <v>0.97058823529411764</v>
      </c>
      <c r="G2504">
        <v>1</v>
      </c>
    </row>
    <row r="2505" spans="3:7" x14ac:dyDescent="0.15">
      <c r="C2505" s="43">
        <v>1217</v>
      </c>
      <c r="D2505" s="42">
        <v>0.97147950089126556</v>
      </c>
      <c r="E2505" s="42">
        <v>1</v>
      </c>
      <c r="F2505" s="42">
        <v>0.97147950089126556</v>
      </c>
      <c r="G2505">
        <v>1</v>
      </c>
    </row>
    <row r="2506" spans="3:7" x14ac:dyDescent="0.15">
      <c r="C2506" s="43">
        <v>1218</v>
      </c>
      <c r="D2506" s="42">
        <v>0.97237076648841358</v>
      </c>
      <c r="E2506" s="42">
        <v>1</v>
      </c>
      <c r="F2506" s="42">
        <v>0.97237076648841358</v>
      </c>
      <c r="G2506">
        <v>1</v>
      </c>
    </row>
    <row r="2507" spans="3:7" x14ac:dyDescent="0.15">
      <c r="C2507" s="43">
        <v>1219</v>
      </c>
      <c r="D2507" s="42">
        <v>0.9732620320855615</v>
      </c>
      <c r="E2507" s="42">
        <v>1</v>
      </c>
      <c r="F2507" s="42">
        <v>0.9732620320855615</v>
      </c>
      <c r="G2507">
        <v>1</v>
      </c>
    </row>
    <row r="2508" spans="3:7" x14ac:dyDescent="0.15">
      <c r="C2508" s="43">
        <v>1220</v>
      </c>
      <c r="D2508" s="42">
        <v>0.97415329768270942</v>
      </c>
      <c r="E2508" s="42">
        <v>1</v>
      </c>
      <c r="F2508" s="42">
        <v>0.97415329768270942</v>
      </c>
      <c r="G2508">
        <v>1</v>
      </c>
    </row>
    <row r="2509" spans="3:7" x14ac:dyDescent="0.15">
      <c r="C2509" s="43">
        <v>1221</v>
      </c>
      <c r="D2509" s="42">
        <v>0.97504456327985745</v>
      </c>
      <c r="E2509" s="42">
        <v>1</v>
      </c>
      <c r="F2509" s="42">
        <v>0.97504456327985745</v>
      </c>
      <c r="G2509">
        <v>1</v>
      </c>
    </row>
    <row r="2510" spans="3:7" x14ac:dyDescent="0.15">
      <c r="C2510" s="43">
        <v>1222</v>
      </c>
      <c r="D2510" s="42">
        <v>0.97593582887700536</v>
      </c>
      <c r="E2510" s="42">
        <v>1</v>
      </c>
      <c r="F2510" s="42">
        <v>0.97593582887700536</v>
      </c>
      <c r="G2510">
        <v>1</v>
      </c>
    </row>
    <row r="2511" spans="3:7" x14ac:dyDescent="0.15">
      <c r="C2511" s="43">
        <v>1223</v>
      </c>
      <c r="D2511" s="42">
        <v>0.97682709447415328</v>
      </c>
      <c r="E2511" s="42">
        <v>1</v>
      </c>
      <c r="F2511" s="42">
        <v>0.97682709447415328</v>
      </c>
      <c r="G2511">
        <v>1</v>
      </c>
    </row>
    <row r="2512" spans="3:7" x14ac:dyDescent="0.15">
      <c r="C2512" s="43">
        <v>1224</v>
      </c>
      <c r="D2512" s="42">
        <v>0.9777183600713012</v>
      </c>
      <c r="E2512" s="42">
        <v>1</v>
      </c>
      <c r="F2512" s="42">
        <v>0.9777183600713012</v>
      </c>
      <c r="G2512">
        <v>1</v>
      </c>
    </row>
    <row r="2513" spans="3:7" x14ac:dyDescent="0.15">
      <c r="C2513" s="43">
        <v>1225</v>
      </c>
      <c r="D2513" s="42">
        <v>0.97860962566844922</v>
      </c>
      <c r="E2513" s="42">
        <v>1</v>
      </c>
      <c r="F2513" s="42">
        <v>0.97860962566844922</v>
      </c>
      <c r="G2513">
        <v>1</v>
      </c>
    </row>
    <row r="2514" spans="3:7" x14ac:dyDescent="0.15">
      <c r="C2514" s="43">
        <v>1226</v>
      </c>
      <c r="D2514" s="42">
        <v>0.97950089126559714</v>
      </c>
      <c r="E2514" s="42">
        <v>1</v>
      </c>
      <c r="F2514" s="42">
        <v>0.97950089126559714</v>
      </c>
      <c r="G2514">
        <v>1</v>
      </c>
    </row>
    <row r="2515" spans="3:7" x14ac:dyDescent="0.15">
      <c r="C2515" s="43">
        <v>1227</v>
      </c>
      <c r="D2515" s="42">
        <v>0.98039215686274506</v>
      </c>
      <c r="E2515" s="42">
        <v>1</v>
      </c>
      <c r="F2515" s="42">
        <v>0.98039215686274506</v>
      </c>
      <c r="G2515">
        <v>1</v>
      </c>
    </row>
    <row r="2516" spans="3:7" x14ac:dyDescent="0.15">
      <c r="C2516" s="43">
        <v>1228</v>
      </c>
      <c r="D2516" s="42">
        <v>0.98128342245989308</v>
      </c>
      <c r="E2516" s="42">
        <v>1</v>
      </c>
      <c r="F2516" s="42">
        <v>0.98128342245989308</v>
      </c>
      <c r="G2516">
        <v>1</v>
      </c>
    </row>
    <row r="2517" spans="3:7" x14ac:dyDescent="0.15">
      <c r="C2517" s="43">
        <v>1229</v>
      </c>
      <c r="D2517" s="42">
        <v>0.982174688057041</v>
      </c>
      <c r="E2517" s="42">
        <v>1</v>
      </c>
      <c r="F2517" s="42">
        <v>0.982174688057041</v>
      </c>
      <c r="G2517">
        <v>1</v>
      </c>
    </row>
    <row r="2518" spans="3:7" x14ac:dyDescent="0.15">
      <c r="C2518" s="43">
        <v>1230</v>
      </c>
      <c r="D2518" s="42">
        <v>0.98306595365418892</v>
      </c>
      <c r="E2518" s="42">
        <v>1</v>
      </c>
      <c r="F2518" s="42">
        <v>0.98306595365418892</v>
      </c>
      <c r="G2518">
        <v>1</v>
      </c>
    </row>
    <row r="2519" spans="3:7" x14ac:dyDescent="0.15">
      <c r="C2519" s="43">
        <v>1231</v>
      </c>
      <c r="D2519" s="42">
        <v>0.98395721925133695</v>
      </c>
      <c r="E2519" s="42">
        <v>1</v>
      </c>
      <c r="F2519" s="42">
        <v>0.98395721925133695</v>
      </c>
      <c r="G2519">
        <v>1</v>
      </c>
    </row>
    <row r="2520" spans="3:7" x14ac:dyDescent="0.15">
      <c r="C2520" s="43">
        <v>1232</v>
      </c>
      <c r="D2520" s="42">
        <v>0.98484848484848486</v>
      </c>
      <c r="E2520" s="42">
        <v>1</v>
      </c>
      <c r="F2520" s="42">
        <v>0.98484848484848486</v>
      </c>
      <c r="G2520">
        <v>1</v>
      </c>
    </row>
    <row r="2521" spans="3:7" x14ac:dyDescent="0.15">
      <c r="C2521" s="43">
        <v>1233</v>
      </c>
      <c r="D2521" s="42">
        <v>0.98573975044563278</v>
      </c>
      <c r="E2521" s="42">
        <v>1</v>
      </c>
      <c r="F2521" s="42">
        <v>0.98573975044563278</v>
      </c>
      <c r="G2521">
        <v>1</v>
      </c>
    </row>
    <row r="2522" spans="3:7" x14ac:dyDescent="0.15">
      <c r="C2522" s="43">
        <v>1234</v>
      </c>
      <c r="D2522" s="42">
        <v>0.9866310160427807</v>
      </c>
      <c r="E2522" s="42">
        <v>1</v>
      </c>
      <c r="F2522" s="42">
        <v>0.9866310160427807</v>
      </c>
      <c r="G2522">
        <v>1</v>
      </c>
    </row>
    <row r="2523" spans="3:7" x14ac:dyDescent="0.15">
      <c r="C2523" s="43">
        <v>1235</v>
      </c>
      <c r="D2523" s="42">
        <v>0.98752228163992872</v>
      </c>
      <c r="E2523" s="42">
        <v>1</v>
      </c>
      <c r="F2523" s="42">
        <v>0.98752228163992872</v>
      </c>
      <c r="G2523">
        <v>1</v>
      </c>
    </row>
    <row r="2524" spans="3:7" x14ac:dyDescent="0.15">
      <c r="C2524" s="43">
        <v>1236</v>
      </c>
      <c r="D2524" s="42">
        <v>0.98841354723707664</v>
      </c>
      <c r="E2524" s="42">
        <v>1</v>
      </c>
      <c r="F2524" s="42">
        <v>0.98841354723707664</v>
      </c>
      <c r="G2524">
        <v>1</v>
      </c>
    </row>
    <row r="2525" spans="3:7" x14ac:dyDescent="0.15">
      <c r="C2525" s="43">
        <v>1237</v>
      </c>
      <c r="D2525" s="42">
        <v>0.98930481283422456</v>
      </c>
      <c r="E2525" s="42">
        <v>1</v>
      </c>
      <c r="F2525" s="42">
        <v>0.98930481283422456</v>
      </c>
      <c r="G2525">
        <v>1</v>
      </c>
    </row>
    <row r="2526" spans="3:7" x14ac:dyDescent="0.15">
      <c r="C2526" s="43">
        <v>1238</v>
      </c>
      <c r="D2526" s="42">
        <v>0.99019607843137258</v>
      </c>
      <c r="E2526" s="42">
        <v>1</v>
      </c>
      <c r="F2526" s="42">
        <v>0.99019607843137258</v>
      </c>
      <c r="G2526">
        <v>1</v>
      </c>
    </row>
    <row r="2527" spans="3:7" x14ac:dyDescent="0.15">
      <c r="C2527" s="43">
        <v>1239</v>
      </c>
      <c r="D2527" s="42">
        <v>0.9910873440285205</v>
      </c>
      <c r="E2527" s="42">
        <v>1</v>
      </c>
      <c r="F2527" s="42">
        <v>0.9910873440285205</v>
      </c>
      <c r="G2527">
        <v>1</v>
      </c>
    </row>
    <row r="2528" spans="3:7" x14ac:dyDescent="0.15">
      <c r="C2528" s="43">
        <v>1240</v>
      </c>
      <c r="D2528" s="42">
        <v>0.99197860962566842</v>
      </c>
      <c r="E2528" s="42">
        <v>1</v>
      </c>
      <c r="F2528" s="42">
        <v>0.99197860962566842</v>
      </c>
      <c r="G2528">
        <v>1</v>
      </c>
    </row>
    <row r="2529" spans="3:7" x14ac:dyDescent="0.15">
      <c r="C2529" s="43">
        <v>1241</v>
      </c>
      <c r="D2529" s="42">
        <v>0.99286987522281644</v>
      </c>
      <c r="E2529" s="42">
        <v>1</v>
      </c>
      <c r="F2529" s="42">
        <v>0.99286987522281644</v>
      </c>
      <c r="G2529">
        <v>1</v>
      </c>
    </row>
    <row r="2530" spans="3:7" x14ac:dyDescent="0.15">
      <c r="C2530" s="43">
        <v>1242</v>
      </c>
      <c r="D2530" s="42">
        <v>0.99376114081996436</v>
      </c>
      <c r="E2530" s="42">
        <v>1</v>
      </c>
      <c r="F2530" s="42">
        <v>0.99376114081996436</v>
      </c>
      <c r="G2530">
        <v>1</v>
      </c>
    </row>
    <row r="2531" spans="3:7" x14ac:dyDescent="0.15">
      <c r="C2531" s="43">
        <v>1243</v>
      </c>
      <c r="D2531" s="42">
        <v>0.99465240641711228</v>
      </c>
      <c r="E2531" s="42">
        <v>1</v>
      </c>
      <c r="F2531" s="42">
        <v>0.99465240641711228</v>
      </c>
      <c r="G2531">
        <v>1</v>
      </c>
    </row>
    <row r="2532" spans="3:7" x14ac:dyDescent="0.15">
      <c r="C2532" s="43">
        <v>1244</v>
      </c>
      <c r="D2532" s="42">
        <v>0.99554367201426019</v>
      </c>
      <c r="E2532" s="42">
        <v>1</v>
      </c>
      <c r="F2532" s="42">
        <v>0.99554367201426019</v>
      </c>
      <c r="G2532">
        <v>1</v>
      </c>
    </row>
    <row r="2533" spans="3:7" x14ac:dyDescent="0.15">
      <c r="C2533" s="43">
        <v>1245</v>
      </c>
      <c r="D2533" s="42">
        <v>0.99643493761140822</v>
      </c>
      <c r="E2533" s="42">
        <v>1</v>
      </c>
      <c r="F2533" s="42">
        <v>0.99643493761140822</v>
      </c>
      <c r="G2533">
        <v>1</v>
      </c>
    </row>
    <row r="2534" spans="3:7" x14ac:dyDescent="0.15">
      <c r="C2534" s="43">
        <v>1246</v>
      </c>
      <c r="D2534" s="42">
        <v>0.99732620320855614</v>
      </c>
      <c r="E2534" s="42">
        <v>1</v>
      </c>
      <c r="F2534" s="42">
        <v>0.99732620320855614</v>
      </c>
      <c r="G2534">
        <v>1</v>
      </c>
    </row>
    <row r="2535" spans="3:7" x14ac:dyDescent="0.15">
      <c r="C2535" s="43">
        <v>1247</v>
      </c>
      <c r="D2535" s="42">
        <v>0.99821746880570406</v>
      </c>
      <c r="E2535" s="42">
        <v>1</v>
      </c>
      <c r="F2535" s="42">
        <v>0.99821746880570406</v>
      </c>
      <c r="G2535">
        <v>1</v>
      </c>
    </row>
    <row r="2536" spans="3:7" x14ac:dyDescent="0.15">
      <c r="C2536" s="43">
        <v>1248</v>
      </c>
      <c r="D2536" s="42">
        <v>0.99910873440285208</v>
      </c>
      <c r="E2536" s="42">
        <v>1</v>
      </c>
      <c r="F2536" s="42">
        <v>0.99910873440285208</v>
      </c>
      <c r="G2536">
        <v>1</v>
      </c>
    </row>
    <row r="2537" spans="3:7" x14ac:dyDescent="0.15">
      <c r="C2537" s="43">
        <v>1249</v>
      </c>
      <c r="D2537" s="42">
        <v>1</v>
      </c>
      <c r="E2537" s="42">
        <v>1</v>
      </c>
      <c r="F2537" s="42">
        <v>1</v>
      </c>
      <c r="G2537">
        <v>1</v>
      </c>
    </row>
  </sheetData>
  <mergeCells count="14">
    <mergeCell ref="B3:M3"/>
    <mergeCell ref="P3:S3"/>
    <mergeCell ref="B5:C5"/>
    <mergeCell ref="D5:E5"/>
    <mergeCell ref="F5:G5"/>
    <mergeCell ref="H5:I5"/>
    <mergeCell ref="J5:K5"/>
    <mergeCell ref="L5:M5"/>
    <mergeCell ref="B4:C4"/>
    <mergeCell ref="D4:E4"/>
    <mergeCell ref="F4:G4"/>
    <mergeCell ref="H4:I4"/>
    <mergeCell ref="J4:K4"/>
    <mergeCell ref="L4:M4"/>
  </mergeCells>
  <hyperlinks>
    <hyperlink ref="B4" location="'LogReg_Output'!$B$10:$B$10" display="Inputs" xr:uid="{A1CF034B-A334-6C4B-A283-C4BC481A0A73}"/>
    <hyperlink ref="D4" location="'LogReg_Output'!$B$54:$B$54" display="Regression Summary" xr:uid="{6D1B734F-A7B9-124A-9F8C-A566AF78D12C}"/>
    <hyperlink ref="F4" location="'LogReg_Output'!$B$62:$B$62" display="Predictor Screening" xr:uid="{6FE69C4B-75E5-044B-9A39-91D89032B615}"/>
    <hyperlink ref="H4" location="'LogReg_Output'!$B$81:$B$81" display="Coefficients" xr:uid="{7F8E680D-3B87-8D43-B9D3-7F25A83E4012}"/>
    <hyperlink ref="J4" location="'LogReg_Stored'!$B$10:$B$10" display="PMML Model" xr:uid="{8CB76343-7BB2-A849-B368-960C983F0B03}"/>
    <hyperlink ref="L4" location="'LogReg_TrainingScore'!$B$10:$B$10" display="Training: Classification Summary" xr:uid="{0B5494D6-3F95-A945-B9F8-3B84D111D6FE}"/>
    <hyperlink ref="B5" location="'LogReg_TrainingScore'!$B$34:$B$34" display="Training: Classification Details" xr:uid="{06504E42-5AE4-EC4E-9EFA-9CFA9277C8DC}"/>
    <hyperlink ref="D5" location="'LogReg_ValidationLiftChart'!$B$10:$B$10" display="Validation: Charts" xr:uid="{323EC74A-778E-5D4C-AC4F-9310A637A4D1}"/>
    <hyperlink ref="F5" location="'LogReg_ValidationScore'!$B$10:$B$10" display="Validation: Classification Summary" xr:uid="{BB0482E4-3DAE-4D45-8B12-4A3295C0AFD2}"/>
    <hyperlink ref="H5" location="'LogReg_ValidationScore'!$B$34:$B$34" display="Validation: Classification Details" xr:uid="{B45DD314-9E78-D245-B52B-CB39534F1B6B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5E5A5-0079-7141-A0D8-BD8CD7D0A8B1}">
  <dimension ref="B1:S75"/>
  <sheetViews>
    <sheetView showGridLines="0" workbookViewId="0"/>
  </sheetViews>
  <sheetFormatPr baseColWidth="10" defaultRowHeight="13" x14ac:dyDescent="0.15"/>
  <cols>
    <col min="16" max="16" width="13.83203125" bestFit="1" customWidth="1"/>
  </cols>
  <sheetData>
    <row r="1" spans="2:19" ht="19" x14ac:dyDescent="0.25">
      <c r="B1" s="40" t="s">
        <v>1780</v>
      </c>
      <c r="N1" t="s">
        <v>1782</v>
      </c>
    </row>
    <row r="3" spans="2:19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L3" s="51"/>
      <c r="M3" s="51"/>
      <c r="P3" s="54" t="s">
        <v>50</v>
      </c>
      <c r="Q3" s="54"/>
      <c r="R3" s="54"/>
      <c r="S3" s="54"/>
    </row>
    <row r="4" spans="2:19" ht="14" x14ac:dyDescent="0.2">
      <c r="B4" s="49" t="s">
        <v>74</v>
      </c>
      <c r="C4" s="49"/>
      <c r="D4" s="49" t="s">
        <v>1797</v>
      </c>
      <c r="E4" s="49"/>
      <c r="F4" s="49" t="s">
        <v>1798</v>
      </c>
      <c r="G4" s="49"/>
      <c r="H4" s="49" t="s">
        <v>1799</v>
      </c>
      <c r="I4" s="49"/>
      <c r="J4" s="49" t="s">
        <v>1605</v>
      </c>
      <c r="K4" s="49"/>
      <c r="L4" s="49" t="s">
        <v>1684</v>
      </c>
      <c r="M4" s="49"/>
      <c r="P4" s="53" t="s">
        <v>86</v>
      </c>
      <c r="Q4" s="53" t="s">
        <v>87</v>
      </c>
      <c r="R4" s="53" t="s">
        <v>52</v>
      </c>
      <c r="S4" s="53" t="s">
        <v>53</v>
      </c>
    </row>
    <row r="5" spans="2:19" ht="14" x14ac:dyDescent="0.2">
      <c r="B5" s="49" t="s">
        <v>1685</v>
      </c>
      <c r="C5" s="49"/>
      <c r="D5" s="49" t="s">
        <v>1686</v>
      </c>
      <c r="E5" s="49"/>
      <c r="F5" s="49" t="s">
        <v>1687</v>
      </c>
      <c r="G5" s="49"/>
      <c r="H5" s="49" t="s">
        <v>1688</v>
      </c>
      <c r="I5" s="49"/>
      <c r="J5" s="56"/>
      <c r="K5" s="56"/>
      <c r="L5" s="56"/>
      <c r="M5" s="56"/>
      <c r="P5" s="45">
        <v>1391</v>
      </c>
      <c r="Q5" s="45">
        <v>40</v>
      </c>
      <c r="R5" s="45">
        <v>116</v>
      </c>
      <c r="S5" s="45">
        <v>1547</v>
      </c>
    </row>
    <row r="10" spans="2:19" ht="19" x14ac:dyDescent="0.25">
      <c r="B10" s="41" t="s">
        <v>1605</v>
      </c>
    </row>
    <row r="12" spans="2:19" x14ac:dyDescent="0.15">
      <c r="B12" t="s">
        <v>1606</v>
      </c>
    </row>
    <row r="13" spans="2:19" x14ac:dyDescent="0.15">
      <c r="B13" t="s">
        <v>1607</v>
      </c>
    </row>
    <row r="14" spans="2:19" x14ac:dyDescent="0.15">
      <c r="B14" t="s">
        <v>1608</v>
      </c>
    </row>
    <row r="15" spans="2:19" x14ac:dyDescent="0.15">
      <c r="B15" t="s">
        <v>1609</v>
      </c>
    </row>
    <row r="16" spans="2:19" x14ac:dyDescent="0.15">
      <c r="B16" t="s">
        <v>1781</v>
      </c>
    </row>
    <row r="17" spans="2:2" x14ac:dyDescent="0.15">
      <c r="B17" t="s">
        <v>1611</v>
      </c>
    </row>
    <row r="18" spans="2:2" x14ac:dyDescent="0.15">
      <c r="B18" t="s">
        <v>1612</v>
      </c>
    </row>
    <row r="19" spans="2:2" x14ac:dyDescent="0.15">
      <c r="B19" t="s">
        <v>1613</v>
      </c>
    </row>
    <row r="20" spans="2:2" x14ac:dyDescent="0.15">
      <c r="B20" t="s">
        <v>1614</v>
      </c>
    </row>
    <row r="21" spans="2:2" x14ac:dyDescent="0.15">
      <c r="B21" t="s">
        <v>1615</v>
      </c>
    </row>
    <row r="22" spans="2:2" x14ac:dyDescent="0.15">
      <c r="B22" t="s">
        <v>1616</v>
      </c>
    </row>
    <row r="23" spans="2:2" x14ac:dyDescent="0.15">
      <c r="B23" t="s">
        <v>1617</v>
      </c>
    </row>
    <row r="24" spans="2:2" x14ac:dyDescent="0.15">
      <c r="B24" t="s">
        <v>1618</v>
      </c>
    </row>
    <row r="25" spans="2:2" x14ac:dyDescent="0.15">
      <c r="B25" t="s">
        <v>1619</v>
      </c>
    </row>
    <row r="26" spans="2:2" x14ac:dyDescent="0.15">
      <c r="B26" t="s">
        <v>1620</v>
      </c>
    </row>
    <row r="27" spans="2:2" x14ac:dyDescent="0.15">
      <c r="B27" t="s">
        <v>1621</v>
      </c>
    </row>
    <row r="28" spans="2:2" x14ac:dyDescent="0.15">
      <c r="B28" t="s">
        <v>1622</v>
      </c>
    </row>
    <row r="29" spans="2:2" x14ac:dyDescent="0.15">
      <c r="B29" t="s">
        <v>1623</v>
      </c>
    </row>
    <row r="30" spans="2:2" x14ac:dyDescent="0.15">
      <c r="B30" t="s">
        <v>1624</v>
      </c>
    </row>
    <row r="31" spans="2:2" x14ac:dyDescent="0.15">
      <c r="B31" t="s">
        <v>1625</v>
      </c>
    </row>
    <row r="32" spans="2:2" x14ac:dyDescent="0.15">
      <c r="B32" t="s">
        <v>1626</v>
      </c>
    </row>
    <row r="33" spans="2:2" x14ac:dyDescent="0.15">
      <c r="B33" t="s">
        <v>1628</v>
      </c>
    </row>
    <row r="34" spans="2:2" x14ac:dyDescent="0.15">
      <c r="B34" t="s">
        <v>1629</v>
      </c>
    </row>
    <row r="35" spans="2:2" x14ac:dyDescent="0.15">
      <c r="B35" t="s">
        <v>1630</v>
      </c>
    </row>
    <row r="36" spans="2:2" x14ac:dyDescent="0.15">
      <c r="B36" t="s">
        <v>1783</v>
      </c>
    </row>
    <row r="37" spans="2:2" x14ac:dyDescent="0.15">
      <c r="B37" t="s">
        <v>1632</v>
      </c>
    </row>
    <row r="38" spans="2:2" x14ac:dyDescent="0.15">
      <c r="B38" t="s">
        <v>1633</v>
      </c>
    </row>
    <row r="39" spans="2:2" x14ac:dyDescent="0.15">
      <c r="B39" t="s">
        <v>1634</v>
      </c>
    </row>
    <row r="40" spans="2:2" x14ac:dyDescent="0.15">
      <c r="B40" t="s">
        <v>1635</v>
      </c>
    </row>
    <row r="41" spans="2:2" x14ac:dyDescent="0.15">
      <c r="B41" t="s">
        <v>1636</v>
      </c>
    </row>
    <row r="42" spans="2:2" x14ac:dyDescent="0.15">
      <c r="B42" t="s">
        <v>1637</v>
      </c>
    </row>
    <row r="43" spans="2:2" x14ac:dyDescent="0.15">
      <c r="B43" t="s">
        <v>1638</v>
      </c>
    </row>
    <row r="44" spans="2:2" x14ac:dyDescent="0.15">
      <c r="B44" t="s">
        <v>1639</v>
      </c>
    </row>
    <row r="45" spans="2:2" x14ac:dyDescent="0.15">
      <c r="B45" t="s">
        <v>1640</v>
      </c>
    </row>
    <row r="46" spans="2:2" x14ac:dyDescent="0.15">
      <c r="B46" t="s">
        <v>1641</v>
      </c>
    </row>
    <row r="47" spans="2:2" x14ac:dyDescent="0.15">
      <c r="B47" t="s">
        <v>1642</v>
      </c>
    </row>
    <row r="48" spans="2:2" x14ac:dyDescent="0.15">
      <c r="B48" t="s">
        <v>1643</v>
      </c>
    </row>
    <row r="49" spans="2:2" x14ac:dyDescent="0.15">
      <c r="B49" t="s">
        <v>1644</v>
      </c>
    </row>
    <row r="50" spans="2:2" x14ac:dyDescent="0.15">
      <c r="B50" t="s">
        <v>1645</v>
      </c>
    </row>
    <row r="51" spans="2:2" x14ac:dyDescent="0.15">
      <c r="B51" t="s">
        <v>1646</v>
      </c>
    </row>
    <row r="52" spans="2:2" x14ac:dyDescent="0.15">
      <c r="B52" t="s">
        <v>1647</v>
      </c>
    </row>
    <row r="53" spans="2:2" x14ac:dyDescent="0.15">
      <c r="B53" t="s">
        <v>1648</v>
      </c>
    </row>
    <row r="54" spans="2:2" x14ac:dyDescent="0.15">
      <c r="B54" t="s">
        <v>1649</v>
      </c>
    </row>
    <row r="55" spans="2:2" x14ac:dyDescent="0.15">
      <c r="B55" t="s">
        <v>1784</v>
      </c>
    </row>
    <row r="56" spans="2:2" x14ac:dyDescent="0.15">
      <c r="B56" t="s">
        <v>1651</v>
      </c>
    </row>
    <row r="57" spans="2:2" x14ac:dyDescent="0.15">
      <c r="B57" t="s">
        <v>1652</v>
      </c>
    </row>
    <row r="58" spans="2:2" x14ac:dyDescent="0.15">
      <c r="B58" t="s">
        <v>1653</v>
      </c>
    </row>
    <row r="59" spans="2:2" x14ac:dyDescent="0.15">
      <c r="B59" t="s">
        <v>1654</v>
      </c>
    </row>
    <row r="60" spans="2:2" x14ac:dyDescent="0.15">
      <c r="B60" t="s">
        <v>1655</v>
      </c>
    </row>
    <row r="61" spans="2:2" x14ac:dyDescent="0.15">
      <c r="B61" t="s">
        <v>1785</v>
      </c>
    </row>
    <row r="62" spans="2:2" x14ac:dyDescent="0.15">
      <c r="B62" t="s">
        <v>1786</v>
      </c>
    </row>
    <row r="63" spans="2:2" x14ac:dyDescent="0.15">
      <c r="B63" t="s">
        <v>1787</v>
      </c>
    </row>
    <row r="64" spans="2:2" x14ac:dyDescent="0.15">
      <c r="B64" t="s">
        <v>1788</v>
      </c>
    </row>
    <row r="65" spans="2:2" x14ac:dyDescent="0.15">
      <c r="B65" t="s">
        <v>1789</v>
      </c>
    </row>
    <row r="66" spans="2:2" x14ac:dyDescent="0.15">
      <c r="B66" t="s">
        <v>1790</v>
      </c>
    </row>
    <row r="67" spans="2:2" x14ac:dyDescent="0.15">
      <c r="B67" t="s">
        <v>1791</v>
      </c>
    </row>
    <row r="68" spans="2:2" x14ac:dyDescent="0.15">
      <c r="B68" t="s">
        <v>1792</v>
      </c>
    </row>
    <row r="69" spans="2:2" x14ac:dyDescent="0.15">
      <c r="B69" t="s">
        <v>1793</v>
      </c>
    </row>
    <row r="70" spans="2:2" x14ac:dyDescent="0.15">
      <c r="B70" t="s">
        <v>1794</v>
      </c>
    </row>
    <row r="71" spans="2:2" x14ac:dyDescent="0.15">
      <c r="B71" t="s">
        <v>1795</v>
      </c>
    </row>
    <row r="72" spans="2:2" x14ac:dyDescent="0.15">
      <c r="B72" t="s">
        <v>1796</v>
      </c>
    </row>
    <row r="73" spans="2:2" x14ac:dyDescent="0.15">
      <c r="B73" t="s">
        <v>1668</v>
      </c>
    </row>
    <row r="74" spans="2:2" x14ac:dyDescent="0.15">
      <c r="B74" t="s">
        <v>1681</v>
      </c>
    </row>
    <row r="75" spans="2:2" x14ac:dyDescent="0.15">
      <c r="B75" t="s">
        <v>1682</v>
      </c>
    </row>
  </sheetData>
  <mergeCells count="14">
    <mergeCell ref="B3:M3"/>
    <mergeCell ref="P3:S3"/>
    <mergeCell ref="B5:C5"/>
    <mergeCell ref="D5:E5"/>
    <mergeCell ref="F5:G5"/>
    <mergeCell ref="H5:I5"/>
    <mergeCell ref="J5:K5"/>
    <mergeCell ref="L5:M5"/>
    <mergeCell ref="B4:C4"/>
    <mergeCell ref="D4:E4"/>
    <mergeCell ref="F4:G4"/>
    <mergeCell ref="H4:I4"/>
    <mergeCell ref="J4:K4"/>
    <mergeCell ref="L4:M4"/>
  </mergeCells>
  <hyperlinks>
    <hyperlink ref="B4" location="'LogReg_Output'!$B$10:$B$10" display="Inputs" xr:uid="{4B5197B9-6F89-1447-BEB3-0FA365C94433}"/>
    <hyperlink ref="D4" location="'LogReg_Output'!$B$54:$B$54" display="Regression Summary" xr:uid="{FB543D5F-3044-9A4C-A970-FF83211D75DD}"/>
    <hyperlink ref="F4" location="'LogReg_Output'!$B$62:$B$62" display="Predictor Screening" xr:uid="{B55ED226-E30A-BD43-9AA8-30423A21C369}"/>
    <hyperlink ref="H4" location="'LogReg_Output'!$B$81:$B$81" display="Coefficients" xr:uid="{91A7CFB0-E872-B847-BC46-84398831A8CA}"/>
    <hyperlink ref="J4" location="'LogReg_Stored'!$B$10:$B$10" display="PMML Model" xr:uid="{BEDF1E93-8414-AF42-9A63-F761866A8DEA}"/>
    <hyperlink ref="L4" location="'LogReg_TrainingScore'!$B$10:$B$10" display="Training: Classification Summary" xr:uid="{D35A00E9-E041-774B-A7FE-EBE2E00E0A6B}"/>
    <hyperlink ref="B5" location="'LogReg_TrainingScore'!$B$34:$B$34" display="Training: Classification Details" xr:uid="{94378FBE-DC9A-4A4D-9040-B3084A4F290D}"/>
    <hyperlink ref="D5" location="'LogReg_ValidationLiftChart'!$B$10:$B$10" display="Validation: Charts" xr:uid="{A95BCD72-C386-4544-90EB-754069702502}"/>
    <hyperlink ref="F5" location="'LogReg_ValidationScore'!$B$10:$B$10" display="Validation: Classification Summary" xr:uid="{A420BC5D-97A6-8C45-8D4D-3847185CDE6B}"/>
    <hyperlink ref="H5" location="'LogReg_ValidationScore'!$B$34:$B$34" display="Validation: Classification Details" xr:uid="{41585554-6037-FA47-A062-94A93C96E623}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3CA85-95CD-3144-9505-3D11E0189E55}">
  <dimension ref="B1:CV62"/>
  <sheetViews>
    <sheetView showGridLines="0" workbookViewId="0">
      <selection activeCell="C50" sqref="C50:E62"/>
    </sheetView>
  </sheetViews>
  <sheetFormatPr baseColWidth="10" defaultRowHeight="13" x14ac:dyDescent="0.15"/>
  <cols>
    <col min="14" max="14" width="26" bestFit="1" customWidth="1"/>
  </cols>
  <sheetData>
    <row r="1" spans="2:100" ht="19" x14ac:dyDescent="0.25">
      <c r="B1" s="40" t="s">
        <v>1753</v>
      </c>
      <c r="N1" t="s">
        <v>1627</v>
      </c>
      <c r="CV1" s="55" t="s">
        <v>1768</v>
      </c>
    </row>
    <row r="3" spans="2:100" ht="16" x14ac:dyDescent="0.2">
      <c r="B3" s="65" t="s">
        <v>49</v>
      </c>
      <c r="C3" s="66"/>
      <c r="D3" s="66"/>
      <c r="E3" s="66"/>
      <c r="F3" s="66"/>
      <c r="G3" s="66"/>
      <c r="H3" s="66"/>
      <c r="I3" s="66"/>
      <c r="J3" s="66"/>
      <c r="K3" s="67"/>
      <c r="N3" s="65" t="s">
        <v>50</v>
      </c>
      <c r="O3" s="66"/>
      <c r="P3" s="66"/>
      <c r="Q3" s="67"/>
    </row>
    <row r="4" spans="2:100" ht="14" x14ac:dyDescent="0.2">
      <c r="B4" s="49" t="s">
        <v>74</v>
      </c>
      <c r="C4" s="49"/>
      <c r="D4" s="49" t="s">
        <v>1683</v>
      </c>
      <c r="E4" s="49"/>
      <c r="F4" s="49" t="s">
        <v>1605</v>
      </c>
      <c r="G4" s="49"/>
      <c r="H4" s="49" t="s">
        <v>1684</v>
      </c>
      <c r="I4" s="49"/>
      <c r="J4" s="49" t="s">
        <v>1685</v>
      </c>
      <c r="K4" s="49"/>
      <c r="N4" s="53" t="s">
        <v>86</v>
      </c>
      <c r="O4" s="53" t="s">
        <v>87</v>
      </c>
      <c r="P4" s="53" t="s">
        <v>52</v>
      </c>
      <c r="Q4" s="53" t="s">
        <v>53</v>
      </c>
    </row>
    <row r="5" spans="2:100" ht="14" x14ac:dyDescent="0.2">
      <c r="B5" s="49" t="s">
        <v>1686</v>
      </c>
      <c r="C5" s="49"/>
      <c r="D5" s="49" t="s">
        <v>1687</v>
      </c>
      <c r="E5" s="49"/>
      <c r="F5" s="50" t="s">
        <v>1688</v>
      </c>
      <c r="G5" s="48"/>
      <c r="H5" s="57"/>
      <c r="I5" s="64"/>
      <c r="J5" s="57"/>
      <c r="K5" s="64"/>
      <c r="N5" s="45">
        <v>847</v>
      </c>
      <c r="O5" s="45">
        <v>5</v>
      </c>
      <c r="P5" s="45">
        <v>116</v>
      </c>
      <c r="Q5" s="45">
        <v>968</v>
      </c>
    </row>
    <row r="10" spans="2:100" ht="19" x14ac:dyDescent="0.25">
      <c r="B10" s="41" t="s">
        <v>74</v>
      </c>
    </row>
    <row r="12" spans="2:100" ht="16" x14ac:dyDescent="0.2">
      <c r="C12" s="51" t="s">
        <v>54</v>
      </c>
      <c r="D12" s="51"/>
      <c r="E12" s="51"/>
      <c r="F12" s="51"/>
      <c r="G12" s="51"/>
      <c r="H12" s="51"/>
      <c r="I12" s="51"/>
      <c r="J12" s="51"/>
      <c r="K12" s="51"/>
    </row>
    <row r="13" spans="2:100" ht="14" x14ac:dyDescent="0.2">
      <c r="C13" s="52" t="s">
        <v>55</v>
      </c>
      <c r="D13" s="52"/>
      <c r="E13" s="52"/>
      <c r="F13" s="35"/>
      <c r="G13" s="44" t="s">
        <v>56</v>
      </c>
      <c r="H13" s="44"/>
      <c r="I13" s="44"/>
      <c r="J13" s="44"/>
      <c r="K13" s="44"/>
    </row>
    <row r="14" spans="2:100" ht="14" x14ac:dyDescent="0.2">
      <c r="C14" s="52" t="s">
        <v>57</v>
      </c>
      <c r="D14" s="52"/>
      <c r="E14" s="52"/>
      <c r="F14" s="35"/>
      <c r="G14" s="44" t="s">
        <v>1765</v>
      </c>
      <c r="H14" s="44"/>
      <c r="I14" s="44"/>
      <c r="J14" s="44"/>
      <c r="K14" s="44"/>
    </row>
    <row r="15" spans="2:100" ht="14" x14ac:dyDescent="0.2">
      <c r="C15" s="52" t="s">
        <v>1754</v>
      </c>
      <c r="D15" s="52"/>
      <c r="E15" s="52"/>
      <c r="F15" s="35"/>
      <c r="G15" s="44" t="s">
        <v>1766</v>
      </c>
      <c r="H15" s="44"/>
      <c r="I15" s="44"/>
      <c r="J15" s="44"/>
      <c r="K15" s="44"/>
    </row>
    <row r="16" spans="2:100" ht="14" x14ac:dyDescent="0.2">
      <c r="C16" s="52" t="s">
        <v>1755</v>
      </c>
      <c r="D16" s="52"/>
      <c r="E16" s="52"/>
      <c r="F16" s="35"/>
      <c r="G16" s="44">
        <v>256</v>
      </c>
      <c r="H16" s="44"/>
      <c r="I16" s="44"/>
      <c r="J16" s="44"/>
      <c r="K16" s="44"/>
    </row>
    <row r="17" spans="3:15" ht="14" x14ac:dyDescent="0.2">
      <c r="C17" s="52" t="s">
        <v>1756</v>
      </c>
      <c r="D17" s="52"/>
      <c r="E17" s="52"/>
      <c r="F17" s="35"/>
      <c r="G17" s="44" t="s">
        <v>1767</v>
      </c>
      <c r="H17" s="44"/>
      <c r="I17" s="44"/>
      <c r="J17" s="44"/>
      <c r="K17" s="44"/>
    </row>
    <row r="18" spans="3:15" ht="14" x14ac:dyDescent="0.2">
      <c r="C18" s="52" t="s">
        <v>1757</v>
      </c>
      <c r="D18" s="52"/>
      <c r="E18" s="52"/>
      <c r="F18" s="35"/>
      <c r="G18" s="44">
        <v>1250</v>
      </c>
      <c r="H18" s="44"/>
      <c r="I18" s="44"/>
      <c r="J18" s="44"/>
      <c r="K18" s="44"/>
    </row>
    <row r="20" spans="3:15" ht="16" x14ac:dyDescent="0.2">
      <c r="C20" s="51" t="s">
        <v>78</v>
      </c>
      <c r="D20" s="51"/>
      <c r="E20" s="51"/>
      <c r="F20" s="51"/>
      <c r="G20" s="51"/>
      <c r="H20" s="51"/>
      <c r="I20" s="51"/>
      <c r="J20" s="51"/>
      <c r="K20" s="51"/>
      <c r="L20" s="51"/>
      <c r="M20" s="51"/>
      <c r="N20" s="51"/>
      <c r="O20" s="51"/>
    </row>
    <row r="21" spans="3:15" ht="14" x14ac:dyDescent="0.2">
      <c r="C21" s="52" t="s">
        <v>79</v>
      </c>
      <c r="D21" s="35"/>
      <c r="E21" s="44">
        <v>11</v>
      </c>
      <c r="F21" s="44"/>
      <c r="G21" s="44"/>
      <c r="H21" s="44"/>
      <c r="I21" s="44"/>
      <c r="J21" s="44"/>
      <c r="K21" s="44"/>
      <c r="L21" s="44"/>
      <c r="M21" s="44"/>
      <c r="N21" s="44"/>
      <c r="O21" s="44"/>
    </row>
    <row r="22" spans="3:15" ht="14" x14ac:dyDescent="0.2">
      <c r="C22" s="52" t="s">
        <v>80</v>
      </c>
      <c r="D22" s="35"/>
      <c r="E22" s="45" t="s">
        <v>18</v>
      </c>
      <c r="F22" s="45" t="s">
        <v>2</v>
      </c>
      <c r="G22" s="45" t="s">
        <v>22</v>
      </c>
      <c r="H22" s="45" t="s">
        <v>21</v>
      </c>
      <c r="I22" s="45" t="s">
        <v>43</v>
      </c>
      <c r="J22" s="45" t="s">
        <v>44</v>
      </c>
      <c r="K22" s="45" t="s">
        <v>7</v>
      </c>
      <c r="L22" s="45" t="s">
        <v>6</v>
      </c>
      <c r="M22" s="45" t="s">
        <v>5</v>
      </c>
      <c r="N22" s="45" t="s">
        <v>19</v>
      </c>
      <c r="O22" s="45" t="s">
        <v>20</v>
      </c>
    </row>
    <row r="23" spans="3:15" ht="14" x14ac:dyDescent="0.2">
      <c r="C23" s="52" t="s">
        <v>81</v>
      </c>
      <c r="D23" s="35"/>
      <c r="E23" s="46" t="s">
        <v>8</v>
      </c>
      <c r="F23" s="46"/>
      <c r="G23" s="46"/>
      <c r="H23" s="46"/>
      <c r="I23" s="46"/>
      <c r="J23" s="46"/>
      <c r="K23" s="46"/>
      <c r="L23" s="46"/>
      <c r="M23" s="46"/>
      <c r="N23" s="46"/>
      <c r="O23" s="46"/>
    </row>
    <row r="25" spans="3:15" ht="16" x14ac:dyDescent="0.2">
      <c r="C25" s="51" t="s">
        <v>1758</v>
      </c>
      <c r="D25" s="51"/>
      <c r="E25" s="51"/>
      <c r="F25" s="51"/>
      <c r="G25" s="51"/>
      <c r="H25" s="51"/>
      <c r="I25" s="51"/>
    </row>
    <row r="26" spans="3:15" ht="14" x14ac:dyDescent="0.2">
      <c r="C26" s="52" t="s">
        <v>1759</v>
      </c>
      <c r="D26" s="52"/>
      <c r="E26" s="35"/>
      <c r="F26" s="44" t="b">
        <v>0</v>
      </c>
      <c r="G26" s="44"/>
      <c r="H26" s="44"/>
      <c r="I26" s="44"/>
    </row>
    <row r="28" spans="3:15" ht="16" x14ac:dyDescent="0.2">
      <c r="C28" s="51" t="s">
        <v>1760</v>
      </c>
      <c r="D28" s="51"/>
      <c r="E28" s="51"/>
      <c r="F28" s="51"/>
      <c r="G28" s="51"/>
      <c r="H28" s="51"/>
      <c r="I28" s="51"/>
    </row>
    <row r="29" spans="3:15" ht="14" x14ac:dyDescent="0.2">
      <c r="C29" s="52" t="s">
        <v>1761</v>
      </c>
      <c r="D29" s="52"/>
      <c r="E29" s="35"/>
      <c r="F29" s="44" t="s">
        <v>1764</v>
      </c>
      <c r="G29" s="44"/>
      <c r="H29" s="44"/>
      <c r="I29" s="44"/>
    </row>
    <row r="31" spans="3:15" ht="16" x14ac:dyDescent="0.2">
      <c r="C31" s="51" t="s">
        <v>1762</v>
      </c>
      <c r="D31" s="51"/>
      <c r="E31" s="51"/>
      <c r="F31" s="51"/>
      <c r="G31" s="51"/>
      <c r="H31" s="51"/>
      <c r="I31" s="51"/>
    </row>
    <row r="32" spans="3:15" ht="14" x14ac:dyDescent="0.2">
      <c r="C32" s="52" t="s">
        <v>1763</v>
      </c>
      <c r="D32" s="52"/>
      <c r="E32" s="35"/>
      <c r="F32" s="44">
        <v>2</v>
      </c>
      <c r="G32" s="44"/>
      <c r="H32" s="44"/>
      <c r="I32" s="44"/>
    </row>
    <row r="33" spans="2:9" ht="14" x14ac:dyDescent="0.2">
      <c r="C33" s="52" t="s">
        <v>1741</v>
      </c>
      <c r="D33" s="52"/>
      <c r="E33" s="35"/>
      <c r="F33" s="44">
        <v>1</v>
      </c>
      <c r="G33" s="44"/>
      <c r="H33" s="44"/>
      <c r="I33" s="44"/>
    </row>
    <row r="34" spans="2:9" ht="14" x14ac:dyDescent="0.2">
      <c r="C34" s="52" t="s">
        <v>1742</v>
      </c>
      <c r="D34" s="52"/>
      <c r="E34" s="35"/>
      <c r="F34" s="44">
        <v>0.5</v>
      </c>
      <c r="G34" s="44"/>
      <c r="H34" s="44"/>
      <c r="I34" s="44"/>
    </row>
    <row r="36" spans="2:9" ht="16" x14ac:dyDescent="0.2">
      <c r="C36" s="51" t="s">
        <v>1769</v>
      </c>
      <c r="D36" s="51"/>
      <c r="E36" s="51"/>
      <c r="F36" s="51"/>
      <c r="G36" s="51"/>
      <c r="H36" s="51"/>
      <c r="I36" s="51"/>
    </row>
    <row r="37" spans="2:9" ht="14" x14ac:dyDescent="0.2">
      <c r="C37" s="52" t="s">
        <v>1770</v>
      </c>
      <c r="D37" s="52"/>
      <c r="E37" s="35"/>
      <c r="F37" s="44" t="b">
        <v>1</v>
      </c>
      <c r="G37" s="44"/>
      <c r="H37" s="44"/>
      <c r="I37" s="44"/>
    </row>
    <row r="38" spans="2:9" ht="14" x14ac:dyDescent="0.2">
      <c r="C38" s="52" t="s">
        <v>1771</v>
      </c>
      <c r="D38" s="52"/>
      <c r="E38" s="35"/>
      <c r="F38" s="44" t="b">
        <v>0</v>
      </c>
      <c r="G38" s="44"/>
      <c r="H38" s="44"/>
      <c r="I38" s="44"/>
    </row>
    <row r="40" spans="2:9" ht="16" x14ac:dyDescent="0.2">
      <c r="C40" s="51" t="s">
        <v>1772</v>
      </c>
      <c r="D40" s="51"/>
      <c r="E40" s="51"/>
      <c r="F40" s="51"/>
      <c r="G40" s="51"/>
    </row>
    <row r="41" spans="2:9" ht="14" x14ac:dyDescent="0.2">
      <c r="C41" s="46" t="s">
        <v>1773</v>
      </c>
      <c r="D41" s="46"/>
      <c r="E41" s="46"/>
      <c r="F41" s="46"/>
      <c r="G41" s="46"/>
    </row>
    <row r="42" spans="2:9" ht="14" x14ac:dyDescent="0.2">
      <c r="C42" s="46" t="s">
        <v>1774</v>
      </c>
      <c r="D42" s="46"/>
      <c r="E42" s="46"/>
      <c r="F42" s="46"/>
      <c r="G42" s="46"/>
    </row>
    <row r="43" spans="2:9" ht="14" x14ac:dyDescent="0.2">
      <c r="C43" s="46" t="s">
        <v>1775</v>
      </c>
      <c r="D43" s="46"/>
      <c r="E43" s="46"/>
      <c r="F43" s="46"/>
      <c r="G43" s="46"/>
    </row>
    <row r="44" spans="2:9" ht="14" x14ac:dyDescent="0.2">
      <c r="C44" s="46" t="s">
        <v>1776</v>
      </c>
      <c r="D44" s="46"/>
      <c r="E44" s="46"/>
      <c r="F44" s="46"/>
      <c r="G44" s="46"/>
    </row>
    <row r="45" spans="2:9" ht="14" x14ac:dyDescent="0.2">
      <c r="C45" s="46" t="s">
        <v>1777</v>
      </c>
      <c r="D45" s="46"/>
      <c r="E45" s="46"/>
      <c r="F45" s="46"/>
      <c r="G45" s="46"/>
    </row>
    <row r="48" spans="2:9" ht="19" x14ac:dyDescent="0.25">
      <c r="B48" s="41" t="s">
        <v>1683</v>
      </c>
    </row>
    <row r="50" spans="3:5" x14ac:dyDescent="0.15">
      <c r="C50" s="43" t="s">
        <v>1778</v>
      </c>
      <c r="D50" t="s">
        <v>1750</v>
      </c>
      <c r="E50" t="s">
        <v>1751</v>
      </c>
    </row>
    <row r="51" spans="3:5" x14ac:dyDescent="0.15">
      <c r="C51" s="43" t="s">
        <v>1779</v>
      </c>
      <c r="D51" s="42">
        <v>-10.796435274193241</v>
      </c>
      <c r="E51">
        <v>-19.636907524535129</v>
      </c>
    </row>
    <row r="52" spans="3:5" x14ac:dyDescent="0.15">
      <c r="C52" s="43" t="s">
        <v>18</v>
      </c>
      <c r="D52" s="42">
        <v>0.20168287354645914</v>
      </c>
      <c r="E52">
        <v>0.21631292295583873</v>
      </c>
    </row>
    <row r="53" spans="3:5" x14ac:dyDescent="0.15">
      <c r="C53" s="43" t="s">
        <v>2</v>
      </c>
      <c r="D53" s="42">
        <v>6.9118245461593855E-2</v>
      </c>
      <c r="E53">
        <v>0.12988508669150717</v>
      </c>
    </row>
    <row r="54" spans="3:5" x14ac:dyDescent="0.15">
      <c r="C54" s="43" t="s">
        <v>22</v>
      </c>
      <c r="D54" s="42">
        <v>2.5964990664521741</v>
      </c>
      <c r="E54">
        <v>3.2542371019342999</v>
      </c>
    </row>
    <row r="55" spans="3:5" x14ac:dyDescent="0.15">
      <c r="C55" s="43" t="s">
        <v>21</v>
      </c>
      <c r="D55" s="42">
        <v>0.42780577253366692</v>
      </c>
      <c r="E55">
        <v>0.74767075780788095</v>
      </c>
    </row>
    <row r="56" spans="3:5" x14ac:dyDescent="0.15">
      <c r="C56" s="43" t="s">
        <v>43</v>
      </c>
      <c r="D56" s="42">
        <v>2.1176950356369244</v>
      </c>
      <c r="E56">
        <v>-9.3366017913753097E-2</v>
      </c>
    </row>
    <row r="57" spans="3:5" x14ac:dyDescent="0.15">
      <c r="C57" s="43" t="s">
        <v>44</v>
      </c>
      <c r="D57" s="42">
        <v>2.0057088895450428</v>
      </c>
      <c r="E57">
        <v>1.6386427349867416</v>
      </c>
    </row>
    <row r="58" spans="3:5" x14ac:dyDescent="0.15">
      <c r="C58" s="43" t="s">
        <v>7</v>
      </c>
      <c r="D58" s="42">
        <v>-2.9545535224831075E-3</v>
      </c>
      <c r="E58">
        <v>-2.7151647361846475E-3</v>
      </c>
    </row>
    <row r="59" spans="3:5" x14ac:dyDescent="0.15">
      <c r="C59" s="43" t="s">
        <v>6</v>
      </c>
      <c r="D59" s="42">
        <v>3.2328776213062183</v>
      </c>
      <c r="E59">
        <v>2.3062162135291793</v>
      </c>
    </row>
    <row r="60" spans="3:5" x14ac:dyDescent="0.15">
      <c r="C60" s="43" t="s">
        <v>5</v>
      </c>
      <c r="D60" s="42">
        <v>-4.1845767310850954</v>
      </c>
      <c r="E60">
        <v>-1.3546469211448773</v>
      </c>
    </row>
    <row r="61" spans="3:5" x14ac:dyDescent="0.15">
      <c r="C61" s="43" t="s">
        <v>19</v>
      </c>
      <c r="D61" s="42">
        <v>3.3448346996034295</v>
      </c>
      <c r="E61">
        <v>3.2086876058409692</v>
      </c>
    </row>
    <row r="62" spans="3:5" x14ac:dyDescent="0.15">
      <c r="C62" s="43" t="s">
        <v>20</v>
      </c>
      <c r="D62" s="42">
        <v>1.8039368507509914</v>
      </c>
      <c r="E62">
        <v>1.2691128609869013</v>
      </c>
    </row>
  </sheetData>
  <mergeCells count="55">
    <mergeCell ref="B3:K3"/>
    <mergeCell ref="N3:Q3"/>
    <mergeCell ref="H4:I4"/>
    <mergeCell ref="J4:K4"/>
    <mergeCell ref="B5:C5"/>
    <mergeCell ref="D5:E5"/>
    <mergeCell ref="F5:G5"/>
    <mergeCell ref="H5:I5"/>
    <mergeCell ref="J5:K5"/>
    <mergeCell ref="C41:G41"/>
    <mergeCell ref="C42:G42"/>
    <mergeCell ref="C43:G43"/>
    <mergeCell ref="C44:G44"/>
    <mergeCell ref="C45:G45"/>
    <mergeCell ref="B4:C4"/>
    <mergeCell ref="D4:E4"/>
    <mergeCell ref="F4:G4"/>
    <mergeCell ref="C36:I36"/>
    <mergeCell ref="C37:E37"/>
    <mergeCell ref="C38:E38"/>
    <mergeCell ref="F37:I37"/>
    <mergeCell ref="F38:I38"/>
    <mergeCell ref="C40:G40"/>
    <mergeCell ref="C31:I31"/>
    <mergeCell ref="C32:E32"/>
    <mergeCell ref="C33:E33"/>
    <mergeCell ref="C34:E34"/>
    <mergeCell ref="F32:I32"/>
    <mergeCell ref="F33:I33"/>
    <mergeCell ref="F34:I34"/>
    <mergeCell ref="C25:I25"/>
    <mergeCell ref="C26:E26"/>
    <mergeCell ref="F26:I26"/>
    <mergeCell ref="C28:I28"/>
    <mergeCell ref="C29:E29"/>
    <mergeCell ref="F29:I29"/>
    <mergeCell ref="C20:O20"/>
    <mergeCell ref="C21:D21"/>
    <mergeCell ref="C22:D22"/>
    <mergeCell ref="C23:D23"/>
    <mergeCell ref="E21:O21"/>
    <mergeCell ref="E23:O23"/>
    <mergeCell ref="C18:F18"/>
    <mergeCell ref="G13:K13"/>
    <mergeCell ref="G14:K14"/>
    <mergeCell ref="G15:K15"/>
    <mergeCell ref="G16:K16"/>
    <mergeCell ref="G17:K17"/>
    <mergeCell ref="G18:K18"/>
    <mergeCell ref="C12:K12"/>
    <mergeCell ref="C13:F13"/>
    <mergeCell ref="C14:F14"/>
    <mergeCell ref="C15:F15"/>
    <mergeCell ref="C16:F16"/>
    <mergeCell ref="C17:F17"/>
  </mergeCells>
  <hyperlinks>
    <hyperlink ref="B4" location="'DA_Output'!$B$10:$B$10" display="Inputs" xr:uid="{6C894597-63B3-5D46-9173-4B0F7CC5F48C}"/>
    <hyperlink ref="D4" location="'DA_Output'!$B$48:$B$48" display="Linear Discriminant Functions" xr:uid="{58FB7893-618D-684C-BC94-889B9908C5EB}"/>
    <hyperlink ref="F4" location="'DA_Stored'!$B$10:$B$10" display="PMML Model" xr:uid="{EE183135-8536-C54F-BDE7-69ACCA6E38E9}"/>
    <hyperlink ref="H4" location="'DA_TrainingScore'!$B$10:$B$10" display="Training: Classification Summary" xr:uid="{9485649C-7478-9842-9CC9-F4E8CC5FE748}"/>
    <hyperlink ref="J4" location="'DA_TrainingScore'!$B$34:$B$34" display="Training: Classification Details" xr:uid="{A7E5D533-92BD-5141-8406-E9876488004B}"/>
    <hyperlink ref="B5" location="'DA_ValidationLiftChart'!$B$10:$B$10" display="Validation: Charts" xr:uid="{FC0F3EDC-70E1-064D-81A4-665730B6FEA5}"/>
    <hyperlink ref="D5" location="'DA_ValidationScore'!$B$10:$B$10" display="Validation: Classification Summary" xr:uid="{13E9C798-5143-8C40-BDC0-37704623C182}"/>
    <hyperlink ref="F5" location="'DA_ValidationScore'!$B$34:$B$34" display="Validation: Classification Details" xr:uid="{CC76332F-3ED4-D24F-A1E3-194735D1D6A2}"/>
  </hyperlink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4F618-E6FB-E04C-A8DB-CBEC30DD6217}">
  <dimension ref="B1:Q292"/>
  <sheetViews>
    <sheetView showGridLines="0" workbookViewId="0">
      <selection activeCell="C36" sqref="C36:G292"/>
    </sheetView>
  </sheetViews>
  <sheetFormatPr baseColWidth="10" defaultRowHeight="13" x14ac:dyDescent="0.15"/>
  <cols>
    <col min="3" max="3" width="17" customWidth="1"/>
    <col min="4" max="4" width="15.33203125" customWidth="1"/>
    <col min="5" max="5" width="24.6640625" customWidth="1"/>
    <col min="6" max="7" width="13" customWidth="1"/>
    <col min="14" max="14" width="23.33203125" bestFit="1" customWidth="1"/>
  </cols>
  <sheetData>
    <row r="1" spans="2:17" ht="19" x14ac:dyDescent="0.25">
      <c r="B1" s="40" t="s">
        <v>1752</v>
      </c>
      <c r="N1" t="s">
        <v>1627</v>
      </c>
    </row>
    <row r="3" spans="2:17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N3" s="54" t="s">
        <v>50</v>
      </c>
      <c r="O3" s="54"/>
      <c r="P3" s="54"/>
      <c r="Q3" s="54"/>
    </row>
    <row r="4" spans="2:17" ht="14" x14ac:dyDescent="0.2">
      <c r="B4" s="49" t="s">
        <v>74</v>
      </c>
      <c r="C4" s="49"/>
      <c r="D4" s="49" t="s">
        <v>1683</v>
      </c>
      <c r="E4" s="49"/>
      <c r="F4" s="49" t="s">
        <v>1605</v>
      </c>
      <c r="G4" s="49"/>
      <c r="H4" s="49" t="s">
        <v>1684</v>
      </c>
      <c r="I4" s="49"/>
      <c r="J4" s="49" t="s">
        <v>1685</v>
      </c>
      <c r="K4" s="49"/>
      <c r="N4" s="53" t="s">
        <v>86</v>
      </c>
      <c r="O4" s="53" t="s">
        <v>87</v>
      </c>
      <c r="P4" s="53" t="s">
        <v>52</v>
      </c>
      <c r="Q4" s="53" t="s">
        <v>53</v>
      </c>
    </row>
    <row r="5" spans="2:17" ht="14" x14ac:dyDescent="0.2">
      <c r="B5" s="49" t="s">
        <v>1686</v>
      </c>
      <c r="C5" s="49"/>
      <c r="D5" s="49" t="s">
        <v>1687</v>
      </c>
      <c r="E5" s="49"/>
      <c r="F5" s="49" t="s">
        <v>1688</v>
      </c>
      <c r="G5" s="49"/>
      <c r="H5" s="56"/>
      <c r="I5" s="56"/>
      <c r="J5" s="56"/>
      <c r="K5" s="56"/>
      <c r="N5" s="45">
        <v>847</v>
      </c>
      <c r="O5" s="45">
        <v>5</v>
      </c>
      <c r="P5" s="45">
        <v>116</v>
      </c>
      <c r="Q5" s="45">
        <v>968</v>
      </c>
    </row>
    <row r="10" spans="2:17" ht="19" x14ac:dyDescent="0.25">
      <c r="B10" s="41" t="s">
        <v>1684</v>
      </c>
    </row>
    <row r="12" spans="2:17" ht="16" x14ac:dyDescent="0.2">
      <c r="C12" s="51" t="s">
        <v>1729</v>
      </c>
      <c r="D12" s="51"/>
      <c r="E12" s="51"/>
    </row>
    <row r="13" spans="2:17" x14ac:dyDescent="0.15">
      <c r="C13" s="43" t="s">
        <v>1746</v>
      </c>
      <c r="D13" t="s">
        <v>1750</v>
      </c>
      <c r="E13" t="s">
        <v>1751</v>
      </c>
    </row>
    <row r="14" spans="2:17" x14ac:dyDescent="0.15">
      <c r="C14" s="43">
        <v>0</v>
      </c>
      <c r="D14" s="42">
        <v>116</v>
      </c>
      <c r="E14">
        <v>12</v>
      </c>
    </row>
    <row r="15" spans="2:17" x14ac:dyDescent="0.15">
      <c r="C15" s="43">
        <v>1</v>
      </c>
      <c r="D15" s="42">
        <v>13</v>
      </c>
      <c r="E15">
        <v>115</v>
      </c>
    </row>
    <row r="17" spans="3:6" ht="16" x14ac:dyDescent="0.2">
      <c r="C17" s="51" t="s">
        <v>1730</v>
      </c>
      <c r="D17" s="51"/>
      <c r="E17" s="51"/>
      <c r="F17" s="51"/>
    </row>
    <row r="18" spans="3:6" x14ac:dyDescent="0.15">
      <c r="C18" t="s">
        <v>1731</v>
      </c>
      <c r="D18" t="s">
        <v>1719</v>
      </c>
      <c r="E18" t="s">
        <v>1744</v>
      </c>
      <c r="F18" t="s">
        <v>1745</v>
      </c>
    </row>
    <row r="19" spans="3:6" x14ac:dyDescent="0.15">
      <c r="C19" s="43">
        <v>0</v>
      </c>
      <c r="D19">
        <f>SUM($D$14:$E$14)</f>
        <v>128</v>
      </c>
      <c r="E19">
        <f>SUM($D$14:$E$14) - $D$14</f>
        <v>12</v>
      </c>
      <c r="F19">
        <f>IF($D$19=0,"Undefined",$E$19*100 / $D$19)</f>
        <v>9.375</v>
      </c>
    </row>
    <row r="20" spans="3:6" x14ac:dyDescent="0.15">
      <c r="C20" s="43">
        <v>1</v>
      </c>
      <c r="D20">
        <f>SUM($D$15:$E$15)</f>
        <v>128</v>
      </c>
      <c r="E20">
        <f>SUM($D$15:$E$15) - $E$15</f>
        <v>13</v>
      </c>
      <c r="F20">
        <f>IF($D$20=0,"Undefined",$E$20*100 / $D$20)</f>
        <v>10.15625</v>
      </c>
    </row>
    <row r="21" spans="3:6" x14ac:dyDescent="0.15">
      <c r="C21" s="43" t="s">
        <v>1732</v>
      </c>
      <c r="D21">
        <f>SUM($D$19:$D$20)</f>
        <v>256</v>
      </c>
      <c r="E21">
        <f>SUM($E$19:$E$20)</f>
        <v>25</v>
      </c>
      <c r="F21">
        <f>IF($D$21=0,"Undefined",$E$21*100 / $D$21)</f>
        <v>9.765625</v>
      </c>
    </row>
    <row r="23" spans="3:6" ht="16" x14ac:dyDescent="0.2">
      <c r="C23" s="51" t="s">
        <v>1733</v>
      </c>
      <c r="D23" s="51"/>
    </row>
    <row r="24" spans="3:6" x14ac:dyDescent="0.15">
      <c r="C24" t="s">
        <v>1734</v>
      </c>
      <c r="D24" t="s">
        <v>1743</v>
      </c>
    </row>
    <row r="25" spans="3:6" x14ac:dyDescent="0.15">
      <c r="C25" t="s">
        <v>1735</v>
      </c>
      <c r="D25">
        <v>231</v>
      </c>
    </row>
    <row r="26" spans="3:6" x14ac:dyDescent="0.15">
      <c r="C26" t="s">
        <v>1736</v>
      </c>
      <c r="D26">
        <v>90.234375</v>
      </c>
    </row>
    <row r="27" spans="3:6" x14ac:dyDescent="0.15">
      <c r="C27" t="s">
        <v>1737</v>
      </c>
      <c r="D27">
        <v>0.90625</v>
      </c>
    </row>
    <row r="28" spans="3:6" x14ac:dyDescent="0.15">
      <c r="C28" t="s">
        <v>1738</v>
      </c>
      <c r="D28">
        <v>0.8984375</v>
      </c>
    </row>
    <row r="29" spans="3:6" x14ac:dyDescent="0.15">
      <c r="C29" t="s">
        <v>1739</v>
      </c>
      <c r="D29">
        <v>0.90551181102362199</v>
      </c>
    </row>
    <row r="30" spans="3:6" x14ac:dyDescent="0.15">
      <c r="C30" t="s">
        <v>1740</v>
      </c>
      <c r="D30">
        <v>0.90196078431372551</v>
      </c>
    </row>
    <row r="31" spans="3:6" x14ac:dyDescent="0.15">
      <c r="C31" t="s">
        <v>1741</v>
      </c>
      <c r="D31">
        <v>1</v>
      </c>
    </row>
    <row r="32" spans="3:6" x14ac:dyDescent="0.15">
      <c r="C32" t="s">
        <v>1742</v>
      </c>
      <c r="D32">
        <v>0.5</v>
      </c>
    </row>
    <row r="34" spans="2:7" ht="19" x14ac:dyDescent="0.25">
      <c r="B34" s="41" t="s">
        <v>1685</v>
      </c>
    </row>
    <row r="36" spans="2:7" x14ac:dyDescent="0.15">
      <c r="C36" s="43" t="s">
        <v>97</v>
      </c>
      <c r="D36" t="s">
        <v>8</v>
      </c>
      <c r="E36" t="s">
        <v>1747</v>
      </c>
      <c r="F36" t="s">
        <v>1748</v>
      </c>
      <c r="G36" t="s">
        <v>1749</v>
      </c>
    </row>
    <row r="37" spans="2:7" x14ac:dyDescent="0.15">
      <c r="C37" s="43" t="s">
        <v>98</v>
      </c>
      <c r="D37" s="42">
        <v>0</v>
      </c>
      <c r="E37" s="42">
        <v>0</v>
      </c>
      <c r="F37" s="42">
        <v>0.98586561279067675</v>
      </c>
      <c r="G37">
        <v>1.4134387209323309E-2</v>
      </c>
    </row>
    <row r="38" spans="2:7" x14ac:dyDescent="0.15">
      <c r="C38" s="43" t="s">
        <v>99</v>
      </c>
      <c r="D38" s="42">
        <v>0</v>
      </c>
      <c r="E38" s="42">
        <v>0</v>
      </c>
      <c r="F38" s="42">
        <v>0.99986465632044619</v>
      </c>
      <c r="G38">
        <v>1.3534367955365351E-4</v>
      </c>
    </row>
    <row r="39" spans="2:7" x14ac:dyDescent="0.15">
      <c r="C39" s="43" t="s">
        <v>100</v>
      </c>
      <c r="D39" s="42">
        <v>1</v>
      </c>
      <c r="E39" s="42">
        <v>1</v>
      </c>
      <c r="F39" s="42">
        <v>1.4040087182661494E-4</v>
      </c>
      <c r="G39">
        <v>0.99985959912817335</v>
      </c>
    </row>
    <row r="40" spans="2:7" x14ac:dyDescent="0.15">
      <c r="C40" s="43" t="s">
        <v>101</v>
      </c>
      <c r="D40" s="42">
        <v>0</v>
      </c>
      <c r="E40" s="42">
        <v>0</v>
      </c>
      <c r="F40" s="42">
        <v>0.94730296494185418</v>
      </c>
      <c r="G40">
        <v>5.2697035058145936E-2</v>
      </c>
    </row>
    <row r="41" spans="2:7" x14ac:dyDescent="0.15">
      <c r="C41" s="43" t="s">
        <v>102</v>
      </c>
      <c r="D41" s="42">
        <v>1</v>
      </c>
      <c r="E41" s="42">
        <v>1</v>
      </c>
      <c r="F41" s="42">
        <v>5.9596370168879336E-4</v>
      </c>
      <c r="G41">
        <v>0.9994040362983112</v>
      </c>
    </row>
    <row r="42" spans="2:7" x14ac:dyDescent="0.15">
      <c r="C42" s="43" t="s">
        <v>103</v>
      </c>
      <c r="D42" s="42">
        <v>0</v>
      </c>
      <c r="E42" s="42">
        <v>0</v>
      </c>
      <c r="F42" s="42">
        <v>0.99265078399498197</v>
      </c>
      <c r="G42">
        <v>7.3492160050180203E-3</v>
      </c>
    </row>
    <row r="43" spans="2:7" x14ac:dyDescent="0.15">
      <c r="C43" s="43" t="s">
        <v>104</v>
      </c>
      <c r="D43" s="42">
        <v>1</v>
      </c>
      <c r="E43" s="42">
        <v>1</v>
      </c>
      <c r="F43" s="42">
        <v>4.5251265496871757E-4</v>
      </c>
      <c r="G43">
        <v>0.9995474873450314</v>
      </c>
    </row>
    <row r="44" spans="2:7" x14ac:dyDescent="0.15">
      <c r="C44" s="43" t="s">
        <v>105</v>
      </c>
      <c r="D44" s="42">
        <v>0</v>
      </c>
      <c r="E44" s="42">
        <v>0</v>
      </c>
      <c r="F44" s="42">
        <v>0.87995861759507843</v>
      </c>
      <c r="G44">
        <v>0.1200413824049216</v>
      </c>
    </row>
    <row r="45" spans="2:7" x14ac:dyDescent="0.15">
      <c r="C45" s="43" t="s">
        <v>106</v>
      </c>
      <c r="D45" s="42">
        <v>0</v>
      </c>
      <c r="E45" s="42">
        <v>0</v>
      </c>
      <c r="F45" s="42">
        <v>0.94977605037411306</v>
      </c>
      <c r="G45">
        <v>5.0223949625886964E-2</v>
      </c>
    </row>
    <row r="46" spans="2:7" x14ac:dyDescent="0.15">
      <c r="C46" s="43" t="s">
        <v>107</v>
      </c>
      <c r="D46" s="42">
        <v>0</v>
      </c>
      <c r="E46" s="42">
        <v>0</v>
      </c>
      <c r="F46" s="42">
        <v>0.99647659388110532</v>
      </c>
      <c r="G46">
        <v>3.5234061188947666E-3</v>
      </c>
    </row>
    <row r="47" spans="2:7" x14ac:dyDescent="0.15">
      <c r="C47" s="43" t="s">
        <v>108</v>
      </c>
      <c r="D47" s="42">
        <v>1</v>
      </c>
      <c r="E47" s="42">
        <v>1</v>
      </c>
      <c r="F47" s="42">
        <v>2.3472896451830753E-2</v>
      </c>
      <c r="G47">
        <v>0.97652710354816918</v>
      </c>
    </row>
    <row r="48" spans="2:7" x14ac:dyDescent="0.15">
      <c r="C48" s="43" t="s">
        <v>109</v>
      </c>
      <c r="D48" s="42">
        <v>1</v>
      </c>
      <c r="E48" s="42">
        <v>1</v>
      </c>
      <c r="F48" s="42">
        <v>0.30927149690884154</v>
      </c>
      <c r="G48">
        <v>0.69072850309115841</v>
      </c>
    </row>
    <row r="49" spans="3:7" x14ac:dyDescent="0.15">
      <c r="C49" s="43" t="s">
        <v>110</v>
      </c>
      <c r="D49" s="42">
        <v>1</v>
      </c>
      <c r="E49" s="42">
        <v>1</v>
      </c>
      <c r="F49" s="42">
        <v>1.0655122953546982E-3</v>
      </c>
      <c r="G49">
        <v>0.99893448770464532</v>
      </c>
    </row>
    <row r="50" spans="3:7" x14ac:dyDescent="0.15">
      <c r="C50" s="43" t="s">
        <v>111</v>
      </c>
      <c r="D50" s="42">
        <v>1</v>
      </c>
      <c r="E50" s="42">
        <v>1</v>
      </c>
      <c r="F50" s="42">
        <v>7.6343239586996563E-3</v>
      </c>
      <c r="G50">
        <v>0.99236567604130044</v>
      </c>
    </row>
    <row r="51" spans="3:7" x14ac:dyDescent="0.15">
      <c r="C51" s="43" t="s">
        <v>112</v>
      </c>
      <c r="D51" s="42">
        <v>0</v>
      </c>
      <c r="E51" s="42">
        <v>0</v>
      </c>
      <c r="F51" s="42">
        <v>0.99700273480065493</v>
      </c>
      <c r="G51">
        <v>2.9972651993451691E-3</v>
      </c>
    </row>
    <row r="52" spans="3:7" x14ac:dyDescent="0.15">
      <c r="C52" s="43" t="s">
        <v>113</v>
      </c>
      <c r="D52" s="42">
        <v>0</v>
      </c>
      <c r="E52" s="42">
        <v>0</v>
      </c>
      <c r="F52" s="42">
        <v>0.76705523615954752</v>
      </c>
      <c r="G52">
        <v>0.23294476384045243</v>
      </c>
    </row>
    <row r="53" spans="3:7" x14ac:dyDescent="0.15">
      <c r="C53" s="43" t="s">
        <v>114</v>
      </c>
      <c r="D53" s="42">
        <v>1</v>
      </c>
      <c r="E53" s="42">
        <v>1</v>
      </c>
      <c r="F53" s="42">
        <v>8.9895093900519091E-4</v>
      </c>
      <c r="G53">
        <v>0.99910104906099484</v>
      </c>
    </row>
    <row r="54" spans="3:7" x14ac:dyDescent="0.15">
      <c r="C54" s="43" t="s">
        <v>115</v>
      </c>
      <c r="D54" s="42">
        <v>0</v>
      </c>
      <c r="E54" s="42">
        <v>0</v>
      </c>
      <c r="F54" s="42">
        <v>0.98890320418423161</v>
      </c>
      <c r="G54">
        <v>1.1096795815768432E-2</v>
      </c>
    </row>
    <row r="55" spans="3:7" x14ac:dyDescent="0.15">
      <c r="C55" s="43" t="s">
        <v>116</v>
      </c>
      <c r="D55" s="42">
        <v>0</v>
      </c>
      <c r="E55" s="42">
        <v>0</v>
      </c>
      <c r="F55" s="42">
        <v>0.9959829331955441</v>
      </c>
      <c r="G55">
        <v>4.0170668044559174E-3</v>
      </c>
    </row>
    <row r="56" spans="3:7" x14ac:dyDescent="0.15">
      <c r="C56" s="43" t="s">
        <v>117</v>
      </c>
      <c r="D56" s="42">
        <v>1</v>
      </c>
      <c r="E56" s="42">
        <v>1</v>
      </c>
      <c r="F56" s="42">
        <v>9.5597731508379719E-2</v>
      </c>
      <c r="G56">
        <v>0.90440226849162031</v>
      </c>
    </row>
    <row r="57" spans="3:7" x14ac:dyDescent="0.15">
      <c r="C57" s="43" t="s">
        <v>118</v>
      </c>
      <c r="D57" s="42">
        <v>0</v>
      </c>
      <c r="E57" s="42">
        <v>0</v>
      </c>
      <c r="F57" s="42">
        <v>0.99868888342600537</v>
      </c>
      <c r="G57">
        <v>1.3111165739945144E-3</v>
      </c>
    </row>
    <row r="58" spans="3:7" x14ac:dyDescent="0.15">
      <c r="C58" s="43" t="s">
        <v>119</v>
      </c>
      <c r="D58" s="42">
        <v>0</v>
      </c>
      <c r="E58" s="42">
        <v>0</v>
      </c>
      <c r="F58" s="42">
        <v>0.71051627904282721</v>
      </c>
      <c r="G58">
        <v>0.28948372095717279</v>
      </c>
    </row>
    <row r="59" spans="3:7" x14ac:dyDescent="0.15">
      <c r="C59" s="43" t="s">
        <v>120</v>
      </c>
      <c r="D59" s="42">
        <v>0</v>
      </c>
      <c r="E59" s="42">
        <v>0</v>
      </c>
      <c r="F59" s="42">
        <v>0.9966406011589134</v>
      </c>
      <c r="G59">
        <v>3.359398841086581E-3</v>
      </c>
    </row>
    <row r="60" spans="3:7" x14ac:dyDescent="0.15">
      <c r="C60" s="43" t="s">
        <v>121</v>
      </c>
      <c r="D60" s="42">
        <v>1</v>
      </c>
      <c r="E60" s="42">
        <v>1</v>
      </c>
      <c r="F60" s="42">
        <v>1.4688049372040744E-4</v>
      </c>
      <c r="G60">
        <v>0.99985311950627953</v>
      </c>
    </row>
    <row r="61" spans="3:7" x14ac:dyDescent="0.15">
      <c r="C61" s="43" t="s">
        <v>122</v>
      </c>
      <c r="D61" s="42">
        <v>0</v>
      </c>
      <c r="E61" s="42">
        <v>0</v>
      </c>
      <c r="F61" s="42">
        <v>0.99681838626566566</v>
      </c>
      <c r="G61">
        <v>3.1816137343342985E-3</v>
      </c>
    </row>
    <row r="62" spans="3:7" x14ac:dyDescent="0.15">
      <c r="C62" s="43" t="s">
        <v>123</v>
      </c>
      <c r="D62" s="42">
        <v>0</v>
      </c>
      <c r="E62" s="42">
        <v>0</v>
      </c>
      <c r="F62" s="42">
        <v>0.98288169884843635</v>
      </c>
      <c r="G62">
        <v>1.71183011515635E-2</v>
      </c>
    </row>
    <row r="63" spans="3:7" x14ac:dyDescent="0.15">
      <c r="C63" s="43" t="s">
        <v>124</v>
      </c>
      <c r="D63" s="42">
        <v>1</v>
      </c>
      <c r="E63" s="42">
        <v>1</v>
      </c>
      <c r="F63" s="42">
        <v>0.29486669503483481</v>
      </c>
      <c r="G63">
        <v>0.70513330496516513</v>
      </c>
    </row>
    <row r="64" spans="3:7" x14ac:dyDescent="0.15">
      <c r="C64" s="43" t="s">
        <v>125</v>
      </c>
      <c r="D64" s="42">
        <v>1</v>
      </c>
      <c r="E64" s="42">
        <v>1</v>
      </c>
      <c r="F64" s="42">
        <v>0.40032825493897922</v>
      </c>
      <c r="G64">
        <v>0.59967174506102083</v>
      </c>
    </row>
    <row r="65" spans="3:7" x14ac:dyDescent="0.15">
      <c r="C65" s="43" t="s">
        <v>126</v>
      </c>
      <c r="D65" s="42">
        <v>1</v>
      </c>
      <c r="E65" s="42">
        <v>1</v>
      </c>
      <c r="F65" s="42">
        <v>2.4983284218045177E-3</v>
      </c>
      <c r="G65">
        <v>0.99750167157819547</v>
      </c>
    </row>
    <row r="66" spans="3:7" x14ac:dyDescent="0.15">
      <c r="C66" s="43" t="s">
        <v>127</v>
      </c>
      <c r="D66" s="42">
        <v>1</v>
      </c>
      <c r="E66" s="42">
        <v>1</v>
      </c>
      <c r="F66" s="42">
        <v>4.7541464300992639E-2</v>
      </c>
      <c r="G66">
        <v>0.9524585356990074</v>
      </c>
    </row>
    <row r="67" spans="3:7" x14ac:dyDescent="0.15">
      <c r="C67" s="43" t="s">
        <v>128</v>
      </c>
      <c r="D67" s="42">
        <v>0</v>
      </c>
      <c r="E67" s="42">
        <v>0</v>
      </c>
      <c r="F67" s="42">
        <v>0.99152556562711847</v>
      </c>
      <c r="G67">
        <v>8.4744343728815827E-3</v>
      </c>
    </row>
    <row r="68" spans="3:7" x14ac:dyDescent="0.15">
      <c r="C68" s="43" t="s">
        <v>129</v>
      </c>
      <c r="D68" s="42">
        <v>0</v>
      </c>
      <c r="E68" s="42">
        <v>0</v>
      </c>
      <c r="F68" s="42">
        <v>0.93058255833467352</v>
      </c>
      <c r="G68">
        <v>6.9417441665326471E-2</v>
      </c>
    </row>
    <row r="69" spans="3:7" x14ac:dyDescent="0.15">
      <c r="C69" s="43" t="s">
        <v>130</v>
      </c>
      <c r="D69" s="42">
        <v>0</v>
      </c>
      <c r="E69" s="42">
        <v>0</v>
      </c>
      <c r="F69" s="42">
        <v>0.93578337227360142</v>
      </c>
      <c r="G69">
        <v>6.421662772639862E-2</v>
      </c>
    </row>
    <row r="70" spans="3:7" x14ac:dyDescent="0.15">
      <c r="C70" s="43" t="s">
        <v>131</v>
      </c>
      <c r="D70" s="42">
        <v>1</v>
      </c>
      <c r="E70" s="42">
        <v>1</v>
      </c>
      <c r="F70" s="42">
        <v>1.1185938298506505E-2</v>
      </c>
      <c r="G70">
        <v>0.98881406170149355</v>
      </c>
    </row>
    <row r="71" spans="3:7" x14ac:dyDescent="0.15">
      <c r="C71" s="43" t="s">
        <v>132</v>
      </c>
      <c r="D71" s="42">
        <v>0</v>
      </c>
      <c r="E71" s="42">
        <v>0</v>
      </c>
      <c r="F71" s="42">
        <v>0.93442380624178012</v>
      </c>
      <c r="G71">
        <v>6.5576193758219922E-2</v>
      </c>
    </row>
    <row r="72" spans="3:7" x14ac:dyDescent="0.15">
      <c r="C72" s="43" t="s">
        <v>133</v>
      </c>
      <c r="D72" s="42">
        <v>0</v>
      </c>
      <c r="E72" s="42">
        <v>0</v>
      </c>
      <c r="F72" s="42">
        <v>0.99926327645250324</v>
      </c>
      <c r="G72">
        <v>7.3672354749664763E-4</v>
      </c>
    </row>
    <row r="73" spans="3:7" x14ac:dyDescent="0.15">
      <c r="C73" s="43" t="s">
        <v>134</v>
      </c>
      <c r="D73" s="42">
        <v>1</v>
      </c>
      <c r="E73" s="42">
        <v>1</v>
      </c>
      <c r="F73" s="42">
        <v>8.2118001377254318E-3</v>
      </c>
      <c r="G73">
        <v>0.99178819986227451</v>
      </c>
    </row>
    <row r="74" spans="3:7" x14ac:dyDescent="0.15">
      <c r="C74" s="61" t="s">
        <v>135</v>
      </c>
      <c r="D74" s="60">
        <v>0</v>
      </c>
      <c r="E74" s="60">
        <v>1</v>
      </c>
      <c r="F74" s="60">
        <v>0.35299966334875321</v>
      </c>
      <c r="G74" s="59">
        <v>0.64700033665124679</v>
      </c>
    </row>
    <row r="75" spans="3:7" x14ac:dyDescent="0.15">
      <c r="C75" s="43" t="s">
        <v>136</v>
      </c>
      <c r="D75" s="42">
        <v>0</v>
      </c>
      <c r="E75" s="42">
        <v>0</v>
      </c>
      <c r="F75" s="42">
        <v>0.99692385055091881</v>
      </c>
      <c r="G75">
        <v>3.0761494490812113E-3</v>
      </c>
    </row>
    <row r="76" spans="3:7" x14ac:dyDescent="0.15">
      <c r="C76" s="43" t="s">
        <v>137</v>
      </c>
      <c r="D76" s="42">
        <v>0</v>
      </c>
      <c r="E76" s="42">
        <v>0</v>
      </c>
      <c r="F76" s="42">
        <v>0.98874373779822267</v>
      </c>
      <c r="G76">
        <v>1.1256262201777433E-2</v>
      </c>
    </row>
    <row r="77" spans="3:7" x14ac:dyDescent="0.15">
      <c r="C77" s="43" t="s">
        <v>138</v>
      </c>
      <c r="D77" s="42">
        <v>1</v>
      </c>
      <c r="E77" s="42">
        <v>1</v>
      </c>
      <c r="F77" s="42">
        <v>1.4107227883026674E-3</v>
      </c>
      <c r="G77">
        <v>0.99858927721169721</v>
      </c>
    </row>
    <row r="78" spans="3:7" x14ac:dyDescent="0.15">
      <c r="C78" s="43" t="s">
        <v>139</v>
      </c>
      <c r="D78" s="42">
        <v>1</v>
      </c>
      <c r="E78" s="42">
        <v>1</v>
      </c>
      <c r="F78" s="42">
        <v>6.3075911797684014E-2</v>
      </c>
      <c r="G78">
        <v>0.9369240882023161</v>
      </c>
    </row>
    <row r="79" spans="3:7" x14ac:dyDescent="0.15">
      <c r="C79" s="43" t="s">
        <v>140</v>
      </c>
      <c r="D79" s="42">
        <v>1</v>
      </c>
      <c r="E79" s="42">
        <v>1</v>
      </c>
      <c r="F79" s="42">
        <v>1.6234406775941387E-3</v>
      </c>
      <c r="G79">
        <v>0.99837655932240577</v>
      </c>
    </row>
    <row r="80" spans="3:7" x14ac:dyDescent="0.15">
      <c r="C80" s="43" t="s">
        <v>141</v>
      </c>
      <c r="D80" s="42">
        <v>1</v>
      </c>
      <c r="E80" s="42">
        <v>1</v>
      </c>
      <c r="F80" s="42">
        <v>0.14915164682497201</v>
      </c>
      <c r="G80">
        <v>0.85084835317502805</v>
      </c>
    </row>
    <row r="81" spans="3:7" x14ac:dyDescent="0.15">
      <c r="C81" s="61" t="s">
        <v>142</v>
      </c>
      <c r="D81" s="60">
        <v>1</v>
      </c>
      <c r="E81" s="60">
        <v>0</v>
      </c>
      <c r="F81" s="60">
        <v>0.72415217388427755</v>
      </c>
      <c r="G81" s="59">
        <v>0.27584782611572234</v>
      </c>
    </row>
    <row r="82" spans="3:7" x14ac:dyDescent="0.15">
      <c r="C82" s="61" t="s">
        <v>143</v>
      </c>
      <c r="D82" s="60">
        <v>1</v>
      </c>
      <c r="E82" s="60">
        <v>0</v>
      </c>
      <c r="F82" s="60">
        <v>0.57491287428755644</v>
      </c>
      <c r="G82" s="59">
        <v>0.42508712571244361</v>
      </c>
    </row>
    <row r="83" spans="3:7" x14ac:dyDescent="0.15">
      <c r="C83" s="43" t="s">
        <v>144</v>
      </c>
      <c r="D83" s="42">
        <v>0</v>
      </c>
      <c r="E83" s="42">
        <v>0</v>
      </c>
      <c r="F83" s="42">
        <v>0.99894477109622826</v>
      </c>
      <c r="G83">
        <v>1.0552289037717192E-3</v>
      </c>
    </row>
    <row r="84" spans="3:7" x14ac:dyDescent="0.15">
      <c r="C84" s="43" t="s">
        <v>145</v>
      </c>
      <c r="D84" s="42">
        <v>1</v>
      </c>
      <c r="E84" s="42">
        <v>1</v>
      </c>
      <c r="F84" s="42">
        <v>0.45468795995330041</v>
      </c>
      <c r="G84">
        <v>0.54531204004669964</v>
      </c>
    </row>
    <row r="85" spans="3:7" x14ac:dyDescent="0.15">
      <c r="C85" s="43" t="s">
        <v>146</v>
      </c>
      <c r="D85" s="42">
        <v>0</v>
      </c>
      <c r="E85" s="42">
        <v>0</v>
      </c>
      <c r="F85" s="42">
        <v>0.98647476808394086</v>
      </c>
      <c r="G85">
        <v>1.3525231916059205E-2</v>
      </c>
    </row>
    <row r="86" spans="3:7" x14ac:dyDescent="0.15">
      <c r="C86" s="43" t="s">
        <v>147</v>
      </c>
      <c r="D86" s="42">
        <v>1</v>
      </c>
      <c r="E86" s="42">
        <v>1</v>
      </c>
      <c r="F86" s="42">
        <v>9.8944278167458016E-2</v>
      </c>
      <c r="G86">
        <v>0.9010557218325419</v>
      </c>
    </row>
    <row r="87" spans="3:7" x14ac:dyDescent="0.15">
      <c r="C87" s="43" t="s">
        <v>148</v>
      </c>
      <c r="D87" s="42">
        <v>0</v>
      </c>
      <c r="E87" s="42">
        <v>0</v>
      </c>
      <c r="F87" s="42">
        <v>0.95260681580900208</v>
      </c>
      <c r="G87">
        <v>4.7393184190997875E-2</v>
      </c>
    </row>
    <row r="88" spans="3:7" x14ac:dyDescent="0.15">
      <c r="C88" s="43" t="s">
        <v>149</v>
      </c>
      <c r="D88" s="42">
        <v>0</v>
      </c>
      <c r="E88" s="42">
        <v>0</v>
      </c>
      <c r="F88" s="42">
        <v>0.89476384805235776</v>
      </c>
      <c r="G88">
        <v>0.1052361519476423</v>
      </c>
    </row>
    <row r="89" spans="3:7" x14ac:dyDescent="0.15">
      <c r="C89" s="61" t="s">
        <v>150</v>
      </c>
      <c r="D89" s="60">
        <v>1</v>
      </c>
      <c r="E89" s="60">
        <v>0</v>
      </c>
      <c r="F89" s="60">
        <v>0.88188649622389348</v>
      </c>
      <c r="G89" s="59">
        <v>0.11811350377610651</v>
      </c>
    </row>
    <row r="90" spans="3:7" x14ac:dyDescent="0.15">
      <c r="C90" s="43" t="s">
        <v>151</v>
      </c>
      <c r="D90" s="42">
        <v>0</v>
      </c>
      <c r="E90" s="42">
        <v>0</v>
      </c>
      <c r="F90" s="42">
        <v>0.98989988682762675</v>
      </c>
      <c r="G90">
        <v>1.0100113172373288E-2</v>
      </c>
    </row>
    <row r="91" spans="3:7" x14ac:dyDescent="0.15">
      <c r="C91" s="43" t="s">
        <v>152</v>
      </c>
      <c r="D91" s="42">
        <v>0</v>
      </c>
      <c r="E91" s="42">
        <v>0</v>
      </c>
      <c r="F91" s="42">
        <v>0.97867560531392006</v>
      </c>
      <c r="G91">
        <v>2.1324394686079964E-2</v>
      </c>
    </row>
    <row r="92" spans="3:7" x14ac:dyDescent="0.15">
      <c r="C92" s="43" t="s">
        <v>153</v>
      </c>
      <c r="D92" s="42">
        <v>0</v>
      </c>
      <c r="E92" s="42">
        <v>0</v>
      </c>
      <c r="F92" s="42">
        <v>0.86094004986492234</v>
      </c>
      <c r="G92">
        <v>0.1390599501350776</v>
      </c>
    </row>
    <row r="93" spans="3:7" x14ac:dyDescent="0.15">
      <c r="C93" s="43" t="s">
        <v>154</v>
      </c>
      <c r="D93" s="42">
        <v>1</v>
      </c>
      <c r="E93" s="42">
        <v>1</v>
      </c>
      <c r="F93" s="42">
        <v>3.0502382672904803E-2</v>
      </c>
      <c r="G93">
        <v>0.96949761732709505</v>
      </c>
    </row>
    <row r="94" spans="3:7" x14ac:dyDescent="0.15">
      <c r="C94" s="43" t="s">
        <v>155</v>
      </c>
      <c r="D94" s="42">
        <v>0</v>
      </c>
      <c r="E94" s="42">
        <v>0</v>
      </c>
      <c r="F94" s="42">
        <v>0.97261175751372686</v>
      </c>
      <c r="G94">
        <v>2.7388242486273161E-2</v>
      </c>
    </row>
    <row r="95" spans="3:7" x14ac:dyDescent="0.15">
      <c r="C95" s="43" t="s">
        <v>156</v>
      </c>
      <c r="D95" s="42">
        <v>0</v>
      </c>
      <c r="E95" s="42">
        <v>0</v>
      </c>
      <c r="F95" s="42">
        <v>0.98529009352393149</v>
      </c>
      <c r="G95">
        <v>1.4709906476068639E-2</v>
      </c>
    </row>
    <row r="96" spans="3:7" x14ac:dyDescent="0.15">
      <c r="C96" s="43" t="s">
        <v>157</v>
      </c>
      <c r="D96" s="42">
        <v>0</v>
      </c>
      <c r="E96" s="42">
        <v>0</v>
      </c>
      <c r="F96" s="42">
        <v>0.96878025115742084</v>
      </c>
      <c r="G96">
        <v>3.1219748842579199E-2</v>
      </c>
    </row>
    <row r="97" spans="3:7" x14ac:dyDescent="0.15">
      <c r="C97" s="43" t="s">
        <v>158</v>
      </c>
      <c r="D97" s="42">
        <v>1</v>
      </c>
      <c r="E97" s="42">
        <v>1</v>
      </c>
      <c r="F97" s="42">
        <v>4.7031675029067917E-2</v>
      </c>
      <c r="G97">
        <v>0.9529683249709322</v>
      </c>
    </row>
    <row r="98" spans="3:7" x14ac:dyDescent="0.15">
      <c r="C98" s="43" t="s">
        <v>159</v>
      </c>
      <c r="D98" s="42">
        <v>1</v>
      </c>
      <c r="E98" s="42">
        <v>1</v>
      </c>
      <c r="F98" s="42">
        <v>4.0238292230780182E-2</v>
      </c>
      <c r="G98">
        <v>0.95976170776921976</v>
      </c>
    </row>
    <row r="99" spans="3:7" x14ac:dyDescent="0.15">
      <c r="C99" s="43" t="s">
        <v>160</v>
      </c>
      <c r="D99" s="42">
        <v>1</v>
      </c>
      <c r="E99" s="42">
        <v>1</v>
      </c>
      <c r="F99" s="42">
        <v>3.9893420402725126E-3</v>
      </c>
      <c r="G99">
        <v>0.99601065795972743</v>
      </c>
    </row>
    <row r="100" spans="3:7" x14ac:dyDescent="0.15">
      <c r="C100" s="43" t="s">
        <v>161</v>
      </c>
      <c r="D100" s="42">
        <v>0</v>
      </c>
      <c r="E100" s="42">
        <v>0</v>
      </c>
      <c r="F100" s="42">
        <v>0.98465373772912179</v>
      </c>
      <c r="G100">
        <v>1.5346262270878258E-2</v>
      </c>
    </row>
    <row r="101" spans="3:7" x14ac:dyDescent="0.15">
      <c r="C101" s="43" t="s">
        <v>162</v>
      </c>
      <c r="D101" s="42">
        <v>1</v>
      </c>
      <c r="E101" s="42">
        <v>1</v>
      </c>
      <c r="F101" s="42">
        <v>0.37955454726794713</v>
      </c>
      <c r="G101">
        <v>0.62044545273205287</v>
      </c>
    </row>
    <row r="102" spans="3:7" x14ac:dyDescent="0.15">
      <c r="C102" s="43" t="s">
        <v>163</v>
      </c>
      <c r="D102" s="42">
        <v>0</v>
      </c>
      <c r="E102" s="42">
        <v>0</v>
      </c>
      <c r="F102" s="42">
        <v>0.99354505003648841</v>
      </c>
      <c r="G102">
        <v>6.4549499635116912E-3</v>
      </c>
    </row>
    <row r="103" spans="3:7" x14ac:dyDescent="0.15">
      <c r="C103" s="43" t="s">
        <v>164</v>
      </c>
      <c r="D103" s="42">
        <v>1</v>
      </c>
      <c r="E103" s="42">
        <v>1</v>
      </c>
      <c r="F103" s="42">
        <v>0.26144609499996713</v>
      </c>
      <c r="G103">
        <v>0.73855390500003282</v>
      </c>
    </row>
    <row r="104" spans="3:7" x14ac:dyDescent="0.15">
      <c r="C104" s="43" t="s">
        <v>165</v>
      </c>
      <c r="D104" s="42">
        <v>1</v>
      </c>
      <c r="E104" s="42">
        <v>1</v>
      </c>
      <c r="F104" s="42">
        <v>6.9013807823650507E-3</v>
      </c>
      <c r="G104">
        <v>0.99309861921763498</v>
      </c>
    </row>
    <row r="105" spans="3:7" x14ac:dyDescent="0.15">
      <c r="C105" s="43" t="s">
        <v>166</v>
      </c>
      <c r="D105" s="42">
        <v>1</v>
      </c>
      <c r="E105" s="42">
        <v>1</v>
      </c>
      <c r="F105" s="42">
        <v>0.41232151371683889</v>
      </c>
      <c r="G105">
        <v>0.58767848628316111</v>
      </c>
    </row>
    <row r="106" spans="3:7" x14ac:dyDescent="0.15">
      <c r="C106" s="43" t="s">
        <v>167</v>
      </c>
      <c r="D106" s="42">
        <v>0</v>
      </c>
      <c r="E106" s="42">
        <v>0</v>
      </c>
      <c r="F106" s="42">
        <v>0.96506269698698732</v>
      </c>
      <c r="G106">
        <v>3.4937303013012781E-2</v>
      </c>
    </row>
    <row r="107" spans="3:7" x14ac:dyDescent="0.15">
      <c r="C107" s="43" t="s">
        <v>168</v>
      </c>
      <c r="D107" s="42">
        <v>0</v>
      </c>
      <c r="E107" s="42">
        <v>0</v>
      </c>
      <c r="F107" s="42">
        <v>0.99815340238206529</v>
      </c>
      <c r="G107">
        <v>1.8465976179346203E-3</v>
      </c>
    </row>
    <row r="108" spans="3:7" x14ac:dyDescent="0.15">
      <c r="C108" s="43" t="s">
        <v>169</v>
      </c>
      <c r="D108" s="42">
        <v>1</v>
      </c>
      <c r="E108" s="42">
        <v>1</v>
      </c>
      <c r="F108" s="42">
        <v>2.9493875976808305E-3</v>
      </c>
      <c r="G108">
        <v>0.99705061240231918</v>
      </c>
    </row>
    <row r="109" spans="3:7" x14ac:dyDescent="0.15">
      <c r="C109" s="43" t="s">
        <v>170</v>
      </c>
      <c r="D109" s="42">
        <v>1</v>
      </c>
      <c r="E109" s="42">
        <v>1</v>
      </c>
      <c r="F109" s="42">
        <v>6.036996780232182E-3</v>
      </c>
      <c r="G109">
        <v>0.99396300321976783</v>
      </c>
    </row>
    <row r="110" spans="3:7" x14ac:dyDescent="0.15">
      <c r="C110" s="43" t="s">
        <v>171</v>
      </c>
      <c r="D110" s="42">
        <v>1</v>
      </c>
      <c r="E110" s="42">
        <v>1</v>
      </c>
      <c r="F110" s="42">
        <v>1.1430975437274405E-2</v>
      </c>
      <c r="G110">
        <v>0.98856902456272555</v>
      </c>
    </row>
    <row r="111" spans="3:7" x14ac:dyDescent="0.15">
      <c r="C111" s="43" t="s">
        <v>172</v>
      </c>
      <c r="D111" s="42">
        <v>1</v>
      </c>
      <c r="E111" s="42">
        <v>1</v>
      </c>
      <c r="F111" s="42">
        <v>9.377542447559329E-3</v>
      </c>
      <c r="G111">
        <v>0.99062245755244061</v>
      </c>
    </row>
    <row r="112" spans="3:7" x14ac:dyDescent="0.15">
      <c r="C112" s="43" t="s">
        <v>173</v>
      </c>
      <c r="D112" s="42">
        <v>0</v>
      </c>
      <c r="E112" s="42">
        <v>0</v>
      </c>
      <c r="F112" s="42">
        <v>0.9970975475576922</v>
      </c>
      <c r="G112">
        <v>2.9024524423078642E-3</v>
      </c>
    </row>
    <row r="113" spans="3:7" x14ac:dyDescent="0.15">
      <c r="C113" s="43" t="s">
        <v>174</v>
      </c>
      <c r="D113" s="42">
        <v>0</v>
      </c>
      <c r="E113" s="42">
        <v>0</v>
      </c>
      <c r="F113" s="42">
        <v>0.99880207557283063</v>
      </c>
      <c r="G113">
        <v>1.1979244271694463E-3</v>
      </c>
    </row>
    <row r="114" spans="3:7" x14ac:dyDescent="0.15">
      <c r="C114" s="43" t="s">
        <v>175</v>
      </c>
      <c r="D114" s="42">
        <v>0</v>
      </c>
      <c r="E114" s="42">
        <v>0</v>
      </c>
      <c r="F114" s="42">
        <v>0.99870551524843998</v>
      </c>
      <c r="G114">
        <v>1.2944847515600308E-3</v>
      </c>
    </row>
    <row r="115" spans="3:7" x14ac:dyDescent="0.15">
      <c r="C115" s="43" t="s">
        <v>176</v>
      </c>
      <c r="D115" s="42">
        <v>0</v>
      </c>
      <c r="E115" s="42">
        <v>0</v>
      </c>
      <c r="F115" s="42">
        <v>0.79127607599932148</v>
      </c>
      <c r="G115">
        <v>0.20872392400067846</v>
      </c>
    </row>
    <row r="116" spans="3:7" x14ac:dyDescent="0.15">
      <c r="C116" s="43" t="s">
        <v>177</v>
      </c>
      <c r="D116" s="42">
        <v>1</v>
      </c>
      <c r="E116" s="42">
        <v>1</v>
      </c>
      <c r="F116" s="42">
        <v>9.824264643770442E-4</v>
      </c>
      <c r="G116">
        <v>0.99901757353562304</v>
      </c>
    </row>
    <row r="117" spans="3:7" x14ac:dyDescent="0.15">
      <c r="C117" s="43" t="s">
        <v>178</v>
      </c>
      <c r="D117" s="42">
        <v>1</v>
      </c>
      <c r="E117" s="42">
        <v>1</v>
      </c>
      <c r="F117" s="42">
        <v>2.064243423475946E-2</v>
      </c>
      <c r="G117">
        <v>0.97935756576524047</v>
      </c>
    </row>
    <row r="118" spans="3:7" x14ac:dyDescent="0.15">
      <c r="C118" s="43" t="s">
        <v>179</v>
      </c>
      <c r="D118" s="42">
        <v>0</v>
      </c>
      <c r="E118" s="42">
        <v>0</v>
      </c>
      <c r="F118" s="42">
        <v>0.93127819546280499</v>
      </c>
      <c r="G118">
        <v>6.8721804537195036E-2</v>
      </c>
    </row>
    <row r="119" spans="3:7" x14ac:dyDescent="0.15">
      <c r="C119" s="43" t="s">
        <v>180</v>
      </c>
      <c r="D119" s="42">
        <v>1</v>
      </c>
      <c r="E119" s="42">
        <v>1</v>
      </c>
      <c r="F119" s="42">
        <v>4.9147838731551131E-3</v>
      </c>
      <c r="G119">
        <v>0.99508521612684497</v>
      </c>
    </row>
    <row r="120" spans="3:7" x14ac:dyDescent="0.15">
      <c r="C120" s="43" t="s">
        <v>181</v>
      </c>
      <c r="D120" s="42">
        <v>0</v>
      </c>
      <c r="E120" s="42">
        <v>0</v>
      </c>
      <c r="F120" s="42">
        <v>0.99253284898064054</v>
      </c>
      <c r="G120">
        <v>7.4671510193594923E-3</v>
      </c>
    </row>
    <row r="121" spans="3:7" x14ac:dyDescent="0.15">
      <c r="C121" s="43" t="s">
        <v>182</v>
      </c>
      <c r="D121" s="42">
        <v>0</v>
      </c>
      <c r="E121" s="42">
        <v>0</v>
      </c>
      <c r="F121" s="42">
        <v>0.80409409360102591</v>
      </c>
      <c r="G121">
        <v>0.19590590639897412</v>
      </c>
    </row>
    <row r="122" spans="3:7" x14ac:dyDescent="0.15">
      <c r="C122" s="43" t="s">
        <v>183</v>
      </c>
      <c r="D122" s="42">
        <v>1</v>
      </c>
      <c r="E122" s="42">
        <v>1</v>
      </c>
      <c r="F122" s="42">
        <v>3.2564978202700785E-3</v>
      </c>
      <c r="G122">
        <v>0.99674350217972996</v>
      </c>
    </row>
    <row r="123" spans="3:7" x14ac:dyDescent="0.15">
      <c r="C123" s="43" t="s">
        <v>184</v>
      </c>
      <c r="D123" s="42">
        <v>1</v>
      </c>
      <c r="E123" s="42">
        <v>1</v>
      </c>
      <c r="F123" s="42">
        <v>0.32836855388533809</v>
      </c>
      <c r="G123">
        <v>0.67163144611466197</v>
      </c>
    </row>
    <row r="124" spans="3:7" x14ac:dyDescent="0.15">
      <c r="C124" s="43" t="s">
        <v>185</v>
      </c>
      <c r="D124" s="42">
        <v>1</v>
      </c>
      <c r="E124" s="42">
        <v>1</v>
      </c>
      <c r="F124" s="42">
        <v>8.1966377027382881E-2</v>
      </c>
      <c r="G124">
        <v>0.91803362297261715</v>
      </c>
    </row>
    <row r="125" spans="3:7" x14ac:dyDescent="0.15">
      <c r="C125" s="43" t="s">
        <v>186</v>
      </c>
      <c r="D125" s="42">
        <v>0</v>
      </c>
      <c r="E125" s="42">
        <v>0</v>
      </c>
      <c r="F125" s="42">
        <v>0.99983368490332147</v>
      </c>
      <c r="G125">
        <v>1.6631509667862463E-4</v>
      </c>
    </row>
    <row r="126" spans="3:7" x14ac:dyDescent="0.15">
      <c r="C126" s="43" t="s">
        <v>187</v>
      </c>
      <c r="D126" s="42">
        <v>1</v>
      </c>
      <c r="E126" s="42">
        <v>1</v>
      </c>
      <c r="F126" s="42">
        <v>2.9811052984125484E-2</v>
      </c>
      <c r="G126">
        <v>0.97018894701587444</v>
      </c>
    </row>
    <row r="127" spans="3:7" x14ac:dyDescent="0.15">
      <c r="C127" s="43" t="s">
        <v>188</v>
      </c>
      <c r="D127" s="42">
        <v>1</v>
      </c>
      <c r="E127" s="42">
        <v>1</v>
      </c>
      <c r="F127" s="42">
        <v>0.13482642465028663</v>
      </c>
      <c r="G127">
        <v>0.8651735753497134</v>
      </c>
    </row>
    <row r="128" spans="3:7" x14ac:dyDescent="0.15">
      <c r="C128" s="61" t="s">
        <v>189</v>
      </c>
      <c r="D128" s="60">
        <v>1</v>
      </c>
      <c r="E128" s="60">
        <v>0</v>
      </c>
      <c r="F128" s="60">
        <v>0.93404727739654581</v>
      </c>
      <c r="G128" s="59">
        <v>6.595272260345425E-2</v>
      </c>
    </row>
    <row r="129" spans="3:7" x14ac:dyDescent="0.15">
      <c r="C129" s="43" t="s">
        <v>190</v>
      </c>
      <c r="D129" s="42">
        <v>1</v>
      </c>
      <c r="E129" s="42">
        <v>1</v>
      </c>
      <c r="F129" s="42">
        <v>2.4180266359057467E-2</v>
      </c>
      <c r="G129">
        <v>0.97581973364094243</v>
      </c>
    </row>
    <row r="130" spans="3:7" x14ac:dyDescent="0.15">
      <c r="C130" s="43" t="s">
        <v>191</v>
      </c>
      <c r="D130" s="42">
        <v>1</v>
      </c>
      <c r="E130" s="42">
        <v>1</v>
      </c>
      <c r="F130" s="42">
        <v>3.9827839278591025E-4</v>
      </c>
      <c r="G130">
        <v>0.99960172160721417</v>
      </c>
    </row>
    <row r="131" spans="3:7" x14ac:dyDescent="0.15">
      <c r="C131" s="43" t="s">
        <v>192</v>
      </c>
      <c r="D131" s="42">
        <v>1</v>
      </c>
      <c r="E131" s="42">
        <v>1</v>
      </c>
      <c r="F131" s="42">
        <v>4.120046869704682E-3</v>
      </c>
      <c r="G131">
        <v>0.99587995313029531</v>
      </c>
    </row>
    <row r="132" spans="3:7" x14ac:dyDescent="0.15">
      <c r="C132" s="43" t="s">
        <v>193</v>
      </c>
      <c r="D132" s="42">
        <v>1</v>
      </c>
      <c r="E132" s="42">
        <v>1</v>
      </c>
      <c r="F132" s="42">
        <v>0.43509711134610091</v>
      </c>
      <c r="G132">
        <v>0.56490288865389915</v>
      </c>
    </row>
    <row r="133" spans="3:7" x14ac:dyDescent="0.15">
      <c r="C133" s="61" t="s">
        <v>194</v>
      </c>
      <c r="D133" s="60">
        <v>1</v>
      </c>
      <c r="E133" s="60">
        <v>0</v>
      </c>
      <c r="F133" s="60">
        <v>0.6624825516316204</v>
      </c>
      <c r="G133" s="59">
        <v>0.3375174483683796</v>
      </c>
    </row>
    <row r="134" spans="3:7" x14ac:dyDescent="0.15">
      <c r="C134" s="43" t="s">
        <v>195</v>
      </c>
      <c r="D134" s="42">
        <v>0</v>
      </c>
      <c r="E134" s="42">
        <v>0</v>
      </c>
      <c r="F134" s="42">
        <v>0.9603259684987917</v>
      </c>
      <c r="G134">
        <v>3.9674031501208205E-2</v>
      </c>
    </row>
    <row r="135" spans="3:7" x14ac:dyDescent="0.15">
      <c r="C135" s="43" t="s">
        <v>196</v>
      </c>
      <c r="D135" s="42">
        <v>0</v>
      </c>
      <c r="E135" s="42">
        <v>0</v>
      </c>
      <c r="F135" s="42">
        <v>0.87604549044699598</v>
      </c>
      <c r="G135">
        <v>0.12395450955300411</v>
      </c>
    </row>
    <row r="136" spans="3:7" x14ac:dyDescent="0.15">
      <c r="C136" s="43" t="s">
        <v>197</v>
      </c>
      <c r="D136" s="42">
        <v>0</v>
      </c>
      <c r="E136" s="42">
        <v>0</v>
      </c>
      <c r="F136" s="42">
        <v>0.95442073594301735</v>
      </c>
      <c r="G136">
        <v>4.557926405698258E-2</v>
      </c>
    </row>
    <row r="137" spans="3:7" x14ac:dyDescent="0.15">
      <c r="C137" s="43" t="s">
        <v>198</v>
      </c>
      <c r="D137" s="42">
        <v>0</v>
      </c>
      <c r="E137" s="42">
        <v>0</v>
      </c>
      <c r="F137" s="42">
        <v>0.89855987783711233</v>
      </c>
      <c r="G137">
        <v>0.10144012216288759</v>
      </c>
    </row>
    <row r="138" spans="3:7" x14ac:dyDescent="0.15">
      <c r="C138" s="43" t="s">
        <v>199</v>
      </c>
      <c r="D138" s="42">
        <v>0</v>
      </c>
      <c r="E138" s="42">
        <v>0</v>
      </c>
      <c r="F138" s="42">
        <v>0.92138586489317265</v>
      </c>
      <c r="G138">
        <v>7.8614135106827507E-2</v>
      </c>
    </row>
    <row r="139" spans="3:7" x14ac:dyDescent="0.15">
      <c r="C139" s="43" t="s">
        <v>200</v>
      </c>
      <c r="D139" s="42">
        <v>0</v>
      </c>
      <c r="E139" s="42">
        <v>0</v>
      </c>
      <c r="F139" s="42">
        <v>0.85875822122614132</v>
      </c>
      <c r="G139">
        <v>0.14124177877385857</v>
      </c>
    </row>
    <row r="140" spans="3:7" x14ac:dyDescent="0.15">
      <c r="C140" s="43" t="s">
        <v>201</v>
      </c>
      <c r="D140" s="42">
        <v>0</v>
      </c>
      <c r="E140" s="42">
        <v>0</v>
      </c>
      <c r="F140" s="42">
        <v>0.60390934143777109</v>
      </c>
      <c r="G140">
        <v>0.39609065856222891</v>
      </c>
    </row>
    <row r="141" spans="3:7" x14ac:dyDescent="0.15">
      <c r="C141" s="61" t="s">
        <v>202</v>
      </c>
      <c r="D141" s="60">
        <v>0</v>
      </c>
      <c r="E141" s="60">
        <v>1</v>
      </c>
      <c r="F141" s="60">
        <v>0.19699506189373503</v>
      </c>
      <c r="G141" s="59">
        <v>0.80300493810626505</v>
      </c>
    </row>
    <row r="142" spans="3:7" x14ac:dyDescent="0.15">
      <c r="C142" s="43" t="s">
        <v>203</v>
      </c>
      <c r="D142" s="42">
        <v>0</v>
      </c>
      <c r="E142" s="42">
        <v>0</v>
      </c>
      <c r="F142" s="42">
        <v>0.99918889991690263</v>
      </c>
      <c r="G142">
        <v>8.1110008309736388E-4</v>
      </c>
    </row>
    <row r="143" spans="3:7" x14ac:dyDescent="0.15">
      <c r="C143" s="61" t="s">
        <v>204</v>
      </c>
      <c r="D143" s="60">
        <v>1</v>
      </c>
      <c r="E143" s="60">
        <v>0</v>
      </c>
      <c r="F143" s="60">
        <v>0.51715710733616238</v>
      </c>
      <c r="G143" s="59">
        <v>0.48284289266383762</v>
      </c>
    </row>
    <row r="144" spans="3:7" x14ac:dyDescent="0.15">
      <c r="C144" s="43" t="s">
        <v>205</v>
      </c>
      <c r="D144" s="42">
        <v>1</v>
      </c>
      <c r="E144" s="42">
        <v>1</v>
      </c>
      <c r="F144" s="42">
        <v>0.16962850273602637</v>
      </c>
      <c r="G144">
        <v>0.83037149726397363</v>
      </c>
    </row>
    <row r="145" spans="3:7" x14ac:dyDescent="0.15">
      <c r="C145" s="43" t="s">
        <v>206</v>
      </c>
      <c r="D145" s="42">
        <v>0</v>
      </c>
      <c r="E145" s="42">
        <v>0</v>
      </c>
      <c r="F145" s="42">
        <v>0.99916832226406282</v>
      </c>
      <c r="G145">
        <v>8.3167773593720144E-4</v>
      </c>
    </row>
    <row r="146" spans="3:7" x14ac:dyDescent="0.15">
      <c r="C146" s="61" t="s">
        <v>207</v>
      </c>
      <c r="D146" s="60">
        <v>1</v>
      </c>
      <c r="E146" s="60">
        <v>0</v>
      </c>
      <c r="F146" s="60">
        <v>0.98076917916362027</v>
      </c>
      <c r="G146" s="59">
        <v>1.9230820836379718E-2</v>
      </c>
    </row>
    <row r="147" spans="3:7" x14ac:dyDescent="0.15">
      <c r="C147" s="43" t="s">
        <v>208</v>
      </c>
      <c r="D147" s="42">
        <v>0</v>
      </c>
      <c r="E147" s="42">
        <v>0</v>
      </c>
      <c r="F147" s="42">
        <v>0.97300693254719384</v>
      </c>
      <c r="G147">
        <v>2.6993067452806052E-2</v>
      </c>
    </row>
    <row r="148" spans="3:7" x14ac:dyDescent="0.15">
      <c r="C148" s="43" t="s">
        <v>209</v>
      </c>
      <c r="D148" s="42">
        <v>0</v>
      </c>
      <c r="E148" s="42">
        <v>0</v>
      </c>
      <c r="F148" s="42">
        <v>0.75712914223132011</v>
      </c>
      <c r="G148">
        <v>0.24287085776868</v>
      </c>
    </row>
    <row r="149" spans="3:7" x14ac:dyDescent="0.15">
      <c r="C149" s="61" t="s">
        <v>210</v>
      </c>
      <c r="D149" s="60">
        <v>1</v>
      </c>
      <c r="E149" s="60">
        <v>0</v>
      </c>
      <c r="F149" s="60">
        <v>0.5484872188970854</v>
      </c>
      <c r="G149" s="59">
        <v>0.45151278110291454</v>
      </c>
    </row>
    <row r="150" spans="3:7" x14ac:dyDescent="0.15">
      <c r="C150" s="43" t="s">
        <v>211</v>
      </c>
      <c r="D150" s="42">
        <v>0</v>
      </c>
      <c r="E150" s="42">
        <v>0</v>
      </c>
      <c r="F150" s="42">
        <v>0.99821107942430432</v>
      </c>
      <c r="G150">
        <v>1.788920575695616E-3</v>
      </c>
    </row>
    <row r="151" spans="3:7" x14ac:dyDescent="0.15">
      <c r="C151" s="43" t="s">
        <v>212</v>
      </c>
      <c r="D151" s="42">
        <v>1</v>
      </c>
      <c r="E151" s="42">
        <v>1</v>
      </c>
      <c r="F151" s="42">
        <v>7.0987356155164055E-4</v>
      </c>
      <c r="G151">
        <v>0.99929012643844828</v>
      </c>
    </row>
    <row r="152" spans="3:7" x14ac:dyDescent="0.15">
      <c r="C152" s="43" t="s">
        <v>213</v>
      </c>
      <c r="D152" s="42">
        <v>0</v>
      </c>
      <c r="E152" s="42">
        <v>0</v>
      </c>
      <c r="F152" s="42">
        <v>0.85462247509604505</v>
      </c>
      <c r="G152">
        <v>0.14537752490395489</v>
      </c>
    </row>
    <row r="153" spans="3:7" x14ac:dyDescent="0.15">
      <c r="C153" s="43" t="s">
        <v>214</v>
      </c>
      <c r="D153" s="42">
        <v>1</v>
      </c>
      <c r="E153" s="42">
        <v>1</v>
      </c>
      <c r="F153" s="42">
        <v>8.0900654676874396E-3</v>
      </c>
      <c r="G153">
        <v>0.99190993453231247</v>
      </c>
    </row>
    <row r="154" spans="3:7" x14ac:dyDescent="0.15">
      <c r="C154" s="43" t="s">
        <v>215</v>
      </c>
      <c r="D154" s="42">
        <v>0</v>
      </c>
      <c r="E154" s="42">
        <v>0</v>
      </c>
      <c r="F154" s="42">
        <v>0.98259737920588597</v>
      </c>
      <c r="G154">
        <v>1.7402620794114081E-2</v>
      </c>
    </row>
    <row r="155" spans="3:7" x14ac:dyDescent="0.15">
      <c r="C155" s="43" t="s">
        <v>216</v>
      </c>
      <c r="D155" s="42">
        <v>0</v>
      </c>
      <c r="E155" s="42">
        <v>0</v>
      </c>
      <c r="F155" s="42">
        <v>0.98706688397879139</v>
      </c>
      <c r="G155">
        <v>1.2933116021208554E-2</v>
      </c>
    </row>
    <row r="156" spans="3:7" x14ac:dyDescent="0.15">
      <c r="C156" s="43" t="s">
        <v>217</v>
      </c>
      <c r="D156" s="42">
        <v>1</v>
      </c>
      <c r="E156" s="42">
        <v>1</v>
      </c>
      <c r="F156" s="42">
        <v>3.617619084154035E-4</v>
      </c>
      <c r="G156">
        <v>0.99963823809158459</v>
      </c>
    </row>
    <row r="157" spans="3:7" x14ac:dyDescent="0.15">
      <c r="C157" s="43" t="s">
        <v>218</v>
      </c>
      <c r="D157" s="42">
        <v>1</v>
      </c>
      <c r="E157" s="42">
        <v>1</v>
      </c>
      <c r="F157" s="42">
        <v>0.34714345222715753</v>
      </c>
      <c r="G157">
        <v>0.65285654777284252</v>
      </c>
    </row>
    <row r="158" spans="3:7" x14ac:dyDescent="0.15">
      <c r="C158" s="43" t="s">
        <v>219</v>
      </c>
      <c r="D158" s="42">
        <v>0</v>
      </c>
      <c r="E158" s="42">
        <v>0</v>
      </c>
      <c r="F158" s="42">
        <v>0.95570844477449368</v>
      </c>
      <c r="G158">
        <v>4.4291555225506263E-2</v>
      </c>
    </row>
    <row r="159" spans="3:7" x14ac:dyDescent="0.15">
      <c r="C159" s="43" t="s">
        <v>220</v>
      </c>
      <c r="D159" s="42">
        <v>0</v>
      </c>
      <c r="E159" s="42">
        <v>0</v>
      </c>
      <c r="F159" s="42">
        <v>0.75408127981150974</v>
      </c>
      <c r="G159">
        <v>0.24591872018849018</v>
      </c>
    </row>
    <row r="160" spans="3:7" x14ac:dyDescent="0.15">
      <c r="C160" s="61" t="s">
        <v>221</v>
      </c>
      <c r="D160" s="60">
        <v>0</v>
      </c>
      <c r="E160" s="60">
        <v>1</v>
      </c>
      <c r="F160" s="60">
        <v>3.9013108960137301E-2</v>
      </c>
      <c r="G160" s="59">
        <v>0.96098689103986268</v>
      </c>
    </row>
    <row r="161" spans="3:7" x14ac:dyDescent="0.15">
      <c r="C161" s="43" t="s">
        <v>222</v>
      </c>
      <c r="D161" s="42">
        <v>1</v>
      </c>
      <c r="E161" s="42">
        <v>1</v>
      </c>
      <c r="F161" s="42">
        <v>6.5554336304915126E-4</v>
      </c>
      <c r="G161">
        <v>0.99934445663695082</v>
      </c>
    </row>
    <row r="162" spans="3:7" x14ac:dyDescent="0.15">
      <c r="C162" s="43" t="s">
        <v>223</v>
      </c>
      <c r="D162" s="42">
        <v>1</v>
      </c>
      <c r="E162" s="42">
        <v>1</v>
      </c>
      <c r="F162" s="42">
        <v>2.1247055371982859E-2</v>
      </c>
      <c r="G162">
        <v>0.9787529446280171</v>
      </c>
    </row>
    <row r="163" spans="3:7" x14ac:dyDescent="0.15">
      <c r="C163" s="43" t="s">
        <v>224</v>
      </c>
      <c r="D163" s="42">
        <v>0</v>
      </c>
      <c r="E163" s="42">
        <v>0</v>
      </c>
      <c r="F163" s="42">
        <v>0.97128235071304492</v>
      </c>
      <c r="G163">
        <v>2.8717649286955145E-2</v>
      </c>
    </row>
    <row r="164" spans="3:7" x14ac:dyDescent="0.15">
      <c r="C164" s="43" t="s">
        <v>225</v>
      </c>
      <c r="D164" s="42">
        <v>1</v>
      </c>
      <c r="E164" s="42">
        <v>1</v>
      </c>
      <c r="F164" s="42">
        <v>7.3768676995816657E-3</v>
      </c>
      <c r="G164">
        <v>0.99262313230041843</v>
      </c>
    </row>
    <row r="165" spans="3:7" x14ac:dyDescent="0.15">
      <c r="C165" s="43" t="s">
        <v>226</v>
      </c>
      <c r="D165" s="42">
        <v>0</v>
      </c>
      <c r="E165" s="42">
        <v>0</v>
      </c>
      <c r="F165" s="42">
        <v>0.99959377588895115</v>
      </c>
      <c r="G165">
        <v>4.062241110489295E-4</v>
      </c>
    </row>
    <row r="166" spans="3:7" x14ac:dyDescent="0.15">
      <c r="C166" s="43" t="s">
        <v>227</v>
      </c>
      <c r="D166" s="42">
        <v>1</v>
      </c>
      <c r="E166" s="42">
        <v>1</v>
      </c>
      <c r="F166" s="42">
        <v>8.3860918123059118E-3</v>
      </c>
      <c r="G166">
        <v>0.99161390818769413</v>
      </c>
    </row>
    <row r="167" spans="3:7" x14ac:dyDescent="0.15">
      <c r="C167" s="43" t="s">
        <v>228</v>
      </c>
      <c r="D167" s="42">
        <v>1</v>
      </c>
      <c r="E167" s="42">
        <v>1</v>
      </c>
      <c r="F167" s="42">
        <v>2.5657511693850627E-2</v>
      </c>
      <c r="G167">
        <v>0.97434248830614922</v>
      </c>
    </row>
    <row r="168" spans="3:7" x14ac:dyDescent="0.15">
      <c r="C168" s="43" t="s">
        <v>229</v>
      </c>
      <c r="D168" s="42">
        <v>1</v>
      </c>
      <c r="E168" s="42">
        <v>1</v>
      </c>
      <c r="F168" s="42">
        <v>1.3027491958749388E-3</v>
      </c>
      <c r="G168">
        <v>0.99869725080412508</v>
      </c>
    </row>
    <row r="169" spans="3:7" x14ac:dyDescent="0.15">
      <c r="C169" s="43" t="s">
        <v>230</v>
      </c>
      <c r="D169" s="42">
        <v>0</v>
      </c>
      <c r="E169" s="42">
        <v>0</v>
      </c>
      <c r="F169" s="42">
        <v>0.99640168699215048</v>
      </c>
      <c r="G169">
        <v>3.5983130078495887E-3</v>
      </c>
    </row>
    <row r="170" spans="3:7" x14ac:dyDescent="0.15">
      <c r="C170" s="43" t="s">
        <v>231</v>
      </c>
      <c r="D170" s="42">
        <v>0</v>
      </c>
      <c r="E170" s="42">
        <v>0</v>
      </c>
      <c r="F170" s="42">
        <v>0.992913505070257</v>
      </c>
      <c r="G170">
        <v>7.0864949297429662E-3</v>
      </c>
    </row>
    <row r="171" spans="3:7" x14ac:dyDescent="0.15">
      <c r="C171" s="43" t="s">
        <v>232</v>
      </c>
      <c r="D171" s="42">
        <v>0</v>
      </c>
      <c r="E171" s="42">
        <v>0</v>
      </c>
      <c r="F171" s="42">
        <v>0.99705601717788517</v>
      </c>
      <c r="G171">
        <v>2.9439828221149021E-3</v>
      </c>
    </row>
    <row r="172" spans="3:7" x14ac:dyDescent="0.15">
      <c r="C172" s="43" t="s">
        <v>233</v>
      </c>
      <c r="D172" s="42">
        <v>1</v>
      </c>
      <c r="E172" s="42">
        <v>1</v>
      </c>
      <c r="F172" s="42">
        <v>1.9451123026973573E-2</v>
      </c>
      <c r="G172">
        <v>0.9805488769730264</v>
      </c>
    </row>
    <row r="173" spans="3:7" x14ac:dyDescent="0.15">
      <c r="C173" s="43" t="s">
        <v>234</v>
      </c>
      <c r="D173" s="42">
        <v>1</v>
      </c>
      <c r="E173" s="42">
        <v>1</v>
      </c>
      <c r="F173" s="42">
        <v>7.7122825785938695E-2</v>
      </c>
      <c r="G173">
        <v>0.92287717421406135</v>
      </c>
    </row>
    <row r="174" spans="3:7" x14ac:dyDescent="0.15">
      <c r="C174" s="43" t="s">
        <v>235</v>
      </c>
      <c r="D174" s="42">
        <v>1</v>
      </c>
      <c r="E174" s="42">
        <v>1</v>
      </c>
      <c r="F174" s="42">
        <v>1.8096629537759437E-2</v>
      </c>
      <c r="G174">
        <v>0.98190337046224063</v>
      </c>
    </row>
    <row r="175" spans="3:7" x14ac:dyDescent="0.15">
      <c r="C175" s="43" t="s">
        <v>236</v>
      </c>
      <c r="D175" s="42">
        <v>1</v>
      </c>
      <c r="E175" s="42">
        <v>1</v>
      </c>
      <c r="F175" s="42">
        <v>1.3213684743688564E-2</v>
      </c>
      <c r="G175">
        <v>0.98678631525631144</v>
      </c>
    </row>
    <row r="176" spans="3:7" x14ac:dyDescent="0.15">
      <c r="C176" s="43" t="s">
        <v>237</v>
      </c>
      <c r="D176" s="42">
        <v>1</v>
      </c>
      <c r="E176" s="42">
        <v>1</v>
      </c>
      <c r="F176" s="42">
        <v>1.1786912498076706E-3</v>
      </c>
      <c r="G176">
        <v>0.99882130875019226</v>
      </c>
    </row>
    <row r="177" spans="3:7" x14ac:dyDescent="0.15">
      <c r="C177" s="43" t="s">
        <v>238</v>
      </c>
      <c r="D177" s="42">
        <v>1</v>
      </c>
      <c r="E177" s="42">
        <v>1</v>
      </c>
      <c r="F177" s="42">
        <v>8.6347764776381369E-2</v>
      </c>
      <c r="G177">
        <v>0.91365223522361871</v>
      </c>
    </row>
    <row r="178" spans="3:7" x14ac:dyDescent="0.15">
      <c r="C178" s="43" t="s">
        <v>239</v>
      </c>
      <c r="D178" s="42">
        <v>0</v>
      </c>
      <c r="E178" s="42">
        <v>0</v>
      </c>
      <c r="F178" s="42">
        <v>0.99895436380519476</v>
      </c>
      <c r="G178">
        <v>1.0456361948051149E-3</v>
      </c>
    </row>
    <row r="179" spans="3:7" x14ac:dyDescent="0.15">
      <c r="C179" s="43" t="s">
        <v>240</v>
      </c>
      <c r="D179" s="42">
        <v>1</v>
      </c>
      <c r="E179" s="42">
        <v>1</v>
      </c>
      <c r="F179" s="42">
        <v>2.1385401235699663E-3</v>
      </c>
      <c r="G179">
        <v>0.99786145987642993</v>
      </c>
    </row>
    <row r="180" spans="3:7" x14ac:dyDescent="0.15">
      <c r="C180" s="43" t="s">
        <v>241</v>
      </c>
      <c r="D180" s="42">
        <v>0</v>
      </c>
      <c r="E180" s="42">
        <v>0</v>
      </c>
      <c r="F180" s="42">
        <v>0.97801206076077019</v>
      </c>
      <c r="G180">
        <v>2.1987939239229728E-2</v>
      </c>
    </row>
    <row r="181" spans="3:7" x14ac:dyDescent="0.15">
      <c r="C181" s="43" t="s">
        <v>242</v>
      </c>
      <c r="D181" s="42">
        <v>1</v>
      </c>
      <c r="E181" s="42">
        <v>1</v>
      </c>
      <c r="F181" s="42">
        <v>3.0111610973073815E-4</v>
      </c>
      <c r="G181">
        <v>0.9996988838902694</v>
      </c>
    </row>
    <row r="182" spans="3:7" x14ac:dyDescent="0.15">
      <c r="C182" s="61" t="s">
        <v>243</v>
      </c>
      <c r="D182" s="60">
        <v>1</v>
      </c>
      <c r="E182" s="60">
        <v>0</v>
      </c>
      <c r="F182" s="60">
        <v>0.55922529157641143</v>
      </c>
      <c r="G182" s="59">
        <v>0.44077470842358857</v>
      </c>
    </row>
    <row r="183" spans="3:7" x14ac:dyDescent="0.15">
      <c r="C183" s="43" t="s">
        <v>244</v>
      </c>
      <c r="D183" s="42">
        <v>0</v>
      </c>
      <c r="E183" s="42">
        <v>0</v>
      </c>
      <c r="F183" s="42">
        <v>0.96641625045446533</v>
      </c>
      <c r="G183">
        <v>3.3583749545534655E-2</v>
      </c>
    </row>
    <row r="184" spans="3:7" x14ac:dyDescent="0.15">
      <c r="C184" s="43" t="s">
        <v>245</v>
      </c>
      <c r="D184" s="42">
        <v>1</v>
      </c>
      <c r="E184" s="42">
        <v>1</v>
      </c>
      <c r="F184" s="42">
        <v>1.4071703362232292E-2</v>
      </c>
      <c r="G184">
        <v>0.9859282966377676</v>
      </c>
    </row>
    <row r="185" spans="3:7" x14ac:dyDescent="0.15">
      <c r="C185" s="43" t="s">
        <v>246</v>
      </c>
      <c r="D185" s="42">
        <v>1</v>
      </c>
      <c r="E185" s="42">
        <v>1</v>
      </c>
      <c r="F185" s="42">
        <v>0.113205582242208</v>
      </c>
      <c r="G185">
        <v>0.886794417757792</v>
      </c>
    </row>
    <row r="186" spans="3:7" x14ac:dyDescent="0.15">
      <c r="C186" s="43" t="s">
        <v>247</v>
      </c>
      <c r="D186" s="42">
        <v>0</v>
      </c>
      <c r="E186" s="42">
        <v>0</v>
      </c>
      <c r="F186" s="42">
        <v>0.91622662577993641</v>
      </c>
      <c r="G186">
        <v>8.3773374220063576E-2</v>
      </c>
    </row>
    <row r="187" spans="3:7" x14ac:dyDescent="0.15">
      <c r="C187" s="43" t="s">
        <v>248</v>
      </c>
      <c r="D187" s="42">
        <v>1</v>
      </c>
      <c r="E187" s="42">
        <v>1</v>
      </c>
      <c r="F187" s="42">
        <v>8.2083801077471194E-2</v>
      </c>
      <c r="G187">
        <v>0.91791619892252874</v>
      </c>
    </row>
    <row r="188" spans="3:7" x14ac:dyDescent="0.15">
      <c r="C188" s="43" t="s">
        <v>249</v>
      </c>
      <c r="D188" s="42">
        <v>0</v>
      </c>
      <c r="E188" s="42">
        <v>0</v>
      </c>
      <c r="F188" s="42">
        <v>0.99116697490722205</v>
      </c>
      <c r="G188">
        <v>8.8330250927778856E-3</v>
      </c>
    </row>
    <row r="189" spans="3:7" x14ac:dyDescent="0.15">
      <c r="C189" s="43" t="s">
        <v>250</v>
      </c>
      <c r="D189" s="42">
        <v>0</v>
      </c>
      <c r="E189" s="42">
        <v>0</v>
      </c>
      <c r="F189" s="42">
        <v>0.91118035339547687</v>
      </c>
      <c r="G189">
        <v>8.881964660452317E-2</v>
      </c>
    </row>
    <row r="190" spans="3:7" x14ac:dyDescent="0.15">
      <c r="C190" s="43" t="s">
        <v>251</v>
      </c>
      <c r="D190" s="42">
        <v>1</v>
      </c>
      <c r="E190" s="42">
        <v>1</v>
      </c>
      <c r="F190" s="42">
        <v>0.20811778236595491</v>
      </c>
      <c r="G190">
        <v>0.7918822176340452</v>
      </c>
    </row>
    <row r="191" spans="3:7" x14ac:dyDescent="0.15">
      <c r="C191" s="43" t="s">
        <v>252</v>
      </c>
      <c r="D191" s="42">
        <v>0</v>
      </c>
      <c r="E191" s="42">
        <v>0</v>
      </c>
      <c r="F191" s="42">
        <v>0.97557075576651364</v>
      </c>
      <c r="G191">
        <v>2.4429244233486455E-2</v>
      </c>
    </row>
    <row r="192" spans="3:7" x14ac:dyDescent="0.15">
      <c r="C192" s="43" t="s">
        <v>253</v>
      </c>
      <c r="D192" s="42">
        <v>1</v>
      </c>
      <c r="E192" s="42">
        <v>1</v>
      </c>
      <c r="F192" s="42">
        <v>3.0722646218337645E-3</v>
      </c>
      <c r="G192">
        <v>0.99692773537816626</v>
      </c>
    </row>
    <row r="193" spans="3:7" x14ac:dyDescent="0.15">
      <c r="C193" s="43" t="s">
        <v>254</v>
      </c>
      <c r="D193" s="42">
        <v>1</v>
      </c>
      <c r="E193" s="42">
        <v>1</v>
      </c>
      <c r="F193" s="42">
        <v>2.50941023175784E-3</v>
      </c>
      <c r="G193">
        <v>0.99749058976824212</v>
      </c>
    </row>
    <row r="194" spans="3:7" x14ac:dyDescent="0.15">
      <c r="C194" s="43" t="s">
        <v>255</v>
      </c>
      <c r="D194" s="42">
        <v>1</v>
      </c>
      <c r="E194" s="42">
        <v>1</v>
      </c>
      <c r="F194" s="42">
        <v>5.5427311879829638E-4</v>
      </c>
      <c r="G194">
        <v>0.99944572688120181</v>
      </c>
    </row>
    <row r="195" spans="3:7" x14ac:dyDescent="0.15">
      <c r="C195" s="43" t="s">
        <v>256</v>
      </c>
      <c r="D195" s="42">
        <v>1</v>
      </c>
      <c r="E195" s="42">
        <v>1</v>
      </c>
      <c r="F195" s="42">
        <v>0.2424400845036325</v>
      </c>
      <c r="G195">
        <v>0.75755991549636759</v>
      </c>
    </row>
    <row r="196" spans="3:7" x14ac:dyDescent="0.15">
      <c r="C196" s="43" t="s">
        <v>257</v>
      </c>
      <c r="D196" s="42">
        <v>1</v>
      </c>
      <c r="E196" s="42">
        <v>1</v>
      </c>
      <c r="F196" s="42">
        <v>0.20292044534368442</v>
      </c>
      <c r="G196">
        <v>0.79707955465631564</v>
      </c>
    </row>
    <row r="197" spans="3:7" x14ac:dyDescent="0.15">
      <c r="C197" s="43" t="s">
        <v>258</v>
      </c>
      <c r="D197" s="42">
        <v>1</v>
      </c>
      <c r="E197" s="42">
        <v>1</v>
      </c>
      <c r="F197" s="42">
        <v>4.6342891609782132E-3</v>
      </c>
      <c r="G197">
        <v>0.99536571083902181</v>
      </c>
    </row>
    <row r="198" spans="3:7" x14ac:dyDescent="0.15">
      <c r="C198" s="61" t="s">
        <v>259</v>
      </c>
      <c r="D198" s="60">
        <v>0</v>
      </c>
      <c r="E198" s="60">
        <v>1</v>
      </c>
      <c r="F198" s="60">
        <v>9.8286016884222924E-3</v>
      </c>
      <c r="G198" s="59">
        <v>0.99017139831157763</v>
      </c>
    </row>
    <row r="199" spans="3:7" x14ac:dyDescent="0.15">
      <c r="C199" s="43" t="s">
        <v>260</v>
      </c>
      <c r="D199" s="42">
        <v>0</v>
      </c>
      <c r="E199" s="42">
        <v>0</v>
      </c>
      <c r="F199" s="42">
        <v>0.99423264051994509</v>
      </c>
      <c r="G199">
        <v>5.7673594800548861E-3</v>
      </c>
    </row>
    <row r="200" spans="3:7" x14ac:dyDescent="0.15">
      <c r="C200" s="43" t="s">
        <v>261</v>
      </c>
      <c r="D200" s="42">
        <v>0</v>
      </c>
      <c r="E200" s="42">
        <v>0</v>
      </c>
      <c r="F200" s="42">
        <v>0.87530303055893532</v>
      </c>
      <c r="G200">
        <v>0.1246969694410647</v>
      </c>
    </row>
    <row r="201" spans="3:7" x14ac:dyDescent="0.15">
      <c r="C201" s="43" t="s">
        <v>262</v>
      </c>
      <c r="D201" s="42">
        <v>0</v>
      </c>
      <c r="E201" s="42">
        <v>0</v>
      </c>
      <c r="F201" s="42">
        <v>0.93783057397124725</v>
      </c>
      <c r="G201">
        <v>6.2169426028752618E-2</v>
      </c>
    </row>
    <row r="202" spans="3:7" x14ac:dyDescent="0.15">
      <c r="C202" s="43" t="s">
        <v>263</v>
      </c>
      <c r="D202" s="42">
        <v>1</v>
      </c>
      <c r="E202" s="42">
        <v>1</v>
      </c>
      <c r="F202" s="42">
        <v>6.2218699317036349E-3</v>
      </c>
      <c r="G202">
        <v>0.99377813006829641</v>
      </c>
    </row>
    <row r="203" spans="3:7" x14ac:dyDescent="0.15">
      <c r="C203" s="43" t="s">
        <v>264</v>
      </c>
      <c r="D203" s="42">
        <v>0</v>
      </c>
      <c r="E203" s="42">
        <v>0</v>
      </c>
      <c r="F203" s="42">
        <v>0.99694535839202847</v>
      </c>
      <c r="G203">
        <v>3.0546416079716204E-3</v>
      </c>
    </row>
    <row r="204" spans="3:7" x14ac:dyDescent="0.15">
      <c r="C204" s="43" t="s">
        <v>265</v>
      </c>
      <c r="D204" s="42">
        <v>0</v>
      </c>
      <c r="E204" s="42">
        <v>0</v>
      </c>
      <c r="F204" s="42">
        <v>0.9547333099468106</v>
      </c>
      <c r="G204">
        <v>4.526669005318934E-2</v>
      </c>
    </row>
    <row r="205" spans="3:7" x14ac:dyDescent="0.15">
      <c r="C205" s="43" t="s">
        <v>266</v>
      </c>
      <c r="D205" s="42">
        <v>1</v>
      </c>
      <c r="E205" s="42">
        <v>1</v>
      </c>
      <c r="F205" s="42">
        <v>1.0103690866704945E-3</v>
      </c>
      <c r="G205">
        <v>0.99898963091332948</v>
      </c>
    </row>
    <row r="206" spans="3:7" x14ac:dyDescent="0.15">
      <c r="C206" s="43" t="s">
        <v>267</v>
      </c>
      <c r="D206" s="42">
        <v>0</v>
      </c>
      <c r="E206" s="42">
        <v>0</v>
      </c>
      <c r="F206" s="42">
        <v>0.8724228356094631</v>
      </c>
      <c r="G206">
        <v>0.12757716439053693</v>
      </c>
    </row>
    <row r="207" spans="3:7" x14ac:dyDescent="0.15">
      <c r="C207" s="43" t="s">
        <v>268</v>
      </c>
      <c r="D207" s="42">
        <v>1</v>
      </c>
      <c r="E207" s="42">
        <v>1</v>
      </c>
      <c r="F207" s="42">
        <v>4.6725047769933338E-2</v>
      </c>
      <c r="G207">
        <v>0.95327495223006653</v>
      </c>
    </row>
    <row r="208" spans="3:7" x14ac:dyDescent="0.15">
      <c r="C208" s="43" t="s">
        <v>269</v>
      </c>
      <c r="D208" s="42">
        <v>1</v>
      </c>
      <c r="E208" s="42">
        <v>1</v>
      </c>
      <c r="F208" s="42">
        <v>5.2351893443829444E-3</v>
      </c>
      <c r="G208">
        <v>0.99476481065561695</v>
      </c>
    </row>
    <row r="209" spans="3:7" x14ac:dyDescent="0.15">
      <c r="C209" s="61" t="s">
        <v>270</v>
      </c>
      <c r="D209" s="60">
        <v>0</v>
      </c>
      <c r="E209" s="60">
        <v>1</v>
      </c>
      <c r="F209" s="60">
        <v>4.0825031803463342E-2</v>
      </c>
      <c r="G209" s="59">
        <v>0.95917496819653669</v>
      </c>
    </row>
    <row r="210" spans="3:7" x14ac:dyDescent="0.15">
      <c r="C210" s="43" t="s">
        <v>271</v>
      </c>
      <c r="D210" s="42">
        <v>1</v>
      </c>
      <c r="E210" s="42">
        <v>1</v>
      </c>
      <c r="F210" s="42">
        <v>5.490478155837554E-2</v>
      </c>
      <c r="G210">
        <v>0.94509521844162436</v>
      </c>
    </row>
    <row r="211" spans="3:7" x14ac:dyDescent="0.15">
      <c r="C211" s="43" t="s">
        <v>272</v>
      </c>
      <c r="D211" s="42">
        <v>0</v>
      </c>
      <c r="E211" s="42">
        <v>0</v>
      </c>
      <c r="F211" s="42">
        <v>0.99479830031793826</v>
      </c>
      <c r="G211">
        <v>5.2016996820618147E-3</v>
      </c>
    </row>
    <row r="212" spans="3:7" x14ac:dyDescent="0.15">
      <c r="C212" s="43" t="s">
        <v>273</v>
      </c>
      <c r="D212" s="42">
        <v>0</v>
      </c>
      <c r="E212" s="42">
        <v>0</v>
      </c>
      <c r="F212" s="42">
        <v>0.77047739241810953</v>
      </c>
      <c r="G212">
        <v>0.22952260758189047</v>
      </c>
    </row>
    <row r="213" spans="3:7" x14ac:dyDescent="0.15">
      <c r="C213" s="43" t="s">
        <v>274</v>
      </c>
      <c r="D213" s="42">
        <v>1</v>
      </c>
      <c r="E213" s="42">
        <v>1</v>
      </c>
      <c r="F213" s="42">
        <v>2.1579843002696289E-2</v>
      </c>
      <c r="G213">
        <v>0.97842015699730378</v>
      </c>
    </row>
    <row r="214" spans="3:7" x14ac:dyDescent="0.15">
      <c r="C214" s="43" t="s">
        <v>275</v>
      </c>
      <c r="D214" s="42">
        <v>0</v>
      </c>
      <c r="E214" s="42">
        <v>0</v>
      </c>
      <c r="F214" s="42">
        <v>0.96209669371863338</v>
      </c>
      <c r="G214">
        <v>3.7903306281366539E-2</v>
      </c>
    </row>
    <row r="215" spans="3:7" x14ac:dyDescent="0.15">
      <c r="C215" s="61" t="s">
        <v>276</v>
      </c>
      <c r="D215" s="60">
        <v>0</v>
      </c>
      <c r="E215" s="60">
        <v>1</v>
      </c>
      <c r="F215" s="60">
        <v>0.42269947105426264</v>
      </c>
      <c r="G215" s="59">
        <v>0.57730052894573736</v>
      </c>
    </row>
    <row r="216" spans="3:7" x14ac:dyDescent="0.15">
      <c r="C216" s="43" t="s">
        <v>277</v>
      </c>
      <c r="D216" s="42">
        <v>0</v>
      </c>
      <c r="E216" s="42">
        <v>0</v>
      </c>
      <c r="F216" s="42">
        <v>0.95382664211372603</v>
      </c>
      <c r="G216">
        <v>4.6173357886274025E-2</v>
      </c>
    </row>
    <row r="217" spans="3:7" x14ac:dyDescent="0.15">
      <c r="C217" s="43" t="s">
        <v>278</v>
      </c>
      <c r="D217" s="42">
        <v>1</v>
      </c>
      <c r="E217" s="42">
        <v>1</v>
      </c>
      <c r="F217" s="42">
        <v>5.1294944599339962E-2</v>
      </c>
      <c r="G217">
        <v>0.94870505540066008</v>
      </c>
    </row>
    <row r="218" spans="3:7" x14ac:dyDescent="0.15">
      <c r="C218" s="43" t="s">
        <v>279</v>
      </c>
      <c r="D218" s="42">
        <v>0</v>
      </c>
      <c r="E218" s="42">
        <v>0</v>
      </c>
      <c r="F218" s="42">
        <v>0.99676652958886469</v>
      </c>
      <c r="G218">
        <v>3.2334704111351893E-3</v>
      </c>
    </row>
    <row r="219" spans="3:7" x14ac:dyDescent="0.15">
      <c r="C219" s="43" t="s">
        <v>280</v>
      </c>
      <c r="D219" s="42">
        <v>1</v>
      </c>
      <c r="E219" s="42">
        <v>1</v>
      </c>
      <c r="F219" s="42">
        <v>1.7769211679063701E-2</v>
      </c>
      <c r="G219">
        <v>0.98223078832093624</v>
      </c>
    </row>
    <row r="220" spans="3:7" x14ac:dyDescent="0.15">
      <c r="C220" s="43" t="s">
        <v>281</v>
      </c>
      <c r="D220" s="42">
        <v>0</v>
      </c>
      <c r="E220" s="42">
        <v>0</v>
      </c>
      <c r="F220" s="42">
        <v>0.9825447389084182</v>
      </c>
      <c r="G220">
        <v>1.7455261091581745E-2</v>
      </c>
    </row>
    <row r="221" spans="3:7" x14ac:dyDescent="0.15">
      <c r="C221" s="43" t="s">
        <v>282</v>
      </c>
      <c r="D221" s="42">
        <v>0</v>
      </c>
      <c r="E221" s="42">
        <v>0</v>
      </c>
      <c r="F221" s="42">
        <v>0.90538057763884627</v>
      </c>
      <c r="G221">
        <v>9.4619422361153782E-2</v>
      </c>
    </row>
    <row r="222" spans="3:7" x14ac:dyDescent="0.15">
      <c r="C222" s="43" t="s">
        <v>283</v>
      </c>
      <c r="D222" s="42">
        <v>1</v>
      </c>
      <c r="E222" s="42">
        <v>1</v>
      </c>
      <c r="F222" s="42">
        <v>1.7199803143298401E-2</v>
      </c>
      <c r="G222">
        <v>0.98280019685670161</v>
      </c>
    </row>
    <row r="223" spans="3:7" x14ac:dyDescent="0.15">
      <c r="C223" s="43" t="s">
        <v>284</v>
      </c>
      <c r="D223" s="42">
        <v>1</v>
      </c>
      <c r="E223" s="42">
        <v>1</v>
      </c>
      <c r="F223" s="42">
        <v>1.2850184728995797E-3</v>
      </c>
      <c r="G223">
        <v>0.99871498152710048</v>
      </c>
    </row>
    <row r="224" spans="3:7" x14ac:dyDescent="0.15">
      <c r="C224" s="43" t="s">
        <v>285</v>
      </c>
      <c r="D224" s="42">
        <v>1</v>
      </c>
      <c r="E224" s="42">
        <v>1</v>
      </c>
      <c r="F224" s="42">
        <v>3.978620247366401E-2</v>
      </c>
      <c r="G224">
        <v>0.96021379752633607</v>
      </c>
    </row>
    <row r="225" spans="3:7" x14ac:dyDescent="0.15">
      <c r="C225" s="43" t="s">
        <v>286</v>
      </c>
      <c r="D225" s="42">
        <v>0</v>
      </c>
      <c r="E225" s="42">
        <v>0</v>
      </c>
      <c r="F225" s="42">
        <v>0.73145122152365893</v>
      </c>
      <c r="G225">
        <v>0.26854877847634112</v>
      </c>
    </row>
    <row r="226" spans="3:7" x14ac:dyDescent="0.15">
      <c r="C226" s="43" t="s">
        <v>287</v>
      </c>
      <c r="D226" s="42">
        <v>0</v>
      </c>
      <c r="E226" s="42">
        <v>0</v>
      </c>
      <c r="F226" s="42">
        <v>0.85315744918115333</v>
      </c>
      <c r="G226">
        <v>0.14684255081884659</v>
      </c>
    </row>
    <row r="227" spans="3:7" x14ac:dyDescent="0.15">
      <c r="C227" s="43" t="s">
        <v>288</v>
      </c>
      <c r="D227" s="42">
        <v>0</v>
      </c>
      <c r="E227" s="42">
        <v>0</v>
      </c>
      <c r="F227" s="42">
        <v>0.96022192487443614</v>
      </c>
      <c r="G227">
        <v>3.9778075125563819E-2</v>
      </c>
    </row>
    <row r="228" spans="3:7" x14ac:dyDescent="0.15">
      <c r="C228" s="43" t="s">
        <v>289</v>
      </c>
      <c r="D228" s="42">
        <v>1</v>
      </c>
      <c r="E228" s="42">
        <v>1</v>
      </c>
      <c r="F228" s="42">
        <v>1.7467321487002572E-4</v>
      </c>
      <c r="G228">
        <v>0.99982532678513003</v>
      </c>
    </row>
    <row r="229" spans="3:7" x14ac:dyDescent="0.15">
      <c r="C229" s="61" t="s">
        <v>290</v>
      </c>
      <c r="D229" s="60">
        <v>0</v>
      </c>
      <c r="E229" s="60">
        <v>1</v>
      </c>
      <c r="F229" s="60">
        <v>0.47018602073085258</v>
      </c>
      <c r="G229" s="59">
        <v>0.52981397926914742</v>
      </c>
    </row>
    <row r="230" spans="3:7" x14ac:dyDescent="0.15">
      <c r="C230" s="43" t="s">
        <v>291</v>
      </c>
      <c r="D230" s="42">
        <v>1</v>
      </c>
      <c r="E230" s="42">
        <v>1</v>
      </c>
      <c r="F230" s="42">
        <v>8.2311676636374388E-4</v>
      </c>
      <c r="G230">
        <v>0.99917688323363629</v>
      </c>
    </row>
    <row r="231" spans="3:7" x14ac:dyDescent="0.15">
      <c r="C231" s="43" t="s">
        <v>292</v>
      </c>
      <c r="D231" s="42">
        <v>0</v>
      </c>
      <c r="E231" s="42">
        <v>0</v>
      </c>
      <c r="F231" s="42">
        <v>0.92652504349362941</v>
      </c>
      <c r="G231">
        <v>7.3474956506370551E-2</v>
      </c>
    </row>
    <row r="232" spans="3:7" x14ac:dyDescent="0.15">
      <c r="C232" s="43" t="s">
        <v>293</v>
      </c>
      <c r="D232" s="42">
        <v>0</v>
      </c>
      <c r="E232" s="42">
        <v>0</v>
      </c>
      <c r="F232" s="42">
        <v>0.99963920610750745</v>
      </c>
      <c r="G232">
        <v>3.6079389249267654E-4</v>
      </c>
    </row>
    <row r="233" spans="3:7" x14ac:dyDescent="0.15">
      <c r="C233" s="43" t="s">
        <v>294</v>
      </c>
      <c r="D233" s="42">
        <v>1</v>
      </c>
      <c r="E233" s="42">
        <v>1</v>
      </c>
      <c r="F233" s="42">
        <v>8.4130310709863487E-2</v>
      </c>
      <c r="G233">
        <v>0.91586968929013657</v>
      </c>
    </row>
    <row r="234" spans="3:7" x14ac:dyDescent="0.15">
      <c r="C234" s="61" t="s">
        <v>295</v>
      </c>
      <c r="D234" s="60">
        <v>1</v>
      </c>
      <c r="E234" s="60">
        <v>0</v>
      </c>
      <c r="F234" s="60">
        <v>0.99571832906489499</v>
      </c>
      <c r="G234" s="59">
        <v>4.2816709351051543E-3</v>
      </c>
    </row>
    <row r="235" spans="3:7" x14ac:dyDescent="0.15">
      <c r="C235" s="43" t="s">
        <v>296</v>
      </c>
      <c r="D235" s="42">
        <v>0</v>
      </c>
      <c r="E235" s="42">
        <v>0</v>
      </c>
      <c r="F235" s="42">
        <v>0.97164456459922</v>
      </c>
      <c r="G235">
        <v>2.8355435400779967E-2</v>
      </c>
    </row>
    <row r="236" spans="3:7" x14ac:dyDescent="0.15">
      <c r="C236" s="61" t="s">
        <v>297</v>
      </c>
      <c r="D236" s="60">
        <v>1</v>
      </c>
      <c r="E236" s="60">
        <v>0</v>
      </c>
      <c r="F236" s="60">
        <v>0.76770165029704862</v>
      </c>
      <c r="G236" s="59">
        <v>0.23229834970295135</v>
      </c>
    </row>
    <row r="237" spans="3:7" x14ac:dyDescent="0.15">
      <c r="C237" s="43" t="s">
        <v>298</v>
      </c>
      <c r="D237" s="42">
        <v>1</v>
      </c>
      <c r="E237" s="42">
        <v>1</v>
      </c>
      <c r="F237" s="42">
        <v>0.14251597518280995</v>
      </c>
      <c r="G237">
        <v>0.8574840248171901</v>
      </c>
    </row>
    <row r="238" spans="3:7" x14ac:dyDescent="0.15">
      <c r="C238" s="43" t="s">
        <v>299</v>
      </c>
      <c r="D238" s="42">
        <v>1</v>
      </c>
      <c r="E238" s="42">
        <v>1</v>
      </c>
      <c r="F238" s="42">
        <v>0.43762407799099712</v>
      </c>
      <c r="G238">
        <v>0.56237592200900288</v>
      </c>
    </row>
    <row r="239" spans="3:7" x14ac:dyDescent="0.15">
      <c r="C239" s="43" t="s">
        <v>300</v>
      </c>
      <c r="D239" s="42">
        <v>1</v>
      </c>
      <c r="E239" s="42">
        <v>1</v>
      </c>
      <c r="F239" s="42">
        <v>6.3691177512793309E-2</v>
      </c>
      <c r="G239">
        <v>0.93630882248720682</v>
      </c>
    </row>
    <row r="240" spans="3:7" x14ac:dyDescent="0.15">
      <c r="C240" s="43" t="s">
        <v>301</v>
      </c>
      <c r="D240" s="42">
        <v>1</v>
      </c>
      <c r="E240" s="42">
        <v>1</v>
      </c>
      <c r="F240" s="42">
        <v>2.9590154711852451E-3</v>
      </c>
      <c r="G240">
        <v>0.99704098452881473</v>
      </c>
    </row>
    <row r="241" spans="3:7" x14ac:dyDescent="0.15">
      <c r="C241" s="43" t="s">
        <v>302</v>
      </c>
      <c r="D241" s="42">
        <v>0</v>
      </c>
      <c r="E241" s="42">
        <v>0</v>
      </c>
      <c r="F241" s="42">
        <v>0.96696027396532136</v>
      </c>
      <c r="G241">
        <v>3.3039726034678717E-2</v>
      </c>
    </row>
    <row r="242" spans="3:7" x14ac:dyDescent="0.15">
      <c r="C242" s="61" t="s">
        <v>303</v>
      </c>
      <c r="D242" s="60">
        <v>0</v>
      </c>
      <c r="E242" s="60">
        <v>1</v>
      </c>
      <c r="F242" s="60">
        <v>0.45207250305631591</v>
      </c>
      <c r="G242" s="59">
        <v>0.54792749694368414</v>
      </c>
    </row>
    <row r="243" spans="3:7" x14ac:dyDescent="0.15">
      <c r="C243" s="43" t="s">
        <v>304</v>
      </c>
      <c r="D243" s="42">
        <v>0</v>
      </c>
      <c r="E243" s="42">
        <v>0</v>
      </c>
      <c r="F243" s="42">
        <v>0.99423427713322454</v>
      </c>
      <c r="G243">
        <v>5.765722866775405E-3</v>
      </c>
    </row>
    <row r="244" spans="3:7" x14ac:dyDescent="0.15">
      <c r="C244" s="43" t="s">
        <v>305</v>
      </c>
      <c r="D244" s="42">
        <v>0</v>
      </c>
      <c r="E244" s="42">
        <v>0</v>
      </c>
      <c r="F244" s="42">
        <v>0.55287630768045626</v>
      </c>
      <c r="G244">
        <v>0.44712369231954374</v>
      </c>
    </row>
    <row r="245" spans="3:7" x14ac:dyDescent="0.15">
      <c r="C245" s="43" t="s">
        <v>306</v>
      </c>
      <c r="D245" s="42">
        <v>1</v>
      </c>
      <c r="E245" s="42">
        <v>1</v>
      </c>
      <c r="F245" s="42">
        <v>0.21080128436212942</v>
      </c>
      <c r="G245">
        <v>0.7891987156378707</v>
      </c>
    </row>
    <row r="246" spans="3:7" x14ac:dyDescent="0.15">
      <c r="C246" s="43" t="s">
        <v>307</v>
      </c>
      <c r="D246" s="42">
        <v>0</v>
      </c>
      <c r="E246" s="42">
        <v>0</v>
      </c>
      <c r="F246" s="42">
        <v>0.99896785378087682</v>
      </c>
      <c r="G246">
        <v>1.0321462191232567E-3</v>
      </c>
    </row>
    <row r="247" spans="3:7" x14ac:dyDescent="0.15">
      <c r="C247" s="43" t="s">
        <v>308</v>
      </c>
      <c r="D247" s="42">
        <v>0</v>
      </c>
      <c r="E247" s="42">
        <v>0</v>
      </c>
      <c r="F247" s="42">
        <v>0.91361149123680541</v>
      </c>
      <c r="G247">
        <v>8.6388508763194649E-2</v>
      </c>
    </row>
    <row r="248" spans="3:7" x14ac:dyDescent="0.15">
      <c r="C248" s="43" t="s">
        <v>309</v>
      </c>
      <c r="D248" s="42">
        <v>1</v>
      </c>
      <c r="E248" s="42">
        <v>1</v>
      </c>
      <c r="F248" s="42">
        <v>6.9240692902077759E-3</v>
      </c>
      <c r="G248">
        <v>0.99307593070979228</v>
      </c>
    </row>
    <row r="249" spans="3:7" x14ac:dyDescent="0.15">
      <c r="C249" s="43" t="s">
        <v>310</v>
      </c>
      <c r="D249" s="42">
        <v>0</v>
      </c>
      <c r="E249" s="42">
        <v>0</v>
      </c>
      <c r="F249" s="42">
        <v>0.99784140504084906</v>
      </c>
      <c r="G249">
        <v>2.1585949591509616E-3</v>
      </c>
    </row>
    <row r="250" spans="3:7" x14ac:dyDescent="0.15">
      <c r="C250" s="43" t="s">
        <v>311</v>
      </c>
      <c r="D250" s="42">
        <v>1</v>
      </c>
      <c r="E250" s="42">
        <v>1</v>
      </c>
      <c r="F250" s="42">
        <v>8.412908813570227E-3</v>
      </c>
      <c r="G250">
        <v>0.99158709118642974</v>
      </c>
    </row>
    <row r="251" spans="3:7" x14ac:dyDescent="0.15">
      <c r="C251" s="43" t="s">
        <v>312</v>
      </c>
      <c r="D251" s="42">
        <v>1</v>
      </c>
      <c r="E251" s="42">
        <v>1</v>
      </c>
      <c r="F251" s="42">
        <v>2.7679693754459632E-2</v>
      </c>
      <c r="G251">
        <v>0.97232030624554033</v>
      </c>
    </row>
    <row r="252" spans="3:7" x14ac:dyDescent="0.15">
      <c r="C252" s="43" t="s">
        <v>313</v>
      </c>
      <c r="D252" s="42">
        <v>1</v>
      </c>
      <c r="E252" s="42">
        <v>1</v>
      </c>
      <c r="F252" s="42">
        <v>6.9913977502705322E-3</v>
      </c>
      <c r="G252">
        <v>0.99300860224972942</v>
      </c>
    </row>
    <row r="253" spans="3:7" x14ac:dyDescent="0.15">
      <c r="C253" s="43" t="s">
        <v>314</v>
      </c>
      <c r="D253" s="42">
        <v>1</v>
      </c>
      <c r="E253" s="42">
        <v>1</v>
      </c>
      <c r="F253" s="42">
        <v>8.3116781486494099E-3</v>
      </c>
      <c r="G253">
        <v>0.99168832185135047</v>
      </c>
    </row>
    <row r="254" spans="3:7" x14ac:dyDescent="0.15">
      <c r="C254" s="43" t="s">
        <v>315</v>
      </c>
      <c r="D254" s="42">
        <v>0</v>
      </c>
      <c r="E254" s="42">
        <v>0</v>
      </c>
      <c r="F254" s="42">
        <v>0.99906048081800825</v>
      </c>
      <c r="G254">
        <v>9.3951918199161545E-4</v>
      </c>
    </row>
    <row r="255" spans="3:7" x14ac:dyDescent="0.15">
      <c r="C255" s="43" t="s">
        <v>316</v>
      </c>
      <c r="D255" s="42">
        <v>1</v>
      </c>
      <c r="E255" s="42">
        <v>1</v>
      </c>
      <c r="F255" s="42">
        <v>0.40947243497907237</v>
      </c>
      <c r="G255">
        <v>0.59052756502092763</v>
      </c>
    </row>
    <row r="256" spans="3:7" x14ac:dyDescent="0.15">
      <c r="C256" s="43" t="s">
        <v>317</v>
      </c>
      <c r="D256" s="42">
        <v>0</v>
      </c>
      <c r="E256" s="42">
        <v>0</v>
      </c>
      <c r="F256" s="42">
        <v>0.97257570852686104</v>
      </c>
      <c r="G256">
        <v>2.7424291473138955E-2</v>
      </c>
    </row>
    <row r="257" spans="3:7" x14ac:dyDescent="0.15">
      <c r="C257" s="43" t="s">
        <v>318</v>
      </c>
      <c r="D257" s="42">
        <v>0</v>
      </c>
      <c r="E257" s="42">
        <v>0</v>
      </c>
      <c r="F257" s="42">
        <v>0.98303954480805555</v>
      </c>
      <c r="G257">
        <v>1.6960455191944526E-2</v>
      </c>
    </row>
    <row r="258" spans="3:7" x14ac:dyDescent="0.15">
      <c r="C258" s="43" t="s">
        <v>319</v>
      </c>
      <c r="D258" s="42">
        <v>0</v>
      </c>
      <c r="E258" s="42">
        <v>0</v>
      </c>
      <c r="F258" s="42">
        <v>0.99783930677272625</v>
      </c>
      <c r="G258">
        <v>2.1606932272737146E-3</v>
      </c>
    </row>
    <row r="259" spans="3:7" x14ac:dyDescent="0.15">
      <c r="C259" s="43" t="s">
        <v>320</v>
      </c>
      <c r="D259" s="42">
        <v>0</v>
      </c>
      <c r="E259" s="42">
        <v>0</v>
      </c>
      <c r="F259" s="42">
        <v>0.86954798195514482</v>
      </c>
      <c r="G259">
        <v>0.13045201804485515</v>
      </c>
    </row>
    <row r="260" spans="3:7" x14ac:dyDescent="0.15">
      <c r="C260" s="61" t="s">
        <v>321</v>
      </c>
      <c r="D260" s="60">
        <v>0</v>
      </c>
      <c r="E260" s="60">
        <v>1</v>
      </c>
      <c r="F260" s="60">
        <v>0.11480955335091933</v>
      </c>
      <c r="G260" s="59">
        <v>0.88519044664908075</v>
      </c>
    </row>
    <row r="261" spans="3:7" x14ac:dyDescent="0.15">
      <c r="C261" s="43" t="s">
        <v>322</v>
      </c>
      <c r="D261" s="42">
        <v>0</v>
      </c>
      <c r="E261" s="42">
        <v>0</v>
      </c>
      <c r="F261" s="42">
        <v>0.99770497398258595</v>
      </c>
      <c r="G261">
        <v>2.2950260174139413E-3</v>
      </c>
    </row>
    <row r="262" spans="3:7" x14ac:dyDescent="0.15">
      <c r="C262" s="43" t="s">
        <v>323</v>
      </c>
      <c r="D262" s="42">
        <v>1</v>
      </c>
      <c r="E262" s="42">
        <v>1</v>
      </c>
      <c r="F262" s="42">
        <v>2.6730574450686342E-2</v>
      </c>
      <c r="G262">
        <v>0.97326942554931373</v>
      </c>
    </row>
    <row r="263" spans="3:7" x14ac:dyDescent="0.15">
      <c r="C263" s="43" t="s">
        <v>324</v>
      </c>
      <c r="D263" s="42">
        <v>0</v>
      </c>
      <c r="E263" s="42">
        <v>0</v>
      </c>
      <c r="F263" s="42">
        <v>0.98062582571350343</v>
      </c>
      <c r="G263">
        <v>1.9374174286496567E-2</v>
      </c>
    </row>
    <row r="264" spans="3:7" x14ac:dyDescent="0.15">
      <c r="C264" s="43" t="s">
        <v>325</v>
      </c>
      <c r="D264" s="42">
        <v>0</v>
      </c>
      <c r="E264" s="42">
        <v>0</v>
      </c>
      <c r="F264" s="42">
        <v>0.98452136226757503</v>
      </c>
      <c r="G264">
        <v>1.5478637732424942E-2</v>
      </c>
    </row>
    <row r="265" spans="3:7" x14ac:dyDescent="0.15">
      <c r="C265" s="43" t="s">
        <v>326</v>
      </c>
      <c r="D265" s="42">
        <v>0</v>
      </c>
      <c r="E265" s="42">
        <v>0</v>
      </c>
      <c r="F265" s="42">
        <v>0.97423293978388392</v>
      </c>
      <c r="G265">
        <v>2.5767060216116171E-2</v>
      </c>
    </row>
    <row r="266" spans="3:7" x14ac:dyDescent="0.15">
      <c r="C266" s="43" t="s">
        <v>327</v>
      </c>
      <c r="D266" s="42">
        <v>0</v>
      </c>
      <c r="E266" s="42">
        <v>0</v>
      </c>
      <c r="F266" s="42">
        <v>0.99298660929591098</v>
      </c>
      <c r="G266">
        <v>7.0133907040888935E-3</v>
      </c>
    </row>
    <row r="267" spans="3:7" x14ac:dyDescent="0.15">
      <c r="C267" s="61" t="s">
        <v>328</v>
      </c>
      <c r="D267" s="60">
        <v>0</v>
      </c>
      <c r="E267" s="60">
        <v>1</v>
      </c>
      <c r="F267" s="60">
        <v>0.43530203390662914</v>
      </c>
      <c r="G267" s="59">
        <v>0.56469796609337086</v>
      </c>
    </row>
    <row r="268" spans="3:7" x14ac:dyDescent="0.15">
      <c r="C268" s="43" t="s">
        <v>329</v>
      </c>
      <c r="D268" s="42">
        <v>0</v>
      </c>
      <c r="E268" s="42">
        <v>0</v>
      </c>
      <c r="F268" s="42">
        <v>0.99587234671530744</v>
      </c>
      <c r="G268">
        <v>4.1276532846926768E-3</v>
      </c>
    </row>
    <row r="269" spans="3:7" x14ac:dyDescent="0.15">
      <c r="C269" s="43" t="s">
        <v>330</v>
      </c>
      <c r="D269" s="42">
        <v>0</v>
      </c>
      <c r="E269" s="42">
        <v>0</v>
      </c>
      <c r="F269" s="42">
        <v>0.99877110712500272</v>
      </c>
      <c r="G269">
        <v>1.2288928749972531E-3</v>
      </c>
    </row>
    <row r="270" spans="3:7" x14ac:dyDescent="0.15">
      <c r="C270" s="43" t="s">
        <v>331</v>
      </c>
      <c r="D270" s="42">
        <v>1</v>
      </c>
      <c r="E270" s="42">
        <v>1</v>
      </c>
      <c r="F270" s="42">
        <v>1.4324117618967446E-2</v>
      </c>
      <c r="G270">
        <v>0.98567588238103243</v>
      </c>
    </row>
    <row r="271" spans="3:7" x14ac:dyDescent="0.15">
      <c r="C271" s="43" t="s">
        <v>332</v>
      </c>
      <c r="D271" s="42">
        <v>1</v>
      </c>
      <c r="E271" s="42">
        <v>1</v>
      </c>
      <c r="F271" s="42">
        <v>0.42644953490605392</v>
      </c>
      <c r="G271">
        <v>0.57355046509394614</v>
      </c>
    </row>
    <row r="272" spans="3:7" x14ac:dyDescent="0.15">
      <c r="C272" s="43" t="s">
        <v>333</v>
      </c>
      <c r="D272" s="42">
        <v>1</v>
      </c>
      <c r="E272" s="42">
        <v>1</v>
      </c>
      <c r="F272" s="42">
        <v>0.47524078255439633</v>
      </c>
      <c r="G272">
        <v>0.52475921744560361</v>
      </c>
    </row>
    <row r="273" spans="3:7" x14ac:dyDescent="0.15">
      <c r="C273" s="43" t="s">
        <v>334</v>
      </c>
      <c r="D273" s="42">
        <v>0</v>
      </c>
      <c r="E273" s="42">
        <v>0</v>
      </c>
      <c r="F273" s="42">
        <v>0.67143588690968747</v>
      </c>
      <c r="G273">
        <v>0.32856411309031253</v>
      </c>
    </row>
    <row r="274" spans="3:7" x14ac:dyDescent="0.15">
      <c r="C274" s="43" t="s">
        <v>335</v>
      </c>
      <c r="D274" s="42">
        <v>0</v>
      </c>
      <c r="E274" s="42">
        <v>0</v>
      </c>
      <c r="F274" s="42">
        <v>0.66813778898300136</v>
      </c>
      <c r="G274">
        <v>0.33186221101699859</v>
      </c>
    </row>
    <row r="275" spans="3:7" x14ac:dyDescent="0.15">
      <c r="C275" s="61" t="s">
        <v>336</v>
      </c>
      <c r="D275" s="60">
        <v>1</v>
      </c>
      <c r="E275" s="60">
        <v>0</v>
      </c>
      <c r="F275" s="60">
        <v>0.66176679924996618</v>
      </c>
      <c r="G275" s="59">
        <v>0.33823320075003377</v>
      </c>
    </row>
    <row r="276" spans="3:7" x14ac:dyDescent="0.15">
      <c r="C276" s="61" t="s">
        <v>337</v>
      </c>
      <c r="D276" s="60">
        <v>0</v>
      </c>
      <c r="E276" s="60">
        <v>1</v>
      </c>
      <c r="F276" s="60">
        <v>0.35645844858761211</v>
      </c>
      <c r="G276" s="59">
        <v>0.643541551412388</v>
      </c>
    </row>
    <row r="277" spans="3:7" x14ac:dyDescent="0.15">
      <c r="C277" s="43" t="s">
        <v>338</v>
      </c>
      <c r="D277" s="42">
        <v>1</v>
      </c>
      <c r="E277" s="42">
        <v>1</v>
      </c>
      <c r="F277" s="42">
        <v>6.8788936369658321E-3</v>
      </c>
      <c r="G277">
        <v>0.99312110636303419</v>
      </c>
    </row>
    <row r="278" spans="3:7" x14ac:dyDescent="0.15">
      <c r="C278" s="43" t="s">
        <v>339</v>
      </c>
      <c r="D278" s="42">
        <v>1</v>
      </c>
      <c r="E278" s="42">
        <v>1</v>
      </c>
      <c r="F278" s="42">
        <v>6.3724586269152759E-3</v>
      </c>
      <c r="G278">
        <v>0.99362754137308473</v>
      </c>
    </row>
    <row r="279" spans="3:7" x14ac:dyDescent="0.15">
      <c r="C279" s="43" t="s">
        <v>340</v>
      </c>
      <c r="D279" s="42">
        <v>0</v>
      </c>
      <c r="E279" s="42">
        <v>0</v>
      </c>
      <c r="F279" s="42">
        <v>0.93258747490072202</v>
      </c>
      <c r="G279">
        <v>6.7412525099277976E-2</v>
      </c>
    </row>
    <row r="280" spans="3:7" x14ac:dyDescent="0.15">
      <c r="C280" s="43" t="s">
        <v>341</v>
      </c>
      <c r="D280" s="42">
        <v>1</v>
      </c>
      <c r="E280" s="42">
        <v>1</v>
      </c>
      <c r="F280" s="42">
        <v>0.39247994534740743</v>
      </c>
      <c r="G280">
        <v>0.60752005465259262</v>
      </c>
    </row>
    <row r="281" spans="3:7" x14ac:dyDescent="0.15">
      <c r="C281" s="43" t="s">
        <v>342</v>
      </c>
      <c r="D281" s="42">
        <v>1</v>
      </c>
      <c r="E281" s="42">
        <v>1</v>
      </c>
      <c r="F281" s="42">
        <v>4.6471683276090574E-2</v>
      </c>
      <c r="G281">
        <v>0.95352831672390947</v>
      </c>
    </row>
    <row r="282" spans="3:7" x14ac:dyDescent="0.15">
      <c r="C282" s="43" t="s">
        <v>343</v>
      </c>
      <c r="D282" s="42">
        <v>1</v>
      </c>
      <c r="E282" s="42">
        <v>1</v>
      </c>
      <c r="F282" s="42">
        <v>6.4133574860773909E-2</v>
      </c>
      <c r="G282">
        <v>0.93586642513922613</v>
      </c>
    </row>
    <row r="283" spans="3:7" x14ac:dyDescent="0.15">
      <c r="C283" s="43" t="s">
        <v>344</v>
      </c>
      <c r="D283" s="42">
        <v>1</v>
      </c>
      <c r="E283" s="42">
        <v>1</v>
      </c>
      <c r="F283" s="42">
        <v>3.0052342667283741E-2</v>
      </c>
      <c r="G283">
        <v>0.96994765733271637</v>
      </c>
    </row>
    <row r="284" spans="3:7" x14ac:dyDescent="0.15">
      <c r="C284" s="61" t="s">
        <v>345</v>
      </c>
      <c r="D284" s="60">
        <v>0</v>
      </c>
      <c r="E284" s="60">
        <v>1</v>
      </c>
      <c r="F284" s="60">
        <v>0.48240346558866454</v>
      </c>
      <c r="G284" s="59">
        <v>0.51759653441133557</v>
      </c>
    </row>
    <row r="285" spans="3:7" x14ac:dyDescent="0.15">
      <c r="C285" s="43" t="s">
        <v>346</v>
      </c>
      <c r="D285" s="42">
        <v>1</v>
      </c>
      <c r="E285" s="42">
        <v>1</v>
      </c>
      <c r="F285" s="42">
        <v>3.0245482874696864E-2</v>
      </c>
      <c r="G285">
        <v>0.96975451712530303</v>
      </c>
    </row>
    <row r="286" spans="3:7" x14ac:dyDescent="0.15">
      <c r="C286" s="43" t="s">
        <v>347</v>
      </c>
      <c r="D286" s="42">
        <v>0</v>
      </c>
      <c r="E286" s="42">
        <v>0</v>
      </c>
      <c r="F286" s="42">
        <v>0.85204644104699823</v>
      </c>
      <c r="G286">
        <v>0.1479535589530018</v>
      </c>
    </row>
    <row r="287" spans="3:7" x14ac:dyDescent="0.15">
      <c r="C287" s="43" t="s">
        <v>348</v>
      </c>
      <c r="D287" s="42">
        <v>0</v>
      </c>
      <c r="E287" s="42">
        <v>0</v>
      </c>
      <c r="F287" s="42">
        <v>0.99678131128708602</v>
      </c>
      <c r="G287">
        <v>3.218688712914114E-3</v>
      </c>
    </row>
    <row r="288" spans="3:7" x14ac:dyDescent="0.15">
      <c r="C288" s="43" t="s">
        <v>349</v>
      </c>
      <c r="D288" s="42">
        <v>1</v>
      </c>
      <c r="E288" s="42">
        <v>1</v>
      </c>
      <c r="F288" s="42">
        <v>0.24335686081200672</v>
      </c>
      <c r="G288">
        <v>0.75664313918799331</v>
      </c>
    </row>
    <row r="289" spans="3:7" x14ac:dyDescent="0.15">
      <c r="C289" s="43" t="s">
        <v>350</v>
      </c>
      <c r="D289" s="42">
        <v>1</v>
      </c>
      <c r="E289" s="42">
        <v>1</v>
      </c>
      <c r="F289" s="42">
        <v>1.7674477815850829E-2</v>
      </c>
      <c r="G289">
        <v>0.98232552218414926</v>
      </c>
    </row>
    <row r="290" spans="3:7" x14ac:dyDescent="0.15">
      <c r="C290" s="43" t="s">
        <v>351</v>
      </c>
      <c r="D290" s="42">
        <v>1</v>
      </c>
      <c r="E290" s="42">
        <v>1</v>
      </c>
      <c r="F290" s="42">
        <v>1.3598574391708404E-3</v>
      </c>
      <c r="G290">
        <v>0.99864014256082911</v>
      </c>
    </row>
    <row r="291" spans="3:7" x14ac:dyDescent="0.15">
      <c r="C291" s="61" t="s">
        <v>352</v>
      </c>
      <c r="D291" s="60">
        <v>1</v>
      </c>
      <c r="E291" s="60">
        <v>0</v>
      </c>
      <c r="F291" s="60">
        <v>0.73954463150727889</v>
      </c>
      <c r="G291" s="59">
        <v>0.26045536849272105</v>
      </c>
    </row>
    <row r="292" spans="3:7" x14ac:dyDescent="0.15">
      <c r="C292" s="43" t="s">
        <v>353</v>
      </c>
      <c r="D292" s="42">
        <v>1</v>
      </c>
      <c r="E292" s="42">
        <v>1</v>
      </c>
      <c r="F292" s="42">
        <v>8.2348483781240006E-4</v>
      </c>
      <c r="G292">
        <v>0.99917651516218753</v>
      </c>
    </row>
  </sheetData>
  <mergeCells count="15">
    <mergeCell ref="B3:K3"/>
    <mergeCell ref="N3:Q3"/>
    <mergeCell ref="H4:I4"/>
    <mergeCell ref="J4:K4"/>
    <mergeCell ref="B5:C5"/>
    <mergeCell ref="D5:E5"/>
    <mergeCell ref="F5:G5"/>
    <mergeCell ref="H5:I5"/>
    <mergeCell ref="J5:K5"/>
    <mergeCell ref="C12:E12"/>
    <mergeCell ref="C17:F17"/>
    <mergeCell ref="C23:D23"/>
    <mergeCell ref="B4:C4"/>
    <mergeCell ref="D4:E4"/>
    <mergeCell ref="F4:G4"/>
  </mergeCells>
  <hyperlinks>
    <hyperlink ref="B4" location="'DA_Output'!$B$10:$B$10" display="Inputs" xr:uid="{6EE8B64C-CBAC-DD46-96DD-FFF4E6B88711}"/>
    <hyperlink ref="D4" location="'DA_Output'!$B$48:$B$48" display="Linear Discriminant Functions" xr:uid="{7A2A3873-7F6F-3A4C-991B-0247408E7A06}"/>
    <hyperlink ref="F4" location="'DA_Stored'!$B$10:$B$10" display="PMML Model" xr:uid="{A58AC1EC-9781-8A4A-9AA2-CF80A895915C}"/>
    <hyperlink ref="H4" location="'DA_TrainingScore'!$B$10:$B$10" display="Training: Classification Summary" xr:uid="{F33D1280-A68D-8F4A-B980-1FAF1D82B08F}"/>
    <hyperlink ref="J4" location="'DA_TrainingScore'!$B$34:$B$34" display="Training: Classification Details" xr:uid="{845E2BE9-6D08-DC44-9900-3F579040E7B5}"/>
    <hyperlink ref="B5" location="'DA_ValidationLiftChart'!$B$10:$B$10" display="Validation: Charts" xr:uid="{741860C3-C3D8-2647-B7BF-D73973FF9229}"/>
    <hyperlink ref="D5" location="'DA_ValidationScore'!$B$10:$B$10" display="Validation: Classification Summary" xr:uid="{A4C2B4ED-EB52-AC4F-A123-D68410855242}"/>
    <hyperlink ref="F5" location="'DA_ValidationScore'!$B$34:$B$34" display="Validation: Classification Details" xr:uid="{DECDF5B3-684E-D740-9DD4-FF930ADFD38B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280DF4-03AF-BC47-A4A3-8E516A325CC7}">
  <dimension ref="B1:Q1286"/>
  <sheetViews>
    <sheetView showGridLines="0" workbookViewId="0">
      <selection activeCell="C36" sqref="C36:G1286"/>
    </sheetView>
  </sheetViews>
  <sheetFormatPr baseColWidth="10" defaultRowHeight="13" x14ac:dyDescent="0.15"/>
  <cols>
    <col min="3" max="3" width="17" customWidth="1"/>
    <col min="4" max="4" width="15.33203125" customWidth="1"/>
    <col min="5" max="5" width="24.6640625" customWidth="1"/>
    <col min="6" max="7" width="13" customWidth="1"/>
    <col min="14" max="14" width="23.33203125" bestFit="1" customWidth="1"/>
  </cols>
  <sheetData>
    <row r="1" spans="2:17" ht="19" x14ac:dyDescent="0.25">
      <c r="B1" s="40" t="s">
        <v>1728</v>
      </c>
      <c r="N1" t="s">
        <v>1627</v>
      </c>
    </row>
    <row r="3" spans="2:17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N3" s="54" t="s">
        <v>50</v>
      </c>
      <c r="O3" s="54"/>
      <c r="P3" s="54"/>
      <c r="Q3" s="54"/>
    </row>
    <row r="4" spans="2:17" ht="14" x14ac:dyDescent="0.2">
      <c r="B4" s="49" t="s">
        <v>74</v>
      </c>
      <c r="C4" s="49"/>
      <c r="D4" s="49" t="s">
        <v>1683</v>
      </c>
      <c r="E4" s="49"/>
      <c r="F4" s="49" t="s">
        <v>1605</v>
      </c>
      <c r="G4" s="49"/>
      <c r="H4" s="49" t="s">
        <v>1684</v>
      </c>
      <c r="I4" s="49"/>
      <c r="J4" s="49" t="s">
        <v>1685</v>
      </c>
      <c r="K4" s="49"/>
      <c r="N4" s="53" t="s">
        <v>86</v>
      </c>
      <c r="O4" s="53" t="s">
        <v>87</v>
      </c>
      <c r="P4" s="53" t="s">
        <v>52</v>
      </c>
      <c r="Q4" s="53" t="s">
        <v>53</v>
      </c>
    </row>
    <row r="5" spans="2:17" ht="14" x14ac:dyDescent="0.2">
      <c r="B5" s="49" t="s">
        <v>1686</v>
      </c>
      <c r="C5" s="49"/>
      <c r="D5" s="49" t="s">
        <v>1687</v>
      </c>
      <c r="E5" s="49"/>
      <c r="F5" s="49" t="s">
        <v>1688</v>
      </c>
      <c r="G5" s="49"/>
      <c r="H5" s="56"/>
      <c r="I5" s="56"/>
      <c r="J5" s="56"/>
      <c r="K5" s="56"/>
      <c r="N5" s="45">
        <v>847</v>
      </c>
      <c r="O5" s="45">
        <v>5</v>
      </c>
      <c r="P5" s="45">
        <v>116</v>
      </c>
      <c r="Q5" s="45">
        <v>968</v>
      </c>
    </row>
    <row r="10" spans="2:17" ht="19" x14ac:dyDescent="0.25">
      <c r="B10" s="41" t="s">
        <v>1687</v>
      </c>
    </row>
    <row r="12" spans="2:17" ht="16" x14ac:dyDescent="0.2">
      <c r="C12" s="51" t="s">
        <v>1729</v>
      </c>
      <c r="D12" s="51"/>
      <c r="E12" s="51"/>
    </row>
    <row r="13" spans="2:17" x14ac:dyDescent="0.15">
      <c r="C13" s="43" t="s">
        <v>1746</v>
      </c>
      <c r="D13" t="s">
        <v>1750</v>
      </c>
      <c r="E13" t="s">
        <v>1751</v>
      </c>
    </row>
    <row r="14" spans="2:17" x14ac:dyDescent="0.15">
      <c r="C14" s="43">
        <v>0</v>
      </c>
      <c r="D14" s="42">
        <v>1025</v>
      </c>
      <c r="E14">
        <v>97</v>
      </c>
    </row>
    <row r="15" spans="2:17" x14ac:dyDescent="0.15">
      <c r="C15" s="43">
        <v>1</v>
      </c>
      <c r="D15" s="42">
        <v>22</v>
      </c>
      <c r="E15">
        <v>106</v>
      </c>
    </row>
    <row r="17" spans="3:6" ht="16" x14ac:dyDescent="0.2">
      <c r="C17" s="51" t="s">
        <v>1730</v>
      </c>
      <c r="D17" s="51"/>
      <c r="E17" s="51"/>
      <c r="F17" s="51"/>
    </row>
    <row r="18" spans="3:6" x14ac:dyDescent="0.15">
      <c r="C18" t="s">
        <v>1731</v>
      </c>
      <c r="D18" t="s">
        <v>1719</v>
      </c>
      <c r="E18" t="s">
        <v>1744</v>
      </c>
      <c r="F18" t="s">
        <v>1745</v>
      </c>
    </row>
    <row r="19" spans="3:6" x14ac:dyDescent="0.15">
      <c r="C19" s="43">
        <v>0</v>
      </c>
      <c r="D19">
        <f>SUM($D$14:$E$14)</f>
        <v>1122</v>
      </c>
      <c r="E19">
        <f>SUM($D$14:$E$14) - $D$14</f>
        <v>97</v>
      </c>
      <c r="F19">
        <f>IF($D$19=0,"Undefined",$E$19*100 / $D$19)</f>
        <v>8.6452762923351152</v>
      </c>
    </row>
    <row r="20" spans="3:6" x14ac:dyDescent="0.15">
      <c r="C20" s="43">
        <v>1</v>
      </c>
      <c r="D20">
        <f>SUM($D$15:$E$15)</f>
        <v>128</v>
      </c>
      <c r="E20">
        <f>SUM($D$15:$E$15) - $E$15</f>
        <v>22</v>
      </c>
      <c r="F20">
        <f>IF($D$20=0,"Undefined",$E$20*100 / $D$20)</f>
        <v>17.1875</v>
      </c>
    </row>
    <row r="21" spans="3:6" x14ac:dyDescent="0.15">
      <c r="C21" s="43" t="s">
        <v>1732</v>
      </c>
      <c r="D21">
        <f>SUM($D$19:$D$20)</f>
        <v>1250</v>
      </c>
      <c r="E21">
        <f>SUM($E$19:$E$20)</f>
        <v>119</v>
      </c>
      <c r="F21">
        <f>IF($D$21=0,"Undefined",$E$21*100 / $D$21)</f>
        <v>9.52</v>
      </c>
    </row>
    <row r="23" spans="3:6" ht="16" x14ac:dyDescent="0.2">
      <c r="C23" s="51" t="s">
        <v>1733</v>
      </c>
      <c r="D23" s="51"/>
    </row>
    <row r="24" spans="3:6" x14ac:dyDescent="0.15">
      <c r="C24" t="s">
        <v>1734</v>
      </c>
      <c r="D24" t="s">
        <v>1743</v>
      </c>
    </row>
    <row r="25" spans="3:6" x14ac:dyDescent="0.15">
      <c r="C25" t="s">
        <v>1735</v>
      </c>
      <c r="D25">
        <v>1131</v>
      </c>
    </row>
    <row r="26" spans="3:6" x14ac:dyDescent="0.15">
      <c r="C26" t="s">
        <v>1736</v>
      </c>
      <c r="D26">
        <v>90.48</v>
      </c>
    </row>
    <row r="27" spans="3:6" x14ac:dyDescent="0.15">
      <c r="C27" t="s">
        <v>1737</v>
      </c>
      <c r="D27">
        <v>0.91354723707664887</v>
      </c>
    </row>
    <row r="28" spans="3:6" x14ac:dyDescent="0.15">
      <c r="C28" t="s">
        <v>1738</v>
      </c>
      <c r="D28">
        <v>0.828125</v>
      </c>
    </row>
    <row r="29" spans="3:6" x14ac:dyDescent="0.15">
      <c r="C29" t="s">
        <v>1739</v>
      </c>
      <c r="D29">
        <v>0.52216748768472909</v>
      </c>
    </row>
    <row r="30" spans="3:6" x14ac:dyDescent="0.15">
      <c r="C30" t="s">
        <v>1740</v>
      </c>
      <c r="D30">
        <v>0.6404833836858006</v>
      </c>
    </row>
    <row r="31" spans="3:6" x14ac:dyDescent="0.15">
      <c r="C31" t="s">
        <v>1741</v>
      </c>
      <c r="D31">
        <v>1</v>
      </c>
    </row>
    <row r="32" spans="3:6" x14ac:dyDescent="0.15">
      <c r="C32" t="s">
        <v>1742</v>
      </c>
      <c r="D32">
        <v>0.5</v>
      </c>
    </row>
    <row r="34" spans="2:7" ht="19" x14ac:dyDescent="0.25">
      <c r="B34" s="41" t="s">
        <v>1688</v>
      </c>
    </row>
    <row r="36" spans="2:7" x14ac:dyDescent="0.15">
      <c r="C36" s="43" t="s">
        <v>97</v>
      </c>
      <c r="D36" t="s">
        <v>8</v>
      </c>
      <c r="E36" t="s">
        <v>1747</v>
      </c>
      <c r="F36" t="s">
        <v>1748</v>
      </c>
      <c r="G36" t="s">
        <v>1749</v>
      </c>
    </row>
    <row r="37" spans="2:7" x14ac:dyDescent="0.15">
      <c r="C37" s="43" t="s">
        <v>354</v>
      </c>
      <c r="D37" s="42">
        <v>0</v>
      </c>
      <c r="E37" s="42">
        <v>0</v>
      </c>
      <c r="F37" s="42">
        <v>0.88946041717040703</v>
      </c>
      <c r="G37">
        <v>0.11053958282959291</v>
      </c>
    </row>
    <row r="38" spans="2:7" x14ac:dyDescent="0.15">
      <c r="C38" s="43" t="s">
        <v>355</v>
      </c>
      <c r="D38" s="42">
        <v>0</v>
      </c>
      <c r="E38" s="42">
        <v>0</v>
      </c>
      <c r="F38" s="42">
        <v>0.99590371015576717</v>
      </c>
      <c r="G38">
        <v>4.0962898442327865E-3</v>
      </c>
    </row>
    <row r="39" spans="2:7" x14ac:dyDescent="0.15">
      <c r="C39" s="43" t="s">
        <v>356</v>
      </c>
      <c r="D39" s="42">
        <v>0</v>
      </c>
      <c r="E39" s="42">
        <v>0</v>
      </c>
      <c r="F39" s="42">
        <v>0.81039039849385353</v>
      </c>
      <c r="G39">
        <v>0.18960960150614647</v>
      </c>
    </row>
    <row r="40" spans="2:7" x14ac:dyDescent="0.15">
      <c r="C40" s="43" t="s">
        <v>357</v>
      </c>
      <c r="D40" s="42">
        <v>0</v>
      </c>
      <c r="E40" s="42">
        <v>0</v>
      </c>
      <c r="F40" s="42">
        <v>0.96638897111247202</v>
      </c>
      <c r="G40">
        <v>3.3611028887527941E-2</v>
      </c>
    </row>
    <row r="41" spans="2:7" x14ac:dyDescent="0.15">
      <c r="C41" s="61" t="s">
        <v>358</v>
      </c>
      <c r="D41" s="60">
        <v>0</v>
      </c>
      <c r="E41" s="60">
        <v>1</v>
      </c>
      <c r="F41" s="60">
        <v>0.37077677221756022</v>
      </c>
      <c r="G41" s="59">
        <v>0.62922322778243989</v>
      </c>
    </row>
    <row r="42" spans="2:7" x14ac:dyDescent="0.15">
      <c r="C42" s="43" t="s">
        <v>359</v>
      </c>
      <c r="D42" s="42">
        <v>0</v>
      </c>
      <c r="E42" s="42">
        <v>0</v>
      </c>
      <c r="F42" s="42">
        <v>0.91069889300081031</v>
      </c>
      <c r="G42">
        <v>8.9301106999189694E-2</v>
      </c>
    </row>
    <row r="43" spans="2:7" x14ac:dyDescent="0.15">
      <c r="C43" s="43" t="s">
        <v>360</v>
      </c>
      <c r="D43" s="42">
        <v>0</v>
      </c>
      <c r="E43" s="42">
        <v>0</v>
      </c>
      <c r="F43" s="42">
        <v>0.98769549090738085</v>
      </c>
      <c r="G43">
        <v>1.230450909261907E-2</v>
      </c>
    </row>
    <row r="44" spans="2:7" x14ac:dyDescent="0.15">
      <c r="C44" s="43" t="s">
        <v>361</v>
      </c>
      <c r="D44" s="42">
        <v>0</v>
      </c>
      <c r="E44" s="42">
        <v>0</v>
      </c>
      <c r="F44" s="42">
        <v>0.66685082316056399</v>
      </c>
      <c r="G44">
        <v>0.33314917683943601</v>
      </c>
    </row>
    <row r="45" spans="2:7" x14ac:dyDescent="0.15">
      <c r="C45" s="43" t="s">
        <v>362</v>
      </c>
      <c r="D45" s="42">
        <v>0</v>
      </c>
      <c r="E45" s="42">
        <v>0</v>
      </c>
      <c r="F45" s="42">
        <v>0.98787753718278926</v>
      </c>
      <c r="G45">
        <v>1.2122462817210758E-2</v>
      </c>
    </row>
    <row r="46" spans="2:7" x14ac:dyDescent="0.15">
      <c r="C46" s="43" t="s">
        <v>363</v>
      </c>
      <c r="D46" s="42">
        <v>0</v>
      </c>
      <c r="E46" s="42">
        <v>0</v>
      </c>
      <c r="F46" s="42">
        <v>0.99750173824875032</v>
      </c>
      <c r="G46">
        <v>2.4982617512497164E-3</v>
      </c>
    </row>
    <row r="47" spans="2:7" x14ac:dyDescent="0.15">
      <c r="C47" s="61" t="s">
        <v>364</v>
      </c>
      <c r="D47" s="60">
        <v>0</v>
      </c>
      <c r="E47" s="60">
        <v>1</v>
      </c>
      <c r="F47" s="60">
        <v>6.8597115298939776E-2</v>
      </c>
      <c r="G47" s="59">
        <v>0.93140288470106014</v>
      </c>
    </row>
    <row r="48" spans="2:7" x14ac:dyDescent="0.15">
      <c r="C48" s="43" t="s">
        <v>365</v>
      </c>
      <c r="D48" s="42">
        <v>0</v>
      </c>
      <c r="E48" s="42">
        <v>0</v>
      </c>
      <c r="F48" s="42">
        <v>0.99836739808696595</v>
      </c>
      <c r="G48">
        <v>1.6326019130339835E-3</v>
      </c>
    </row>
    <row r="49" spans="3:7" x14ac:dyDescent="0.15">
      <c r="C49" s="43" t="s">
        <v>366</v>
      </c>
      <c r="D49" s="42">
        <v>0</v>
      </c>
      <c r="E49" s="42">
        <v>0</v>
      </c>
      <c r="F49" s="42">
        <v>0.50278479203931714</v>
      </c>
      <c r="G49">
        <v>0.4972152079606828</v>
      </c>
    </row>
    <row r="50" spans="3:7" x14ac:dyDescent="0.15">
      <c r="C50" s="43" t="s">
        <v>367</v>
      </c>
      <c r="D50" s="42">
        <v>0</v>
      </c>
      <c r="E50" s="42">
        <v>0</v>
      </c>
      <c r="F50" s="42">
        <v>0.54193756932936132</v>
      </c>
      <c r="G50">
        <v>0.45806243067063862</v>
      </c>
    </row>
    <row r="51" spans="3:7" x14ac:dyDescent="0.15">
      <c r="C51" s="43" t="s">
        <v>368</v>
      </c>
      <c r="D51" s="42">
        <v>0</v>
      </c>
      <c r="E51" s="42">
        <v>0</v>
      </c>
      <c r="F51" s="42">
        <v>0.98694323879937562</v>
      </c>
      <c r="G51">
        <v>1.3056761200624455E-2</v>
      </c>
    </row>
    <row r="52" spans="3:7" x14ac:dyDescent="0.15">
      <c r="C52" s="43" t="s">
        <v>369</v>
      </c>
      <c r="D52" s="42">
        <v>0</v>
      </c>
      <c r="E52" s="42">
        <v>0</v>
      </c>
      <c r="F52" s="42">
        <v>0.52253029101580362</v>
      </c>
      <c r="G52">
        <v>0.47746970898419633</v>
      </c>
    </row>
    <row r="53" spans="3:7" x14ac:dyDescent="0.15">
      <c r="C53" s="43" t="s">
        <v>370</v>
      </c>
      <c r="D53" s="42">
        <v>0</v>
      </c>
      <c r="E53" s="42">
        <v>0</v>
      </c>
      <c r="F53" s="42">
        <v>0.9639730594769681</v>
      </c>
      <c r="G53">
        <v>3.6026940523031917E-2</v>
      </c>
    </row>
    <row r="54" spans="3:7" x14ac:dyDescent="0.15">
      <c r="C54" s="43" t="s">
        <v>371</v>
      </c>
      <c r="D54" s="42">
        <v>0</v>
      </c>
      <c r="E54" s="42">
        <v>0</v>
      </c>
      <c r="F54" s="42">
        <v>0.97094378045102425</v>
      </c>
      <c r="G54">
        <v>2.9056219548975682E-2</v>
      </c>
    </row>
    <row r="55" spans="3:7" x14ac:dyDescent="0.15">
      <c r="C55" s="43" t="s">
        <v>372</v>
      </c>
      <c r="D55" s="42">
        <v>0</v>
      </c>
      <c r="E55" s="42">
        <v>0</v>
      </c>
      <c r="F55" s="42">
        <v>0.97955893334727229</v>
      </c>
      <c r="G55">
        <v>2.0441066652727578E-2</v>
      </c>
    </row>
    <row r="56" spans="3:7" x14ac:dyDescent="0.15">
      <c r="C56" s="43" t="s">
        <v>373</v>
      </c>
      <c r="D56" s="42">
        <v>0</v>
      </c>
      <c r="E56" s="42">
        <v>0</v>
      </c>
      <c r="F56" s="42">
        <v>0.98657498157721857</v>
      </c>
      <c r="G56">
        <v>1.3425018422781392E-2</v>
      </c>
    </row>
    <row r="57" spans="3:7" x14ac:dyDescent="0.15">
      <c r="C57" s="43" t="s">
        <v>374</v>
      </c>
      <c r="D57" s="42">
        <v>0</v>
      </c>
      <c r="E57" s="42">
        <v>0</v>
      </c>
      <c r="F57" s="42">
        <v>0.93050251230687364</v>
      </c>
      <c r="G57">
        <v>6.9497487693126442E-2</v>
      </c>
    </row>
    <row r="58" spans="3:7" x14ac:dyDescent="0.15">
      <c r="C58" s="43" t="s">
        <v>375</v>
      </c>
      <c r="D58" s="42">
        <v>0</v>
      </c>
      <c r="E58" s="42">
        <v>0</v>
      </c>
      <c r="F58" s="42">
        <v>0.78931235581114778</v>
      </c>
      <c r="G58">
        <v>0.21068764418885236</v>
      </c>
    </row>
    <row r="59" spans="3:7" x14ac:dyDescent="0.15">
      <c r="C59" s="43" t="s">
        <v>376</v>
      </c>
      <c r="D59" s="42">
        <v>0</v>
      </c>
      <c r="E59" s="42">
        <v>0</v>
      </c>
      <c r="F59" s="42">
        <v>0.88429474996272561</v>
      </c>
      <c r="G59">
        <v>0.11570525003727446</v>
      </c>
    </row>
    <row r="60" spans="3:7" x14ac:dyDescent="0.15">
      <c r="C60" s="61" t="s">
        <v>377</v>
      </c>
      <c r="D60" s="60">
        <v>0</v>
      </c>
      <c r="E60" s="60">
        <v>1</v>
      </c>
      <c r="F60" s="60">
        <v>0.47643540492524217</v>
      </c>
      <c r="G60" s="59">
        <v>0.52356459507475783</v>
      </c>
    </row>
    <row r="61" spans="3:7" x14ac:dyDescent="0.15">
      <c r="C61" s="61" t="s">
        <v>378</v>
      </c>
      <c r="D61" s="60">
        <v>1</v>
      </c>
      <c r="E61" s="60">
        <v>0</v>
      </c>
      <c r="F61" s="60">
        <v>0.92787020411517385</v>
      </c>
      <c r="G61" s="59">
        <v>7.2129795884826112E-2</v>
      </c>
    </row>
    <row r="62" spans="3:7" x14ac:dyDescent="0.15">
      <c r="C62" s="43" t="s">
        <v>379</v>
      </c>
      <c r="D62" s="42">
        <v>0</v>
      </c>
      <c r="E62" s="42">
        <v>0</v>
      </c>
      <c r="F62" s="42">
        <v>0.98411277927671803</v>
      </c>
      <c r="G62">
        <v>1.5887220723282018E-2</v>
      </c>
    </row>
    <row r="63" spans="3:7" x14ac:dyDescent="0.15">
      <c r="C63" s="43" t="s">
        <v>380</v>
      </c>
      <c r="D63" s="42">
        <v>0</v>
      </c>
      <c r="E63" s="42">
        <v>0</v>
      </c>
      <c r="F63" s="42">
        <v>0.96139422058601842</v>
      </c>
      <c r="G63">
        <v>3.8605779413981536E-2</v>
      </c>
    </row>
    <row r="64" spans="3:7" x14ac:dyDescent="0.15">
      <c r="C64" s="43" t="s">
        <v>381</v>
      </c>
      <c r="D64" s="42">
        <v>0</v>
      </c>
      <c r="E64" s="42">
        <v>0</v>
      </c>
      <c r="F64" s="42">
        <v>0.90411855513946504</v>
      </c>
      <c r="G64">
        <v>9.5881444860535056E-2</v>
      </c>
    </row>
    <row r="65" spans="3:7" x14ac:dyDescent="0.15">
      <c r="C65" s="43" t="s">
        <v>382</v>
      </c>
      <c r="D65" s="42">
        <v>0</v>
      </c>
      <c r="E65" s="42">
        <v>0</v>
      </c>
      <c r="F65" s="42">
        <v>0.97421443838836552</v>
      </c>
      <c r="G65">
        <v>2.578556161163454E-2</v>
      </c>
    </row>
    <row r="66" spans="3:7" x14ac:dyDescent="0.15">
      <c r="C66" s="43" t="s">
        <v>383</v>
      </c>
      <c r="D66" s="42">
        <v>0</v>
      </c>
      <c r="E66" s="42">
        <v>0</v>
      </c>
      <c r="F66" s="42">
        <v>0.92799650404875644</v>
      </c>
      <c r="G66">
        <v>7.2003495951243626E-2</v>
      </c>
    </row>
    <row r="67" spans="3:7" x14ac:dyDescent="0.15">
      <c r="C67" s="43" t="s">
        <v>384</v>
      </c>
      <c r="D67" s="42">
        <v>0</v>
      </c>
      <c r="E67" s="42">
        <v>0</v>
      </c>
      <c r="F67" s="42">
        <v>0.99751823756195424</v>
      </c>
      <c r="G67">
        <v>2.4817624380459157E-3</v>
      </c>
    </row>
    <row r="68" spans="3:7" x14ac:dyDescent="0.15">
      <c r="C68" s="43" t="s">
        <v>385</v>
      </c>
      <c r="D68" s="42">
        <v>0</v>
      </c>
      <c r="E68" s="42">
        <v>0</v>
      </c>
      <c r="F68" s="42">
        <v>0.99749159765363016</v>
      </c>
      <c r="G68">
        <v>2.5084023463699079E-3</v>
      </c>
    </row>
    <row r="69" spans="3:7" x14ac:dyDescent="0.15">
      <c r="C69" s="43" t="s">
        <v>386</v>
      </c>
      <c r="D69" s="42">
        <v>0</v>
      </c>
      <c r="E69" s="42">
        <v>0</v>
      </c>
      <c r="F69" s="42">
        <v>0.91654119441798143</v>
      </c>
      <c r="G69">
        <v>8.3458805582018514E-2</v>
      </c>
    </row>
    <row r="70" spans="3:7" x14ac:dyDescent="0.15">
      <c r="C70" s="43" t="s">
        <v>387</v>
      </c>
      <c r="D70" s="42">
        <v>0</v>
      </c>
      <c r="E70" s="42">
        <v>0</v>
      </c>
      <c r="F70" s="42">
        <v>0.97711899153914594</v>
      </c>
      <c r="G70">
        <v>2.2881008460854117E-2</v>
      </c>
    </row>
    <row r="71" spans="3:7" x14ac:dyDescent="0.15">
      <c r="C71" s="43" t="s">
        <v>388</v>
      </c>
      <c r="D71" s="42">
        <v>0</v>
      </c>
      <c r="E71" s="42">
        <v>0</v>
      </c>
      <c r="F71" s="42">
        <v>0.99990170691476377</v>
      </c>
      <c r="G71">
        <v>9.829308523619461E-5</v>
      </c>
    </row>
    <row r="72" spans="3:7" x14ac:dyDescent="0.15">
      <c r="C72" s="43" t="s">
        <v>389</v>
      </c>
      <c r="D72" s="42">
        <v>0</v>
      </c>
      <c r="E72" s="42">
        <v>0</v>
      </c>
      <c r="F72" s="42">
        <v>0.99636729827492443</v>
      </c>
      <c r="G72">
        <v>3.6327017250756136E-3</v>
      </c>
    </row>
    <row r="73" spans="3:7" x14ac:dyDescent="0.15">
      <c r="C73" s="43" t="s">
        <v>390</v>
      </c>
      <c r="D73" s="42">
        <v>0</v>
      </c>
      <c r="E73" s="42">
        <v>0</v>
      </c>
      <c r="F73" s="42">
        <v>0.98195057827891974</v>
      </c>
      <c r="G73">
        <v>1.8049421721080192E-2</v>
      </c>
    </row>
    <row r="74" spans="3:7" x14ac:dyDescent="0.15">
      <c r="C74" s="43" t="s">
        <v>391</v>
      </c>
      <c r="D74" s="42">
        <v>0</v>
      </c>
      <c r="E74" s="42">
        <v>0</v>
      </c>
      <c r="F74" s="42">
        <v>0.99715391755769123</v>
      </c>
      <c r="G74">
        <v>2.8460824423088109E-3</v>
      </c>
    </row>
    <row r="75" spans="3:7" x14ac:dyDescent="0.15">
      <c r="C75" s="43" t="s">
        <v>392</v>
      </c>
      <c r="D75" s="42">
        <v>0</v>
      </c>
      <c r="E75" s="42">
        <v>0</v>
      </c>
      <c r="F75" s="42">
        <v>0.9582241721176914</v>
      </c>
      <c r="G75">
        <v>4.1775827882308575E-2</v>
      </c>
    </row>
    <row r="76" spans="3:7" x14ac:dyDescent="0.15">
      <c r="C76" s="43" t="s">
        <v>393</v>
      </c>
      <c r="D76" s="42">
        <v>0</v>
      </c>
      <c r="E76" s="42">
        <v>0</v>
      </c>
      <c r="F76" s="42">
        <v>0.96416663135484748</v>
      </c>
      <c r="G76">
        <v>3.5833368645152443E-2</v>
      </c>
    </row>
    <row r="77" spans="3:7" x14ac:dyDescent="0.15">
      <c r="C77" s="43" t="s">
        <v>394</v>
      </c>
      <c r="D77" s="42">
        <v>0</v>
      </c>
      <c r="E77" s="42">
        <v>0</v>
      </c>
      <c r="F77" s="42">
        <v>0.94724926609814919</v>
      </c>
      <c r="G77">
        <v>5.2750733901850838E-2</v>
      </c>
    </row>
    <row r="78" spans="3:7" x14ac:dyDescent="0.15">
      <c r="C78" s="43" t="s">
        <v>395</v>
      </c>
      <c r="D78" s="42">
        <v>0</v>
      </c>
      <c r="E78" s="42">
        <v>0</v>
      </c>
      <c r="F78" s="42">
        <v>0.98736107385686644</v>
      </c>
      <c r="G78">
        <v>1.2638926143133514E-2</v>
      </c>
    </row>
    <row r="79" spans="3:7" x14ac:dyDescent="0.15">
      <c r="C79" s="61" t="s">
        <v>396</v>
      </c>
      <c r="D79" s="60">
        <v>0</v>
      </c>
      <c r="E79" s="60">
        <v>1</v>
      </c>
      <c r="F79" s="60">
        <v>0.25954098480835602</v>
      </c>
      <c r="G79" s="59">
        <v>0.74045901519164392</v>
      </c>
    </row>
    <row r="80" spans="3:7" x14ac:dyDescent="0.15">
      <c r="C80" s="43" t="s">
        <v>397</v>
      </c>
      <c r="D80" s="42">
        <v>0</v>
      </c>
      <c r="E80" s="42">
        <v>0</v>
      </c>
      <c r="F80" s="42">
        <v>0.94289757587222478</v>
      </c>
      <c r="G80">
        <v>5.7102424127775178E-2</v>
      </c>
    </row>
    <row r="81" spans="3:7" x14ac:dyDescent="0.15">
      <c r="C81" s="43" t="s">
        <v>398</v>
      </c>
      <c r="D81" s="42">
        <v>0</v>
      </c>
      <c r="E81" s="42">
        <v>0</v>
      </c>
      <c r="F81" s="42">
        <v>0.69434563941519389</v>
      </c>
      <c r="G81">
        <v>0.30565436058480611</v>
      </c>
    </row>
    <row r="82" spans="3:7" x14ac:dyDescent="0.15">
      <c r="C82" s="43" t="s">
        <v>399</v>
      </c>
      <c r="D82" s="42">
        <v>0</v>
      </c>
      <c r="E82" s="42">
        <v>0</v>
      </c>
      <c r="F82" s="42">
        <v>0.99652686273298352</v>
      </c>
      <c r="G82">
        <v>3.4731372670163993E-3</v>
      </c>
    </row>
    <row r="83" spans="3:7" x14ac:dyDescent="0.15">
      <c r="C83" s="43" t="s">
        <v>400</v>
      </c>
      <c r="D83" s="42">
        <v>0</v>
      </c>
      <c r="E83" s="42">
        <v>0</v>
      </c>
      <c r="F83" s="42">
        <v>0.94069464680047143</v>
      </c>
      <c r="G83">
        <v>5.9305353199528593E-2</v>
      </c>
    </row>
    <row r="84" spans="3:7" x14ac:dyDescent="0.15">
      <c r="C84" s="43" t="s">
        <v>401</v>
      </c>
      <c r="D84" s="42">
        <v>0</v>
      </c>
      <c r="E84" s="42">
        <v>0</v>
      </c>
      <c r="F84" s="42">
        <v>0.90336015313813234</v>
      </c>
      <c r="G84">
        <v>9.6639846861867731E-2</v>
      </c>
    </row>
    <row r="85" spans="3:7" x14ac:dyDescent="0.15">
      <c r="C85" s="43" t="s">
        <v>402</v>
      </c>
      <c r="D85" s="42">
        <v>0</v>
      </c>
      <c r="E85" s="42">
        <v>0</v>
      </c>
      <c r="F85" s="42">
        <v>0.64964539964436163</v>
      </c>
      <c r="G85">
        <v>0.3503546003556382</v>
      </c>
    </row>
    <row r="86" spans="3:7" x14ac:dyDescent="0.15">
      <c r="C86" s="43" t="s">
        <v>403</v>
      </c>
      <c r="D86" s="42">
        <v>0</v>
      </c>
      <c r="E86" s="42">
        <v>0</v>
      </c>
      <c r="F86" s="42">
        <v>0.98626294520722568</v>
      </c>
      <c r="G86">
        <v>1.373705479277426E-2</v>
      </c>
    </row>
    <row r="87" spans="3:7" x14ac:dyDescent="0.15">
      <c r="C87" s="43" t="s">
        <v>404</v>
      </c>
      <c r="D87" s="42">
        <v>1</v>
      </c>
      <c r="E87" s="42">
        <v>1</v>
      </c>
      <c r="F87" s="42">
        <v>2.8956554295696394E-3</v>
      </c>
      <c r="G87">
        <v>0.99710434457043029</v>
      </c>
    </row>
    <row r="88" spans="3:7" x14ac:dyDescent="0.15">
      <c r="C88" s="43" t="s">
        <v>405</v>
      </c>
      <c r="D88" s="42">
        <v>0</v>
      </c>
      <c r="E88" s="42">
        <v>0</v>
      </c>
      <c r="F88" s="42">
        <v>0.99868692742797793</v>
      </c>
      <c r="G88">
        <v>1.3130725720220031E-3</v>
      </c>
    </row>
    <row r="89" spans="3:7" x14ac:dyDescent="0.15">
      <c r="C89" s="43" t="s">
        <v>406</v>
      </c>
      <c r="D89" s="42">
        <v>0</v>
      </c>
      <c r="E89" s="42">
        <v>0</v>
      </c>
      <c r="F89" s="42">
        <v>0.99968746078490189</v>
      </c>
      <c r="G89">
        <v>3.1253921509815567E-4</v>
      </c>
    </row>
    <row r="90" spans="3:7" x14ac:dyDescent="0.15">
      <c r="C90" s="43" t="s">
        <v>407</v>
      </c>
      <c r="D90" s="42">
        <v>0</v>
      </c>
      <c r="E90" s="42">
        <v>0</v>
      </c>
      <c r="F90" s="42">
        <v>0.6296774112836695</v>
      </c>
      <c r="G90">
        <v>0.37032258871633045</v>
      </c>
    </row>
    <row r="91" spans="3:7" x14ac:dyDescent="0.15">
      <c r="C91" s="61" t="s">
        <v>408</v>
      </c>
      <c r="D91" s="60">
        <v>1</v>
      </c>
      <c r="E91" s="60">
        <v>0</v>
      </c>
      <c r="F91" s="60">
        <v>0.99375427280634898</v>
      </c>
      <c r="G91" s="59">
        <v>6.2457271936510392E-3</v>
      </c>
    </row>
    <row r="92" spans="3:7" x14ac:dyDescent="0.15">
      <c r="C92" s="61" t="s">
        <v>409</v>
      </c>
      <c r="D92" s="60">
        <v>1</v>
      </c>
      <c r="E92" s="60">
        <v>0</v>
      </c>
      <c r="F92" s="60">
        <v>0.76247783809948111</v>
      </c>
      <c r="G92" s="59">
        <v>0.23752216190051886</v>
      </c>
    </row>
    <row r="93" spans="3:7" x14ac:dyDescent="0.15">
      <c r="C93" s="43" t="s">
        <v>410</v>
      </c>
      <c r="D93" s="42">
        <v>0</v>
      </c>
      <c r="E93" s="42">
        <v>0</v>
      </c>
      <c r="F93" s="42">
        <v>0.7766844456579628</v>
      </c>
      <c r="G93">
        <v>0.2233155543420372</v>
      </c>
    </row>
    <row r="94" spans="3:7" x14ac:dyDescent="0.15">
      <c r="C94" s="43" t="s">
        <v>411</v>
      </c>
      <c r="D94" s="42">
        <v>0</v>
      </c>
      <c r="E94" s="42">
        <v>0</v>
      </c>
      <c r="F94" s="42">
        <v>0.99359928801348751</v>
      </c>
      <c r="G94">
        <v>6.4007119865125001E-3</v>
      </c>
    </row>
    <row r="95" spans="3:7" x14ac:dyDescent="0.15">
      <c r="C95" s="43" t="s">
        <v>412</v>
      </c>
      <c r="D95" s="42">
        <v>0</v>
      </c>
      <c r="E95" s="42">
        <v>0</v>
      </c>
      <c r="F95" s="42">
        <v>0.99922666689511985</v>
      </c>
      <c r="G95">
        <v>7.733331048801334E-4</v>
      </c>
    </row>
    <row r="96" spans="3:7" x14ac:dyDescent="0.15">
      <c r="C96" s="61" t="s">
        <v>413</v>
      </c>
      <c r="D96" s="60">
        <v>0</v>
      </c>
      <c r="E96" s="60">
        <v>1</v>
      </c>
      <c r="F96" s="60">
        <v>0.11198994581919779</v>
      </c>
      <c r="G96" s="59">
        <v>0.88801005418080226</v>
      </c>
    </row>
    <row r="97" spans="3:7" x14ac:dyDescent="0.15">
      <c r="C97" s="61" t="s">
        <v>414</v>
      </c>
      <c r="D97" s="60">
        <v>0</v>
      </c>
      <c r="E97" s="60">
        <v>1</v>
      </c>
      <c r="F97" s="60">
        <v>0.4569619793491273</v>
      </c>
      <c r="G97" s="59">
        <v>0.5430380206508727</v>
      </c>
    </row>
    <row r="98" spans="3:7" x14ac:dyDescent="0.15">
      <c r="C98" s="61" t="s">
        <v>415</v>
      </c>
      <c r="D98" s="60">
        <v>0</v>
      </c>
      <c r="E98" s="60">
        <v>1</v>
      </c>
      <c r="F98" s="60">
        <v>0.18863349382561123</v>
      </c>
      <c r="G98" s="59">
        <v>0.81136650617438877</v>
      </c>
    </row>
    <row r="99" spans="3:7" x14ac:dyDescent="0.15">
      <c r="C99" s="43" t="s">
        <v>416</v>
      </c>
      <c r="D99" s="42">
        <v>0</v>
      </c>
      <c r="E99" s="42">
        <v>0</v>
      </c>
      <c r="F99" s="42">
        <v>0.99861862814701141</v>
      </c>
      <c r="G99">
        <v>1.3813718529885738E-3</v>
      </c>
    </row>
    <row r="100" spans="3:7" x14ac:dyDescent="0.15">
      <c r="C100" s="61" t="s">
        <v>417</v>
      </c>
      <c r="D100" s="60">
        <v>0</v>
      </c>
      <c r="E100" s="60">
        <v>1</v>
      </c>
      <c r="F100" s="60">
        <v>0.24183503581329835</v>
      </c>
      <c r="G100" s="59">
        <v>0.75816496418670165</v>
      </c>
    </row>
    <row r="101" spans="3:7" x14ac:dyDescent="0.15">
      <c r="C101" s="43" t="s">
        <v>418</v>
      </c>
      <c r="D101" s="42">
        <v>0</v>
      </c>
      <c r="E101" s="42">
        <v>0</v>
      </c>
      <c r="F101" s="42">
        <v>0.99971026852387357</v>
      </c>
      <c r="G101">
        <v>2.8973147612640062E-4</v>
      </c>
    </row>
    <row r="102" spans="3:7" x14ac:dyDescent="0.15">
      <c r="C102" s="43" t="s">
        <v>419</v>
      </c>
      <c r="D102" s="42">
        <v>0</v>
      </c>
      <c r="E102" s="42">
        <v>0</v>
      </c>
      <c r="F102" s="42">
        <v>0.97098899759117829</v>
      </c>
      <c r="G102">
        <v>2.901100240882163E-2</v>
      </c>
    </row>
    <row r="103" spans="3:7" x14ac:dyDescent="0.15">
      <c r="C103" s="43" t="s">
        <v>420</v>
      </c>
      <c r="D103" s="42">
        <v>0</v>
      </c>
      <c r="E103" s="42">
        <v>0</v>
      </c>
      <c r="F103" s="42">
        <v>0.9902085886073646</v>
      </c>
      <c r="G103">
        <v>9.7914113926352991E-3</v>
      </c>
    </row>
    <row r="104" spans="3:7" x14ac:dyDescent="0.15">
      <c r="C104" s="43" t="s">
        <v>421</v>
      </c>
      <c r="D104" s="42">
        <v>0</v>
      </c>
      <c r="E104" s="42">
        <v>0</v>
      </c>
      <c r="F104" s="42">
        <v>0.96244628464941162</v>
      </c>
      <c r="G104">
        <v>3.7553715350588386E-2</v>
      </c>
    </row>
    <row r="105" spans="3:7" x14ac:dyDescent="0.15">
      <c r="C105" s="43" t="s">
        <v>422</v>
      </c>
      <c r="D105" s="42">
        <v>0</v>
      </c>
      <c r="E105" s="42">
        <v>0</v>
      </c>
      <c r="F105" s="42">
        <v>0.95302909010057679</v>
      </c>
      <c r="G105">
        <v>4.6970909899423305E-2</v>
      </c>
    </row>
    <row r="106" spans="3:7" x14ac:dyDescent="0.15">
      <c r="C106" s="43" t="s">
        <v>423</v>
      </c>
      <c r="D106" s="42">
        <v>1</v>
      </c>
      <c r="E106" s="42">
        <v>1</v>
      </c>
      <c r="F106" s="42">
        <v>0.21877326701302111</v>
      </c>
      <c r="G106">
        <v>0.78122673298697887</v>
      </c>
    </row>
    <row r="107" spans="3:7" x14ac:dyDescent="0.15">
      <c r="C107" s="43" t="s">
        <v>424</v>
      </c>
      <c r="D107" s="42">
        <v>0</v>
      </c>
      <c r="E107" s="42">
        <v>0</v>
      </c>
      <c r="F107" s="42">
        <v>0.98764425446904869</v>
      </c>
      <c r="G107">
        <v>1.2355745530951373E-2</v>
      </c>
    </row>
    <row r="108" spans="3:7" x14ac:dyDescent="0.15">
      <c r="C108" s="43" t="s">
        <v>425</v>
      </c>
      <c r="D108" s="42">
        <v>0</v>
      </c>
      <c r="E108" s="42">
        <v>0</v>
      </c>
      <c r="F108" s="42">
        <v>0.95191074706125456</v>
      </c>
      <c r="G108">
        <v>4.8089252938745566E-2</v>
      </c>
    </row>
    <row r="109" spans="3:7" x14ac:dyDescent="0.15">
      <c r="C109" s="43" t="s">
        <v>426</v>
      </c>
      <c r="D109" s="42">
        <v>0</v>
      </c>
      <c r="E109" s="42">
        <v>0</v>
      </c>
      <c r="F109" s="42">
        <v>0.98505648911315791</v>
      </c>
      <c r="G109">
        <v>1.4943510886842136E-2</v>
      </c>
    </row>
    <row r="110" spans="3:7" x14ac:dyDescent="0.15">
      <c r="C110" s="43" t="s">
        <v>427</v>
      </c>
      <c r="D110" s="42">
        <v>0</v>
      </c>
      <c r="E110" s="42">
        <v>0</v>
      </c>
      <c r="F110" s="42">
        <v>0.93864767661503168</v>
      </c>
      <c r="G110">
        <v>6.1352323384968342E-2</v>
      </c>
    </row>
    <row r="111" spans="3:7" x14ac:dyDescent="0.15">
      <c r="C111" s="43" t="s">
        <v>428</v>
      </c>
      <c r="D111" s="42">
        <v>0</v>
      </c>
      <c r="E111" s="42">
        <v>0</v>
      </c>
      <c r="F111" s="42">
        <v>0.86930670201153815</v>
      </c>
      <c r="G111">
        <v>0.13069329798846183</v>
      </c>
    </row>
    <row r="112" spans="3:7" x14ac:dyDescent="0.15">
      <c r="C112" s="61" t="s">
        <v>429</v>
      </c>
      <c r="D112" s="60">
        <v>0</v>
      </c>
      <c r="E112" s="60">
        <v>1</v>
      </c>
      <c r="F112" s="60">
        <v>9.7973609698927294E-2</v>
      </c>
      <c r="G112" s="59">
        <v>0.90202639030107268</v>
      </c>
    </row>
    <row r="113" spans="3:7" x14ac:dyDescent="0.15">
      <c r="C113" s="43" t="s">
        <v>430</v>
      </c>
      <c r="D113" s="42">
        <v>0</v>
      </c>
      <c r="E113" s="42">
        <v>0</v>
      </c>
      <c r="F113" s="42">
        <v>0.94867884304371397</v>
      </c>
      <c r="G113">
        <v>5.1321156956285939E-2</v>
      </c>
    </row>
    <row r="114" spans="3:7" x14ac:dyDescent="0.15">
      <c r="C114" s="43" t="s">
        <v>431</v>
      </c>
      <c r="D114" s="42">
        <v>0</v>
      </c>
      <c r="E114" s="42">
        <v>0</v>
      </c>
      <c r="F114" s="42">
        <v>0.97832944644094721</v>
      </c>
      <c r="G114">
        <v>2.1670553559052643E-2</v>
      </c>
    </row>
    <row r="115" spans="3:7" x14ac:dyDescent="0.15">
      <c r="C115" s="43" t="s">
        <v>432</v>
      </c>
      <c r="D115" s="42">
        <v>0</v>
      </c>
      <c r="E115" s="42">
        <v>0</v>
      </c>
      <c r="F115" s="42">
        <v>0.9970946783541188</v>
      </c>
      <c r="G115">
        <v>2.9053216458812146E-3</v>
      </c>
    </row>
    <row r="116" spans="3:7" x14ac:dyDescent="0.15">
      <c r="C116" s="43" t="s">
        <v>433</v>
      </c>
      <c r="D116" s="42">
        <v>0</v>
      </c>
      <c r="E116" s="42">
        <v>0</v>
      </c>
      <c r="F116" s="42">
        <v>0.76440246851841753</v>
      </c>
      <c r="G116">
        <v>0.23559753148158252</v>
      </c>
    </row>
    <row r="117" spans="3:7" x14ac:dyDescent="0.15">
      <c r="C117" s="43" t="s">
        <v>434</v>
      </c>
      <c r="D117" s="42">
        <v>0</v>
      </c>
      <c r="E117" s="42">
        <v>0</v>
      </c>
      <c r="F117" s="42">
        <v>0.99973506228491871</v>
      </c>
      <c r="G117">
        <v>2.6493771508133288E-4</v>
      </c>
    </row>
    <row r="118" spans="3:7" x14ac:dyDescent="0.15">
      <c r="C118" s="43" t="s">
        <v>435</v>
      </c>
      <c r="D118" s="42">
        <v>0</v>
      </c>
      <c r="E118" s="42">
        <v>0</v>
      </c>
      <c r="F118" s="42">
        <v>0.99880008642832474</v>
      </c>
      <c r="G118">
        <v>1.1999135716753396E-3</v>
      </c>
    </row>
    <row r="119" spans="3:7" x14ac:dyDescent="0.15">
      <c r="C119" s="61" t="s">
        <v>436</v>
      </c>
      <c r="D119" s="60">
        <v>0</v>
      </c>
      <c r="E119" s="60">
        <v>1</v>
      </c>
      <c r="F119" s="60">
        <v>0.41659259959097711</v>
      </c>
      <c r="G119" s="59">
        <v>0.58340740040902295</v>
      </c>
    </row>
    <row r="120" spans="3:7" x14ac:dyDescent="0.15">
      <c r="C120" s="43" t="s">
        <v>437</v>
      </c>
      <c r="D120" s="42">
        <v>0</v>
      </c>
      <c r="E120" s="42">
        <v>0</v>
      </c>
      <c r="F120" s="42">
        <v>0.99864904014772859</v>
      </c>
      <c r="G120">
        <v>1.350959852271351E-3</v>
      </c>
    </row>
    <row r="121" spans="3:7" x14ac:dyDescent="0.15">
      <c r="C121" s="43" t="s">
        <v>438</v>
      </c>
      <c r="D121" s="42">
        <v>0</v>
      </c>
      <c r="E121" s="42">
        <v>0</v>
      </c>
      <c r="F121" s="42">
        <v>0.98487112312898228</v>
      </c>
      <c r="G121">
        <v>1.5128876871017678E-2</v>
      </c>
    </row>
    <row r="122" spans="3:7" x14ac:dyDescent="0.15">
      <c r="C122" s="43" t="s">
        <v>439</v>
      </c>
      <c r="D122" s="42">
        <v>0</v>
      </c>
      <c r="E122" s="42">
        <v>0</v>
      </c>
      <c r="F122" s="42">
        <v>0.99453176556970035</v>
      </c>
      <c r="G122">
        <v>5.4682344302995527E-3</v>
      </c>
    </row>
    <row r="123" spans="3:7" x14ac:dyDescent="0.15">
      <c r="C123" s="43" t="s">
        <v>440</v>
      </c>
      <c r="D123" s="42">
        <v>0</v>
      </c>
      <c r="E123" s="42">
        <v>0</v>
      </c>
      <c r="F123" s="42">
        <v>0.97259332638362295</v>
      </c>
      <c r="G123">
        <v>2.7406673616376963E-2</v>
      </c>
    </row>
    <row r="124" spans="3:7" x14ac:dyDescent="0.15">
      <c r="C124" s="43" t="s">
        <v>441</v>
      </c>
      <c r="D124" s="42">
        <v>0</v>
      </c>
      <c r="E124" s="42">
        <v>0</v>
      </c>
      <c r="F124" s="42">
        <v>0.9998315068789656</v>
      </c>
      <c r="G124">
        <v>1.6849312103441378E-4</v>
      </c>
    </row>
    <row r="125" spans="3:7" x14ac:dyDescent="0.15">
      <c r="C125" s="43" t="s">
        <v>442</v>
      </c>
      <c r="D125" s="42">
        <v>0</v>
      </c>
      <c r="E125" s="42">
        <v>0</v>
      </c>
      <c r="F125" s="42">
        <v>0.98900031519638087</v>
      </c>
      <c r="G125">
        <v>1.0999684803618966E-2</v>
      </c>
    </row>
    <row r="126" spans="3:7" x14ac:dyDescent="0.15">
      <c r="C126" s="43" t="s">
        <v>443</v>
      </c>
      <c r="D126" s="42">
        <v>0</v>
      </c>
      <c r="E126" s="42">
        <v>0</v>
      </c>
      <c r="F126" s="42">
        <v>0.99357911055850678</v>
      </c>
      <c r="G126">
        <v>6.4208894414932481E-3</v>
      </c>
    </row>
    <row r="127" spans="3:7" x14ac:dyDescent="0.15">
      <c r="C127" s="43" t="s">
        <v>444</v>
      </c>
      <c r="D127" s="42">
        <v>0</v>
      </c>
      <c r="E127" s="42">
        <v>0</v>
      </c>
      <c r="F127" s="42">
        <v>0.90404224429076052</v>
      </c>
      <c r="G127">
        <v>9.5957755709239465E-2</v>
      </c>
    </row>
    <row r="128" spans="3:7" x14ac:dyDescent="0.15">
      <c r="C128" s="43" t="s">
        <v>445</v>
      </c>
      <c r="D128" s="42">
        <v>0</v>
      </c>
      <c r="E128" s="42">
        <v>0</v>
      </c>
      <c r="F128" s="42">
        <v>0.90106230393114439</v>
      </c>
      <c r="G128">
        <v>9.8937696068855538E-2</v>
      </c>
    </row>
    <row r="129" spans="3:7" x14ac:dyDescent="0.15">
      <c r="C129" s="43" t="s">
        <v>446</v>
      </c>
      <c r="D129" s="42">
        <v>0</v>
      </c>
      <c r="E129" s="42">
        <v>0</v>
      </c>
      <c r="F129" s="42">
        <v>0.91741314294206955</v>
      </c>
      <c r="G129">
        <v>8.2586857057930368E-2</v>
      </c>
    </row>
    <row r="130" spans="3:7" x14ac:dyDescent="0.15">
      <c r="C130" s="43" t="s">
        <v>447</v>
      </c>
      <c r="D130" s="42">
        <v>0</v>
      </c>
      <c r="E130" s="42">
        <v>0</v>
      </c>
      <c r="F130" s="42">
        <v>0.90243654297184406</v>
      </c>
      <c r="G130">
        <v>9.7563457028155928E-2</v>
      </c>
    </row>
    <row r="131" spans="3:7" x14ac:dyDescent="0.15">
      <c r="C131" s="61" t="s">
        <v>448</v>
      </c>
      <c r="D131" s="60">
        <v>1</v>
      </c>
      <c r="E131" s="60">
        <v>0</v>
      </c>
      <c r="F131" s="60">
        <v>0.92223082293818004</v>
      </c>
      <c r="G131" s="59">
        <v>7.7769177061820002E-2</v>
      </c>
    </row>
    <row r="132" spans="3:7" x14ac:dyDescent="0.15">
      <c r="C132" s="43" t="s">
        <v>449</v>
      </c>
      <c r="D132" s="42">
        <v>0</v>
      </c>
      <c r="E132" s="42">
        <v>0</v>
      </c>
      <c r="F132" s="42">
        <v>0.97348529772424108</v>
      </c>
      <c r="G132">
        <v>2.6514702275758834E-2</v>
      </c>
    </row>
    <row r="133" spans="3:7" x14ac:dyDescent="0.15">
      <c r="C133" s="43" t="s">
        <v>450</v>
      </c>
      <c r="D133" s="42">
        <v>0</v>
      </c>
      <c r="E133" s="42">
        <v>0</v>
      </c>
      <c r="F133" s="42">
        <v>0.99623171389837428</v>
      </c>
      <c r="G133">
        <v>3.7682861016258315E-3</v>
      </c>
    </row>
    <row r="134" spans="3:7" x14ac:dyDescent="0.15">
      <c r="C134" s="43" t="s">
        <v>451</v>
      </c>
      <c r="D134" s="42">
        <v>0</v>
      </c>
      <c r="E134" s="42">
        <v>0</v>
      </c>
      <c r="F134" s="42">
        <v>0.96745816054756473</v>
      </c>
      <c r="G134">
        <v>3.2541839452435363E-2</v>
      </c>
    </row>
    <row r="135" spans="3:7" x14ac:dyDescent="0.15">
      <c r="C135" s="43" t="s">
        <v>452</v>
      </c>
      <c r="D135" s="42">
        <v>0</v>
      </c>
      <c r="E135" s="42">
        <v>0</v>
      </c>
      <c r="F135" s="42">
        <v>0.8121748734209151</v>
      </c>
      <c r="G135">
        <v>0.18782512657908498</v>
      </c>
    </row>
    <row r="136" spans="3:7" x14ac:dyDescent="0.15">
      <c r="C136" s="43" t="s">
        <v>453</v>
      </c>
      <c r="D136" s="42">
        <v>0</v>
      </c>
      <c r="E136" s="42">
        <v>0</v>
      </c>
      <c r="F136" s="42">
        <v>0.97391539984292053</v>
      </c>
      <c r="G136">
        <v>2.6084600157079564E-2</v>
      </c>
    </row>
    <row r="137" spans="3:7" x14ac:dyDescent="0.15">
      <c r="C137" s="43" t="s">
        <v>454</v>
      </c>
      <c r="D137" s="42">
        <v>0</v>
      </c>
      <c r="E137" s="42">
        <v>0</v>
      </c>
      <c r="F137" s="42">
        <v>0.76483702054829994</v>
      </c>
      <c r="G137">
        <v>0.23516297945170009</v>
      </c>
    </row>
    <row r="138" spans="3:7" x14ac:dyDescent="0.15">
      <c r="C138" s="43" t="s">
        <v>455</v>
      </c>
      <c r="D138" s="42">
        <v>0</v>
      </c>
      <c r="E138" s="42">
        <v>0</v>
      </c>
      <c r="F138" s="42">
        <v>0.97818278070545839</v>
      </c>
      <c r="G138">
        <v>2.1817219294541512E-2</v>
      </c>
    </row>
    <row r="139" spans="3:7" x14ac:dyDescent="0.15">
      <c r="C139" s="43" t="s">
        <v>456</v>
      </c>
      <c r="D139" s="42">
        <v>0</v>
      </c>
      <c r="E139" s="42">
        <v>0</v>
      </c>
      <c r="F139" s="42">
        <v>0.99826319795423779</v>
      </c>
      <c r="G139">
        <v>1.736802045762314E-3</v>
      </c>
    </row>
    <row r="140" spans="3:7" x14ac:dyDescent="0.15">
      <c r="C140" s="43" t="s">
        <v>457</v>
      </c>
      <c r="D140" s="42">
        <v>0</v>
      </c>
      <c r="E140" s="42">
        <v>0</v>
      </c>
      <c r="F140" s="42">
        <v>0.99603108860818146</v>
      </c>
      <c r="G140">
        <v>3.9689113918186178E-3</v>
      </c>
    </row>
    <row r="141" spans="3:7" x14ac:dyDescent="0.15">
      <c r="C141" s="43" t="s">
        <v>458</v>
      </c>
      <c r="D141" s="42">
        <v>0</v>
      </c>
      <c r="E141" s="42">
        <v>0</v>
      </c>
      <c r="F141" s="42">
        <v>0.99957433648732352</v>
      </c>
      <c r="G141">
        <v>4.2566351267653627E-4</v>
      </c>
    </row>
    <row r="142" spans="3:7" x14ac:dyDescent="0.15">
      <c r="C142" s="43" t="s">
        <v>459</v>
      </c>
      <c r="D142" s="42">
        <v>0</v>
      </c>
      <c r="E142" s="42">
        <v>0</v>
      </c>
      <c r="F142" s="42">
        <v>0.99126639903624469</v>
      </c>
      <c r="G142">
        <v>8.7336009637552833E-3</v>
      </c>
    </row>
    <row r="143" spans="3:7" x14ac:dyDescent="0.15">
      <c r="C143" s="43" t="s">
        <v>460</v>
      </c>
      <c r="D143" s="42">
        <v>0</v>
      </c>
      <c r="E143" s="42">
        <v>0</v>
      </c>
      <c r="F143" s="42">
        <v>0.72625595490054218</v>
      </c>
      <c r="G143">
        <v>0.27374404509945782</v>
      </c>
    </row>
    <row r="144" spans="3:7" x14ac:dyDescent="0.15">
      <c r="C144" s="43" t="s">
        <v>461</v>
      </c>
      <c r="D144" s="42">
        <v>0</v>
      </c>
      <c r="E144" s="42">
        <v>0</v>
      </c>
      <c r="F144" s="42">
        <v>0.77845109535072776</v>
      </c>
      <c r="G144">
        <v>0.22154890464927218</v>
      </c>
    </row>
    <row r="145" spans="3:7" x14ac:dyDescent="0.15">
      <c r="C145" s="43" t="s">
        <v>462</v>
      </c>
      <c r="D145" s="42">
        <v>0</v>
      </c>
      <c r="E145" s="42">
        <v>0</v>
      </c>
      <c r="F145" s="42">
        <v>0.97859372449956239</v>
      </c>
      <c r="G145">
        <v>2.1406275500437697E-2</v>
      </c>
    </row>
    <row r="146" spans="3:7" x14ac:dyDescent="0.15">
      <c r="C146" s="61" t="s">
        <v>463</v>
      </c>
      <c r="D146" s="60">
        <v>0</v>
      </c>
      <c r="E146" s="60">
        <v>1</v>
      </c>
      <c r="F146" s="60">
        <v>0.2170860002829334</v>
      </c>
      <c r="G146" s="59">
        <v>0.78291399971706666</v>
      </c>
    </row>
    <row r="147" spans="3:7" x14ac:dyDescent="0.15">
      <c r="C147" s="43" t="s">
        <v>464</v>
      </c>
      <c r="D147" s="42">
        <v>0</v>
      </c>
      <c r="E147" s="42">
        <v>0</v>
      </c>
      <c r="F147" s="42">
        <v>0.51885703930436367</v>
      </c>
      <c r="G147">
        <v>0.48114296069563622</v>
      </c>
    </row>
    <row r="148" spans="3:7" x14ac:dyDescent="0.15">
      <c r="C148" s="43" t="s">
        <v>465</v>
      </c>
      <c r="D148" s="42">
        <v>0</v>
      </c>
      <c r="E148" s="42">
        <v>0</v>
      </c>
      <c r="F148" s="42">
        <v>0.99852744503354995</v>
      </c>
      <c r="G148">
        <v>1.4725549664500366E-3</v>
      </c>
    </row>
    <row r="149" spans="3:7" x14ac:dyDescent="0.15">
      <c r="C149" s="43" t="s">
        <v>466</v>
      </c>
      <c r="D149" s="42">
        <v>0</v>
      </c>
      <c r="E149" s="42">
        <v>0</v>
      </c>
      <c r="F149" s="42">
        <v>0.99916734906929305</v>
      </c>
      <c r="G149">
        <v>8.3265093070691019E-4</v>
      </c>
    </row>
    <row r="150" spans="3:7" x14ac:dyDescent="0.15">
      <c r="C150" s="61" t="s">
        <v>467</v>
      </c>
      <c r="D150" s="60">
        <v>0</v>
      </c>
      <c r="E150" s="60">
        <v>1</v>
      </c>
      <c r="F150" s="60">
        <v>0.23873789600767326</v>
      </c>
      <c r="G150" s="59">
        <v>0.76126210399232663</v>
      </c>
    </row>
    <row r="151" spans="3:7" x14ac:dyDescent="0.15">
      <c r="C151" s="43" t="s">
        <v>468</v>
      </c>
      <c r="D151" s="42">
        <v>0</v>
      </c>
      <c r="E151" s="42">
        <v>0</v>
      </c>
      <c r="F151" s="42">
        <v>0.92808004225798157</v>
      </c>
      <c r="G151">
        <v>7.1919957742018453E-2</v>
      </c>
    </row>
    <row r="152" spans="3:7" x14ac:dyDescent="0.15">
      <c r="C152" s="43" t="s">
        <v>469</v>
      </c>
      <c r="D152" s="42">
        <v>0</v>
      </c>
      <c r="E152" s="42">
        <v>0</v>
      </c>
      <c r="F152" s="42">
        <v>0.98452932071017174</v>
      </c>
      <c r="G152">
        <v>1.5470679289828418E-2</v>
      </c>
    </row>
    <row r="153" spans="3:7" x14ac:dyDescent="0.15">
      <c r="C153" s="43" t="s">
        <v>470</v>
      </c>
      <c r="D153" s="42">
        <v>0</v>
      </c>
      <c r="E153" s="42">
        <v>0</v>
      </c>
      <c r="F153" s="42">
        <v>0.99734758780527311</v>
      </c>
      <c r="G153">
        <v>2.6524121947268465E-3</v>
      </c>
    </row>
    <row r="154" spans="3:7" x14ac:dyDescent="0.15">
      <c r="C154" s="61" t="s">
        <v>471</v>
      </c>
      <c r="D154" s="60">
        <v>0</v>
      </c>
      <c r="E154" s="60">
        <v>1</v>
      </c>
      <c r="F154" s="60">
        <v>7.9032780387616228E-2</v>
      </c>
      <c r="G154" s="59">
        <v>0.9209672196123837</v>
      </c>
    </row>
    <row r="155" spans="3:7" x14ac:dyDescent="0.15">
      <c r="C155" s="43" t="s">
        <v>472</v>
      </c>
      <c r="D155" s="42">
        <v>0</v>
      </c>
      <c r="E155" s="42">
        <v>0</v>
      </c>
      <c r="F155" s="42">
        <v>0.86162164072250957</v>
      </c>
      <c r="G155">
        <v>0.13837835927749034</v>
      </c>
    </row>
    <row r="156" spans="3:7" x14ac:dyDescent="0.15">
      <c r="C156" s="43" t="s">
        <v>473</v>
      </c>
      <c r="D156" s="42">
        <v>0</v>
      </c>
      <c r="E156" s="42">
        <v>0</v>
      </c>
      <c r="F156" s="42">
        <v>0.50041743814616424</v>
      </c>
      <c r="G156">
        <v>0.49958256185383582</v>
      </c>
    </row>
    <row r="157" spans="3:7" x14ac:dyDescent="0.15">
      <c r="C157" s="61" t="s">
        <v>474</v>
      </c>
      <c r="D157" s="60">
        <v>0</v>
      </c>
      <c r="E157" s="60">
        <v>1</v>
      </c>
      <c r="F157" s="60">
        <v>4.8101158634388623E-2</v>
      </c>
      <c r="G157" s="59">
        <v>0.95189884136561131</v>
      </c>
    </row>
    <row r="158" spans="3:7" x14ac:dyDescent="0.15">
      <c r="C158" s="43" t="s">
        <v>475</v>
      </c>
      <c r="D158" s="42">
        <v>0</v>
      </c>
      <c r="E158" s="42">
        <v>0</v>
      </c>
      <c r="F158" s="42">
        <v>0.99929971075515123</v>
      </c>
      <c r="G158">
        <v>7.0028924484882133E-4</v>
      </c>
    </row>
    <row r="159" spans="3:7" x14ac:dyDescent="0.15">
      <c r="C159" s="43" t="s">
        <v>476</v>
      </c>
      <c r="D159" s="42">
        <v>0</v>
      </c>
      <c r="E159" s="42">
        <v>0</v>
      </c>
      <c r="F159" s="42">
        <v>0.98838086872147468</v>
      </c>
      <c r="G159">
        <v>1.1619131278525261E-2</v>
      </c>
    </row>
    <row r="160" spans="3:7" x14ac:dyDescent="0.15">
      <c r="C160" s="43" t="s">
        <v>477</v>
      </c>
      <c r="D160" s="42">
        <v>0</v>
      </c>
      <c r="E160" s="42">
        <v>0</v>
      </c>
      <c r="F160" s="42">
        <v>0.82256949768515186</v>
      </c>
      <c r="G160">
        <v>0.17743050231484811</v>
      </c>
    </row>
    <row r="161" spans="3:7" x14ac:dyDescent="0.15">
      <c r="C161" s="43" t="s">
        <v>478</v>
      </c>
      <c r="D161" s="42">
        <v>0</v>
      </c>
      <c r="E161" s="42">
        <v>0</v>
      </c>
      <c r="F161" s="42">
        <v>0.8732101378758208</v>
      </c>
      <c r="G161">
        <v>0.1267898621241792</v>
      </c>
    </row>
    <row r="162" spans="3:7" x14ac:dyDescent="0.15">
      <c r="C162" s="43" t="s">
        <v>479</v>
      </c>
      <c r="D162" s="42">
        <v>1</v>
      </c>
      <c r="E162" s="42">
        <v>1</v>
      </c>
      <c r="F162" s="42">
        <v>3.1357763117397783E-2</v>
      </c>
      <c r="G162">
        <v>0.9686422368826022</v>
      </c>
    </row>
    <row r="163" spans="3:7" x14ac:dyDescent="0.15">
      <c r="C163" s="43" t="s">
        <v>480</v>
      </c>
      <c r="D163" s="42">
        <v>0</v>
      </c>
      <c r="E163" s="42">
        <v>0</v>
      </c>
      <c r="F163" s="42">
        <v>0.81608978918153685</v>
      </c>
      <c r="G163">
        <v>0.1839102108184632</v>
      </c>
    </row>
    <row r="164" spans="3:7" x14ac:dyDescent="0.15">
      <c r="C164" s="43" t="s">
        <v>481</v>
      </c>
      <c r="D164" s="42">
        <v>0</v>
      </c>
      <c r="E164" s="42">
        <v>0</v>
      </c>
      <c r="F164" s="42">
        <v>0.93880415405199147</v>
      </c>
      <c r="G164">
        <v>6.119584594800858E-2</v>
      </c>
    </row>
    <row r="165" spans="3:7" x14ac:dyDescent="0.15">
      <c r="C165" s="43" t="s">
        <v>482</v>
      </c>
      <c r="D165" s="42">
        <v>0</v>
      </c>
      <c r="E165" s="42">
        <v>0</v>
      </c>
      <c r="F165" s="42">
        <v>0.99076292814666034</v>
      </c>
      <c r="G165">
        <v>9.2370718533396068E-3</v>
      </c>
    </row>
    <row r="166" spans="3:7" x14ac:dyDescent="0.15">
      <c r="C166" s="43" t="s">
        <v>483</v>
      </c>
      <c r="D166" s="42">
        <v>0</v>
      </c>
      <c r="E166" s="42">
        <v>0</v>
      </c>
      <c r="F166" s="42">
        <v>0.98504363039129172</v>
      </c>
      <c r="G166">
        <v>1.4956369608708208E-2</v>
      </c>
    </row>
    <row r="167" spans="3:7" x14ac:dyDescent="0.15">
      <c r="C167" s="43" t="s">
        <v>484</v>
      </c>
      <c r="D167" s="42">
        <v>0</v>
      </c>
      <c r="E167" s="42">
        <v>0</v>
      </c>
      <c r="F167" s="42">
        <v>0.99955339498663476</v>
      </c>
      <c r="G167">
        <v>4.4660501336529003E-4</v>
      </c>
    </row>
    <row r="168" spans="3:7" x14ac:dyDescent="0.15">
      <c r="C168" s="43" t="s">
        <v>485</v>
      </c>
      <c r="D168" s="42">
        <v>0</v>
      </c>
      <c r="E168" s="42">
        <v>0</v>
      </c>
      <c r="F168" s="42">
        <v>0.8044520188449279</v>
      </c>
      <c r="G168">
        <v>0.19554798115507213</v>
      </c>
    </row>
    <row r="169" spans="3:7" x14ac:dyDescent="0.15">
      <c r="C169" s="43" t="s">
        <v>486</v>
      </c>
      <c r="D169" s="42">
        <v>0</v>
      </c>
      <c r="E169" s="42">
        <v>0</v>
      </c>
      <c r="F169" s="42">
        <v>0.94060011475640237</v>
      </c>
      <c r="G169">
        <v>5.9399885243597572E-2</v>
      </c>
    </row>
    <row r="170" spans="3:7" x14ac:dyDescent="0.15">
      <c r="C170" s="43" t="s">
        <v>487</v>
      </c>
      <c r="D170" s="42">
        <v>1</v>
      </c>
      <c r="E170" s="42">
        <v>1</v>
      </c>
      <c r="F170" s="42">
        <v>2.6783806647393486E-2</v>
      </c>
      <c r="G170">
        <v>0.97321619335260645</v>
      </c>
    </row>
    <row r="171" spans="3:7" x14ac:dyDescent="0.15">
      <c r="C171" s="43" t="s">
        <v>488</v>
      </c>
      <c r="D171" s="42">
        <v>0</v>
      </c>
      <c r="E171" s="42">
        <v>0</v>
      </c>
      <c r="F171" s="42">
        <v>0.98619123026211519</v>
      </c>
      <c r="G171">
        <v>1.3808769737884866E-2</v>
      </c>
    </row>
    <row r="172" spans="3:7" x14ac:dyDescent="0.15">
      <c r="C172" s="43" t="s">
        <v>489</v>
      </c>
      <c r="D172" s="42">
        <v>0</v>
      </c>
      <c r="E172" s="42">
        <v>0</v>
      </c>
      <c r="F172" s="42">
        <v>0.66303187726773105</v>
      </c>
      <c r="G172">
        <v>0.336968122732269</v>
      </c>
    </row>
    <row r="173" spans="3:7" x14ac:dyDescent="0.15">
      <c r="C173" s="43" t="s">
        <v>490</v>
      </c>
      <c r="D173" s="42">
        <v>0</v>
      </c>
      <c r="E173" s="42">
        <v>0</v>
      </c>
      <c r="F173" s="42">
        <v>0.99953366012354283</v>
      </c>
      <c r="G173">
        <v>4.6633987645725619E-4</v>
      </c>
    </row>
    <row r="174" spans="3:7" x14ac:dyDescent="0.15">
      <c r="C174" s="61" t="s">
        <v>491</v>
      </c>
      <c r="D174" s="60">
        <v>0</v>
      </c>
      <c r="E174" s="60">
        <v>1</v>
      </c>
      <c r="F174" s="60">
        <v>0.3684101465251865</v>
      </c>
      <c r="G174" s="59">
        <v>0.63158985347481356</v>
      </c>
    </row>
    <row r="175" spans="3:7" x14ac:dyDescent="0.15">
      <c r="C175" s="43" t="s">
        <v>492</v>
      </c>
      <c r="D175" s="42">
        <v>0</v>
      </c>
      <c r="E175" s="42">
        <v>0</v>
      </c>
      <c r="F175" s="42">
        <v>0.67758625477503975</v>
      </c>
      <c r="G175">
        <v>0.3224137452249603</v>
      </c>
    </row>
    <row r="176" spans="3:7" x14ac:dyDescent="0.15">
      <c r="C176" s="43" t="s">
        <v>493</v>
      </c>
      <c r="D176" s="42">
        <v>0</v>
      </c>
      <c r="E176" s="42">
        <v>0</v>
      </c>
      <c r="F176" s="42">
        <v>0.98511435359040578</v>
      </c>
      <c r="G176">
        <v>1.4885646409594193E-2</v>
      </c>
    </row>
    <row r="177" spans="3:7" x14ac:dyDescent="0.15">
      <c r="C177" s="43" t="s">
        <v>494</v>
      </c>
      <c r="D177" s="42">
        <v>0</v>
      </c>
      <c r="E177" s="42">
        <v>0</v>
      </c>
      <c r="F177" s="42">
        <v>0.89589079390444393</v>
      </c>
      <c r="G177">
        <v>0.10410920609555606</v>
      </c>
    </row>
    <row r="178" spans="3:7" x14ac:dyDescent="0.15">
      <c r="C178" s="43" t="s">
        <v>495</v>
      </c>
      <c r="D178" s="42">
        <v>0</v>
      </c>
      <c r="E178" s="42">
        <v>0</v>
      </c>
      <c r="F178" s="42">
        <v>0.99623920401637867</v>
      </c>
      <c r="G178">
        <v>3.7607959836213237E-3</v>
      </c>
    </row>
    <row r="179" spans="3:7" x14ac:dyDescent="0.15">
      <c r="C179" s="43" t="s">
        <v>496</v>
      </c>
      <c r="D179" s="42">
        <v>0</v>
      </c>
      <c r="E179" s="42">
        <v>0</v>
      </c>
      <c r="F179" s="42">
        <v>0.99737616386102956</v>
      </c>
      <c r="G179">
        <v>2.6238361389705096E-3</v>
      </c>
    </row>
    <row r="180" spans="3:7" x14ac:dyDescent="0.15">
      <c r="C180" s="43" t="s">
        <v>497</v>
      </c>
      <c r="D180" s="42">
        <v>0</v>
      </c>
      <c r="E180" s="42">
        <v>0</v>
      </c>
      <c r="F180" s="42">
        <v>0.8228123345715207</v>
      </c>
      <c r="G180">
        <v>0.1771876654284793</v>
      </c>
    </row>
    <row r="181" spans="3:7" x14ac:dyDescent="0.15">
      <c r="C181" s="61" t="s">
        <v>498</v>
      </c>
      <c r="D181" s="60">
        <v>0</v>
      </c>
      <c r="E181" s="60">
        <v>1</v>
      </c>
      <c r="F181" s="60">
        <v>9.7610571872127058E-2</v>
      </c>
      <c r="G181" s="59">
        <v>0.90238942812787293</v>
      </c>
    </row>
    <row r="182" spans="3:7" x14ac:dyDescent="0.15">
      <c r="C182" s="43" t="s">
        <v>499</v>
      </c>
      <c r="D182" s="42">
        <v>0</v>
      </c>
      <c r="E182" s="42">
        <v>0</v>
      </c>
      <c r="F182" s="42">
        <v>0.99865357720213654</v>
      </c>
      <c r="G182">
        <v>1.3464227978634458E-3</v>
      </c>
    </row>
    <row r="183" spans="3:7" x14ac:dyDescent="0.15">
      <c r="C183" s="43" t="s">
        <v>500</v>
      </c>
      <c r="D183" s="42">
        <v>0</v>
      </c>
      <c r="E183" s="42">
        <v>0</v>
      </c>
      <c r="F183" s="42">
        <v>0.99930604441575732</v>
      </c>
      <c r="G183">
        <v>6.9395558424280638E-4</v>
      </c>
    </row>
    <row r="184" spans="3:7" x14ac:dyDescent="0.15">
      <c r="C184" s="43" t="s">
        <v>501</v>
      </c>
      <c r="D184" s="42">
        <v>0</v>
      </c>
      <c r="E184" s="42">
        <v>0</v>
      </c>
      <c r="F184" s="42">
        <v>0.98601568530291661</v>
      </c>
      <c r="G184">
        <v>1.3984314697083354E-2</v>
      </c>
    </row>
    <row r="185" spans="3:7" x14ac:dyDescent="0.15">
      <c r="C185" s="43" t="s">
        <v>502</v>
      </c>
      <c r="D185" s="42">
        <v>0</v>
      </c>
      <c r="E185" s="42">
        <v>0</v>
      </c>
      <c r="F185" s="42">
        <v>0.99943586055354772</v>
      </c>
      <c r="G185">
        <v>5.641394464523334E-4</v>
      </c>
    </row>
    <row r="186" spans="3:7" x14ac:dyDescent="0.15">
      <c r="C186" s="61" t="s">
        <v>503</v>
      </c>
      <c r="D186" s="60">
        <v>0</v>
      </c>
      <c r="E186" s="60">
        <v>1</v>
      </c>
      <c r="F186" s="60">
        <v>0.18579411028142551</v>
      </c>
      <c r="G186" s="59">
        <v>0.81420588971857455</v>
      </c>
    </row>
    <row r="187" spans="3:7" x14ac:dyDescent="0.15">
      <c r="C187" s="61" t="s">
        <v>504</v>
      </c>
      <c r="D187" s="60">
        <v>0</v>
      </c>
      <c r="E187" s="60">
        <v>1</v>
      </c>
      <c r="F187" s="60">
        <v>0.14594343648750016</v>
      </c>
      <c r="G187" s="59">
        <v>0.85405656351249981</v>
      </c>
    </row>
    <row r="188" spans="3:7" x14ac:dyDescent="0.15">
      <c r="C188" s="43" t="s">
        <v>505</v>
      </c>
      <c r="D188" s="42">
        <v>0</v>
      </c>
      <c r="E188" s="42">
        <v>0</v>
      </c>
      <c r="F188" s="42">
        <v>0.98884740652342729</v>
      </c>
      <c r="G188">
        <v>1.1152593476572619E-2</v>
      </c>
    </row>
    <row r="189" spans="3:7" x14ac:dyDescent="0.15">
      <c r="C189" s="43" t="s">
        <v>506</v>
      </c>
      <c r="D189" s="42">
        <v>0</v>
      </c>
      <c r="E189" s="42">
        <v>0</v>
      </c>
      <c r="F189" s="42">
        <v>0.87346959117378764</v>
      </c>
      <c r="G189">
        <v>0.12653040882621241</v>
      </c>
    </row>
    <row r="190" spans="3:7" x14ac:dyDescent="0.15">
      <c r="C190" s="43" t="s">
        <v>507</v>
      </c>
      <c r="D190" s="42">
        <v>0</v>
      </c>
      <c r="E190" s="42">
        <v>0</v>
      </c>
      <c r="F190" s="42">
        <v>0.98636923396743081</v>
      </c>
      <c r="G190">
        <v>1.3630766032569196E-2</v>
      </c>
    </row>
    <row r="191" spans="3:7" x14ac:dyDescent="0.15">
      <c r="C191" s="43" t="s">
        <v>508</v>
      </c>
      <c r="D191" s="42">
        <v>0</v>
      </c>
      <c r="E191" s="42">
        <v>0</v>
      </c>
      <c r="F191" s="42">
        <v>0.99236339654435834</v>
      </c>
      <c r="G191">
        <v>7.6366034556417566E-3</v>
      </c>
    </row>
    <row r="192" spans="3:7" x14ac:dyDescent="0.15">
      <c r="C192" s="43" t="s">
        <v>509</v>
      </c>
      <c r="D192" s="42">
        <v>0</v>
      </c>
      <c r="E192" s="42">
        <v>0</v>
      </c>
      <c r="F192" s="42">
        <v>0.61119419255877483</v>
      </c>
      <c r="G192">
        <v>0.38880580744122512</v>
      </c>
    </row>
    <row r="193" spans="3:7" x14ac:dyDescent="0.15">
      <c r="C193" s="43" t="s">
        <v>510</v>
      </c>
      <c r="D193" s="42">
        <v>0</v>
      </c>
      <c r="E193" s="42">
        <v>0</v>
      </c>
      <c r="F193" s="42">
        <v>0.986193937856361</v>
      </c>
      <c r="G193">
        <v>1.3806062143638978E-2</v>
      </c>
    </row>
    <row r="194" spans="3:7" x14ac:dyDescent="0.15">
      <c r="C194" s="43" t="s">
        <v>511</v>
      </c>
      <c r="D194" s="42">
        <v>0</v>
      </c>
      <c r="E194" s="42">
        <v>0</v>
      </c>
      <c r="F194" s="42">
        <v>0.99923977802716235</v>
      </c>
      <c r="G194">
        <v>7.6022197283759948E-4</v>
      </c>
    </row>
    <row r="195" spans="3:7" x14ac:dyDescent="0.15">
      <c r="C195" s="43" t="s">
        <v>512</v>
      </c>
      <c r="D195" s="42">
        <v>0</v>
      </c>
      <c r="E195" s="42">
        <v>0</v>
      </c>
      <c r="F195" s="42">
        <v>0.90787931938363742</v>
      </c>
      <c r="G195">
        <v>9.2120680616362513E-2</v>
      </c>
    </row>
    <row r="196" spans="3:7" x14ac:dyDescent="0.15">
      <c r="C196" s="43" t="s">
        <v>513</v>
      </c>
      <c r="D196" s="42">
        <v>0</v>
      </c>
      <c r="E196" s="42">
        <v>0</v>
      </c>
      <c r="F196" s="42">
        <v>0.66583578933854926</v>
      </c>
      <c r="G196">
        <v>0.33416421066145086</v>
      </c>
    </row>
    <row r="197" spans="3:7" x14ac:dyDescent="0.15">
      <c r="C197" s="43" t="s">
        <v>514</v>
      </c>
      <c r="D197" s="42">
        <v>0</v>
      </c>
      <c r="E197" s="42">
        <v>0</v>
      </c>
      <c r="F197" s="42">
        <v>0.98781029725841063</v>
      </c>
      <c r="G197">
        <v>1.2189702741589438E-2</v>
      </c>
    </row>
    <row r="198" spans="3:7" x14ac:dyDescent="0.15">
      <c r="C198" s="43" t="s">
        <v>515</v>
      </c>
      <c r="D198" s="42">
        <v>0</v>
      </c>
      <c r="E198" s="42">
        <v>0</v>
      </c>
      <c r="F198" s="42">
        <v>0.99437726784825664</v>
      </c>
      <c r="G198">
        <v>5.6227321517433662E-3</v>
      </c>
    </row>
    <row r="199" spans="3:7" x14ac:dyDescent="0.15">
      <c r="C199" s="43" t="s">
        <v>516</v>
      </c>
      <c r="D199" s="42">
        <v>0</v>
      </c>
      <c r="E199" s="42">
        <v>0</v>
      </c>
      <c r="F199" s="42">
        <v>0.9614237077958816</v>
      </c>
      <c r="G199">
        <v>3.8576292204118484E-2</v>
      </c>
    </row>
    <row r="200" spans="3:7" x14ac:dyDescent="0.15">
      <c r="C200" s="61" t="s">
        <v>517</v>
      </c>
      <c r="D200" s="60">
        <v>0</v>
      </c>
      <c r="E200" s="60">
        <v>1</v>
      </c>
      <c r="F200" s="60">
        <v>0.16001776837250789</v>
      </c>
      <c r="G200" s="59">
        <v>0.83998223162749208</v>
      </c>
    </row>
    <row r="201" spans="3:7" x14ac:dyDescent="0.15">
      <c r="C201" s="43" t="s">
        <v>518</v>
      </c>
      <c r="D201" s="42">
        <v>0</v>
      </c>
      <c r="E201" s="42">
        <v>0</v>
      </c>
      <c r="F201" s="42">
        <v>0.99842953707308613</v>
      </c>
      <c r="G201">
        <v>1.5704629269139116E-3</v>
      </c>
    </row>
    <row r="202" spans="3:7" x14ac:dyDescent="0.15">
      <c r="C202" s="43" t="s">
        <v>519</v>
      </c>
      <c r="D202" s="42">
        <v>0</v>
      </c>
      <c r="E202" s="42">
        <v>0</v>
      </c>
      <c r="F202" s="42">
        <v>0.98880718708002646</v>
      </c>
      <c r="G202">
        <v>1.1192812919973549E-2</v>
      </c>
    </row>
    <row r="203" spans="3:7" x14ac:dyDescent="0.15">
      <c r="C203" s="43" t="s">
        <v>520</v>
      </c>
      <c r="D203" s="42">
        <v>0</v>
      </c>
      <c r="E203" s="42">
        <v>0</v>
      </c>
      <c r="F203" s="42">
        <v>0.99396181702690534</v>
      </c>
      <c r="G203">
        <v>6.0381829730946591E-3</v>
      </c>
    </row>
    <row r="204" spans="3:7" x14ac:dyDescent="0.15">
      <c r="C204" s="43" t="s">
        <v>521</v>
      </c>
      <c r="D204" s="42">
        <v>1</v>
      </c>
      <c r="E204" s="42">
        <v>1</v>
      </c>
      <c r="F204" s="42">
        <v>7.3834927687137925E-2</v>
      </c>
      <c r="G204">
        <v>0.92616507231286205</v>
      </c>
    </row>
    <row r="205" spans="3:7" x14ac:dyDescent="0.15">
      <c r="C205" s="43" t="s">
        <v>522</v>
      </c>
      <c r="D205" s="42">
        <v>0</v>
      </c>
      <c r="E205" s="42">
        <v>0</v>
      </c>
      <c r="F205" s="42">
        <v>0.99911451553117614</v>
      </c>
      <c r="G205">
        <v>8.8548446882394372E-4</v>
      </c>
    </row>
    <row r="206" spans="3:7" x14ac:dyDescent="0.15">
      <c r="C206" s="43" t="s">
        <v>523</v>
      </c>
      <c r="D206" s="42">
        <v>0</v>
      </c>
      <c r="E206" s="42">
        <v>0</v>
      </c>
      <c r="F206" s="42">
        <v>0.9993107669057254</v>
      </c>
      <c r="G206">
        <v>6.8923309427467686E-4</v>
      </c>
    </row>
    <row r="207" spans="3:7" x14ac:dyDescent="0.15">
      <c r="C207" s="43" t="s">
        <v>524</v>
      </c>
      <c r="D207" s="42">
        <v>0</v>
      </c>
      <c r="E207" s="42">
        <v>0</v>
      </c>
      <c r="F207" s="42">
        <v>0.99104503127271504</v>
      </c>
      <c r="G207">
        <v>8.9549687272850349E-3</v>
      </c>
    </row>
    <row r="208" spans="3:7" x14ac:dyDescent="0.15">
      <c r="C208" s="43" t="s">
        <v>525</v>
      </c>
      <c r="D208" s="42">
        <v>0</v>
      </c>
      <c r="E208" s="42">
        <v>0</v>
      </c>
      <c r="F208" s="42">
        <v>0.99691464360554394</v>
      </c>
      <c r="G208">
        <v>3.0853563944559402E-3</v>
      </c>
    </row>
    <row r="209" spans="3:7" x14ac:dyDescent="0.15">
      <c r="C209" s="43" t="s">
        <v>526</v>
      </c>
      <c r="D209" s="42">
        <v>1</v>
      </c>
      <c r="E209" s="42">
        <v>1</v>
      </c>
      <c r="F209" s="42">
        <v>8.9940892904163624E-4</v>
      </c>
      <c r="G209">
        <v>0.99910059107095839</v>
      </c>
    </row>
    <row r="210" spans="3:7" x14ac:dyDescent="0.15">
      <c r="C210" s="43" t="s">
        <v>527</v>
      </c>
      <c r="D210" s="42">
        <v>0</v>
      </c>
      <c r="E210" s="42">
        <v>0</v>
      </c>
      <c r="F210" s="42">
        <v>0.98911392273376031</v>
      </c>
      <c r="G210">
        <v>1.0886077266239694E-2</v>
      </c>
    </row>
    <row r="211" spans="3:7" x14ac:dyDescent="0.15">
      <c r="C211" s="43" t="s">
        <v>528</v>
      </c>
      <c r="D211" s="42">
        <v>0</v>
      </c>
      <c r="E211" s="42">
        <v>0</v>
      </c>
      <c r="F211" s="42">
        <v>0.99575047011132223</v>
      </c>
      <c r="G211">
        <v>4.2495298886777513E-3</v>
      </c>
    </row>
    <row r="212" spans="3:7" x14ac:dyDescent="0.15">
      <c r="C212" s="43" t="s">
        <v>529</v>
      </c>
      <c r="D212" s="42">
        <v>1</v>
      </c>
      <c r="E212" s="42">
        <v>1</v>
      </c>
      <c r="F212" s="42">
        <v>5.2975776354464528E-3</v>
      </c>
      <c r="G212">
        <v>0.99470242236455353</v>
      </c>
    </row>
    <row r="213" spans="3:7" x14ac:dyDescent="0.15">
      <c r="C213" s="43" t="s">
        <v>530</v>
      </c>
      <c r="D213" s="42">
        <v>1</v>
      </c>
      <c r="E213" s="42">
        <v>1</v>
      </c>
      <c r="F213" s="42">
        <v>9.063576271506206E-2</v>
      </c>
      <c r="G213">
        <v>0.90936423728493798</v>
      </c>
    </row>
    <row r="214" spans="3:7" x14ac:dyDescent="0.15">
      <c r="C214" s="43" t="s">
        <v>531</v>
      </c>
      <c r="D214" s="42">
        <v>0</v>
      </c>
      <c r="E214" s="42">
        <v>0</v>
      </c>
      <c r="F214" s="42">
        <v>0.96751188044757352</v>
      </c>
      <c r="G214">
        <v>3.2488119552426385E-2</v>
      </c>
    </row>
    <row r="215" spans="3:7" x14ac:dyDescent="0.15">
      <c r="C215" s="43" t="s">
        <v>532</v>
      </c>
      <c r="D215" s="42">
        <v>0</v>
      </c>
      <c r="E215" s="42">
        <v>0</v>
      </c>
      <c r="F215" s="42">
        <v>0.93078172605567377</v>
      </c>
      <c r="G215">
        <v>6.9218273944326156E-2</v>
      </c>
    </row>
    <row r="216" spans="3:7" x14ac:dyDescent="0.15">
      <c r="C216" s="43" t="s">
        <v>533</v>
      </c>
      <c r="D216" s="42">
        <v>0</v>
      </c>
      <c r="E216" s="42">
        <v>0</v>
      </c>
      <c r="F216" s="42">
        <v>0.67934507251088461</v>
      </c>
      <c r="G216">
        <v>0.3206549274891155</v>
      </c>
    </row>
    <row r="217" spans="3:7" x14ac:dyDescent="0.15">
      <c r="C217" s="43" t="s">
        <v>534</v>
      </c>
      <c r="D217" s="42">
        <v>0</v>
      </c>
      <c r="E217" s="42">
        <v>0</v>
      </c>
      <c r="F217" s="42">
        <v>0.99700169615150147</v>
      </c>
      <c r="G217">
        <v>2.9983038484986289E-3</v>
      </c>
    </row>
    <row r="218" spans="3:7" x14ac:dyDescent="0.15">
      <c r="C218" s="43" t="s">
        <v>535</v>
      </c>
      <c r="D218" s="42">
        <v>0</v>
      </c>
      <c r="E218" s="42">
        <v>0</v>
      </c>
      <c r="F218" s="42">
        <v>0.9998734167365505</v>
      </c>
      <c r="G218">
        <v>1.2658326344957148E-4</v>
      </c>
    </row>
    <row r="219" spans="3:7" x14ac:dyDescent="0.15">
      <c r="C219" s="43" t="s">
        <v>536</v>
      </c>
      <c r="D219" s="42">
        <v>0</v>
      </c>
      <c r="E219" s="42">
        <v>0</v>
      </c>
      <c r="F219" s="42">
        <v>0.90649444571155646</v>
      </c>
      <c r="G219">
        <v>9.3505554288443635E-2</v>
      </c>
    </row>
    <row r="220" spans="3:7" x14ac:dyDescent="0.15">
      <c r="C220" s="43" t="s">
        <v>537</v>
      </c>
      <c r="D220" s="42">
        <v>0</v>
      </c>
      <c r="E220" s="42">
        <v>0</v>
      </c>
      <c r="F220" s="42">
        <v>0.89810580974551313</v>
      </c>
      <c r="G220">
        <v>0.10189419025448683</v>
      </c>
    </row>
    <row r="221" spans="3:7" x14ac:dyDescent="0.15">
      <c r="C221" s="43" t="s">
        <v>538</v>
      </c>
      <c r="D221" s="42">
        <v>0</v>
      </c>
      <c r="E221" s="42">
        <v>0</v>
      </c>
      <c r="F221" s="42">
        <v>0.84180306648325742</v>
      </c>
      <c r="G221">
        <v>0.15819693351674249</v>
      </c>
    </row>
    <row r="222" spans="3:7" x14ac:dyDescent="0.15">
      <c r="C222" s="43" t="s">
        <v>539</v>
      </c>
      <c r="D222" s="42">
        <v>0</v>
      </c>
      <c r="E222" s="42">
        <v>0</v>
      </c>
      <c r="F222" s="42">
        <v>0.99816828728274487</v>
      </c>
      <c r="G222">
        <v>1.8317127172551668E-3</v>
      </c>
    </row>
    <row r="223" spans="3:7" x14ac:dyDescent="0.15">
      <c r="C223" s="43" t="s">
        <v>540</v>
      </c>
      <c r="D223" s="42">
        <v>0</v>
      </c>
      <c r="E223" s="42">
        <v>0</v>
      </c>
      <c r="F223" s="42">
        <v>0.94573745527121311</v>
      </c>
      <c r="G223">
        <v>5.4262544728786895E-2</v>
      </c>
    </row>
    <row r="224" spans="3:7" x14ac:dyDescent="0.15">
      <c r="C224" s="43" t="s">
        <v>541</v>
      </c>
      <c r="D224" s="42">
        <v>0</v>
      </c>
      <c r="E224" s="42">
        <v>0</v>
      </c>
      <c r="F224" s="42">
        <v>0.79053301148360022</v>
      </c>
      <c r="G224">
        <v>0.20946698851639972</v>
      </c>
    </row>
    <row r="225" spans="3:7" x14ac:dyDescent="0.15">
      <c r="C225" s="43" t="s">
        <v>542</v>
      </c>
      <c r="D225" s="42">
        <v>0</v>
      </c>
      <c r="E225" s="42">
        <v>0</v>
      </c>
      <c r="F225" s="42">
        <v>0.84455142120489057</v>
      </c>
      <c r="G225">
        <v>0.15544857879510937</v>
      </c>
    </row>
    <row r="226" spans="3:7" x14ac:dyDescent="0.15">
      <c r="C226" s="43" t="s">
        <v>543</v>
      </c>
      <c r="D226" s="42">
        <v>0</v>
      </c>
      <c r="E226" s="42">
        <v>0</v>
      </c>
      <c r="F226" s="42">
        <v>0.9735380096208347</v>
      </c>
      <c r="G226">
        <v>2.6461990379165332E-2</v>
      </c>
    </row>
    <row r="227" spans="3:7" x14ac:dyDescent="0.15">
      <c r="C227" s="43" t="s">
        <v>544</v>
      </c>
      <c r="D227" s="42">
        <v>0</v>
      </c>
      <c r="E227" s="42">
        <v>0</v>
      </c>
      <c r="F227" s="42">
        <v>0.99785200253323192</v>
      </c>
      <c r="G227">
        <v>2.1479974667680066E-3</v>
      </c>
    </row>
    <row r="228" spans="3:7" x14ac:dyDescent="0.15">
      <c r="C228" s="43" t="s">
        <v>545</v>
      </c>
      <c r="D228" s="42">
        <v>0</v>
      </c>
      <c r="E228" s="42">
        <v>0</v>
      </c>
      <c r="F228" s="42">
        <v>0.97303864084235914</v>
      </c>
      <c r="G228">
        <v>2.6961359157640825E-2</v>
      </c>
    </row>
    <row r="229" spans="3:7" x14ac:dyDescent="0.15">
      <c r="C229" s="43" t="s">
        <v>546</v>
      </c>
      <c r="D229" s="42">
        <v>0</v>
      </c>
      <c r="E229" s="42">
        <v>0</v>
      </c>
      <c r="F229" s="42">
        <v>0.98863762134895394</v>
      </c>
      <c r="G229">
        <v>1.1362378651046001E-2</v>
      </c>
    </row>
    <row r="230" spans="3:7" x14ac:dyDescent="0.15">
      <c r="C230" s="43" t="s">
        <v>547</v>
      </c>
      <c r="D230" s="42">
        <v>0</v>
      </c>
      <c r="E230" s="42">
        <v>0</v>
      </c>
      <c r="F230" s="42">
        <v>0.99765020431661089</v>
      </c>
      <c r="G230">
        <v>2.3497956833891799E-3</v>
      </c>
    </row>
    <row r="231" spans="3:7" x14ac:dyDescent="0.15">
      <c r="C231" s="43" t="s">
        <v>548</v>
      </c>
      <c r="D231" s="42">
        <v>0</v>
      </c>
      <c r="E231" s="42">
        <v>0</v>
      </c>
      <c r="F231" s="42">
        <v>0.99191017804103709</v>
      </c>
      <c r="G231">
        <v>8.0898219589628541E-3</v>
      </c>
    </row>
    <row r="232" spans="3:7" x14ac:dyDescent="0.15">
      <c r="C232" s="43" t="s">
        <v>549</v>
      </c>
      <c r="D232" s="42">
        <v>1</v>
      </c>
      <c r="E232" s="42">
        <v>1</v>
      </c>
      <c r="F232" s="42">
        <v>0.45813530850760409</v>
      </c>
      <c r="G232">
        <v>0.54186469149239591</v>
      </c>
    </row>
    <row r="233" spans="3:7" x14ac:dyDescent="0.15">
      <c r="C233" s="43" t="s">
        <v>550</v>
      </c>
      <c r="D233" s="42">
        <v>0</v>
      </c>
      <c r="E233" s="42">
        <v>0</v>
      </c>
      <c r="F233" s="42">
        <v>0.90221851717828605</v>
      </c>
      <c r="G233">
        <v>9.778148282171395E-2</v>
      </c>
    </row>
    <row r="234" spans="3:7" x14ac:dyDescent="0.15">
      <c r="C234" s="43" t="s">
        <v>551</v>
      </c>
      <c r="D234" s="42">
        <v>0</v>
      </c>
      <c r="E234" s="42">
        <v>0</v>
      </c>
      <c r="F234" s="42">
        <v>0.99808159857308099</v>
      </c>
      <c r="G234">
        <v>1.9184014269190424E-3</v>
      </c>
    </row>
    <row r="235" spans="3:7" x14ac:dyDescent="0.15">
      <c r="C235" s="43" t="s">
        <v>552</v>
      </c>
      <c r="D235" s="42">
        <v>0</v>
      </c>
      <c r="E235" s="42">
        <v>0</v>
      </c>
      <c r="F235" s="42">
        <v>0.97037042317525868</v>
      </c>
      <c r="G235">
        <v>2.9629576824741231E-2</v>
      </c>
    </row>
    <row r="236" spans="3:7" x14ac:dyDescent="0.15">
      <c r="C236" s="43" t="s">
        <v>553</v>
      </c>
      <c r="D236" s="42">
        <v>0</v>
      </c>
      <c r="E236" s="42">
        <v>0</v>
      </c>
      <c r="F236" s="42">
        <v>0.98880942764072111</v>
      </c>
      <c r="G236">
        <v>1.1190572359278847E-2</v>
      </c>
    </row>
    <row r="237" spans="3:7" x14ac:dyDescent="0.15">
      <c r="C237" s="61" t="s">
        <v>554</v>
      </c>
      <c r="D237" s="60">
        <v>1</v>
      </c>
      <c r="E237" s="60">
        <v>0</v>
      </c>
      <c r="F237" s="60">
        <v>0.7882475877992362</v>
      </c>
      <c r="G237" s="59">
        <v>0.21175241220076382</v>
      </c>
    </row>
    <row r="238" spans="3:7" x14ac:dyDescent="0.15">
      <c r="C238" s="43" t="s">
        <v>555</v>
      </c>
      <c r="D238" s="42">
        <v>0</v>
      </c>
      <c r="E238" s="42">
        <v>0</v>
      </c>
      <c r="F238" s="42">
        <v>0.94471213267236187</v>
      </c>
      <c r="G238">
        <v>5.5287867327638129E-2</v>
      </c>
    </row>
    <row r="239" spans="3:7" x14ac:dyDescent="0.15">
      <c r="C239" s="43" t="s">
        <v>556</v>
      </c>
      <c r="D239" s="42">
        <v>0</v>
      </c>
      <c r="E239" s="42">
        <v>0</v>
      </c>
      <c r="F239" s="42">
        <v>0.96420996196584075</v>
      </c>
      <c r="G239">
        <v>3.5790038034159193E-2</v>
      </c>
    </row>
    <row r="240" spans="3:7" x14ac:dyDescent="0.15">
      <c r="C240" s="43" t="s">
        <v>557</v>
      </c>
      <c r="D240" s="42">
        <v>0</v>
      </c>
      <c r="E240" s="42">
        <v>0</v>
      </c>
      <c r="F240" s="42">
        <v>0.91899951235555877</v>
      </c>
      <c r="G240">
        <v>8.1000487644441233E-2</v>
      </c>
    </row>
    <row r="241" spans="3:7" x14ac:dyDescent="0.15">
      <c r="C241" s="43" t="s">
        <v>558</v>
      </c>
      <c r="D241" s="42">
        <v>0</v>
      </c>
      <c r="E241" s="42">
        <v>0</v>
      </c>
      <c r="F241" s="42">
        <v>0.60465790776414519</v>
      </c>
      <c r="G241">
        <v>0.39534209223585481</v>
      </c>
    </row>
    <row r="242" spans="3:7" x14ac:dyDescent="0.15">
      <c r="C242" s="43" t="s">
        <v>559</v>
      </c>
      <c r="D242" s="42">
        <v>0</v>
      </c>
      <c r="E242" s="42">
        <v>0</v>
      </c>
      <c r="F242" s="42">
        <v>0.99733603105038826</v>
      </c>
      <c r="G242">
        <v>2.6639689496117326E-3</v>
      </c>
    </row>
    <row r="243" spans="3:7" x14ac:dyDescent="0.15">
      <c r="C243" s="43" t="s">
        <v>560</v>
      </c>
      <c r="D243" s="42">
        <v>0</v>
      </c>
      <c r="E243" s="42">
        <v>0</v>
      </c>
      <c r="F243" s="42">
        <v>0.73133032677290544</v>
      </c>
      <c r="G243">
        <v>0.26866967322709462</v>
      </c>
    </row>
    <row r="244" spans="3:7" x14ac:dyDescent="0.15">
      <c r="C244" s="43" t="s">
        <v>561</v>
      </c>
      <c r="D244" s="42">
        <v>0</v>
      </c>
      <c r="E244" s="42">
        <v>0</v>
      </c>
      <c r="F244" s="42">
        <v>0.97723450542871204</v>
      </c>
      <c r="G244">
        <v>2.2765494571287966E-2</v>
      </c>
    </row>
    <row r="245" spans="3:7" x14ac:dyDescent="0.15">
      <c r="C245" s="43" t="s">
        <v>562</v>
      </c>
      <c r="D245" s="42">
        <v>0</v>
      </c>
      <c r="E245" s="42">
        <v>0</v>
      </c>
      <c r="F245" s="42">
        <v>0.96195927955471827</v>
      </c>
      <c r="G245">
        <v>3.804072044528168E-2</v>
      </c>
    </row>
    <row r="246" spans="3:7" x14ac:dyDescent="0.15">
      <c r="C246" s="43" t="s">
        <v>563</v>
      </c>
      <c r="D246" s="42">
        <v>0</v>
      </c>
      <c r="E246" s="42">
        <v>0</v>
      </c>
      <c r="F246" s="42">
        <v>0.99215813141321507</v>
      </c>
      <c r="G246">
        <v>7.8418685867850616E-3</v>
      </c>
    </row>
    <row r="247" spans="3:7" x14ac:dyDescent="0.15">
      <c r="C247" s="43" t="s">
        <v>564</v>
      </c>
      <c r="D247" s="42">
        <v>0</v>
      </c>
      <c r="E247" s="42">
        <v>0</v>
      </c>
      <c r="F247" s="42">
        <v>0.94438277734275267</v>
      </c>
      <c r="G247">
        <v>5.5617222657247375E-2</v>
      </c>
    </row>
    <row r="248" spans="3:7" x14ac:dyDescent="0.15">
      <c r="C248" s="43" t="s">
        <v>565</v>
      </c>
      <c r="D248" s="42">
        <v>0</v>
      </c>
      <c r="E248" s="42">
        <v>0</v>
      </c>
      <c r="F248" s="42">
        <v>0.95692058163976812</v>
      </c>
      <c r="G248">
        <v>4.3079418360231804E-2</v>
      </c>
    </row>
    <row r="249" spans="3:7" x14ac:dyDescent="0.15">
      <c r="C249" s="43" t="s">
        <v>566</v>
      </c>
      <c r="D249" s="42">
        <v>0</v>
      </c>
      <c r="E249" s="42">
        <v>0</v>
      </c>
      <c r="F249" s="42">
        <v>0.99972017301428251</v>
      </c>
      <c r="G249">
        <v>2.7982698571763615E-4</v>
      </c>
    </row>
    <row r="250" spans="3:7" x14ac:dyDescent="0.15">
      <c r="C250" s="43" t="s">
        <v>567</v>
      </c>
      <c r="D250" s="42">
        <v>0</v>
      </c>
      <c r="E250" s="42">
        <v>0</v>
      </c>
      <c r="F250" s="42">
        <v>0.94965801850641374</v>
      </c>
      <c r="G250">
        <v>5.0341981493586332E-2</v>
      </c>
    </row>
    <row r="251" spans="3:7" x14ac:dyDescent="0.15">
      <c r="C251" s="43" t="s">
        <v>568</v>
      </c>
      <c r="D251" s="42">
        <v>0</v>
      </c>
      <c r="E251" s="42">
        <v>0</v>
      </c>
      <c r="F251" s="42">
        <v>0.96958028048677736</v>
      </c>
      <c r="G251">
        <v>3.0419719513222657E-2</v>
      </c>
    </row>
    <row r="252" spans="3:7" x14ac:dyDescent="0.15">
      <c r="C252" s="43" t="s">
        <v>569</v>
      </c>
      <c r="D252" s="42">
        <v>0</v>
      </c>
      <c r="E252" s="42">
        <v>0</v>
      </c>
      <c r="F252" s="42">
        <v>0.9941621470873333</v>
      </c>
      <c r="G252">
        <v>5.8378529126667227E-3</v>
      </c>
    </row>
    <row r="253" spans="3:7" x14ac:dyDescent="0.15">
      <c r="C253" s="43" t="s">
        <v>570</v>
      </c>
      <c r="D253" s="42">
        <v>0</v>
      </c>
      <c r="E253" s="42">
        <v>0</v>
      </c>
      <c r="F253" s="42">
        <v>0.9960294547146501</v>
      </c>
      <c r="G253">
        <v>3.9705452853497948E-3</v>
      </c>
    </row>
    <row r="254" spans="3:7" x14ac:dyDescent="0.15">
      <c r="C254" s="61" t="s">
        <v>571</v>
      </c>
      <c r="D254" s="60">
        <v>1</v>
      </c>
      <c r="E254" s="60">
        <v>0</v>
      </c>
      <c r="F254" s="60">
        <v>0.73740664131272793</v>
      </c>
      <c r="G254" s="59">
        <v>0.26259335868727202</v>
      </c>
    </row>
    <row r="255" spans="3:7" x14ac:dyDescent="0.15">
      <c r="C255" s="43" t="s">
        <v>572</v>
      </c>
      <c r="D255" s="42">
        <v>0</v>
      </c>
      <c r="E255" s="42">
        <v>0</v>
      </c>
      <c r="F255" s="42">
        <v>0.98641672324810747</v>
      </c>
      <c r="G255">
        <v>1.3583276751892403E-2</v>
      </c>
    </row>
    <row r="256" spans="3:7" x14ac:dyDescent="0.15">
      <c r="C256" s="43" t="s">
        <v>573</v>
      </c>
      <c r="D256" s="42">
        <v>0</v>
      </c>
      <c r="E256" s="42">
        <v>0</v>
      </c>
      <c r="F256" s="42">
        <v>0.97708743887816962</v>
      </c>
      <c r="G256">
        <v>2.2912561121830363E-2</v>
      </c>
    </row>
    <row r="257" spans="3:7" x14ac:dyDescent="0.15">
      <c r="C257" s="43" t="s">
        <v>574</v>
      </c>
      <c r="D257" s="42">
        <v>0</v>
      </c>
      <c r="E257" s="42">
        <v>0</v>
      </c>
      <c r="F257" s="42">
        <v>0.55177907454637243</v>
      </c>
      <c r="G257">
        <v>0.44822092545362763</v>
      </c>
    </row>
    <row r="258" spans="3:7" x14ac:dyDescent="0.15">
      <c r="C258" s="43" t="s">
        <v>575</v>
      </c>
      <c r="D258" s="42">
        <v>0</v>
      </c>
      <c r="E258" s="42">
        <v>0</v>
      </c>
      <c r="F258" s="42">
        <v>0.99916771311484975</v>
      </c>
      <c r="G258">
        <v>8.3228688515032869E-4</v>
      </c>
    </row>
    <row r="259" spans="3:7" x14ac:dyDescent="0.15">
      <c r="C259" s="43" t="s">
        <v>576</v>
      </c>
      <c r="D259" s="42">
        <v>0</v>
      </c>
      <c r="E259" s="42">
        <v>0</v>
      </c>
      <c r="F259" s="42">
        <v>0.98428965928379353</v>
      </c>
      <c r="G259">
        <v>1.5710340716206628E-2</v>
      </c>
    </row>
    <row r="260" spans="3:7" x14ac:dyDescent="0.15">
      <c r="C260" s="43" t="s">
        <v>577</v>
      </c>
      <c r="D260" s="42">
        <v>1</v>
      </c>
      <c r="E260" s="42">
        <v>1</v>
      </c>
      <c r="F260" s="42">
        <v>0.16630206918400492</v>
      </c>
      <c r="G260">
        <v>0.83369793081599508</v>
      </c>
    </row>
    <row r="261" spans="3:7" x14ac:dyDescent="0.15">
      <c r="C261" s="43" t="s">
        <v>578</v>
      </c>
      <c r="D261" s="42">
        <v>0</v>
      </c>
      <c r="E261" s="42">
        <v>0</v>
      </c>
      <c r="F261" s="42">
        <v>0.99906126228178316</v>
      </c>
      <c r="G261">
        <v>9.3873771821697128E-4</v>
      </c>
    </row>
    <row r="262" spans="3:7" x14ac:dyDescent="0.15">
      <c r="C262" s="43" t="s">
        <v>579</v>
      </c>
      <c r="D262" s="42">
        <v>0</v>
      </c>
      <c r="E262" s="42">
        <v>0</v>
      </c>
      <c r="F262" s="42">
        <v>0.99194808238893639</v>
      </c>
      <c r="G262">
        <v>8.0519176110635561E-3</v>
      </c>
    </row>
    <row r="263" spans="3:7" x14ac:dyDescent="0.15">
      <c r="C263" s="43" t="s">
        <v>580</v>
      </c>
      <c r="D263" s="42">
        <v>0</v>
      </c>
      <c r="E263" s="42">
        <v>0</v>
      </c>
      <c r="F263" s="42">
        <v>0.99856432580061982</v>
      </c>
      <c r="G263">
        <v>1.4356741993801782E-3</v>
      </c>
    </row>
    <row r="264" spans="3:7" x14ac:dyDescent="0.15">
      <c r="C264" s="43" t="s">
        <v>581</v>
      </c>
      <c r="D264" s="42">
        <v>0</v>
      </c>
      <c r="E264" s="42">
        <v>0</v>
      </c>
      <c r="F264" s="42">
        <v>0.99648368886685279</v>
      </c>
      <c r="G264">
        <v>3.5163111331471884E-3</v>
      </c>
    </row>
    <row r="265" spans="3:7" x14ac:dyDescent="0.15">
      <c r="C265" s="43" t="s">
        <v>582</v>
      </c>
      <c r="D265" s="42">
        <v>0</v>
      </c>
      <c r="E265" s="42">
        <v>0</v>
      </c>
      <c r="F265" s="42">
        <v>0.99608835566624498</v>
      </c>
      <c r="G265">
        <v>3.911644333755052E-3</v>
      </c>
    </row>
    <row r="266" spans="3:7" x14ac:dyDescent="0.15">
      <c r="C266" s="43" t="s">
        <v>583</v>
      </c>
      <c r="D266" s="42">
        <v>1</v>
      </c>
      <c r="E266" s="42">
        <v>1</v>
      </c>
      <c r="F266" s="42">
        <v>0.19045258463001707</v>
      </c>
      <c r="G266">
        <v>0.80954741536998287</v>
      </c>
    </row>
    <row r="267" spans="3:7" x14ac:dyDescent="0.15">
      <c r="C267" s="43" t="s">
        <v>584</v>
      </c>
      <c r="D267" s="42">
        <v>0</v>
      </c>
      <c r="E267" s="42">
        <v>0</v>
      </c>
      <c r="F267" s="42">
        <v>0.99105987492897829</v>
      </c>
      <c r="G267">
        <v>8.9401250710217355E-3</v>
      </c>
    </row>
    <row r="268" spans="3:7" x14ac:dyDescent="0.15">
      <c r="C268" s="43" t="s">
        <v>585</v>
      </c>
      <c r="D268" s="42">
        <v>0</v>
      </c>
      <c r="E268" s="42">
        <v>0</v>
      </c>
      <c r="F268" s="42">
        <v>0.9976492711635998</v>
      </c>
      <c r="G268">
        <v>2.350728836400153E-3</v>
      </c>
    </row>
    <row r="269" spans="3:7" x14ac:dyDescent="0.15">
      <c r="C269" s="61" t="s">
        <v>586</v>
      </c>
      <c r="D269" s="60">
        <v>0</v>
      </c>
      <c r="E269" s="60">
        <v>1</v>
      </c>
      <c r="F269" s="60">
        <v>0.15392022943975892</v>
      </c>
      <c r="G269" s="59">
        <v>0.84607977056024097</v>
      </c>
    </row>
    <row r="270" spans="3:7" x14ac:dyDescent="0.15">
      <c r="C270" s="43" t="s">
        <v>587</v>
      </c>
      <c r="D270" s="42">
        <v>0</v>
      </c>
      <c r="E270" s="42">
        <v>0</v>
      </c>
      <c r="F270" s="42">
        <v>0.98157940033796687</v>
      </c>
      <c r="G270">
        <v>1.842059966203316E-2</v>
      </c>
    </row>
    <row r="271" spans="3:7" x14ac:dyDescent="0.15">
      <c r="C271" s="43" t="s">
        <v>588</v>
      </c>
      <c r="D271" s="42">
        <v>0</v>
      </c>
      <c r="E271" s="42">
        <v>0</v>
      </c>
      <c r="F271" s="42">
        <v>0.91763985125785208</v>
      </c>
      <c r="G271">
        <v>8.2360148742147837E-2</v>
      </c>
    </row>
    <row r="272" spans="3:7" x14ac:dyDescent="0.15">
      <c r="C272" s="43" t="s">
        <v>589</v>
      </c>
      <c r="D272" s="42">
        <v>0</v>
      </c>
      <c r="E272" s="42">
        <v>0</v>
      </c>
      <c r="F272" s="42">
        <v>0.94525969273405208</v>
      </c>
      <c r="G272">
        <v>5.4740307265947939E-2</v>
      </c>
    </row>
    <row r="273" spans="3:7" x14ac:dyDescent="0.15">
      <c r="C273" s="43" t="s">
        <v>590</v>
      </c>
      <c r="D273" s="42">
        <v>0</v>
      </c>
      <c r="E273" s="42">
        <v>0</v>
      </c>
      <c r="F273" s="42">
        <v>0.93710344629583631</v>
      </c>
      <c r="G273">
        <v>6.2896553704163569E-2</v>
      </c>
    </row>
    <row r="274" spans="3:7" x14ac:dyDescent="0.15">
      <c r="C274" s="43" t="s">
        <v>591</v>
      </c>
      <c r="D274" s="42">
        <v>0</v>
      </c>
      <c r="E274" s="42">
        <v>0</v>
      </c>
      <c r="F274" s="42">
        <v>0.87462295120059019</v>
      </c>
      <c r="G274">
        <v>0.12537704879940989</v>
      </c>
    </row>
    <row r="275" spans="3:7" x14ac:dyDescent="0.15">
      <c r="C275" s="43" t="s">
        <v>592</v>
      </c>
      <c r="D275" s="42">
        <v>1</v>
      </c>
      <c r="E275" s="42">
        <v>1</v>
      </c>
      <c r="F275" s="42">
        <v>6.7734867936279766E-2</v>
      </c>
      <c r="G275">
        <v>0.9322651320637203</v>
      </c>
    </row>
    <row r="276" spans="3:7" x14ac:dyDescent="0.15">
      <c r="C276" s="43" t="s">
        <v>593</v>
      </c>
      <c r="D276" s="42">
        <v>0</v>
      </c>
      <c r="E276" s="42">
        <v>0</v>
      </c>
      <c r="F276" s="42">
        <v>0.99915237867784235</v>
      </c>
      <c r="G276">
        <v>8.4762132215777844E-4</v>
      </c>
    </row>
    <row r="277" spans="3:7" x14ac:dyDescent="0.15">
      <c r="C277" s="43" t="s">
        <v>594</v>
      </c>
      <c r="D277" s="42">
        <v>1</v>
      </c>
      <c r="E277" s="42">
        <v>1</v>
      </c>
      <c r="F277" s="42">
        <v>0.13853109500426791</v>
      </c>
      <c r="G277">
        <v>0.86146890499573214</v>
      </c>
    </row>
    <row r="278" spans="3:7" x14ac:dyDescent="0.15">
      <c r="C278" s="43" t="s">
        <v>595</v>
      </c>
      <c r="D278" s="42">
        <v>0</v>
      </c>
      <c r="E278" s="42">
        <v>0</v>
      </c>
      <c r="F278" s="42">
        <v>0.99990400254015765</v>
      </c>
      <c r="G278">
        <v>9.5997459842296276E-5</v>
      </c>
    </row>
    <row r="279" spans="3:7" x14ac:dyDescent="0.15">
      <c r="C279" s="43" t="s">
        <v>596</v>
      </c>
      <c r="D279" s="42">
        <v>0</v>
      </c>
      <c r="E279" s="42">
        <v>0</v>
      </c>
      <c r="F279" s="42">
        <v>0.9995209535432219</v>
      </c>
      <c r="G279">
        <v>4.790464567780298E-4</v>
      </c>
    </row>
    <row r="280" spans="3:7" x14ac:dyDescent="0.15">
      <c r="C280" s="61" t="s">
        <v>597</v>
      </c>
      <c r="D280" s="60">
        <v>0</v>
      </c>
      <c r="E280" s="60">
        <v>1</v>
      </c>
      <c r="F280" s="60">
        <v>5.1551979807645115E-3</v>
      </c>
      <c r="G280" s="59">
        <v>0.99484480201923553</v>
      </c>
    </row>
    <row r="281" spans="3:7" x14ac:dyDescent="0.15">
      <c r="C281" s="43" t="s">
        <v>598</v>
      </c>
      <c r="D281" s="42">
        <v>0</v>
      </c>
      <c r="E281" s="42">
        <v>0</v>
      </c>
      <c r="F281" s="42">
        <v>0.99116901383929434</v>
      </c>
      <c r="G281">
        <v>8.8309861607056596E-3</v>
      </c>
    </row>
    <row r="282" spans="3:7" x14ac:dyDescent="0.15">
      <c r="C282" s="43" t="s">
        <v>599</v>
      </c>
      <c r="D282" s="42">
        <v>0</v>
      </c>
      <c r="E282" s="42">
        <v>0</v>
      </c>
      <c r="F282" s="42">
        <v>0.99602151241928072</v>
      </c>
      <c r="G282">
        <v>3.9784875807193061E-3</v>
      </c>
    </row>
    <row r="283" spans="3:7" x14ac:dyDescent="0.15">
      <c r="C283" s="43" t="s">
        <v>600</v>
      </c>
      <c r="D283" s="42">
        <v>0</v>
      </c>
      <c r="E283" s="42">
        <v>0</v>
      </c>
      <c r="F283" s="42">
        <v>0.85894779295627011</v>
      </c>
      <c r="G283">
        <v>0.14105220704372992</v>
      </c>
    </row>
    <row r="284" spans="3:7" x14ac:dyDescent="0.15">
      <c r="C284" s="43" t="s">
        <v>601</v>
      </c>
      <c r="D284" s="42">
        <v>0</v>
      </c>
      <c r="E284" s="42">
        <v>0</v>
      </c>
      <c r="F284" s="42">
        <v>0.99053752121663474</v>
      </c>
      <c r="G284">
        <v>9.4624787833651938E-3</v>
      </c>
    </row>
    <row r="285" spans="3:7" x14ac:dyDescent="0.15">
      <c r="C285" s="43" t="s">
        <v>602</v>
      </c>
      <c r="D285" s="42">
        <v>0</v>
      </c>
      <c r="E285" s="42">
        <v>0</v>
      </c>
      <c r="F285" s="42">
        <v>0.93924880430946911</v>
      </c>
      <c r="G285">
        <v>6.0751195690530793E-2</v>
      </c>
    </row>
    <row r="286" spans="3:7" x14ac:dyDescent="0.15">
      <c r="C286" s="43" t="s">
        <v>603</v>
      </c>
      <c r="D286" s="42">
        <v>0</v>
      </c>
      <c r="E286" s="42">
        <v>0</v>
      </c>
      <c r="F286" s="42">
        <v>0.96751148616880267</v>
      </c>
      <c r="G286">
        <v>3.2488513831197267E-2</v>
      </c>
    </row>
    <row r="287" spans="3:7" x14ac:dyDescent="0.15">
      <c r="C287" s="43" t="s">
        <v>604</v>
      </c>
      <c r="D287" s="42">
        <v>0</v>
      </c>
      <c r="E287" s="42">
        <v>0</v>
      </c>
      <c r="F287" s="42">
        <v>0.99965116781430519</v>
      </c>
      <c r="G287">
        <v>3.4883218569480018E-4</v>
      </c>
    </row>
    <row r="288" spans="3:7" x14ac:dyDescent="0.15">
      <c r="C288" s="61" t="s">
        <v>605</v>
      </c>
      <c r="D288" s="60">
        <v>1</v>
      </c>
      <c r="E288" s="60">
        <v>0</v>
      </c>
      <c r="F288" s="60">
        <v>0.60252942554323574</v>
      </c>
      <c r="G288" s="59">
        <v>0.39747057445676431</v>
      </c>
    </row>
    <row r="289" spans="3:7" x14ac:dyDescent="0.15">
      <c r="C289" s="61" t="s">
        <v>606</v>
      </c>
      <c r="D289" s="60">
        <v>1</v>
      </c>
      <c r="E289" s="60">
        <v>0</v>
      </c>
      <c r="F289" s="60">
        <v>0.6245967169039689</v>
      </c>
      <c r="G289" s="59">
        <v>0.37540328309603116</v>
      </c>
    </row>
    <row r="290" spans="3:7" x14ac:dyDescent="0.15">
      <c r="C290" s="43" t="s">
        <v>607</v>
      </c>
      <c r="D290" s="42">
        <v>0</v>
      </c>
      <c r="E290" s="42">
        <v>0</v>
      </c>
      <c r="F290" s="42">
        <v>0.99888144869994244</v>
      </c>
      <c r="G290">
        <v>1.1185513000576102E-3</v>
      </c>
    </row>
    <row r="291" spans="3:7" x14ac:dyDescent="0.15">
      <c r="C291" s="43" t="s">
        <v>608</v>
      </c>
      <c r="D291" s="42">
        <v>0</v>
      </c>
      <c r="E291" s="42">
        <v>0</v>
      </c>
      <c r="F291" s="42">
        <v>0.99765577864394483</v>
      </c>
      <c r="G291">
        <v>2.3442213560551802E-3</v>
      </c>
    </row>
    <row r="292" spans="3:7" x14ac:dyDescent="0.15">
      <c r="C292" s="43" t="s">
        <v>609</v>
      </c>
      <c r="D292" s="42">
        <v>0</v>
      </c>
      <c r="E292" s="42">
        <v>0</v>
      </c>
      <c r="F292" s="42">
        <v>0.97688124996401682</v>
      </c>
      <c r="G292">
        <v>2.3118750035983061E-2</v>
      </c>
    </row>
    <row r="293" spans="3:7" x14ac:dyDescent="0.15">
      <c r="C293" s="43" t="s">
        <v>610</v>
      </c>
      <c r="D293" s="42">
        <v>0</v>
      </c>
      <c r="E293" s="42">
        <v>0</v>
      </c>
      <c r="F293" s="42">
        <v>0.99932235415555515</v>
      </c>
      <c r="G293">
        <v>6.7764584444499759E-4</v>
      </c>
    </row>
    <row r="294" spans="3:7" x14ac:dyDescent="0.15">
      <c r="C294" s="43" t="s">
        <v>611</v>
      </c>
      <c r="D294" s="42">
        <v>0</v>
      </c>
      <c r="E294" s="42">
        <v>0</v>
      </c>
      <c r="F294" s="42">
        <v>0.98448132556626289</v>
      </c>
      <c r="G294">
        <v>1.5518674433737079E-2</v>
      </c>
    </row>
    <row r="295" spans="3:7" x14ac:dyDescent="0.15">
      <c r="C295" s="43" t="s">
        <v>612</v>
      </c>
      <c r="D295" s="42">
        <v>0</v>
      </c>
      <c r="E295" s="42">
        <v>0</v>
      </c>
      <c r="F295" s="42">
        <v>0.99902203584773452</v>
      </c>
      <c r="G295">
        <v>9.7796415226543768E-4</v>
      </c>
    </row>
    <row r="296" spans="3:7" x14ac:dyDescent="0.15">
      <c r="C296" s="43" t="s">
        <v>613</v>
      </c>
      <c r="D296" s="42">
        <v>0</v>
      </c>
      <c r="E296" s="42">
        <v>0</v>
      </c>
      <c r="F296" s="42">
        <v>0.99734969784127769</v>
      </c>
      <c r="G296">
        <v>2.650302158722361E-3</v>
      </c>
    </row>
    <row r="297" spans="3:7" x14ac:dyDescent="0.15">
      <c r="C297" s="61" t="s">
        <v>614</v>
      </c>
      <c r="D297" s="60">
        <v>0</v>
      </c>
      <c r="E297" s="60">
        <v>1</v>
      </c>
      <c r="F297" s="60">
        <v>0.20270352205334755</v>
      </c>
      <c r="G297" s="59">
        <v>0.79729647794665248</v>
      </c>
    </row>
    <row r="298" spans="3:7" x14ac:dyDescent="0.15">
      <c r="C298" s="43" t="s">
        <v>615</v>
      </c>
      <c r="D298" s="42">
        <v>1</v>
      </c>
      <c r="E298" s="42">
        <v>1</v>
      </c>
      <c r="F298" s="42">
        <v>3.9599149689619629E-3</v>
      </c>
      <c r="G298">
        <v>0.99604008503103791</v>
      </c>
    </row>
    <row r="299" spans="3:7" x14ac:dyDescent="0.15">
      <c r="C299" s="43" t="s">
        <v>616</v>
      </c>
      <c r="D299" s="42">
        <v>0</v>
      </c>
      <c r="E299" s="42">
        <v>0</v>
      </c>
      <c r="F299" s="42">
        <v>0.97862396502440152</v>
      </c>
      <c r="G299">
        <v>2.1376034975598594E-2</v>
      </c>
    </row>
    <row r="300" spans="3:7" x14ac:dyDescent="0.15">
      <c r="C300" s="43" t="s">
        <v>617</v>
      </c>
      <c r="D300" s="42">
        <v>0</v>
      </c>
      <c r="E300" s="42">
        <v>0</v>
      </c>
      <c r="F300" s="42">
        <v>0.92787020221562033</v>
      </c>
      <c r="G300">
        <v>7.2129797784379585E-2</v>
      </c>
    </row>
    <row r="301" spans="3:7" x14ac:dyDescent="0.15">
      <c r="C301" s="43" t="s">
        <v>618</v>
      </c>
      <c r="D301" s="42">
        <v>0</v>
      </c>
      <c r="E301" s="42">
        <v>0</v>
      </c>
      <c r="F301" s="42">
        <v>0.98485567853581568</v>
      </c>
      <c r="G301">
        <v>1.5144321464184363E-2</v>
      </c>
    </row>
    <row r="302" spans="3:7" x14ac:dyDescent="0.15">
      <c r="C302" s="43" t="s">
        <v>619</v>
      </c>
      <c r="D302" s="42">
        <v>0</v>
      </c>
      <c r="E302" s="42">
        <v>0</v>
      </c>
      <c r="F302" s="42">
        <v>0.99367601310408504</v>
      </c>
      <c r="G302">
        <v>6.3239868959149162E-3</v>
      </c>
    </row>
    <row r="303" spans="3:7" x14ac:dyDescent="0.15">
      <c r="C303" s="43" t="s">
        <v>620</v>
      </c>
      <c r="D303" s="42">
        <v>1</v>
      </c>
      <c r="E303" s="42">
        <v>1</v>
      </c>
      <c r="F303" s="42">
        <v>0.2593302757681627</v>
      </c>
      <c r="G303">
        <v>0.7406697242318373</v>
      </c>
    </row>
    <row r="304" spans="3:7" x14ac:dyDescent="0.15">
      <c r="C304" s="43" t="s">
        <v>621</v>
      </c>
      <c r="D304" s="42">
        <v>0</v>
      </c>
      <c r="E304" s="42">
        <v>0</v>
      </c>
      <c r="F304" s="42">
        <v>0.91942712639693702</v>
      </c>
      <c r="G304">
        <v>8.0572873603062894E-2</v>
      </c>
    </row>
    <row r="305" spans="3:7" x14ac:dyDescent="0.15">
      <c r="C305" s="43" t="s">
        <v>622</v>
      </c>
      <c r="D305" s="42">
        <v>0</v>
      </c>
      <c r="E305" s="42">
        <v>0</v>
      </c>
      <c r="F305" s="42">
        <v>0.99649370605340115</v>
      </c>
      <c r="G305">
        <v>3.5062939465988789E-3</v>
      </c>
    </row>
    <row r="306" spans="3:7" x14ac:dyDescent="0.15">
      <c r="C306" s="43" t="s">
        <v>623</v>
      </c>
      <c r="D306" s="42">
        <v>0</v>
      </c>
      <c r="E306" s="42">
        <v>0</v>
      </c>
      <c r="F306" s="42">
        <v>0.95819978405623896</v>
      </c>
      <c r="G306">
        <v>4.1800215943761015E-2</v>
      </c>
    </row>
    <row r="307" spans="3:7" x14ac:dyDescent="0.15">
      <c r="C307" s="43" t="s">
        <v>624</v>
      </c>
      <c r="D307" s="42">
        <v>0</v>
      </c>
      <c r="E307" s="42">
        <v>0</v>
      </c>
      <c r="F307" s="42">
        <v>0.98293634322323042</v>
      </c>
      <c r="G307">
        <v>1.706365677676951E-2</v>
      </c>
    </row>
    <row r="308" spans="3:7" x14ac:dyDescent="0.15">
      <c r="C308" s="43" t="s">
        <v>625</v>
      </c>
      <c r="D308" s="42">
        <v>0</v>
      </c>
      <c r="E308" s="42">
        <v>0</v>
      </c>
      <c r="F308" s="42">
        <v>0.80492079480949363</v>
      </c>
      <c r="G308">
        <v>0.19507920519050639</v>
      </c>
    </row>
    <row r="309" spans="3:7" x14ac:dyDescent="0.15">
      <c r="C309" s="43" t="s">
        <v>626</v>
      </c>
      <c r="D309" s="42">
        <v>0</v>
      </c>
      <c r="E309" s="42">
        <v>0</v>
      </c>
      <c r="F309" s="42">
        <v>0.96233823893792614</v>
      </c>
      <c r="G309">
        <v>3.7661761062073987E-2</v>
      </c>
    </row>
    <row r="310" spans="3:7" x14ac:dyDescent="0.15">
      <c r="C310" s="43" t="s">
        <v>627</v>
      </c>
      <c r="D310" s="42">
        <v>0</v>
      </c>
      <c r="E310" s="42">
        <v>0</v>
      </c>
      <c r="F310" s="42">
        <v>0.99987734026736796</v>
      </c>
      <c r="G310">
        <v>1.2265973263192266E-4</v>
      </c>
    </row>
    <row r="311" spans="3:7" x14ac:dyDescent="0.15">
      <c r="C311" s="43" t="s">
        <v>628</v>
      </c>
      <c r="D311" s="42">
        <v>0</v>
      </c>
      <c r="E311" s="42">
        <v>0</v>
      </c>
      <c r="F311" s="42">
        <v>0.99951423960843844</v>
      </c>
      <c r="G311">
        <v>4.8576039156165719E-4</v>
      </c>
    </row>
    <row r="312" spans="3:7" x14ac:dyDescent="0.15">
      <c r="C312" s="43" t="s">
        <v>629</v>
      </c>
      <c r="D312" s="42">
        <v>0</v>
      </c>
      <c r="E312" s="42">
        <v>0</v>
      </c>
      <c r="F312" s="42">
        <v>0.99949060680039525</v>
      </c>
      <c r="G312">
        <v>5.0939319960481306E-4</v>
      </c>
    </row>
    <row r="313" spans="3:7" x14ac:dyDescent="0.15">
      <c r="C313" s="43" t="s">
        <v>630</v>
      </c>
      <c r="D313" s="42">
        <v>0</v>
      </c>
      <c r="E313" s="42">
        <v>0</v>
      </c>
      <c r="F313" s="42">
        <v>0.79847198482664172</v>
      </c>
      <c r="G313">
        <v>0.20152801517335819</v>
      </c>
    </row>
    <row r="314" spans="3:7" x14ac:dyDescent="0.15">
      <c r="C314" s="43" t="s">
        <v>631</v>
      </c>
      <c r="D314" s="42">
        <v>0</v>
      </c>
      <c r="E314" s="42">
        <v>0</v>
      </c>
      <c r="F314" s="42">
        <v>0.94467785115656155</v>
      </c>
      <c r="G314">
        <v>5.5322148843438342E-2</v>
      </c>
    </row>
    <row r="315" spans="3:7" x14ac:dyDescent="0.15">
      <c r="C315" s="43" t="s">
        <v>632</v>
      </c>
      <c r="D315" s="42">
        <v>0</v>
      </c>
      <c r="E315" s="42">
        <v>0</v>
      </c>
      <c r="F315" s="42">
        <v>0.97542738589015898</v>
      </c>
      <c r="G315">
        <v>2.457261410984098E-2</v>
      </c>
    </row>
    <row r="316" spans="3:7" x14ac:dyDescent="0.15">
      <c r="C316" s="43" t="s">
        <v>633</v>
      </c>
      <c r="D316" s="42">
        <v>0</v>
      </c>
      <c r="E316" s="42">
        <v>0</v>
      </c>
      <c r="F316" s="42">
        <v>0.99464381661838475</v>
      </c>
      <c r="G316">
        <v>5.3561833816152486E-3</v>
      </c>
    </row>
    <row r="317" spans="3:7" x14ac:dyDescent="0.15">
      <c r="C317" s="43" t="s">
        <v>634</v>
      </c>
      <c r="D317" s="42">
        <v>0</v>
      </c>
      <c r="E317" s="42">
        <v>0</v>
      </c>
      <c r="F317" s="42">
        <v>0.97164607715918405</v>
      </c>
      <c r="G317">
        <v>2.8353922840815983E-2</v>
      </c>
    </row>
    <row r="318" spans="3:7" x14ac:dyDescent="0.15">
      <c r="C318" s="43" t="s">
        <v>635</v>
      </c>
      <c r="D318" s="42">
        <v>1</v>
      </c>
      <c r="E318" s="42">
        <v>1</v>
      </c>
      <c r="F318" s="42">
        <v>0.14339694561743113</v>
      </c>
      <c r="G318">
        <v>0.8566030543825689</v>
      </c>
    </row>
    <row r="319" spans="3:7" x14ac:dyDescent="0.15">
      <c r="C319" s="43" t="s">
        <v>636</v>
      </c>
      <c r="D319" s="42">
        <v>0</v>
      </c>
      <c r="E319" s="42">
        <v>0</v>
      </c>
      <c r="F319" s="42">
        <v>0.99720924371179021</v>
      </c>
      <c r="G319">
        <v>2.7907562882098715E-3</v>
      </c>
    </row>
    <row r="320" spans="3:7" x14ac:dyDescent="0.15">
      <c r="C320" s="61" t="s">
        <v>637</v>
      </c>
      <c r="D320" s="60">
        <v>0</v>
      </c>
      <c r="E320" s="60">
        <v>1</v>
      </c>
      <c r="F320" s="60">
        <v>0.19896860651357698</v>
      </c>
      <c r="G320" s="59">
        <v>0.80103139348642294</v>
      </c>
    </row>
    <row r="321" spans="3:7" x14ac:dyDescent="0.15">
      <c r="C321" s="61" t="s">
        <v>638</v>
      </c>
      <c r="D321" s="60">
        <v>0</v>
      </c>
      <c r="E321" s="60">
        <v>1</v>
      </c>
      <c r="F321" s="60">
        <v>0.29775770119443506</v>
      </c>
      <c r="G321" s="59">
        <v>0.70224229880556499</v>
      </c>
    </row>
    <row r="322" spans="3:7" x14ac:dyDescent="0.15">
      <c r="C322" s="43" t="s">
        <v>639</v>
      </c>
      <c r="D322" s="42">
        <v>0</v>
      </c>
      <c r="E322" s="42">
        <v>0</v>
      </c>
      <c r="F322" s="42">
        <v>0.99787838195289325</v>
      </c>
      <c r="G322">
        <v>2.1216180471068267E-3</v>
      </c>
    </row>
    <row r="323" spans="3:7" x14ac:dyDescent="0.15">
      <c r="C323" s="43" t="s">
        <v>640</v>
      </c>
      <c r="D323" s="42">
        <v>1</v>
      </c>
      <c r="E323" s="42">
        <v>1</v>
      </c>
      <c r="F323" s="42">
        <v>0.11799066239987813</v>
      </c>
      <c r="G323">
        <v>0.8820093376001219</v>
      </c>
    </row>
    <row r="324" spans="3:7" x14ac:dyDescent="0.15">
      <c r="C324" s="61" t="s">
        <v>641</v>
      </c>
      <c r="D324" s="60">
        <v>0</v>
      </c>
      <c r="E324" s="60">
        <v>1</v>
      </c>
      <c r="F324" s="60">
        <v>0.29053492540406556</v>
      </c>
      <c r="G324" s="59">
        <v>0.70946507459593444</v>
      </c>
    </row>
    <row r="325" spans="3:7" x14ac:dyDescent="0.15">
      <c r="C325" s="43" t="s">
        <v>642</v>
      </c>
      <c r="D325" s="42">
        <v>0</v>
      </c>
      <c r="E325" s="42">
        <v>0</v>
      </c>
      <c r="F325" s="42">
        <v>0.99904575286510555</v>
      </c>
      <c r="G325">
        <v>9.5424713489456196E-4</v>
      </c>
    </row>
    <row r="326" spans="3:7" x14ac:dyDescent="0.15">
      <c r="C326" s="43" t="s">
        <v>643</v>
      </c>
      <c r="D326" s="42">
        <v>0</v>
      </c>
      <c r="E326" s="42">
        <v>0</v>
      </c>
      <c r="F326" s="42">
        <v>0.99204351406532532</v>
      </c>
      <c r="G326">
        <v>7.9564859346745904E-3</v>
      </c>
    </row>
    <row r="327" spans="3:7" x14ac:dyDescent="0.15">
      <c r="C327" s="43" t="s">
        <v>644</v>
      </c>
      <c r="D327" s="42">
        <v>0</v>
      </c>
      <c r="E327" s="42">
        <v>0</v>
      </c>
      <c r="F327" s="42">
        <v>0.99418489364979756</v>
      </c>
      <c r="G327">
        <v>5.8151063502024057E-3</v>
      </c>
    </row>
    <row r="328" spans="3:7" x14ac:dyDescent="0.15">
      <c r="C328" s="43" t="s">
        <v>645</v>
      </c>
      <c r="D328" s="42">
        <v>0</v>
      </c>
      <c r="E328" s="42">
        <v>0</v>
      </c>
      <c r="F328" s="42">
        <v>0.98531179232122446</v>
      </c>
      <c r="G328">
        <v>1.4688207678775527E-2</v>
      </c>
    </row>
    <row r="329" spans="3:7" x14ac:dyDescent="0.15">
      <c r="C329" s="43" t="s">
        <v>646</v>
      </c>
      <c r="D329" s="42">
        <v>0</v>
      </c>
      <c r="E329" s="42">
        <v>0</v>
      </c>
      <c r="F329" s="42">
        <v>0.62956142200436449</v>
      </c>
      <c r="G329">
        <v>0.37043857799563557</v>
      </c>
    </row>
    <row r="330" spans="3:7" x14ac:dyDescent="0.15">
      <c r="C330" s="43" t="s">
        <v>647</v>
      </c>
      <c r="D330" s="42">
        <v>0</v>
      </c>
      <c r="E330" s="42">
        <v>0</v>
      </c>
      <c r="F330" s="42">
        <v>0.98167786592690298</v>
      </c>
      <c r="G330">
        <v>1.8322134073097105E-2</v>
      </c>
    </row>
    <row r="331" spans="3:7" x14ac:dyDescent="0.15">
      <c r="C331" s="43" t="s">
        <v>648</v>
      </c>
      <c r="D331" s="42">
        <v>0</v>
      </c>
      <c r="E331" s="42">
        <v>0</v>
      </c>
      <c r="F331" s="42">
        <v>0.98263183373680452</v>
      </c>
      <c r="G331">
        <v>1.7368166263195536E-2</v>
      </c>
    </row>
    <row r="332" spans="3:7" x14ac:dyDescent="0.15">
      <c r="C332" s="43" t="s">
        <v>649</v>
      </c>
      <c r="D332" s="42">
        <v>0</v>
      </c>
      <c r="E332" s="42">
        <v>0</v>
      </c>
      <c r="F332" s="42">
        <v>0.93271632424023787</v>
      </c>
      <c r="G332">
        <v>6.7283675759762102E-2</v>
      </c>
    </row>
    <row r="333" spans="3:7" x14ac:dyDescent="0.15">
      <c r="C333" s="43" t="s">
        <v>650</v>
      </c>
      <c r="D333" s="42">
        <v>0</v>
      </c>
      <c r="E333" s="42">
        <v>0</v>
      </c>
      <c r="F333" s="42">
        <v>0.69749898405259514</v>
      </c>
      <c r="G333">
        <v>0.30250101594740486</v>
      </c>
    </row>
    <row r="334" spans="3:7" x14ac:dyDescent="0.15">
      <c r="C334" s="43" t="s">
        <v>651</v>
      </c>
      <c r="D334" s="42">
        <v>0</v>
      </c>
      <c r="E334" s="42">
        <v>0</v>
      </c>
      <c r="F334" s="42">
        <v>0.98210451908931962</v>
      </c>
      <c r="G334">
        <v>1.7895480910680488E-2</v>
      </c>
    </row>
    <row r="335" spans="3:7" x14ac:dyDescent="0.15">
      <c r="C335" s="43" t="s">
        <v>652</v>
      </c>
      <c r="D335" s="42">
        <v>0</v>
      </c>
      <c r="E335" s="42">
        <v>0</v>
      </c>
      <c r="F335" s="42">
        <v>0.98068778154614533</v>
      </c>
      <c r="G335">
        <v>1.931221845385462E-2</v>
      </c>
    </row>
    <row r="336" spans="3:7" x14ac:dyDescent="0.15">
      <c r="C336" s="43" t="s">
        <v>653</v>
      </c>
      <c r="D336" s="42">
        <v>0</v>
      </c>
      <c r="E336" s="42">
        <v>0</v>
      </c>
      <c r="F336" s="42">
        <v>0.95056225900839253</v>
      </c>
      <c r="G336">
        <v>4.9437740991607457E-2</v>
      </c>
    </row>
    <row r="337" spans="3:7" x14ac:dyDescent="0.15">
      <c r="C337" s="43" t="s">
        <v>654</v>
      </c>
      <c r="D337" s="42">
        <v>1</v>
      </c>
      <c r="E337" s="42">
        <v>1</v>
      </c>
      <c r="F337" s="42">
        <v>8.3877744856536665E-2</v>
      </c>
      <c r="G337">
        <v>0.91612225514346335</v>
      </c>
    </row>
    <row r="338" spans="3:7" x14ac:dyDescent="0.15">
      <c r="C338" s="43" t="s">
        <v>655</v>
      </c>
      <c r="D338" s="42">
        <v>0</v>
      </c>
      <c r="E338" s="42">
        <v>0</v>
      </c>
      <c r="F338" s="42">
        <v>0.5039449941495443</v>
      </c>
      <c r="G338">
        <v>0.49605500585045564</v>
      </c>
    </row>
    <row r="339" spans="3:7" x14ac:dyDescent="0.15">
      <c r="C339" s="43" t="s">
        <v>656</v>
      </c>
      <c r="D339" s="42">
        <v>0</v>
      </c>
      <c r="E339" s="42">
        <v>0</v>
      </c>
      <c r="F339" s="42">
        <v>0.99937640659256832</v>
      </c>
      <c r="G339">
        <v>6.2359340743176528E-4</v>
      </c>
    </row>
    <row r="340" spans="3:7" x14ac:dyDescent="0.15">
      <c r="C340" s="43" t="s">
        <v>657</v>
      </c>
      <c r="D340" s="42">
        <v>0</v>
      </c>
      <c r="E340" s="42">
        <v>0</v>
      </c>
      <c r="F340" s="42">
        <v>0.94826882762667986</v>
      </c>
      <c r="G340">
        <v>5.1731172373320082E-2</v>
      </c>
    </row>
    <row r="341" spans="3:7" x14ac:dyDescent="0.15">
      <c r="C341" s="43" t="s">
        <v>658</v>
      </c>
      <c r="D341" s="42">
        <v>0</v>
      </c>
      <c r="E341" s="42">
        <v>0</v>
      </c>
      <c r="F341" s="42">
        <v>0.99781059109328529</v>
      </c>
      <c r="G341">
        <v>2.1894089067147921E-3</v>
      </c>
    </row>
    <row r="342" spans="3:7" x14ac:dyDescent="0.15">
      <c r="C342" s="43" t="s">
        <v>659</v>
      </c>
      <c r="D342" s="42">
        <v>0</v>
      </c>
      <c r="E342" s="42">
        <v>0</v>
      </c>
      <c r="F342" s="42">
        <v>0.73133032677290544</v>
      </c>
      <c r="G342">
        <v>0.26866967322709462</v>
      </c>
    </row>
    <row r="343" spans="3:7" x14ac:dyDescent="0.15">
      <c r="C343" s="43" t="s">
        <v>660</v>
      </c>
      <c r="D343" s="42">
        <v>0</v>
      </c>
      <c r="E343" s="42">
        <v>0</v>
      </c>
      <c r="F343" s="42">
        <v>0.95440694035252172</v>
      </c>
      <c r="G343">
        <v>4.5593059647478229E-2</v>
      </c>
    </row>
    <row r="344" spans="3:7" x14ac:dyDescent="0.15">
      <c r="C344" s="61" t="s">
        <v>661</v>
      </c>
      <c r="D344" s="60">
        <v>0</v>
      </c>
      <c r="E344" s="60">
        <v>1</v>
      </c>
      <c r="F344" s="60">
        <v>0.40942759516876809</v>
      </c>
      <c r="G344" s="59">
        <v>0.59057240483123197</v>
      </c>
    </row>
    <row r="345" spans="3:7" x14ac:dyDescent="0.15">
      <c r="C345" s="43" t="s">
        <v>662</v>
      </c>
      <c r="D345" s="42">
        <v>0</v>
      </c>
      <c r="E345" s="42">
        <v>0</v>
      </c>
      <c r="F345" s="42">
        <v>0.95816378024157167</v>
      </c>
      <c r="G345">
        <v>4.1836219758428307E-2</v>
      </c>
    </row>
    <row r="346" spans="3:7" x14ac:dyDescent="0.15">
      <c r="C346" s="61" t="s">
        <v>663</v>
      </c>
      <c r="D346" s="60">
        <v>0</v>
      </c>
      <c r="E346" s="60">
        <v>1</v>
      </c>
      <c r="F346" s="60">
        <v>0.20557934000477474</v>
      </c>
      <c r="G346" s="59">
        <v>0.79442065999522526</v>
      </c>
    </row>
    <row r="347" spans="3:7" x14ac:dyDescent="0.15">
      <c r="C347" s="43" t="s">
        <v>664</v>
      </c>
      <c r="D347" s="42">
        <v>0</v>
      </c>
      <c r="E347" s="42">
        <v>0</v>
      </c>
      <c r="F347" s="42">
        <v>0.97190410764797908</v>
      </c>
      <c r="G347">
        <v>2.8095892352021024E-2</v>
      </c>
    </row>
    <row r="348" spans="3:7" x14ac:dyDescent="0.15">
      <c r="C348" s="61" t="s">
        <v>665</v>
      </c>
      <c r="D348" s="60">
        <v>0</v>
      </c>
      <c r="E348" s="60">
        <v>1</v>
      </c>
      <c r="F348" s="60">
        <v>0.42181858101569258</v>
      </c>
      <c r="G348" s="59">
        <v>0.57818141898430753</v>
      </c>
    </row>
    <row r="349" spans="3:7" x14ac:dyDescent="0.15">
      <c r="C349" s="61" t="s">
        <v>666</v>
      </c>
      <c r="D349" s="60">
        <v>0</v>
      </c>
      <c r="E349" s="60">
        <v>1</v>
      </c>
      <c r="F349" s="60">
        <v>0.31811312355949467</v>
      </c>
      <c r="G349" s="59">
        <v>0.68188687644050539</v>
      </c>
    </row>
    <row r="350" spans="3:7" x14ac:dyDescent="0.15">
      <c r="C350" s="61" t="s">
        <v>667</v>
      </c>
      <c r="D350" s="60">
        <v>1</v>
      </c>
      <c r="E350" s="60">
        <v>0</v>
      </c>
      <c r="F350" s="60">
        <v>0.58018625183363615</v>
      </c>
      <c r="G350" s="59">
        <v>0.41981374816636385</v>
      </c>
    </row>
    <row r="351" spans="3:7" x14ac:dyDescent="0.15">
      <c r="C351" s="61" t="s">
        <v>668</v>
      </c>
      <c r="D351" s="60">
        <v>0</v>
      </c>
      <c r="E351" s="60">
        <v>1</v>
      </c>
      <c r="F351" s="60">
        <v>0.39066628304759615</v>
      </c>
      <c r="G351" s="59">
        <v>0.6093337169524039</v>
      </c>
    </row>
    <row r="352" spans="3:7" x14ac:dyDescent="0.15">
      <c r="C352" s="43" t="s">
        <v>669</v>
      </c>
      <c r="D352" s="42">
        <v>0</v>
      </c>
      <c r="E352" s="42">
        <v>0</v>
      </c>
      <c r="F352" s="42">
        <v>0.5694632296188572</v>
      </c>
      <c r="G352">
        <v>0.43053677038114285</v>
      </c>
    </row>
    <row r="353" spans="3:7" x14ac:dyDescent="0.15">
      <c r="C353" s="43" t="s">
        <v>670</v>
      </c>
      <c r="D353" s="42">
        <v>0</v>
      </c>
      <c r="E353" s="42">
        <v>0</v>
      </c>
      <c r="F353" s="42">
        <v>0.99651236992620129</v>
      </c>
      <c r="G353">
        <v>3.4876300737988288E-3</v>
      </c>
    </row>
    <row r="354" spans="3:7" x14ac:dyDescent="0.15">
      <c r="C354" s="61" t="s">
        <v>671</v>
      </c>
      <c r="D354" s="60">
        <v>0</v>
      </c>
      <c r="E354" s="60">
        <v>1</v>
      </c>
      <c r="F354" s="60">
        <v>0.26914787498186821</v>
      </c>
      <c r="G354" s="59">
        <v>0.73085212501813179</v>
      </c>
    </row>
    <row r="355" spans="3:7" x14ac:dyDescent="0.15">
      <c r="C355" s="43" t="s">
        <v>672</v>
      </c>
      <c r="D355" s="42">
        <v>0</v>
      </c>
      <c r="E355" s="42">
        <v>0</v>
      </c>
      <c r="F355" s="42">
        <v>0.99979491954225452</v>
      </c>
      <c r="G355">
        <v>2.0508045774546169E-4</v>
      </c>
    </row>
    <row r="356" spans="3:7" x14ac:dyDescent="0.15">
      <c r="C356" s="43" t="s">
        <v>673</v>
      </c>
      <c r="D356" s="42">
        <v>0</v>
      </c>
      <c r="E356" s="42">
        <v>0</v>
      </c>
      <c r="F356" s="42">
        <v>0.98438816528440309</v>
      </c>
      <c r="G356">
        <v>1.5611834715596922E-2</v>
      </c>
    </row>
    <row r="357" spans="3:7" x14ac:dyDescent="0.15">
      <c r="C357" s="43" t="s">
        <v>674</v>
      </c>
      <c r="D357" s="42">
        <v>0</v>
      </c>
      <c r="E357" s="42">
        <v>0</v>
      </c>
      <c r="F357" s="42">
        <v>0.99390282325842871</v>
      </c>
      <c r="G357">
        <v>6.0971767415711918E-3</v>
      </c>
    </row>
    <row r="358" spans="3:7" x14ac:dyDescent="0.15">
      <c r="C358" s="43" t="s">
        <v>675</v>
      </c>
      <c r="D358" s="42">
        <v>1</v>
      </c>
      <c r="E358" s="42">
        <v>1</v>
      </c>
      <c r="F358" s="42">
        <v>0.3491532046016152</v>
      </c>
      <c r="G358">
        <v>0.65084679539838486</v>
      </c>
    </row>
    <row r="359" spans="3:7" x14ac:dyDescent="0.15">
      <c r="C359" s="43" t="s">
        <v>676</v>
      </c>
      <c r="D359" s="42">
        <v>0</v>
      </c>
      <c r="E359" s="42">
        <v>0</v>
      </c>
      <c r="F359" s="42">
        <v>0.80448527078289755</v>
      </c>
      <c r="G359">
        <v>0.1955147292171025</v>
      </c>
    </row>
    <row r="360" spans="3:7" x14ac:dyDescent="0.15">
      <c r="C360" s="43" t="s">
        <v>677</v>
      </c>
      <c r="D360" s="42">
        <v>0</v>
      </c>
      <c r="E360" s="42">
        <v>0</v>
      </c>
      <c r="F360" s="42">
        <v>0.99271779056947329</v>
      </c>
      <c r="G360">
        <v>7.2822094305267119E-3</v>
      </c>
    </row>
    <row r="361" spans="3:7" x14ac:dyDescent="0.15">
      <c r="C361" s="43" t="s">
        <v>678</v>
      </c>
      <c r="D361" s="42">
        <v>0</v>
      </c>
      <c r="E361" s="42">
        <v>0</v>
      </c>
      <c r="F361" s="42">
        <v>0.99572393636371315</v>
      </c>
      <c r="G361">
        <v>4.2760636362869364E-3</v>
      </c>
    </row>
    <row r="362" spans="3:7" x14ac:dyDescent="0.15">
      <c r="C362" s="43" t="s">
        <v>679</v>
      </c>
      <c r="D362" s="42">
        <v>0</v>
      </c>
      <c r="E362" s="42">
        <v>0</v>
      </c>
      <c r="F362" s="42">
        <v>0.99933786956960746</v>
      </c>
      <c r="G362">
        <v>6.6213043039255312E-4</v>
      </c>
    </row>
    <row r="363" spans="3:7" x14ac:dyDescent="0.15">
      <c r="C363" s="61" t="s">
        <v>680</v>
      </c>
      <c r="D363" s="60">
        <v>0</v>
      </c>
      <c r="E363" s="60">
        <v>1</v>
      </c>
      <c r="F363" s="60">
        <v>0.45427441214510261</v>
      </c>
      <c r="G363" s="59">
        <v>0.54572558785489733</v>
      </c>
    </row>
    <row r="364" spans="3:7" x14ac:dyDescent="0.15">
      <c r="C364" s="43" t="s">
        <v>681</v>
      </c>
      <c r="D364" s="42">
        <v>0</v>
      </c>
      <c r="E364" s="42">
        <v>0</v>
      </c>
      <c r="F364" s="42">
        <v>0.98132266408921465</v>
      </c>
      <c r="G364">
        <v>1.8677335910785266E-2</v>
      </c>
    </row>
    <row r="365" spans="3:7" x14ac:dyDescent="0.15">
      <c r="C365" s="43" t="s">
        <v>682</v>
      </c>
      <c r="D365" s="42">
        <v>0</v>
      </c>
      <c r="E365" s="42">
        <v>0</v>
      </c>
      <c r="F365" s="42">
        <v>0.85406781444890068</v>
      </c>
      <c r="G365">
        <v>0.14593218555109927</v>
      </c>
    </row>
    <row r="366" spans="3:7" x14ac:dyDescent="0.15">
      <c r="C366" s="43" t="s">
        <v>683</v>
      </c>
      <c r="D366" s="42">
        <v>0</v>
      </c>
      <c r="E366" s="42">
        <v>0</v>
      </c>
      <c r="F366" s="42">
        <v>0.99831165414701972</v>
      </c>
      <c r="G366">
        <v>1.6883458529802328E-3</v>
      </c>
    </row>
    <row r="367" spans="3:7" x14ac:dyDescent="0.15">
      <c r="C367" s="43" t="s">
        <v>684</v>
      </c>
      <c r="D367" s="42">
        <v>0</v>
      </c>
      <c r="E367" s="42">
        <v>0</v>
      </c>
      <c r="F367" s="42">
        <v>0.69181841191575888</v>
      </c>
      <c r="G367">
        <v>0.30818158808424118</v>
      </c>
    </row>
    <row r="368" spans="3:7" x14ac:dyDescent="0.15">
      <c r="C368" s="43" t="s">
        <v>685</v>
      </c>
      <c r="D368" s="42">
        <v>0</v>
      </c>
      <c r="E368" s="42">
        <v>0</v>
      </c>
      <c r="F368" s="42">
        <v>0.99649388933003125</v>
      </c>
      <c r="G368">
        <v>3.5061106699687322E-3</v>
      </c>
    </row>
    <row r="369" spans="3:7" x14ac:dyDescent="0.15">
      <c r="C369" s="43" t="s">
        <v>686</v>
      </c>
      <c r="D369" s="42">
        <v>0</v>
      </c>
      <c r="E369" s="42">
        <v>0</v>
      </c>
      <c r="F369" s="42">
        <v>0.91832694939117099</v>
      </c>
      <c r="G369">
        <v>8.1673050608828984E-2</v>
      </c>
    </row>
    <row r="370" spans="3:7" x14ac:dyDescent="0.15">
      <c r="C370" s="43" t="s">
        <v>687</v>
      </c>
      <c r="D370" s="42">
        <v>0</v>
      </c>
      <c r="E370" s="42">
        <v>0</v>
      </c>
      <c r="F370" s="42">
        <v>0.85182893194144427</v>
      </c>
      <c r="G370">
        <v>0.1481710680585557</v>
      </c>
    </row>
    <row r="371" spans="3:7" x14ac:dyDescent="0.15">
      <c r="C371" s="43" t="s">
        <v>688</v>
      </c>
      <c r="D371" s="42">
        <v>0</v>
      </c>
      <c r="E371" s="42">
        <v>0</v>
      </c>
      <c r="F371" s="42">
        <v>0.99820390488876354</v>
      </c>
      <c r="G371">
        <v>1.7960951112363805E-3</v>
      </c>
    </row>
    <row r="372" spans="3:7" x14ac:dyDescent="0.15">
      <c r="C372" s="43" t="s">
        <v>689</v>
      </c>
      <c r="D372" s="42">
        <v>0</v>
      </c>
      <c r="E372" s="42">
        <v>0</v>
      </c>
      <c r="F372" s="42">
        <v>0.99993777070121137</v>
      </c>
      <c r="G372">
        <v>6.2229298788604173E-5</v>
      </c>
    </row>
    <row r="373" spans="3:7" x14ac:dyDescent="0.15">
      <c r="C373" s="43" t="s">
        <v>690</v>
      </c>
      <c r="D373" s="42">
        <v>0</v>
      </c>
      <c r="E373" s="42">
        <v>0</v>
      </c>
      <c r="F373" s="42">
        <v>0.71604944816313987</v>
      </c>
      <c r="G373">
        <v>0.28395055183686024</v>
      </c>
    </row>
    <row r="374" spans="3:7" x14ac:dyDescent="0.15">
      <c r="C374" s="43" t="s">
        <v>691</v>
      </c>
      <c r="D374" s="42">
        <v>0</v>
      </c>
      <c r="E374" s="42">
        <v>0</v>
      </c>
      <c r="F374" s="42">
        <v>0.99378566035785798</v>
      </c>
      <c r="G374">
        <v>6.214339642141898E-3</v>
      </c>
    </row>
    <row r="375" spans="3:7" x14ac:dyDescent="0.15">
      <c r="C375" s="43" t="s">
        <v>692</v>
      </c>
      <c r="D375" s="42">
        <v>0</v>
      </c>
      <c r="E375" s="42">
        <v>0</v>
      </c>
      <c r="F375" s="42">
        <v>0.99914565003519606</v>
      </c>
      <c r="G375">
        <v>8.5434996480378072E-4</v>
      </c>
    </row>
    <row r="376" spans="3:7" x14ac:dyDescent="0.15">
      <c r="C376" s="43" t="s">
        <v>693</v>
      </c>
      <c r="D376" s="42">
        <v>0</v>
      </c>
      <c r="E376" s="42">
        <v>0</v>
      </c>
      <c r="F376" s="42">
        <v>0.99605212457917836</v>
      </c>
      <c r="G376">
        <v>3.9478754208217229E-3</v>
      </c>
    </row>
    <row r="377" spans="3:7" x14ac:dyDescent="0.15">
      <c r="C377" s="43" t="s">
        <v>694</v>
      </c>
      <c r="D377" s="42">
        <v>0</v>
      </c>
      <c r="E377" s="42">
        <v>0</v>
      </c>
      <c r="F377" s="42">
        <v>0.81050302078205316</v>
      </c>
      <c r="G377">
        <v>0.18949697921794692</v>
      </c>
    </row>
    <row r="378" spans="3:7" x14ac:dyDescent="0.15">
      <c r="C378" s="43" t="s">
        <v>695</v>
      </c>
      <c r="D378" s="42">
        <v>0</v>
      </c>
      <c r="E378" s="42">
        <v>0</v>
      </c>
      <c r="F378" s="42">
        <v>0.97343836300614206</v>
      </c>
      <c r="G378">
        <v>2.6561636993857916E-2</v>
      </c>
    </row>
    <row r="379" spans="3:7" x14ac:dyDescent="0.15">
      <c r="C379" s="43" t="s">
        <v>696</v>
      </c>
      <c r="D379" s="42">
        <v>0</v>
      </c>
      <c r="E379" s="42">
        <v>0</v>
      </c>
      <c r="F379" s="42">
        <v>0.96318785313746158</v>
      </c>
      <c r="G379">
        <v>3.6812146862538302E-2</v>
      </c>
    </row>
    <row r="380" spans="3:7" x14ac:dyDescent="0.15">
      <c r="C380" s="43" t="s">
        <v>697</v>
      </c>
      <c r="D380" s="42">
        <v>0</v>
      </c>
      <c r="E380" s="42">
        <v>0</v>
      </c>
      <c r="F380" s="42">
        <v>0.96534361924523893</v>
      </c>
      <c r="G380">
        <v>3.4656380754761025E-2</v>
      </c>
    </row>
    <row r="381" spans="3:7" x14ac:dyDescent="0.15">
      <c r="C381" s="43" t="s">
        <v>698</v>
      </c>
      <c r="D381" s="42">
        <v>0</v>
      </c>
      <c r="E381" s="42">
        <v>0</v>
      </c>
      <c r="F381" s="42">
        <v>0.95547379522325582</v>
      </c>
      <c r="G381">
        <v>4.4526204776744245E-2</v>
      </c>
    </row>
    <row r="382" spans="3:7" x14ac:dyDescent="0.15">
      <c r="C382" s="61" t="s">
        <v>699</v>
      </c>
      <c r="D382" s="60">
        <v>0</v>
      </c>
      <c r="E382" s="60">
        <v>1</v>
      </c>
      <c r="F382" s="60">
        <v>0.22833222683126023</v>
      </c>
      <c r="G382" s="59">
        <v>0.77166777316873969</v>
      </c>
    </row>
    <row r="383" spans="3:7" x14ac:dyDescent="0.15">
      <c r="C383" s="43" t="s">
        <v>700</v>
      </c>
      <c r="D383" s="42">
        <v>0</v>
      </c>
      <c r="E383" s="42">
        <v>0</v>
      </c>
      <c r="F383" s="42">
        <v>0.73089193532043739</v>
      </c>
      <c r="G383">
        <v>0.26910806467956261</v>
      </c>
    </row>
    <row r="384" spans="3:7" x14ac:dyDescent="0.15">
      <c r="C384" s="43" t="s">
        <v>701</v>
      </c>
      <c r="D384" s="42">
        <v>0</v>
      </c>
      <c r="E384" s="42">
        <v>0</v>
      </c>
      <c r="F384" s="42">
        <v>0.98840598140750302</v>
      </c>
      <c r="G384">
        <v>1.1594018592497014E-2</v>
      </c>
    </row>
    <row r="385" spans="3:7" x14ac:dyDescent="0.15">
      <c r="C385" s="43" t="s">
        <v>702</v>
      </c>
      <c r="D385" s="42">
        <v>0</v>
      </c>
      <c r="E385" s="42">
        <v>0</v>
      </c>
      <c r="F385" s="42">
        <v>0.99584251291666115</v>
      </c>
      <c r="G385">
        <v>4.1574870833388901E-3</v>
      </c>
    </row>
    <row r="386" spans="3:7" x14ac:dyDescent="0.15">
      <c r="C386" s="43" t="s">
        <v>703</v>
      </c>
      <c r="D386" s="42">
        <v>0</v>
      </c>
      <c r="E386" s="42">
        <v>0</v>
      </c>
      <c r="F386" s="42">
        <v>0.99343178649260955</v>
      </c>
      <c r="G386">
        <v>6.5682135073904108E-3</v>
      </c>
    </row>
    <row r="387" spans="3:7" x14ac:dyDescent="0.15">
      <c r="C387" s="43" t="s">
        <v>704</v>
      </c>
      <c r="D387" s="42">
        <v>0</v>
      </c>
      <c r="E387" s="42">
        <v>0</v>
      </c>
      <c r="F387" s="42">
        <v>0.98908269794128056</v>
      </c>
      <c r="G387">
        <v>1.0917302058719398E-2</v>
      </c>
    </row>
    <row r="388" spans="3:7" x14ac:dyDescent="0.15">
      <c r="C388" s="43" t="s">
        <v>705</v>
      </c>
      <c r="D388" s="42">
        <v>0</v>
      </c>
      <c r="E388" s="42">
        <v>0</v>
      </c>
      <c r="F388" s="42">
        <v>0.99185460106876933</v>
      </c>
      <c r="G388">
        <v>8.1453989312306446E-3</v>
      </c>
    </row>
    <row r="389" spans="3:7" x14ac:dyDescent="0.15">
      <c r="C389" s="43" t="s">
        <v>706</v>
      </c>
      <c r="D389" s="42">
        <v>0</v>
      </c>
      <c r="E389" s="42">
        <v>0</v>
      </c>
      <c r="F389" s="42">
        <v>0.99979511277658173</v>
      </c>
      <c r="G389">
        <v>2.0488722341831754E-4</v>
      </c>
    </row>
    <row r="390" spans="3:7" x14ac:dyDescent="0.15">
      <c r="C390" s="43" t="s">
        <v>707</v>
      </c>
      <c r="D390" s="42">
        <v>1</v>
      </c>
      <c r="E390" s="42">
        <v>1</v>
      </c>
      <c r="F390" s="42">
        <v>0.20866107169115636</v>
      </c>
      <c r="G390">
        <v>0.79133892830884367</v>
      </c>
    </row>
    <row r="391" spans="3:7" x14ac:dyDescent="0.15">
      <c r="C391" s="43" t="s">
        <v>708</v>
      </c>
      <c r="D391" s="42">
        <v>0</v>
      </c>
      <c r="E391" s="42">
        <v>0</v>
      </c>
      <c r="F391" s="42">
        <v>0.68290381034633107</v>
      </c>
      <c r="G391">
        <v>0.31709618965366893</v>
      </c>
    </row>
    <row r="392" spans="3:7" x14ac:dyDescent="0.15">
      <c r="C392" s="61" t="s">
        <v>709</v>
      </c>
      <c r="D392" s="60">
        <v>0</v>
      </c>
      <c r="E392" s="60">
        <v>1</v>
      </c>
      <c r="F392" s="60">
        <v>0.36361873509747833</v>
      </c>
      <c r="G392" s="59">
        <v>0.63638126490252178</v>
      </c>
    </row>
    <row r="393" spans="3:7" x14ac:dyDescent="0.15">
      <c r="C393" s="43" t="s">
        <v>710</v>
      </c>
      <c r="D393" s="42">
        <v>0</v>
      </c>
      <c r="E393" s="42">
        <v>0</v>
      </c>
      <c r="F393" s="42">
        <v>0.71426124701322935</v>
      </c>
      <c r="G393">
        <v>0.28573875298677059</v>
      </c>
    </row>
    <row r="394" spans="3:7" x14ac:dyDescent="0.15">
      <c r="C394" s="43" t="s">
        <v>711</v>
      </c>
      <c r="D394" s="42">
        <v>1</v>
      </c>
      <c r="E394" s="42">
        <v>1</v>
      </c>
      <c r="F394" s="42">
        <v>6.623822352937318E-3</v>
      </c>
      <c r="G394">
        <v>0.99337617764706265</v>
      </c>
    </row>
    <row r="395" spans="3:7" x14ac:dyDescent="0.15">
      <c r="C395" s="43" t="s">
        <v>712</v>
      </c>
      <c r="D395" s="42">
        <v>0</v>
      </c>
      <c r="E395" s="42">
        <v>0</v>
      </c>
      <c r="F395" s="42">
        <v>0.81424161789144378</v>
      </c>
      <c r="G395">
        <v>0.1857583821085563</v>
      </c>
    </row>
    <row r="396" spans="3:7" x14ac:dyDescent="0.15">
      <c r="C396" s="43" t="s">
        <v>713</v>
      </c>
      <c r="D396" s="42">
        <v>0</v>
      </c>
      <c r="E396" s="42">
        <v>0</v>
      </c>
      <c r="F396" s="42">
        <v>0.99230567882977083</v>
      </c>
      <c r="G396">
        <v>7.6943211702290458E-3</v>
      </c>
    </row>
    <row r="397" spans="3:7" x14ac:dyDescent="0.15">
      <c r="C397" s="43" t="s">
        <v>714</v>
      </c>
      <c r="D397" s="42">
        <v>0</v>
      </c>
      <c r="E397" s="42">
        <v>0</v>
      </c>
      <c r="F397" s="42">
        <v>0.94686991952853772</v>
      </c>
      <c r="G397">
        <v>5.3130080471462324E-2</v>
      </c>
    </row>
    <row r="398" spans="3:7" x14ac:dyDescent="0.15">
      <c r="C398" s="43" t="s">
        <v>715</v>
      </c>
      <c r="D398" s="42">
        <v>0</v>
      </c>
      <c r="E398" s="42">
        <v>0</v>
      </c>
      <c r="F398" s="42">
        <v>0.95960984454154086</v>
      </c>
      <c r="G398">
        <v>4.0390155458459073E-2</v>
      </c>
    </row>
    <row r="399" spans="3:7" x14ac:dyDescent="0.15">
      <c r="C399" s="43" t="s">
        <v>716</v>
      </c>
      <c r="D399" s="42">
        <v>0</v>
      </c>
      <c r="E399" s="42">
        <v>0</v>
      </c>
      <c r="F399" s="42">
        <v>0.99828091700521471</v>
      </c>
      <c r="G399">
        <v>1.7190829947853075E-3</v>
      </c>
    </row>
    <row r="400" spans="3:7" x14ac:dyDescent="0.15">
      <c r="C400" s="43" t="s">
        <v>717</v>
      </c>
      <c r="D400" s="42">
        <v>0</v>
      </c>
      <c r="E400" s="42">
        <v>0</v>
      </c>
      <c r="F400" s="42">
        <v>0.9995970041590776</v>
      </c>
      <c r="G400">
        <v>4.029958409224389E-4</v>
      </c>
    </row>
    <row r="401" spans="3:7" x14ac:dyDescent="0.15">
      <c r="C401" s="43" t="s">
        <v>718</v>
      </c>
      <c r="D401" s="42">
        <v>0</v>
      </c>
      <c r="E401" s="42">
        <v>0</v>
      </c>
      <c r="F401" s="42">
        <v>0.56280385549149514</v>
      </c>
      <c r="G401">
        <v>0.43719614450850491</v>
      </c>
    </row>
    <row r="402" spans="3:7" x14ac:dyDescent="0.15">
      <c r="C402" s="43" t="s">
        <v>719</v>
      </c>
      <c r="D402" s="42">
        <v>0</v>
      </c>
      <c r="E402" s="42">
        <v>0</v>
      </c>
      <c r="F402" s="42">
        <v>0.92459269331415816</v>
      </c>
      <c r="G402">
        <v>7.540730668584196E-2</v>
      </c>
    </row>
    <row r="403" spans="3:7" x14ac:dyDescent="0.15">
      <c r="C403" s="43" t="s">
        <v>720</v>
      </c>
      <c r="D403" s="42">
        <v>0</v>
      </c>
      <c r="E403" s="42">
        <v>0</v>
      </c>
      <c r="F403" s="42">
        <v>0.99530667071354251</v>
      </c>
      <c r="G403">
        <v>4.6933292864576089E-3</v>
      </c>
    </row>
    <row r="404" spans="3:7" x14ac:dyDescent="0.15">
      <c r="C404" s="43" t="s">
        <v>721</v>
      </c>
      <c r="D404" s="42">
        <v>0</v>
      </c>
      <c r="E404" s="42">
        <v>0</v>
      </c>
      <c r="F404" s="42">
        <v>0.9808936553541322</v>
      </c>
      <c r="G404">
        <v>1.910634464586769E-2</v>
      </c>
    </row>
    <row r="405" spans="3:7" x14ac:dyDescent="0.15">
      <c r="C405" s="43" t="s">
        <v>722</v>
      </c>
      <c r="D405" s="42">
        <v>0</v>
      </c>
      <c r="E405" s="42">
        <v>0</v>
      </c>
      <c r="F405" s="42">
        <v>0.99822475237888264</v>
      </c>
      <c r="G405">
        <v>1.775247621117422E-3</v>
      </c>
    </row>
    <row r="406" spans="3:7" x14ac:dyDescent="0.15">
      <c r="C406" s="43" t="s">
        <v>723</v>
      </c>
      <c r="D406" s="42">
        <v>0</v>
      </c>
      <c r="E406" s="42">
        <v>0</v>
      </c>
      <c r="F406" s="42">
        <v>0.97975261460685859</v>
      </c>
      <c r="G406">
        <v>2.0247385393141339E-2</v>
      </c>
    </row>
    <row r="407" spans="3:7" x14ac:dyDescent="0.15">
      <c r="C407" s="61" t="s">
        <v>724</v>
      </c>
      <c r="D407" s="60">
        <v>0</v>
      </c>
      <c r="E407" s="60">
        <v>1</v>
      </c>
      <c r="F407" s="60">
        <v>0.36042699703376502</v>
      </c>
      <c r="G407" s="59">
        <v>0.63957300296623498</v>
      </c>
    </row>
    <row r="408" spans="3:7" x14ac:dyDescent="0.15">
      <c r="C408" s="43" t="s">
        <v>725</v>
      </c>
      <c r="D408" s="42">
        <v>0</v>
      </c>
      <c r="E408" s="42">
        <v>0</v>
      </c>
      <c r="F408" s="42">
        <v>0.83460714013195536</v>
      </c>
      <c r="G408">
        <v>0.16539285986804475</v>
      </c>
    </row>
    <row r="409" spans="3:7" x14ac:dyDescent="0.15">
      <c r="C409" s="43" t="s">
        <v>726</v>
      </c>
      <c r="D409" s="42">
        <v>0</v>
      </c>
      <c r="E409" s="42">
        <v>0</v>
      </c>
      <c r="F409" s="42">
        <v>0.56934705205030312</v>
      </c>
      <c r="G409">
        <v>0.430652947949697</v>
      </c>
    </row>
    <row r="410" spans="3:7" x14ac:dyDescent="0.15">
      <c r="C410" s="43" t="s">
        <v>727</v>
      </c>
      <c r="D410" s="42">
        <v>1</v>
      </c>
      <c r="E410" s="42">
        <v>1</v>
      </c>
      <c r="F410" s="42">
        <v>9.543727685707994E-3</v>
      </c>
      <c r="G410">
        <v>0.99045627231429201</v>
      </c>
    </row>
    <row r="411" spans="3:7" x14ac:dyDescent="0.15">
      <c r="C411" s="43" t="s">
        <v>728</v>
      </c>
      <c r="D411" s="42">
        <v>1</v>
      </c>
      <c r="E411" s="42">
        <v>1</v>
      </c>
      <c r="F411" s="42">
        <v>9.7659461533661437E-2</v>
      </c>
      <c r="G411">
        <v>0.90234053846633866</v>
      </c>
    </row>
    <row r="412" spans="3:7" x14ac:dyDescent="0.15">
      <c r="C412" s="43" t="s">
        <v>729</v>
      </c>
      <c r="D412" s="42">
        <v>1</v>
      </c>
      <c r="E412" s="42">
        <v>1</v>
      </c>
      <c r="F412" s="42">
        <v>0.27196794983953887</v>
      </c>
      <c r="G412">
        <v>0.72803205016046113</v>
      </c>
    </row>
    <row r="413" spans="3:7" x14ac:dyDescent="0.15">
      <c r="C413" s="43" t="s">
        <v>730</v>
      </c>
      <c r="D413" s="42">
        <v>0</v>
      </c>
      <c r="E413" s="42">
        <v>0</v>
      </c>
      <c r="F413" s="42">
        <v>0.98297462914668121</v>
      </c>
      <c r="G413">
        <v>1.7025370853318685E-2</v>
      </c>
    </row>
    <row r="414" spans="3:7" x14ac:dyDescent="0.15">
      <c r="C414" s="43" t="s">
        <v>731</v>
      </c>
      <c r="D414" s="42">
        <v>0</v>
      </c>
      <c r="E414" s="42">
        <v>0</v>
      </c>
      <c r="F414" s="42">
        <v>0.94860021130559857</v>
      </c>
      <c r="G414">
        <v>5.1399788694401392E-2</v>
      </c>
    </row>
    <row r="415" spans="3:7" x14ac:dyDescent="0.15">
      <c r="C415" s="43" t="s">
        <v>732</v>
      </c>
      <c r="D415" s="42">
        <v>1</v>
      </c>
      <c r="E415" s="42">
        <v>1</v>
      </c>
      <c r="F415" s="42">
        <v>1.2562489747493546E-2</v>
      </c>
      <c r="G415">
        <v>0.98743751025250648</v>
      </c>
    </row>
    <row r="416" spans="3:7" x14ac:dyDescent="0.15">
      <c r="C416" s="61" t="s">
        <v>733</v>
      </c>
      <c r="D416" s="60">
        <v>0</v>
      </c>
      <c r="E416" s="60">
        <v>1</v>
      </c>
      <c r="F416" s="60">
        <v>0.36967403115924524</v>
      </c>
      <c r="G416" s="59">
        <v>0.63032596884075487</v>
      </c>
    </row>
    <row r="417" spans="3:7" x14ac:dyDescent="0.15">
      <c r="C417" s="61" t="s">
        <v>734</v>
      </c>
      <c r="D417" s="60">
        <v>0</v>
      </c>
      <c r="E417" s="60">
        <v>1</v>
      </c>
      <c r="F417" s="60">
        <v>2.205923264288848E-2</v>
      </c>
      <c r="G417" s="59">
        <v>0.97794076735711166</v>
      </c>
    </row>
    <row r="418" spans="3:7" x14ac:dyDescent="0.15">
      <c r="C418" s="43" t="s">
        <v>735</v>
      </c>
      <c r="D418" s="42">
        <v>0</v>
      </c>
      <c r="E418" s="42">
        <v>0</v>
      </c>
      <c r="F418" s="42">
        <v>0.98794263775591962</v>
      </c>
      <c r="G418">
        <v>1.2057362244080466E-2</v>
      </c>
    </row>
    <row r="419" spans="3:7" x14ac:dyDescent="0.15">
      <c r="C419" s="43" t="s">
        <v>736</v>
      </c>
      <c r="D419" s="42">
        <v>0</v>
      </c>
      <c r="E419" s="42">
        <v>0</v>
      </c>
      <c r="F419" s="42">
        <v>0.81401686895300462</v>
      </c>
      <c r="G419">
        <v>0.18598313104699538</v>
      </c>
    </row>
    <row r="420" spans="3:7" x14ac:dyDescent="0.15">
      <c r="C420" s="43" t="s">
        <v>737</v>
      </c>
      <c r="D420" s="42">
        <v>0</v>
      </c>
      <c r="E420" s="42">
        <v>0</v>
      </c>
      <c r="F420" s="42">
        <v>0.92898492575175817</v>
      </c>
      <c r="G420">
        <v>7.1015074248241855E-2</v>
      </c>
    </row>
    <row r="421" spans="3:7" x14ac:dyDescent="0.15">
      <c r="C421" s="61" t="s">
        <v>738</v>
      </c>
      <c r="D421" s="60">
        <v>0</v>
      </c>
      <c r="E421" s="60">
        <v>1</v>
      </c>
      <c r="F421" s="60">
        <v>8.7771277104640597E-2</v>
      </c>
      <c r="G421" s="59">
        <v>0.91222872289535939</v>
      </c>
    </row>
    <row r="422" spans="3:7" x14ac:dyDescent="0.15">
      <c r="C422" s="43" t="s">
        <v>739</v>
      </c>
      <c r="D422" s="42">
        <v>0</v>
      </c>
      <c r="E422" s="42">
        <v>0</v>
      </c>
      <c r="F422" s="42">
        <v>0.80029499923317393</v>
      </c>
      <c r="G422">
        <v>0.1997050007668261</v>
      </c>
    </row>
    <row r="423" spans="3:7" x14ac:dyDescent="0.15">
      <c r="C423" s="43" t="s">
        <v>740</v>
      </c>
      <c r="D423" s="42">
        <v>0</v>
      </c>
      <c r="E423" s="42">
        <v>0</v>
      </c>
      <c r="F423" s="42">
        <v>0.93181235707825438</v>
      </c>
      <c r="G423">
        <v>6.8187642921745589E-2</v>
      </c>
    </row>
    <row r="424" spans="3:7" x14ac:dyDescent="0.15">
      <c r="C424" s="43" t="s">
        <v>741</v>
      </c>
      <c r="D424" s="42">
        <v>0</v>
      </c>
      <c r="E424" s="42">
        <v>0</v>
      </c>
      <c r="F424" s="42">
        <v>0.98922913767032039</v>
      </c>
      <c r="G424">
        <v>1.0770862329679566E-2</v>
      </c>
    </row>
    <row r="425" spans="3:7" x14ac:dyDescent="0.15">
      <c r="C425" s="43" t="s">
        <v>742</v>
      </c>
      <c r="D425" s="42">
        <v>0</v>
      </c>
      <c r="E425" s="42">
        <v>0</v>
      </c>
      <c r="F425" s="42">
        <v>0.99861120872278331</v>
      </c>
      <c r="G425">
        <v>1.3887912772167403E-3</v>
      </c>
    </row>
    <row r="426" spans="3:7" x14ac:dyDescent="0.15">
      <c r="C426" s="43" t="s">
        <v>743</v>
      </c>
      <c r="D426" s="42">
        <v>0</v>
      </c>
      <c r="E426" s="42">
        <v>0</v>
      </c>
      <c r="F426" s="42">
        <v>0.69535558597580471</v>
      </c>
      <c r="G426">
        <v>0.30464441402419529</v>
      </c>
    </row>
    <row r="427" spans="3:7" x14ac:dyDescent="0.15">
      <c r="C427" s="43" t="s">
        <v>744</v>
      </c>
      <c r="D427" s="42">
        <v>1</v>
      </c>
      <c r="E427" s="42">
        <v>1</v>
      </c>
      <c r="F427" s="42">
        <v>1.3837121720860928E-3</v>
      </c>
      <c r="G427">
        <v>0.99861628782791378</v>
      </c>
    </row>
    <row r="428" spans="3:7" x14ac:dyDescent="0.15">
      <c r="C428" s="43" t="s">
        <v>745</v>
      </c>
      <c r="D428" s="42">
        <v>0</v>
      </c>
      <c r="E428" s="42">
        <v>0</v>
      </c>
      <c r="F428" s="42">
        <v>0.94689452920999717</v>
      </c>
      <c r="G428">
        <v>5.3105470790002919E-2</v>
      </c>
    </row>
    <row r="429" spans="3:7" x14ac:dyDescent="0.15">
      <c r="C429" s="43" t="s">
        <v>746</v>
      </c>
      <c r="D429" s="42">
        <v>0</v>
      </c>
      <c r="E429" s="42">
        <v>0</v>
      </c>
      <c r="F429" s="42">
        <v>0.87381955717047644</v>
      </c>
      <c r="G429">
        <v>0.12618044282952356</v>
      </c>
    </row>
    <row r="430" spans="3:7" x14ac:dyDescent="0.15">
      <c r="C430" s="43" t="s">
        <v>747</v>
      </c>
      <c r="D430" s="42">
        <v>0</v>
      </c>
      <c r="E430" s="42">
        <v>0</v>
      </c>
      <c r="F430" s="42">
        <v>0.95844912224444012</v>
      </c>
      <c r="G430">
        <v>4.1550877755559927E-2</v>
      </c>
    </row>
    <row r="431" spans="3:7" x14ac:dyDescent="0.15">
      <c r="C431" s="43" t="s">
        <v>748</v>
      </c>
      <c r="D431" s="42">
        <v>0</v>
      </c>
      <c r="E431" s="42">
        <v>0</v>
      </c>
      <c r="F431" s="42">
        <v>0.9970866368455199</v>
      </c>
      <c r="G431">
        <v>2.9133631544800919E-3</v>
      </c>
    </row>
    <row r="432" spans="3:7" x14ac:dyDescent="0.15">
      <c r="C432" s="43" t="s">
        <v>749</v>
      </c>
      <c r="D432" s="42">
        <v>0</v>
      </c>
      <c r="E432" s="42">
        <v>0</v>
      </c>
      <c r="F432" s="42">
        <v>0.99519568489961518</v>
      </c>
      <c r="G432">
        <v>4.804315100384841E-3</v>
      </c>
    </row>
    <row r="433" spans="3:7" x14ac:dyDescent="0.15">
      <c r="C433" s="61" t="s">
        <v>750</v>
      </c>
      <c r="D433" s="60">
        <v>0</v>
      </c>
      <c r="E433" s="60">
        <v>1</v>
      </c>
      <c r="F433" s="60">
        <v>0.17891571523077535</v>
      </c>
      <c r="G433" s="59">
        <v>0.82108428476922468</v>
      </c>
    </row>
    <row r="434" spans="3:7" x14ac:dyDescent="0.15">
      <c r="C434" s="43" t="s">
        <v>751</v>
      </c>
      <c r="D434" s="42">
        <v>0</v>
      </c>
      <c r="E434" s="42">
        <v>0</v>
      </c>
      <c r="F434" s="42">
        <v>0.99985680040463876</v>
      </c>
      <c r="G434">
        <v>1.431995953612733E-4</v>
      </c>
    </row>
    <row r="435" spans="3:7" x14ac:dyDescent="0.15">
      <c r="C435" s="43" t="s">
        <v>752</v>
      </c>
      <c r="D435" s="42">
        <v>0</v>
      </c>
      <c r="E435" s="42">
        <v>0</v>
      </c>
      <c r="F435" s="42">
        <v>0.97425519483900869</v>
      </c>
      <c r="G435">
        <v>2.5744805160991341E-2</v>
      </c>
    </row>
    <row r="436" spans="3:7" x14ac:dyDescent="0.15">
      <c r="C436" s="43" t="s">
        <v>753</v>
      </c>
      <c r="D436" s="42">
        <v>0</v>
      </c>
      <c r="E436" s="42">
        <v>0</v>
      </c>
      <c r="F436" s="42">
        <v>0.92922374618722847</v>
      </c>
      <c r="G436">
        <v>7.07762538127715E-2</v>
      </c>
    </row>
    <row r="437" spans="3:7" x14ac:dyDescent="0.15">
      <c r="C437" s="43" t="s">
        <v>754</v>
      </c>
      <c r="D437" s="42">
        <v>0</v>
      </c>
      <c r="E437" s="42">
        <v>0</v>
      </c>
      <c r="F437" s="42">
        <v>0.98734031032392089</v>
      </c>
      <c r="G437">
        <v>1.2659689676079132E-2</v>
      </c>
    </row>
    <row r="438" spans="3:7" x14ac:dyDescent="0.15">
      <c r="C438" s="43" t="s">
        <v>755</v>
      </c>
      <c r="D438" s="42">
        <v>0</v>
      </c>
      <c r="E438" s="42">
        <v>0</v>
      </c>
      <c r="F438" s="42">
        <v>0.97275886302003944</v>
      </c>
      <c r="G438">
        <v>2.7241136979960678E-2</v>
      </c>
    </row>
    <row r="439" spans="3:7" x14ac:dyDescent="0.15">
      <c r="C439" s="43" t="s">
        <v>756</v>
      </c>
      <c r="D439" s="42">
        <v>0</v>
      </c>
      <c r="E439" s="42">
        <v>0</v>
      </c>
      <c r="F439" s="42">
        <v>0.99722254861333592</v>
      </c>
      <c r="G439">
        <v>2.7774513866640456E-3</v>
      </c>
    </row>
    <row r="440" spans="3:7" x14ac:dyDescent="0.15">
      <c r="C440" s="43" t="s">
        <v>757</v>
      </c>
      <c r="D440" s="42">
        <v>0</v>
      </c>
      <c r="E440" s="42">
        <v>0</v>
      </c>
      <c r="F440" s="42">
        <v>0.99409448710258042</v>
      </c>
      <c r="G440">
        <v>5.9055128974196004E-3</v>
      </c>
    </row>
    <row r="441" spans="3:7" x14ac:dyDescent="0.15">
      <c r="C441" s="43" t="s">
        <v>758</v>
      </c>
      <c r="D441" s="42">
        <v>0</v>
      </c>
      <c r="E441" s="42">
        <v>0</v>
      </c>
      <c r="F441" s="42">
        <v>0.69356771312999521</v>
      </c>
      <c r="G441">
        <v>0.30643228687000473</v>
      </c>
    </row>
    <row r="442" spans="3:7" x14ac:dyDescent="0.15">
      <c r="C442" s="43" t="s">
        <v>759</v>
      </c>
      <c r="D442" s="42">
        <v>0</v>
      </c>
      <c r="E442" s="42">
        <v>0</v>
      </c>
      <c r="F442" s="42">
        <v>0.97196499900206768</v>
      </c>
      <c r="G442">
        <v>2.8035000997932324E-2</v>
      </c>
    </row>
    <row r="443" spans="3:7" x14ac:dyDescent="0.15">
      <c r="C443" s="43" t="s">
        <v>760</v>
      </c>
      <c r="D443" s="42">
        <v>0</v>
      </c>
      <c r="E443" s="42">
        <v>0</v>
      </c>
      <c r="F443" s="42">
        <v>0.99647646083432018</v>
      </c>
      <c r="G443">
        <v>3.5235391656799268E-3</v>
      </c>
    </row>
    <row r="444" spans="3:7" x14ac:dyDescent="0.15">
      <c r="C444" s="43" t="s">
        <v>761</v>
      </c>
      <c r="D444" s="42">
        <v>0</v>
      </c>
      <c r="E444" s="42">
        <v>0</v>
      </c>
      <c r="F444" s="42">
        <v>0.89436944684143771</v>
      </c>
      <c r="G444">
        <v>0.10563055315856235</v>
      </c>
    </row>
    <row r="445" spans="3:7" x14ac:dyDescent="0.15">
      <c r="C445" s="43" t="s">
        <v>762</v>
      </c>
      <c r="D445" s="42">
        <v>1</v>
      </c>
      <c r="E445" s="42">
        <v>1</v>
      </c>
      <c r="F445" s="42">
        <v>1.9910860668816391E-3</v>
      </c>
      <c r="G445">
        <v>0.9980089139331183</v>
      </c>
    </row>
    <row r="446" spans="3:7" x14ac:dyDescent="0.15">
      <c r="C446" s="43" t="s">
        <v>763</v>
      </c>
      <c r="D446" s="42">
        <v>0</v>
      </c>
      <c r="E446" s="42">
        <v>0</v>
      </c>
      <c r="F446" s="42">
        <v>0.85685231734606115</v>
      </c>
      <c r="G446">
        <v>0.1431476826539389</v>
      </c>
    </row>
    <row r="447" spans="3:7" x14ac:dyDescent="0.15">
      <c r="C447" s="43" t="s">
        <v>764</v>
      </c>
      <c r="D447" s="42">
        <v>0</v>
      </c>
      <c r="E447" s="42">
        <v>0</v>
      </c>
      <c r="F447" s="42">
        <v>0.99279190835124975</v>
      </c>
      <c r="G447">
        <v>7.208091648750253E-3</v>
      </c>
    </row>
    <row r="448" spans="3:7" x14ac:dyDescent="0.15">
      <c r="C448" s="43" t="s">
        <v>765</v>
      </c>
      <c r="D448" s="42">
        <v>0</v>
      </c>
      <c r="E448" s="42">
        <v>0</v>
      </c>
      <c r="F448" s="42">
        <v>0.98826026769468234</v>
      </c>
      <c r="G448">
        <v>1.1739732305317706E-2</v>
      </c>
    </row>
    <row r="449" spans="3:7" x14ac:dyDescent="0.15">
      <c r="C449" s="43" t="s">
        <v>766</v>
      </c>
      <c r="D449" s="42">
        <v>0</v>
      </c>
      <c r="E449" s="42">
        <v>0</v>
      </c>
      <c r="F449" s="42">
        <v>0.97130865124942156</v>
      </c>
      <c r="G449">
        <v>2.8691348750578535E-2</v>
      </c>
    </row>
    <row r="450" spans="3:7" x14ac:dyDescent="0.15">
      <c r="C450" s="43" t="s">
        <v>767</v>
      </c>
      <c r="D450" s="42">
        <v>0</v>
      </c>
      <c r="E450" s="42">
        <v>0</v>
      </c>
      <c r="F450" s="42">
        <v>0.99161770495877766</v>
      </c>
      <c r="G450">
        <v>8.38229504122231E-3</v>
      </c>
    </row>
    <row r="451" spans="3:7" x14ac:dyDescent="0.15">
      <c r="C451" s="43" t="s">
        <v>768</v>
      </c>
      <c r="D451" s="42">
        <v>0</v>
      </c>
      <c r="E451" s="42">
        <v>0</v>
      </c>
      <c r="F451" s="42">
        <v>0.99596037267075332</v>
      </c>
      <c r="G451">
        <v>4.0396273292466868E-3</v>
      </c>
    </row>
    <row r="452" spans="3:7" x14ac:dyDescent="0.15">
      <c r="C452" s="61" t="s">
        <v>769</v>
      </c>
      <c r="D452" s="60">
        <v>0</v>
      </c>
      <c r="E452" s="60">
        <v>1</v>
      </c>
      <c r="F452" s="60">
        <v>0.47031411695331243</v>
      </c>
      <c r="G452" s="59">
        <v>0.52968588304668751</v>
      </c>
    </row>
    <row r="453" spans="3:7" x14ac:dyDescent="0.15">
      <c r="C453" s="43" t="s">
        <v>770</v>
      </c>
      <c r="D453" s="42">
        <v>0</v>
      </c>
      <c r="E453" s="42">
        <v>0</v>
      </c>
      <c r="F453" s="42">
        <v>0.96784747752331568</v>
      </c>
      <c r="G453">
        <v>3.2152522476684237E-2</v>
      </c>
    </row>
    <row r="454" spans="3:7" x14ac:dyDescent="0.15">
      <c r="C454" s="43" t="s">
        <v>771</v>
      </c>
      <c r="D454" s="42">
        <v>0</v>
      </c>
      <c r="E454" s="42">
        <v>0</v>
      </c>
      <c r="F454" s="42">
        <v>0.99917386323886603</v>
      </c>
      <c r="G454">
        <v>8.2613676113397973E-4</v>
      </c>
    </row>
    <row r="455" spans="3:7" x14ac:dyDescent="0.15">
      <c r="C455" s="43" t="s">
        <v>772</v>
      </c>
      <c r="D455" s="42">
        <v>0</v>
      </c>
      <c r="E455" s="42">
        <v>0</v>
      </c>
      <c r="F455" s="42">
        <v>0.99623048961070759</v>
      </c>
      <c r="G455">
        <v>3.769510389292519E-3</v>
      </c>
    </row>
    <row r="456" spans="3:7" x14ac:dyDescent="0.15">
      <c r="C456" s="43" t="s">
        <v>773</v>
      </c>
      <c r="D456" s="42">
        <v>1</v>
      </c>
      <c r="E456" s="42">
        <v>1</v>
      </c>
      <c r="F456" s="42">
        <v>3.5602202408599399E-3</v>
      </c>
      <c r="G456">
        <v>0.99643977975914</v>
      </c>
    </row>
    <row r="457" spans="3:7" x14ac:dyDescent="0.15">
      <c r="C457" s="43" t="s">
        <v>774</v>
      </c>
      <c r="D457" s="42">
        <v>0</v>
      </c>
      <c r="E457" s="42">
        <v>0</v>
      </c>
      <c r="F457" s="42">
        <v>0.99986837114062466</v>
      </c>
      <c r="G457">
        <v>1.3162885937534571E-4</v>
      </c>
    </row>
    <row r="458" spans="3:7" x14ac:dyDescent="0.15">
      <c r="C458" s="43" t="s">
        <v>775</v>
      </c>
      <c r="D458" s="42">
        <v>0</v>
      </c>
      <c r="E458" s="42">
        <v>0</v>
      </c>
      <c r="F458" s="42">
        <v>0.85492920020139274</v>
      </c>
      <c r="G458">
        <v>0.14507079979860729</v>
      </c>
    </row>
    <row r="459" spans="3:7" x14ac:dyDescent="0.15">
      <c r="C459" s="43" t="s">
        <v>776</v>
      </c>
      <c r="D459" s="42">
        <v>0</v>
      </c>
      <c r="E459" s="42">
        <v>0</v>
      </c>
      <c r="F459" s="42">
        <v>0.50678667993534043</v>
      </c>
      <c r="G459">
        <v>0.49321332006465946</v>
      </c>
    </row>
    <row r="460" spans="3:7" x14ac:dyDescent="0.15">
      <c r="C460" s="43" t="s">
        <v>777</v>
      </c>
      <c r="D460" s="42">
        <v>0</v>
      </c>
      <c r="E460" s="42">
        <v>0</v>
      </c>
      <c r="F460" s="42">
        <v>0.99920304671354443</v>
      </c>
      <c r="G460">
        <v>7.9695328645551793E-4</v>
      </c>
    </row>
    <row r="461" spans="3:7" x14ac:dyDescent="0.15">
      <c r="C461" s="43" t="s">
        <v>778</v>
      </c>
      <c r="D461" s="42">
        <v>0</v>
      </c>
      <c r="E461" s="42">
        <v>0</v>
      </c>
      <c r="F461" s="42">
        <v>0.99732012261596192</v>
      </c>
      <c r="G461">
        <v>2.679877384038091E-3</v>
      </c>
    </row>
    <row r="462" spans="3:7" x14ac:dyDescent="0.15">
      <c r="C462" s="43" t="s">
        <v>779</v>
      </c>
      <c r="D462" s="42">
        <v>0</v>
      </c>
      <c r="E462" s="42">
        <v>0</v>
      </c>
      <c r="F462" s="42">
        <v>0.94440617647094993</v>
      </c>
      <c r="G462">
        <v>5.5593823529050193E-2</v>
      </c>
    </row>
    <row r="463" spans="3:7" x14ac:dyDescent="0.15">
      <c r="C463" s="43" t="s">
        <v>780</v>
      </c>
      <c r="D463" s="42">
        <v>1</v>
      </c>
      <c r="E463" s="42">
        <v>1</v>
      </c>
      <c r="F463" s="42">
        <v>0.16478847979488881</v>
      </c>
      <c r="G463">
        <v>0.83521152020511114</v>
      </c>
    </row>
    <row r="464" spans="3:7" x14ac:dyDescent="0.15">
      <c r="C464" s="43" t="s">
        <v>781</v>
      </c>
      <c r="D464" s="42">
        <v>0</v>
      </c>
      <c r="E464" s="42">
        <v>0</v>
      </c>
      <c r="F464" s="42">
        <v>0.98394409697470431</v>
      </c>
      <c r="G464">
        <v>1.6055903025295734E-2</v>
      </c>
    </row>
    <row r="465" spans="3:7" x14ac:dyDescent="0.15">
      <c r="C465" s="43" t="s">
        <v>782</v>
      </c>
      <c r="D465" s="42">
        <v>0</v>
      </c>
      <c r="E465" s="42">
        <v>0</v>
      </c>
      <c r="F465" s="42">
        <v>0.87253431759446909</v>
      </c>
      <c r="G465">
        <v>0.12746568240553088</v>
      </c>
    </row>
    <row r="466" spans="3:7" x14ac:dyDescent="0.15">
      <c r="C466" s="43" t="s">
        <v>783</v>
      </c>
      <c r="D466" s="42">
        <v>0</v>
      </c>
      <c r="E466" s="42">
        <v>0</v>
      </c>
      <c r="F466" s="42">
        <v>0.99925856469908714</v>
      </c>
      <c r="G466">
        <v>7.4143530091292471E-4</v>
      </c>
    </row>
    <row r="467" spans="3:7" x14ac:dyDescent="0.15">
      <c r="C467" s="43" t="s">
        <v>784</v>
      </c>
      <c r="D467" s="42">
        <v>0</v>
      </c>
      <c r="E467" s="42">
        <v>0</v>
      </c>
      <c r="F467" s="42">
        <v>0.94812692837882917</v>
      </c>
      <c r="G467">
        <v>5.1873071621170906E-2</v>
      </c>
    </row>
    <row r="468" spans="3:7" x14ac:dyDescent="0.15">
      <c r="C468" s="43" t="s">
        <v>785</v>
      </c>
      <c r="D468" s="42">
        <v>0</v>
      </c>
      <c r="E468" s="42">
        <v>0</v>
      </c>
      <c r="F468" s="42">
        <v>0.76765636296882234</v>
      </c>
      <c r="G468">
        <v>0.23234363703117766</v>
      </c>
    </row>
    <row r="469" spans="3:7" x14ac:dyDescent="0.15">
      <c r="C469" s="43" t="s">
        <v>786</v>
      </c>
      <c r="D469" s="42">
        <v>0</v>
      </c>
      <c r="E469" s="42">
        <v>0</v>
      </c>
      <c r="F469" s="42">
        <v>0.96667938350567628</v>
      </c>
      <c r="G469">
        <v>3.3320616494323718E-2</v>
      </c>
    </row>
    <row r="470" spans="3:7" x14ac:dyDescent="0.15">
      <c r="C470" s="43" t="s">
        <v>787</v>
      </c>
      <c r="D470" s="42">
        <v>0</v>
      </c>
      <c r="E470" s="42">
        <v>0</v>
      </c>
      <c r="F470" s="42">
        <v>0.88008982738093433</v>
      </c>
      <c r="G470">
        <v>0.11991017261906571</v>
      </c>
    </row>
    <row r="471" spans="3:7" x14ac:dyDescent="0.15">
      <c r="C471" s="43" t="s">
        <v>788</v>
      </c>
      <c r="D471" s="42">
        <v>0</v>
      </c>
      <c r="E471" s="42">
        <v>0</v>
      </c>
      <c r="F471" s="42">
        <v>0.96384690834668629</v>
      </c>
      <c r="G471">
        <v>3.6153091653313742E-2</v>
      </c>
    </row>
    <row r="472" spans="3:7" x14ac:dyDescent="0.15">
      <c r="C472" s="43" t="s">
        <v>789</v>
      </c>
      <c r="D472" s="42">
        <v>0</v>
      </c>
      <c r="E472" s="42">
        <v>0</v>
      </c>
      <c r="F472" s="42">
        <v>0.99484240170462213</v>
      </c>
      <c r="G472">
        <v>5.1575982953777928E-3</v>
      </c>
    </row>
    <row r="473" spans="3:7" x14ac:dyDescent="0.15">
      <c r="C473" s="43" t="s">
        <v>790</v>
      </c>
      <c r="D473" s="42">
        <v>0</v>
      </c>
      <c r="E473" s="42">
        <v>0</v>
      </c>
      <c r="F473" s="42">
        <v>0.54229276654558933</v>
      </c>
      <c r="G473">
        <v>0.45770723345441067</v>
      </c>
    </row>
    <row r="474" spans="3:7" x14ac:dyDescent="0.15">
      <c r="C474" s="61" t="s">
        <v>791</v>
      </c>
      <c r="D474" s="60">
        <v>0</v>
      </c>
      <c r="E474" s="60">
        <v>1</v>
      </c>
      <c r="F474" s="60">
        <v>0.10889475164620596</v>
      </c>
      <c r="G474" s="59">
        <v>0.89110524835379401</v>
      </c>
    </row>
    <row r="475" spans="3:7" x14ac:dyDescent="0.15">
      <c r="C475" s="43" t="s">
        <v>792</v>
      </c>
      <c r="D475" s="42">
        <v>0</v>
      </c>
      <c r="E475" s="42">
        <v>0</v>
      </c>
      <c r="F475" s="42">
        <v>0.9949113988594207</v>
      </c>
      <c r="G475">
        <v>5.088601140579351E-3</v>
      </c>
    </row>
    <row r="476" spans="3:7" x14ac:dyDescent="0.15">
      <c r="C476" s="43" t="s">
        <v>793</v>
      </c>
      <c r="D476" s="42">
        <v>0</v>
      </c>
      <c r="E476" s="42">
        <v>0</v>
      </c>
      <c r="F476" s="42">
        <v>0.58613394998477597</v>
      </c>
      <c r="G476">
        <v>0.41386605001522409</v>
      </c>
    </row>
    <row r="477" spans="3:7" x14ac:dyDescent="0.15">
      <c r="C477" s="43" t="s">
        <v>794</v>
      </c>
      <c r="D477" s="42">
        <v>0</v>
      </c>
      <c r="E477" s="42">
        <v>0</v>
      </c>
      <c r="F477" s="42">
        <v>0.99947707212155912</v>
      </c>
      <c r="G477">
        <v>5.2292787844094343E-4</v>
      </c>
    </row>
    <row r="478" spans="3:7" x14ac:dyDescent="0.15">
      <c r="C478" s="43" t="s">
        <v>795</v>
      </c>
      <c r="D478" s="42">
        <v>0</v>
      </c>
      <c r="E478" s="42">
        <v>0</v>
      </c>
      <c r="F478" s="42">
        <v>0.99909722239378529</v>
      </c>
      <c r="G478">
        <v>9.0277760621472328E-4</v>
      </c>
    </row>
    <row r="479" spans="3:7" x14ac:dyDescent="0.15">
      <c r="C479" s="43" t="s">
        <v>796</v>
      </c>
      <c r="D479" s="42">
        <v>1</v>
      </c>
      <c r="E479" s="42">
        <v>1</v>
      </c>
      <c r="F479" s="42">
        <v>1.3018327723632349E-3</v>
      </c>
      <c r="G479">
        <v>0.99869816722763682</v>
      </c>
    </row>
    <row r="480" spans="3:7" x14ac:dyDescent="0.15">
      <c r="C480" s="43" t="s">
        <v>797</v>
      </c>
      <c r="D480" s="42">
        <v>0</v>
      </c>
      <c r="E480" s="42">
        <v>0</v>
      </c>
      <c r="F480" s="42">
        <v>0.98023377129960254</v>
      </c>
      <c r="G480">
        <v>1.9766228700397567E-2</v>
      </c>
    </row>
    <row r="481" spans="3:7" x14ac:dyDescent="0.15">
      <c r="C481" s="43" t="s">
        <v>798</v>
      </c>
      <c r="D481" s="42">
        <v>0</v>
      </c>
      <c r="E481" s="42">
        <v>0</v>
      </c>
      <c r="F481" s="42">
        <v>0.75920259497426013</v>
      </c>
      <c r="G481">
        <v>0.24079740502573987</v>
      </c>
    </row>
    <row r="482" spans="3:7" x14ac:dyDescent="0.15">
      <c r="C482" s="43" t="s">
        <v>799</v>
      </c>
      <c r="D482" s="42">
        <v>0</v>
      </c>
      <c r="E482" s="42">
        <v>0</v>
      </c>
      <c r="F482" s="42">
        <v>0.92676658642658372</v>
      </c>
      <c r="G482">
        <v>7.3233413573416187E-2</v>
      </c>
    </row>
    <row r="483" spans="3:7" x14ac:dyDescent="0.15">
      <c r="C483" s="43" t="s">
        <v>800</v>
      </c>
      <c r="D483" s="42">
        <v>0</v>
      </c>
      <c r="E483" s="42">
        <v>0</v>
      </c>
      <c r="F483" s="42">
        <v>0.97916542549676644</v>
      </c>
      <c r="G483">
        <v>2.0834574503233491E-2</v>
      </c>
    </row>
    <row r="484" spans="3:7" x14ac:dyDescent="0.15">
      <c r="C484" s="43" t="s">
        <v>801</v>
      </c>
      <c r="D484" s="42">
        <v>0</v>
      </c>
      <c r="E484" s="42">
        <v>0</v>
      </c>
      <c r="F484" s="42">
        <v>0.50639327312498239</v>
      </c>
      <c r="G484">
        <v>0.49360672687501755</v>
      </c>
    </row>
    <row r="485" spans="3:7" x14ac:dyDescent="0.15">
      <c r="C485" s="43" t="s">
        <v>802</v>
      </c>
      <c r="D485" s="42">
        <v>0</v>
      </c>
      <c r="E485" s="42">
        <v>0</v>
      </c>
      <c r="F485" s="42">
        <v>0.97334228806714096</v>
      </c>
      <c r="G485">
        <v>2.6657711932859162E-2</v>
      </c>
    </row>
    <row r="486" spans="3:7" x14ac:dyDescent="0.15">
      <c r="C486" s="61" t="s">
        <v>803</v>
      </c>
      <c r="D486" s="60">
        <v>0</v>
      </c>
      <c r="E486" s="60">
        <v>1</v>
      </c>
      <c r="F486" s="60">
        <v>0.27536294936292083</v>
      </c>
      <c r="G486" s="59">
        <v>0.72463705063707917</v>
      </c>
    </row>
    <row r="487" spans="3:7" x14ac:dyDescent="0.15">
      <c r="C487" s="43" t="s">
        <v>804</v>
      </c>
      <c r="D487" s="42">
        <v>0</v>
      </c>
      <c r="E487" s="42">
        <v>0</v>
      </c>
      <c r="F487" s="42">
        <v>0.92541643226198889</v>
      </c>
      <c r="G487">
        <v>7.4583567738011128E-2</v>
      </c>
    </row>
    <row r="488" spans="3:7" x14ac:dyDescent="0.15">
      <c r="C488" s="43" t="s">
        <v>805</v>
      </c>
      <c r="D488" s="42">
        <v>0</v>
      </c>
      <c r="E488" s="42">
        <v>0</v>
      </c>
      <c r="F488" s="42">
        <v>0.97709515814741132</v>
      </c>
      <c r="G488">
        <v>2.2904841852588714E-2</v>
      </c>
    </row>
    <row r="489" spans="3:7" x14ac:dyDescent="0.15">
      <c r="C489" s="43" t="s">
        <v>806</v>
      </c>
      <c r="D489" s="42">
        <v>0</v>
      </c>
      <c r="E489" s="42">
        <v>0</v>
      </c>
      <c r="F489" s="42">
        <v>0.65912617117575567</v>
      </c>
      <c r="G489">
        <v>0.34087382882424433</v>
      </c>
    </row>
    <row r="490" spans="3:7" x14ac:dyDescent="0.15">
      <c r="C490" s="43" t="s">
        <v>807</v>
      </c>
      <c r="D490" s="42">
        <v>0</v>
      </c>
      <c r="E490" s="42">
        <v>0</v>
      </c>
      <c r="F490" s="42">
        <v>0.99819882168485219</v>
      </c>
      <c r="G490">
        <v>1.8011783151477619E-3</v>
      </c>
    </row>
    <row r="491" spans="3:7" x14ac:dyDescent="0.15">
      <c r="C491" s="61" t="s">
        <v>808</v>
      </c>
      <c r="D491" s="60">
        <v>0</v>
      </c>
      <c r="E491" s="60">
        <v>1</v>
      </c>
      <c r="F491" s="60">
        <v>0.19659144490756233</v>
      </c>
      <c r="G491" s="59">
        <v>0.80340855509243769</v>
      </c>
    </row>
    <row r="492" spans="3:7" x14ac:dyDescent="0.15">
      <c r="C492" s="43" t="s">
        <v>809</v>
      </c>
      <c r="D492" s="42">
        <v>0</v>
      </c>
      <c r="E492" s="42">
        <v>0</v>
      </c>
      <c r="F492" s="42">
        <v>0.9933189912251299</v>
      </c>
      <c r="G492">
        <v>6.6810087748701077E-3</v>
      </c>
    </row>
    <row r="493" spans="3:7" x14ac:dyDescent="0.15">
      <c r="C493" s="43" t="s">
        <v>810</v>
      </c>
      <c r="D493" s="42">
        <v>0</v>
      </c>
      <c r="E493" s="42">
        <v>0</v>
      </c>
      <c r="F493" s="42">
        <v>0.96649752611693562</v>
      </c>
      <c r="G493">
        <v>3.3502473883064418E-2</v>
      </c>
    </row>
    <row r="494" spans="3:7" x14ac:dyDescent="0.15">
      <c r="C494" s="43" t="s">
        <v>811</v>
      </c>
      <c r="D494" s="42">
        <v>1</v>
      </c>
      <c r="E494" s="42">
        <v>1</v>
      </c>
      <c r="F494" s="42">
        <v>0.32401863277818854</v>
      </c>
      <c r="G494">
        <v>0.67598136722181157</v>
      </c>
    </row>
    <row r="495" spans="3:7" x14ac:dyDescent="0.15">
      <c r="C495" s="43" t="s">
        <v>812</v>
      </c>
      <c r="D495" s="42">
        <v>0</v>
      </c>
      <c r="E495" s="42">
        <v>0</v>
      </c>
      <c r="F495" s="42">
        <v>0.66726846224080816</v>
      </c>
      <c r="G495">
        <v>0.33273153775919179</v>
      </c>
    </row>
    <row r="496" spans="3:7" x14ac:dyDescent="0.15">
      <c r="C496" s="43" t="s">
        <v>813</v>
      </c>
      <c r="D496" s="42">
        <v>0</v>
      </c>
      <c r="E496" s="42">
        <v>0</v>
      </c>
      <c r="F496" s="42">
        <v>0.84563137687573176</v>
      </c>
      <c r="G496">
        <v>0.15436862312426822</v>
      </c>
    </row>
    <row r="497" spans="3:7" x14ac:dyDescent="0.15">
      <c r="C497" s="43" t="s">
        <v>814</v>
      </c>
      <c r="D497" s="42">
        <v>0</v>
      </c>
      <c r="E497" s="42">
        <v>0</v>
      </c>
      <c r="F497" s="42">
        <v>0.96819156280427621</v>
      </c>
      <c r="G497">
        <v>3.1808437195723759E-2</v>
      </c>
    </row>
    <row r="498" spans="3:7" x14ac:dyDescent="0.15">
      <c r="C498" s="43" t="s">
        <v>815</v>
      </c>
      <c r="D498" s="42">
        <v>0</v>
      </c>
      <c r="E498" s="42">
        <v>0</v>
      </c>
      <c r="F498" s="42">
        <v>0.996587726893439</v>
      </c>
      <c r="G498">
        <v>3.4122731065610546E-3</v>
      </c>
    </row>
    <row r="499" spans="3:7" x14ac:dyDescent="0.15">
      <c r="C499" s="43" t="s">
        <v>816</v>
      </c>
      <c r="D499" s="42">
        <v>0</v>
      </c>
      <c r="E499" s="42">
        <v>0</v>
      </c>
      <c r="F499" s="42">
        <v>0.95206584511382486</v>
      </c>
      <c r="G499">
        <v>4.7934154886175064E-2</v>
      </c>
    </row>
    <row r="500" spans="3:7" x14ac:dyDescent="0.15">
      <c r="C500" s="43" t="s">
        <v>817</v>
      </c>
      <c r="D500" s="42">
        <v>0</v>
      </c>
      <c r="E500" s="42">
        <v>0</v>
      </c>
      <c r="F500" s="42">
        <v>0.99709149210302761</v>
      </c>
      <c r="G500">
        <v>2.908507896972281E-3</v>
      </c>
    </row>
    <row r="501" spans="3:7" x14ac:dyDescent="0.15">
      <c r="C501" s="43" t="s">
        <v>818</v>
      </c>
      <c r="D501" s="42">
        <v>0</v>
      </c>
      <c r="E501" s="42">
        <v>0</v>
      </c>
      <c r="F501" s="42">
        <v>0.99877009128133443</v>
      </c>
      <c r="G501">
        <v>1.2299087186655228E-3</v>
      </c>
    </row>
    <row r="502" spans="3:7" x14ac:dyDescent="0.15">
      <c r="C502" s="43" t="s">
        <v>819</v>
      </c>
      <c r="D502" s="42">
        <v>0</v>
      </c>
      <c r="E502" s="42">
        <v>0</v>
      </c>
      <c r="F502" s="42">
        <v>0.95622734440260404</v>
      </c>
      <c r="G502">
        <v>4.3772655597395911E-2</v>
      </c>
    </row>
    <row r="503" spans="3:7" x14ac:dyDescent="0.15">
      <c r="C503" s="43" t="s">
        <v>820</v>
      </c>
      <c r="D503" s="42">
        <v>0</v>
      </c>
      <c r="E503" s="42">
        <v>0</v>
      </c>
      <c r="F503" s="42">
        <v>0.99692359675088071</v>
      </c>
      <c r="G503">
        <v>3.076403249119293E-3</v>
      </c>
    </row>
    <row r="504" spans="3:7" x14ac:dyDescent="0.15">
      <c r="C504" s="43" t="s">
        <v>821</v>
      </c>
      <c r="D504" s="42">
        <v>0</v>
      </c>
      <c r="E504" s="42">
        <v>0</v>
      </c>
      <c r="F504" s="42">
        <v>0.99032675503348266</v>
      </c>
      <c r="G504">
        <v>9.6732449665173029E-3</v>
      </c>
    </row>
    <row r="505" spans="3:7" x14ac:dyDescent="0.15">
      <c r="C505" s="61" t="s">
        <v>822</v>
      </c>
      <c r="D505" s="60">
        <v>1</v>
      </c>
      <c r="E505" s="60">
        <v>0</v>
      </c>
      <c r="F505" s="60">
        <v>0.79135621885626262</v>
      </c>
      <c r="G505" s="59">
        <v>0.20864378114373744</v>
      </c>
    </row>
    <row r="506" spans="3:7" x14ac:dyDescent="0.15">
      <c r="C506" s="43" t="s">
        <v>823</v>
      </c>
      <c r="D506" s="42">
        <v>0</v>
      </c>
      <c r="E506" s="42">
        <v>0</v>
      </c>
      <c r="F506" s="42">
        <v>0.9981095064258857</v>
      </c>
      <c r="G506">
        <v>1.8904935741142909E-3</v>
      </c>
    </row>
    <row r="507" spans="3:7" x14ac:dyDescent="0.15">
      <c r="C507" s="43" t="s">
        <v>824</v>
      </c>
      <c r="D507" s="42">
        <v>0</v>
      </c>
      <c r="E507" s="42">
        <v>0</v>
      </c>
      <c r="F507" s="42">
        <v>0.97145258496627074</v>
      </c>
      <c r="G507">
        <v>2.8547415033729297E-2</v>
      </c>
    </row>
    <row r="508" spans="3:7" x14ac:dyDescent="0.15">
      <c r="C508" s="43" t="s">
        <v>825</v>
      </c>
      <c r="D508" s="42">
        <v>0</v>
      </c>
      <c r="E508" s="42">
        <v>0</v>
      </c>
      <c r="F508" s="42">
        <v>0.98812153361012367</v>
      </c>
      <c r="G508">
        <v>1.187846638987638E-2</v>
      </c>
    </row>
    <row r="509" spans="3:7" x14ac:dyDescent="0.15">
      <c r="C509" s="43" t="s">
        <v>826</v>
      </c>
      <c r="D509" s="42">
        <v>0</v>
      </c>
      <c r="E509" s="42">
        <v>0</v>
      </c>
      <c r="F509" s="42">
        <v>0.76629405064208866</v>
      </c>
      <c r="G509">
        <v>0.23370594935791134</v>
      </c>
    </row>
    <row r="510" spans="3:7" x14ac:dyDescent="0.15">
      <c r="C510" s="43" t="s">
        <v>827</v>
      </c>
      <c r="D510" s="42">
        <v>0</v>
      </c>
      <c r="E510" s="42">
        <v>0</v>
      </c>
      <c r="F510" s="42">
        <v>0.95286507779541207</v>
      </c>
      <c r="G510">
        <v>4.7134922204587905E-2</v>
      </c>
    </row>
    <row r="511" spans="3:7" x14ac:dyDescent="0.15">
      <c r="C511" s="43" t="s">
        <v>828</v>
      </c>
      <c r="D511" s="42">
        <v>0</v>
      </c>
      <c r="E511" s="42">
        <v>0</v>
      </c>
      <c r="F511" s="42">
        <v>0.99931226179385668</v>
      </c>
      <c r="G511">
        <v>6.8773820614337236E-4</v>
      </c>
    </row>
    <row r="512" spans="3:7" x14ac:dyDescent="0.15">
      <c r="C512" s="43" t="s">
        <v>829</v>
      </c>
      <c r="D512" s="42">
        <v>0</v>
      </c>
      <c r="E512" s="42">
        <v>0</v>
      </c>
      <c r="F512" s="42">
        <v>0.99836808144853451</v>
      </c>
      <c r="G512">
        <v>1.6319185514655891E-3</v>
      </c>
    </row>
    <row r="513" spans="3:7" x14ac:dyDescent="0.15">
      <c r="C513" s="43" t="s">
        <v>830</v>
      </c>
      <c r="D513" s="42">
        <v>0</v>
      </c>
      <c r="E513" s="42">
        <v>0</v>
      </c>
      <c r="F513" s="42">
        <v>0.87031976971507641</v>
      </c>
      <c r="G513">
        <v>0.12968023028492356</v>
      </c>
    </row>
    <row r="514" spans="3:7" x14ac:dyDescent="0.15">
      <c r="C514" s="43" t="s">
        <v>831</v>
      </c>
      <c r="D514" s="42">
        <v>1</v>
      </c>
      <c r="E514" s="42">
        <v>1</v>
      </c>
      <c r="F514" s="42">
        <v>0.29013229146459568</v>
      </c>
      <c r="G514">
        <v>0.70986770853540426</v>
      </c>
    </row>
    <row r="515" spans="3:7" x14ac:dyDescent="0.15">
      <c r="C515" s="43" t="s">
        <v>832</v>
      </c>
      <c r="D515" s="42">
        <v>0</v>
      </c>
      <c r="E515" s="42">
        <v>0</v>
      </c>
      <c r="F515" s="42">
        <v>0.99941204979015352</v>
      </c>
      <c r="G515">
        <v>5.8795020984654179E-4</v>
      </c>
    </row>
    <row r="516" spans="3:7" x14ac:dyDescent="0.15">
      <c r="C516" s="61" t="s">
        <v>833</v>
      </c>
      <c r="D516" s="60">
        <v>1</v>
      </c>
      <c r="E516" s="60">
        <v>0</v>
      </c>
      <c r="F516" s="60">
        <v>0.60303802050884248</v>
      </c>
      <c r="G516" s="59">
        <v>0.39696197949115752</v>
      </c>
    </row>
    <row r="517" spans="3:7" x14ac:dyDescent="0.15">
      <c r="C517" s="61" t="s">
        <v>834</v>
      </c>
      <c r="D517" s="60">
        <v>0</v>
      </c>
      <c r="E517" s="60">
        <v>1</v>
      </c>
      <c r="F517" s="60">
        <v>5.7342306448476647E-2</v>
      </c>
      <c r="G517" s="59">
        <v>0.9426576935515234</v>
      </c>
    </row>
    <row r="518" spans="3:7" x14ac:dyDescent="0.15">
      <c r="C518" s="61" t="s">
        <v>835</v>
      </c>
      <c r="D518" s="60">
        <v>0</v>
      </c>
      <c r="E518" s="60">
        <v>1</v>
      </c>
      <c r="F518" s="60">
        <v>1.5491172461480197E-2</v>
      </c>
      <c r="G518" s="59">
        <v>0.98450882753851976</v>
      </c>
    </row>
    <row r="519" spans="3:7" x14ac:dyDescent="0.15">
      <c r="C519" s="43" t="s">
        <v>836</v>
      </c>
      <c r="D519" s="42">
        <v>0</v>
      </c>
      <c r="E519" s="42">
        <v>0</v>
      </c>
      <c r="F519" s="42">
        <v>0.97809992327710427</v>
      </c>
      <c r="G519">
        <v>2.19000767228958E-2</v>
      </c>
    </row>
    <row r="520" spans="3:7" x14ac:dyDescent="0.15">
      <c r="C520" s="43" t="s">
        <v>837</v>
      </c>
      <c r="D520" s="42">
        <v>0</v>
      </c>
      <c r="E520" s="42">
        <v>0</v>
      </c>
      <c r="F520" s="42">
        <v>0.95290405389386779</v>
      </c>
      <c r="G520">
        <v>4.7095946106132262E-2</v>
      </c>
    </row>
    <row r="521" spans="3:7" x14ac:dyDescent="0.15">
      <c r="C521" s="43" t="s">
        <v>838</v>
      </c>
      <c r="D521" s="42">
        <v>0</v>
      </c>
      <c r="E521" s="42">
        <v>0</v>
      </c>
      <c r="F521" s="42">
        <v>0.98969684798552904</v>
      </c>
      <c r="G521">
        <v>1.0303152014471002E-2</v>
      </c>
    </row>
    <row r="522" spans="3:7" x14ac:dyDescent="0.15">
      <c r="C522" s="61" t="s">
        <v>839</v>
      </c>
      <c r="D522" s="60">
        <v>0</v>
      </c>
      <c r="E522" s="60">
        <v>1</v>
      </c>
      <c r="F522" s="60">
        <v>0.32379287050866634</v>
      </c>
      <c r="G522" s="59">
        <v>0.67620712949133366</v>
      </c>
    </row>
    <row r="523" spans="3:7" x14ac:dyDescent="0.15">
      <c r="C523" s="43" t="s">
        <v>840</v>
      </c>
      <c r="D523" s="42">
        <v>0</v>
      </c>
      <c r="E523" s="42">
        <v>0</v>
      </c>
      <c r="F523" s="42">
        <v>0.98034494648695059</v>
      </c>
      <c r="G523">
        <v>1.9655053513049331E-2</v>
      </c>
    </row>
    <row r="524" spans="3:7" x14ac:dyDescent="0.15">
      <c r="C524" s="43" t="s">
        <v>841</v>
      </c>
      <c r="D524" s="42">
        <v>0</v>
      </c>
      <c r="E524" s="42">
        <v>0</v>
      </c>
      <c r="F524" s="42">
        <v>0.85516321946048046</v>
      </c>
      <c r="G524">
        <v>0.14483678053951954</v>
      </c>
    </row>
    <row r="525" spans="3:7" x14ac:dyDescent="0.15">
      <c r="C525" s="43" t="s">
        <v>842</v>
      </c>
      <c r="D525" s="42">
        <v>0</v>
      </c>
      <c r="E525" s="42">
        <v>0</v>
      </c>
      <c r="F525" s="42">
        <v>0.87286190230949234</v>
      </c>
      <c r="G525">
        <v>0.12713809769050763</v>
      </c>
    </row>
    <row r="526" spans="3:7" x14ac:dyDescent="0.15">
      <c r="C526" s="43" t="s">
        <v>843</v>
      </c>
      <c r="D526" s="42">
        <v>0</v>
      </c>
      <c r="E526" s="42">
        <v>0</v>
      </c>
      <c r="F526" s="42">
        <v>0.99831746058258308</v>
      </c>
      <c r="G526">
        <v>1.6825394174170103E-3</v>
      </c>
    </row>
    <row r="527" spans="3:7" x14ac:dyDescent="0.15">
      <c r="C527" s="43" t="s">
        <v>844</v>
      </c>
      <c r="D527" s="42">
        <v>0</v>
      </c>
      <c r="E527" s="42">
        <v>0</v>
      </c>
      <c r="F527" s="42">
        <v>0.99916258184468676</v>
      </c>
      <c r="G527">
        <v>8.3741815531317306E-4</v>
      </c>
    </row>
    <row r="528" spans="3:7" x14ac:dyDescent="0.15">
      <c r="C528" s="43" t="s">
        <v>845</v>
      </c>
      <c r="D528" s="42">
        <v>0</v>
      </c>
      <c r="E528" s="42">
        <v>0</v>
      </c>
      <c r="F528" s="42">
        <v>0.98512618989798739</v>
      </c>
      <c r="G528">
        <v>1.487381010201261E-2</v>
      </c>
    </row>
    <row r="529" spans="3:7" x14ac:dyDescent="0.15">
      <c r="C529" s="43" t="s">
        <v>846</v>
      </c>
      <c r="D529" s="42">
        <v>0</v>
      </c>
      <c r="E529" s="42">
        <v>0</v>
      </c>
      <c r="F529" s="42">
        <v>0.99713933959592493</v>
      </c>
      <c r="G529">
        <v>2.8606604040750244E-3</v>
      </c>
    </row>
    <row r="530" spans="3:7" x14ac:dyDescent="0.15">
      <c r="C530" s="43" t="s">
        <v>847</v>
      </c>
      <c r="D530" s="42">
        <v>0</v>
      </c>
      <c r="E530" s="42">
        <v>0</v>
      </c>
      <c r="F530" s="42">
        <v>0.99761183107854523</v>
      </c>
      <c r="G530">
        <v>2.3881689214547016E-3</v>
      </c>
    </row>
    <row r="531" spans="3:7" x14ac:dyDescent="0.15">
      <c r="C531" s="61" t="s">
        <v>848</v>
      </c>
      <c r="D531" s="60">
        <v>0</v>
      </c>
      <c r="E531" s="60">
        <v>1</v>
      </c>
      <c r="F531" s="60">
        <v>0.4419530799030309</v>
      </c>
      <c r="G531" s="59">
        <v>0.5580469200969691</v>
      </c>
    </row>
    <row r="532" spans="3:7" x14ac:dyDescent="0.15">
      <c r="C532" s="43" t="s">
        <v>849</v>
      </c>
      <c r="D532" s="42">
        <v>0</v>
      </c>
      <c r="E532" s="42">
        <v>0</v>
      </c>
      <c r="F532" s="42">
        <v>0.97857946984217581</v>
      </c>
      <c r="G532">
        <v>2.1420530157824309E-2</v>
      </c>
    </row>
    <row r="533" spans="3:7" x14ac:dyDescent="0.15">
      <c r="C533" s="43" t="s">
        <v>850</v>
      </c>
      <c r="D533" s="42">
        <v>0</v>
      </c>
      <c r="E533" s="42">
        <v>0</v>
      </c>
      <c r="F533" s="42">
        <v>0.99950367270109741</v>
      </c>
      <c r="G533">
        <v>4.9632729890257789E-4</v>
      </c>
    </row>
    <row r="534" spans="3:7" x14ac:dyDescent="0.15">
      <c r="C534" s="43" t="s">
        <v>851</v>
      </c>
      <c r="D534" s="42">
        <v>0</v>
      </c>
      <c r="E534" s="42">
        <v>0</v>
      </c>
      <c r="F534" s="42">
        <v>0.9784423988757629</v>
      </c>
      <c r="G534">
        <v>2.1557601124237116E-2</v>
      </c>
    </row>
    <row r="535" spans="3:7" x14ac:dyDescent="0.15">
      <c r="C535" s="43" t="s">
        <v>852</v>
      </c>
      <c r="D535" s="42">
        <v>0</v>
      </c>
      <c r="E535" s="42">
        <v>0</v>
      </c>
      <c r="F535" s="42">
        <v>0.98264470873930121</v>
      </c>
      <c r="G535">
        <v>1.7355291260698853E-2</v>
      </c>
    </row>
    <row r="536" spans="3:7" x14ac:dyDescent="0.15">
      <c r="C536" s="43" t="s">
        <v>853</v>
      </c>
      <c r="D536" s="42">
        <v>0</v>
      </c>
      <c r="E536" s="42">
        <v>0</v>
      </c>
      <c r="F536" s="42">
        <v>0.99321727782717029</v>
      </c>
      <c r="G536">
        <v>6.7827221728296444E-3</v>
      </c>
    </row>
    <row r="537" spans="3:7" x14ac:dyDescent="0.15">
      <c r="C537" s="43" t="s">
        <v>854</v>
      </c>
      <c r="D537" s="42">
        <v>0</v>
      </c>
      <c r="E537" s="42">
        <v>0</v>
      </c>
      <c r="F537" s="42">
        <v>0.98448964936216199</v>
      </c>
      <c r="G537">
        <v>1.5510350637838075E-2</v>
      </c>
    </row>
    <row r="538" spans="3:7" x14ac:dyDescent="0.15">
      <c r="C538" s="43" t="s">
        <v>855</v>
      </c>
      <c r="D538" s="42">
        <v>0</v>
      </c>
      <c r="E538" s="42">
        <v>0</v>
      </c>
      <c r="F538" s="42">
        <v>0.99000131871889929</v>
      </c>
      <c r="G538">
        <v>9.9986812811007717E-3</v>
      </c>
    </row>
    <row r="539" spans="3:7" x14ac:dyDescent="0.15">
      <c r="C539" s="43" t="s">
        <v>856</v>
      </c>
      <c r="D539" s="42">
        <v>0</v>
      </c>
      <c r="E539" s="42">
        <v>0</v>
      </c>
      <c r="F539" s="42">
        <v>0.99856066204069294</v>
      </c>
      <c r="G539">
        <v>1.4393379593069962E-3</v>
      </c>
    </row>
    <row r="540" spans="3:7" x14ac:dyDescent="0.15">
      <c r="C540" s="43" t="s">
        <v>857</v>
      </c>
      <c r="D540" s="42">
        <v>0</v>
      </c>
      <c r="E540" s="42">
        <v>0</v>
      </c>
      <c r="F540" s="42">
        <v>0.98428727569268804</v>
      </c>
      <c r="G540">
        <v>1.5712724307311878E-2</v>
      </c>
    </row>
    <row r="541" spans="3:7" x14ac:dyDescent="0.15">
      <c r="C541" s="43" t="s">
        <v>858</v>
      </c>
      <c r="D541" s="42">
        <v>0</v>
      </c>
      <c r="E541" s="42">
        <v>0</v>
      </c>
      <c r="F541" s="42">
        <v>0.99837802734060277</v>
      </c>
      <c r="G541">
        <v>1.6219726593972052E-3</v>
      </c>
    </row>
    <row r="542" spans="3:7" x14ac:dyDescent="0.15">
      <c r="C542" s="43" t="s">
        <v>859</v>
      </c>
      <c r="D542" s="42">
        <v>0</v>
      </c>
      <c r="E542" s="42">
        <v>0</v>
      </c>
      <c r="F542" s="42">
        <v>0.99992350628591453</v>
      </c>
      <c r="G542">
        <v>7.6493714085349378E-5</v>
      </c>
    </row>
    <row r="543" spans="3:7" x14ac:dyDescent="0.15">
      <c r="C543" s="43" t="s">
        <v>860</v>
      </c>
      <c r="D543" s="42">
        <v>0</v>
      </c>
      <c r="E543" s="42">
        <v>0</v>
      </c>
      <c r="F543" s="42">
        <v>0.77527196114698549</v>
      </c>
      <c r="G543">
        <v>0.22472803885301454</v>
      </c>
    </row>
    <row r="544" spans="3:7" x14ac:dyDescent="0.15">
      <c r="C544" s="43" t="s">
        <v>861</v>
      </c>
      <c r="D544" s="42">
        <v>0</v>
      </c>
      <c r="E544" s="42">
        <v>0</v>
      </c>
      <c r="F544" s="42">
        <v>0.9734298907705714</v>
      </c>
      <c r="G544">
        <v>2.6570109229428658E-2</v>
      </c>
    </row>
    <row r="545" spans="3:7" x14ac:dyDescent="0.15">
      <c r="C545" s="43" t="s">
        <v>862</v>
      </c>
      <c r="D545" s="42">
        <v>0</v>
      </c>
      <c r="E545" s="42">
        <v>0</v>
      </c>
      <c r="F545" s="42">
        <v>0.99549393170600431</v>
      </c>
      <c r="G545">
        <v>4.506068293995566E-3</v>
      </c>
    </row>
    <row r="546" spans="3:7" x14ac:dyDescent="0.15">
      <c r="C546" s="43" t="s">
        <v>863</v>
      </c>
      <c r="D546" s="42">
        <v>0</v>
      </c>
      <c r="E546" s="42">
        <v>0</v>
      </c>
      <c r="F546" s="42">
        <v>0.98493866187324586</v>
      </c>
      <c r="G546">
        <v>1.5061338126754201E-2</v>
      </c>
    </row>
    <row r="547" spans="3:7" x14ac:dyDescent="0.15">
      <c r="C547" s="43" t="s">
        <v>864</v>
      </c>
      <c r="D547" s="42">
        <v>0</v>
      </c>
      <c r="E547" s="42">
        <v>0</v>
      </c>
      <c r="F547" s="42">
        <v>0.99967587225786059</v>
      </c>
      <c r="G547">
        <v>3.2412774213936793E-4</v>
      </c>
    </row>
    <row r="548" spans="3:7" x14ac:dyDescent="0.15">
      <c r="C548" s="43" t="s">
        <v>865</v>
      </c>
      <c r="D548" s="42">
        <v>0</v>
      </c>
      <c r="E548" s="42">
        <v>0</v>
      </c>
      <c r="F548" s="42">
        <v>0.70884578519495467</v>
      </c>
      <c r="G548">
        <v>0.29115421480504533</v>
      </c>
    </row>
    <row r="549" spans="3:7" x14ac:dyDescent="0.15">
      <c r="C549" s="43" t="s">
        <v>866</v>
      </c>
      <c r="D549" s="42">
        <v>0</v>
      </c>
      <c r="E549" s="42">
        <v>0</v>
      </c>
      <c r="F549" s="42">
        <v>0.96405297377764543</v>
      </c>
      <c r="G549">
        <v>3.5947026222354551E-2</v>
      </c>
    </row>
    <row r="550" spans="3:7" x14ac:dyDescent="0.15">
      <c r="C550" s="43" t="s">
        <v>867</v>
      </c>
      <c r="D550" s="42">
        <v>1</v>
      </c>
      <c r="E550" s="42">
        <v>1</v>
      </c>
      <c r="F550" s="42">
        <v>0.43491459846962321</v>
      </c>
      <c r="G550">
        <v>0.56508540153037679</v>
      </c>
    </row>
    <row r="551" spans="3:7" x14ac:dyDescent="0.15">
      <c r="C551" s="43" t="s">
        <v>868</v>
      </c>
      <c r="D551" s="42">
        <v>0</v>
      </c>
      <c r="E551" s="42">
        <v>0</v>
      </c>
      <c r="F551" s="42">
        <v>0.99549385180901961</v>
      </c>
      <c r="G551">
        <v>4.5061481909803901E-3</v>
      </c>
    </row>
    <row r="552" spans="3:7" x14ac:dyDescent="0.15">
      <c r="C552" s="43" t="s">
        <v>869</v>
      </c>
      <c r="D552" s="42">
        <v>0</v>
      </c>
      <c r="E552" s="42">
        <v>0</v>
      </c>
      <c r="F552" s="42">
        <v>0.99330808271980087</v>
      </c>
      <c r="G552">
        <v>6.6919172801990978E-3</v>
      </c>
    </row>
    <row r="553" spans="3:7" x14ac:dyDescent="0.15">
      <c r="C553" s="43" t="s">
        <v>870</v>
      </c>
      <c r="D553" s="42">
        <v>0</v>
      </c>
      <c r="E553" s="42">
        <v>0</v>
      </c>
      <c r="F553" s="42">
        <v>0.95435833127548786</v>
      </c>
      <c r="G553">
        <v>4.5641668724512037E-2</v>
      </c>
    </row>
    <row r="554" spans="3:7" x14ac:dyDescent="0.15">
      <c r="C554" s="43" t="s">
        <v>871</v>
      </c>
      <c r="D554" s="42">
        <v>0</v>
      </c>
      <c r="E554" s="42">
        <v>0</v>
      </c>
      <c r="F554" s="42">
        <v>0.91527340598079554</v>
      </c>
      <c r="G554">
        <v>8.4726594019204474E-2</v>
      </c>
    </row>
    <row r="555" spans="3:7" x14ac:dyDescent="0.15">
      <c r="C555" s="43" t="s">
        <v>872</v>
      </c>
      <c r="D555" s="42">
        <v>0</v>
      </c>
      <c r="E555" s="42">
        <v>0</v>
      </c>
      <c r="F555" s="42">
        <v>0.98099104703741069</v>
      </c>
      <c r="G555">
        <v>1.900895296258924E-2</v>
      </c>
    </row>
    <row r="556" spans="3:7" x14ac:dyDescent="0.15">
      <c r="C556" s="43" t="s">
        <v>873</v>
      </c>
      <c r="D556" s="42">
        <v>0</v>
      </c>
      <c r="E556" s="42">
        <v>0</v>
      </c>
      <c r="F556" s="42">
        <v>0.99573211419520613</v>
      </c>
      <c r="G556">
        <v>4.2678858047937107E-3</v>
      </c>
    </row>
    <row r="557" spans="3:7" x14ac:dyDescent="0.15">
      <c r="C557" s="43" t="s">
        <v>874</v>
      </c>
      <c r="D557" s="42">
        <v>0</v>
      </c>
      <c r="E557" s="42">
        <v>0</v>
      </c>
      <c r="F557" s="42">
        <v>0.92707922861912029</v>
      </c>
      <c r="G557">
        <v>7.2920771380879656E-2</v>
      </c>
    </row>
    <row r="558" spans="3:7" x14ac:dyDescent="0.15">
      <c r="C558" s="61" t="s">
        <v>875</v>
      </c>
      <c r="D558" s="60">
        <v>0</v>
      </c>
      <c r="E558" s="60">
        <v>1</v>
      </c>
      <c r="F558" s="60">
        <v>0.47968595667783609</v>
      </c>
      <c r="G558" s="59">
        <v>0.52031404332216391</v>
      </c>
    </row>
    <row r="559" spans="3:7" x14ac:dyDescent="0.15">
      <c r="C559" s="43" t="s">
        <v>876</v>
      </c>
      <c r="D559" s="42">
        <v>0</v>
      </c>
      <c r="E559" s="42">
        <v>0</v>
      </c>
      <c r="F559" s="42">
        <v>0.99049896846241625</v>
      </c>
      <c r="G559">
        <v>9.5010315375838022E-3</v>
      </c>
    </row>
    <row r="560" spans="3:7" x14ac:dyDescent="0.15">
      <c r="C560" s="43" t="s">
        <v>877</v>
      </c>
      <c r="D560" s="42">
        <v>0</v>
      </c>
      <c r="E560" s="42">
        <v>0</v>
      </c>
      <c r="F560" s="42">
        <v>0.98223219862665412</v>
      </c>
      <c r="G560">
        <v>1.7767801373345774E-2</v>
      </c>
    </row>
    <row r="561" spans="3:7" x14ac:dyDescent="0.15">
      <c r="C561" s="61" t="s">
        <v>878</v>
      </c>
      <c r="D561" s="60">
        <v>0</v>
      </c>
      <c r="E561" s="60">
        <v>1</v>
      </c>
      <c r="F561" s="60">
        <v>0.3806577941015053</v>
      </c>
      <c r="G561" s="59">
        <v>0.61934220589849476</v>
      </c>
    </row>
    <row r="562" spans="3:7" x14ac:dyDescent="0.15">
      <c r="C562" s="61" t="s">
        <v>879</v>
      </c>
      <c r="D562" s="60">
        <v>0</v>
      </c>
      <c r="E562" s="60">
        <v>1</v>
      </c>
      <c r="F562" s="60">
        <v>1.1639345127973405E-2</v>
      </c>
      <c r="G562" s="59">
        <v>0.98836065487202651</v>
      </c>
    </row>
    <row r="563" spans="3:7" x14ac:dyDescent="0.15">
      <c r="C563" s="43" t="s">
        <v>880</v>
      </c>
      <c r="D563" s="42">
        <v>1</v>
      </c>
      <c r="E563" s="42">
        <v>1</v>
      </c>
      <c r="F563" s="42">
        <v>8.5857788961486561E-2</v>
      </c>
      <c r="G563">
        <v>0.91414221103851345</v>
      </c>
    </row>
    <row r="564" spans="3:7" x14ac:dyDescent="0.15">
      <c r="C564" s="43" t="s">
        <v>881</v>
      </c>
      <c r="D564" s="42">
        <v>0</v>
      </c>
      <c r="E564" s="42">
        <v>0</v>
      </c>
      <c r="F564" s="42">
        <v>0.97935220173227866</v>
      </c>
      <c r="G564">
        <v>2.0647798267721361E-2</v>
      </c>
    </row>
    <row r="565" spans="3:7" x14ac:dyDescent="0.15">
      <c r="C565" s="43" t="s">
        <v>882</v>
      </c>
      <c r="D565" s="42">
        <v>0</v>
      </c>
      <c r="E565" s="42">
        <v>0</v>
      </c>
      <c r="F565" s="42">
        <v>0.99338757549396905</v>
      </c>
      <c r="G565">
        <v>6.6124245060309667E-3</v>
      </c>
    </row>
    <row r="566" spans="3:7" x14ac:dyDescent="0.15">
      <c r="C566" s="43" t="s">
        <v>883</v>
      </c>
      <c r="D566" s="42">
        <v>0</v>
      </c>
      <c r="E566" s="42">
        <v>0</v>
      </c>
      <c r="F566" s="42">
        <v>0.99632947827414997</v>
      </c>
      <c r="G566">
        <v>3.6705217258499808E-3</v>
      </c>
    </row>
    <row r="567" spans="3:7" x14ac:dyDescent="0.15">
      <c r="C567" s="43" t="s">
        <v>884</v>
      </c>
      <c r="D567" s="42">
        <v>0</v>
      </c>
      <c r="E567" s="42">
        <v>0</v>
      </c>
      <c r="F567" s="42">
        <v>0.99849111186397355</v>
      </c>
      <c r="G567">
        <v>1.5088881360264738E-3</v>
      </c>
    </row>
    <row r="568" spans="3:7" x14ac:dyDescent="0.15">
      <c r="C568" s="43" t="s">
        <v>885</v>
      </c>
      <c r="D568" s="42">
        <v>0</v>
      </c>
      <c r="E568" s="42">
        <v>0</v>
      </c>
      <c r="F568" s="42">
        <v>0.9998289392426053</v>
      </c>
      <c r="G568">
        <v>1.7106075739461012E-4</v>
      </c>
    </row>
    <row r="569" spans="3:7" x14ac:dyDescent="0.15">
      <c r="C569" s="43" t="s">
        <v>886</v>
      </c>
      <c r="D569" s="42">
        <v>0</v>
      </c>
      <c r="E569" s="42">
        <v>0</v>
      </c>
      <c r="F569" s="42">
        <v>0.76835679619832031</v>
      </c>
      <c r="G569">
        <v>0.23164320380167977</v>
      </c>
    </row>
    <row r="570" spans="3:7" x14ac:dyDescent="0.15">
      <c r="C570" s="43" t="s">
        <v>887</v>
      </c>
      <c r="D570" s="42">
        <v>1</v>
      </c>
      <c r="E570" s="42">
        <v>1</v>
      </c>
      <c r="F570" s="42">
        <v>2.0192952535206831E-3</v>
      </c>
      <c r="G570">
        <v>0.99798070474647915</v>
      </c>
    </row>
    <row r="571" spans="3:7" x14ac:dyDescent="0.15">
      <c r="C571" s="43" t="s">
        <v>888</v>
      </c>
      <c r="D571" s="42">
        <v>0</v>
      </c>
      <c r="E571" s="42">
        <v>0</v>
      </c>
      <c r="F571" s="42">
        <v>0.99953234618083697</v>
      </c>
      <c r="G571">
        <v>4.6765381916303656E-4</v>
      </c>
    </row>
    <row r="572" spans="3:7" x14ac:dyDescent="0.15">
      <c r="C572" s="61" t="s">
        <v>889</v>
      </c>
      <c r="D572" s="60">
        <v>0</v>
      </c>
      <c r="E572" s="60">
        <v>1</v>
      </c>
      <c r="F572" s="60">
        <v>0.36553594247120214</v>
      </c>
      <c r="G572" s="59">
        <v>0.63446405752879786</v>
      </c>
    </row>
    <row r="573" spans="3:7" x14ac:dyDescent="0.15">
      <c r="C573" s="43" t="s">
        <v>890</v>
      </c>
      <c r="D573" s="42">
        <v>0</v>
      </c>
      <c r="E573" s="42">
        <v>0</v>
      </c>
      <c r="F573" s="42">
        <v>0.97389917181026775</v>
      </c>
      <c r="G573">
        <v>2.6100828189732354E-2</v>
      </c>
    </row>
    <row r="574" spans="3:7" x14ac:dyDescent="0.15">
      <c r="C574" s="43" t="s">
        <v>891</v>
      </c>
      <c r="D574" s="42">
        <v>0</v>
      </c>
      <c r="E574" s="42">
        <v>0</v>
      </c>
      <c r="F574" s="42">
        <v>0.99311244284121247</v>
      </c>
      <c r="G574">
        <v>6.8875571587875932E-3</v>
      </c>
    </row>
    <row r="575" spans="3:7" x14ac:dyDescent="0.15">
      <c r="C575" s="43" t="s">
        <v>892</v>
      </c>
      <c r="D575" s="42">
        <v>0</v>
      </c>
      <c r="E575" s="42">
        <v>0</v>
      </c>
      <c r="F575" s="42">
        <v>0.99774498548801904</v>
      </c>
      <c r="G575">
        <v>2.2550145119809122E-3</v>
      </c>
    </row>
    <row r="576" spans="3:7" x14ac:dyDescent="0.15">
      <c r="C576" s="43" t="s">
        <v>893</v>
      </c>
      <c r="D576" s="42">
        <v>0</v>
      </c>
      <c r="E576" s="42">
        <v>0</v>
      </c>
      <c r="F576" s="42">
        <v>0.99802849658423554</v>
      </c>
      <c r="G576">
        <v>1.9715034157644891E-3</v>
      </c>
    </row>
    <row r="577" spans="3:7" x14ac:dyDescent="0.15">
      <c r="C577" s="43" t="s">
        <v>894</v>
      </c>
      <c r="D577" s="42">
        <v>0</v>
      </c>
      <c r="E577" s="42">
        <v>0</v>
      </c>
      <c r="F577" s="42">
        <v>0.99452694359804461</v>
      </c>
      <c r="G577">
        <v>5.4730564019552968E-3</v>
      </c>
    </row>
    <row r="578" spans="3:7" x14ac:dyDescent="0.15">
      <c r="C578" s="43" t="s">
        <v>895</v>
      </c>
      <c r="D578" s="42">
        <v>0</v>
      </c>
      <c r="E578" s="42">
        <v>0</v>
      </c>
      <c r="F578" s="42">
        <v>0.99927219660296684</v>
      </c>
      <c r="G578">
        <v>7.2780339703308421E-4</v>
      </c>
    </row>
    <row r="579" spans="3:7" x14ac:dyDescent="0.15">
      <c r="C579" s="43" t="s">
        <v>896</v>
      </c>
      <c r="D579" s="42">
        <v>1</v>
      </c>
      <c r="E579" s="42">
        <v>1</v>
      </c>
      <c r="F579" s="42">
        <v>6.0674676439197595E-4</v>
      </c>
      <c r="G579">
        <v>0.99939325323560813</v>
      </c>
    </row>
    <row r="580" spans="3:7" x14ac:dyDescent="0.15">
      <c r="C580" s="43" t="s">
        <v>897</v>
      </c>
      <c r="D580" s="42">
        <v>0</v>
      </c>
      <c r="E580" s="42">
        <v>0</v>
      </c>
      <c r="F580" s="42">
        <v>0.99788084445904768</v>
      </c>
      <c r="G580">
        <v>2.1191555409522398E-3</v>
      </c>
    </row>
    <row r="581" spans="3:7" x14ac:dyDescent="0.15">
      <c r="C581" s="43" t="s">
        <v>898</v>
      </c>
      <c r="D581" s="42">
        <v>0</v>
      </c>
      <c r="E581" s="42">
        <v>0</v>
      </c>
      <c r="F581" s="42">
        <v>0.99754830777849868</v>
      </c>
      <c r="G581">
        <v>2.4516922215012033E-3</v>
      </c>
    </row>
    <row r="582" spans="3:7" x14ac:dyDescent="0.15">
      <c r="C582" s="43" t="s">
        <v>899</v>
      </c>
      <c r="D582" s="42">
        <v>0</v>
      </c>
      <c r="E582" s="42">
        <v>0</v>
      </c>
      <c r="F582" s="42">
        <v>0.91433607319395982</v>
      </c>
      <c r="G582">
        <v>8.566392680604025E-2</v>
      </c>
    </row>
    <row r="583" spans="3:7" x14ac:dyDescent="0.15">
      <c r="C583" s="43" t="s">
        <v>900</v>
      </c>
      <c r="D583" s="42">
        <v>1</v>
      </c>
      <c r="E583" s="42">
        <v>1</v>
      </c>
      <c r="F583" s="42">
        <v>3.2244410200244662E-3</v>
      </c>
      <c r="G583">
        <v>0.99677555897997561</v>
      </c>
    </row>
    <row r="584" spans="3:7" x14ac:dyDescent="0.15">
      <c r="C584" s="61" t="s">
        <v>901</v>
      </c>
      <c r="D584" s="60">
        <v>1</v>
      </c>
      <c r="E584" s="60">
        <v>0</v>
      </c>
      <c r="F584" s="60">
        <v>0.97820862577682055</v>
      </c>
      <c r="G584" s="59">
        <v>2.1791374223179397E-2</v>
      </c>
    </row>
    <row r="585" spans="3:7" x14ac:dyDescent="0.15">
      <c r="C585" s="43" t="s">
        <v>902</v>
      </c>
      <c r="D585" s="42">
        <v>1</v>
      </c>
      <c r="E585" s="42">
        <v>1</v>
      </c>
      <c r="F585" s="42">
        <v>5.5997788676425428E-4</v>
      </c>
      <c r="G585">
        <v>0.99944002211323579</v>
      </c>
    </row>
    <row r="586" spans="3:7" x14ac:dyDescent="0.15">
      <c r="C586" s="43" t="s">
        <v>903</v>
      </c>
      <c r="D586" s="42">
        <v>1</v>
      </c>
      <c r="E586" s="42">
        <v>1</v>
      </c>
      <c r="F586" s="42">
        <v>0.34535021484915729</v>
      </c>
      <c r="G586">
        <v>0.65464978515084271</v>
      </c>
    </row>
    <row r="587" spans="3:7" x14ac:dyDescent="0.15">
      <c r="C587" s="43" t="s">
        <v>904</v>
      </c>
      <c r="D587" s="42">
        <v>0</v>
      </c>
      <c r="E587" s="42">
        <v>0</v>
      </c>
      <c r="F587" s="42">
        <v>0.99945581890843216</v>
      </c>
      <c r="G587">
        <v>5.4418109156787635E-4</v>
      </c>
    </row>
    <row r="588" spans="3:7" x14ac:dyDescent="0.15">
      <c r="C588" s="43" t="s">
        <v>905</v>
      </c>
      <c r="D588" s="42">
        <v>0</v>
      </c>
      <c r="E588" s="42">
        <v>0</v>
      </c>
      <c r="F588" s="42">
        <v>0.99868898581887733</v>
      </c>
      <c r="G588">
        <v>1.3110141811226994E-3</v>
      </c>
    </row>
    <row r="589" spans="3:7" x14ac:dyDescent="0.15">
      <c r="C589" s="43" t="s">
        <v>906</v>
      </c>
      <c r="D589" s="42">
        <v>1</v>
      </c>
      <c r="E589" s="42">
        <v>1</v>
      </c>
      <c r="F589" s="42">
        <v>2.1253643273374599E-3</v>
      </c>
      <c r="G589">
        <v>0.99787463567266255</v>
      </c>
    </row>
    <row r="590" spans="3:7" x14ac:dyDescent="0.15">
      <c r="C590" s="43" t="s">
        <v>907</v>
      </c>
      <c r="D590" s="42">
        <v>0</v>
      </c>
      <c r="E590" s="42">
        <v>0</v>
      </c>
      <c r="F590" s="42">
        <v>0.98765274437910422</v>
      </c>
      <c r="G590">
        <v>1.2347255620895753E-2</v>
      </c>
    </row>
    <row r="591" spans="3:7" x14ac:dyDescent="0.15">
      <c r="C591" s="43" t="s">
        <v>908</v>
      </c>
      <c r="D591" s="42">
        <v>0</v>
      </c>
      <c r="E591" s="42">
        <v>0</v>
      </c>
      <c r="F591" s="42">
        <v>0.61283941800413211</v>
      </c>
      <c r="G591">
        <v>0.387160581995868</v>
      </c>
    </row>
    <row r="592" spans="3:7" x14ac:dyDescent="0.15">
      <c r="C592" s="43" t="s">
        <v>909</v>
      </c>
      <c r="D592" s="42">
        <v>0</v>
      </c>
      <c r="E592" s="42">
        <v>0</v>
      </c>
      <c r="F592" s="42">
        <v>0.99366989262537109</v>
      </c>
      <c r="G592">
        <v>6.3301073746289301E-3</v>
      </c>
    </row>
    <row r="593" spans="3:7" x14ac:dyDescent="0.15">
      <c r="C593" s="43" t="s">
        <v>910</v>
      </c>
      <c r="D593" s="42">
        <v>0</v>
      </c>
      <c r="E593" s="42">
        <v>0</v>
      </c>
      <c r="F593" s="42">
        <v>0.99705341992382457</v>
      </c>
      <c r="G593">
        <v>2.9465800761753506E-3</v>
      </c>
    </row>
    <row r="594" spans="3:7" x14ac:dyDescent="0.15">
      <c r="C594" s="43" t="s">
        <v>911</v>
      </c>
      <c r="D594" s="42">
        <v>0</v>
      </c>
      <c r="E594" s="42">
        <v>0</v>
      </c>
      <c r="F594" s="42">
        <v>0.984955404931801</v>
      </c>
      <c r="G594">
        <v>1.5044595068199027E-2</v>
      </c>
    </row>
    <row r="595" spans="3:7" x14ac:dyDescent="0.15">
      <c r="C595" s="43" t="s">
        <v>912</v>
      </c>
      <c r="D595" s="42">
        <v>1</v>
      </c>
      <c r="E595" s="42">
        <v>1</v>
      </c>
      <c r="F595" s="42">
        <v>0.40981423689352403</v>
      </c>
      <c r="G595">
        <v>0.59018576310647597</v>
      </c>
    </row>
    <row r="596" spans="3:7" x14ac:dyDescent="0.15">
      <c r="C596" s="43" t="s">
        <v>913</v>
      </c>
      <c r="D596" s="42">
        <v>0</v>
      </c>
      <c r="E596" s="42">
        <v>0</v>
      </c>
      <c r="F596" s="42">
        <v>0.98637845429483284</v>
      </c>
      <c r="G596">
        <v>1.3621545705167241E-2</v>
      </c>
    </row>
    <row r="597" spans="3:7" x14ac:dyDescent="0.15">
      <c r="C597" s="43" t="s">
        <v>914</v>
      </c>
      <c r="D597" s="42">
        <v>0</v>
      </c>
      <c r="E597" s="42">
        <v>0</v>
      </c>
      <c r="F597" s="42">
        <v>0.99819340101883725</v>
      </c>
      <c r="G597">
        <v>1.806598981162889E-3</v>
      </c>
    </row>
    <row r="598" spans="3:7" x14ac:dyDescent="0.15">
      <c r="C598" s="43" t="s">
        <v>915</v>
      </c>
      <c r="D598" s="42">
        <v>0</v>
      </c>
      <c r="E598" s="42">
        <v>0</v>
      </c>
      <c r="F598" s="42">
        <v>0.99751852961864451</v>
      </c>
      <c r="G598">
        <v>2.4814703813554619E-3</v>
      </c>
    </row>
    <row r="599" spans="3:7" x14ac:dyDescent="0.15">
      <c r="C599" s="43" t="s">
        <v>916</v>
      </c>
      <c r="D599" s="42">
        <v>1</v>
      </c>
      <c r="E599" s="42">
        <v>1</v>
      </c>
      <c r="F599" s="42">
        <v>5.886550444447814E-4</v>
      </c>
      <c r="G599">
        <v>0.99941134495555528</v>
      </c>
    </row>
    <row r="600" spans="3:7" x14ac:dyDescent="0.15">
      <c r="C600" s="43" t="s">
        <v>917</v>
      </c>
      <c r="D600" s="42">
        <v>0</v>
      </c>
      <c r="E600" s="42">
        <v>0</v>
      </c>
      <c r="F600" s="42">
        <v>0.98083356409527167</v>
      </c>
      <c r="G600">
        <v>1.9166435904728427E-2</v>
      </c>
    </row>
    <row r="601" spans="3:7" x14ac:dyDescent="0.15">
      <c r="C601" s="43" t="s">
        <v>918</v>
      </c>
      <c r="D601" s="42">
        <v>0</v>
      </c>
      <c r="E601" s="42">
        <v>0</v>
      </c>
      <c r="F601" s="42">
        <v>0.96101810642058194</v>
      </c>
      <c r="G601">
        <v>3.8981893579418045E-2</v>
      </c>
    </row>
    <row r="602" spans="3:7" x14ac:dyDescent="0.15">
      <c r="C602" s="43" t="s">
        <v>919</v>
      </c>
      <c r="D602" s="42">
        <v>0</v>
      </c>
      <c r="E602" s="42">
        <v>0</v>
      </c>
      <c r="F602" s="42">
        <v>0.99835445105871756</v>
      </c>
      <c r="G602">
        <v>1.6455489412824634E-3</v>
      </c>
    </row>
    <row r="603" spans="3:7" x14ac:dyDescent="0.15">
      <c r="C603" s="43" t="s">
        <v>920</v>
      </c>
      <c r="D603" s="42">
        <v>0</v>
      </c>
      <c r="E603" s="42">
        <v>0</v>
      </c>
      <c r="F603" s="42">
        <v>0.99436236044567394</v>
      </c>
      <c r="G603">
        <v>5.6376395543259608E-3</v>
      </c>
    </row>
    <row r="604" spans="3:7" x14ac:dyDescent="0.15">
      <c r="C604" s="43" t="s">
        <v>921</v>
      </c>
      <c r="D604" s="42">
        <v>0</v>
      </c>
      <c r="E604" s="42">
        <v>0</v>
      </c>
      <c r="F604" s="42">
        <v>0.98833358073236321</v>
      </c>
      <c r="G604">
        <v>1.1666419267636825E-2</v>
      </c>
    </row>
    <row r="605" spans="3:7" x14ac:dyDescent="0.15">
      <c r="C605" s="43" t="s">
        <v>922</v>
      </c>
      <c r="D605" s="42">
        <v>0</v>
      </c>
      <c r="E605" s="42">
        <v>0</v>
      </c>
      <c r="F605" s="42">
        <v>0.94124506416312792</v>
      </c>
      <c r="G605">
        <v>5.8754935836872108E-2</v>
      </c>
    </row>
    <row r="606" spans="3:7" x14ac:dyDescent="0.15">
      <c r="C606" s="43" t="s">
        <v>923</v>
      </c>
      <c r="D606" s="42">
        <v>0</v>
      </c>
      <c r="E606" s="42">
        <v>0</v>
      </c>
      <c r="F606" s="42">
        <v>0.92766610677082495</v>
      </c>
      <c r="G606">
        <v>7.2333893229175064E-2</v>
      </c>
    </row>
    <row r="607" spans="3:7" x14ac:dyDescent="0.15">
      <c r="C607" s="43" t="s">
        <v>924</v>
      </c>
      <c r="D607" s="42">
        <v>0</v>
      </c>
      <c r="E607" s="42">
        <v>0</v>
      </c>
      <c r="F607" s="42">
        <v>0.99761776127913027</v>
      </c>
      <c r="G607">
        <v>2.3822387208696193E-3</v>
      </c>
    </row>
    <row r="608" spans="3:7" x14ac:dyDescent="0.15">
      <c r="C608" s="43" t="s">
        <v>925</v>
      </c>
      <c r="D608" s="42">
        <v>0</v>
      </c>
      <c r="E608" s="42">
        <v>0</v>
      </c>
      <c r="F608" s="42">
        <v>0.98940937418723118</v>
      </c>
      <c r="G608">
        <v>1.059062581276881E-2</v>
      </c>
    </row>
    <row r="609" spans="3:7" x14ac:dyDescent="0.15">
      <c r="C609" s="43" t="s">
        <v>926</v>
      </c>
      <c r="D609" s="42">
        <v>0</v>
      </c>
      <c r="E609" s="42">
        <v>0</v>
      </c>
      <c r="F609" s="42">
        <v>0.99763586015298289</v>
      </c>
      <c r="G609">
        <v>2.3641398470171499E-3</v>
      </c>
    </row>
    <row r="610" spans="3:7" x14ac:dyDescent="0.15">
      <c r="C610" s="43" t="s">
        <v>927</v>
      </c>
      <c r="D610" s="42">
        <v>0</v>
      </c>
      <c r="E610" s="42">
        <v>0</v>
      </c>
      <c r="F610" s="42">
        <v>0.94345644611159984</v>
      </c>
      <c r="G610">
        <v>5.6543553888400148E-2</v>
      </c>
    </row>
    <row r="611" spans="3:7" x14ac:dyDescent="0.15">
      <c r="C611" s="43" t="s">
        <v>928</v>
      </c>
      <c r="D611" s="42">
        <v>1</v>
      </c>
      <c r="E611" s="42">
        <v>1</v>
      </c>
      <c r="F611" s="42">
        <v>0.34853590859332056</v>
      </c>
      <c r="G611">
        <v>0.65146409140667949</v>
      </c>
    </row>
    <row r="612" spans="3:7" x14ac:dyDescent="0.15">
      <c r="C612" s="43" t="s">
        <v>929</v>
      </c>
      <c r="D612" s="42">
        <v>0</v>
      </c>
      <c r="E612" s="42">
        <v>0</v>
      </c>
      <c r="F612" s="42">
        <v>0.80782258231659909</v>
      </c>
      <c r="G612">
        <v>0.19217741768340083</v>
      </c>
    </row>
    <row r="613" spans="3:7" x14ac:dyDescent="0.15">
      <c r="C613" s="43" t="s">
        <v>930</v>
      </c>
      <c r="D613" s="42">
        <v>0</v>
      </c>
      <c r="E613" s="42">
        <v>0</v>
      </c>
      <c r="F613" s="42">
        <v>0.84178075641679506</v>
      </c>
      <c r="G613">
        <v>0.15821924358320491</v>
      </c>
    </row>
    <row r="614" spans="3:7" x14ac:dyDescent="0.15">
      <c r="C614" s="43" t="s">
        <v>931</v>
      </c>
      <c r="D614" s="42">
        <v>0</v>
      </c>
      <c r="E614" s="42">
        <v>0</v>
      </c>
      <c r="F614" s="42">
        <v>0.99681134135290805</v>
      </c>
      <c r="G614">
        <v>3.1886586470918545E-3</v>
      </c>
    </row>
    <row r="615" spans="3:7" x14ac:dyDescent="0.15">
      <c r="C615" s="43" t="s">
        <v>932</v>
      </c>
      <c r="D615" s="42">
        <v>0</v>
      </c>
      <c r="E615" s="42">
        <v>0</v>
      </c>
      <c r="F615" s="42">
        <v>0.85257302483608022</v>
      </c>
      <c r="G615">
        <v>0.1474269751639197</v>
      </c>
    </row>
    <row r="616" spans="3:7" x14ac:dyDescent="0.15">
      <c r="C616" s="43" t="s">
        <v>933</v>
      </c>
      <c r="D616" s="42">
        <v>0</v>
      </c>
      <c r="E616" s="42">
        <v>0</v>
      </c>
      <c r="F616" s="42">
        <v>0.99746119591432902</v>
      </c>
      <c r="G616">
        <v>2.5388040856710484E-3</v>
      </c>
    </row>
    <row r="617" spans="3:7" x14ac:dyDescent="0.15">
      <c r="C617" s="43" t="s">
        <v>934</v>
      </c>
      <c r="D617" s="42">
        <v>0</v>
      </c>
      <c r="E617" s="42">
        <v>0</v>
      </c>
      <c r="F617" s="42">
        <v>0.98838237305018073</v>
      </c>
      <c r="G617">
        <v>1.1617626949819162E-2</v>
      </c>
    </row>
    <row r="618" spans="3:7" x14ac:dyDescent="0.15">
      <c r="C618" s="43" t="s">
        <v>935</v>
      </c>
      <c r="D618" s="42">
        <v>0</v>
      </c>
      <c r="E618" s="42">
        <v>0</v>
      </c>
      <c r="F618" s="42">
        <v>0.99904091814306817</v>
      </c>
      <c r="G618">
        <v>9.5908185693184219E-4</v>
      </c>
    </row>
    <row r="619" spans="3:7" x14ac:dyDescent="0.15">
      <c r="C619" s="43" t="s">
        <v>936</v>
      </c>
      <c r="D619" s="42">
        <v>0</v>
      </c>
      <c r="E619" s="42">
        <v>0</v>
      </c>
      <c r="F619" s="42">
        <v>0.997903921674831</v>
      </c>
      <c r="G619">
        <v>2.0960783251691324E-3</v>
      </c>
    </row>
    <row r="620" spans="3:7" x14ac:dyDescent="0.15">
      <c r="C620" s="43" t="s">
        <v>937</v>
      </c>
      <c r="D620" s="42">
        <v>0</v>
      </c>
      <c r="E620" s="42">
        <v>0</v>
      </c>
      <c r="F620" s="42">
        <v>0.99560275355518091</v>
      </c>
      <c r="G620">
        <v>4.3972464448189964E-3</v>
      </c>
    </row>
    <row r="621" spans="3:7" x14ac:dyDescent="0.15">
      <c r="C621" s="43" t="s">
        <v>938</v>
      </c>
      <c r="D621" s="42">
        <v>0</v>
      </c>
      <c r="E621" s="42">
        <v>0</v>
      </c>
      <c r="F621" s="42">
        <v>0.97655687541002756</v>
      </c>
      <c r="G621">
        <v>2.3443124589972556E-2</v>
      </c>
    </row>
    <row r="622" spans="3:7" x14ac:dyDescent="0.15">
      <c r="C622" s="43" t="s">
        <v>939</v>
      </c>
      <c r="D622" s="42">
        <v>0</v>
      </c>
      <c r="E622" s="42">
        <v>0</v>
      </c>
      <c r="F622" s="42">
        <v>0.86103258248088599</v>
      </c>
      <c r="G622">
        <v>0.13896741751911409</v>
      </c>
    </row>
    <row r="623" spans="3:7" x14ac:dyDescent="0.15">
      <c r="C623" s="61" t="s">
        <v>940</v>
      </c>
      <c r="D623" s="60">
        <v>0</v>
      </c>
      <c r="E623" s="60">
        <v>1</v>
      </c>
      <c r="F623" s="60">
        <v>2.2461801078920155E-2</v>
      </c>
      <c r="G623" s="59">
        <v>0.97753819892107985</v>
      </c>
    </row>
    <row r="624" spans="3:7" x14ac:dyDescent="0.15">
      <c r="C624" s="61" t="s">
        <v>941</v>
      </c>
      <c r="D624" s="60">
        <v>0</v>
      </c>
      <c r="E624" s="60">
        <v>1</v>
      </c>
      <c r="F624" s="60">
        <v>0.32128152996059284</v>
      </c>
      <c r="G624" s="59">
        <v>0.67871847003940722</v>
      </c>
    </row>
    <row r="625" spans="3:7" x14ac:dyDescent="0.15">
      <c r="C625" s="43" t="s">
        <v>942</v>
      </c>
      <c r="D625" s="42">
        <v>0</v>
      </c>
      <c r="E625" s="42">
        <v>0</v>
      </c>
      <c r="F625" s="42">
        <v>0.99980241514013068</v>
      </c>
      <c r="G625">
        <v>1.9758485986930911E-4</v>
      </c>
    </row>
    <row r="626" spans="3:7" x14ac:dyDescent="0.15">
      <c r="C626" s="43" t="s">
        <v>943</v>
      </c>
      <c r="D626" s="42">
        <v>0</v>
      </c>
      <c r="E626" s="42">
        <v>0</v>
      </c>
      <c r="F626" s="42">
        <v>0.99093174868913314</v>
      </c>
      <c r="G626">
        <v>9.0682513108668091E-3</v>
      </c>
    </row>
    <row r="627" spans="3:7" x14ac:dyDescent="0.15">
      <c r="C627" s="43" t="s">
        <v>944</v>
      </c>
      <c r="D627" s="42">
        <v>0</v>
      </c>
      <c r="E627" s="42">
        <v>0</v>
      </c>
      <c r="F627" s="42">
        <v>0.86060601221892474</v>
      </c>
      <c r="G627">
        <v>0.13939398778107531</v>
      </c>
    </row>
    <row r="628" spans="3:7" x14ac:dyDescent="0.15">
      <c r="C628" s="43" t="s">
        <v>945</v>
      </c>
      <c r="D628" s="42">
        <v>0</v>
      </c>
      <c r="E628" s="42">
        <v>0</v>
      </c>
      <c r="F628" s="42">
        <v>0.86749177118357179</v>
      </c>
      <c r="G628">
        <v>0.13250822881642826</v>
      </c>
    </row>
    <row r="629" spans="3:7" x14ac:dyDescent="0.15">
      <c r="C629" s="43" t="s">
        <v>946</v>
      </c>
      <c r="D629" s="42">
        <v>0</v>
      </c>
      <c r="E629" s="42">
        <v>0</v>
      </c>
      <c r="F629" s="42">
        <v>0.8483204675992273</v>
      </c>
      <c r="G629">
        <v>0.15167953240077262</v>
      </c>
    </row>
    <row r="630" spans="3:7" x14ac:dyDescent="0.15">
      <c r="C630" s="43" t="s">
        <v>947</v>
      </c>
      <c r="D630" s="42">
        <v>0</v>
      </c>
      <c r="E630" s="42">
        <v>0</v>
      </c>
      <c r="F630" s="42">
        <v>0.73026126840913974</v>
      </c>
      <c r="G630">
        <v>0.2697387315908602</v>
      </c>
    </row>
    <row r="631" spans="3:7" x14ac:dyDescent="0.15">
      <c r="C631" s="43" t="s">
        <v>948</v>
      </c>
      <c r="D631" s="42">
        <v>0</v>
      </c>
      <c r="E631" s="42">
        <v>0</v>
      </c>
      <c r="F631" s="42">
        <v>0.99861650758729947</v>
      </c>
      <c r="G631">
        <v>1.383492412700527E-3</v>
      </c>
    </row>
    <row r="632" spans="3:7" x14ac:dyDescent="0.15">
      <c r="C632" s="43" t="s">
        <v>949</v>
      </c>
      <c r="D632" s="42">
        <v>0</v>
      </c>
      <c r="E632" s="42">
        <v>0</v>
      </c>
      <c r="F632" s="42">
        <v>0.88261462778527155</v>
      </c>
      <c r="G632">
        <v>0.11738537221472842</v>
      </c>
    </row>
    <row r="633" spans="3:7" x14ac:dyDescent="0.15">
      <c r="C633" s="43" t="s">
        <v>950</v>
      </c>
      <c r="D633" s="42">
        <v>0</v>
      </c>
      <c r="E633" s="42">
        <v>0</v>
      </c>
      <c r="F633" s="42">
        <v>0.97654768441137452</v>
      </c>
      <c r="G633">
        <v>2.3452315588625608E-2</v>
      </c>
    </row>
    <row r="634" spans="3:7" x14ac:dyDescent="0.15">
      <c r="C634" s="43" t="s">
        <v>951</v>
      </c>
      <c r="D634" s="42">
        <v>0</v>
      </c>
      <c r="E634" s="42">
        <v>0</v>
      </c>
      <c r="F634" s="42">
        <v>0.83939469393185329</v>
      </c>
      <c r="G634">
        <v>0.16060530606814671</v>
      </c>
    </row>
    <row r="635" spans="3:7" x14ac:dyDescent="0.15">
      <c r="C635" s="43" t="s">
        <v>952</v>
      </c>
      <c r="D635" s="42">
        <v>0</v>
      </c>
      <c r="E635" s="42">
        <v>0</v>
      </c>
      <c r="F635" s="42">
        <v>0.99873071262696689</v>
      </c>
      <c r="G635">
        <v>1.2692873730330745E-3</v>
      </c>
    </row>
    <row r="636" spans="3:7" x14ac:dyDescent="0.15">
      <c r="C636" s="43" t="s">
        <v>953</v>
      </c>
      <c r="D636" s="42">
        <v>1</v>
      </c>
      <c r="E636" s="42">
        <v>1</v>
      </c>
      <c r="F636" s="42">
        <v>0.14086433812058999</v>
      </c>
      <c r="G636">
        <v>0.85913566187941004</v>
      </c>
    </row>
    <row r="637" spans="3:7" x14ac:dyDescent="0.15">
      <c r="C637" s="43" t="s">
        <v>954</v>
      </c>
      <c r="D637" s="42">
        <v>0</v>
      </c>
      <c r="E637" s="42">
        <v>0</v>
      </c>
      <c r="F637" s="42">
        <v>0.99284972163338958</v>
      </c>
      <c r="G637">
        <v>7.1502783666102885E-3</v>
      </c>
    </row>
    <row r="638" spans="3:7" x14ac:dyDescent="0.15">
      <c r="C638" s="43" t="s">
        <v>955</v>
      </c>
      <c r="D638" s="42">
        <v>0</v>
      </c>
      <c r="E638" s="42">
        <v>0</v>
      </c>
      <c r="F638" s="42">
        <v>0.96584256329985441</v>
      </c>
      <c r="G638">
        <v>3.4157436700145601E-2</v>
      </c>
    </row>
    <row r="639" spans="3:7" x14ac:dyDescent="0.15">
      <c r="C639" s="43" t="s">
        <v>956</v>
      </c>
      <c r="D639" s="42">
        <v>0</v>
      </c>
      <c r="E639" s="42">
        <v>0</v>
      </c>
      <c r="F639" s="42">
        <v>0.99529306762965297</v>
      </c>
      <c r="G639">
        <v>4.706932370347053E-3</v>
      </c>
    </row>
    <row r="640" spans="3:7" x14ac:dyDescent="0.15">
      <c r="C640" s="43" t="s">
        <v>957</v>
      </c>
      <c r="D640" s="42">
        <v>0</v>
      </c>
      <c r="E640" s="42">
        <v>0</v>
      </c>
      <c r="F640" s="42">
        <v>0.99979115699312193</v>
      </c>
      <c r="G640">
        <v>2.0884300687804E-4</v>
      </c>
    </row>
    <row r="641" spans="3:7" x14ac:dyDescent="0.15">
      <c r="C641" s="43" t="s">
        <v>958</v>
      </c>
      <c r="D641" s="42">
        <v>0</v>
      </c>
      <c r="E641" s="42">
        <v>0</v>
      </c>
      <c r="F641" s="42">
        <v>0.94275898917554268</v>
      </c>
      <c r="G641">
        <v>5.7241010824457289E-2</v>
      </c>
    </row>
    <row r="642" spans="3:7" x14ac:dyDescent="0.15">
      <c r="C642" s="43" t="s">
        <v>959</v>
      </c>
      <c r="D642" s="42">
        <v>0</v>
      </c>
      <c r="E642" s="42">
        <v>0</v>
      </c>
      <c r="F642" s="42">
        <v>0.5347130659421574</v>
      </c>
      <c r="G642">
        <v>0.46528693405784266</v>
      </c>
    </row>
    <row r="643" spans="3:7" x14ac:dyDescent="0.15">
      <c r="C643" s="43" t="s">
        <v>960</v>
      </c>
      <c r="D643" s="42">
        <v>0</v>
      </c>
      <c r="E643" s="42">
        <v>0</v>
      </c>
      <c r="F643" s="42">
        <v>0.99785968926768365</v>
      </c>
      <c r="G643">
        <v>2.140310732316407E-3</v>
      </c>
    </row>
    <row r="644" spans="3:7" x14ac:dyDescent="0.15">
      <c r="C644" s="43" t="s">
        <v>961</v>
      </c>
      <c r="D644" s="42">
        <v>0</v>
      </c>
      <c r="E644" s="42">
        <v>0</v>
      </c>
      <c r="F644" s="42">
        <v>0.99810394068544217</v>
      </c>
      <c r="G644">
        <v>1.8960593145577991E-3</v>
      </c>
    </row>
    <row r="645" spans="3:7" x14ac:dyDescent="0.15">
      <c r="C645" s="43" t="s">
        <v>962</v>
      </c>
      <c r="D645" s="42">
        <v>1</v>
      </c>
      <c r="E645" s="42">
        <v>1</v>
      </c>
      <c r="F645" s="42">
        <v>0.22709742637237051</v>
      </c>
      <c r="G645">
        <v>0.77290257362762949</v>
      </c>
    </row>
    <row r="646" spans="3:7" x14ac:dyDescent="0.15">
      <c r="C646" s="43" t="s">
        <v>963</v>
      </c>
      <c r="D646" s="42">
        <v>0</v>
      </c>
      <c r="E646" s="42">
        <v>0</v>
      </c>
      <c r="F646" s="42">
        <v>0.94059136186281689</v>
      </c>
      <c r="G646">
        <v>5.9408638137183084E-2</v>
      </c>
    </row>
    <row r="647" spans="3:7" x14ac:dyDescent="0.15">
      <c r="C647" s="43" t="s">
        <v>964</v>
      </c>
      <c r="D647" s="42">
        <v>1</v>
      </c>
      <c r="E647" s="42">
        <v>1</v>
      </c>
      <c r="F647" s="42">
        <v>1.5922506967202478E-3</v>
      </c>
      <c r="G647">
        <v>0.99840774930327969</v>
      </c>
    </row>
    <row r="648" spans="3:7" x14ac:dyDescent="0.15">
      <c r="C648" s="43" t="s">
        <v>965</v>
      </c>
      <c r="D648" s="42">
        <v>0</v>
      </c>
      <c r="E648" s="42">
        <v>0</v>
      </c>
      <c r="F648" s="42">
        <v>0.71795034046609763</v>
      </c>
      <c r="G648">
        <v>0.28204965953390243</v>
      </c>
    </row>
    <row r="649" spans="3:7" x14ac:dyDescent="0.15">
      <c r="C649" s="43" t="s">
        <v>966</v>
      </c>
      <c r="D649" s="42">
        <v>0</v>
      </c>
      <c r="E649" s="42">
        <v>0</v>
      </c>
      <c r="F649" s="42">
        <v>0.53094102511417418</v>
      </c>
      <c r="G649">
        <v>0.46905897488582587</v>
      </c>
    </row>
    <row r="650" spans="3:7" x14ac:dyDescent="0.15">
      <c r="C650" s="43" t="s">
        <v>967</v>
      </c>
      <c r="D650" s="42">
        <v>0</v>
      </c>
      <c r="E650" s="42">
        <v>0</v>
      </c>
      <c r="F650" s="42">
        <v>0.81574712210870648</v>
      </c>
      <c r="G650">
        <v>0.18425287789129347</v>
      </c>
    </row>
    <row r="651" spans="3:7" x14ac:dyDescent="0.15">
      <c r="C651" s="43" t="s">
        <v>968</v>
      </c>
      <c r="D651" s="42">
        <v>0</v>
      </c>
      <c r="E651" s="42">
        <v>0</v>
      </c>
      <c r="F651" s="42">
        <v>0.99819978705895906</v>
      </c>
      <c r="G651">
        <v>1.800212941040844E-3</v>
      </c>
    </row>
    <row r="652" spans="3:7" x14ac:dyDescent="0.15">
      <c r="C652" s="43" t="s">
        <v>969</v>
      </c>
      <c r="D652" s="42">
        <v>0</v>
      </c>
      <c r="E652" s="42">
        <v>0</v>
      </c>
      <c r="F652" s="42">
        <v>0.95855235990986098</v>
      </c>
      <c r="G652">
        <v>4.1447640090139008E-2</v>
      </c>
    </row>
    <row r="653" spans="3:7" x14ac:dyDescent="0.15">
      <c r="C653" s="43" t="s">
        <v>970</v>
      </c>
      <c r="D653" s="42">
        <v>0</v>
      </c>
      <c r="E653" s="42">
        <v>0</v>
      </c>
      <c r="F653" s="42">
        <v>0.85402971646040304</v>
      </c>
      <c r="G653">
        <v>0.14597028353959696</v>
      </c>
    </row>
    <row r="654" spans="3:7" x14ac:dyDescent="0.15">
      <c r="C654" s="43" t="s">
        <v>971</v>
      </c>
      <c r="D654" s="42">
        <v>0</v>
      </c>
      <c r="E654" s="42">
        <v>0</v>
      </c>
      <c r="F654" s="42">
        <v>0.9980600841672167</v>
      </c>
      <c r="G654">
        <v>1.9399158327834225E-3</v>
      </c>
    </row>
    <row r="655" spans="3:7" x14ac:dyDescent="0.15">
      <c r="C655" s="43" t="s">
        <v>972</v>
      </c>
      <c r="D655" s="42">
        <v>0</v>
      </c>
      <c r="E655" s="42">
        <v>0</v>
      </c>
      <c r="F655" s="42">
        <v>0.90210952095349983</v>
      </c>
      <c r="G655">
        <v>9.7890479046500084E-2</v>
      </c>
    </row>
    <row r="656" spans="3:7" x14ac:dyDescent="0.15">
      <c r="C656" s="43" t="s">
        <v>973</v>
      </c>
      <c r="D656" s="42">
        <v>0</v>
      </c>
      <c r="E656" s="42">
        <v>0</v>
      </c>
      <c r="F656" s="42">
        <v>0.99231970011052906</v>
      </c>
      <c r="G656">
        <v>7.6802998894708952E-3</v>
      </c>
    </row>
    <row r="657" spans="3:7" x14ac:dyDescent="0.15">
      <c r="C657" s="43" t="s">
        <v>974</v>
      </c>
      <c r="D657" s="42">
        <v>0</v>
      </c>
      <c r="E657" s="42">
        <v>0</v>
      </c>
      <c r="F657" s="42">
        <v>0.79225392543652473</v>
      </c>
      <c r="G657">
        <v>0.20774607456347524</v>
      </c>
    </row>
    <row r="658" spans="3:7" x14ac:dyDescent="0.15">
      <c r="C658" s="43" t="s">
        <v>975</v>
      </c>
      <c r="D658" s="42">
        <v>0</v>
      </c>
      <c r="E658" s="42">
        <v>0</v>
      </c>
      <c r="F658" s="42">
        <v>0.625855710265665</v>
      </c>
      <c r="G658">
        <v>0.37414428973433494</v>
      </c>
    </row>
    <row r="659" spans="3:7" x14ac:dyDescent="0.15">
      <c r="C659" s="61" t="s">
        <v>976</v>
      </c>
      <c r="D659" s="60">
        <v>0</v>
      </c>
      <c r="E659" s="60">
        <v>1</v>
      </c>
      <c r="F659" s="60">
        <v>0.27122393882939655</v>
      </c>
      <c r="G659" s="59">
        <v>0.72877606117060345</v>
      </c>
    </row>
    <row r="660" spans="3:7" x14ac:dyDescent="0.15">
      <c r="C660" s="61" t="s">
        <v>977</v>
      </c>
      <c r="D660" s="60">
        <v>0</v>
      </c>
      <c r="E660" s="60">
        <v>1</v>
      </c>
      <c r="F660" s="60">
        <v>0.21810650544991497</v>
      </c>
      <c r="G660" s="59">
        <v>0.78189349455008506</v>
      </c>
    </row>
    <row r="661" spans="3:7" x14ac:dyDescent="0.15">
      <c r="C661" s="61" t="s">
        <v>978</v>
      </c>
      <c r="D661" s="60">
        <v>0</v>
      </c>
      <c r="E661" s="60">
        <v>1</v>
      </c>
      <c r="F661" s="60">
        <v>0.45765612167594882</v>
      </c>
      <c r="G661" s="59">
        <v>0.54234387832405118</v>
      </c>
    </row>
    <row r="662" spans="3:7" x14ac:dyDescent="0.15">
      <c r="C662" s="43" t="s">
        <v>979</v>
      </c>
      <c r="D662" s="42">
        <v>0</v>
      </c>
      <c r="E662" s="42">
        <v>0</v>
      </c>
      <c r="F662" s="42">
        <v>0.98345986247581663</v>
      </c>
      <c r="G662">
        <v>1.6540137524183308E-2</v>
      </c>
    </row>
    <row r="663" spans="3:7" x14ac:dyDescent="0.15">
      <c r="C663" s="43" t="s">
        <v>980</v>
      </c>
      <c r="D663" s="42">
        <v>0</v>
      </c>
      <c r="E663" s="42">
        <v>0</v>
      </c>
      <c r="F663" s="42">
        <v>0.98217019243545278</v>
      </c>
      <c r="G663">
        <v>1.7829807564547082E-2</v>
      </c>
    </row>
    <row r="664" spans="3:7" x14ac:dyDescent="0.15">
      <c r="C664" s="43" t="s">
        <v>981</v>
      </c>
      <c r="D664" s="42">
        <v>0</v>
      </c>
      <c r="E664" s="42">
        <v>0</v>
      </c>
      <c r="F664" s="42">
        <v>0.93086331435768566</v>
      </c>
      <c r="G664">
        <v>6.9136685642314469E-2</v>
      </c>
    </row>
    <row r="665" spans="3:7" x14ac:dyDescent="0.15">
      <c r="C665" s="43" t="s">
        <v>982</v>
      </c>
      <c r="D665" s="42">
        <v>0</v>
      </c>
      <c r="E665" s="42">
        <v>0</v>
      </c>
      <c r="F665" s="42">
        <v>0.72520924605682924</v>
      </c>
      <c r="G665">
        <v>0.27479075394317082</v>
      </c>
    </row>
    <row r="666" spans="3:7" x14ac:dyDescent="0.15">
      <c r="C666" s="43" t="s">
        <v>983</v>
      </c>
      <c r="D666" s="42">
        <v>0</v>
      </c>
      <c r="E666" s="42">
        <v>0</v>
      </c>
      <c r="F666" s="42">
        <v>0.97998812187242801</v>
      </c>
      <c r="G666">
        <v>2.0011878127572109E-2</v>
      </c>
    </row>
    <row r="667" spans="3:7" x14ac:dyDescent="0.15">
      <c r="C667" s="43" t="s">
        <v>984</v>
      </c>
      <c r="D667" s="42">
        <v>0</v>
      </c>
      <c r="E667" s="42">
        <v>0</v>
      </c>
      <c r="F667" s="42">
        <v>0.69821003695227546</v>
      </c>
      <c r="G667">
        <v>0.30178996304772454</v>
      </c>
    </row>
    <row r="668" spans="3:7" x14ac:dyDescent="0.15">
      <c r="C668" s="43" t="s">
        <v>985</v>
      </c>
      <c r="D668" s="42">
        <v>0</v>
      </c>
      <c r="E668" s="42">
        <v>0</v>
      </c>
      <c r="F668" s="42">
        <v>0.99986187529280657</v>
      </c>
      <c r="G668">
        <v>1.3812470719341095E-4</v>
      </c>
    </row>
    <row r="669" spans="3:7" x14ac:dyDescent="0.15">
      <c r="C669" s="43" t="s">
        <v>986</v>
      </c>
      <c r="D669" s="42">
        <v>0</v>
      </c>
      <c r="E669" s="42">
        <v>0</v>
      </c>
      <c r="F669" s="42">
        <v>0.99964994230305004</v>
      </c>
      <c r="G669">
        <v>3.500576969498768E-4</v>
      </c>
    </row>
    <row r="670" spans="3:7" x14ac:dyDescent="0.15">
      <c r="C670" s="43" t="s">
        <v>987</v>
      </c>
      <c r="D670" s="42">
        <v>0</v>
      </c>
      <c r="E670" s="42">
        <v>0</v>
      </c>
      <c r="F670" s="42">
        <v>0.97434629710368215</v>
      </c>
      <c r="G670">
        <v>2.5653702896317861E-2</v>
      </c>
    </row>
    <row r="671" spans="3:7" x14ac:dyDescent="0.15">
      <c r="C671" s="43" t="s">
        <v>988</v>
      </c>
      <c r="D671" s="42">
        <v>0</v>
      </c>
      <c r="E671" s="42">
        <v>0</v>
      </c>
      <c r="F671" s="42">
        <v>0.91232645999474327</v>
      </c>
      <c r="G671">
        <v>8.7673540005256748E-2</v>
      </c>
    </row>
    <row r="672" spans="3:7" x14ac:dyDescent="0.15">
      <c r="C672" s="43" t="s">
        <v>989</v>
      </c>
      <c r="D672" s="42">
        <v>0</v>
      </c>
      <c r="E672" s="42">
        <v>0</v>
      </c>
      <c r="F672" s="42">
        <v>0.98750953509441919</v>
      </c>
      <c r="G672">
        <v>1.2490464905580907E-2</v>
      </c>
    </row>
    <row r="673" spans="3:7" x14ac:dyDescent="0.15">
      <c r="C673" s="43" t="s">
        <v>990</v>
      </c>
      <c r="D673" s="42">
        <v>1</v>
      </c>
      <c r="E673" s="42">
        <v>1</v>
      </c>
      <c r="F673" s="42">
        <v>2.2286323774311262E-3</v>
      </c>
      <c r="G673">
        <v>0.99777136762256902</v>
      </c>
    </row>
    <row r="674" spans="3:7" x14ac:dyDescent="0.15">
      <c r="C674" s="61" t="s">
        <v>991</v>
      </c>
      <c r="D674" s="60">
        <v>0</v>
      </c>
      <c r="E674" s="60">
        <v>1</v>
      </c>
      <c r="F674" s="60">
        <v>0.2454647322126888</v>
      </c>
      <c r="G674" s="59">
        <v>0.75453526778731117</v>
      </c>
    </row>
    <row r="675" spans="3:7" x14ac:dyDescent="0.15">
      <c r="C675" s="43" t="s">
        <v>992</v>
      </c>
      <c r="D675" s="42">
        <v>0</v>
      </c>
      <c r="E675" s="42">
        <v>0</v>
      </c>
      <c r="F675" s="42">
        <v>0.99333671241972854</v>
      </c>
      <c r="G675">
        <v>6.6632875802714406E-3</v>
      </c>
    </row>
    <row r="676" spans="3:7" x14ac:dyDescent="0.15">
      <c r="C676" s="43" t="s">
        <v>993</v>
      </c>
      <c r="D676" s="42">
        <v>1</v>
      </c>
      <c r="E676" s="42">
        <v>1</v>
      </c>
      <c r="F676" s="42">
        <v>1.3435530047156421E-3</v>
      </c>
      <c r="G676">
        <v>0.99865644699528433</v>
      </c>
    </row>
    <row r="677" spans="3:7" x14ac:dyDescent="0.15">
      <c r="C677" s="43" t="s">
        <v>994</v>
      </c>
      <c r="D677" s="42">
        <v>0</v>
      </c>
      <c r="E677" s="42">
        <v>0</v>
      </c>
      <c r="F677" s="42">
        <v>0.84640867589249125</v>
      </c>
      <c r="G677">
        <v>0.15359132410750875</v>
      </c>
    </row>
    <row r="678" spans="3:7" x14ac:dyDescent="0.15">
      <c r="C678" s="61" t="s">
        <v>995</v>
      </c>
      <c r="D678" s="60">
        <v>0</v>
      </c>
      <c r="E678" s="60">
        <v>1</v>
      </c>
      <c r="F678" s="60">
        <v>0.14709217267310745</v>
      </c>
      <c r="G678" s="59">
        <v>0.85290782732689252</v>
      </c>
    </row>
    <row r="679" spans="3:7" x14ac:dyDescent="0.15">
      <c r="C679" s="43" t="s">
        <v>996</v>
      </c>
      <c r="D679" s="42">
        <v>0</v>
      </c>
      <c r="E679" s="42">
        <v>0</v>
      </c>
      <c r="F679" s="42">
        <v>0.96047607664962731</v>
      </c>
      <c r="G679">
        <v>3.9523923350372581E-2</v>
      </c>
    </row>
    <row r="680" spans="3:7" x14ac:dyDescent="0.15">
      <c r="C680" s="61" t="s">
        <v>997</v>
      </c>
      <c r="D680" s="60">
        <v>0</v>
      </c>
      <c r="E680" s="60">
        <v>1</v>
      </c>
      <c r="F680" s="60">
        <v>5.1059197196625959E-2</v>
      </c>
      <c r="G680" s="59">
        <v>0.94894080280337401</v>
      </c>
    </row>
    <row r="681" spans="3:7" x14ac:dyDescent="0.15">
      <c r="C681" s="43" t="s">
        <v>998</v>
      </c>
      <c r="D681" s="42">
        <v>0</v>
      </c>
      <c r="E681" s="42">
        <v>0</v>
      </c>
      <c r="F681" s="42">
        <v>0.97492399696310672</v>
      </c>
      <c r="G681">
        <v>2.507600303689337E-2</v>
      </c>
    </row>
    <row r="682" spans="3:7" x14ac:dyDescent="0.15">
      <c r="C682" s="43" t="s">
        <v>999</v>
      </c>
      <c r="D682" s="42">
        <v>0</v>
      </c>
      <c r="E682" s="42">
        <v>0</v>
      </c>
      <c r="F682" s="42">
        <v>0.96559463897706133</v>
      </c>
      <c r="G682">
        <v>3.4405361022938639E-2</v>
      </c>
    </row>
    <row r="683" spans="3:7" x14ac:dyDescent="0.15">
      <c r="C683" s="43" t="s">
        <v>1000</v>
      </c>
      <c r="D683" s="42">
        <v>0</v>
      </c>
      <c r="E683" s="42">
        <v>0</v>
      </c>
      <c r="F683" s="42">
        <v>0.63638659379631546</v>
      </c>
      <c r="G683">
        <v>0.36361340620368449</v>
      </c>
    </row>
    <row r="684" spans="3:7" x14ac:dyDescent="0.15">
      <c r="C684" s="43" t="s">
        <v>1001</v>
      </c>
      <c r="D684" s="42">
        <v>1</v>
      </c>
      <c r="E684" s="42">
        <v>1</v>
      </c>
      <c r="F684" s="42">
        <v>9.2253045110379503E-2</v>
      </c>
      <c r="G684">
        <v>0.90774695488962054</v>
      </c>
    </row>
    <row r="685" spans="3:7" x14ac:dyDescent="0.15">
      <c r="C685" s="43" t="s">
        <v>1002</v>
      </c>
      <c r="D685" s="42">
        <v>0</v>
      </c>
      <c r="E685" s="42">
        <v>0</v>
      </c>
      <c r="F685" s="42">
        <v>0.93482979076821204</v>
      </c>
      <c r="G685">
        <v>6.5170209231787832E-2</v>
      </c>
    </row>
    <row r="686" spans="3:7" x14ac:dyDescent="0.15">
      <c r="C686" s="43" t="s">
        <v>1003</v>
      </c>
      <c r="D686" s="42">
        <v>0</v>
      </c>
      <c r="E686" s="42">
        <v>0</v>
      </c>
      <c r="F686" s="42">
        <v>0.99713052808248548</v>
      </c>
      <c r="G686">
        <v>2.8694719175144864E-3</v>
      </c>
    </row>
    <row r="687" spans="3:7" x14ac:dyDescent="0.15">
      <c r="C687" s="43" t="s">
        <v>1004</v>
      </c>
      <c r="D687" s="42">
        <v>0</v>
      </c>
      <c r="E687" s="42">
        <v>0</v>
      </c>
      <c r="F687" s="42">
        <v>0.99605446329078384</v>
      </c>
      <c r="G687">
        <v>3.9455367092160413E-3</v>
      </c>
    </row>
    <row r="688" spans="3:7" x14ac:dyDescent="0.15">
      <c r="C688" s="43" t="s">
        <v>1005</v>
      </c>
      <c r="D688" s="42">
        <v>0</v>
      </c>
      <c r="E688" s="42">
        <v>0</v>
      </c>
      <c r="F688" s="42">
        <v>0.96281689460794662</v>
      </c>
      <c r="G688">
        <v>3.7183105392053467E-2</v>
      </c>
    </row>
    <row r="689" spans="3:7" x14ac:dyDescent="0.15">
      <c r="C689" s="43" t="s">
        <v>1006</v>
      </c>
      <c r="D689" s="42">
        <v>0</v>
      </c>
      <c r="E689" s="42">
        <v>0</v>
      </c>
      <c r="F689" s="42">
        <v>0.75234853419902104</v>
      </c>
      <c r="G689">
        <v>0.24765146580097896</v>
      </c>
    </row>
    <row r="690" spans="3:7" x14ac:dyDescent="0.15">
      <c r="C690" s="43" t="s">
        <v>1007</v>
      </c>
      <c r="D690" s="42">
        <v>0</v>
      </c>
      <c r="E690" s="42">
        <v>0</v>
      </c>
      <c r="F690" s="42">
        <v>0.7641001191133201</v>
      </c>
      <c r="G690">
        <v>0.23589988088667987</v>
      </c>
    </row>
    <row r="691" spans="3:7" x14ac:dyDescent="0.15">
      <c r="C691" s="43" t="s">
        <v>1008</v>
      </c>
      <c r="D691" s="42">
        <v>0</v>
      </c>
      <c r="E691" s="42">
        <v>0</v>
      </c>
      <c r="F691" s="42">
        <v>0.93202749570676036</v>
      </c>
      <c r="G691">
        <v>6.7972504293239672E-2</v>
      </c>
    </row>
    <row r="692" spans="3:7" x14ac:dyDescent="0.15">
      <c r="C692" s="43" t="s">
        <v>1009</v>
      </c>
      <c r="D692" s="42">
        <v>1</v>
      </c>
      <c r="E692" s="42">
        <v>1</v>
      </c>
      <c r="F692" s="42">
        <v>0.28171172001432382</v>
      </c>
      <c r="G692">
        <v>0.71828827998567624</v>
      </c>
    </row>
    <row r="693" spans="3:7" x14ac:dyDescent="0.15">
      <c r="C693" s="43" t="s">
        <v>1010</v>
      </c>
      <c r="D693" s="42">
        <v>0</v>
      </c>
      <c r="E693" s="42">
        <v>0</v>
      </c>
      <c r="F693" s="42">
        <v>0.7596016571795593</v>
      </c>
      <c r="G693">
        <v>0.24039834282044073</v>
      </c>
    </row>
    <row r="694" spans="3:7" x14ac:dyDescent="0.15">
      <c r="C694" s="43" t="s">
        <v>1011</v>
      </c>
      <c r="D694" s="42">
        <v>0</v>
      </c>
      <c r="E694" s="42">
        <v>0</v>
      </c>
      <c r="F694" s="42">
        <v>0.65075635795045528</v>
      </c>
      <c r="G694">
        <v>0.34924364204954467</v>
      </c>
    </row>
    <row r="695" spans="3:7" x14ac:dyDescent="0.15">
      <c r="C695" s="43" t="s">
        <v>1012</v>
      </c>
      <c r="D695" s="42">
        <v>0</v>
      </c>
      <c r="E695" s="42">
        <v>0</v>
      </c>
      <c r="F695" s="42">
        <v>0.91071007378599422</v>
      </c>
      <c r="G695">
        <v>8.9289926214005819E-2</v>
      </c>
    </row>
    <row r="696" spans="3:7" x14ac:dyDescent="0.15">
      <c r="C696" s="43" t="s">
        <v>1013</v>
      </c>
      <c r="D696" s="42">
        <v>0</v>
      </c>
      <c r="E696" s="42">
        <v>0</v>
      </c>
      <c r="F696" s="42">
        <v>0.98934302802517371</v>
      </c>
      <c r="G696">
        <v>1.0656971974826207E-2</v>
      </c>
    </row>
    <row r="697" spans="3:7" x14ac:dyDescent="0.15">
      <c r="C697" s="43" t="s">
        <v>1014</v>
      </c>
      <c r="D697" s="42">
        <v>0</v>
      </c>
      <c r="E697" s="42">
        <v>0</v>
      </c>
      <c r="F697" s="42">
        <v>0.91140501138915542</v>
      </c>
      <c r="G697">
        <v>8.8594988610844638E-2</v>
      </c>
    </row>
    <row r="698" spans="3:7" x14ac:dyDescent="0.15">
      <c r="C698" s="43" t="s">
        <v>1015</v>
      </c>
      <c r="D698" s="42">
        <v>0</v>
      </c>
      <c r="E698" s="42">
        <v>0</v>
      </c>
      <c r="F698" s="42">
        <v>0.88107810233730122</v>
      </c>
      <c r="G698">
        <v>0.11892189766269884</v>
      </c>
    </row>
    <row r="699" spans="3:7" x14ac:dyDescent="0.15">
      <c r="C699" s="61" t="s">
        <v>1016</v>
      </c>
      <c r="D699" s="60">
        <v>1</v>
      </c>
      <c r="E699" s="60">
        <v>0</v>
      </c>
      <c r="F699" s="60">
        <v>0.89016800592883394</v>
      </c>
      <c r="G699" s="59">
        <v>0.10983199407116613</v>
      </c>
    </row>
    <row r="700" spans="3:7" x14ac:dyDescent="0.15">
      <c r="C700" s="43" t="s">
        <v>1017</v>
      </c>
      <c r="D700" s="42">
        <v>0</v>
      </c>
      <c r="E700" s="42">
        <v>0</v>
      </c>
      <c r="F700" s="42">
        <v>0.96538278498215602</v>
      </c>
      <c r="G700">
        <v>3.4617215017843976E-2</v>
      </c>
    </row>
    <row r="701" spans="3:7" x14ac:dyDescent="0.15">
      <c r="C701" s="43" t="s">
        <v>1018</v>
      </c>
      <c r="D701" s="42">
        <v>0</v>
      </c>
      <c r="E701" s="42">
        <v>0</v>
      </c>
      <c r="F701" s="42">
        <v>0.91671793670258306</v>
      </c>
      <c r="G701">
        <v>8.3282063297416858E-2</v>
      </c>
    </row>
    <row r="702" spans="3:7" x14ac:dyDescent="0.15">
      <c r="C702" s="43" t="s">
        <v>1019</v>
      </c>
      <c r="D702" s="42">
        <v>0</v>
      </c>
      <c r="E702" s="42">
        <v>0</v>
      </c>
      <c r="F702" s="42">
        <v>0.99930735271208149</v>
      </c>
      <c r="G702">
        <v>6.9264728791847954E-4</v>
      </c>
    </row>
    <row r="703" spans="3:7" x14ac:dyDescent="0.15">
      <c r="C703" s="43" t="s">
        <v>1020</v>
      </c>
      <c r="D703" s="42">
        <v>0</v>
      </c>
      <c r="E703" s="42">
        <v>0</v>
      </c>
      <c r="F703" s="42">
        <v>0.97508706714273652</v>
      </c>
      <c r="G703">
        <v>2.4912932857263426E-2</v>
      </c>
    </row>
    <row r="704" spans="3:7" x14ac:dyDescent="0.15">
      <c r="C704" s="43" t="s">
        <v>1021</v>
      </c>
      <c r="D704" s="42">
        <v>1</v>
      </c>
      <c r="E704" s="42">
        <v>1</v>
      </c>
      <c r="F704" s="42">
        <v>0.19883263226165102</v>
      </c>
      <c r="G704">
        <v>0.80116736773834896</v>
      </c>
    </row>
    <row r="705" spans="3:7" x14ac:dyDescent="0.15">
      <c r="C705" s="43" t="s">
        <v>1022</v>
      </c>
      <c r="D705" s="42">
        <v>0</v>
      </c>
      <c r="E705" s="42">
        <v>0</v>
      </c>
      <c r="F705" s="42">
        <v>0.99596223110430815</v>
      </c>
      <c r="G705">
        <v>4.0377688956919058E-3</v>
      </c>
    </row>
    <row r="706" spans="3:7" x14ac:dyDescent="0.15">
      <c r="C706" s="43" t="s">
        <v>1023</v>
      </c>
      <c r="D706" s="42">
        <v>0</v>
      </c>
      <c r="E706" s="42">
        <v>0</v>
      </c>
      <c r="F706" s="42">
        <v>0.96994200835192834</v>
      </c>
      <c r="G706">
        <v>3.0057991648071748E-2</v>
      </c>
    </row>
    <row r="707" spans="3:7" x14ac:dyDescent="0.15">
      <c r="C707" s="43" t="s">
        <v>1024</v>
      </c>
      <c r="D707" s="42">
        <v>0</v>
      </c>
      <c r="E707" s="42">
        <v>0</v>
      </c>
      <c r="F707" s="42">
        <v>0.93850399326623779</v>
      </c>
      <c r="G707">
        <v>6.1496006733762161E-2</v>
      </c>
    </row>
    <row r="708" spans="3:7" x14ac:dyDescent="0.15">
      <c r="C708" s="43" t="s">
        <v>1025</v>
      </c>
      <c r="D708" s="42">
        <v>0</v>
      </c>
      <c r="E708" s="42">
        <v>0</v>
      </c>
      <c r="F708" s="42">
        <v>0.99989450950308156</v>
      </c>
      <c r="G708">
        <v>1.0549049691829222E-4</v>
      </c>
    </row>
    <row r="709" spans="3:7" x14ac:dyDescent="0.15">
      <c r="C709" s="43" t="s">
        <v>1026</v>
      </c>
      <c r="D709" s="42">
        <v>0</v>
      </c>
      <c r="E709" s="42">
        <v>0</v>
      </c>
      <c r="F709" s="42">
        <v>0.82865977475966079</v>
      </c>
      <c r="G709">
        <v>0.17134022524033929</v>
      </c>
    </row>
    <row r="710" spans="3:7" x14ac:dyDescent="0.15">
      <c r="C710" s="43" t="s">
        <v>1027</v>
      </c>
      <c r="D710" s="42">
        <v>0</v>
      </c>
      <c r="E710" s="42">
        <v>0</v>
      </c>
      <c r="F710" s="42">
        <v>0.74065815573938187</v>
      </c>
      <c r="G710">
        <v>0.25934184426061818</v>
      </c>
    </row>
    <row r="711" spans="3:7" x14ac:dyDescent="0.15">
      <c r="C711" s="43" t="s">
        <v>1028</v>
      </c>
      <c r="D711" s="42">
        <v>0</v>
      </c>
      <c r="E711" s="42">
        <v>0</v>
      </c>
      <c r="F711" s="42">
        <v>0.98506758547469486</v>
      </c>
      <c r="G711">
        <v>1.4932414525305131E-2</v>
      </c>
    </row>
    <row r="712" spans="3:7" x14ac:dyDescent="0.15">
      <c r="C712" s="61" t="s">
        <v>1029</v>
      </c>
      <c r="D712" s="60">
        <v>0</v>
      </c>
      <c r="E712" s="60">
        <v>1</v>
      </c>
      <c r="F712" s="60">
        <v>0.28710696867344809</v>
      </c>
      <c r="G712" s="59">
        <v>0.7128930313265518</v>
      </c>
    </row>
    <row r="713" spans="3:7" x14ac:dyDescent="0.15">
      <c r="C713" s="43" t="s">
        <v>1030</v>
      </c>
      <c r="D713" s="42">
        <v>0</v>
      </c>
      <c r="E713" s="42">
        <v>0</v>
      </c>
      <c r="F713" s="42">
        <v>0.96581336493710002</v>
      </c>
      <c r="G713">
        <v>3.4186635062900005E-2</v>
      </c>
    </row>
    <row r="714" spans="3:7" x14ac:dyDescent="0.15">
      <c r="C714" s="43" t="s">
        <v>1031</v>
      </c>
      <c r="D714" s="42">
        <v>0</v>
      </c>
      <c r="E714" s="42">
        <v>0</v>
      </c>
      <c r="F714" s="42">
        <v>0.94523912990794012</v>
      </c>
      <c r="G714">
        <v>5.4760870092060009E-2</v>
      </c>
    </row>
    <row r="715" spans="3:7" x14ac:dyDescent="0.15">
      <c r="C715" s="43" t="s">
        <v>1032</v>
      </c>
      <c r="D715" s="42">
        <v>0</v>
      </c>
      <c r="E715" s="42">
        <v>0</v>
      </c>
      <c r="F715" s="42">
        <v>0.97826308132710293</v>
      </c>
      <c r="G715">
        <v>2.1736918672896989E-2</v>
      </c>
    </row>
    <row r="716" spans="3:7" x14ac:dyDescent="0.15">
      <c r="C716" s="43" t="s">
        <v>1033</v>
      </c>
      <c r="D716" s="42">
        <v>0</v>
      </c>
      <c r="E716" s="42">
        <v>0</v>
      </c>
      <c r="F716" s="42">
        <v>0.99919187027443512</v>
      </c>
      <c r="G716">
        <v>8.0812972556497105E-4</v>
      </c>
    </row>
    <row r="717" spans="3:7" x14ac:dyDescent="0.15">
      <c r="C717" s="43" t="s">
        <v>1034</v>
      </c>
      <c r="D717" s="42">
        <v>0</v>
      </c>
      <c r="E717" s="42">
        <v>0</v>
      </c>
      <c r="F717" s="42">
        <v>0.99542027271222355</v>
      </c>
      <c r="G717">
        <v>4.5797272877763509E-3</v>
      </c>
    </row>
    <row r="718" spans="3:7" x14ac:dyDescent="0.15">
      <c r="C718" s="43" t="s">
        <v>1035</v>
      </c>
      <c r="D718" s="42">
        <v>0</v>
      </c>
      <c r="E718" s="42">
        <v>0</v>
      </c>
      <c r="F718" s="42">
        <v>0.99610409150640689</v>
      </c>
      <c r="G718">
        <v>3.8959084935931061E-3</v>
      </c>
    </row>
    <row r="719" spans="3:7" x14ac:dyDescent="0.15">
      <c r="C719" s="43" t="s">
        <v>1036</v>
      </c>
      <c r="D719" s="42">
        <v>0</v>
      </c>
      <c r="E719" s="42">
        <v>0</v>
      </c>
      <c r="F719" s="42">
        <v>0.98209676468048435</v>
      </c>
      <c r="G719">
        <v>1.7903235319515556E-2</v>
      </c>
    </row>
    <row r="720" spans="3:7" x14ac:dyDescent="0.15">
      <c r="C720" s="43" t="s">
        <v>1037</v>
      </c>
      <c r="D720" s="42">
        <v>0</v>
      </c>
      <c r="E720" s="42">
        <v>0</v>
      </c>
      <c r="F720" s="42">
        <v>0.92049208885247291</v>
      </c>
      <c r="G720">
        <v>7.9507911147527074E-2</v>
      </c>
    </row>
    <row r="721" spans="3:7" x14ac:dyDescent="0.15">
      <c r="C721" s="43" t="s">
        <v>1038</v>
      </c>
      <c r="D721" s="42">
        <v>0</v>
      </c>
      <c r="E721" s="42">
        <v>0</v>
      </c>
      <c r="F721" s="42">
        <v>0.99812775257646236</v>
      </c>
      <c r="G721">
        <v>1.8722474235375714E-3</v>
      </c>
    </row>
    <row r="722" spans="3:7" x14ac:dyDescent="0.15">
      <c r="C722" s="43" t="s">
        <v>1039</v>
      </c>
      <c r="D722" s="42">
        <v>0</v>
      </c>
      <c r="E722" s="42">
        <v>0</v>
      </c>
      <c r="F722" s="42">
        <v>0.81024113466070902</v>
      </c>
      <c r="G722">
        <v>0.18975886533929104</v>
      </c>
    </row>
    <row r="723" spans="3:7" x14ac:dyDescent="0.15">
      <c r="C723" s="43" t="s">
        <v>1040</v>
      </c>
      <c r="D723" s="42">
        <v>1</v>
      </c>
      <c r="E723" s="42">
        <v>1</v>
      </c>
      <c r="F723" s="42">
        <v>5.4343915989645223E-3</v>
      </c>
      <c r="G723">
        <v>0.99456560840103558</v>
      </c>
    </row>
    <row r="724" spans="3:7" x14ac:dyDescent="0.15">
      <c r="C724" s="43" t="s">
        <v>1041</v>
      </c>
      <c r="D724" s="42">
        <v>1</v>
      </c>
      <c r="E724" s="42">
        <v>1</v>
      </c>
      <c r="F724" s="42">
        <v>2.3656709963492801E-2</v>
      </c>
      <c r="G724">
        <v>0.97634329003650722</v>
      </c>
    </row>
    <row r="725" spans="3:7" x14ac:dyDescent="0.15">
      <c r="C725" s="61" t="s">
        <v>1042</v>
      </c>
      <c r="D725" s="60">
        <v>0</v>
      </c>
      <c r="E725" s="60">
        <v>1</v>
      </c>
      <c r="F725" s="60">
        <v>0.38611719083787061</v>
      </c>
      <c r="G725" s="59">
        <v>0.61388280916212945</v>
      </c>
    </row>
    <row r="726" spans="3:7" x14ac:dyDescent="0.15">
      <c r="C726" s="43" t="s">
        <v>1043</v>
      </c>
      <c r="D726" s="42">
        <v>0</v>
      </c>
      <c r="E726" s="42">
        <v>0</v>
      </c>
      <c r="F726" s="42">
        <v>0.80067620467446987</v>
      </c>
      <c r="G726">
        <v>0.19932379532553013</v>
      </c>
    </row>
    <row r="727" spans="3:7" x14ac:dyDescent="0.15">
      <c r="C727" s="43" t="s">
        <v>1044</v>
      </c>
      <c r="D727" s="42">
        <v>0</v>
      </c>
      <c r="E727" s="42">
        <v>0</v>
      </c>
      <c r="F727" s="42">
        <v>0.96749299756851137</v>
      </c>
      <c r="G727">
        <v>3.2507002431488505E-2</v>
      </c>
    </row>
    <row r="728" spans="3:7" x14ac:dyDescent="0.15">
      <c r="C728" s="43" t="s">
        <v>1045</v>
      </c>
      <c r="D728" s="42">
        <v>0</v>
      </c>
      <c r="E728" s="42">
        <v>0</v>
      </c>
      <c r="F728" s="42">
        <v>0.96836006565475574</v>
      </c>
      <c r="G728">
        <v>3.1639934345244133E-2</v>
      </c>
    </row>
    <row r="729" spans="3:7" x14ac:dyDescent="0.15">
      <c r="C729" s="43" t="s">
        <v>1046</v>
      </c>
      <c r="D729" s="42">
        <v>0</v>
      </c>
      <c r="E729" s="42">
        <v>0</v>
      </c>
      <c r="F729" s="42">
        <v>0.97357163274452185</v>
      </c>
      <c r="G729">
        <v>2.6428367255478039E-2</v>
      </c>
    </row>
    <row r="730" spans="3:7" x14ac:dyDescent="0.15">
      <c r="C730" s="43" t="s">
        <v>1047</v>
      </c>
      <c r="D730" s="42">
        <v>1</v>
      </c>
      <c r="E730" s="42">
        <v>1</v>
      </c>
      <c r="F730" s="42">
        <v>1.6906103152846727E-2</v>
      </c>
      <c r="G730">
        <v>0.98309389684715331</v>
      </c>
    </row>
    <row r="731" spans="3:7" x14ac:dyDescent="0.15">
      <c r="C731" s="43" t="s">
        <v>1048</v>
      </c>
      <c r="D731" s="42">
        <v>0</v>
      </c>
      <c r="E731" s="42">
        <v>0</v>
      </c>
      <c r="F731" s="42">
        <v>0.99953286052313317</v>
      </c>
      <c r="G731">
        <v>4.6713947686692175E-4</v>
      </c>
    </row>
    <row r="732" spans="3:7" x14ac:dyDescent="0.15">
      <c r="C732" s="43" t="s">
        <v>1049</v>
      </c>
      <c r="D732" s="42">
        <v>0</v>
      </c>
      <c r="E732" s="42">
        <v>0</v>
      </c>
      <c r="F732" s="42">
        <v>0.99702755695721657</v>
      </c>
      <c r="G732">
        <v>2.9724430427833693E-3</v>
      </c>
    </row>
    <row r="733" spans="3:7" x14ac:dyDescent="0.15">
      <c r="C733" s="43" t="s">
        <v>1050</v>
      </c>
      <c r="D733" s="42">
        <v>0</v>
      </c>
      <c r="E733" s="42">
        <v>0</v>
      </c>
      <c r="F733" s="42">
        <v>0.99682696941240734</v>
      </c>
      <c r="G733">
        <v>3.1730305875925513E-3</v>
      </c>
    </row>
    <row r="734" spans="3:7" x14ac:dyDescent="0.15">
      <c r="C734" s="43" t="s">
        <v>1051</v>
      </c>
      <c r="D734" s="42">
        <v>0</v>
      </c>
      <c r="E734" s="42">
        <v>0</v>
      </c>
      <c r="F734" s="42">
        <v>0.84133630615398591</v>
      </c>
      <c r="G734">
        <v>0.15866369384601417</v>
      </c>
    </row>
    <row r="735" spans="3:7" x14ac:dyDescent="0.15">
      <c r="C735" s="43" t="s">
        <v>1052</v>
      </c>
      <c r="D735" s="42">
        <v>0</v>
      </c>
      <c r="E735" s="42">
        <v>0</v>
      </c>
      <c r="F735" s="42">
        <v>0.99609325766529744</v>
      </c>
      <c r="G735">
        <v>3.906742334702595E-3</v>
      </c>
    </row>
    <row r="736" spans="3:7" x14ac:dyDescent="0.15">
      <c r="C736" s="43" t="s">
        <v>1053</v>
      </c>
      <c r="D736" s="42">
        <v>0</v>
      </c>
      <c r="E736" s="42">
        <v>0</v>
      </c>
      <c r="F736" s="42">
        <v>0.99949557201004557</v>
      </c>
      <c r="G736">
        <v>5.0442798995428456E-4</v>
      </c>
    </row>
    <row r="737" spans="3:7" x14ac:dyDescent="0.15">
      <c r="C737" s="61" t="s">
        <v>1054</v>
      </c>
      <c r="D737" s="60">
        <v>1</v>
      </c>
      <c r="E737" s="60">
        <v>0</v>
      </c>
      <c r="F737" s="60">
        <v>0.71381951188561554</v>
      </c>
      <c r="G737" s="59">
        <v>0.28618048811438446</v>
      </c>
    </row>
    <row r="738" spans="3:7" x14ac:dyDescent="0.15">
      <c r="C738" s="43" t="s">
        <v>1055</v>
      </c>
      <c r="D738" s="42">
        <v>0</v>
      </c>
      <c r="E738" s="42">
        <v>0</v>
      </c>
      <c r="F738" s="42">
        <v>0.63296683630687678</v>
      </c>
      <c r="G738">
        <v>0.36703316369312328</v>
      </c>
    </row>
    <row r="739" spans="3:7" x14ac:dyDescent="0.15">
      <c r="C739" s="43" t="s">
        <v>1056</v>
      </c>
      <c r="D739" s="42">
        <v>0</v>
      </c>
      <c r="E739" s="42">
        <v>0</v>
      </c>
      <c r="F739" s="42">
        <v>0.99804927487431971</v>
      </c>
      <c r="G739">
        <v>1.9507251256803348E-3</v>
      </c>
    </row>
    <row r="740" spans="3:7" x14ac:dyDescent="0.15">
      <c r="C740" s="43" t="s">
        <v>1057</v>
      </c>
      <c r="D740" s="42">
        <v>0</v>
      </c>
      <c r="E740" s="42">
        <v>0</v>
      </c>
      <c r="F740" s="42">
        <v>0.97948224481245216</v>
      </c>
      <c r="G740">
        <v>2.0517755187547764E-2</v>
      </c>
    </row>
    <row r="741" spans="3:7" x14ac:dyDescent="0.15">
      <c r="C741" s="43" t="s">
        <v>1058</v>
      </c>
      <c r="D741" s="42">
        <v>0</v>
      </c>
      <c r="E741" s="42">
        <v>0</v>
      </c>
      <c r="F741" s="42">
        <v>0.99266988607327011</v>
      </c>
      <c r="G741">
        <v>7.330113926729903E-3</v>
      </c>
    </row>
    <row r="742" spans="3:7" x14ac:dyDescent="0.15">
      <c r="C742" s="43" t="s">
        <v>1059</v>
      </c>
      <c r="D742" s="42">
        <v>0</v>
      </c>
      <c r="E742" s="42">
        <v>0</v>
      </c>
      <c r="F742" s="42">
        <v>0.99880615766906844</v>
      </c>
      <c r="G742">
        <v>1.1938423309315691E-3</v>
      </c>
    </row>
    <row r="743" spans="3:7" x14ac:dyDescent="0.15">
      <c r="C743" s="43" t="s">
        <v>1060</v>
      </c>
      <c r="D743" s="42">
        <v>0</v>
      </c>
      <c r="E743" s="42">
        <v>0</v>
      </c>
      <c r="F743" s="42">
        <v>0.99459293953605954</v>
      </c>
      <c r="G743">
        <v>5.4070604639404017E-3</v>
      </c>
    </row>
    <row r="744" spans="3:7" x14ac:dyDescent="0.15">
      <c r="C744" s="43" t="s">
        <v>1061</v>
      </c>
      <c r="D744" s="42">
        <v>1</v>
      </c>
      <c r="E744" s="42">
        <v>1</v>
      </c>
      <c r="F744" s="42">
        <v>0.11044953133793767</v>
      </c>
      <c r="G744">
        <v>0.88955046866206233</v>
      </c>
    </row>
    <row r="745" spans="3:7" x14ac:dyDescent="0.15">
      <c r="C745" s="43" t="s">
        <v>1062</v>
      </c>
      <c r="D745" s="42">
        <v>0</v>
      </c>
      <c r="E745" s="42">
        <v>0</v>
      </c>
      <c r="F745" s="42">
        <v>0.93368087679201195</v>
      </c>
      <c r="G745">
        <v>6.6319123207987968E-2</v>
      </c>
    </row>
    <row r="746" spans="3:7" x14ac:dyDescent="0.15">
      <c r="C746" s="43" t="s">
        <v>1063</v>
      </c>
      <c r="D746" s="42">
        <v>0</v>
      </c>
      <c r="E746" s="42">
        <v>0</v>
      </c>
      <c r="F746" s="42">
        <v>0.90110011206143947</v>
      </c>
      <c r="G746">
        <v>9.8899887938560554E-2</v>
      </c>
    </row>
    <row r="747" spans="3:7" x14ac:dyDescent="0.15">
      <c r="C747" s="43" t="s">
        <v>1064</v>
      </c>
      <c r="D747" s="42">
        <v>1</v>
      </c>
      <c r="E747" s="42">
        <v>1</v>
      </c>
      <c r="F747" s="42">
        <v>3.3832667190893367E-2</v>
      </c>
      <c r="G747">
        <v>0.96616733280910672</v>
      </c>
    </row>
    <row r="748" spans="3:7" x14ac:dyDescent="0.15">
      <c r="C748" s="43" t="s">
        <v>1065</v>
      </c>
      <c r="D748" s="42">
        <v>0</v>
      </c>
      <c r="E748" s="42">
        <v>0</v>
      </c>
      <c r="F748" s="42">
        <v>0.99833446694866479</v>
      </c>
      <c r="G748">
        <v>1.665533051335204E-3</v>
      </c>
    </row>
    <row r="749" spans="3:7" x14ac:dyDescent="0.15">
      <c r="C749" s="43" t="s">
        <v>1066</v>
      </c>
      <c r="D749" s="42">
        <v>1</v>
      </c>
      <c r="E749" s="42">
        <v>1</v>
      </c>
      <c r="F749" s="42">
        <v>3.2610627327640208E-3</v>
      </c>
      <c r="G749">
        <v>0.99673893726723595</v>
      </c>
    </row>
    <row r="750" spans="3:7" x14ac:dyDescent="0.15">
      <c r="C750" s="43" t="s">
        <v>1067</v>
      </c>
      <c r="D750" s="42">
        <v>0</v>
      </c>
      <c r="E750" s="42">
        <v>0</v>
      </c>
      <c r="F750" s="42">
        <v>0.90494970625935478</v>
      </c>
      <c r="G750">
        <v>9.5050293740645331E-2</v>
      </c>
    </row>
    <row r="751" spans="3:7" x14ac:dyDescent="0.15">
      <c r="C751" s="43" t="s">
        <v>1068</v>
      </c>
      <c r="D751" s="42">
        <v>0</v>
      </c>
      <c r="E751" s="42">
        <v>0</v>
      </c>
      <c r="F751" s="42">
        <v>0.93930875917920909</v>
      </c>
      <c r="G751">
        <v>6.069124082079104E-2</v>
      </c>
    </row>
    <row r="752" spans="3:7" x14ac:dyDescent="0.15">
      <c r="C752" s="43" t="s">
        <v>1069</v>
      </c>
      <c r="D752" s="42">
        <v>0</v>
      </c>
      <c r="E752" s="42">
        <v>0</v>
      </c>
      <c r="F752" s="42">
        <v>0.97460129778234861</v>
      </c>
      <c r="G752">
        <v>2.5398702217651437E-2</v>
      </c>
    </row>
    <row r="753" spans="3:7" x14ac:dyDescent="0.15">
      <c r="C753" s="43" t="s">
        <v>1070</v>
      </c>
      <c r="D753" s="42">
        <v>0</v>
      </c>
      <c r="E753" s="42">
        <v>0</v>
      </c>
      <c r="F753" s="42">
        <v>0.9886689500390895</v>
      </c>
      <c r="G753">
        <v>1.1331049960910517E-2</v>
      </c>
    </row>
    <row r="754" spans="3:7" x14ac:dyDescent="0.15">
      <c r="C754" s="43" t="s">
        <v>1071</v>
      </c>
      <c r="D754" s="42">
        <v>0</v>
      </c>
      <c r="E754" s="42">
        <v>0</v>
      </c>
      <c r="F754" s="42">
        <v>0.86216634272214265</v>
      </c>
      <c r="G754">
        <v>0.13783365727785737</v>
      </c>
    </row>
    <row r="755" spans="3:7" x14ac:dyDescent="0.15">
      <c r="C755" s="43" t="s">
        <v>1072</v>
      </c>
      <c r="D755" s="42">
        <v>0</v>
      </c>
      <c r="E755" s="42">
        <v>0</v>
      </c>
      <c r="F755" s="42">
        <v>0.98871963055193623</v>
      </c>
      <c r="G755">
        <v>1.1280369448063871E-2</v>
      </c>
    </row>
    <row r="756" spans="3:7" x14ac:dyDescent="0.15">
      <c r="C756" s="43" t="s">
        <v>1073</v>
      </c>
      <c r="D756" s="42">
        <v>0</v>
      </c>
      <c r="E756" s="42">
        <v>0</v>
      </c>
      <c r="F756" s="42">
        <v>0.99869088444651244</v>
      </c>
      <c r="G756">
        <v>1.3091155534875479E-3</v>
      </c>
    </row>
    <row r="757" spans="3:7" x14ac:dyDescent="0.15">
      <c r="C757" s="43" t="s">
        <v>1074</v>
      </c>
      <c r="D757" s="42">
        <v>0</v>
      </c>
      <c r="E757" s="42">
        <v>0</v>
      </c>
      <c r="F757" s="42">
        <v>0.87574859836595698</v>
      </c>
      <c r="G757">
        <v>0.12425140163404312</v>
      </c>
    </row>
    <row r="758" spans="3:7" x14ac:dyDescent="0.15">
      <c r="C758" s="43" t="s">
        <v>1075</v>
      </c>
      <c r="D758" s="42">
        <v>0</v>
      </c>
      <c r="E758" s="42">
        <v>0</v>
      </c>
      <c r="F758" s="42">
        <v>0.97936503957368237</v>
      </c>
      <c r="G758">
        <v>2.0634960426317694E-2</v>
      </c>
    </row>
    <row r="759" spans="3:7" x14ac:dyDescent="0.15">
      <c r="C759" s="61" t="s">
        <v>1076</v>
      </c>
      <c r="D759" s="60">
        <v>0</v>
      </c>
      <c r="E759" s="60">
        <v>1</v>
      </c>
      <c r="F759" s="60">
        <v>0.18524999674388945</v>
      </c>
      <c r="G759" s="59">
        <v>0.81475000325611058</v>
      </c>
    </row>
    <row r="760" spans="3:7" x14ac:dyDescent="0.15">
      <c r="C760" s="43" t="s">
        <v>1077</v>
      </c>
      <c r="D760" s="42">
        <v>1</v>
      </c>
      <c r="E760" s="42">
        <v>1</v>
      </c>
      <c r="F760" s="42">
        <v>1.0912010647095299E-2</v>
      </c>
      <c r="G760">
        <v>0.98908798935290465</v>
      </c>
    </row>
    <row r="761" spans="3:7" x14ac:dyDescent="0.15">
      <c r="C761" s="43" t="s">
        <v>1078</v>
      </c>
      <c r="D761" s="42">
        <v>0</v>
      </c>
      <c r="E761" s="42">
        <v>0</v>
      </c>
      <c r="F761" s="42">
        <v>0.99724026505047692</v>
      </c>
      <c r="G761">
        <v>2.7597349495230381E-3</v>
      </c>
    </row>
    <row r="762" spans="3:7" x14ac:dyDescent="0.15">
      <c r="C762" s="43" t="s">
        <v>1079</v>
      </c>
      <c r="D762" s="42">
        <v>0</v>
      </c>
      <c r="E762" s="42">
        <v>0</v>
      </c>
      <c r="F762" s="42">
        <v>0.97062673372396968</v>
      </c>
      <c r="G762">
        <v>2.9373266276030315E-2</v>
      </c>
    </row>
    <row r="763" spans="3:7" x14ac:dyDescent="0.15">
      <c r="C763" s="43" t="s">
        <v>1080</v>
      </c>
      <c r="D763" s="42">
        <v>0</v>
      </c>
      <c r="E763" s="42">
        <v>0</v>
      </c>
      <c r="F763" s="42">
        <v>0.99960715725341309</v>
      </c>
      <c r="G763">
        <v>3.9284274658699651E-4</v>
      </c>
    </row>
    <row r="764" spans="3:7" x14ac:dyDescent="0.15">
      <c r="C764" s="43" t="s">
        <v>1081</v>
      </c>
      <c r="D764" s="42">
        <v>0</v>
      </c>
      <c r="E764" s="42">
        <v>0</v>
      </c>
      <c r="F764" s="42">
        <v>0.9969206614154752</v>
      </c>
      <c r="G764">
        <v>3.0793385845248578E-3</v>
      </c>
    </row>
    <row r="765" spans="3:7" x14ac:dyDescent="0.15">
      <c r="C765" s="43" t="s">
        <v>1082</v>
      </c>
      <c r="D765" s="42">
        <v>0</v>
      </c>
      <c r="E765" s="42">
        <v>0</v>
      </c>
      <c r="F765" s="42">
        <v>0.97012235483899445</v>
      </c>
      <c r="G765">
        <v>2.9877645161005429E-2</v>
      </c>
    </row>
    <row r="766" spans="3:7" x14ac:dyDescent="0.15">
      <c r="C766" s="43" t="s">
        <v>1083</v>
      </c>
      <c r="D766" s="42">
        <v>1</v>
      </c>
      <c r="E766" s="42">
        <v>1</v>
      </c>
      <c r="F766" s="42">
        <v>3.3989666814475089E-3</v>
      </c>
      <c r="G766">
        <v>0.99660103331855254</v>
      </c>
    </row>
    <row r="767" spans="3:7" x14ac:dyDescent="0.15">
      <c r="C767" s="43" t="s">
        <v>1084</v>
      </c>
      <c r="D767" s="42">
        <v>0</v>
      </c>
      <c r="E767" s="42">
        <v>0</v>
      </c>
      <c r="F767" s="42">
        <v>0.99849684784768156</v>
      </c>
      <c r="G767">
        <v>1.5031521523183738E-3</v>
      </c>
    </row>
    <row r="768" spans="3:7" x14ac:dyDescent="0.15">
      <c r="C768" s="43" t="s">
        <v>1085</v>
      </c>
      <c r="D768" s="42">
        <v>0</v>
      </c>
      <c r="E768" s="42">
        <v>0</v>
      </c>
      <c r="F768" s="42">
        <v>0.99960094576374814</v>
      </c>
      <c r="G768">
        <v>3.9905423625181171E-4</v>
      </c>
    </row>
    <row r="769" spans="3:7" x14ac:dyDescent="0.15">
      <c r="C769" s="61" t="s">
        <v>1086</v>
      </c>
      <c r="D769" s="60">
        <v>0</v>
      </c>
      <c r="E769" s="60">
        <v>1</v>
      </c>
      <c r="F769" s="60">
        <v>9.1106097717528117E-2</v>
      </c>
      <c r="G769" s="59">
        <v>0.90889390228247191</v>
      </c>
    </row>
    <row r="770" spans="3:7" x14ac:dyDescent="0.15">
      <c r="C770" s="43" t="s">
        <v>1087</v>
      </c>
      <c r="D770" s="42">
        <v>0</v>
      </c>
      <c r="E770" s="42">
        <v>0</v>
      </c>
      <c r="F770" s="42">
        <v>0.97433269403666622</v>
      </c>
      <c r="G770">
        <v>2.5667305963333772E-2</v>
      </c>
    </row>
    <row r="771" spans="3:7" x14ac:dyDescent="0.15">
      <c r="C771" s="43" t="s">
        <v>1088</v>
      </c>
      <c r="D771" s="42">
        <v>0</v>
      </c>
      <c r="E771" s="42">
        <v>0</v>
      </c>
      <c r="F771" s="42">
        <v>0.99860821841108816</v>
      </c>
      <c r="G771">
        <v>1.3917815889118292E-3</v>
      </c>
    </row>
    <row r="772" spans="3:7" x14ac:dyDescent="0.15">
      <c r="C772" s="61" t="s">
        <v>1089</v>
      </c>
      <c r="D772" s="60">
        <v>0</v>
      </c>
      <c r="E772" s="60">
        <v>1</v>
      </c>
      <c r="F772" s="60">
        <v>0.27328744331448207</v>
      </c>
      <c r="G772" s="59">
        <v>0.72671255668551793</v>
      </c>
    </row>
    <row r="773" spans="3:7" x14ac:dyDescent="0.15">
      <c r="C773" s="43" t="s">
        <v>1090</v>
      </c>
      <c r="D773" s="42">
        <v>1</v>
      </c>
      <c r="E773" s="42">
        <v>1</v>
      </c>
      <c r="F773" s="42">
        <v>0.31419954897040531</v>
      </c>
      <c r="G773">
        <v>0.68580045102959475</v>
      </c>
    </row>
    <row r="774" spans="3:7" x14ac:dyDescent="0.15">
      <c r="C774" s="61" t="s">
        <v>1091</v>
      </c>
      <c r="D774" s="60">
        <v>1</v>
      </c>
      <c r="E774" s="60">
        <v>0</v>
      </c>
      <c r="F774" s="60">
        <v>0.95473616142750239</v>
      </c>
      <c r="G774" s="59">
        <v>4.5263838572497515E-2</v>
      </c>
    </row>
    <row r="775" spans="3:7" x14ac:dyDescent="0.15">
      <c r="C775" s="43" t="s">
        <v>1092</v>
      </c>
      <c r="D775" s="42">
        <v>0</v>
      </c>
      <c r="E775" s="42">
        <v>0</v>
      </c>
      <c r="F775" s="42">
        <v>0.99424572658474275</v>
      </c>
      <c r="G775">
        <v>5.7542734152572919E-3</v>
      </c>
    </row>
    <row r="776" spans="3:7" x14ac:dyDescent="0.15">
      <c r="C776" s="43" t="s">
        <v>1093</v>
      </c>
      <c r="D776" s="42">
        <v>0</v>
      </c>
      <c r="E776" s="42">
        <v>0</v>
      </c>
      <c r="F776" s="42">
        <v>0.99979481355910116</v>
      </c>
      <c r="G776">
        <v>2.0518644089873074E-4</v>
      </c>
    </row>
    <row r="777" spans="3:7" x14ac:dyDescent="0.15">
      <c r="C777" s="43" t="s">
        <v>1094</v>
      </c>
      <c r="D777" s="42">
        <v>0</v>
      </c>
      <c r="E777" s="42">
        <v>0</v>
      </c>
      <c r="F777" s="42">
        <v>0.98083946049925941</v>
      </c>
      <c r="G777">
        <v>1.9160539500740606E-2</v>
      </c>
    </row>
    <row r="778" spans="3:7" x14ac:dyDescent="0.15">
      <c r="C778" s="43" t="s">
        <v>1095</v>
      </c>
      <c r="D778" s="42">
        <v>1</v>
      </c>
      <c r="E778" s="42">
        <v>1</v>
      </c>
      <c r="F778" s="42">
        <v>3.4396470941575686E-3</v>
      </c>
      <c r="G778">
        <v>0.99656035290584244</v>
      </c>
    </row>
    <row r="779" spans="3:7" x14ac:dyDescent="0.15">
      <c r="C779" s="43" t="s">
        <v>1096</v>
      </c>
      <c r="D779" s="42">
        <v>0</v>
      </c>
      <c r="E779" s="42">
        <v>0</v>
      </c>
      <c r="F779" s="42">
        <v>0.99863377750006477</v>
      </c>
      <c r="G779">
        <v>1.3662224999352241E-3</v>
      </c>
    </row>
    <row r="780" spans="3:7" x14ac:dyDescent="0.15">
      <c r="C780" s="43" t="s">
        <v>1097</v>
      </c>
      <c r="D780" s="42">
        <v>0</v>
      </c>
      <c r="E780" s="42">
        <v>0</v>
      </c>
      <c r="F780" s="42">
        <v>0.99379794459337489</v>
      </c>
      <c r="G780">
        <v>6.2020554066251499E-3</v>
      </c>
    </row>
    <row r="781" spans="3:7" x14ac:dyDescent="0.15">
      <c r="C781" s="43" t="s">
        <v>1098</v>
      </c>
      <c r="D781" s="42">
        <v>0</v>
      </c>
      <c r="E781" s="42">
        <v>0</v>
      </c>
      <c r="F781" s="42">
        <v>0.99602991139793284</v>
      </c>
      <c r="G781">
        <v>3.9700886020670604E-3</v>
      </c>
    </row>
    <row r="782" spans="3:7" x14ac:dyDescent="0.15">
      <c r="C782" s="43" t="s">
        <v>1099</v>
      </c>
      <c r="D782" s="42">
        <v>0</v>
      </c>
      <c r="E782" s="42">
        <v>0</v>
      </c>
      <c r="F782" s="42">
        <v>0.99886286634348587</v>
      </c>
      <c r="G782">
        <v>1.1371336565141571E-3</v>
      </c>
    </row>
    <row r="783" spans="3:7" x14ac:dyDescent="0.15">
      <c r="C783" s="43" t="s">
        <v>1100</v>
      </c>
      <c r="D783" s="42">
        <v>0</v>
      </c>
      <c r="E783" s="42">
        <v>0</v>
      </c>
      <c r="F783" s="42">
        <v>0.99984478269946508</v>
      </c>
      <c r="G783">
        <v>1.5521730053493472E-4</v>
      </c>
    </row>
    <row r="784" spans="3:7" x14ac:dyDescent="0.15">
      <c r="C784" s="43" t="s">
        <v>1101</v>
      </c>
      <c r="D784" s="42">
        <v>0</v>
      </c>
      <c r="E784" s="42">
        <v>0</v>
      </c>
      <c r="F784" s="42">
        <v>0.71879553510305727</v>
      </c>
      <c r="G784">
        <v>0.28120446489694267</v>
      </c>
    </row>
    <row r="785" spans="3:7" x14ac:dyDescent="0.15">
      <c r="C785" s="43" t="s">
        <v>1102</v>
      </c>
      <c r="D785" s="42">
        <v>0</v>
      </c>
      <c r="E785" s="42">
        <v>0</v>
      </c>
      <c r="F785" s="42">
        <v>0.9959929286390512</v>
      </c>
      <c r="G785">
        <v>4.0070713609488334E-3</v>
      </c>
    </row>
    <row r="786" spans="3:7" x14ac:dyDescent="0.15">
      <c r="C786" s="43" t="s">
        <v>1103</v>
      </c>
      <c r="D786" s="42">
        <v>0</v>
      </c>
      <c r="E786" s="42">
        <v>0</v>
      </c>
      <c r="F786" s="42">
        <v>0.99786120267647049</v>
      </c>
      <c r="G786">
        <v>2.1387973235294511E-3</v>
      </c>
    </row>
    <row r="787" spans="3:7" x14ac:dyDescent="0.15">
      <c r="C787" s="61" t="s">
        <v>1104</v>
      </c>
      <c r="D787" s="60">
        <v>0</v>
      </c>
      <c r="E787" s="60">
        <v>1</v>
      </c>
      <c r="F787" s="60">
        <v>1.759923474626645E-2</v>
      </c>
      <c r="G787" s="59">
        <v>0.98240076525373354</v>
      </c>
    </row>
    <row r="788" spans="3:7" x14ac:dyDescent="0.15">
      <c r="C788" s="43" t="s">
        <v>1105</v>
      </c>
      <c r="D788" s="42">
        <v>0</v>
      </c>
      <c r="E788" s="42">
        <v>0</v>
      </c>
      <c r="F788" s="42">
        <v>0.9980420609650057</v>
      </c>
      <c r="G788">
        <v>1.9579390349942138E-3</v>
      </c>
    </row>
    <row r="789" spans="3:7" x14ac:dyDescent="0.15">
      <c r="C789" s="61" t="s">
        <v>1106</v>
      </c>
      <c r="D789" s="60">
        <v>0</v>
      </c>
      <c r="E789" s="60">
        <v>1</v>
      </c>
      <c r="F789" s="60">
        <v>2.133848626321275E-2</v>
      </c>
      <c r="G789" s="59">
        <v>0.97866151373678734</v>
      </c>
    </row>
    <row r="790" spans="3:7" x14ac:dyDescent="0.15">
      <c r="C790" s="43" t="s">
        <v>1107</v>
      </c>
      <c r="D790" s="42">
        <v>0</v>
      </c>
      <c r="E790" s="42">
        <v>0</v>
      </c>
      <c r="F790" s="42">
        <v>0.99532422130139819</v>
      </c>
      <c r="G790">
        <v>4.6757786986017617E-3</v>
      </c>
    </row>
    <row r="791" spans="3:7" x14ac:dyDescent="0.15">
      <c r="C791" s="43" t="s">
        <v>1108</v>
      </c>
      <c r="D791" s="42">
        <v>0</v>
      </c>
      <c r="E791" s="42">
        <v>0</v>
      </c>
      <c r="F791" s="42">
        <v>0.99957559646624161</v>
      </c>
      <c r="G791">
        <v>4.2440353375851325E-4</v>
      </c>
    </row>
    <row r="792" spans="3:7" x14ac:dyDescent="0.15">
      <c r="C792" s="43" t="s">
        <v>1109</v>
      </c>
      <c r="D792" s="42">
        <v>0</v>
      </c>
      <c r="E792" s="42">
        <v>0</v>
      </c>
      <c r="F792" s="42">
        <v>0.99914752433021325</v>
      </c>
      <c r="G792">
        <v>8.5247566978682659E-4</v>
      </c>
    </row>
    <row r="793" spans="3:7" x14ac:dyDescent="0.15">
      <c r="C793" s="43" t="s">
        <v>1110</v>
      </c>
      <c r="D793" s="42">
        <v>0</v>
      </c>
      <c r="E793" s="42">
        <v>0</v>
      </c>
      <c r="F793" s="42">
        <v>0.98031643020692405</v>
      </c>
      <c r="G793">
        <v>1.9683569793075877E-2</v>
      </c>
    </row>
    <row r="794" spans="3:7" x14ac:dyDescent="0.15">
      <c r="C794" s="43" t="s">
        <v>1111</v>
      </c>
      <c r="D794" s="42">
        <v>0</v>
      </c>
      <c r="E794" s="42">
        <v>0</v>
      </c>
      <c r="F794" s="42">
        <v>0.81757775038620017</v>
      </c>
      <c r="G794">
        <v>0.1824222496137998</v>
      </c>
    </row>
    <row r="795" spans="3:7" x14ac:dyDescent="0.15">
      <c r="C795" s="61" t="s">
        <v>1112</v>
      </c>
      <c r="D795" s="60">
        <v>0</v>
      </c>
      <c r="E795" s="60">
        <v>1</v>
      </c>
      <c r="F795" s="60">
        <v>0.11756991257875507</v>
      </c>
      <c r="G795" s="59">
        <v>0.88243008742124496</v>
      </c>
    </row>
    <row r="796" spans="3:7" x14ac:dyDescent="0.15">
      <c r="C796" s="43" t="s">
        <v>1113</v>
      </c>
      <c r="D796" s="42">
        <v>0</v>
      </c>
      <c r="E796" s="42">
        <v>0</v>
      </c>
      <c r="F796" s="42">
        <v>0.88963708396472185</v>
      </c>
      <c r="G796">
        <v>0.11036291603527815</v>
      </c>
    </row>
    <row r="797" spans="3:7" x14ac:dyDescent="0.15">
      <c r="C797" s="61" t="s">
        <v>1114</v>
      </c>
      <c r="D797" s="60">
        <v>1</v>
      </c>
      <c r="E797" s="60">
        <v>0</v>
      </c>
      <c r="F797" s="60">
        <v>0.56739027531986452</v>
      </c>
      <c r="G797" s="59">
        <v>0.43260972468013559</v>
      </c>
    </row>
    <row r="798" spans="3:7" x14ac:dyDescent="0.15">
      <c r="C798" s="43" t="s">
        <v>1115</v>
      </c>
      <c r="D798" s="42">
        <v>0</v>
      </c>
      <c r="E798" s="42">
        <v>0</v>
      </c>
      <c r="F798" s="42">
        <v>0.90108259415813741</v>
      </c>
      <c r="G798">
        <v>9.8917405841862552E-2</v>
      </c>
    </row>
    <row r="799" spans="3:7" x14ac:dyDescent="0.15">
      <c r="C799" s="43" t="s">
        <v>1116</v>
      </c>
      <c r="D799" s="42">
        <v>0</v>
      </c>
      <c r="E799" s="42">
        <v>0</v>
      </c>
      <c r="F799" s="42">
        <v>0.96849450822227012</v>
      </c>
      <c r="G799">
        <v>3.1505491777729995E-2</v>
      </c>
    </row>
    <row r="800" spans="3:7" x14ac:dyDescent="0.15">
      <c r="C800" s="43" t="s">
        <v>1117</v>
      </c>
      <c r="D800" s="42">
        <v>0</v>
      </c>
      <c r="E800" s="42">
        <v>0</v>
      </c>
      <c r="F800" s="42">
        <v>0.95462287059293371</v>
      </c>
      <c r="G800">
        <v>4.5377129407066362E-2</v>
      </c>
    </row>
    <row r="801" spans="3:7" x14ac:dyDescent="0.15">
      <c r="C801" s="43" t="s">
        <v>1118</v>
      </c>
      <c r="D801" s="42">
        <v>0</v>
      </c>
      <c r="E801" s="42">
        <v>0</v>
      </c>
      <c r="F801" s="42">
        <v>0.95684628271499816</v>
      </c>
      <c r="G801">
        <v>4.3153717285001815E-2</v>
      </c>
    </row>
    <row r="802" spans="3:7" x14ac:dyDescent="0.15">
      <c r="C802" s="43" t="s">
        <v>1119</v>
      </c>
      <c r="D802" s="42">
        <v>0</v>
      </c>
      <c r="E802" s="42">
        <v>0</v>
      </c>
      <c r="F802" s="42">
        <v>0.99946004125591426</v>
      </c>
      <c r="G802">
        <v>5.3995874408565377E-4</v>
      </c>
    </row>
    <row r="803" spans="3:7" x14ac:dyDescent="0.15">
      <c r="C803" s="43" t="s">
        <v>1120</v>
      </c>
      <c r="D803" s="42">
        <v>0</v>
      </c>
      <c r="E803" s="42">
        <v>0</v>
      </c>
      <c r="F803" s="42">
        <v>0.76503673503032665</v>
      </c>
      <c r="G803">
        <v>0.23496326496967329</v>
      </c>
    </row>
    <row r="804" spans="3:7" x14ac:dyDescent="0.15">
      <c r="C804" s="43" t="s">
        <v>1121</v>
      </c>
      <c r="D804" s="42">
        <v>0</v>
      </c>
      <c r="E804" s="42">
        <v>0</v>
      </c>
      <c r="F804" s="42">
        <v>0.9298730498287372</v>
      </c>
      <c r="G804">
        <v>7.0126950171262914E-2</v>
      </c>
    </row>
    <row r="805" spans="3:7" x14ac:dyDescent="0.15">
      <c r="C805" s="43" t="s">
        <v>1122</v>
      </c>
      <c r="D805" s="42">
        <v>0</v>
      </c>
      <c r="E805" s="42">
        <v>0</v>
      </c>
      <c r="F805" s="42">
        <v>0.52932833755947661</v>
      </c>
      <c r="G805">
        <v>0.47067166244052344</v>
      </c>
    </row>
    <row r="806" spans="3:7" x14ac:dyDescent="0.15">
      <c r="C806" s="43" t="s">
        <v>1123</v>
      </c>
      <c r="D806" s="42">
        <v>0</v>
      </c>
      <c r="E806" s="42">
        <v>0</v>
      </c>
      <c r="F806" s="42">
        <v>0.99951053982540339</v>
      </c>
      <c r="G806">
        <v>4.8946017459660512E-4</v>
      </c>
    </row>
    <row r="807" spans="3:7" x14ac:dyDescent="0.15">
      <c r="C807" s="43" t="s">
        <v>1124</v>
      </c>
      <c r="D807" s="42">
        <v>0</v>
      </c>
      <c r="E807" s="42">
        <v>0</v>
      </c>
      <c r="F807" s="42">
        <v>0.82593082880772273</v>
      </c>
      <c r="G807">
        <v>0.17406917119227722</v>
      </c>
    </row>
    <row r="808" spans="3:7" x14ac:dyDescent="0.15">
      <c r="C808" s="43" t="s">
        <v>1125</v>
      </c>
      <c r="D808" s="42">
        <v>0</v>
      </c>
      <c r="E808" s="42">
        <v>0</v>
      </c>
      <c r="F808" s="42">
        <v>0.97338638820292989</v>
      </c>
      <c r="G808">
        <v>2.6613611797070055E-2</v>
      </c>
    </row>
    <row r="809" spans="3:7" x14ac:dyDescent="0.15">
      <c r="C809" s="43" t="s">
        <v>1126</v>
      </c>
      <c r="D809" s="42">
        <v>0</v>
      </c>
      <c r="E809" s="42">
        <v>0</v>
      </c>
      <c r="F809" s="42">
        <v>0.95147114567049829</v>
      </c>
      <c r="G809">
        <v>4.8528854329501749E-2</v>
      </c>
    </row>
    <row r="810" spans="3:7" x14ac:dyDescent="0.15">
      <c r="C810" s="43" t="s">
        <v>1127</v>
      </c>
      <c r="D810" s="42">
        <v>0</v>
      </c>
      <c r="E810" s="42">
        <v>0</v>
      </c>
      <c r="F810" s="42">
        <v>0.96264347905535075</v>
      </c>
      <c r="G810">
        <v>3.7356520944649273E-2</v>
      </c>
    </row>
    <row r="811" spans="3:7" x14ac:dyDescent="0.15">
      <c r="C811" s="43" t="s">
        <v>1128</v>
      </c>
      <c r="D811" s="42">
        <v>0</v>
      </c>
      <c r="E811" s="42">
        <v>0</v>
      </c>
      <c r="F811" s="42">
        <v>0.98056569221459711</v>
      </c>
      <c r="G811">
        <v>1.9434307785402848E-2</v>
      </c>
    </row>
    <row r="812" spans="3:7" x14ac:dyDescent="0.15">
      <c r="C812" s="43" t="s">
        <v>1129</v>
      </c>
      <c r="D812" s="42">
        <v>0</v>
      </c>
      <c r="E812" s="42">
        <v>0</v>
      </c>
      <c r="F812" s="42">
        <v>0.99495213271165039</v>
      </c>
      <c r="G812">
        <v>5.0478672883495172E-3</v>
      </c>
    </row>
    <row r="813" spans="3:7" x14ac:dyDescent="0.15">
      <c r="C813" s="43" t="s">
        <v>1130</v>
      </c>
      <c r="D813" s="42">
        <v>0</v>
      </c>
      <c r="E813" s="42">
        <v>0</v>
      </c>
      <c r="F813" s="42">
        <v>0.99821252819654371</v>
      </c>
      <c r="G813">
        <v>1.787471803456315E-3</v>
      </c>
    </row>
    <row r="814" spans="3:7" x14ac:dyDescent="0.15">
      <c r="C814" s="61" t="s">
        <v>1131</v>
      </c>
      <c r="D814" s="60">
        <v>0</v>
      </c>
      <c r="E814" s="60">
        <v>1</v>
      </c>
      <c r="F814" s="60">
        <v>0.31936530555380249</v>
      </c>
      <c r="G814" s="59">
        <v>0.68063469444619751</v>
      </c>
    </row>
    <row r="815" spans="3:7" x14ac:dyDescent="0.15">
      <c r="C815" s="43" t="s">
        <v>1132</v>
      </c>
      <c r="D815" s="42">
        <v>0</v>
      </c>
      <c r="E815" s="42">
        <v>0</v>
      </c>
      <c r="F815" s="42">
        <v>0.98915553942726997</v>
      </c>
      <c r="G815">
        <v>1.0844460572730063E-2</v>
      </c>
    </row>
    <row r="816" spans="3:7" x14ac:dyDescent="0.15">
      <c r="C816" s="61" t="s">
        <v>1133</v>
      </c>
      <c r="D816" s="60">
        <v>0</v>
      </c>
      <c r="E816" s="60">
        <v>1</v>
      </c>
      <c r="F816" s="60">
        <v>8.6205761906802361E-2</v>
      </c>
      <c r="G816" s="59">
        <v>0.91379423809319771</v>
      </c>
    </row>
    <row r="817" spans="3:7" x14ac:dyDescent="0.15">
      <c r="C817" s="43" t="s">
        <v>1134</v>
      </c>
      <c r="D817" s="42">
        <v>0</v>
      </c>
      <c r="E817" s="42">
        <v>0</v>
      </c>
      <c r="F817" s="42">
        <v>0.92847054890094849</v>
      </c>
      <c r="G817">
        <v>7.1529451099051441E-2</v>
      </c>
    </row>
    <row r="818" spans="3:7" x14ac:dyDescent="0.15">
      <c r="C818" s="43" t="s">
        <v>1135</v>
      </c>
      <c r="D818" s="42">
        <v>0</v>
      </c>
      <c r="E818" s="42">
        <v>0</v>
      </c>
      <c r="F818" s="42">
        <v>0.6693497920124637</v>
      </c>
      <c r="G818">
        <v>0.3306502079875363</v>
      </c>
    </row>
    <row r="819" spans="3:7" x14ac:dyDescent="0.15">
      <c r="C819" s="43" t="s">
        <v>1136</v>
      </c>
      <c r="D819" s="42">
        <v>0</v>
      </c>
      <c r="E819" s="42">
        <v>0</v>
      </c>
      <c r="F819" s="42">
        <v>0.99499944779417315</v>
      </c>
      <c r="G819">
        <v>5.0005522058267828E-3</v>
      </c>
    </row>
    <row r="820" spans="3:7" x14ac:dyDescent="0.15">
      <c r="C820" s="43" t="s">
        <v>1137</v>
      </c>
      <c r="D820" s="42">
        <v>0</v>
      </c>
      <c r="E820" s="42">
        <v>0</v>
      </c>
      <c r="F820" s="42">
        <v>0.93734458134422227</v>
      </c>
      <c r="G820">
        <v>6.2655418655777839E-2</v>
      </c>
    </row>
    <row r="821" spans="3:7" x14ac:dyDescent="0.15">
      <c r="C821" s="43" t="s">
        <v>1138</v>
      </c>
      <c r="D821" s="42">
        <v>0</v>
      </c>
      <c r="E821" s="42">
        <v>0</v>
      </c>
      <c r="F821" s="42">
        <v>0.60940268281099674</v>
      </c>
      <c r="G821">
        <v>0.39059731718900331</v>
      </c>
    </row>
    <row r="822" spans="3:7" x14ac:dyDescent="0.15">
      <c r="C822" s="43" t="s">
        <v>1139</v>
      </c>
      <c r="D822" s="42">
        <v>0</v>
      </c>
      <c r="E822" s="42">
        <v>0</v>
      </c>
      <c r="F822" s="42">
        <v>0.99957862773256956</v>
      </c>
      <c r="G822">
        <v>4.2137226743039179E-4</v>
      </c>
    </row>
    <row r="823" spans="3:7" x14ac:dyDescent="0.15">
      <c r="C823" s="43" t="s">
        <v>1140</v>
      </c>
      <c r="D823" s="42">
        <v>0</v>
      </c>
      <c r="E823" s="42">
        <v>0</v>
      </c>
      <c r="F823" s="42">
        <v>0.98995920668138171</v>
      </c>
      <c r="G823">
        <v>1.0040793318618195E-2</v>
      </c>
    </row>
    <row r="824" spans="3:7" x14ac:dyDescent="0.15">
      <c r="C824" s="43" t="s">
        <v>1141</v>
      </c>
      <c r="D824" s="42">
        <v>0</v>
      </c>
      <c r="E824" s="42">
        <v>0</v>
      </c>
      <c r="F824" s="42">
        <v>0.98919959064150942</v>
      </c>
      <c r="G824">
        <v>1.0800409358490639E-2</v>
      </c>
    </row>
    <row r="825" spans="3:7" x14ac:dyDescent="0.15">
      <c r="C825" s="43" t="s">
        <v>1142</v>
      </c>
      <c r="D825" s="42">
        <v>1</v>
      </c>
      <c r="E825" s="42">
        <v>1</v>
      </c>
      <c r="F825" s="42">
        <v>1.0823639648680065E-3</v>
      </c>
      <c r="G825">
        <v>0.99891763603513195</v>
      </c>
    </row>
    <row r="826" spans="3:7" x14ac:dyDescent="0.15">
      <c r="C826" s="43" t="s">
        <v>1143</v>
      </c>
      <c r="D826" s="42">
        <v>0</v>
      </c>
      <c r="E826" s="42">
        <v>0</v>
      </c>
      <c r="F826" s="42">
        <v>0.99200838219821119</v>
      </c>
      <c r="G826">
        <v>7.9916178017888796E-3</v>
      </c>
    </row>
    <row r="827" spans="3:7" x14ac:dyDescent="0.15">
      <c r="C827" s="43" t="s">
        <v>1144</v>
      </c>
      <c r="D827" s="42">
        <v>0</v>
      </c>
      <c r="E827" s="42">
        <v>0</v>
      </c>
      <c r="F827" s="42">
        <v>0.997864474183494</v>
      </c>
      <c r="G827">
        <v>2.1355258165059788E-3</v>
      </c>
    </row>
    <row r="828" spans="3:7" x14ac:dyDescent="0.15">
      <c r="C828" s="43" t="s">
        <v>1145</v>
      </c>
      <c r="D828" s="42">
        <v>1</v>
      </c>
      <c r="E828" s="42">
        <v>1</v>
      </c>
      <c r="F828" s="42">
        <v>3.5921100025453526E-2</v>
      </c>
      <c r="G828">
        <v>0.96407889997454654</v>
      </c>
    </row>
    <row r="829" spans="3:7" x14ac:dyDescent="0.15">
      <c r="C829" s="43" t="s">
        <v>1146</v>
      </c>
      <c r="D829" s="42">
        <v>0</v>
      </c>
      <c r="E829" s="42">
        <v>0</v>
      </c>
      <c r="F829" s="42">
        <v>0.99337908852408696</v>
      </c>
      <c r="G829">
        <v>6.6209114759131103E-3</v>
      </c>
    </row>
    <row r="830" spans="3:7" x14ac:dyDescent="0.15">
      <c r="C830" s="43" t="s">
        <v>1147</v>
      </c>
      <c r="D830" s="42">
        <v>0</v>
      </c>
      <c r="E830" s="42">
        <v>0</v>
      </c>
      <c r="F830" s="42">
        <v>0.98403166518143281</v>
      </c>
      <c r="G830">
        <v>1.5968334818567166E-2</v>
      </c>
    </row>
    <row r="831" spans="3:7" x14ac:dyDescent="0.15">
      <c r="C831" s="43" t="s">
        <v>1148</v>
      </c>
      <c r="D831" s="42">
        <v>0</v>
      </c>
      <c r="E831" s="42">
        <v>0</v>
      </c>
      <c r="F831" s="42">
        <v>0.99441300494427098</v>
      </c>
      <c r="G831">
        <v>5.5869950557288963E-3</v>
      </c>
    </row>
    <row r="832" spans="3:7" x14ac:dyDescent="0.15">
      <c r="C832" s="43" t="s">
        <v>1149</v>
      </c>
      <c r="D832" s="42">
        <v>0</v>
      </c>
      <c r="E832" s="42">
        <v>0</v>
      </c>
      <c r="F832" s="42">
        <v>0.96356143169156527</v>
      </c>
      <c r="G832">
        <v>3.6438568308434748E-2</v>
      </c>
    </row>
    <row r="833" spans="3:7" x14ac:dyDescent="0.15">
      <c r="C833" s="43" t="s">
        <v>1150</v>
      </c>
      <c r="D833" s="42">
        <v>0</v>
      </c>
      <c r="E833" s="42">
        <v>0</v>
      </c>
      <c r="F833" s="42">
        <v>0.99659057257277817</v>
      </c>
      <c r="G833">
        <v>3.4094274272219774E-3</v>
      </c>
    </row>
    <row r="834" spans="3:7" x14ac:dyDescent="0.15">
      <c r="C834" s="43" t="s">
        <v>1151</v>
      </c>
      <c r="D834" s="42">
        <v>0</v>
      </c>
      <c r="E834" s="42">
        <v>0</v>
      </c>
      <c r="F834" s="42">
        <v>0.66591860572769201</v>
      </c>
      <c r="G834">
        <v>0.33408139427230804</v>
      </c>
    </row>
    <row r="835" spans="3:7" x14ac:dyDescent="0.15">
      <c r="C835" s="43" t="s">
        <v>1152</v>
      </c>
      <c r="D835" s="42">
        <v>0</v>
      </c>
      <c r="E835" s="42">
        <v>0</v>
      </c>
      <c r="F835" s="42">
        <v>0.99885469026621276</v>
      </c>
      <c r="G835">
        <v>1.1453097337871549E-3</v>
      </c>
    </row>
    <row r="836" spans="3:7" x14ac:dyDescent="0.15">
      <c r="C836" s="43" t="s">
        <v>1153</v>
      </c>
      <c r="D836" s="42">
        <v>0</v>
      </c>
      <c r="E836" s="42">
        <v>0</v>
      </c>
      <c r="F836" s="42">
        <v>0.93605791496707735</v>
      </c>
      <c r="G836">
        <v>6.3942085032922605E-2</v>
      </c>
    </row>
    <row r="837" spans="3:7" x14ac:dyDescent="0.15">
      <c r="C837" s="43" t="s">
        <v>1154</v>
      </c>
      <c r="D837" s="42">
        <v>0</v>
      </c>
      <c r="E837" s="42">
        <v>0</v>
      </c>
      <c r="F837" s="42">
        <v>0.99272912801724666</v>
      </c>
      <c r="G837">
        <v>7.2708719827533934E-3</v>
      </c>
    </row>
    <row r="838" spans="3:7" x14ac:dyDescent="0.15">
      <c r="C838" s="43" t="s">
        <v>1155</v>
      </c>
      <c r="D838" s="42">
        <v>0</v>
      </c>
      <c r="E838" s="42">
        <v>0</v>
      </c>
      <c r="F838" s="42">
        <v>0.69005439436372573</v>
      </c>
      <c r="G838">
        <v>0.30994560563627432</v>
      </c>
    </row>
    <row r="839" spans="3:7" x14ac:dyDescent="0.15">
      <c r="C839" s="43" t="s">
        <v>1156</v>
      </c>
      <c r="D839" s="42">
        <v>0</v>
      </c>
      <c r="E839" s="42">
        <v>0</v>
      </c>
      <c r="F839" s="42">
        <v>0.94438270604455921</v>
      </c>
      <c r="G839">
        <v>5.5617293955440773E-2</v>
      </c>
    </row>
    <row r="840" spans="3:7" x14ac:dyDescent="0.15">
      <c r="C840" s="43" t="s">
        <v>1157</v>
      </c>
      <c r="D840" s="42">
        <v>0</v>
      </c>
      <c r="E840" s="42">
        <v>0</v>
      </c>
      <c r="F840" s="42">
        <v>0.98956448896579552</v>
      </c>
      <c r="G840">
        <v>1.0435511034204531E-2</v>
      </c>
    </row>
    <row r="841" spans="3:7" x14ac:dyDescent="0.15">
      <c r="C841" s="43" t="s">
        <v>1158</v>
      </c>
      <c r="D841" s="42">
        <v>0</v>
      </c>
      <c r="E841" s="42">
        <v>0</v>
      </c>
      <c r="F841" s="42">
        <v>0.93468392718721349</v>
      </c>
      <c r="G841">
        <v>6.5316072812786466E-2</v>
      </c>
    </row>
    <row r="842" spans="3:7" x14ac:dyDescent="0.15">
      <c r="C842" s="43" t="s">
        <v>1159</v>
      </c>
      <c r="D842" s="42">
        <v>0</v>
      </c>
      <c r="E842" s="42">
        <v>0</v>
      </c>
      <c r="F842" s="42">
        <v>0.96884540895273319</v>
      </c>
      <c r="G842">
        <v>3.11545910472667E-2</v>
      </c>
    </row>
    <row r="843" spans="3:7" x14ac:dyDescent="0.15">
      <c r="C843" s="43" t="s">
        <v>1160</v>
      </c>
      <c r="D843" s="42">
        <v>0</v>
      </c>
      <c r="E843" s="42">
        <v>0</v>
      </c>
      <c r="F843" s="42">
        <v>0.87584022360698854</v>
      </c>
      <c r="G843">
        <v>0.12415977639301143</v>
      </c>
    </row>
    <row r="844" spans="3:7" x14ac:dyDescent="0.15">
      <c r="C844" s="43" t="s">
        <v>1161</v>
      </c>
      <c r="D844" s="42">
        <v>0</v>
      </c>
      <c r="E844" s="42">
        <v>0</v>
      </c>
      <c r="F844" s="42">
        <v>0.99663130527994437</v>
      </c>
      <c r="G844">
        <v>3.3686947200555436E-3</v>
      </c>
    </row>
    <row r="845" spans="3:7" x14ac:dyDescent="0.15">
      <c r="C845" s="43" t="s">
        <v>1162</v>
      </c>
      <c r="D845" s="42">
        <v>0</v>
      </c>
      <c r="E845" s="42">
        <v>0</v>
      </c>
      <c r="F845" s="42">
        <v>0.99144405276264391</v>
      </c>
      <c r="G845">
        <v>8.555947237356018E-3</v>
      </c>
    </row>
    <row r="846" spans="3:7" x14ac:dyDescent="0.15">
      <c r="C846" s="43" t="s">
        <v>1163</v>
      </c>
      <c r="D846" s="42">
        <v>0</v>
      </c>
      <c r="E846" s="42">
        <v>0</v>
      </c>
      <c r="F846" s="42">
        <v>0.99827763930493907</v>
      </c>
      <c r="G846">
        <v>1.7223606950608735E-3</v>
      </c>
    </row>
    <row r="847" spans="3:7" x14ac:dyDescent="0.15">
      <c r="C847" s="43" t="s">
        <v>1164</v>
      </c>
      <c r="D847" s="42">
        <v>0</v>
      </c>
      <c r="E847" s="42">
        <v>0</v>
      </c>
      <c r="F847" s="42">
        <v>0.98629016260587188</v>
      </c>
      <c r="G847">
        <v>1.3709837394128056E-2</v>
      </c>
    </row>
    <row r="848" spans="3:7" x14ac:dyDescent="0.15">
      <c r="C848" s="43" t="s">
        <v>1165</v>
      </c>
      <c r="D848" s="42">
        <v>0</v>
      </c>
      <c r="E848" s="42">
        <v>0</v>
      </c>
      <c r="F848" s="42">
        <v>0.98312519634147533</v>
      </c>
      <c r="G848">
        <v>1.6874803658524628E-2</v>
      </c>
    </row>
    <row r="849" spans="3:7" x14ac:dyDescent="0.15">
      <c r="C849" s="43" t="s">
        <v>1166</v>
      </c>
      <c r="D849" s="42">
        <v>0</v>
      </c>
      <c r="E849" s="42">
        <v>0</v>
      </c>
      <c r="F849" s="42">
        <v>0.99746954563872026</v>
      </c>
      <c r="G849">
        <v>2.5304543612797554E-3</v>
      </c>
    </row>
    <row r="850" spans="3:7" x14ac:dyDescent="0.15">
      <c r="C850" s="43" t="s">
        <v>1167</v>
      </c>
      <c r="D850" s="42">
        <v>0</v>
      </c>
      <c r="E850" s="42">
        <v>0</v>
      </c>
      <c r="F850" s="42">
        <v>0.9970500942085373</v>
      </c>
      <c r="G850">
        <v>2.9499057914626416E-3</v>
      </c>
    </row>
    <row r="851" spans="3:7" x14ac:dyDescent="0.15">
      <c r="C851" s="43" t="s">
        <v>1168</v>
      </c>
      <c r="D851" s="42">
        <v>0</v>
      </c>
      <c r="E851" s="42">
        <v>0</v>
      </c>
      <c r="F851" s="42">
        <v>0.99947880140885748</v>
      </c>
      <c r="G851">
        <v>5.211985911426387E-4</v>
      </c>
    </row>
    <row r="852" spans="3:7" x14ac:dyDescent="0.15">
      <c r="C852" s="43" t="s">
        <v>1169</v>
      </c>
      <c r="D852" s="42">
        <v>0</v>
      </c>
      <c r="E852" s="42">
        <v>0</v>
      </c>
      <c r="F852" s="42">
        <v>0.96756578218940714</v>
      </c>
      <c r="G852">
        <v>3.2434217810592844E-2</v>
      </c>
    </row>
    <row r="853" spans="3:7" x14ac:dyDescent="0.15">
      <c r="C853" s="43" t="s">
        <v>1170</v>
      </c>
      <c r="D853" s="42">
        <v>0</v>
      </c>
      <c r="E853" s="42">
        <v>0</v>
      </c>
      <c r="F853" s="42">
        <v>0.99861543815909193</v>
      </c>
      <c r="G853">
        <v>1.3845618409081741E-3</v>
      </c>
    </row>
    <row r="854" spans="3:7" x14ac:dyDescent="0.15">
      <c r="C854" s="43" t="s">
        <v>1171</v>
      </c>
      <c r="D854" s="42">
        <v>0</v>
      </c>
      <c r="E854" s="42">
        <v>0</v>
      </c>
      <c r="F854" s="42">
        <v>0.99970191791130913</v>
      </c>
      <c r="G854">
        <v>2.980820886907838E-4</v>
      </c>
    </row>
    <row r="855" spans="3:7" x14ac:dyDescent="0.15">
      <c r="C855" s="43" t="s">
        <v>1172</v>
      </c>
      <c r="D855" s="42">
        <v>1</v>
      </c>
      <c r="E855" s="42">
        <v>1</v>
      </c>
      <c r="F855" s="42">
        <v>2.3938854713258774E-2</v>
      </c>
      <c r="G855">
        <v>0.97606114528674115</v>
      </c>
    </row>
    <row r="856" spans="3:7" x14ac:dyDescent="0.15">
      <c r="C856" s="43" t="s">
        <v>1173</v>
      </c>
      <c r="D856" s="42">
        <v>1</v>
      </c>
      <c r="E856" s="42">
        <v>1</v>
      </c>
      <c r="F856" s="42">
        <v>4.8175835290561984E-3</v>
      </c>
      <c r="G856">
        <v>0.99518241647094385</v>
      </c>
    </row>
    <row r="857" spans="3:7" x14ac:dyDescent="0.15">
      <c r="C857" s="43" t="s">
        <v>1174</v>
      </c>
      <c r="D857" s="42">
        <v>0</v>
      </c>
      <c r="E857" s="42">
        <v>0</v>
      </c>
      <c r="F857" s="42">
        <v>0.89137561466665616</v>
      </c>
      <c r="G857">
        <v>0.10862438533334388</v>
      </c>
    </row>
    <row r="858" spans="3:7" x14ac:dyDescent="0.15">
      <c r="C858" s="43" t="s">
        <v>1175</v>
      </c>
      <c r="D858" s="42">
        <v>0</v>
      </c>
      <c r="E858" s="42">
        <v>0</v>
      </c>
      <c r="F858" s="42">
        <v>0.99989755113301915</v>
      </c>
      <c r="G858">
        <v>1.0244886698073967E-4</v>
      </c>
    </row>
    <row r="859" spans="3:7" x14ac:dyDescent="0.15">
      <c r="C859" s="43" t="s">
        <v>1176</v>
      </c>
      <c r="D859" s="42">
        <v>0</v>
      </c>
      <c r="E859" s="42">
        <v>0</v>
      </c>
      <c r="F859" s="42">
        <v>0.99962603590896326</v>
      </c>
      <c r="G859">
        <v>3.7396409103679991E-4</v>
      </c>
    </row>
    <row r="860" spans="3:7" x14ac:dyDescent="0.15">
      <c r="C860" s="43" t="s">
        <v>1177</v>
      </c>
      <c r="D860" s="42">
        <v>1</v>
      </c>
      <c r="E860" s="42">
        <v>1</v>
      </c>
      <c r="F860" s="42">
        <v>6.9899726220416653E-3</v>
      </c>
      <c r="G860">
        <v>0.99301002737795829</v>
      </c>
    </row>
    <row r="861" spans="3:7" x14ac:dyDescent="0.15">
      <c r="C861" s="43" t="s">
        <v>1178</v>
      </c>
      <c r="D861" s="42">
        <v>0</v>
      </c>
      <c r="E861" s="42">
        <v>0</v>
      </c>
      <c r="F861" s="42">
        <v>0.98774286584356719</v>
      </c>
      <c r="G861">
        <v>1.2257134156432941E-2</v>
      </c>
    </row>
    <row r="862" spans="3:7" x14ac:dyDescent="0.15">
      <c r="C862" s="43" t="s">
        <v>1179</v>
      </c>
      <c r="D862" s="42">
        <v>0</v>
      </c>
      <c r="E862" s="42">
        <v>0</v>
      </c>
      <c r="F862" s="42">
        <v>0.99131776683288131</v>
      </c>
      <c r="G862">
        <v>8.6822331671186567E-3</v>
      </c>
    </row>
    <row r="863" spans="3:7" x14ac:dyDescent="0.15">
      <c r="C863" s="43" t="s">
        <v>1180</v>
      </c>
      <c r="D863" s="42">
        <v>0</v>
      </c>
      <c r="E863" s="42">
        <v>0</v>
      </c>
      <c r="F863" s="42">
        <v>0.99845493866912816</v>
      </c>
      <c r="G863">
        <v>1.5450613308718301E-3</v>
      </c>
    </row>
    <row r="864" spans="3:7" x14ac:dyDescent="0.15">
      <c r="C864" s="43" t="s">
        <v>1181</v>
      </c>
      <c r="D864" s="42">
        <v>0</v>
      </c>
      <c r="E864" s="42">
        <v>0</v>
      </c>
      <c r="F864" s="42">
        <v>0.97270039656110829</v>
      </c>
      <c r="G864">
        <v>2.7299603438891817E-2</v>
      </c>
    </row>
    <row r="865" spans="3:7" x14ac:dyDescent="0.15">
      <c r="C865" s="43" t="s">
        <v>1182</v>
      </c>
      <c r="D865" s="42">
        <v>0</v>
      </c>
      <c r="E865" s="42">
        <v>0</v>
      </c>
      <c r="F865" s="42">
        <v>0.99832466830909528</v>
      </c>
      <c r="G865">
        <v>1.6753316909046976E-3</v>
      </c>
    </row>
    <row r="866" spans="3:7" x14ac:dyDescent="0.15">
      <c r="C866" s="61" t="s">
        <v>1183</v>
      </c>
      <c r="D866" s="60">
        <v>0</v>
      </c>
      <c r="E866" s="60">
        <v>1</v>
      </c>
      <c r="F866" s="60">
        <v>0.24798334339475234</v>
      </c>
      <c r="G866" s="59">
        <v>0.75201665660524775</v>
      </c>
    </row>
    <row r="867" spans="3:7" x14ac:dyDescent="0.15">
      <c r="C867" s="43" t="s">
        <v>1184</v>
      </c>
      <c r="D867" s="42">
        <v>0</v>
      </c>
      <c r="E867" s="42">
        <v>0</v>
      </c>
      <c r="F867" s="42">
        <v>0.96713795219332588</v>
      </c>
      <c r="G867">
        <v>3.2862047806674219E-2</v>
      </c>
    </row>
    <row r="868" spans="3:7" x14ac:dyDescent="0.15">
      <c r="C868" s="43" t="s">
        <v>1185</v>
      </c>
      <c r="D868" s="42">
        <v>1</v>
      </c>
      <c r="E868" s="42">
        <v>1</v>
      </c>
      <c r="F868" s="42">
        <v>0.18219977866738596</v>
      </c>
      <c r="G868">
        <v>0.81780022133261399</v>
      </c>
    </row>
    <row r="869" spans="3:7" x14ac:dyDescent="0.15">
      <c r="C869" s="43" t="s">
        <v>1186</v>
      </c>
      <c r="D869" s="42">
        <v>0</v>
      </c>
      <c r="E869" s="42">
        <v>0</v>
      </c>
      <c r="F869" s="42">
        <v>0.74667280353728271</v>
      </c>
      <c r="G869">
        <v>0.25332719646271723</v>
      </c>
    </row>
    <row r="870" spans="3:7" x14ac:dyDescent="0.15">
      <c r="C870" s="43" t="s">
        <v>1187</v>
      </c>
      <c r="D870" s="42">
        <v>0</v>
      </c>
      <c r="E870" s="42">
        <v>0</v>
      </c>
      <c r="F870" s="42">
        <v>0.99870803816524811</v>
      </c>
      <c r="G870">
        <v>1.2919618347519183E-3</v>
      </c>
    </row>
    <row r="871" spans="3:7" x14ac:dyDescent="0.15">
      <c r="C871" s="43" t="s">
        <v>1188</v>
      </c>
      <c r="D871" s="42">
        <v>0</v>
      </c>
      <c r="E871" s="42">
        <v>0</v>
      </c>
      <c r="F871" s="42">
        <v>0.91844606603234114</v>
      </c>
      <c r="G871">
        <v>8.1553933967658893E-2</v>
      </c>
    </row>
    <row r="872" spans="3:7" x14ac:dyDescent="0.15">
      <c r="C872" s="43" t="s">
        <v>1189</v>
      </c>
      <c r="D872" s="42">
        <v>0</v>
      </c>
      <c r="E872" s="42">
        <v>0</v>
      </c>
      <c r="F872" s="42">
        <v>0.94254201520520031</v>
      </c>
      <c r="G872">
        <v>5.745798479479966E-2</v>
      </c>
    </row>
    <row r="873" spans="3:7" x14ac:dyDescent="0.15">
      <c r="C873" s="43" t="s">
        <v>1190</v>
      </c>
      <c r="D873" s="42">
        <v>0</v>
      </c>
      <c r="E873" s="42">
        <v>0</v>
      </c>
      <c r="F873" s="42">
        <v>0.98015120379602949</v>
      </c>
      <c r="G873">
        <v>1.9848796203970401E-2</v>
      </c>
    </row>
    <row r="874" spans="3:7" x14ac:dyDescent="0.15">
      <c r="C874" s="43" t="s">
        <v>1191</v>
      </c>
      <c r="D874" s="42">
        <v>0</v>
      </c>
      <c r="E874" s="42">
        <v>0</v>
      </c>
      <c r="F874" s="42">
        <v>0.70868828401440331</v>
      </c>
      <c r="G874">
        <v>0.29131171598559669</v>
      </c>
    </row>
    <row r="875" spans="3:7" x14ac:dyDescent="0.15">
      <c r="C875" s="61" t="s">
        <v>1192</v>
      </c>
      <c r="D875" s="60">
        <v>1</v>
      </c>
      <c r="E875" s="60">
        <v>0</v>
      </c>
      <c r="F875" s="60">
        <v>0.64409746068327256</v>
      </c>
      <c r="G875" s="59">
        <v>0.3559025393167275</v>
      </c>
    </row>
    <row r="876" spans="3:7" x14ac:dyDescent="0.15">
      <c r="C876" s="61" t="s">
        <v>1193</v>
      </c>
      <c r="D876" s="60">
        <v>0</v>
      </c>
      <c r="E876" s="60">
        <v>1</v>
      </c>
      <c r="F876" s="60">
        <v>0.18410903309334337</v>
      </c>
      <c r="G876" s="59">
        <v>0.81589096690665652</v>
      </c>
    </row>
    <row r="877" spans="3:7" x14ac:dyDescent="0.15">
      <c r="C877" s="43" t="s">
        <v>1194</v>
      </c>
      <c r="D877" s="42">
        <v>0</v>
      </c>
      <c r="E877" s="42">
        <v>0</v>
      </c>
      <c r="F877" s="42">
        <v>0.98141586463516051</v>
      </c>
      <c r="G877">
        <v>1.8584135364839483E-2</v>
      </c>
    </row>
    <row r="878" spans="3:7" x14ac:dyDescent="0.15">
      <c r="C878" s="43" t="s">
        <v>1195</v>
      </c>
      <c r="D878" s="42">
        <v>0</v>
      </c>
      <c r="E878" s="42">
        <v>0</v>
      </c>
      <c r="F878" s="42">
        <v>0.93188213000654951</v>
      </c>
      <c r="G878">
        <v>6.8117869993450403E-2</v>
      </c>
    </row>
    <row r="879" spans="3:7" x14ac:dyDescent="0.15">
      <c r="C879" s="43" t="s">
        <v>1196</v>
      </c>
      <c r="D879" s="42">
        <v>0</v>
      </c>
      <c r="E879" s="42">
        <v>0</v>
      </c>
      <c r="F879" s="42">
        <v>0.85747456134391187</v>
      </c>
      <c r="G879">
        <v>0.14252543865608824</v>
      </c>
    </row>
    <row r="880" spans="3:7" x14ac:dyDescent="0.15">
      <c r="C880" s="43" t="s">
        <v>1197</v>
      </c>
      <c r="D880" s="42">
        <v>0</v>
      </c>
      <c r="E880" s="42">
        <v>0</v>
      </c>
      <c r="F880" s="42">
        <v>0.99966422892461082</v>
      </c>
      <c r="G880">
        <v>3.3577107538921078E-4</v>
      </c>
    </row>
    <row r="881" spans="3:7" x14ac:dyDescent="0.15">
      <c r="C881" s="43" t="s">
        <v>1198</v>
      </c>
      <c r="D881" s="42">
        <v>0</v>
      </c>
      <c r="E881" s="42">
        <v>0</v>
      </c>
      <c r="F881" s="42">
        <v>0.97948794366268888</v>
      </c>
      <c r="G881">
        <v>2.0512056337311044E-2</v>
      </c>
    </row>
    <row r="882" spans="3:7" x14ac:dyDescent="0.15">
      <c r="C882" s="43" t="s">
        <v>1199</v>
      </c>
      <c r="D882" s="42">
        <v>0</v>
      </c>
      <c r="E882" s="42">
        <v>0</v>
      </c>
      <c r="F882" s="42">
        <v>0.99956083991641553</v>
      </c>
      <c r="G882">
        <v>4.3916008358448213E-4</v>
      </c>
    </row>
    <row r="883" spans="3:7" x14ac:dyDescent="0.15">
      <c r="C883" s="43" t="s">
        <v>1200</v>
      </c>
      <c r="D883" s="42">
        <v>0</v>
      </c>
      <c r="E883" s="42">
        <v>0</v>
      </c>
      <c r="F883" s="42">
        <v>0.99759049521837995</v>
      </c>
      <c r="G883">
        <v>2.4095047816201066E-3</v>
      </c>
    </row>
    <row r="884" spans="3:7" x14ac:dyDescent="0.15">
      <c r="C884" s="43" t="s">
        <v>1201</v>
      </c>
      <c r="D884" s="42">
        <v>0</v>
      </c>
      <c r="E884" s="42">
        <v>0</v>
      </c>
      <c r="F884" s="42">
        <v>0.65486771051110826</v>
      </c>
      <c r="G884">
        <v>0.34513228948889174</v>
      </c>
    </row>
    <row r="885" spans="3:7" x14ac:dyDescent="0.15">
      <c r="C885" s="43" t="s">
        <v>1202</v>
      </c>
      <c r="D885" s="42">
        <v>0</v>
      </c>
      <c r="E885" s="42">
        <v>0</v>
      </c>
      <c r="F885" s="42">
        <v>0.99100213801101322</v>
      </c>
      <c r="G885">
        <v>8.99786198898672E-3</v>
      </c>
    </row>
    <row r="886" spans="3:7" x14ac:dyDescent="0.15">
      <c r="C886" s="43" t="s">
        <v>1203</v>
      </c>
      <c r="D886" s="42">
        <v>0</v>
      </c>
      <c r="E886" s="42">
        <v>0</v>
      </c>
      <c r="F886" s="42">
        <v>0.93269922808350902</v>
      </c>
      <c r="G886">
        <v>6.7300771916491059E-2</v>
      </c>
    </row>
    <row r="887" spans="3:7" x14ac:dyDescent="0.15">
      <c r="C887" s="43" t="s">
        <v>1204</v>
      </c>
      <c r="D887" s="42">
        <v>0</v>
      </c>
      <c r="E887" s="42">
        <v>0</v>
      </c>
      <c r="F887" s="42">
        <v>0.78955070148797846</v>
      </c>
      <c r="G887">
        <v>0.21044929851202154</v>
      </c>
    </row>
    <row r="888" spans="3:7" x14ac:dyDescent="0.15">
      <c r="C888" s="43" t="s">
        <v>1205</v>
      </c>
      <c r="D888" s="42">
        <v>0</v>
      </c>
      <c r="E888" s="42">
        <v>0</v>
      </c>
      <c r="F888" s="42">
        <v>0.63984737876042097</v>
      </c>
      <c r="G888">
        <v>0.36015262123957903</v>
      </c>
    </row>
    <row r="889" spans="3:7" x14ac:dyDescent="0.15">
      <c r="C889" s="61" t="s">
        <v>1206</v>
      </c>
      <c r="D889" s="60">
        <v>1</v>
      </c>
      <c r="E889" s="60">
        <v>0</v>
      </c>
      <c r="F889" s="60">
        <v>0.63944687495782737</v>
      </c>
      <c r="G889" s="59">
        <v>0.36055312504217252</v>
      </c>
    </row>
    <row r="890" spans="3:7" x14ac:dyDescent="0.15">
      <c r="C890" s="43" t="s">
        <v>1207</v>
      </c>
      <c r="D890" s="42">
        <v>0</v>
      </c>
      <c r="E890" s="42">
        <v>0</v>
      </c>
      <c r="F890" s="42">
        <v>0.99924816617645473</v>
      </c>
      <c r="G890">
        <v>7.5183382354517166E-4</v>
      </c>
    </row>
    <row r="891" spans="3:7" x14ac:dyDescent="0.15">
      <c r="C891" s="43" t="s">
        <v>1208</v>
      </c>
      <c r="D891" s="42">
        <v>0</v>
      </c>
      <c r="E891" s="42">
        <v>0</v>
      </c>
      <c r="F891" s="42">
        <v>0.89239048705381208</v>
      </c>
      <c r="G891">
        <v>0.1076095129461879</v>
      </c>
    </row>
    <row r="892" spans="3:7" x14ac:dyDescent="0.15">
      <c r="C892" s="43" t="s">
        <v>1209</v>
      </c>
      <c r="D892" s="42">
        <v>0</v>
      </c>
      <c r="E892" s="42">
        <v>0</v>
      </c>
      <c r="F892" s="42">
        <v>0.61228504815658158</v>
      </c>
      <c r="G892">
        <v>0.38771495184341842</v>
      </c>
    </row>
    <row r="893" spans="3:7" x14ac:dyDescent="0.15">
      <c r="C893" s="43" t="s">
        <v>1210</v>
      </c>
      <c r="D893" s="42">
        <v>0</v>
      </c>
      <c r="E893" s="42">
        <v>0</v>
      </c>
      <c r="F893" s="42">
        <v>0.99062412377700526</v>
      </c>
      <c r="G893">
        <v>9.3758762229948309E-3</v>
      </c>
    </row>
    <row r="894" spans="3:7" x14ac:dyDescent="0.15">
      <c r="C894" s="43" t="s">
        <v>1211</v>
      </c>
      <c r="D894" s="42">
        <v>0</v>
      </c>
      <c r="E894" s="42">
        <v>0</v>
      </c>
      <c r="F894" s="42">
        <v>0.9520204389574215</v>
      </c>
      <c r="G894">
        <v>4.7979561042578597E-2</v>
      </c>
    </row>
    <row r="895" spans="3:7" x14ac:dyDescent="0.15">
      <c r="C895" s="43" t="s">
        <v>1212</v>
      </c>
      <c r="D895" s="42">
        <v>0</v>
      </c>
      <c r="E895" s="42">
        <v>0</v>
      </c>
      <c r="F895" s="42">
        <v>0.79223066680769949</v>
      </c>
      <c r="G895">
        <v>0.20776933319230048</v>
      </c>
    </row>
    <row r="896" spans="3:7" x14ac:dyDescent="0.15">
      <c r="C896" s="61" t="s">
        <v>1213</v>
      </c>
      <c r="D896" s="60">
        <v>0</v>
      </c>
      <c r="E896" s="60">
        <v>1</v>
      </c>
      <c r="F896" s="60">
        <v>9.9433988182009228E-2</v>
      </c>
      <c r="G896" s="59">
        <v>0.90056601181799079</v>
      </c>
    </row>
    <row r="897" spans="3:7" x14ac:dyDescent="0.15">
      <c r="C897" s="43" t="s">
        <v>1214</v>
      </c>
      <c r="D897" s="42">
        <v>0</v>
      </c>
      <c r="E897" s="42">
        <v>0</v>
      </c>
      <c r="F897" s="42">
        <v>0.90305152961643564</v>
      </c>
      <c r="G897">
        <v>9.6948470383564314E-2</v>
      </c>
    </row>
    <row r="898" spans="3:7" x14ac:dyDescent="0.15">
      <c r="C898" s="43" t="s">
        <v>1215</v>
      </c>
      <c r="D898" s="42">
        <v>0</v>
      </c>
      <c r="E898" s="42">
        <v>0</v>
      </c>
      <c r="F898" s="42">
        <v>0.94153164857944383</v>
      </c>
      <c r="G898">
        <v>5.8468351420556119E-2</v>
      </c>
    </row>
    <row r="899" spans="3:7" x14ac:dyDescent="0.15">
      <c r="C899" s="43" t="s">
        <v>1216</v>
      </c>
      <c r="D899" s="42">
        <v>0</v>
      </c>
      <c r="E899" s="42">
        <v>0</v>
      </c>
      <c r="F899" s="42">
        <v>0.83597402439101853</v>
      </c>
      <c r="G899">
        <v>0.16402597560898152</v>
      </c>
    </row>
    <row r="900" spans="3:7" x14ac:dyDescent="0.15">
      <c r="C900" s="43" t="s">
        <v>1217</v>
      </c>
      <c r="D900" s="42">
        <v>0</v>
      </c>
      <c r="E900" s="42">
        <v>0</v>
      </c>
      <c r="F900" s="42">
        <v>0.98707466138231947</v>
      </c>
      <c r="G900">
        <v>1.2925338617680488E-2</v>
      </c>
    </row>
    <row r="901" spans="3:7" x14ac:dyDescent="0.15">
      <c r="C901" s="43" t="s">
        <v>1218</v>
      </c>
      <c r="D901" s="42">
        <v>0</v>
      </c>
      <c r="E901" s="42">
        <v>0</v>
      </c>
      <c r="F901" s="42">
        <v>0.99929810026214805</v>
      </c>
      <c r="G901">
        <v>7.018997378518447E-4</v>
      </c>
    </row>
    <row r="902" spans="3:7" x14ac:dyDescent="0.15">
      <c r="C902" s="43" t="s">
        <v>1219</v>
      </c>
      <c r="D902" s="42">
        <v>0</v>
      </c>
      <c r="E902" s="42">
        <v>0</v>
      </c>
      <c r="F902" s="42">
        <v>0.96043058479430998</v>
      </c>
      <c r="G902">
        <v>3.9569415205690073E-2</v>
      </c>
    </row>
    <row r="903" spans="3:7" x14ac:dyDescent="0.15">
      <c r="C903" s="43" t="s">
        <v>1220</v>
      </c>
      <c r="D903" s="42">
        <v>0</v>
      </c>
      <c r="E903" s="42">
        <v>0</v>
      </c>
      <c r="F903" s="42">
        <v>0.9985065326491801</v>
      </c>
      <c r="G903">
        <v>1.4934673508198895E-3</v>
      </c>
    </row>
    <row r="904" spans="3:7" x14ac:dyDescent="0.15">
      <c r="C904" s="43" t="s">
        <v>1221</v>
      </c>
      <c r="D904" s="42">
        <v>0</v>
      </c>
      <c r="E904" s="42">
        <v>0</v>
      </c>
      <c r="F904" s="42">
        <v>0.99870729319410301</v>
      </c>
      <c r="G904">
        <v>1.2927068058971286E-3</v>
      </c>
    </row>
    <row r="905" spans="3:7" x14ac:dyDescent="0.15">
      <c r="C905" s="43" t="s">
        <v>1222</v>
      </c>
      <c r="D905" s="42">
        <v>0</v>
      </c>
      <c r="E905" s="42">
        <v>0</v>
      </c>
      <c r="F905" s="42">
        <v>0.9279247376167471</v>
      </c>
      <c r="G905">
        <v>7.2075262383252889E-2</v>
      </c>
    </row>
    <row r="906" spans="3:7" x14ac:dyDescent="0.15">
      <c r="C906" s="61" t="s">
        <v>1223</v>
      </c>
      <c r="D906" s="60">
        <v>0</v>
      </c>
      <c r="E906" s="60">
        <v>1</v>
      </c>
      <c r="F906" s="60">
        <v>0.45707480324147998</v>
      </c>
      <c r="G906" s="59">
        <v>0.54292519675852002</v>
      </c>
    </row>
    <row r="907" spans="3:7" x14ac:dyDescent="0.15">
      <c r="C907" s="43" t="s">
        <v>1224</v>
      </c>
      <c r="D907" s="42">
        <v>0</v>
      </c>
      <c r="E907" s="42">
        <v>0</v>
      </c>
      <c r="F907" s="42">
        <v>0.99622172579631985</v>
      </c>
      <c r="G907">
        <v>3.7782742036801516E-3</v>
      </c>
    </row>
    <row r="908" spans="3:7" x14ac:dyDescent="0.15">
      <c r="C908" s="61" t="s">
        <v>1225</v>
      </c>
      <c r="D908" s="60">
        <v>1</v>
      </c>
      <c r="E908" s="60">
        <v>0</v>
      </c>
      <c r="F908" s="60">
        <v>0.63834116769444715</v>
      </c>
      <c r="G908" s="59">
        <v>0.3616588323055529</v>
      </c>
    </row>
    <row r="909" spans="3:7" x14ac:dyDescent="0.15">
      <c r="C909" s="43" t="s">
        <v>1226</v>
      </c>
      <c r="D909" s="42">
        <v>0</v>
      </c>
      <c r="E909" s="42">
        <v>0</v>
      </c>
      <c r="F909" s="42">
        <v>0.96560724728729042</v>
      </c>
      <c r="G909">
        <v>3.4392752712709584E-2</v>
      </c>
    </row>
    <row r="910" spans="3:7" x14ac:dyDescent="0.15">
      <c r="C910" s="43" t="s">
        <v>1227</v>
      </c>
      <c r="D910" s="42">
        <v>0</v>
      </c>
      <c r="E910" s="42">
        <v>0</v>
      </c>
      <c r="F910" s="42">
        <v>0.92130162763614987</v>
      </c>
      <c r="G910">
        <v>7.8698372363850175E-2</v>
      </c>
    </row>
    <row r="911" spans="3:7" x14ac:dyDescent="0.15">
      <c r="C911" s="43" t="s">
        <v>1228</v>
      </c>
      <c r="D911" s="42">
        <v>0</v>
      </c>
      <c r="E911" s="42">
        <v>0</v>
      </c>
      <c r="F911" s="42">
        <v>0.97007830369290304</v>
      </c>
      <c r="G911">
        <v>2.9921696307096884E-2</v>
      </c>
    </row>
    <row r="912" spans="3:7" x14ac:dyDescent="0.15">
      <c r="C912" s="43" t="s">
        <v>1229</v>
      </c>
      <c r="D912" s="42">
        <v>0</v>
      </c>
      <c r="E912" s="42">
        <v>0</v>
      </c>
      <c r="F912" s="42">
        <v>0.99813553461750926</v>
      </c>
      <c r="G912">
        <v>1.8644653824907175E-3</v>
      </c>
    </row>
    <row r="913" spans="3:7" x14ac:dyDescent="0.15">
      <c r="C913" s="43" t="s">
        <v>1230</v>
      </c>
      <c r="D913" s="42">
        <v>1</v>
      </c>
      <c r="E913" s="42">
        <v>1</v>
      </c>
      <c r="F913" s="42">
        <v>9.3440487028147683E-5</v>
      </c>
      <c r="G913">
        <v>0.99990655951297192</v>
      </c>
    </row>
    <row r="914" spans="3:7" x14ac:dyDescent="0.15">
      <c r="C914" s="43" t="s">
        <v>1231</v>
      </c>
      <c r="D914" s="42">
        <v>0</v>
      </c>
      <c r="E914" s="42">
        <v>0</v>
      </c>
      <c r="F914" s="42">
        <v>0.99846008313118839</v>
      </c>
      <c r="G914">
        <v>1.5399168688115113E-3</v>
      </c>
    </row>
    <row r="915" spans="3:7" x14ac:dyDescent="0.15">
      <c r="C915" s="43" t="s">
        <v>1232</v>
      </c>
      <c r="D915" s="42">
        <v>0</v>
      </c>
      <c r="E915" s="42">
        <v>0</v>
      </c>
      <c r="F915" s="42">
        <v>0.86173322740340264</v>
      </c>
      <c r="G915">
        <v>0.13826677259659742</v>
      </c>
    </row>
    <row r="916" spans="3:7" x14ac:dyDescent="0.15">
      <c r="C916" s="43" t="s">
        <v>1233</v>
      </c>
      <c r="D916" s="42">
        <v>0</v>
      </c>
      <c r="E916" s="42">
        <v>0</v>
      </c>
      <c r="F916" s="42">
        <v>0.96486175208090252</v>
      </c>
      <c r="G916">
        <v>3.5138247919097393E-2</v>
      </c>
    </row>
    <row r="917" spans="3:7" x14ac:dyDescent="0.15">
      <c r="C917" s="43" t="s">
        <v>1234</v>
      </c>
      <c r="D917" s="42">
        <v>0</v>
      </c>
      <c r="E917" s="42">
        <v>0</v>
      </c>
      <c r="F917" s="42">
        <v>0.99627392891184929</v>
      </c>
      <c r="G917">
        <v>3.72607108815065E-3</v>
      </c>
    </row>
    <row r="918" spans="3:7" x14ac:dyDescent="0.15">
      <c r="C918" s="43" t="s">
        <v>1235</v>
      </c>
      <c r="D918" s="42">
        <v>0</v>
      </c>
      <c r="E918" s="42">
        <v>0</v>
      </c>
      <c r="F918" s="42">
        <v>0.99503552040917009</v>
      </c>
      <c r="G918">
        <v>4.9644795908298503E-3</v>
      </c>
    </row>
    <row r="919" spans="3:7" x14ac:dyDescent="0.15">
      <c r="C919" s="43" t="s">
        <v>1236</v>
      </c>
      <c r="D919" s="42">
        <v>0</v>
      </c>
      <c r="E919" s="42">
        <v>0</v>
      </c>
      <c r="F919" s="42">
        <v>0.9651149945330153</v>
      </c>
      <c r="G919">
        <v>3.4885005466984725E-2</v>
      </c>
    </row>
    <row r="920" spans="3:7" x14ac:dyDescent="0.15">
      <c r="C920" s="43" t="s">
        <v>1237</v>
      </c>
      <c r="D920" s="42">
        <v>0</v>
      </c>
      <c r="E920" s="42">
        <v>0</v>
      </c>
      <c r="F920" s="42">
        <v>0.99646376316277341</v>
      </c>
      <c r="G920">
        <v>3.5362368372267024E-3</v>
      </c>
    </row>
    <row r="921" spans="3:7" x14ac:dyDescent="0.15">
      <c r="C921" s="43" t="s">
        <v>1238</v>
      </c>
      <c r="D921" s="42">
        <v>0</v>
      </c>
      <c r="E921" s="42">
        <v>0</v>
      </c>
      <c r="F921" s="42">
        <v>0.9809676790650671</v>
      </c>
      <c r="G921">
        <v>1.9032320934932952E-2</v>
      </c>
    </row>
    <row r="922" spans="3:7" x14ac:dyDescent="0.15">
      <c r="C922" s="43" t="s">
        <v>1239</v>
      </c>
      <c r="D922" s="42">
        <v>0</v>
      </c>
      <c r="E922" s="42">
        <v>0</v>
      </c>
      <c r="F922" s="42">
        <v>0.99337630298032165</v>
      </c>
      <c r="G922">
        <v>6.6236970196782386E-3</v>
      </c>
    </row>
    <row r="923" spans="3:7" x14ac:dyDescent="0.15">
      <c r="C923" s="43" t="s">
        <v>1240</v>
      </c>
      <c r="D923" s="42">
        <v>0</v>
      </c>
      <c r="E923" s="42">
        <v>0</v>
      </c>
      <c r="F923" s="42">
        <v>0.97985304335283385</v>
      </c>
      <c r="G923">
        <v>2.0146956647166134E-2</v>
      </c>
    </row>
    <row r="924" spans="3:7" x14ac:dyDescent="0.15">
      <c r="C924" s="43" t="s">
        <v>1241</v>
      </c>
      <c r="D924" s="42">
        <v>1</v>
      </c>
      <c r="E924" s="42">
        <v>1</v>
      </c>
      <c r="F924" s="42">
        <v>2.3689591134096384E-3</v>
      </c>
      <c r="G924">
        <v>0.99763104088659038</v>
      </c>
    </row>
    <row r="925" spans="3:7" x14ac:dyDescent="0.15">
      <c r="C925" s="43" t="s">
        <v>1242</v>
      </c>
      <c r="D925" s="42">
        <v>1</v>
      </c>
      <c r="E925" s="42">
        <v>1</v>
      </c>
      <c r="F925" s="42">
        <v>3.352438369415693E-3</v>
      </c>
      <c r="G925">
        <v>0.99664756163058432</v>
      </c>
    </row>
    <row r="926" spans="3:7" x14ac:dyDescent="0.15">
      <c r="C926" s="43" t="s">
        <v>1243</v>
      </c>
      <c r="D926" s="42">
        <v>0</v>
      </c>
      <c r="E926" s="42">
        <v>0</v>
      </c>
      <c r="F926" s="42">
        <v>0.98671732407153134</v>
      </c>
      <c r="G926">
        <v>1.328267592846869E-2</v>
      </c>
    </row>
    <row r="927" spans="3:7" x14ac:dyDescent="0.15">
      <c r="C927" s="61" t="s">
        <v>1244</v>
      </c>
      <c r="D927" s="60">
        <v>0</v>
      </c>
      <c r="E927" s="60">
        <v>1</v>
      </c>
      <c r="F927" s="60">
        <v>0.39839779486815846</v>
      </c>
      <c r="G927" s="59">
        <v>0.60160220513184148</v>
      </c>
    </row>
    <row r="928" spans="3:7" x14ac:dyDescent="0.15">
      <c r="C928" s="43" t="s">
        <v>1245</v>
      </c>
      <c r="D928" s="42">
        <v>0</v>
      </c>
      <c r="E928" s="42">
        <v>0</v>
      </c>
      <c r="F928" s="42">
        <v>0.9024560879189667</v>
      </c>
      <c r="G928">
        <v>9.7543912081033329E-2</v>
      </c>
    </row>
    <row r="929" spans="3:7" x14ac:dyDescent="0.15">
      <c r="C929" s="43" t="s">
        <v>1246</v>
      </c>
      <c r="D929" s="42">
        <v>0</v>
      </c>
      <c r="E929" s="42">
        <v>0</v>
      </c>
      <c r="F929" s="42">
        <v>0.94589535365065069</v>
      </c>
      <c r="G929">
        <v>5.4104646349349333E-2</v>
      </c>
    </row>
    <row r="930" spans="3:7" x14ac:dyDescent="0.15">
      <c r="C930" s="43" t="s">
        <v>1247</v>
      </c>
      <c r="D930" s="42">
        <v>0</v>
      </c>
      <c r="E930" s="42">
        <v>0</v>
      </c>
      <c r="F930" s="42">
        <v>0.9468262951784413</v>
      </c>
      <c r="G930">
        <v>5.3173704821558698E-2</v>
      </c>
    </row>
    <row r="931" spans="3:7" x14ac:dyDescent="0.15">
      <c r="C931" s="43" t="s">
        <v>1248</v>
      </c>
      <c r="D931" s="42">
        <v>0</v>
      </c>
      <c r="E931" s="42">
        <v>0</v>
      </c>
      <c r="F931" s="42">
        <v>0.99962858085149253</v>
      </c>
      <c r="G931">
        <v>3.71419148507548E-4</v>
      </c>
    </row>
    <row r="932" spans="3:7" x14ac:dyDescent="0.15">
      <c r="C932" s="43" t="s">
        <v>1249</v>
      </c>
      <c r="D932" s="42">
        <v>0</v>
      </c>
      <c r="E932" s="42">
        <v>0</v>
      </c>
      <c r="F932" s="42">
        <v>0.70360433805003608</v>
      </c>
      <c r="G932">
        <v>0.29639566194996397</v>
      </c>
    </row>
    <row r="933" spans="3:7" x14ac:dyDescent="0.15">
      <c r="C933" s="43" t="s">
        <v>1250</v>
      </c>
      <c r="D933" s="42">
        <v>0</v>
      </c>
      <c r="E933" s="42">
        <v>0</v>
      </c>
      <c r="F933" s="42">
        <v>0.90924901864907259</v>
      </c>
      <c r="G933">
        <v>9.0750981350927462E-2</v>
      </c>
    </row>
    <row r="934" spans="3:7" x14ac:dyDescent="0.15">
      <c r="C934" s="43" t="s">
        <v>1251</v>
      </c>
      <c r="D934" s="42">
        <v>0</v>
      </c>
      <c r="E934" s="42">
        <v>0</v>
      </c>
      <c r="F934" s="42">
        <v>0.8092561470627726</v>
      </c>
      <c r="G934">
        <v>0.19074385293722734</v>
      </c>
    </row>
    <row r="935" spans="3:7" x14ac:dyDescent="0.15">
      <c r="C935" s="43" t="s">
        <v>1252</v>
      </c>
      <c r="D935" s="42">
        <v>1</v>
      </c>
      <c r="E935" s="42">
        <v>1</v>
      </c>
      <c r="F935" s="42">
        <v>1.1376362850087605E-2</v>
      </c>
      <c r="G935">
        <v>0.98862363714991242</v>
      </c>
    </row>
    <row r="936" spans="3:7" x14ac:dyDescent="0.15">
      <c r="C936" s="43" t="s">
        <v>1253</v>
      </c>
      <c r="D936" s="42">
        <v>0</v>
      </c>
      <c r="E936" s="42">
        <v>0</v>
      </c>
      <c r="F936" s="42">
        <v>0.81896024960958047</v>
      </c>
      <c r="G936">
        <v>0.18103975039041945</v>
      </c>
    </row>
    <row r="937" spans="3:7" x14ac:dyDescent="0.15">
      <c r="C937" s="43" t="s">
        <v>1254</v>
      </c>
      <c r="D937" s="42">
        <v>0</v>
      </c>
      <c r="E937" s="42">
        <v>0</v>
      </c>
      <c r="F937" s="42">
        <v>0.98086665315440891</v>
      </c>
      <c r="G937">
        <v>1.913334684559102E-2</v>
      </c>
    </row>
    <row r="938" spans="3:7" x14ac:dyDescent="0.15">
      <c r="C938" s="43" t="s">
        <v>1255</v>
      </c>
      <c r="D938" s="42">
        <v>0</v>
      </c>
      <c r="E938" s="42">
        <v>0</v>
      </c>
      <c r="F938" s="42">
        <v>0.97715265145977714</v>
      </c>
      <c r="G938">
        <v>2.2847348540223005E-2</v>
      </c>
    </row>
    <row r="939" spans="3:7" x14ac:dyDescent="0.15">
      <c r="C939" s="43" t="s">
        <v>1256</v>
      </c>
      <c r="D939" s="42">
        <v>0</v>
      </c>
      <c r="E939" s="42">
        <v>0</v>
      </c>
      <c r="F939" s="42">
        <v>0.94025416689497454</v>
      </c>
      <c r="G939">
        <v>5.9745833105025473E-2</v>
      </c>
    </row>
    <row r="940" spans="3:7" x14ac:dyDescent="0.15">
      <c r="C940" s="43" t="s">
        <v>1257</v>
      </c>
      <c r="D940" s="42">
        <v>0</v>
      </c>
      <c r="E940" s="42">
        <v>0</v>
      </c>
      <c r="F940" s="42">
        <v>0.98966499540896158</v>
      </c>
      <c r="G940">
        <v>1.0335004591038342E-2</v>
      </c>
    </row>
    <row r="941" spans="3:7" x14ac:dyDescent="0.15">
      <c r="C941" s="43" t="s">
        <v>1258</v>
      </c>
      <c r="D941" s="42">
        <v>0</v>
      </c>
      <c r="E941" s="42">
        <v>0</v>
      </c>
      <c r="F941" s="42">
        <v>0.99433043509632979</v>
      </c>
      <c r="G941">
        <v>5.6695649036700877E-3</v>
      </c>
    </row>
    <row r="942" spans="3:7" x14ac:dyDescent="0.15">
      <c r="C942" s="43" t="s">
        <v>1259</v>
      </c>
      <c r="D942" s="42">
        <v>0</v>
      </c>
      <c r="E942" s="42">
        <v>0</v>
      </c>
      <c r="F942" s="42">
        <v>0.99965107409831655</v>
      </c>
      <c r="G942">
        <v>3.4892590168344323E-4</v>
      </c>
    </row>
    <row r="943" spans="3:7" x14ac:dyDescent="0.15">
      <c r="C943" s="43" t="s">
        <v>1260</v>
      </c>
      <c r="D943" s="42">
        <v>0</v>
      </c>
      <c r="E943" s="42">
        <v>0</v>
      </c>
      <c r="F943" s="42">
        <v>0.84988656173945742</v>
      </c>
      <c r="G943">
        <v>0.15011343826054263</v>
      </c>
    </row>
    <row r="944" spans="3:7" x14ac:dyDescent="0.15">
      <c r="C944" s="43" t="s">
        <v>1261</v>
      </c>
      <c r="D944" s="42">
        <v>0</v>
      </c>
      <c r="E944" s="42">
        <v>0</v>
      </c>
      <c r="F944" s="42">
        <v>0.96444060076460281</v>
      </c>
      <c r="G944">
        <v>3.5559399235397082E-2</v>
      </c>
    </row>
    <row r="945" spans="3:7" x14ac:dyDescent="0.15">
      <c r="C945" s="43" t="s">
        <v>1262</v>
      </c>
      <c r="D945" s="42">
        <v>0</v>
      </c>
      <c r="E945" s="42">
        <v>0</v>
      </c>
      <c r="F945" s="42">
        <v>0.97103865315755289</v>
      </c>
      <c r="G945">
        <v>2.8961346842447253E-2</v>
      </c>
    </row>
    <row r="946" spans="3:7" x14ac:dyDescent="0.15">
      <c r="C946" s="43" t="s">
        <v>1263</v>
      </c>
      <c r="D946" s="42">
        <v>0</v>
      </c>
      <c r="E946" s="42">
        <v>0</v>
      </c>
      <c r="F946" s="42">
        <v>0.99771959586376435</v>
      </c>
      <c r="G946">
        <v>2.2804041362355651E-3</v>
      </c>
    </row>
    <row r="947" spans="3:7" x14ac:dyDescent="0.15">
      <c r="C947" s="43" t="s">
        <v>1264</v>
      </c>
      <c r="D947" s="42">
        <v>0</v>
      </c>
      <c r="E947" s="42">
        <v>0</v>
      </c>
      <c r="F947" s="42">
        <v>0.80666245093916522</v>
      </c>
      <c r="G947">
        <v>0.19333754906083481</v>
      </c>
    </row>
    <row r="948" spans="3:7" x14ac:dyDescent="0.15">
      <c r="C948" s="43" t="s">
        <v>1265</v>
      </c>
      <c r="D948" s="42">
        <v>0</v>
      </c>
      <c r="E948" s="42">
        <v>0</v>
      </c>
      <c r="F948" s="42">
        <v>0.95086140820340126</v>
      </c>
      <c r="G948">
        <v>4.9138591796598748E-2</v>
      </c>
    </row>
    <row r="949" spans="3:7" x14ac:dyDescent="0.15">
      <c r="C949" s="43" t="s">
        <v>1266</v>
      </c>
      <c r="D949" s="42">
        <v>0</v>
      </c>
      <c r="E949" s="42">
        <v>0</v>
      </c>
      <c r="F949" s="42">
        <v>0.99991362902573788</v>
      </c>
      <c r="G949">
        <v>8.6370974262073131E-5</v>
      </c>
    </row>
    <row r="950" spans="3:7" x14ac:dyDescent="0.15">
      <c r="C950" s="43" t="s">
        <v>1267</v>
      </c>
      <c r="D950" s="42">
        <v>0</v>
      </c>
      <c r="E950" s="42">
        <v>0</v>
      </c>
      <c r="F950" s="42">
        <v>0.84205209827368954</v>
      </c>
      <c r="G950">
        <v>0.1579479017263104</v>
      </c>
    </row>
    <row r="951" spans="3:7" x14ac:dyDescent="0.15">
      <c r="C951" s="43" t="s">
        <v>1268</v>
      </c>
      <c r="D951" s="42">
        <v>1</v>
      </c>
      <c r="E951" s="42">
        <v>1</v>
      </c>
      <c r="F951" s="42">
        <v>0.38316618472109998</v>
      </c>
      <c r="G951">
        <v>0.61683381527890002</v>
      </c>
    </row>
    <row r="952" spans="3:7" x14ac:dyDescent="0.15">
      <c r="C952" s="43" t="s">
        <v>1269</v>
      </c>
      <c r="D952" s="42">
        <v>0</v>
      </c>
      <c r="E952" s="42">
        <v>0</v>
      </c>
      <c r="F952" s="42">
        <v>0.77919474351555607</v>
      </c>
      <c r="G952">
        <v>0.22080525648444399</v>
      </c>
    </row>
    <row r="953" spans="3:7" x14ac:dyDescent="0.15">
      <c r="C953" s="43" t="s">
        <v>1270</v>
      </c>
      <c r="D953" s="42">
        <v>0</v>
      </c>
      <c r="E953" s="42">
        <v>0</v>
      </c>
      <c r="F953" s="42">
        <v>0.9789291356582045</v>
      </c>
      <c r="G953">
        <v>2.1070864341795399E-2</v>
      </c>
    </row>
    <row r="954" spans="3:7" x14ac:dyDescent="0.15">
      <c r="C954" s="43" t="s">
        <v>1271</v>
      </c>
      <c r="D954" s="42">
        <v>0</v>
      </c>
      <c r="E954" s="42">
        <v>0</v>
      </c>
      <c r="F954" s="42">
        <v>0.96788403205430262</v>
      </c>
      <c r="G954">
        <v>3.2115967945697418E-2</v>
      </c>
    </row>
    <row r="955" spans="3:7" x14ac:dyDescent="0.15">
      <c r="C955" s="43" t="s">
        <v>1272</v>
      </c>
      <c r="D955" s="42">
        <v>0</v>
      </c>
      <c r="E955" s="42">
        <v>0</v>
      </c>
      <c r="F955" s="42">
        <v>0.99618770740447649</v>
      </c>
      <c r="G955">
        <v>3.8122925955235173E-3</v>
      </c>
    </row>
    <row r="956" spans="3:7" x14ac:dyDescent="0.15">
      <c r="C956" s="43" t="s">
        <v>1273</v>
      </c>
      <c r="D956" s="42">
        <v>0</v>
      </c>
      <c r="E956" s="42">
        <v>0</v>
      </c>
      <c r="F956" s="42">
        <v>0.97613751857882747</v>
      </c>
      <c r="G956">
        <v>2.3862481421172459E-2</v>
      </c>
    </row>
    <row r="957" spans="3:7" x14ac:dyDescent="0.15">
      <c r="C957" s="43" t="s">
        <v>1274</v>
      </c>
      <c r="D957" s="42">
        <v>0</v>
      </c>
      <c r="E957" s="42">
        <v>0</v>
      </c>
      <c r="F957" s="42">
        <v>0.99559610788827269</v>
      </c>
      <c r="G957">
        <v>4.4038921117272754E-3</v>
      </c>
    </row>
    <row r="958" spans="3:7" x14ac:dyDescent="0.15">
      <c r="C958" s="43" t="s">
        <v>1275</v>
      </c>
      <c r="D958" s="42">
        <v>0</v>
      </c>
      <c r="E958" s="42">
        <v>0</v>
      </c>
      <c r="F958" s="42">
        <v>0.92201382240039742</v>
      </c>
      <c r="G958">
        <v>7.7986177599602496E-2</v>
      </c>
    </row>
    <row r="959" spans="3:7" x14ac:dyDescent="0.15">
      <c r="C959" s="43" t="s">
        <v>1276</v>
      </c>
      <c r="D959" s="42">
        <v>0</v>
      </c>
      <c r="E959" s="42">
        <v>0</v>
      </c>
      <c r="F959" s="42">
        <v>0.99440425369185137</v>
      </c>
      <c r="G959">
        <v>5.5957463081486251E-3</v>
      </c>
    </row>
    <row r="960" spans="3:7" x14ac:dyDescent="0.15">
      <c r="C960" s="43" t="s">
        <v>1277</v>
      </c>
      <c r="D960" s="42">
        <v>0</v>
      </c>
      <c r="E960" s="42">
        <v>0</v>
      </c>
      <c r="F960" s="42">
        <v>0.99610400852856473</v>
      </c>
      <c r="G960">
        <v>3.8959914714352217E-3</v>
      </c>
    </row>
    <row r="961" spans="3:7" x14ac:dyDescent="0.15">
      <c r="C961" s="43" t="s">
        <v>1278</v>
      </c>
      <c r="D961" s="42">
        <v>0</v>
      </c>
      <c r="E961" s="42">
        <v>0</v>
      </c>
      <c r="F961" s="42">
        <v>0.99200414709999385</v>
      </c>
      <c r="G961">
        <v>7.9958529000061958E-3</v>
      </c>
    </row>
    <row r="962" spans="3:7" x14ac:dyDescent="0.15">
      <c r="C962" s="43" t="s">
        <v>1279</v>
      </c>
      <c r="D962" s="42">
        <v>0</v>
      </c>
      <c r="E962" s="42">
        <v>0</v>
      </c>
      <c r="F962" s="42">
        <v>0.98716925091045082</v>
      </c>
      <c r="G962">
        <v>1.2830749089549193E-2</v>
      </c>
    </row>
    <row r="963" spans="3:7" x14ac:dyDescent="0.15">
      <c r="C963" s="43" t="s">
        <v>1280</v>
      </c>
      <c r="D963" s="42">
        <v>1</v>
      </c>
      <c r="E963" s="42">
        <v>1</v>
      </c>
      <c r="F963" s="42">
        <v>1.3353139951690562E-3</v>
      </c>
      <c r="G963">
        <v>0.99866468600483094</v>
      </c>
    </row>
    <row r="964" spans="3:7" x14ac:dyDescent="0.15">
      <c r="C964" s="43" t="s">
        <v>1281</v>
      </c>
      <c r="D964" s="42">
        <v>1</v>
      </c>
      <c r="E964" s="42">
        <v>1</v>
      </c>
      <c r="F964" s="42">
        <v>0.20311288252480791</v>
      </c>
      <c r="G964">
        <v>0.79688711747519203</v>
      </c>
    </row>
    <row r="965" spans="3:7" x14ac:dyDescent="0.15">
      <c r="C965" s="43" t="s">
        <v>1282</v>
      </c>
      <c r="D965" s="42">
        <v>0</v>
      </c>
      <c r="E965" s="42">
        <v>0</v>
      </c>
      <c r="F965" s="42">
        <v>0.98785878393397031</v>
      </c>
      <c r="G965">
        <v>1.2141216066029742E-2</v>
      </c>
    </row>
    <row r="966" spans="3:7" x14ac:dyDescent="0.15">
      <c r="C966" s="43" t="s">
        <v>1283</v>
      </c>
      <c r="D966" s="42">
        <v>0</v>
      </c>
      <c r="E966" s="42">
        <v>0</v>
      </c>
      <c r="F966" s="42">
        <v>0.99646058846586394</v>
      </c>
      <c r="G966">
        <v>3.5394115341360619E-3</v>
      </c>
    </row>
    <row r="967" spans="3:7" x14ac:dyDescent="0.15">
      <c r="C967" s="43" t="s">
        <v>1284</v>
      </c>
      <c r="D967" s="42">
        <v>0</v>
      </c>
      <c r="E967" s="42">
        <v>0</v>
      </c>
      <c r="F967" s="42">
        <v>0.99667055211629518</v>
      </c>
      <c r="G967">
        <v>3.3294478837047809E-3</v>
      </c>
    </row>
    <row r="968" spans="3:7" x14ac:dyDescent="0.15">
      <c r="C968" s="61" t="s">
        <v>1285</v>
      </c>
      <c r="D968" s="60">
        <v>1</v>
      </c>
      <c r="E968" s="60">
        <v>0</v>
      </c>
      <c r="F968" s="60">
        <v>0.78787462691003596</v>
      </c>
      <c r="G968" s="59">
        <v>0.21212537308996404</v>
      </c>
    </row>
    <row r="969" spans="3:7" x14ac:dyDescent="0.15">
      <c r="C969" s="43" t="s">
        <v>1286</v>
      </c>
      <c r="D969" s="42">
        <v>0</v>
      </c>
      <c r="E969" s="42">
        <v>0</v>
      </c>
      <c r="F969" s="42">
        <v>0.97252736046241628</v>
      </c>
      <c r="G969">
        <v>2.7472639537583741E-2</v>
      </c>
    </row>
    <row r="970" spans="3:7" x14ac:dyDescent="0.15">
      <c r="C970" s="43" t="s">
        <v>1287</v>
      </c>
      <c r="D970" s="42">
        <v>0</v>
      </c>
      <c r="E970" s="42">
        <v>0</v>
      </c>
      <c r="F970" s="42">
        <v>0.993224425344989</v>
      </c>
      <c r="G970">
        <v>6.7755746550109503E-3</v>
      </c>
    </row>
    <row r="971" spans="3:7" x14ac:dyDescent="0.15">
      <c r="C971" s="43" t="s">
        <v>1288</v>
      </c>
      <c r="D971" s="42">
        <v>0</v>
      </c>
      <c r="E971" s="42">
        <v>0</v>
      </c>
      <c r="F971" s="42">
        <v>0.95187890993907276</v>
      </c>
      <c r="G971">
        <v>4.8121090060927234E-2</v>
      </c>
    </row>
    <row r="972" spans="3:7" x14ac:dyDescent="0.15">
      <c r="C972" s="43" t="s">
        <v>1289</v>
      </c>
      <c r="D972" s="42">
        <v>1</v>
      </c>
      <c r="E972" s="42">
        <v>1</v>
      </c>
      <c r="F972" s="42">
        <v>3.2386007379884396E-2</v>
      </c>
      <c r="G972">
        <v>0.9676139926201156</v>
      </c>
    </row>
    <row r="973" spans="3:7" x14ac:dyDescent="0.15">
      <c r="C973" s="61" t="s">
        <v>1290</v>
      </c>
      <c r="D973" s="60">
        <v>0</v>
      </c>
      <c r="E973" s="60">
        <v>1</v>
      </c>
      <c r="F973" s="60">
        <v>0.3640208400902028</v>
      </c>
      <c r="G973" s="59">
        <v>0.63597915990979725</v>
      </c>
    </row>
    <row r="974" spans="3:7" x14ac:dyDescent="0.15">
      <c r="C974" s="43" t="s">
        <v>1291</v>
      </c>
      <c r="D974" s="42">
        <v>0</v>
      </c>
      <c r="E974" s="42">
        <v>0</v>
      </c>
      <c r="F974" s="42">
        <v>0.99629818831022987</v>
      </c>
      <c r="G974">
        <v>3.7018116897702467E-3</v>
      </c>
    </row>
    <row r="975" spans="3:7" x14ac:dyDescent="0.15">
      <c r="C975" s="43" t="s">
        <v>1292</v>
      </c>
      <c r="D975" s="42">
        <v>0</v>
      </c>
      <c r="E975" s="42">
        <v>0</v>
      </c>
      <c r="F975" s="42">
        <v>0.99923655174026094</v>
      </c>
      <c r="G975">
        <v>7.6344825973908702E-4</v>
      </c>
    </row>
    <row r="976" spans="3:7" x14ac:dyDescent="0.15">
      <c r="C976" s="43" t="s">
        <v>1293</v>
      </c>
      <c r="D976" s="42">
        <v>1</v>
      </c>
      <c r="E976" s="42">
        <v>1</v>
      </c>
      <c r="F976" s="42">
        <v>1.8169654203503555E-2</v>
      </c>
      <c r="G976">
        <v>0.98183034579649642</v>
      </c>
    </row>
    <row r="977" spans="3:7" x14ac:dyDescent="0.15">
      <c r="C977" s="43" t="s">
        <v>1294</v>
      </c>
      <c r="D977" s="42">
        <v>0</v>
      </c>
      <c r="E977" s="42">
        <v>0</v>
      </c>
      <c r="F977" s="42">
        <v>0.98999088913108879</v>
      </c>
      <c r="G977">
        <v>1.0009110868911203E-2</v>
      </c>
    </row>
    <row r="978" spans="3:7" x14ac:dyDescent="0.15">
      <c r="C978" s="43" t="s">
        <v>1295</v>
      </c>
      <c r="D978" s="42">
        <v>0</v>
      </c>
      <c r="E978" s="42">
        <v>0</v>
      </c>
      <c r="F978" s="42">
        <v>0.96901770838620604</v>
      </c>
      <c r="G978">
        <v>3.0982291613793921E-2</v>
      </c>
    </row>
    <row r="979" spans="3:7" x14ac:dyDescent="0.15">
      <c r="C979" s="61" t="s">
        <v>1296</v>
      </c>
      <c r="D979" s="60">
        <v>1</v>
      </c>
      <c r="E979" s="60">
        <v>0</v>
      </c>
      <c r="F979" s="60">
        <v>0.64992841695724013</v>
      </c>
      <c r="G979" s="59">
        <v>0.35007158304275998</v>
      </c>
    </row>
    <row r="980" spans="3:7" x14ac:dyDescent="0.15">
      <c r="C980" s="43" t="s">
        <v>1297</v>
      </c>
      <c r="D980" s="42">
        <v>0</v>
      </c>
      <c r="E980" s="42">
        <v>0</v>
      </c>
      <c r="F980" s="42">
        <v>0.98876280084730683</v>
      </c>
      <c r="G980">
        <v>1.1237199152693212E-2</v>
      </c>
    </row>
    <row r="981" spans="3:7" x14ac:dyDescent="0.15">
      <c r="C981" s="43" t="s">
        <v>1298</v>
      </c>
      <c r="D981" s="42">
        <v>0</v>
      </c>
      <c r="E981" s="42">
        <v>0</v>
      </c>
      <c r="F981" s="42">
        <v>0.90534037366832587</v>
      </c>
      <c r="G981">
        <v>9.4659626331674213E-2</v>
      </c>
    </row>
    <row r="982" spans="3:7" x14ac:dyDescent="0.15">
      <c r="C982" s="43" t="s">
        <v>1299</v>
      </c>
      <c r="D982" s="42">
        <v>0</v>
      </c>
      <c r="E982" s="42">
        <v>0</v>
      </c>
      <c r="F982" s="42">
        <v>0.99521020284484751</v>
      </c>
      <c r="G982">
        <v>4.7897971551526279E-3</v>
      </c>
    </row>
    <row r="983" spans="3:7" x14ac:dyDescent="0.15">
      <c r="C983" s="43" t="s">
        <v>1300</v>
      </c>
      <c r="D983" s="42">
        <v>0</v>
      </c>
      <c r="E983" s="42">
        <v>0</v>
      </c>
      <c r="F983" s="42">
        <v>0.98616171158081833</v>
      </c>
      <c r="G983">
        <v>1.3838288419181695E-2</v>
      </c>
    </row>
    <row r="984" spans="3:7" x14ac:dyDescent="0.15">
      <c r="C984" s="43" t="s">
        <v>1301</v>
      </c>
      <c r="D984" s="42">
        <v>0</v>
      </c>
      <c r="E984" s="42">
        <v>0</v>
      </c>
      <c r="F984" s="42">
        <v>0.92587854213103804</v>
      </c>
      <c r="G984">
        <v>7.4121457868962001E-2</v>
      </c>
    </row>
    <row r="985" spans="3:7" x14ac:dyDescent="0.15">
      <c r="C985" s="43" t="s">
        <v>1302</v>
      </c>
      <c r="D985" s="42">
        <v>0</v>
      </c>
      <c r="E985" s="42">
        <v>0</v>
      </c>
      <c r="F985" s="42">
        <v>0.9995820689902728</v>
      </c>
      <c r="G985">
        <v>4.1793100972719834E-4</v>
      </c>
    </row>
    <row r="986" spans="3:7" x14ac:dyDescent="0.15">
      <c r="C986" s="43" t="s">
        <v>1303</v>
      </c>
      <c r="D986" s="42">
        <v>0</v>
      </c>
      <c r="E986" s="42">
        <v>0</v>
      </c>
      <c r="F986" s="42">
        <v>0.9240231546440596</v>
      </c>
      <c r="G986">
        <v>7.5976845355940417E-2</v>
      </c>
    </row>
    <row r="987" spans="3:7" x14ac:dyDescent="0.15">
      <c r="C987" s="43" t="s">
        <v>1304</v>
      </c>
      <c r="D987" s="42">
        <v>0</v>
      </c>
      <c r="E987" s="42">
        <v>0</v>
      </c>
      <c r="F987" s="42">
        <v>0.99139658721433266</v>
      </c>
      <c r="G987">
        <v>8.6034127856673727E-3</v>
      </c>
    </row>
    <row r="988" spans="3:7" x14ac:dyDescent="0.15">
      <c r="C988" s="43" t="s">
        <v>1305</v>
      </c>
      <c r="D988" s="42">
        <v>0</v>
      </c>
      <c r="E988" s="42">
        <v>0</v>
      </c>
      <c r="F988" s="42">
        <v>0.99912273012000175</v>
      </c>
      <c r="G988">
        <v>8.7726987999834066E-4</v>
      </c>
    </row>
    <row r="989" spans="3:7" x14ac:dyDescent="0.15">
      <c r="C989" s="43" t="s">
        <v>1306</v>
      </c>
      <c r="D989" s="42">
        <v>0</v>
      </c>
      <c r="E989" s="42">
        <v>0</v>
      </c>
      <c r="F989" s="42">
        <v>0.99215586641808962</v>
      </c>
      <c r="G989">
        <v>7.8441335819105212E-3</v>
      </c>
    </row>
    <row r="990" spans="3:7" x14ac:dyDescent="0.15">
      <c r="C990" s="43" t="s">
        <v>1307</v>
      </c>
      <c r="D990" s="42">
        <v>0</v>
      </c>
      <c r="E990" s="42">
        <v>0</v>
      </c>
      <c r="F990" s="42">
        <v>0.99885392358227809</v>
      </c>
      <c r="G990">
        <v>1.1460764177220139E-3</v>
      </c>
    </row>
    <row r="991" spans="3:7" x14ac:dyDescent="0.15">
      <c r="C991" s="43" t="s">
        <v>1308</v>
      </c>
      <c r="D991" s="42">
        <v>0</v>
      </c>
      <c r="E991" s="42">
        <v>0</v>
      </c>
      <c r="F991" s="42">
        <v>0.99742010826834593</v>
      </c>
      <c r="G991">
        <v>2.5798917316540875E-3</v>
      </c>
    </row>
    <row r="992" spans="3:7" x14ac:dyDescent="0.15">
      <c r="C992" s="43" t="s">
        <v>1309</v>
      </c>
      <c r="D992" s="42">
        <v>0</v>
      </c>
      <c r="E992" s="42">
        <v>0</v>
      </c>
      <c r="F992" s="42">
        <v>0.98304330682934138</v>
      </c>
      <c r="G992">
        <v>1.6956693170658624E-2</v>
      </c>
    </row>
    <row r="993" spans="3:7" x14ac:dyDescent="0.15">
      <c r="C993" s="43" t="s">
        <v>1310</v>
      </c>
      <c r="D993" s="42">
        <v>0</v>
      </c>
      <c r="E993" s="42">
        <v>0</v>
      </c>
      <c r="F993" s="42">
        <v>0.85913044612206702</v>
      </c>
      <c r="G993">
        <v>0.14086955387793296</v>
      </c>
    </row>
    <row r="994" spans="3:7" x14ac:dyDescent="0.15">
      <c r="C994" s="43" t="s">
        <v>1311</v>
      </c>
      <c r="D994" s="42">
        <v>0</v>
      </c>
      <c r="E994" s="42">
        <v>0</v>
      </c>
      <c r="F994" s="42">
        <v>0.94148570311468494</v>
      </c>
      <c r="G994">
        <v>5.8514296885315085E-2</v>
      </c>
    </row>
    <row r="995" spans="3:7" x14ac:dyDescent="0.15">
      <c r="C995" s="43" t="s">
        <v>1312</v>
      </c>
      <c r="D995" s="42">
        <v>0</v>
      </c>
      <c r="E995" s="42">
        <v>0</v>
      </c>
      <c r="F995" s="42">
        <v>0.97546848368665506</v>
      </c>
      <c r="G995">
        <v>2.4531516313344926E-2</v>
      </c>
    </row>
    <row r="996" spans="3:7" x14ac:dyDescent="0.15">
      <c r="C996" s="43" t="s">
        <v>1313</v>
      </c>
      <c r="D996" s="42">
        <v>0</v>
      </c>
      <c r="E996" s="42">
        <v>0</v>
      </c>
      <c r="F996" s="42">
        <v>0.72470333041728574</v>
      </c>
      <c r="G996">
        <v>0.27529666958271426</v>
      </c>
    </row>
    <row r="997" spans="3:7" x14ac:dyDescent="0.15">
      <c r="C997" s="43" t="s">
        <v>1314</v>
      </c>
      <c r="D997" s="42">
        <v>0</v>
      </c>
      <c r="E997" s="42">
        <v>0</v>
      </c>
      <c r="F997" s="42">
        <v>0.99975749182597407</v>
      </c>
      <c r="G997">
        <v>2.425081740258983E-4</v>
      </c>
    </row>
    <row r="998" spans="3:7" x14ac:dyDescent="0.15">
      <c r="C998" s="43" t="s">
        <v>1315</v>
      </c>
      <c r="D998" s="42">
        <v>0</v>
      </c>
      <c r="E998" s="42">
        <v>0</v>
      </c>
      <c r="F998" s="42">
        <v>0.96302384654365669</v>
      </c>
      <c r="G998">
        <v>3.6976153456343329E-2</v>
      </c>
    </row>
    <row r="999" spans="3:7" x14ac:dyDescent="0.15">
      <c r="C999" s="43" t="s">
        <v>1316</v>
      </c>
      <c r="D999" s="42">
        <v>0</v>
      </c>
      <c r="E999" s="42">
        <v>0</v>
      </c>
      <c r="F999" s="42">
        <v>0.99626141440943461</v>
      </c>
      <c r="G999">
        <v>3.7385855905653657E-3</v>
      </c>
    </row>
    <row r="1000" spans="3:7" x14ac:dyDescent="0.15">
      <c r="C1000" s="43" t="s">
        <v>1317</v>
      </c>
      <c r="D1000" s="42">
        <v>0</v>
      </c>
      <c r="E1000" s="42">
        <v>0</v>
      </c>
      <c r="F1000" s="42">
        <v>0.98421728892101246</v>
      </c>
      <c r="G1000">
        <v>1.5782711078987498E-2</v>
      </c>
    </row>
    <row r="1001" spans="3:7" x14ac:dyDescent="0.15">
      <c r="C1001" s="43" t="s">
        <v>1318</v>
      </c>
      <c r="D1001" s="42">
        <v>0</v>
      </c>
      <c r="E1001" s="42">
        <v>0</v>
      </c>
      <c r="F1001" s="42">
        <v>0.99322799046125243</v>
      </c>
      <c r="G1001">
        <v>6.7720095387476956E-3</v>
      </c>
    </row>
    <row r="1002" spans="3:7" x14ac:dyDescent="0.15">
      <c r="C1002" s="61" t="s">
        <v>1319</v>
      </c>
      <c r="D1002" s="60">
        <v>0</v>
      </c>
      <c r="E1002" s="60">
        <v>1</v>
      </c>
      <c r="F1002" s="60">
        <v>3.5685048792799039E-2</v>
      </c>
      <c r="G1002" s="59">
        <v>0.9643149512072009</v>
      </c>
    </row>
    <row r="1003" spans="3:7" x14ac:dyDescent="0.15">
      <c r="C1003" s="43" t="s">
        <v>1320</v>
      </c>
      <c r="D1003" s="42">
        <v>0</v>
      </c>
      <c r="E1003" s="42">
        <v>0</v>
      </c>
      <c r="F1003" s="42">
        <v>0.99816569372357111</v>
      </c>
      <c r="G1003">
        <v>1.8343062764289073E-3</v>
      </c>
    </row>
    <row r="1004" spans="3:7" x14ac:dyDescent="0.15">
      <c r="C1004" s="43" t="s">
        <v>1321</v>
      </c>
      <c r="D1004" s="42">
        <v>0</v>
      </c>
      <c r="E1004" s="42">
        <v>0</v>
      </c>
      <c r="F1004" s="42">
        <v>0.99963525838067768</v>
      </c>
      <c r="G1004">
        <v>3.6474161932230044E-4</v>
      </c>
    </row>
    <row r="1005" spans="3:7" x14ac:dyDescent="0.15">
      <c r="C1005" s="43" t="s">
        <v>1322</v>
      </c>
      <c r="D1005" s="42">
        <v>0</v>
      </c>
      <c r="E1005" s="42">
        <v>0</v>
      </c>
      <c r="F1005" s="42">
        <v>0.9987894153053366</v>
      </c>
      <c r="G1005">
        <v>1.2105846946634158E-3</v>
      </c>
    </row>
    <row r="1006" spans="3:7" x14ac:dyDescent="0.15">
      <c r="C1006" s="43" t="s">
        <v>1323</v>
      </c>
      <c r="D1006" s="42">
        <v>0</v>
      </c>
      <c r="E1006" s="42">
        <v>0</v>
      </c>
      <c r="F1006" s="42">
        <v>0.9671951972328352</v>
      </c>
      <c r="G1006">
        <v>3.2804802767164874E-2</v>
      </c>
    </row>
    <row r="1007" spans="3:7" x14ac:dyDescent="0.15">
      <c r="C1007" s="43" t="s">
        <v>1324</v>
      </c>
      <c r="D1007" s="42">
        <v>1</v>
      </c>
      <c r="E1007" s="42">
        <v>1</v>
      </c>
      <c r="F1007" s="42">
        <v>3.014487042457727E-2</v>
      </c>
      <c r="G1007">
        <v>0.96985512957542286</v>
      </c>
    </row>
    <row r="1008" spans="3:7" x14ac:dyDescent="0.15">
      <c r="C1008" s="43" t="s">
        <v>1325</v>
      </c>
      <c r="D1008" s="42">
        <v>0</v>
      </c>
      <c r="E1008" s="42">
        <v>0</v>
      </c>
      <c r="F1008" s="42">
        <v>0.99291980292835413</v>
      </c>
      <c r="G1008">
        <v>7.0801970716458289E-3</v>
      </c>
    </row>
    <row r="1009" spans="3:7" x14ac:dyDescent="0.15">
      <c r="C1009" s="43" t="s">
        <v>1326</v>
      </c>
      <c r="D1009" s="42">
        <v>0</v>
      </c>
      <c r="E1009" s="42">
        <v>0</v>
      </c>
      <c r="F1009" s="42">
        <v>0.9953697561815068</v>
      </c>
      <c r="G1009">
        <v>4.6302438184932073E-3</v>
      </c>
    </row>
    <row r="1010" spans="3:7" x14ac:dyDescent="0.15">
      <c r="C1010" s="43" t="s">
        <v>1327</v>
      </c>
      <c r="D1010" s="42">
        <v>1</v>
      </c>
      <c r="E1010" s="42">
        <v>1</v>
      </c>
      <c r="F1010" s="42">
        <v>1.6667022851537414E-2</v>
      </c>
      <c r="G1010">
        <v>0.98333297714846246</v>
      </c>
    </row>
    <row r="1011" spans="3:7" x14ac:dyDescent="0.15">
      <c r="C1011" s="61" t="s">
        <v>1328</v>
      </c>
      <c r="D1011" s="60">
        <v>0</v>
      </c>
      <c r="E1011" s="60">
        <v>1</v>
      </c>
      <c r="F1011" s="60">
        <v>0.33312123607698119</v>
      </c>
      <c r="G1011" s="59">
        <v>0.66687876392301881</v>
      </c>
    </row>
    <row r="1012" spans="3:7" x14ac:dyDescent="0.15">
      <c r="C1012" s="43" t="s">
        <v>1329</v>
      </c>
      <c r="D1012" s="42">
        <v>0</v>
      </c>
      <c r="E1012" s="42">
        <v>0</v>
      </c>
      <c r="F1012" s="42">
        <v>0.99890106493302766</v>
      </c>
      <c r="G1012">
        <v>1.0989350669723945E-3</v>
      </c>
    </row>
    <row r="1013" spans="3:7" x14ac:dyDescent="0.15">
      <c r="C1013" s="43" t="s">
        <v>1330</v>
      </c>
      <c r="D1013" s="42">
        <v>0</v>
      </c>
      <c r="E1013" s="42">
        <v>0</v>
      </c>
      <c r="F1013" s="42">
        <v>0.90518721296903004</v>
      </c>
      <c r="G1013">
        <v>9.4812787030969875E-2</v>
      </c>
    </row>
    <row r="1014" spans="3:7" x14ac:dyDescent="0.15">
      <c r="C1014" s="43" t="s">
        <v>1331</v>
      </c>
      <c r="D1014" s="42">
        <v>0</v>
      </c>
      <c r="E1014" s="42">
        <v>0</v>
      </c>
      <c r="F1014" s="42">
        <v>0.9908838273494267</v>
      </c>
      <c r="G1014">
        <v>9.1161726505733492E-3</v>
      </c>
    </row>
    <row r="1015" spans="3:7" x14ac:dyDescent="0.15">
      <c r="C1015" s="43" t="s">
        <v>1332</v>
      </c>
      <c r="D1015" s="42">
        <v>0</v>
      </c>
      <c r="E1015" s="42">
        <v>0</v>
      </c>
      <c r="F1015" s="42">
        <v>0.58848931747327338</v>
      </c>
      <c r="G1015">
        <v>0.41151068252672651</v>
      </c>
    </row>
    <row r="1016" spans="3:7" x14ac:dyDescent="0.15">
      <c r="C1016" s="43" t="s">
        <v>1333</v>
      </c>
      <c r="D1016" s="42">
        <v>0</v>
      </c>
      <c r="E1016" s="42">
        <v>0</v>
      </c>
      <c r="F1016" s="42">
        <v>0.9996129049933542</v>
      </c>
      <c r="G1016">
        <v>3.870950066458004E-4</v>
      </c>
    </row>
    <row r="1017" spans="3:7" x14ac:dyDescent="0.15">
      <c r="C1017" s="43" t="s">
        <v>1334</v>
      </c>
      <c r="D1017" s="42">
        <v>0</v>
      </c>
      <c r="E1017" s="42">
        <v>0</v>
      </c>
      <c r="F1017" s="42">
        <v>0.99835791255370709</v>
      </c>
      <c r="G1017">
        <v>1.6420874462930383E-3</v>
      </c>
    </row>
    <row r="1018" spans="3:7" x14ac:dyDescent="0.15">
      <c r="C1018" s="43" t="s">
        <v>1335</v>
      </c>
      <c r="D1018" s="42">
        <v>0</v>
      </c>
      <c r="E1018" s="42">
        <v>0</v>
      </c>
      <c r="F1018" s="42">
        <v>0.99744107383551384</v>
      </c>
      <c r="G1018">
        <v>2.5589261644860051E-3</v>
      </c>
    </row>
    <row r="1019" spans="3:7" x14ac:dyDescent="0.15">
      <c r="C1019" s="43" t="s">
        <v>1336</v>
      </c>
      <c r="D1019" s="42">
        <v>0</v>
      </c>
      <c r="E1019" s="42">
        <v>0</v>
      </c>
      <c r="F1019" s="42">
        <v>0.97465987127704656</v>
      </c>
      <c r="G1019">
        <v>2.534012872295352E-2</v>
      </c>
    </row>
    <row r="1020" spans="3:7" x14ac:dyDescent="0.15">
      <c r="C1020" s="43" t="s">
        <v>1337</v>
      </c>
      <c r="D1020" s="42">
        <v>0</v>
      </c>
      <c r="E1020" s="42">
        <v>0</v>
      </c>
      <c r="F1020" s="42">
        <v>0.90190039595779836</v>
      </c>
      <c r="G1020">
        <v>9.8099604042201596E-2</v>
      </c>
    </row>
    <row r="1021" spans="3:7" x14ac:dyDescent="0.15">
      <c r="C1021" s="43" t="s">
        <v>1338</v>
      </c>
      <c r="D1021" s="42">
        <v>0</v>
      </c>
      <c r="E1021" s="42">
        <v>0</v>
      </c>
      <c r="F1021" s="42">
        <v>0.99637385284511482</v>
      </c>
      <c r="G1021">
        <v>3.6261471548851777E-3</v>
      </c>
    </row>
    <row r="1022" spans="3:7" x14ac:dyDescent="0.15">
      <c r="C1022" s="61" t="s">
        <v>1339</v>
      </c>
      <c r="D1022" s="60">
        <v>0</v>
      </c>
      <c r="E1022" s="60">
        <v>1</v>
      </c>
      <c r="F1022" s="60">
        <v>3.6550654079754663E-2</v>
      </c>
      <c r="G1022" s="59">
        <v>0.96344934592024534</v>
      </c>
    </row>
    <row r="1023" spans="3:7" x14ac:dyDescent="0.15">
      <c r="C1023" s="43" t="s">
        <v>1340</v>
      </c>
      <c r="D1023" s="42">
        <v>0</v>
      </c>
      <c r="E1023" s="42">
        <v>0</v>
      </c>
      <c r="F1023" s="42">
        <v>0.96031890425539757</v>
      </c>
      <c r="G1023">
        <v>3.9681095744602324E-2</v>
      </c>
    </row>
    <row r="1024" spans="3:7" x14ac:dyDescent="0.15">
      <c r="C1024" s="43" t="s">
        <v>1341</v>
      </c>
      <c r="D1024" s="42">
        <v>0</v>
      </c>
      <c r="E1024" s="42">
        <v>0</v>
      </c>
      <c r="F1024" s="42">
        <v>0.98032899210699653</v>
      </c>
      <c r="G1024">
        <v>1.9671007893003429E-2</v>
      </c>
    </row>
    <row r="1025" spans="3:7" x14ac:dyDescent="0.15">
      <c r="C1025" s="43" t="s">
        <v>1342</v>
      </c>
      <c r="D1025" s="42">
        <v>0</v>
      </c>
      <c r="E1025" s="42">
        <v>0</v>
      </c>
      <c r="F1025" s="42">
        <v>0.99620278568334575</v>
      </c>
      <c r="G1025">
        <v>3.79721431665418E-3</v>
      </c>
    </row>
    <row r="1026" spans="3:7" x14ac:dyDescent="0.15">
      <c r="C1026" s="43" t="s">
        <v>1343</v>
      </c>
      <c r="D1026" s="42">
        <v>0</v>
      </c>
      <c r="E1026" s="42">
        <v>0</v>
      </c>
      <c r="F1026" s="42">
        <v>0.53156660643434139</v>
      </c>
      <c r="G1026">
        <v>0.46843339356565855</v>
      </c>
    </row>
    <row r="1027" spans="3:7" x14ac:dyDescent="0.15">
      <c r="C1027" s="43" t="s">
        <v>1344</v>
      </c>
      <c r="D1027" s="42">
        <v>0</v>
      </c>
      <c r="E1027" s="42">
        <v>0</v>
      </c>
      <c r="F1027" s="42">
        <v>0.94796015596051575</v>
      </c>
      <c r="G1027">
        <v>5.2039844039484279E-2</v>
      </c>
    </row>
    <row r="1028" spans="3:7" x14ac:dyDescent="0.15">
      <c r="C1028" s="43" t="s">
        <v>1345</v>
      </c>
      <c r="D1028" s="42">
        <v>0</v>
      </c>
      <c r="E1028" s="42">
        <v>0</v>
      </c>
      <c r="F1028" s="42">
        <v>0.98547995133984911</v>
      </c>
      <c r="G1028">
        <v>1.4520048660150804E-2</v>
      </c>
    </row>
    <row r="1029" spans="3:7" x14ac:dyDescent="0.15">
      <c r="C1029" s="61" t="s">
        <v>1346</v>
      </c>
      <c r="D1029" s="60">
        <v>0</v>
      </c>
      <c r="E1029" s="60">
        <v>1</v>
      </c>
      <c r="F1029" s="60">
        <v>0.30078687863005715</v>
      </c>
      <c r="G1029" s="59">
        <v>0.69921312136994285</v>
      </c>
    </row>
    <row r="1030" spans="3:7" x14ac:dyDescent="0.15">
      <c r="C1030" s="43" t="s">
        <v>1347</v>
      </c>
      <c r="D1030" s="42">
        <v>0</v>
      </c>
      <c r="E1030" s="42">
        <v>0</v>
      </c>
      <c r="F1030" s="42">
        <v>0.78030839095339244</v>
      </c>
      <c r="G1030">
        <v>0.21969160904660759</v>
      </c>
    </row>
    <row r="1031" spans="3:7" x14ac:dyDescent="0.15">
      <c r="C1031" s="43" t="s">
        <v>1348</v>
      </c>
      <c r="D1031" s="42">
        <v>0</v>
      </c>
      <c r="E1031" s="42">
        <v>0</v>
      </c>
      <c r="F1031" s="42">
        <v>0.99896812127022616</v>
      </c>
      <c r="G1031">
        <v>1.0318787297738975E-3</v>
      </c>
    </row>
    <row r="1032" spans="3:7" x14ac:dyDescent="0.15">
      <c r="C1032" s="43" t="s">
        <v>1349</v>
      </c>
      <c r="D1032" s="42">
        <v>0</v>
      </c>
      <c r="E1032" s="42">
        <v>0</v>
      </c>
      <c r="F1032" s="42">
        <v>0.99984227997753938</v>
      </c>
      <c r="G1032">
        <v>1.5772002246054734E-4</v>
      </c>
    </row>
    <row r="1033" spans="3:7" x14ac:dyDescent="0.15">
      <c r="C1033" s="43" t="s">
        <v>1350</v>
      </c>
      <c r="D1033" s="42">
        <v>0</v>
      </c>
      <c r="E1033" s="42">
        <v>0</v>
      </c>
      <c r="F1033" s="42">
        <v>0.77693059104475914</v>
      </c>
      <c r="G1033">
        <v>0.22306940895524097</v>
      </c>
    </row>
    <row r="1034" spans="3:7" x14ac:dyDescent="0.15">
      <c r="C1034" s="43" t="s">
        <v>1351</v>
      </c>
      <c r="D1034" s="42">
        <v>0</v>
      </c>
      <c r="E1034" s="42">
        <v>0</v>
      </c>
      <c r="F1034" s="42">
        <v>0.90888479768278696</v>
      </c>
      <c r="G1034">
        <v>9.1115202317213081E-2</v>
      </c>
    </row>
    <row r="1035" spans="3:7" x14ac:dyDescent="0.15">
      <c r="C1035" s="43" t="s">
        <v>1352</v>
      </c>
      <c r="D1035" s="42">
        <v>0</v>
      </c>
      <c r="E1035" s="42">
        <v>0</v>
      </c>
      <c r="F1035" s="42">
        <v>0.88330680358276081</v>
      </c>
      <c r="G1035">
        <v>0.11669319641723919</v>
      </c>
    </row>
    <row r="1036" spans="3:7" x14ac:dyDescent="0.15">
      <c r="C1036" s="43" t="s">
        <v>1353</v>
      </c>
      <c r="D1036" s="42">
        <v>0</v>
      </c>
      <c r="E1036" s="42">
        <v>0</v>
      </c>
      <c r="F1036" s="42">
        <v>0.90980216480820342</v>
      </c>
      <c r="G1036">
        <v>9.019783519179661E-2</v>
      </c>
    </row>
    <row r="1037" spans="3:7" x14ac:dyDescent="0.15">
      <c r="C1037" s="43" t="s">
        <v>1354</v>
      </c>
      <c r="D1037" s="42">
        <v>1</v>
      </c>
      <c r="E1037" s="42">
        <v>1</v>
      </c>
      <c r="F1037" s="42">
        <v>5.5217316046565464E-4</v>
      </c>
      <c r="G1037">
        <v>0.99944782683953426</v>
      </c>
    </row>
    <row r="1038" spans="3:7" x14ac:dyDescent="0.15">
      <c r="C1038" s="43" t="s">
        <v>1355</v>
      </c>
      <c r="D1038" s="42">
        <v>0</v>
      </c>
      <c r="E1038" s="42">
        <v>0</v>
      </c>
      <c r="F1038" s="42">
        <v>0.98471095418517851</v>
      </c>
      <c r="G1038">
        <v>1.5289045814821541E-2</v>
      </c>
    </row>
    <row r="1039" spans="3:7" x14ac:dyDescent="0.15">
      <c r="C1039" s="43" t="s">
        <v>1356</v>
      </c>
      <c r="D1039" s="42">
        <v>0</v>
      </c>
      <c r="E1039" s="42">
        <v>0</v>
      </c>
      <c r="F1039" s="42">
        <v>0.85486443608839646</v>
      </c>
      <c r="G1039">
        <v>0.14513556391160348</v>
      </c>
    </row>
    <row r="1040" spans="3:7" x14ac:dyDescent="0.15">
      <c r="C1040" s="61" t="s">
        <v>1357</v>
      </c>
      <c r="D1040" s="60">
        <v>0</v>
      </c>
      <c r="E1040" s="60">
        <v>1</v>
      </c>
      <c r="F1040" s="60">
        <v>0.32246994371537474</v>
      </c>
      <c r="G1040" s="59">
        <v>0.67753005628462526</v>
      </c>
    </row>
    <row r="1041" spans="3:7" x14ac:dyDescent="0.15">
      <c r="C1041" s="43" t="s">
        <v>1358</v>
      </c>
      <c r="D1041" s="42">
        <v>0</v>
      </c>
      <c r="E1041" s="42">
        <v>0</v>
      </c>
      <c r="F1041" s="42">
        <v>0.96407934111691007</v>
      </c>
      <c r="G1041">
        <v>3.592065888308988E-2</v>
      </c>
    </row>
    <row r="1042" spans="3:7" x14ac:dyDescent="0.15">
      <c r="C1042" s="43" t="s">
        <v>1359</v>
      </c>
      <c r="D1042" s="42">
        <v>0</v>
      </c>
      <c r="E1042" s="42">
        <v>0</v>
      </c>
      <c r="F1042" s="42">
        <v>0.99981149007903347</v>
      </c>
      <c r="G1042">
        <v>1.8850992096659016E-4</v>
      </c>
    </row>
    <row r="1043" spans="3:7" x14ac:dyDescent="0.15">
      <c r="C1043" s="43" t="s">
        <v>1360</v>
      </c>
      <c r="D1043" s="42">
        <v>0</v>
      </c>
      <c r="E1043" s="42">
        <v>0</v>
      </c>
      <c r="F1043" s="42">
        <v>0.9971574466056814</v>
      </c>
      <c r="G1043">
        <v>2.8425533943186457E-3</v>
      </c>
    </row>
    <row r="1044" spans="3:7" x14ac:dyDescent="0.15">
      <c r="C1044" s="43" t="s">
        <v>1361</v>
      </c>
      <c r="D1044" s="42">
        <v>0</v>
      </c>
      <c r="E1044" s="42">
        <v>0</v>
      </c>
      <c r="F1044" s="42">
        <v>0.98980792891880798</v>
      </c>
      <c r="G1044">
        <v>1.0192071081191993E-2</v>
      </c>
    </row>
    <row r="1045" spans="3:7" x14ac:dyDescent="0.15">
      <c r="C1045" s="43" t="s">
        <v>1362</v>
      </c>
      <c r="D1045" s="42">
        <v>0</v>
      </c>
      <c r="E1045" s="42">
        <v>0</v>
      </c>
      <c r="F1045" s="42">
        <v>0.99743626647679995</v>
      </c>
      <c r="G1045">
        <v>2.563733523200197E-3</v>
      </c>
    </row>
    <row r="1046" spans="3:7" x14ac:dyDescent="0.15">
      <c r="C1046" s="43" t="s">
        <v>1363</v>
      </c>
      <c r="D1046" s="42">
        <v>0</v>
      </c>
      <c r="E1046" s="42">
        <v>0</v>
      </c>
      <c r="F1046" s="42">
        <v>0.98357084340699019</v>
      </c>
      <c r="G1046">
        <v>1.6429156593009822E-2</v>
      </c>
    </row>
    <row r="1047" spans="3:7" x14ac:dyDescent="0.15">
      <c r="C1047" s="43" t="s">
        <v>1364</v>
      </c>
      <c r="D1047" s="42">
        <v>0</v>
      </c>
      <c r="E1047" s="42">
        <v>0</v>
      </c>
      <c r="F1047" s="42">
        <v>0.99863561746284757</v>
      </c>
      <c r="G1047">
        <v>1.3643825371524993E-3</v>
      </c>
    </row>
    <row r="1048" spans="3:7" x14ac:dyDescent="0.15">
      <c r="C1048" s="43" t="s">
        <v>1365</v>
      </c>
      <c r="D1048" s="42">
        <v>0</v>
      </c>
      <c r="E1048" s="42">
        <v>0</v>
      </c>
      <c r="F1048" s="42">
        <v>0.99002716243873801</v>
      </c>
      <c r="G1048">
        <v>9.9728375612619397E-3</v>
      </c>
    </row>
    <row r="1049" spans="3:7" x14ac:dyDescent="0.15">
      <c r="C1049" s="43" t="s">
        <v>1366</v>
      </c>
      <c r="D1049" s="42">
        <v>0</v>
      </c>
      <c r="E1049" s="42">
        <v>0</v>
      </c>
      <c r="F1049" s="42">
        <v>0.86353277811041518</v>
      </c>
      <c r="G1049">
        <v>0.13646722188958485</v>
      </c>
    </row>
    <row r="1050" spans="3:7" x14ac:dyDescent="0.15">
      <c r="C1050" s="43" t="s">
        <v>1367</v>
      </c>
      <c r="D1050" s="42">
        <v>0</v>
      </c>
      <c r="E1050" s="42">
        <v>0</v>
      </c>
      <c r="F1050" s="42">
        <v>0.99806959678691598</v>
      </c>
      <c r="G1050">
        <v>1.9304032130840294E-3</v>
      </c>
    </row>
    <row r="1051" spans="3:7" x14ac:dyDescent="0.15">
      <c r="C1051" s="43" t="s">
        <v>1368</v>
      </c>
      <c r="D1051" s="42">
        <v>0</v>
      </c>
      <c r="E1051" s="42">
        <v>0</v>
      </c>
      <c r="F1051" s="42">
        <v>0.99698958907826685</v>
      </c>
      <c r="G1051">
        <v>3.0104109217331271E-3</v>
      </c>
    </row>
    <row r="1052" spans="3:7" x14ac:dyDescent="0.15">
      <c r="C1052" s="43" t="s">
        <v>1369</v>
      </c>
      <c r="D1052" s="42">
        <v>0</v>
      </c>
      <c r="E1052" s="42">
        <v>0</v>
      </c>
      <c r="F1052" s="42">
        <v>0.99934748884599556</v>
      </c>
      <c r="G1052">
        <v>6.5251115400436974E-4</v>
      </c>
    </row>
    <row r="1053" spans="3:7" x14ac:dyDescent="0.15">
      <c r="C1053" s="43" t="s">
        <v>1370</v>
      </c>
      <c r="D1053" s="42">
        <v>0</v>
      </c>
      <c r="E1053" s="42">
        <v>0</v>
      </c>
      <c r="F1053" s="42">
        <v>0.99281287738999324</v>
      </c>
      <c r="G1053">
        <v>7.1871226100068408E-3</v>
      </c>
    </row>
    <row r="1054" spans="3:7" x14ac:dyDescent="0.15">
      <c r="C1054" s="43" t="s">
        <v>1371</v>
      </c>
      <c r="D1054" s="42">
        <v>0</v>
      </c>
      <c r="E1054" s="42">
        <v>0</v>
      </c>
      <c r="F1054" s="42">
        <v>0.97665435642678244</v>
      </c>
      <c r="G1054">
        <v>2.3345643573217494E-2</v>
      </c>
    </row>
    <row r="1055" spans="3:7" x14ac:dyDescent="0.15">
      <c r="C1055" s="43" t="s">
        <v>1372</v>
      </c>
      <c r="D1055" s="42">
        <v>0</v>
      </c>
      <c r="E1055" s="42">
        <v>0</v>
      </c>
      <c r="F1055" s="42">
        <v>0.99084035314844121</v>
      </c>
      <c r="G1055">
        <v>9.1596468515587805E-3</v>
      </c>
    </row>
    <row r="1056" spans="3:7" x14ac:dyDescent="0.15">
      <c r="C1056" s="43" t="s">
        <v>1373</v>
      </c>
      <c r="D1056" s="42">
        <v>0</v>
      </c>
      <c r="E1056" s="42">
        <v>0</v>
      </c>
      <c r="F1056" s="42">
        <v>0.91727670419379148</v>
      </c>
      <c r="G1056">
        <v>8.2723295806208463E-2</v>
      </c>
    </row>
    <row r="1057" spans="3:7" x14ac:dyDescent="0.15">
      <c r="C1057" s="43" t="s">
        <v>1374</v>
      </c>
      <c r="D1057" s="42">
        <v>0</v>
      </c>
      <c r="E1057" s="42">
        <v>0</v>
      </c>
      <c r="F1057" s="42">
        <v>0.98293958388556213</v>
      </c>
      <c r="G1057">
        <v>1.7060416114437944E-2</v>
      </c>
    </row>
    <row r="1058" spans="3:7" x14ac:dyDescent="0.15">
      <c r="C1058" s="43" t="s">
        <v>1375</v>
      </c>
      <c r="D1058" s="42">
        <v>0</v>
      </c>
      <c r="E1058" s="42">
        <v>0</v>
      </c>
      <c r="F1058" s="42">
        <v>0.98587161685352054</v>
      </c>
      <c r="G1058">
        <v>1.4128383146479361E-2</v>
      </c>
    </row>
    <row r="1059" spans="3:7" x14ac:dyDescent="0.15">
      <c r="C1059" s="43" t="s">
        <v>1376</v>
      </c>
      <c r="D1059" s="42">
        <v>0</v>
      </c>
      <c r="E1059" s="42">
        <v>0</v>
      </c>
      <c r="F1059" s="42">
        <v>0.77938287653479954</v>
      </c>
      <c r="G1059">
        <v>0.22061712346520049</v>
      </c>
    </row>
    <row r="1060" spans="3:7" x14ac:dyDescent="0.15">
      <c r="C1060" s="43" t="s">
        <v>1377</v>
      </c>
      <c r="D1060" s="42">
        <v>0</v>
      </c>
      <c r="E1060" s="42">
        <v>0</v>
      </c>
      <c r="F1060" s="42">
        <v>0.99894498740181414</v>
      </c>
      <c r="G1060">
        <v>1.0550125981857394E-3</v>
      </c>
    </row>
    <row r="1061" spans="3:7" x14ac:dyDescent="0.15">
      <c r="C1061" s="43" t="s">
        <v>1378</v>
      </c>
      <c r="D1061" s="42">
        <v>0</v>
      </c>
      <c r="E1061" s="42">
        <v>0</v>
      </c>
      <c r="F1061" s="42">
        <v>0.94442752637484695</v>
      </c>
      <c r="G1061">
        <v>5.5572473625152968E-2</v>
      </c>
    </row>
    <row r="1062" spans="3:7" x14ac:dyDescent="0.15">
      <c r="C1062" s="43" t="s">
        <v>1379</v>
      </c>
      <c r="D1062" s="42">
        <v>0</v>
      </c>
      <c r="E1062" s="42">
        <v>0</v>
      </c>
      <c r="F1062" s="42">
        <v>0.97829644868938992</v>
      </c>
      <c r="G1062">
        <v>2.1703551310610164E-2</v>
      </c>
    </row>
    <row r="1063" spans="3:7" x14ac:dyDescent="0.15">
      <c r="C1063" s="43" t="s">
        <v>1380</v>
      </c>
      <c r="D1063" s="42">
        <v>0</v>
      </c>
      <c r="E1063" s="42">
        <v>0</v>
      </c>
      <c r="F1063" s="42">
        <v>0.88564500413348557</v>
      </c>
      <c r="G1063">
        <v>0.11435499586651438</v>
      </c>
    </row>
    <row r="1064" spans="3:7" x14ac:dyDescent="0.15">
      <c r="C1064" s="43" t="s">
        <v>1381</v>
      </c>
      <c r="D1064" s="42">
        <v>0</v>
      </c>
      <c r="E1064" s="42">
        <v>0</v>
      </c>
      <c r="F1064" s="42">
        <v>0.99935915268576492</v>
      </c>
      <c r="G1064">
        <v>6.4084731423508722E-4</v>
      </c>
    </row>
    <row r="1065" spans="3:7" x14ac:dyDescent="0.15">
      <c r="C1065" s="43" t="s">
        <v>1382</v>
      </c>
      <c r="D1065" s="42">
        <v>1</v>
      </c>
      <c r="E1065" s="42">
        <v>1</v>
      </c>
      <c r="F1065" s="42">
        <v>1.2409234789679051E-2</v>
      </c>
      <c r="G1065">
        <v>0.98759076521032108</v>
      </c>
    </row>
    <row r="1066" spans="3:7" x14ac:dyDescent="0.15">
      <c r="C1066" s="43" t="s">
        <v>1383</v>
      </c>
      <c r="D1066" s="42">
        <v>0</v>
      </c>
      <c r="E1066" s="42">
        <v>0</v>
      </c>
      <c r="F1066" s="42">
        <v>0.99360732096028415</v>
      </c>
      <c r="G1066">
        <v>6.3926790397157507E-3</v>
      </c>
    </row>
    <row r="1067" spans="3:7" x14ac:dyDescent="0.15">
      <c r="C1067" s="43" t="s">
        <v>1384</v>
      </c>
      <c r="D1067" s="42">
        <v>0</v>
      </c>
      <c r="E1067" s="42">
        <v>0</v>
      </c>
      <c r="F1067" s="42">
        <v>0.99458391666609847</v>
      </c>
      <c r="G1067">
        <v>5.4160833339014433E-3</v>
      </c>
    </row>
    <row r="1068" spans="3:7" x14ac:dyDescent="0.15">
      <c r="C1068" s="43" t="s">
        <v>1385</v>
      </c>
      <c r="D1068" s="42">
        <v>0</v>
      </c>
      <c r="E1068" s="42">
        <v>0</v>
      </c>
      <c r="F1068" s="42">
        <v>0.99908081519235903</v>
      </c>
      <c r="G1068">
        <v>9.1918480764106663E-4</v>
      </c>
    </row>
    <row r="1069" spans="3:7" x14ac:dyDescent="0.15">
      <c r="C1069" s="43" t="s">
        <v>1386</v>
      </c>
      <c r="D1069" s="42">
        <v>0</v>
      </c>
      <c r="E1069" s="42">
        <v>0</v>
      </c>
      <c r="F1069" s="42">
        <v>0.98523320695338545</v>
      </c>
      <c r="G1069">
        <v>1.4766793046614643E-2</v>
      </c>
    </row>
    <row r="1070" spans="3:7" x14ac:dyDescent="0.15">
      <c r="C1070" s="43" t="s">
        <v>1387</v>
      </c>
      <c r="D1070" s="42">
        <v>0</v>
      </c>
      <c r="E1070" s="42">
        <v>0</v>
      </c>
      <c r="F1070" s="42">
        <v>0.99968285089508724</v>
      </c>
      <c r="G1070">
        <v>3.1714910491265828E-4</v>
      </c>
    </row>
    <row r="1071" spans="3:7" x14ac:dyDescent="0.15">
      <c r="C1071" s="43" t="s">
        <v>1388</v>
      </c>
      <c r="D1071" s="42">
        <v>0</v>
      </c>
      <c r="E1071" s="42">
        <v>0</v>
      </c>
      <c r="F1071" s="42">
        <v>0.99918655098084164</v>
      </c>
      <c r="G1071">
        <v>8.1344901915829761E-4</v>
      </c>
    </row>
    <row r="1072" spans="3:7" x14ac:dyDescent="0.15">
      <c r="C1072" s="43" t="s">
        <v>1389</v>
      </c>
      <c r="D1072" s="42">
        <v>0</v>
      </c>
      <c r="E1072" s="42">
        <v>0</v>
      </c>
      <c r="F1072" s="42">
        <v>0.75929457629924291</v>
      </c>
      <c r="G1072">
        <v>0.24070542370075712</v>
      </c>
    </row>
    <row r="1073" spans="3:7" x14ac:dyDescent="0.15">
      <c r="C1073" s="43" t="s">
        <v>1390</v>
      </c>
      <c r="D1073" s="42">
        <v>1</v>
      </c>
      <c r="E1073" s="42">
        <v>1</v>
      </c>
      <c r="F1073" s="42">
        <v>2.1944818444309393E-2</v>
      </c>
      <c r="G1073">
        <v>0.9780551815556906</v>
      </c>
    </row>
    <row r="1074" spans="3:7" x14ac:dyDescent="0.15">
      <c r="C1074" s="43" t="s">
        <v>1391</v>
      </c>
      <c r="D1074" s="42">
        <v>0</v>
      </c>
      <c r="E1074" s="42">
        <v>0</v>
      </c>
      <c r="F1074" s="42">
        <v>0.9812257348626835</v>
      </c>
      <c r="G1074">
        <v>1.8774265137316493E-2</v>
      </c>
    </row>
    <row r="1075" spans="3:7" x14ac:dyDescent="0.15">
      <c r="C1075" s="43" t="s">
        <v>1392</v>
      </c>
      <c r="D1075" s="42">
        <v>0</v>
      </c>
      <c r="E1075" s="42">
        <v>0</v>
      </c>
      <c r="F1075" s="42">
        <v>0.97433146660568337</v>
      </c>
      <c r="G1075">
        <v>2.566853339431659E-2</v>
      </c>
    </row>
    <row r="1076" spans="3:7" x14ac:dyDescent="0.15">
      <c r="C1076" s="43" t="s">
        <v>1393</v>
      </c>
      <c r="D1076" s="42">
        <v>0</v>
      </c>
      <c r="E1076" s="42">
        <v>0</v>
      </c>
      <c r="F1076" s="42">
        <v>0.96778896353434196</v>
      </c>
      <c r="G1076">
        <v>3.2211036465657955E-2</v>
      </c>
    </row>
    <row r="1077" spans="3:7" x14ac:dyDescent="0.15">
      <c r="C1077" s="43" t="s">
        <v>1394</v>
      </c>
      <c r="D1077" s="42">
        <v>0</v>
      </c>
      <c r="E1077" s="42">
        <v>0</v>
      </c>
      <c r="F1077" s="42">
        <v>0.99733736111689941</v>
      </c>
      <c r="G1077">
        <v>2.662638883100621E-3</v>
      </c>
    </row>
    <row r="1078" spans="3:7" x14ac:dyDescent="0.15">
      <c r="C1078" s="43" t="s">
        <v>1395</v>
      </c>
      <c r="D1078" s="42">
        <v>0</v>
      </c>
      <c r="E1078" s="42">
        <v>0</v>
      </c>
      <c r="F1078" s="42">
        <v>0.96817522259723321</v>
      </c>
      <c r="G1078">
        <v>3.18247774027667E-2</v>
      </c>
    </row>
    <row r="1079" spans="3:7" x14ac:dyDescent="0.15">
      <c r="C1079" s="43" t="s">
        <v>1396</v>
      </c>
      <c r="D1079" s="42">
        <v>0</v>
      </c>
      <c r="E1079" s="42">
        <v>0</v>
      </c>
      <c r="F1079" s="42">
        <v>0.99198779390982428</v>
      </c>
      <c r="G1079">
        <v>8.012206090175682E-3</v>
      </c>
    </row>
    <row r="1080" spans="3:7" x14ac:dyDescent="0.15">
      <c r="C1080" s="43" t="s">
        <v>1397</v>
      </c>
      <c r="D1080" s="42">
        <v>0</v>
      </c>
      <c r="E1080" s="42">
        <v>0</v>
      </c>
      <c r="F1080" s="42">
        <v>0.97478582193878138</v>
      </c>
      <c r="G1080">
        <v>2.5214178061218673E-2</v>
      </c>
    </row>
    <row r="1081" spans="3:7" x14ac:dyDescent="0.15">
      <c r="C1081" s="43" t="s">
        <v>1398</v>
      </c>
      <c r="D1081" s="42">
        <v>0</v>
      </c>
      <c r="E1081" s="42">
        <v>0</v>
      </c>
      <c r="F1081" s="42">
        <v>0.8606708380280238</v>
      </c>
      <c r="G1081">
        <v>0.13932916197197612</v>
      </c>
    </row>
    <row r="1082" spans="3:7" x14ac:dyDescent="0.15">
      <c r="C1082" s="43" t="s">
        <v>1399</v>
      </c>
      <c r="D1082" s="42">
        <v>0</v>
      </c>
      <c r="E1082" s="42">
        <v>0</v>
      </c>
      <c r="F1082" s="42">
        <v>0.93897044493920634</v>
      </c>
      <c r="G1082">
        <v>6.1029555060793668E-2</v>
      </c>
    </row>
    <row r="1083" spans="3:7" x14ac:dyDescent="0.15">
      <c r="C1083" s="43" t="s">
        <v>1400</v>
      </c>
      <c r="D1083" s="42">
        <v>0</v>
      </c>
      <c r="E1083" s="42">
        <v>0</v>
      </c>
      <c r="F1083" s="42">
        <v>0.9962772313118613</v>
      </c>
      <c r="G1083">
        <v>3.7227686881388029E-3</v>
      </c>
    </row>
    <row r="1084" spans="3:7" x14ac:dyDescent="0.15">
      <c r="C1084" s="43" t="s">
        <v>1401</v>
      </c>
      <c r="D1084" s="42">
        <v>0</v>
      </c>
      <c r="E1084" s="42">
        <v>0</v>
      </c>
      <c r="F1084" s="42">
        <v>0.99965894183009407</v>
      </c>
      <c r="G1084">
        <v>3.4105816990595583E-4</v>
      </c>
    </row>
    <row r="1085" spans="3:7" x14ac:dyDescent="0.15">
      <c r="C1085" s="43" t="s">
        <v>1402</v>
      </c>
      <c r="D1085" s="42">
        <v>0</v>
      </c>
      <c r="E1085" s="42">
        <v>0</v>
      </c>
      <c r="F1085" s="42">
        <v>0.82259795602289409</v>
      </c>
      <c r="G1085">
        <v>0.17740204397710591</v>
      </c>
    </row>
    <row r="1086" spans="3:7" x14ac:dyDescent="0.15">
      <c r="C1086" s="43" t="s">
        <v>1403</v>
      </c>
      <c r="D1086" s="42">
        <v>0</v>
      </c>
      <c r="E1086" s="42">
        <v>0</v>
      </c>
      <c r="F1086" s="42">
        <v>0.98820893660178</v>
      </c>
      <c r="G1086">
        <v>1.179106339821997E-2</v>
      </c>
    </row>
    <row r="1087" spans="3:7" x14ac:dyDescent="0.15">
      <c r="C1087" s="43" t="s">
        <v>1404</v>
      </c>
      <c r="D1087" s="42">
        <v>1</v>
      </c>
      <c r="E1087" s="42">
        <v>1</v>
      </c>
      <c r="F1087" s="42">
        <v>5.3426603203134996E-3</v>
      </c>
      <c r="G1087">
        <v>0.9946573396796865</v>
      </c>
    </row>
    <row r="1088" spans="3:7" x14ac:dyDescent="0.15">
      <c r="C1088" s="43" t="s">
        <v>1405</v>
      </c>
      <c r="D1088" s="42">
        <v>0</v>
      </c>
      <c r="E1088" s="42">
        <v>0</v>
      </c>
      <c r="F1088" s="42">
        <v>0.96512901325007094</v>
      </c>
      <c r="G1088">
        <v>3.4870986749929146E-2</v>
      </c>
    </row>
    <row r="1089" spans="3:7" x14ac:dyDescent="0.15">
      <c r="C1089" s="43" t="s">
        <v>1406</v>
      </c>
      <c r="D1089" s="42">
        <v>0</v>
      </c>
      <c r="E1089" s="42">
        <v>0</v>
      </c>
      <c r="F1089" s="42">
        <v>0.99892461110643405</v>
      </c>
      <c r="G1089">
        <v>1.0753888935659797E-3</v>
      </c>
    </row>
    <row r="1090" spans="3:7" x14ac:dyDescent="0.15">
      <c r="C1090" s="43" t="s">
        <v>1407</v>
      </c>
      <c r="D1090" s="42">
        <v>0</v>
      </c>
      <c r="E1090" s="42">
        <v>0</v>
      </c>
      <c r="F1090" s="42">
        <v>0.97055335550430988</v>
      </c>
      <c r="G1090">
        <v>2.9446644495690226E-2</v>
      </c>
    </row>
    <row r="1091" spans="3:7" x14ac:dyDescent="0.15">
      <c r="C1091" s="43" t="s">
        <v>1408</v>
      </c>
      <c r="D1091" s="42">
        <v>1</v>
      </c>
      <c r="E1091" s="42">
        <v>1</v>
      </c>
      <c r="F1091" s="42">
        <v>2.6255241104663016E-3</v>
      </c>
      <c r="G1091">
        <v>0.99737447588953376</v>
      </c>
    </row>
    <row r="1092" spans="3:7" x14ac:dyDescent="0.15">
      <c r="C1092" s="43" t="s">
        <v>1409</v>
      </c>
      <c r="D1092" s="42">
        <v>0</v>
      </c>
      <c r="E1092" s="42">
        <v>0</v>
      </c>
      <c r="F1092" s="42">
        <v>0.99617409027447323</v>
      </c>
      <c r="G1092">
        <v>3.8259097255268892E-3</v>
      </c>
    </row>
    <row r="1093" spans="3:7" x14ac:dyDescent="0.15">
      <c r="C1093" s="61" t="s">
        <v>1410</v>
      </c>
      <c r="D1093" s="60">
        <v>0</v>
      </c>
      <c r="E1093" s="60">
        <v>1</v>
      </c>
      <c r="F1093" s="60">
        <v>0.17744190148592184</v>
      </c>
      <c r="G1093" s="59">
        <v>0.82255809851407813</v>
      </c>
    </row>
    <row r="1094" spans="3:7" x14ac:dyDescent="0.15">
      <c r="C1094" s="43" t="s">
        <v>1411</v>
      </c>
      <c r="D1094" s="42">
        <v>0</v>
      </c>
      <c r="E1094" s="42">
        <v>0</v>
      </c>
      <c r="F1094" s="42">
        <v>0.99173663491828135</v>
      </c>
      <c r="G1094">
        <v>8.2633650817185919E-3</v>
      </c>
    </row>
    <row r="1095" spans="3:7" x14ac:dyDescent="0.15">
      <c r="C1095" s="43" t="s">
        <v>1412</v>
      </c>
      <c r="D1095" s="42">
        <v>0</v>
      </c>
      <c r="E1095" s="42">
        <v>0</v>
      </c>
      <c r="F1095" s="42">
        <v>0.90356519241183719</v>
      </c>
      <c r="G1095">
        <v>9.6434807588162877E-2</v>
      </c>
    </row>
    <row r="1096" spans="3:7" x14ac:dyDescent="0.15">
      <c r="C1096" s="43" t="s">
        <v>1413</v>
      </c>
      <c r="D1096" s="42">
        <v>0</v>
      </c>
      <c r="E1096" s="42">
        <v>0</v>
      </c>
      <c r="F1096" s="42">
        <v>0.96823646171297384</v>
      </c>
      <c r="G1096">
        <v>3.1763538287026202E-2</v>
      </c>
    </row>
    <row r="1097" spans="3:7" x14ac:dyDescent="0.15">
      <c r="C1097" s="43" t="s">
        <v>1414</v>
      </c>
      <c r="D1097" s="42">
        <v>1</v>
      </c>
      <c r="E1097" s="42">
        <v>1</v>
      </c>
      <c r="F1097" s="42">
        <v>6.2019991376618504E-2</v>
      </c>
      <c r="G1097">
        <v>0.93798000862338149</v>
      </c>
    </row>
    <row r="1098" spans="3:7" x14ac:dyDescent="0.15">
      <c r="C1098" s="43" t="s">
        <v>1415</v>
      </c>
      <c r="D1098" s="42">
        <v>0</v>
      </c>
      <c r="E1098" s="42">
        <v>0</v>
      </c>
      <c r="F1098" s="42">
        <v>0.96042661228383408</v>
      </c>
      <c r="G1098">
        <v>3.9573387716165809E-2</v>
      </c>
    </row>
    <row r="1099" spans="3:7" x14ac:dyDescent="0.15">
      <c r="C1099" s="43" t="s">
        <v>1416</v>
      </c>
      <c r="D1099" s="42">
        <v>0</v>
      </c>
      <c r="E1099" s="42">
        <v>0</v>
      </c>
      <c r="F1099" s="42">
        <v>0.9944869539569432</v>
      </c>
      <c r="G1099">
        <v>5.5130460430569206E-3</v>
      </c>
    </row>
    <row r="1100" spans="3:7" x14ac:dyDescent="0.15">
      <c r="C1100" s="43" t="s">
        <v>1417</v>
      </c>
      <c r="D1100" s="42">
        <v>0</v>
      </c>
      <c r="E1100" s="42">
        <v>0</v>
      </c>
      <c r="F1100" s="42">
        <v>0.99971581708162216</v>
      </c>
      <c r="G1100">
        <v>2.8418291837792895E-4</v>
      </c>
    </row>
    <row r="1101" spans="3:7" x14ac:dyDescent="0.15">
      <c r="C1101" s="43" t="s">
        <v>1418</v>
      </c>
      <c r="D1101" s="42">
        <v>0</v>
      </c>
      <c r="E1101" s="42">
        <v>0</v>
      </c>
      <c r="F1101" s="42">
        <v>0.94554573213083881</v>
      </c>
      <c r="G1101">
        <v>5.4454267869161181E-2</v>
      </c>
    </row>
    <row r="1102" spans="3:7" x14ac:dyDescent="0.15">
      <c r="C1102" s="43" t="s">
        <v>1419</v>
      </c>
      <c r="D1102" s="42">
        <v>0</v>
      </c>
      <c r="E1102" s="42">
        <v>0</v>
      </c>
      <c r="F1102" s="42">
        <v>0.97291135619887958</v>
      </c>
      <c r="G1102">
        <v>2.7088643801120312E-2</v>
      </c>
    </row>
    <row r="1103" spans="3:7" x14ac:dyDescent="0.15">
      <c r="C1103" s="43" t="s">
        <v>1420</v>
      </c>
      <c r="D1103" s="42">
        <v>0</v>
      </c>
      <c r="E1103" s="42">
        <v>0</v>
      </c>
      <c r="F1103" s="42">
        <v>0.99961813058948457</v>
      </c>
      <c r="G1103">
        <v>3.8186941051544245E-4</v>
      </c>
    </row>
    <row r="1104" spans="3:7" x14ac:dyDescent="0.15">
      <c r="C1104" s="43" t="s">
        <v>1421</v>
      </c>
      <c r="D1104" s="42">
        <v>0</v>
      </c>
      <c r="E1104" s="42">
        <v>0</v>
      </c>
      <c r="F1104" s="42">
        <v>0.93834825757482876</v>
      </c>
      <c r="G1104">
        <v>6.1651742425171324E-2</v>
      </c>
    </row>
    <row r="1105" spans="3:7" x14ac:dyDescent="0.15">
      <c r="C1105" s="43" t="s">
        <v>1422</v>
      </c>
      <c r="D1105" s="42">
        <v>0</v>
      </c>
      <c r="E1105" s="42">
        <v>0</v>
      </c>
      <c r="F1105" s="42">
        <v>0.91721279809273715</v>
      </c>
      <c r="G1105">
        <v>8.2787201907262797E-2</v>
      </c>
    </row>
    <row r="1106" spans="3:7" x14ac:dyDescent="0.15">
      <c r="C1106" s="43" t="s">
        <v>1423</v>
      </c>
      <c r="D1106" s="42">
        <v>1</v>
      </c>
      <c r="E1106" s="42">
        <v>1</v>
      </c>
      <c r="F1106" s="42">
        <v>4.6699380638553345E-4</v>
      </c>
      <c r="G1106">
        <v>0.9995330061936144</v>
      </c>
    </row>
    <row r="1107" spans="3:7" x14ac:dyDescent="0.15">
      <c r="C1107" s="61" t="s">
        <v>1424</v>
      </c>
      <c r="D1107" s="60">
        <v>0</v>
      </c>
      <c r="E1107" s="60">
        <v>1</v>
      </c>
      <c r="F1107" s="60">
        <v>2.5369043377252071E-2</v>
      </c>
      <c r="G1107" s="59">
        <v>0.9746309566227479</v>
      </c>
    </row>
    <row r="1108" spans="3:7" x14ac:dyDescent="0.15">
      <c r="C1108" s="43" t="s">
        <v>1425</v>
      </c>
      <c r="D1108" s="42">
        <v>0</v>
      </c>
      <c r="E1108" s="42">
        <v>0</v>
      </c>
      <c r="F1108" s="42">
        <v>0.79398630881176524</v>
      </c>
      <c r="G1108">
        <v>0.20601369118823468</v>
      </c>
    </row>
    <row r="1109" spans="3:7" x14ac:dyDescent="0.15">
      <c r="C1109" s="43" t="s">
        <v>1426</v>
      </c>
      <c r="D1109" s="42">
        <v>0</v>
      </c>
      <c r="E1109" s="42">
        <v>0</v>
      </c>
      <c r="F1109" s="42">
        <v>0.99784607411160564</v>
      </c>
      <c r="G1109">
        <v>2.1539258883942845E-3</v>
      </c>
    </row>
    <row r="1110" spans="3:7" x14ac:dyDescent="0.15">
      <c r="C1110" s="43" t="s">
        <v>1427</v>
      </c>
      <c r="D1110" s="42">
        <v>0</v>
      </c>
      <c r="E1110" s="42">
        <v>0</v>
      </c>
      <c r="F1110" s="42">
        <v>0.99388364973684795</v>
      </c>
      <c r="G1110">
        <v>6.1163502631520128E-3</v>
      </c>
    </row>
    <row r="1111" spans="3:7" x14ac:dyDescent="0.15">
      <c r="C1111" s="43" t="s">
        <v>1428</v>
      </c>
      <c r="D1111" s="42">
        <v>0</v>
      </c>
      <c r="E1111" s="42">
        <v>0</v>
      </c>
      <c r="F1111" s="42">
        <v>0.99488168724224635</v>
      </c>
      <c r="G1111">
        <v>5.1183127577535889E-3</v>
      </c>
    </row>
    <row r="1112" spans="3:7" x14ac:dyDescent="0.15">
      <c r="C1112" s="43" t="s">
        <v>1429</v>
      </c>
      <c r="D1112" s="42">
        <v>0</v>
      </c>
      <c r="E1112" s="42">
        <v>0</v>
      </c>
      <c r="F1112" s="42">
        <v>0.99927330127420178</v>
      </c>
      <c r="G1112">
        <v>7.2669872579815434E-4</v>
      </c>
    </row>
    <row r="1113" spans="3:7" x14ac:dyDescent="0.15">
      <c r="C1113" s="43" t="s">
        <v>1430</v>
      </c>
      <c r="D1113" s="42">
        <v>0</v>
      </c>
      <c r="E1113" s="42">
        <v>0</v>
      </c>
      <c r="F1113" s="42">
        <v>0.99179109104900809</v>
      </c>
      <c r="G1113">
        <v>8.2089089509919007E-3</v>
      </c>
    </row>
    <row r="1114" spans="3:7" x14ac:dyDescent="0.15">
      <c r="C1114" s="43" t="s">
        <v>1431</v>
      </c>
      <c r="D1114" s="42">
        <v>0</v>
      </c>
      <c r="E1114" s="42">
        <v>0</v>
      </c>
      <c r="F1114" s="42">
        <v>0.99709467117628836</v>
      </c>
      <c r="G1114">
        <v>2.9053288237117104E-3</v>
      </c>
    </row>
    <row r="1115" spans="3:7" x14ac:dyDescent="0.15">
      <c r="C1115" s="43" t="s">
        <v>1432</v>
      </c>
      <c r="D1115" s="42">
        <v>0</v>
      </c>
      <c r="E1115" s="42">
        <v>0</v>
      </c>
      <c r="F1115" s="42">
        <v>0.99850560276339007</v>
      </c>
      <c r="G1115">
        <v>1.4943972366099957E-3</v>
      </c>
    </row>
    <row r="1116" spans="3:7" x14ac:dyDescent="0.15">
      <c r="C1116" s="43" t="s">
        <v>1433</v>
      </c>
      <c r="D1116" s="42">
        <v>0</v>
      </c>
      <c r="E1116" s="42">
        <v>0</v>
      </c>
      <c r="F1116" s="42">
        <v>0.85139051015514733</v>
      </c>
      <c r="G1116">
        <v>0.14860948984485267</v>
      </c>
    </row>
    <row r="1117" spans="3:7" x14ac:dyDescent="0.15">
      <c r="C1117" s="43" t="s">
        <v>1434</v>
      </c>
      <c r="D1117" s="42">
        <v>0</v>
      </c>
      <c r="E1117" s="42">
        <v>0</v>
      </c>
      <c r="F1117" s="42">
        <v>0.99940685572181209</v>
      </c>
      <c r="G1117">
        <v>5.9314427818783256E-4</v>
      </c>
    </row>
    <row r="1118" spans="3:7" x14ac:dyDescent="0.15">
      <c r="C1118" s="43" t="s">
        <v>1435</v>
      </c>
      <c r="D1118" s="42">
        <v>0</v>
      </c>
      <c r="E1118" s="42">
        <v>0</v>
      </c>
      <c r="F1118" s="42">
        <v>0.94855699277086047</v>
      </c>
      <c r="G1118">
        <v>5.144300722913947E-2</v>
      </c>
    </row>
    <row r="1119" spans="3:7" x14ac:dyDescent="0.15">
      <c r="C1119" s="43" t="s">
        <v>1436</v>
      </c>
      <c r="D1119" s="42">
        <v>0</v>
      </c>
      <c r="E1119" s="42">
        <v>0</v>
      </c>
      <c r="F1119" s="42">
        <v>0.99920082698606261</v>
      </c>
      <c r="G1119">
        <v>7.9917301393731531E-4</v>
      </c>
    </row>
    <row r="1120" spans="3:7" x14ac:dyDescent="0.15">
      <c r="C1120" s="43" t="s">
        <v>1437</v>
      </c>
      <c r="D1120" s="42">
        <v>0</v>
      </c>
      <c r="E1120" s="42">
        <v>0</v>
      </c>
      <c r="F1120" s="42">
        <v>0.82740243479039877</v>
      </c>
      <c r="G1120">
        <v>0.17259756520960123</v>
      </c>
    </row>
    <row r="1121" spans="3:7" x14ac:dyDescent="0.15">
      <c r="C1121" s="43" t="s">
        <v>1438</v>
      </c>
      <c r="D1121" s="42">
        <v>0</v>
      </c>
      <c r="E1121" s="42">
        <v>0</v>
      </c>
      <c r="F1121" s="42">
        <v>0.8945824810080919</v>
      </c>
      <c r="G1121">
        <v>0.10541751899190811</v>
      </c>
    </row>
    <row r="1122" spans="3:7" x14ac:dyDescent="0.15">
      <c r="C1122" s="43" t="s">
        <v>1439</v>
      </c>
      <c r="D1122" s="42">
        <v>0</v>
      </c>
      <c r="E1122" s="42">
        <v>0</v>
      </c>
      <c r="F1122" s="42">
        <v>0.83654950162485198</v>
      </c>
      <c r="G1122">
        <v>0.163450498375148</v>
      </c>
    </row>
    <row r="1123" spans="3:7" x14ac:dyDescent="0.15">
      <c r="C1123" s="43" t="s">
        <v>1440</v>
      </c>
      <c r="D1123" s="42">
        <v>0</v>
      </c>
      <c r="E1123" s="42">
        <v>0</v>
      </c>
      <c r="F1123" s="42">
        <v>0.99608525467729814</v>
      </c>
      <c r="G1123">
        <v>3.9147453227017992E-3</v>
      </c>
    </row>
    <row r="1124" spans="3:7" x14ac:dyDescent="0.15">
      <c r="C1124" s="43" t="s">
        <v>1441</v>
      </c>
      <c r="D1124" s="42">
        <v>0</v>
      </c>
      <c r="E1124" s="42">
        <v>0</v>
      </c>
      <c r="F1124" s="42">
        <v>0.99316894425033764</v>
      </c>
      <c r="G1124">
        <v>6.8310557496623018E-3</v>
      </c>
    </row>
    <row r="1125" spans="3:7" x14ac:dyDescent="0.15">
      <c r="C1125" s="43" t="s">
        <v>1442</v>
      </c>
      <c r="D1125" s="42">
        <v>1</v>
      </c>
      <c r="E1125" s="42">
        <v>1</v>
      </c>
      <c r="F1125" s="42">
        <v>9.2304388206081358E-3</v>
      </c>
      <c r="G1125">
        <v>0.99076956117939197</v>
      </c>
    </row>
    <row r="1126" spans="3:7" x14ac:dyDescent="0.15">
      <c r="C1126" s="43" t="s">
        <v>1443</v>
      </c>
      <c r="D1126" s="42">
        <v>1</v>
      </c>
      <c r="E1126" s="42">
        <v>1</v>
      </c>
      <c r="F1126" s="42">
        <v>2.7367300100564391E-2</v>
      </c>
      <c r="G1126">
        <v>0.97263269989943557</v>
      </c>
    </row>
    <row r="1127" spans="3:7" x14ac:dyDescent="0.15">
      <c r="C1127" s="43" t="s">
        <v>1444</v>
      </c>
      <c r="D1127" s="42">
        <v>0</v>
      </c>
      <c r="E1127" s="42">
        <v>0</v>
      </c>
      <c r="F1127" s="42">
        <v>0.95930013917376178</v>
      </c>
      <c r="G1127">
        <v>4.0699860826238173E-2</v>
      </c>
    </row>
    <row r="1128" spans="3:7" x14ac:dyDescent="0.15">
      <c r="C1128" s="43" t="s">
        <v>1445</v>
      </c>
      <c r="D1128" s="42">
        <v>0</v>
      </c>
      <c r="E1128" s="42">
        <v>0</v>
      </c>
      <c r="F1128" s="42">
        <v>0.99966127420208994</v>
      </c>
      <c r="G1128">
        <v>3.3872579791006073E-4</v>
      </c>
    </row>
    <row r="1129" spans="3:7" x14ac:dyDescent="0.15">
      <c r="C1129" s="43" t="s">
        <v>1446</v>
      </c>
      <c r="D1129" s="42">
        <v>0</v>
      </c>
      <c r="E1129" s="42">
        <v>0</v>
      </c>
      <c r="F1129" s="42">
        <v>0.9998638764759562</v>
      </c>
      <c r="G1129">
        <v>1.3612352404379079E-4</v>
      </c>
    </row>
    <row r="1130" spans="3:7" x14ac:dyDescent="0.15">
      <c r="C1130" s="43" t="s">
        <v>1447</v>
      </c>
      <c r="D1130" s="42">
        <v>0</v>
      </c>
      <c r="E1130" s="42">
        <v>0</v>
      </c>
      <c r="F1130" s="42">
        <v>0.99710825652101864</v>
      </c>
      <c r="G1130">
        <v>2.8917434789813923E-3</v>
      </c>
    </row>
    <row r="1131" spans="3:7" x14ac:dyDescent="0.15">
      <c r="C1131" s="43" t="s">
        <v>1448</v>
      </c>
      <c r="D1131" s="42">
        <v>0</v>
      </c>
      <c r="E1131" s="42">
        <v>0</v>
      </c>
      <c r="F1131" s="42">
        <v>0.84644828636195024</v>
      </c>
      <c r="G1131">
        <v>0.15355171363804981</v>
      </c>
    </row>
    <row r="1132" spans="3:7" x14ac:dyDescent="0.15">
      <c r="C1132" s="43" t="s">
        <v>1449</v>
      </c>
      <c r="D1132" s="42">
        <v>0</v>
      </c>
      <c r="E1132" s="42">
        <v>0</v>
      </c>
      <c r="F1132" s="42">
        <v>0.94922388179672046</v>
      </c>
      <c r="G1132">
        <v>5.0776118203279416E-2</v>
      </c>
    </row>
    <row r="1133" spans="3:7" x14ac:dyDescent="0.15">
      <c r="C1133" s="43" t="s">
        <v>1450</v>
      </c>
      <c r="D1133" s="42">
        <v>0</v>
      </c>
      <c r="E1133" s="42">
        <v>0</v>
      </c>
      <c r="F1133" s="42">
        <v>0.97669106472238132</v>
      </c>
      <c r="G1133">
        <v>2.3308935277618691E-2</v>
      </c>
    </row>
    <row r="1134" spans="3:7" x14ac:dyDescent="0.15">
      <c r="C1134" s="43" t="s">
        <v>1451</v>
      </c>
      <c r="D1134" s="42">
        <v>0</v>
      </c>
      <c r="E1134" s="42">
        <v>0</v>
      </c>
      <c r="F1134" s="42">
        <v>0.99671777318691979</v>
      </c>
      <c r="G1134">
        <v>3.2822268130802777E-3</v>
      </c>
    </row>
    <row r="1135" spans="3:7" x14ac:dyDescent="0.15">
      <c r="C1135" s="43" t="s">
        <v>1452</v>
      </c>
      <c r="D1135" s="42">
        <v>0</v>
      </c>
      <c r="E1135" s="42">
        <v>0</v>
      </c>
      <c r="F1135" s="42">
        <v>0.98105649951405105</v>
      </c>
      <c r="G1135">
        <v>1.8943500485948981E-2</v>
      </c>
    </row>
    <row r="1136" spans="3:7" x14ac:dyDescent="0.15">
      <c r="C1136" s="43" t="s">
        <v>1453</v>
      </c>
      <c r="D1136" s="42">
        <v>0</v>
      </c>
      <c r="E1136" s="42">
        <v>0</v>
      </c>
      <c r="F1136" s="42">
        <v>0.534005122687357</v>
      </c>
      <c r="G1136">
        <v>0.46599487731264305</v>
      </c>
    </row>
    <row r="1137" spans="3:7" x14ac:dyDescent="0.15">
      <c r="C1137" s="43" t="s">
        <v>1454</v>
      </c>
      <c r="D1137" s="42">
        <v>0</v>
      </c>
      <c r="E1137" s="42">
        <v>0</v>
      </c>
      <c r="F1137" s="42">
        <v>0.96346486841747703</v>
      </c>
      <c r="G1137">
        <v>3.6535131582522938E-2</v>
      </c>
    </row>
    <row r="1138" spans="3:7" x14ac:dyDescent="0.15">
      <c r="C1138" s="43" t="s">
        <v>1455</v>
      </c>
      <c r="D1138" s="42">
        <v>0</v>
      </c>
      <c r="E1138" s="42">
        <v>0</v>
      </c>
      <c r="F1138" s="42">
        <v>0.99964399022431827</v>
      </c>
      <c r="G1138">
        <v>3.5600977568165661E-4</v>
      </c>
    </row>
    <row r="1139" spans="3:7" x14ac:dyDescent="0.15">
      <c r="C1139" s="43" t="s">
        <v>1456</v>
      </c>
      <c r="D1139" s="42">
        <v>0</v>
      </c>
      <c r="E1139" s="42">
        <v>0</v>
      </c>
      <c r="F1139" s="42">
        <v>0.9166577823438905</v>
      </c>
      <c r="G1139">
        <v>8.334221765610951E-2</v>
      </c>
    </row>
    <row r="1140" spans="3:7" x14ac:dyDescent="0.15">
      <c r="C1140" s="43" t="s">
        <v>1457</v>
      </c>
      <c r="D1140" s="42">
        <v>0</v>
      </c>
      <c r="E1140" s="42">
        <v>0</v>
      </c>
      <c r="F1140" s="42">
        <v>0.99844137316638526</v>
      </c>
      <c r="G1140">
        <v>1.5586268336146951E-3</v>
      </c>
    </row>
    <row r="1141" spans="3:7" x14ac:dyDescent="0.15">
      <c r="C1141" s="43" t="s">
        <v>1458</v>
      </c>
      <c r="D1141" s="42">
        <v>0</v>
      </c>
      <c r="E1141" s="42">
        <v>0</v>
      </c>
      <c r="F1141" s="42">
        <v>0.99088892407017826</v>
      </c>
      <c r="G1141">
        <v>9.1110759298217315E-3</v>
      </c>
    </row>
    <row r="1142" spans="3:7" x14ac:dyDescent="0.15">
      <c r="C1142" s="43" t="s">
        <v>1459</v>
      </c>
      <c r="D1142" s="42">
        <v>1</v>
      </c>
      <c r="E1142" s="42">
        <v>1</v>
      </c>
      <c r="F1142" s="42">
        <v>6.6092189193029324E-3</v>
      </c>
      <c r="G1142">
        <v>0.99339078108069701</v>
      </c>
    </row>
    <row r="1143" spans="3:7" x14ac:dyDescent="0.15">
      <c r="C1143" s="43" t="s">
        <v>1460</v>
      </c>
      <c r="D1143" s="42">
        <v>0</v>
      </c>
      <c r="E1143" s="42">
        <v>0</v>
      </c>
      <c r="F1143" s="42">
        <v>0.54181443497988224</v>
      </c>
      <c r="G1143">
        <v>0.45818556502011787</v>
      </c>
    </row>
    <row r="1144" spans="3:7" x14ac:dyDescent="0.15">
      <c r="C1144" s="43" t="s">
        <v>1461</v>
      </c>
      <c r="D1144" s="42">
        <v>0</v>
      </c>
      <c r="E1144" s="42">
        <v>0</v>
      </c>
      <c r="F1144" s="42">
        <v>0.91220440283297566</v>
      </c>
      <c r="G1144">
        <v>8.7795597167024481E-2</v>
      </c>
    </row>
    <row r="1145" spans="3:7" x14ac:dyDescent="0.15">
      <c r="C1145" s="61" t="s">
        <v>1462</v>
      </c>
      <c r="D1145" s="60">
        <v>0</v>
      </c>
      <c r="E1145" s="60">
        <v>1</v>
      </c>
      <c r="F1145" s="60">
        <v>0.11729625004709231</v>
      </c>
      <c r="G1145" s="59">
        <v>0.88270374995290768</v>
      </c>
    </row>
    <row r="1146" spans="3:7" x14ac:dyDescent="0.15">
      <c r="C1146" s="61" t="s">
        <v>1463</v>
      </c>
      <c r="D1146" s="60">
        <v>0</v>
      </c>
      <c r="E1146" s="60">
        <v>1</v>
      </c>
      <c r="F1146" s="60">
        <v>0.42410866519783569</v>
      </c>
      <c r="G1146" s="59">
        <v>0.57589133480216437</v>
      </c>
    </row>
    <row r="1147" spans="3:7" x14ac:dyDescent="0.15">
      <c r="C1147" s="43" t="s">
        <v>1464</v>
      </c>
      <c r="D1147" s="42">
        <v>0</v>
      </c>
      <c r="E1147" s="42">
        <v>0</v>
      </c>
      <c r="F1147" s="42">
        <v>0.80891806000691024</v>
      </c>
      <c r="G1147">
        <v>0.19108193999308976</v>
      </c>
    </row>
    <row r="1148" spans="3:7" x14ac:dyDescent="0.15">
      <c r="C1148" s="43" t="s">
        <v>1465</v>
      </c>
      <c r="D1148" s="42">
        <v>0</v>
      </c>
      <c r="E1148" s="42">
        <v>0</v>
      </c>
      <c r="F1148" s="42">
        <v>0.95158820602854433</v>
      </c>
      <c r="G1148">
        <v>4.8411793971455605E-2</v>
      </c>
    </row>
    <row r="1149" spans="3:7" x14ac:dyDescent="0.15">
      <c r="C1149" s="43" t="s">
        <v>1466</v>
      </c>
      <c r="D1149" s="42">
        <v>0</v>
      </c>
      <c r="E1149" s="42">
        <v>0</v>
      </c>
      <c r="F1149" s="42">
        <v>0.59766826421277208</v>
      </c>
      <c r="G1149">
        <v>0.40233173578722792</v>
      </c>
    </row>
    <row r="1150" spans="3:7" x14ac:dyDescent="0.15">
      <c r="C1150" s="43" t="s">
        <v>1467</v>
      </c>
      <c r="D1150" s="42">
        <v>0</v>
      </c>
      <c r="E1150" s="42">
        <v>0</v>
      </c>
      <c r="F1150" s="42">
        <v>0.88856511165434571</v>
      </c>
      <c r="G1150">
        <v>0.11143488834565421</v>
      </c>
    </row>
    <row r="1151" spans="3:7" x14ac:dyDescent="0.15">
      <c r="C1151" s="43" t="s">
        <v>1468</v>
      </c>
      <c r="D1151" s="42">
        <v>1</v>
      </c>
      <c r="E1151" s="42">
        <v>1</v>
      </c>
      <c r="F1151" s="42">
        <v>0.19490528286297729</v>
      </c>
      <c r="G1151">
        <v>0.80509471713702274</v>
      </c>
    </row>
    <row r="1152" spans="3:7" x14ac:dyDescent="0.15">
      <c r="C1152" s="43" t="s">
        <v>1469</v>
      </c>
      <c r="D1152" s="42">
        <v>0</v>
      </c>
      <c r="E1152" s="42">
        <v>0</v>
      </c>
      <c r="F1152" s="42">
        <v>0.98467272956380847</v>
      </c>
      <c r="G1152">
        <v>1.5327270436191571E-2</v>
      </c>
    </row>
    <row r="1153" spans="3:7" x14ac:dyDescent="0.15">
      <c r="C1153" s="43" t="s">
        <v>1470</v>
      </c>
      <c r="D1153" s="42">
        <v>0</v>
      </c>
      <c r="E1153" s="42">
        <v>0</v>
      </c>
      <c r="F1153" s="42">
        <v>0.996818890529521</v>
      </c>
      <c r="G1153">
        <v>3.1811094704791258E-3</v>
      </c>
    </row>
    <row r="1154" spans="3:7" x14ac:dyDescent="0.15">
      <c r="C1154" s="43" t="s">
        <v>1471</v>
      </c>
      <c r="D1154" s="42">
        <v>0</v>
      </c>
      <c r="E1154" s="42">
        <v>0</v>
      </c>
      <c r="F1154" s="42">
        <v>0.99482868806780378</v>
      </c>
      <c r="G1154">
        <v>5.1713119321961402E-3</v>
      </c>
    </row>
    <row r="1155" spans="3:7" x14ac:dyDescent="0.15">
      <c r="C1155" s="43" t="s">
        <v>1472</v>
      </c>
      <c r="D1155" s="42">
        <v>0</v>
      </c>
      <c r="E1155" s="42">
        <v>0</v>
      </c>
      <c r="F1155" s="42">
        <v>0.96940452837598678</v>
      </c>
      <c r="G1155">
        <v>3.059547162401326E-2</v>
      </c>
    </row>
    <row r="1156" spans="3:7" x14ac:dyDescent="0.15">
      <c r="C1156" s="43" t="s">
        <v>1473</v>
      </c>
      <c r="D1156" s="42">
        <v>1</v>
      </c>
      <c r="E1156" s="42">
        <v>1</v>
      </c>
      <c r="F1156" s="42">
        <v>3.4987464219303687E-3</v>
      </c>
      <c r="G1156">
        <v>0.99650125357806962</v>
      </c>
    </row>
    <row r="1157" spans="3:7" x14ac:dyDescent="0.15">
      <c r="C1157" s="43" t="s">
        <v>1474</v>
      </c>
      <c r="D1157" s="42">
        <v>1</v>
      </c>
      <c r="E1157" s="42">
        <v>1</v>
      </c>
      <c r="F1157" s="42">
        <v>5.6977626898495944E-3</v>
      </c>
      <c r="G1157">
        <v>0.99430223731015033</v>
      </c>
    </row>
    <row r="1158" spans="3:7" x14ac:dyDescent="0.15">
      <c r="C1158" s="43" t="s">
        <v>1475</v>
      </c>
      <c r="D1158" s="42">
        <v>0</v>
      </c>
      <c r="E1158" s="42">
        <v>0</v>
      </c>
      <c r="F1158" s="42">
        <v>0.88830856759143706</v>
      </c>
      <c r="G1158">
        <v>0.11169143240856298</v>
      </c>
    </row>
    <row r="1159" spans="3:7" x14ac:dyDescent="0.15">
      <c r="C1159" s="43" t="s">
        <v>1476</v>
      </c>
      <c r="D1159" s="42">
        <v>0</v>
      </c>
      <c r="E1159" s="42">
        <v>0</v>
      </c>
      <c r="F1159" s="42">
        <v>0.99079595245056729</v>
      </c>
      <c r="G1159">
        <v>9.2040475494327249E-3</v>
      </c>
    </row>
    <row r="1160" spans="3:7" x14ac:dyDescent="0.15">
      <c r="C1160" s="43" t="s">
        <v>1477</v>
      </c>
      <c r="D1160" s="42">
        <v>1</v>
      </c>
      <c r="E1160" s="42">
        <v>1</v>
      </c>
      <c r="F1160" s="42">
        <v>1.9745139113586246E-3</v>
      </c>
      <c r="G1160">
        <v>0.99802548608864139</v>
      </c>
    </row>
    <row r="1161" spans="3:7" x14ac:dyDescent="0.15">
      <c r="C1161" s="43" t="s">
        <v>1478</v>
      </c>
      <c r="D1161" s="42">
        <v>0</v>
      </c>
      <c r="E1161" s="42">
        <v>0</v>
      </c>
      <c r="F1161" s="42">
        <v>0.99080092460341018</v>
      </c>
      <c r="G1161">
        <v>9.1990753965897742E-3</v>
      </c>
    </row>
    <row r="1162" spans="3:7" x14ac:dyDescent="0.15">
      <c r="C1162" s="43" t="s">
        <v>1479</v>
      </c>
      <c r="D1162" s="42">
        <v>0</v>
      </c>
      <c r="E1162" s="42">
        <v>0</v>
      </c>
      <c r="F1162" s="42">
        <v>0.9763929772336235</v>
      </c>
      <c r="G1162">
        <v>2.3607022766376572E-2</v>
      </c>
    </row>
    <row r="1163" spans="3:7" x14ac:dyDescent="0.15">
      <c r="C1163" s="43" t="s">
        <v>1480</v>
      </c>
      <c r="D1163" s="42">
        <v>0</v>
      </c>
      <c r="E1163" s="42">
        <v>0</v>
      </c>
      <c r="F1163" s="42">
        <v>0.99889551443928659</v>
      </c>
      <c r="G1163">
        <v>1.1044855607135419E-3</v>
      </c>
    </row>
    <row r="1164" spans="3:7" x14ac:dyDescent="0.15">
      <c r="C1164" s="43" t="s">
        <v>1481</v>
      </c>
      <c r="D1164" s="42">
        <v>0</v>
      </c>
      <c r="E1164" s="42">
        <v>0</v>
      </c>
      <c r="F1164" s="42">
        <v>0.99427490973921007</v>
      </c>
      <c r="G1164">
        <v>5.7250902607899889E-3</v>
      </c>
    </row>
    <row r="1165" spans="3:7" x14ac:dyDescent="0.15">
      <c r="C1165" s="43" t="s">
        <v>1482</v>
      </c>
      <c r="D1165" s="42">
        <v>0</v>
      </c>
      <c r="E1165" s="42">
        <v>0</v>
      </c>
      <c r="F1165" s="42">
        <v>0.99977587992818817</v>
      </c>
      <c r="G1165">
        <v>2.2412007181182823E-4</v>
      </c>
    </row>
    <row r="1166" spans="3:7" x14ac:dyDescent="0.15">
      <c r="C1166" s="43" t="s">
        <v>1483</v>
      </c>
      <c r="D1166" s="42">
        <v>0</v>
      </c>
      <c r="E1166" s="42">
        <v>0</v>
      </c>
      <c r="F1166" s="42">
        <v>0.93222629768347642</v>
      </c>
      <c r="G1166">
        <v>6.7773702316523618E-2</v>
      </c>
    </row>
    <row r="1167" spans="3:7" x14ac:dyDescent="0.15">
      <c r="C1167" s="43" t="s">
        <v>1484</v>
      </c>
      <c r="D1167" s="42">
        <v>0</v>
      </c>
      <c r="E1167" s="42">
        <v>0</v>
      </c>
      <c r="F1167" s="42">
        <v>0.99450891934721641</v>
      </c>
      <c r="G1167">
        <v>5.491080652783511E-3</v>
      </c>
    </row>
    <row r="1168" spans="3:7" x14ac:dyDescent="0.15">
      <c r="C1168" s="61" t="s">
        <v>1485</v>
      </c>
      <c r="D1168" s="60">
        <v>0</v>
      </c>
      <c r="E1168" s="60">
        <v>1</v>
      </c>
      <c r="F1168" s="60">
        <v>0.25894059326005681</v>
      </c>
      <c r="G1168" s="59">
        <v>0.74105940673994319</v>
      </c>
    </row>
    <row r="1169" spans="3:7" x14ac:dyDescent="0.15">
      <c r="C1169" s="43" t="s">
        <v>1486</v>
      </c>
      <c r="D1169" s="42">
        <v>0</v>
      </c>
      <c r="E1169" s="42">
        <v>0</v>
      </c>
      <c r="F1169" s="42">
        <v>0.99966582163405882</v>
      </c>
      <c r="G1169">
        <v>3.3417836594124239E-4</v>
      </c>
    </row>
    <row r="1170" spans="3:7" x14ac:dyDescent="0.15">
      <c r="C1170" s="43" t="s">
        <v>1487</v>
      </c>
      <c r="D1170" s="42">
        <v>1</v>
      </c>
      <c r="E1170" s="42">
        <v>1</v>
      </c>
      <c r="F1170" s="42">
        <v>2.1864993635926772E-2</v>
      </c>
      <c r="G1170">
        <v>0.97813500636407313</v>
      </c>
    </row>
    <row r="1171" spans="3:7" x14ac:dyDescent="0.15">
      <c r="C1171" s="43" t="s">
        <v>1488</v>
      </c>
      <c r="D1171" s="42">
        <v>0</v>
      </c>
      <c r="E1171" s="42">
        <v>0</v>
      </c>
      <c r="F1171" s="42">
        <v>0.877970117195919</v>
      </c>
      <c r="G1171">
        <v>0.12202988280408091</v>
      </c>
    </row>
    <row r="1172" spans="3:7" x14ac:dyDescent="0.15">
      <c r="C1172" s="43" t="s">
        <v>1489</v>
      </c>
      <c r="D1172" s="42">
        <v>0</v>
      </c>
      <c r="E1172" s="42">
        <v>0</v>
      </c>
      <c r="F1172" s="42">
        <v>0.99710111123628942</v>
      </c>
      <c r="G1172">
        <v>2.8988887637105172E-3</v>
      </c>
    </row>
    <row r="1173" spans="3:7" x14ac:dyDescent="0.15">
      <c r="C1173" s="43" t="s">
        <v>1490</v>
      </c>
      <c r="D1173" s="42">
        <v>0</v>
      </c>
      <c r="E1173" s="42">
        <v>0</v>
      </c>
      <c r="F1173" s="42">
        <v>0.98555782450619844</v>
      </c>
      <c r="G1173">
        <v>1.4442175493801581E-2</v>
      </c>
    </row>
    <row r="1174" spans="3:7" x14ac:dyDescent="0.15">
      <c r="C1174" s="43" t="s">
        <v>1491</v>
      </c>
      <c r="D1174" s="42">
        <v>0</v>
      </c>
      <c r="E1174" s="42">
        <v>0</v>
      </c>
      <c r="F1174" s="42">
        <v>0.97632973783108568</v>
      </c>
      <c r="G1174">
        <v>2.3670262168914224E-2</v>
      </c>
    </row>
    <row r="1175" spans="3:7" x14ac:dyDescent="0.15">
      <c r="C1175" s="43" t="s">
        <v>1492</v>
      </c>
      <c r="D1175" s="42">
        <v>0</v>
      </c>
      <c r="E1175" s="42">
        <v>0</v>
      </c>
      <c r="F1175" s="42">
        <v>0.97455155707386287</v>
      </c>
      <c r="G1175">
        <v>2.5448442926137196E-2</v>
      </c>
    </row>
    <row r="1176" spans="3:7" x14ac:dyDescent="0.15">
      <c r="C1176" s="43" t="s">
        <v>1493</v>
      </c>
      <c r="D1176" s="42">
        <v>0</v>
      </c>
      <c r="E1176" s="42">
        <v>0</v>
      </c>
      <c r="F1176" s="42">
        <v>0.85127185717124032</v>
      </c>
      <c r="G1176">
        <v>0.14872814282875968</v>
      </c>
    </row>
    <row r="1177" spans="3:7" x14ac:dyDescent="0.15">
      <c r="C1177" s="43" t="s">
        <v>1494</v>
      </c>
      <c r="D1177" s="42">
        <v>0</v>
      </c>
      <c r="E1177" s="42">
        <v>0</v>
      </c>
      <c r="F1177" s="42">
        <v>0.99516596069963847</v>
      </c>
      <c r="G1177">
        <v>4.8340393003615551E-3</v>
      </c>
    </row>
    <row r="1178" spans="3:7" x14ac:dyDescent="0.15">
      <c r="C1178" s="43" t="s">
        <v>1495</v>
      </c>
      <c r="D1178" s="42">
        <v>0</v>
      </c>
      <c r="E1178" s="42">
        <v>0</v>
      </c>
      <c r="F1178" s="42">
        <v>0.89746373748221997</v>
      </c>
      <c r="G1178">
        <v>0.10253626251778011</v>
      </c>
    </row>
    <row r="1179" spans="3:7" x14ac:dyDescent="0.15">
      <c r="C1179" s="43" t="s">
        <v>1496</v>
      </c>
      <c r="D1179" s="42">
        <v>0</v>
      </c>
      <c r="E1179" s="42">
        <v>0</v>
      </c>
      <c r="F1179" s="42">
        <v>0.99632464592517012</v>
      </c>
      <c r="G1179">
        <v>3.6753540748299608E-3</v>
      </c>
    </row>
    <row r="1180" spans="3:7" x14ac:dyDescent="0.15">
      <c r="C1180" s="43" t="s">
        <v>1497</v>
      </c>
      <c r="D1180" s="42">
        <v>0</v>
      </c>
      <c r="E1180" s="42">
        <v>0</v>
      </c>
      <c r="F1180" s="42">
        <v>0.99872479709841444</v>
      </c>
      <c r="G1180">
        <v>1.2752029015855833E-3</v>
      </c>
    </row>
    <row r="1181" spans="3:7" x14ac:dyDescent="0.15">
      <c r="C1181" s="43" t="s">
        <v>1498</v>
      </c>
      <c r="D1181" s="42">
        <v>0</v>
      </c>
      <c r="E1181" s="42">
        <v>0</v>
      </c>
      <c r="F1181" s="42">
        <v>0.97919410441953736</v>
      </c>
      <c r="G1181">
        <v>2.0805895580462638E-2</v>
      </c>
    </row>
    <row r="1182" spans="3:7" x14ac:dyDescent="0.15">
      <c r="C1182" s="43" t="s">
        <v>1499</v>
      </c>
      <c r="D1182" s="42">
        <v>0</v>
      </c>
      <c r="E1182" s="42">
        <v>0</v>
      </c>
      <c r="F1182" s="42">
        <v>0.98378699240907985</v>
      </c>
      <c r="G1182">
        <v>1.6213007590920096E-2</v>
      </c>
    </row>
    <row r="1183" spans="3:7" x14ac:dyDescent="0.15">
      <c r="C1183" s="61" t="s">
        <v>1500</v>
      </c>
      <c r="D1183" s="60">
        <v>0</v>
      </c>
      <c r="E1183" s="60">
        <v>1</v>
      </c>
      <c r="F1183" s="60">
        <v>5.9369655529357697E-2</v>
      </c>
      <c r="G1183" s="59">
        <v>0.9406303444706422</v>
      </c>
    </row>
    <row r="1184" spans="3:7" x14ac:dyDescent="0.15">
      <c r="C1184" s="43" t="s">
        <v>1501</v>
      </c>
      <c r="D1184" s="42">
        <v>0</v>
      </c>
      <c r="E1184" s="42">
        <v>0</v>
      </c>
      <c r="F1184" s="42">
        <v>0.98186318103374393</v>
      </c>
      <c r="G1184">
        <v>1.8136818966256088E-2</v>
      </c>
    </row>
    <row r="1185" spans="3:7" x14ac:dyDescent="0.15">
      <c r="C1185" s="43" t="s">
        <v>1502</v>
      </c>
      <c r="D1185" s="42">
        <v>0</v>
      </c>
      <c r="E1185" s="42">
        <v>0</v>
      </c>
      <c r="F1185" s="42">
        <v>0.9786126581482153</v>
      </c>
      <c r="G1185">
        <v>2.1387341851784723E-2</v>
      </c>
    </row>
    <row r="1186" spans="3:7" x14ac:dyDescent="0.15">
      <c r="C1186" s="43" t="s">
        <v>1503</v>
      </c>
      <c r="D1186" s="42">
        <v>1</v>
      </c>
      <c r="E1186" s="42">
        <v>1</v>
      </c>
      <c r="F1186" s="42">
        <v>4.3784794486183672E-2</v>
      </c>
      <c r="G1186">
        <v>0.95621520551381622</v>
      </c>
    </row>
    <row r="1187" spans="3:7" x14ac:dyDescent="0.15">
      <c r="C1187" s="43" t="s">
        <v>1504</v>
      </c>
      <c r="D1187" s="42">
        <v>0</v>
      </c>
      <c r="E1187" s="42">
        <v>0</v>
      </c>
      <c r="F1187" s="42">
        <v>0.8979803791217712</v>
      </c>
      <c r="G1187">
        <v>0.10201962087822877</v>
      </c>
    </row>
    <row r="1188" spans="3:7" x14ac:dyDescent="0.15">
      <c r="C1188" s="43" t="s">
        <v>1505</v>
      </c>
      <c r="D1188" s="42">
        <v>0</v>
      </c>
      <c r="E1188" s="42">
        <v>0</v>
      </c>
      <c r="F1188" s="42">
        <v>0.99764744576424924</v>
      </c>
      <c r="G1188">
        <v>2.3525542357506241E-3</v>
      </c>
    </row>
    <row r="1189" spans="3:7" x14ac:dyDescent="0.15">
      <c r="C1189" s="61" t="s">
        <v>1506</v>
      </c>
      <c r="D1189" s="60">
        <v>0</v>
      </c>
      <c r="E1189" s="60">
        <v>1</v>
      </c>
      <c r="F1189" s="60">
        <v>5.1940991255562272E-2</v>
      </c>
      <c r="G1189" s="59">
        <v>0.94805900874443783</v>
      </c>
    </row>
    <row r="1190" spans="3:7" x14ac:dyDescent="0.15">
      <c r="C1190" s="43" t="s">
        <v>1507</v>
      </c>
      <c r="D1190" s="42">
        <v>0</v>
      </c>
      <c r="E1190" s="42">
        <v>0</v>
      </c>
      <c r="F1190" s="42">
        <v>0.97659554219583267</v>
      </c>
      <c r="G1190">
        <v>2.3404457804167361E-2</v>
      </c>
    </row>
    <row r="1191" spans="3:7" x14ac:dyDescent="0.15">
      <c r="C1191" s="43" t="s">
        <v>1508</v>
      </c>
      <c r="D1191" s="42">
        <v>0</v>
      </c>
      <c r="E1191" s="42">
        <v>0</v>
      </c>
      <c r="F1191" s="42">
        <v>0.99321841873360939</v>
      </c>
      <c r="G1191">
        <v>6.7815812663905677E-3</v>
      </c>
    </row>
    <row r="1192" spans="3:7" x14ac:dyDescent="0.15">
      <c r="C1192" s="43" t="s">
        <v>1509</v>
      </c>
      <c r="D1192" s="42">
        <v>1</v>
      </c>
      <c r="E1192" s="42">
        <v>1</v>
      </c>
      <c r="F1192" s="42">
        <v>0.13454231827684635</v>
      </c>
      <c r="G1192">
        <v>0.86545768172315363</v>
      </c>
    </row>
    <row r="1193" spans="3:7" x14ac:dyDescent="0.15">
      <c r="C1193" s="43" t="s">
        <v>1510</v>
      </c>
      <c r="D1193" s="42">
        <v>1</v>
      </c>
      <c r="E1193" s="42">
        <v>1</v>
      </c>
      <c r="F1193" s="42">
        <v>3.9926819875083744E-2</v>
      </c>
      <c r="G1193">
        <v>0.96007318012491627</v>
      </c>
    </row>
    <row r="1194" spans="3:7" x14ac:dyDescent="0.15">
      <c r="C1194" s="43" t="s">
        <v>1511</v>
      </c>
      <c r="D1194" s="42">
        <v>0</v>
      </c>
      <c r="E1194" s="42">
        <v>0</v>
      </c>
      <c r="F1194" s="42">
        <v>0.98205133678990386</v>
      </c>
      <c r="G1194">
        <v>1.7948663210096128E-2</v>
      </c>
    </row>
    <row r="1195" spans="3:7" x14ac:dyDescent="0.15">
      <c r="C1195" s="43" t="s">
        <v>1512</v>
      </c>
      <c r="D1195" s="42">
        <v>0</v>
      </c>
      <c r="E1195" s="42">
        <v>0</v>
      </c>
      <c r="F1195" s="42">
        <v>0.99505335729666888</v>
      </c>
      <c r="G1195">
        <v>4.9466427033312537E-3</v>
      </c>
    </row>
    <row r="1196" spans="3:7" x14ac:dyDescent="0.15">
      <c r="C1196" s="43" t="s">
        <v>1513</v>
      </c>
      <c r="D1196" s="42">
        <v>0</v>
      </c>
      <c r="E1196" s="42">
        <v>0</v>
      </c>
      <c r="F1196" s="42">
        <v>0.80453194192955124</v>
      </c>
      <c r="G1196">
        <v>0.19546805807044876</v>
      </c>
    </row>
    <row r="1197" spans="3:7" x14ac:dyDescent="0.15">
      <c r="C1197" s="43" t="s">
        <v>1514</v>
      </c>
      <c r="D1197" s="42">
        <v>0</v>
      </c>
      <c r="E1197" s="42">
        <v>0</v>
      </c>
      <c r="F1197" s="42">
        <v>0.99269163283564577</v>
      </c>
      <c r="G1197">
        <v>7.3083671643542278E-3</v>
      </c>
    </row>
    <row r="1198" spans="3:7" x14ac:dyDescent="0.15">
      <c r="C1198" s="43" t="s">
        <v>1515</v>
      </c>
      <c r="D1198" s="42">
        <v>0</v>
      </c>
      <c r="E1198" s="42">
        <v>0</v>
      </c>
      <c r="F1198" s="42">
        <v>0.99817925038243127</v>
      </c>
      <c r="G1198">
        <v>1.8207496175686895E-3</v>
      </c>
    </row>
    <row r="1199" spans="3:7" x14ac:dyDescent="0.15">
      <c r="C1199" s="43" t="s">
        <v>1516</v>
      </c>
      <c r="D1199" s="42">
        <v>0</v>
      </c>
      <c r="E1199" s="42">
        <v>0</v>
      </c>
      <c r="F1199" s="42">
        <v>0.95150226227790491</v>
      </c>
      <c r="G1199">
        <v>4.8497737722095077E-2</v>
      </c>
    </row>
    <row r="1200" spans="3:7" x14ac:dyDescent="0.15">
      <c r="C1200" s="43" t="s">
        <v>1517</v>
      </c>
      <c r="D1200" s="42">
        <v>0</v>
      </c>
      <c r="E1200" s="42">
        <v>0</v>
      </c>
      <c r="F1200" s="42">
        <v>0.98682522477833834</v>
      </c>
      <c r="G1200">
        <v>1.3174775221661744E-2</v>
      </c>
    </row>
    <row r="1201" spans="3:7" x14ac:dyDescent="0.15">
      <c r="C1201" s="43" t="s">
        <v>1518</v>
      </c>
      <c r="D1201" s="42">
        <v>0</v>
      </c>
      <c r="E1201" s="42">
        <v>0</v>
      </c>
      <c r="F1201" s="42">
        <v>0.94624450149595618</v>
      </c>
      <c r="G1201">
        <v>5.3755498504043916E-2</v>
      </c>
    </row>
    <row r="1202" spans="3:7" x14ac:dyDescent="0.15">
      <c r="C1202" s="43" t="s">
        <v>1519</v>
      </c>
      <c r="D1202" s="42">
        <v>0</v>
      </c>
      <c r="E1202" s="42">
        <v>0</v>
      </c>
      <c r="F1202" s="42">
        <v>0.9997266579708296</v>
      </c>
      <c r="G1202">
        <v>2.733420291703598E-4</v>
      </c>
    </row>
    <row r="1203" spans="3:7" x14ac:dyDescent="0.15">
      <c r="C1203" s="43" t="s">
        <v>1520</v>
      </c>
      <c r="D1203" s="42">
        <v>0</v>
      </c>
      <c r="E1203" s="42">
        <v>0</v>
      </c>
      <c r="F1203" s="42">
        <v>0.94422558725173467</v>
      </c>
      <c r="G1203">
        <v>5.577441274826539E-2</v>
      </c>
    </row>
    <row r="1204" spans="3:7" x14ac:dyDescent="0.15">
      <c r="C1204" s="43" t="s">
        <v>1521</v>
      </c>
      <c r="D1204" s="42">
        <v>0</v>
      </c>
      <c r="E1204" s="42">
        <v>0</v>
      </c>
      <c r="F1204" s="42">
        <v>0.99947436444884896</v>
      </c>
      <c r="G1204">
        <v>5.2563555115098606E-4</v>
      </c>
    </row>
    <row r="1205" spans="3:7" x14ac:dyDescent="0.15">
      <c r="C1205" s="43" t="s">
        <v>1522</v>
      </c>
      <c r="D1205" s="42">
        <v>0</v>
      </c>
      <c r="E1205" s="42">
        <v>0</v>
      </c>
      <c r="F1205" s="42">
        <v>0.98266242927273451</v>
      </c>
      <c r="G1205">
        <v>1.733757072726547E-2</v>
      </c>
    </row>
    <row r="1206" spans="3:7" x14ac:dyDescent="0.15">
      <c r="C1206" s="43" t="s">
        <v>1523</v>
      </c>
      <c r="D1206" s="42">
        <v>0</v>
      </c>
      <c r="E1206" s="42">
        <v>0</v>
      </c>
      <c r="F1206" s="42">
        <v>0.9998932405225841</v>
      </c>
      <c r="G1206">
        <v>1.067594774158416E-4</v>
      </c>
    </row>
    <row r="1207" spans="3:7" x14ac:dyDescent="0.15">
      <c r="C1207" s="43" t="s">
        <v>1524</v>
      </c>
      <c r="D1207" s="42">
        <v>0</v>
      </c>
      <c r="E1207" s="42">
        <v>0</v>
      </c>
      <c r="F1207" s="42">
        <v>0.89412747027608175</v>
      </c>
      <c r="G1207">
        <v>0.10587252972391832</v>
      </c>
    </row>
    <row r="1208" spans="3:7" x14ac:dyDescent="0.15">
      <c r="C1208" s="43" t="s">
        <v>1525</v>
      </c>
      <c r="D1208" s="42">
        <v>0</v>
      </c>
      <c r="E1208" s="42">
        <v>0</v>
      </c>
      <c r="F1208" s="42">
        <v>0.99881466600658031</v>
      </c>
      <c r="G1208">
        <v>1.1853339934196449E-3</v>
      </c>
    </row>
    <row r="1209" spans="3:7" x14ac:dyDescent="0.15">
      <c r="C1209" s="43" t="s">
        <v>1526</v>
      </c>
      <c r="D1209" s="42">
        <v>0</v>
      </c>
      <c r="E1209" s="42">
        <v>0</v>
      </c>
      <c r="F1209" s="42">
        <v>0.97881233747641194</v>
      </c>
      <c r="G1209">
        <v>2.1187662523588013E-2</v>
      </c>
    </row>
    <row r="1210" spans="3:7" x14ac:dyDescent="0.15">
      <c r="C1210" s="43" t="s">
        <v>1527</v>
      </c>
      <c r="D1210" s="42">
        <v>0</v>
      </c>
      <c r="E1210" s="42">
        <v>0</v>
      </c>
      <c r="F1210" s="42">
        <v>0.98498759499184363</v>
      </c>
      <c r="G1210">
        <v>1.5012405008156411E-2</v>
      </c>
    </row>
    <row r="1211" spans="3:7" x14ac:dyDescent="0.15">
      <c r="C1211" s="43" t="s">
        <v>1528</v>
      </c>
      <c r="D1211" s="42">
        <v>0</v>
      </c>
      <c r="E1211" s="42">
        <v>0</v>
      </c>
      <c r="F1211" s="42">
        <v>0.99799750688536271</v>
      </c>
      <c r="G1211">
        <v>2.0024931146373289E-3</v>
      </c>
    </row>
    <row r="1212" spans="3:7" x14ac:dyDescent="0.15">
      <c r="C1212" s="43" t="s">
        <v>1529</v>
      </c>
      <c r="D1212" s="42">
        <v>1</v>
      </c>
      <c r="E1212" s="42">
        <v>1</v>
      </c>
      <c r="F1212" s="42">
        <v>2.5359766359316326E-2</v>
      </c>
      <c r="G1212">
        <v>0.97464023364068353</v>
      </c>
    </row>
    <row r="1213" spans="3:7" x14ac:dyDescent="0.15">
      <c r="C1213" s="43" t="s">
        <v>1530</v>
      </c>
      <c r="D1213" s="42">
        <v>0</v>
      </c>
      <c r="E1213" s="42">
        <v>0</v>
      </c>
      <c r="F1213" s="42">
        <v>0.7459020122839064</v>
      </c>
      <c r="G1213">
        <v>0.25409798771609354</v>
      </c>
    </row>
    <row r="1214" spans="3:7" x14ac:dyDescent="0.15">
      <c r="C1214" s="61" t="s">
        <v>1531</v>
      </c>
      <c r="D1214" s="60">
        <v>0</v>
      </c>
      <c r="E1214" s="60">
        <v>1</v>
      </c>
      <c r="F1214" s="60">
        <v>0.46478679869148476</v>
      </c>
      <c r="G1214" s="59">
        <v>0.53521320130851524</v>
      </c>
    </row>
    <row r="1215" spans="3:7" x14ac:dyDescent="0.15">
      <c r="C1215" s="43" t="s">
        <v>1532</v>
      </c>
      <c r="D1215" s="42">
        <v>0</v>
      </c>
      <c r="E1215" s="42">
        <v>0</v>
      </c>
      <c r="F1215" s="42">
        <v>0.95660330041734398</v>
      </c>
      <c r="G1215">
        <v>4.3396699582656004E-2</v>
      </c>
    </row>
    <row r="1216" spans="3:7" x14ac:dyDescent="0.15">
      <c r="C1216" s="61" t="s">
        <v>1533</v>
      </c>
      <c r="D1216" s="60">
        <v>0</v>
      </c>
      <c r="E1216" s="60">
        <v>1</v>
      </c>
      <c r="F1216" s="60">
        <v>0.10856206074964961</v>
      </c>
      <c r="G1216" s="59">
        <v>0.89143793925035042</v>
      </c>
    </row>
    <row r="1217" spans="3:7" x14ac:dyDescent="0.15">
      <c r="C1217" s="61" t="s">
        <v>1534</v>
      </c>
      <c r="D1217" s="60">
        <v>1</v>
      </c>
      <c r="E1217" s="60">
        <v>0</v>
      </c>
      <c r="F1217" s="60">
        <v>0.7972680709127089</v>
      </c>
      <c r="G1217" s="59">
        <v>0.20273192908729104</v>
      </c>
    </row>
    <row r="1218" spans="3:7" x14ac:dyDescent="0.15">
      <c r="C1218" s="43" t="s">
        <v>1535</v>
      </c>
      <c r="D1218" s="42">
        <v>0</v>
      </c>
      <c r="E1218" s="42">
        <v>0</v>
      </c>
      <c r="F1218" s="42">
        <v>0.93266819361241449</v>
      </c>
      <c r="G1218">
        <v>6.7331806387585486E-2</v>
      </c>
    </row>
    <row r="1219" spans="3:7" x14ac:dyDescent="0.15">
      <c r="C1219" s="43" t="s">
        <v>1536</v>
      </c>
      <c r="D1219" s="42">
        <v>0</v>
      </c>
      <c r="E1219" s="42">
        <v>0</v>
      </c>
      <c r="F1219" s="42">
        <v>0.7317713936097906</v>
      </c>
      <c r="G1219">
        <v>0.26822860639020946</v>
      </c>
    </row>
    <row r="1220" spans="3:7" x14ac:dyDescent="0.15">
      <c r="C1220" s="43" t="s">
        <v>1537</v>
      </c>
      <c r="D1220" s="42">
        <v>0</v>
      </c>
      <c r="E1220" s="42">
        <v>0</v>
      </c>
      <c r="F1220" s="42">
        <v>0.89686071285858826</v>
      </c>
      <c r="G1220">
        <v>0.10313928714141166</v>
      </c>
    </row>
    <row r="1221" spans="3:7" x14ac:dyDescent="0.15">
      <c r="C1221" s="43" t="s">
        <v>1538</v>
      </c>
      <c r="D1221" s="42">
        <v>0</v>
      </c>
      <c r="E1221" s="42">
        <v>0</v>
      </c>
      <c r="F1221" s="42">
        <v>0.98409869230801639</v>
      </c>
      <c r="G1221">
        <v>1.5901307691983751E-2</v>
      </c>
    </row>
    <row r="1222" spans="3:7" x14ac:dyDescent="0.15">
      <c r="C1222" s="43" t="s">
        <v>1539</v>
      </c>
      <c r="D1222" s="42">
        <v>0</v>
      </c>
      <c r="E1222" s="42">
        <v>0</v>
      </c>
      <c r="F1222" s="42">
        <v>0.99834310065508725</v>
      </c>
      <c r="G1222">
        <v>1.6568993449126725E-3</v>
      </c>
    </row>
    <row r="1223" spans="3:7" x14ac:dyDescent="0.15">
      <c r="C1223" s="43" t="s">
        <v>1540</v>
      </c>
      <c r="D1223" s="42">
        <v>0</v>
      </c>
      <c r="E1223" s="42">
        <v>0</v>
      </c>
      <c r="F1223" s="42">
        <v>0.97565900655053273</v>
      </c>
      <c r="G1223">
        <v>2.4340993449467274E-2</v>
      </c>
    </row>
    <row r="1224" spans="3:7" x14ac:dyDescent="0.15">
      <c r="C1224" s="43" t="s">
        <v>1541</v>
      </c>
      <c r="D1224" s="42">
        <v>0</v>
      </c>
      <c r="E1224" s="42">
        <v>0</v>
      </c>
      <c r="F1224" s="42">
        <v>0.99343588884352929</v>
      </c>
      <c r="G1224">
        <v>6.5641111564707548E-3</v>
      </c>
    </row>
    <row r="1225" spans="3:7" x14ac:dyDescent="0.15">
      <c r="C1225" s="43" t="s">
        <v>1542</v>
      </c>
      <c r="D1225" s="42">
        <v>0</v>
      </c>
      <c r="E1225" s="42">
        <v>0</v>
      </c>
      <c r="F1225" s="42">
        <v>0.98200097925723484</v>
      </c>
      <c r="G1225">
        <v>1.7999020742765184E-2</v>
      </c>
    </row>
    <row r="1226" spans="3:7" x14ac:dyDescent="0.15">
      <c r="C1226" s="43" t="s">
        <v>1543</v>
      </c>
      <c r="D1226" s="42">
        <v>0</v>
      </c>
      <c r="E1226" s="42">
        <v>0</v>
      </c>
      <c r="F1226" s="42">
        <v>0.92182821908750856</v>
      </c>
      <c r="G1226">
        <v>7.817178091249137E-2</v>
      </c>
    </row>
    <row r="1227" spans="3:7" x14ac:dyDescent="0.15">
      <c r="C1227" s="43" t="s">
        <v>1544</v>
      </c>
      <c r="D1227" s="42">
        <v>0</v>
      </c>
      <c r="E1227" s="42">
        <v>0</v>
      </c>
      <c r="F1227" s="42">
        <v>0.98902106756999542</v>
      </c>
      <c r="G1227">
        <v>1.0978932430004685E-2</v>
      </c>
    </row>
    <row r="1228" spans="3:7" x14ac:dyDescent="0.15">
      <c r="C1228" s="43" t="s">
        <v>1545</v>
      </c>
      <c r="D1228" s="42">
        <v>0</v>
      </c>
      <c r="E1228" s="42">
        <v>0</v>
      </c>
      <c r="F1228" s="42">
        <v>0.99908713551934392</v>
      </c>
      <c r="G1228">
        <v>9.1286448065617826E-4</v>
      </c>
    </row>
    <row r="1229" spans="3:7" x14ac:dyDescent="0.15">
      <c r="C1229" s="61" t="s">
        <v>1546</v>
      </c>
      <c r="D1229" s="60">
        <v>0</v>
      </c>
      <c r="E1229" s="60">
        <v>1</v>
      </c>
      <c r="F1229" s="60">
        <v>0.41697850572532547</v>
      </c>
      <c r="G1229" s="59">
        <v>0.58302149427467453</v>
      </c>
    </row>
    <row r="1230" spans="3:7" x14ac:dyDescent="0.15">
      <c r="C1230" s="43" t="s">
        <v>1547</v>
      </c>
      <c r="D1230" s="42">
        <v>0</v>
      </c>
      <c r="E1230" s="42">
        <v>0</v>
      </c>
      <c r="F1230" s="42">
        <v>0.91442446576254477</v>
      </c>
      <c r="G1230">
        <v>8.5575534237455175E-2</v>
      </c>
    </row>
    <row r="1231" spans="3:7" x14ac:dyDescent="0.15">
      <c r="C1231" s="61" t="s">
        <v>1548</v>
      </c>
      <c r="D1231" s="60">
        <v>0</v>
      </c>
      <c r="E1231" s="60">
        <v>1</v>
      </c>
      <c r="F1231" s="60">
        <v>0.23244110218336009</v>
      </c>
      <c r="G1231" s="59">
        <v>0.76755889781663988</v>
      </c>
    </row>
    <row r="1232" spans="3:7" x14ac:dyDescent="0.15">
      <c r="C1232" s="43" t="s">
        <v>1549</v>
      </c>
      <c r="D1232" s="42">
        <v>1</v>
      </c>
      <c r="E1232" s="42">
        <v>1</v>
      </c>
      <c r="F1232" s="42">
        <v>1.9566041336229332E-2</v>
      </c>
      <c r="G1232">
        <v>0.9804339586637707</v>
      </c>
    </row>
    <row r="1233" spans="3:7" x14ac:dyDescent="0.15">
      <c r="C1233" s="43" t="s">
        <v>1550</v>
      </c>
      <c r="D1233" s="42">
        <v>0</v>
      </c>
      <c r="E1233" s="42">
        <v>0</v>
      </c>
      <c r="F1233" s="42">
        <v>0.98280745849483064</v>
      </c>
      <c r="G1233">
        <v>1.7192541505169315E-2</v>
      </c>
    </row>
    <row r="1234" spans="3:7" x14ac:dyDescent="0.15">
      <c r="C1234" s="43" t="s">
        <v>1551</v>
      </c>
      <c r="D1234" s="42">
        <v>0</v>
      </c>
      <c r="E1234" s="42">
        <v>0</v>
      </c>
      <c r="F1234" s="42">
        <v>0.92136736159543886</v>
      </c>
      <c r="G1234">
        <v>7.8632638404561153E-2</v>
      </c>
    </row>
    <row r="1235" spans="3:7" x14ac:dyDescent="0.15">
      <c r="C1235" s="43" t="s">
        <v>1552</v>
      </c>
      <c r="D1235" s="42">
        <v>1</v>
      </c>
      <c r="E1235" s="42">
        <v>1</v>
      </c>
      <c r="F1235" s="42">
        <v>5.6683927028015836E-4</v>
      </c>
      <c r="G1235">
        <v>0.99943316072971988</v>
      </c>
    </row>
    <row r="1236" spans="3:7" x14ac:dyDescent="0.15">
      <c r="C1236" s="43" t="s">
        <v>1553</v>
      </c>
      <c r="D1236" s="42">
        <v>0</v>
      </c>
      <c r="E1236" s="42">
        <v>0</v>
      </c>
      <c r="F1236" s="42">
        <v>0.95321311891624416</v>
      </c>
      <c r="G1236">
        <v>4.678688108375588E-2</v>
      </c>
    </row>
    <row r="1237" spans="3:7" x14ac:dyDescent="0.15">
      <c r="C1237" s="43" t="s">
        <v>1554</v>
      </c>
      <c r="D1237" s="42">
        <v>0</v>
      </c>
      <c r="E1237" s="42">
        <v>0</v>
      </c>
      <c r="F1237" s="42">
        <v>0.99581634219399029</v>
      </c>
      <c r="G1237">
        <v>4.1836578060096751E-3</v>
      </c>
    </row>
    <row r="1238" spans="3:7" x14ac:dyDescent="0.15">
      <c r="C1238" s="43" t="s">
        <v>1555</v>
      </c>
      <c r="D1238" s="42">
        <v>0</v>
      </c>
      <c r="E1238" s="42">
        <v>0</v>
      </c>
      <c r="F1238" s="42">
        <v>0.97558794330719023</v>
      </c>
      <c r="G1238">
        <v>2.4412056692809912E-2</v>
      </c>
    </row>
    <row r="1239" spans="3:7" x14ac:dyDescent="0.15">
      <c r="C1239" s="43" t="s">
        <v>1556</v>
      </c>
      <c r="D1239" s="42">
        <v>0</v>
      </c>
      <c r="E1239" s="42">
        <v>0</v>
      </c>
      <c r="F1239" s="42">
        <v>0.99832548992154646</v>
      </c>
      <c r="G1239">
        <v>1.6745100784536047E-3</v>
      </c>
    </row>
    <row r="1240" spans="3:7" x14ac:dyDescent="0.15">
      <c r="C1240" s="43" t="s">
        <v>1557</v>
      </c>
      <c r="D1240" s="42">
        <v>0</v>
      </c>
      <c r="E1240" s="42">
        <v>0</v>
      </c>
      <c r="F1240" s="42">
        <v>0.96503174865813657</v>
      </c>
      <c r="G1240">
        <v>3.4968251341863481E-2</v>
      </c>
    </row>
    <row r="1241" spans="3:7" x14ac:dyDescent="0.15">
      <c r="C1241" s="43" t="s">
        <v>1558</v>
      </c>
      <c r="D1241" s="42">
        <v>0</v>
      </c>
      <c r="E1241" s="42">
        <v>0</v>
      </c>
      <c r="F1241" s="42">
        <v>0.55978618547101866</v>
      </c>
      <c r="G1241">
        <v>0.44021381452898128</v>
      </c>
    </row>
    <row r="1242" spans="3:7" x14ac:dyDescent="0.15">
      <c r="C1242" s="43" t="s">
        <v>1559</v>
      </c>
      <c r="D1242" s="42">
        <v>0</v>
      </c>
      <c r="E1242" s="42">
        <v>0</v>
      </c>
      <c r="F1242" s="42">
        <v>0.80490786759047728</v>
      </c>
      <c r="G1242">
        <v>0.19509213240952278</v>
      </c>
    </row>
    <row r="1243" spans="3:7" x14ac:dyDescent="0.15">
      <c r="C1243" s="43" t="s">
        <v>1560</v>
      </c>
      <c r="D1243" s="42">
        <v>0</v>
      </c>
      <c r="E1243" s="42">
        <v>0</v>
      </c>
      <c r="F1243" s="42">
        <v>0.98086302822977112</v>
      </c>
      <c r="G1243">
        <v>1.9136971770228953E-2</v>
      </c>
    </row>
    <row r="1244" spans="3:7" x14ac:dyDescent="0.15">
      <c r="C1244" s="43" t="s">
        <v>1561</v>
      </c>
      <c r="D1244" s="42">
        <v>0</v>
      </c>
      <c r="E1244" s="42">
        <v>0</v>
      </c>
      <c r="F1244" s="42">
        <v>0.91143645243171501</v>
      </c>
      <c r="G1244">
        <v>8.8563547568284912E-2</v>
      </c>
    </row>
    <row r="1245" spans="3:7" x14ac:dyDescent="0.15">
      <c r="C1245" s="61" t="s">
        <v>1562</v>
      </c>
      <c r="D1245" s="60">
        <v>0</v>
      </c>
      <c r="E1245" s="60">
        <v>1</v>
      </c>
      <c r="F1245" s="60">
        <v>6.5489892058871568E-2</v>
      </c>
      <c r="G1245" s="59">
        <v>0.93451010794112843</v>
      </c>
    </row>
    <row r="1246" spans="3:7" x14ac:dyDescent="0.15">
      <c r="C1246" s="43" t="s">
        <v>1563</v>
      </c>
      <c r="D1246" s="42">
        <v>1</v>
      </c>
      <c r="E1246" s="42">
        <v>1</v>
      </c>
      <c r="F1246" s="42">
        <v>0.24597331308827663</v>
      </c>
      <c r="G1246">
        <v>0.75402668691172325</v>
      </c>
    </row>
    <row r="1247" spans="3:7" x14ac:dyDescent="0.15">
      <c r="C1247" s="43" t="s">
        <v>1564</v>
      </c>
      <c r="D1247" s="42">
        <v>0</v>
      </c>
      <c r="E1247" s="42">
        <v>0</v>
      </c>
      <c r="F1247" s="42">
        <v>0.89954193207183775</v>
      </c>
      <c r="G1247">
        <v>0.1004580679281623</v>
      </c>
    </row>
    <row r="1248" spans="3:7" x14ac:dyDescent="0.15">
      <c r="C1248" s="43" t="s">
        <v>1565</v>
      </c>
      <c r="D1248" s="42">
        <v>0</v>
      </c>
      <c r="E1248" s="42">
        <v>0</v>
      </c>
      <c r="F1248" s="42">
        <v>0.99805031814463496</v>
      </c>
      <c r="G1248">
        <v>1.9496818553649889E-3</v>
      </c>
    </row>
    <row r="1249" spans="3:7" x14ac:dyDescent="0.15">
      <c r="C1249" s="43" t="s">
        <v>1566</v>
      </c>
      <c r="D1249" s="42">
        <v>0</v>
      </c>
      <c r="E1249" s="42">
        <v>0</v>
      </c>
      <c r="F1249" s="42">
        <v>0.95153994162184752</v>
      </c>
      <c r="G1249">
        <v>4.8460058378152447E-2</v>
      </c>
    </row>
    <row r="1250" spans="3:7" x14ac:dyDescent="0.15">
      <c r="C1250" s="43" t="s">
        <v>1567</v>
      </c>
      <c r="D1250" s="42">
        <v>0</v>
      </c>
      <c r="E1250" s="42">
        <v>0</v>
      </c>
      <c r="F1250" s="42">
        <v>0.93380095294527332</v>
      </c>
      <c r="G1250">
        <v>6.6199047054726692E-2</v>
      </c>
    </row>
    <row r="1251" spans="3:7" x14ac:dyDescent="0.15">
      <c r="C1251" s="43" t="s">
        <v>1568</v>
      </c>
      <c r="D1251" s="42">
        <v>1</v>
      </c>
      <c r="E1251" s="42">
        <v>1</v>
      </c>
      <c r="F1251" s="42">
        <v>1.0793392776500075E-3</v>
      </c>
      <c r="G1251">
        <v>0.99892066072234997</v>
      </c>
    </row>
    <row r="1252" spans="3:7" x14ac:dyDescent="0.15">
      <c r="C1252" s="43" t="s">
        <v>1569</v>
      </c>
      <c r="D1252" s="42">
        <v>0</v>
      </c>
      <c r="E1252" s="42">
        <v>0</v>
      </c>
      <c r="F1252" s="42">
        <v>0.83250902994865306</v>
      </c>
      <c r="G1252">
        <v>0.167490970051347</v>
      </c>
    </row>
    <row r="1253" spans="3:7" x14ac:dyDescent="0.15">
      <c r="C1253" s="43" t="s">
        <v>1570</v>
      </c>
      <c r="D1253" s="42">
        <v>0</v>
      </c>
      <c r="E1253" s="42">
        <v>0</v>
      </c>
      <c r="F1253" s="42">
        <v>0.98669269389894354</v>
      </c>
      <c r="G1253">
        <v>1.3307306101056527E-2</v>
      </c>
    </row>
    <row r="1254" spans="3:7" x14ac:dyDescent="0.15">
      <c r="C1254" s="43" t="s">
        <v>1571</v>
      </c>
      <c r="D1254" s="42">
        <v>0</v>
      </c>
      <c r="E1254" s="42">
        <v>0</v>
      </c>
      <c r="F1254" s="42">
        <v>0.56933670756449672</v>
      </c>
      <c r="G1254">
        <v>0.43066329243550328</v>
      </c>
    </row>
    <row r="1255" spans="3:7" x14ac:dyDescent="0.15">
      <c r="C1255" s="43" t="s">
        <v>1572</v>
      </c>
      <c r="D1255" s="42">
        <v>1</v>
      </c>
      <c r="E1255" s="42">
        <v>1</v>
      </c>
      <c r="F1255" s="42">
        <v>0.38008112085162932</v>
      </c>
      <c r="G1255">
        <v>0.61991887914837074</v>
      </c>
    </row>
    <row r="1256" spans="3:7" x14ac:dyDescent="0.15">
      <c r="C1256" s="61" t="s">
        <v>1573</v>
      </c>
      <c r="D1256" s="60">
        <v>0</v>
      </c>
      <c r="E1256" s="60">
        <v>1</v>
      </c>
      <c r="F1256" s="60">
        <v>1.4553724598955424E-2</v>
      </c>
      <c r="G1256" s="59">
        <v>0.98544627540104457</v>
      </c>
    </row>
    <row r="1257" spans="3:7" x14ac:dyDescent="0.15">
      <c r="C1257" s="43" t="s">
        <v>1574</v>
      </c>
      <c r="D1257" s="42">
        <v>0</v>
      </c>
      <c r="E1257" s="42">
        <v>0</v>
      </c>
      <c r="F1257" s="42">
        <v>0.99011669833172211</v>
      </c>
      <c r="G1257">
        <v>9.8833016682777965E-3</v>
      </c>
    </row>
    <row r="1258" spans="3:7" x14ac:dyDescent="0.15">
      <c r="C1258" s="43" t="s">
        <v>1575</v>
      </c>
      <c r="D1258" s="42">
        <v>0</v>
      </c>
      <c r="E1258" s="42">
        <v>0</v>
      </c>
      <c r="F1258" s="42">
        <v>0.95530290670024887</v>
      </c>
      <c r="G1258">
        <v>4.4697093299751071E-2</v>
      </c>
    </row>
    <row r="1259" spans="3:7" x14ac:dyDescent="0.15">
      <c r="C1259" s="43" t="s">
        <v>1576</v>
      </c>
      <c r="D1259" s="42">
        <v>1</v>
      </c>
      <c r="E1259" s="42">
        <v>1</v>
      </c>
      <c r="F1259" s="42">
        <v>3.6739835206671618E-4</v>
      </c>
      <c r="G1259">
        <v>0.99963260164793333</v>
      </c>
    </row>
    <row r="1260" spans="3:7" x14ac:dyDescent="0.15">
      <c r="C1260" s="43" t="s">
        <v>1577</v>
      </c>
      <c r="D1260" s="42">
        <v>0</v>
      </c>
      <c r="E1260" s="42">
        <v>0</v>
      </c>
      <c r="F1260" s="42">
        <v>0.96107952200284119</v>
      </c>
      <c r="G1260">
        <v>3.8920477997158837E-2</v>
      </c>
    </row>
    <row r="1261" spans="3:7" x14ac:dyDescent="0.15">
      <c r="C1261" s="43" t="s">
        <v>1578</v>
      </c>
      <c r="D1261" s="42">
        <v>0</v>
      </c>
      <c r="E1261" s="42">
        <v>0</v>
      </c>
      <c r="F1261" s="42">
        <v>0.99876467168582361</v>
      </c>
      <c r="G1261">
        <v>1.2353283141763303E-3</v>
      </c>
    </row>
    <row r="1262" spans="3:7" x14ac:dyDescent="0.15">
      <c r="C1262" s="43" t="s">
        <v>1579</v>
      </c>
      <c r="D1262" s="42">
        <v>1</v>
      </c>
      <c r="E1262" s="42">
        <v>1</v>
      </c>
      <c r="F1262" s="42">
        <v>2.2826184835320969E-3</v>
      </c>
      <c r="G1262">
        <v>0.99771738151646794</v>
      </c>
    </row>
    <row r="1263" spans="3:7" x14ac:dyDescent="0.15">
      <c r="C1263" s="43" t="s">
        <v>1580</v>
      </c>
      <c r="D1263" s="42">
        <v>0</v>
      </c>
      <c r="E1263" s="42">
        <v>0</v>
      </c>
      <c r="F1263" s="42">
        <v>0.64429141869521389</v>
      </c>
      <c r="G1263">
        <v>0.355708581304786</v>
      </c>
    </row>
    <row r="1264" spans="3:7" x14ac:dyDescent="0.15">
      <c r="C1264" s="61" t="s">
        <v>1581</v>
      </c>
      <c r="D1264" s="60">
        <v>0</v>
      </c>
      <c r="E1264" s="60">
        <v>1</v>
      </c>
      <c r="F1264" s="60">
        <v>0.11537275997613611</v>
      </c>
      <c r="G1264" s="59">
        <v>0.88462724002386384</v>
      </c>
    </row>
    <row r="1265" spans="3:7" x14ac:dyDescent="0.15">
      <c r="C1265" s="43" t="s">
        <v>1582</v>
      </c>
      <c r="D1265" s="42">
        <v>0</v>
      </c>
      <c r="E1265" s="42">
        <v>0</v>
      </c>
      <c r="F1265" s="42">
        <v>0.96595670527657207</v>
      </c>
      <c r="G1265">
        <v>3.4043294723427923E-2</v>
      </c>
    </row>
    <row r="1266" spans="3:7" x14ac:dyDescent="0.15">
      <c r="C1266" s="43" t="s">
        <v>1583</v>
      </c>
      <c r="D1266" s="42">
        <v>0</v>
      </c>
      <c r="E1266" s="42">
        <v>0</v>
      </c>
      <c r="F1266" s="42">
        <v>0.97104402962007097</v>
      </c>
      <c r="G1266">
        <v>2.8955970379929006E-2</v>
      </c>
    </row>
    <row r="1267" spans="3:7" x14ac:dyDescent="0.15">
      <c r="C1267" s="43" t="s">
        <v>1584</v>
      </c>
      <c r="D1267" s="42">
        <v>0</v>
      </c>
      <c r="E1267" s="42">
        <v>0</v>
      </c>
      <c r="F1267" s="42">
        <v>0.97361211640535394</v>
      </c>
      <c r="G1267">
        <v>2.6387883594645858E-2</v>
      </c>
    </row>
    <row r="1268" spans="3:7" x14ac:dyDescent="0.15">
      <c r="C1268" s="43" t="s">
        <v>1585</v>
      </c>
      <c r="D1268" s="42">
        <v>0</v>
      </c>
      <c r="E1268" s="42">
        <v>0</v>
      </c>
      <c r="F1268" s="42">
        <v>0.66451964092917604</v>
      </c>
      <c r="G1268">
        <v>0.33548035907082407</v>
      </c>
    </row>
    <row r="1269" spans="3:7" x14ac:dyDescent="0.15">
      <c r="C1269" s="43" t="s">
        <v>1586</v>
      </c>
      <c r="D1269" s="42">
        <v>0</v>
      </c>
      <c r="E1269" s="42">
        <v>0</v>
      </c>
      <c r="F1269" s="42">
        <v>0.95193064543320749</v>
      </c>
      <c r="G1269">
        <v>4.806935456679258E-2</v>
      </c>
    </row>
    <row r="1270" spans="3:7" x14ac:dyDescent="0.15">
      <c r="C1270" s="43" t="s">
        <v>1587</v>
      </c>
      <c r="D1270" s="42">
        <v>0</v>
      </c>
      <c r="E1270" s="42">
        <v>0</v>
      </c>
      <c r="F1270" s="42">
        <v>0.99920770264306102</v>
      </c>
      <c r="G1270">
        <v>7.9229735693899048E-4</v>
      </c>
    </row>
    <row r="1271" spans="3:7" x14ac:dyDescent="0.15">
      <c r="C1271" s="43" t="s">
        <v>1588</v>
      </c>
      <c r="D1271" s="42">
        <v>0</v>
      </c>
      <c r="E1271" s="42">
        <v>0</v>
      </c>
      <c r="F1271" s="42">
        <v>0.97246504282445345</v>
      </c>
      <c r="G1271">
        <v>2.7534957175546427E-2</v>
      </c>
    </row>
    <row r="1272" spans="3:7" x14ac:dyDescent="0.15">
      <c r="C1272" s="61" t="s">
        <v>1589</v>
      </c>
      <c r="D1272" s="60">
        <v>0</v>
      </c>
      <c r="E1272" s="60">
        <v>1</v>
      </c>
      <c r="F1272" s="60">
        <v>0.17637472898000608</v>
      </c>
      <c r="G1272" s="59">
        <v>0.82362527101999383</v>
      </c>
    </row>
    <row r="1273" spans="3:7" x14ac:dyDescent="0.15">
      <c r="C1273" s="43" t="s">
        <v>1590</v>
      </c>
      <c r="D1273" s="42">
        <v>0</v>
      </c>
      <c r="E1273" s="42">
        <v>0</v>
      </c>
      <c r="F1273" s="42">
        <v>0.97551498464113695</v>
      </c>
      <c r="G1273">
        <v>2.4485015358862938E-2</v>
      </c>
    </row>
    <row r="1274" spans="3:7" x14ac:dyDescent="0.15">
      <c r="C1274" s="43" t="s">
        <v>1591</v>
      </c>
      <c r="D1274" s="42">
        <v>0</v>
      </c>
      <c r="E1274" s="42">
        <v>0</v>
      </c>
      <c r="F1274" s="42">
        <v>0.98412347209123585</v>
      </c>
      <c r="G1274">
        <v>1.5876527908764225E-2</v>
      </c>
    </row>
    <row r="1275" spans="3:7" x14ac:dyDescent="0.15">
      <c r="C1275" s="61" t="s">
        <v>1592</v>
      </c>
      <c r="D1275" s="60">
        <v>0</v>
      </c>
      <c r="E1275" s="60">
        <v>1</v>
      </c>
      <c r="F1275" s="60">
        <v>0.44411812598520911</v>
      </c>
      <c r="G1275" s="59">
        <v>0.55588187401479083</v>
      </c>
    </row>
    <row r="1276" spans="3:7" x14ac:dyDescent="0.15">
      <c r="C1276" s="43" t="s">
        <v>1593</v>
      </c>
      <c r="D1276" s="42">
        <v>0</v>
      </c>
      <c r="E1276" s="42">
        <v>0</v>
      </c>
      <c r="F1276" s="42">
        <v>0.94664631806222488</v>
      </c>
      <c r="G1276">
        <v>5.335368193777508E-2</v>
      </c>
    </row>
    <row r="1277" spans="3:7" x14ac:dyDescent="0.15">
      <c r="C1277" s="43" t="s">
        <v>1594</v>
      </c>
      <c r="D1277" s="42">
        <v>1</v>
      </c>
      <c r="E1277" s="42">
        <v>1</v>
      </c>
      <c r="F1277" s="42">
        <v>2.8382577991187567E-3</v>
      </c>
      <c r="G1277">
        <v>0.99716174220088127</v>
      </c>
    </row>
    <row r="1278" spans="3:7" x14ac:dyDescent="0.15">
      <c r="C1278" s="43" t="s">
        <v>1595</v>
      </c>
      <c r="D1278" s="42">
        <v>0</v>
      </c>
      <c r="E1278" s="42">
        <v>0</v>
      </c>
      <c r="F1278" s="42">
        <v>0.99621029552141804</v>
      </c>
      <c r="G1278">
        <v>3.7897044785818196E-3</v>
      </c>
    </row>
    <row r="1279" spans="3:7" x14ac:dyDescent="0.15">
      <c r="C1279" s="43" t="s">
        <v>1596</v>
      </c>
      <c r="D1279" s="42">
        <v>1</v>
      </c>
      <c r="E1279" s="42">
        <v>1</v>
      </c>
      <c r="F1279" s="42">
        <v>6.608014840606366E-2</v>
      </c>
      <c r="G1279">
        <v>0.9339198515939362</v>
      </c>
    </row>
    <row r="1280" spans="3:7" x14ac:dyDescent="0.15">
      <c r="C1280" s="43" t="s">
        <v>1597</v>
      </c>
      <c r="D1280" s="42">
        <v>0</v>
      </c>
      <c r="E1280" s="42">
        <v>0</v>
      </c>
      <c r="F1280" s="42">
        <v>0.92921546757073126</v>
      </c>
      <c r="G1280">
        <v>7.0784532429268771E-2</v>
      </c>
    </row>
    <row r="1281" spans="3:7" x14ac:dyDescent="0.15">
      <c r="C1281" s="61" t="s">
        <v>1598</v>
      </c>
      <c r="D1281" s="60">
        <v>0</v>
      </c>
      <c r="E1281" s="60">
        <v>1</v>
      </c>
      <c r="F1281" s="60">
        <v>9.8448792942062463E-2</v>
      </c>
      <c r="G1281" s="59">
        <v>0.90155120705793745</v>
      </c>
    </row>
    <row r="1282" spans="3:7" x14ac:dyDescent="0.15">
      <c r="C1282" s="43" t="s">
        <v>1599</v>
      </c>
      <c r="D1282" s="42">
        <v>0</v>
      </c>
      <c r="E1282" s="42">
        <v>0</v>
      </c>
      <c r="F1282" s="42">
        <v>0.99734696579995741</v>
      </c>
      <c r="G1282">
        <v>2.6530342000426325E-3</v>
      </c>
    </row>
    <row r="1283" spans="3:7" x14ac:dyDescent="0.15">
      <c r="C1283" s="43" t="s">
        <v>1600</v>
      </c>
      <c r="D1283" s="42">
        <v>0</v>
      </c>
      <c r="E1283" s="42">
        <v>0</v>
      </c>
      <c r="F1283" s="42">
        <v>0.83557184688203145</v>
      </c>
      <c r="G1283">
        <v>0.16442815311796843</v>
      </c>
    </row>
    <row r="1284" spans="3:7" x14ac:dyDescent="0.15">
      <c r="C1284" s="43" t="s">
        <v>1601</v>
      </c>
      <c r="D1284" s="42">
        <v>0</v>
      </c>
      <c r="E1284" s="42">
        <v>0</v>
      </c>
      <c r="F1284" s="42">
        <v>0.98970680898040464</v>
      </c>
      <c r="G1284">
        <v>1.0293191019595407E-2</v>
      </c>
    </row>
    <row r="1285" spans="3:7" x14ac:dyDescent="0.15">
      <c r="C1285" s="43" t="s">
        <v>1602</v>
      </c>
      <c r="D1285" s="42">
        <v>0</v>
      </c>
      <c r="E1285" s="42">
        <v>0</v>
      </c>
      <c r="F1285" s="42">
        <v>0.97682929164026966</v>
      </c>
      <c r="G1285">
        <v>2.3170708359730414E-2</v>
      </c>
    </row>
    <row r="1286" spans="3:7" x14ac:dyDescent="0.15">
      <c r="C1286" s="43" t="s">
        <v>1603</v>
      </c>
      <c r="D1286" s="42">
        <v>0</v>
      </c>
      <c r="E1286" s="42">
        <v>0</v>
      </c>
      <c r="F1286" s="42">
        <v>0.9991084762776985</v>
      </c>
      <c r="G1286">
        <v>8.915237223014492E-4</v>
      </c>
    </row>
  </sheetData>
  <mergeCells count="15">
    <mergeCell ref="B3:K3"/>
    <mergeCell ref="N3:Q3"/>
    <mergeCell ref="H4:I4"/>
    <mergeCell ref="J4:K4"/>
    <mergeCell ref="B5:C5"/>
    <mergeCell ref="D5:E5"/>
    <mergeCell ref="F5:G5"/>
    <mergeCell ref="H5:I5"/>
    <mergeCell ref="J5:K5"/>
    <mergeCell ref="C12:E12"/>
    <mergeCell ref="C17:F17"/>
    <mergeCell ref="C23:D23"/>
    <mergeCell ref="B4:C4"/>
    <mergeCell ref="D4:E4"/>
    <mergeCell ref="F4:G4"/>
  </mergeCells>
  <hyperlinks>
    <hyperlink ref="B4" location="'DA_Output'!$B$10:$B$10" display="Inputs" xr:uid="{6FED6188-AAF2-C14A-AFBB-D480B9765E7E}"/>
    <hyperlink ref="D4" location="'DA_Output'!$B$48:$B$48" display="Linear Discriminant Functions" xr:uid="{5AF72A07-C196-694F-B693-FCBF5CAC0A08}"/>
    <hyperlink ref="F4" location="'DA_Stored'!$B$10:$B$10" display="PMML Model" xr:uid="{EB6A1162-BB6C-384B-821D-E4D334876331}"/>
    <hyperlink ref="H4" location="'DA_TrainingScore'!$B$10:$B$10" display="Training: Classification Summary" xr:uid="{592910DB-6F91-DB44-AED2-3CD9593E7365}"/>
    <hyperlink ref="J4" location="'DA_TrainingScore'!$B$34:$B$34" display="Training: Classification Details" xr:uid="{76684E95-0632-F743-AF4E-FCBF82D1236D}"/>
    <hyperlink ref="B5" location="'DA_ValidationLiftChart'!$B$10:$B$10" display="Validation: Charts" xr:uid="{A4076E91-067E-D84D-AB09-34B4C09E472B}"/>
    <hyperlink ref="D5" location="'DA_ValidationScore'!$B$10:$B$10" display="Validation: Classification Summary" xr:uid="{4103BFB4-3058-1440-B85A-0CA85F606087}"/>
    <hyperlink ref="F5" location="'DA_ValidationScore'!$B$34:$B$34" display="Validation: Classification Details" xr:uid="{33E2E52A-0E86-D546-84C6-CC884FE87013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0F1BE6-8425-C441-8CDB-D88438C1C663}">
  <dimension ref="B1:AX2537"/>
  <sheetViews>
    <sheetView showGridLines="0" workbookViewId="0">
      <selection activeCell="C1287" sqref="C1287:G2537"/>
    </sheetView>
  </sheetViews>
  <sheetFormatPr baseColWidth="10" defaultRowHeight="13" x14ac:dyDescent="0.15"/>
  <cols>
    <col min="3" max="3" width="11.83203125" customWidth="1"/>
    <col min="5" max="5" width="13.1640625" customWidth="1"/>
    <col min="6" max="6" width="19" customWidth="1"/>
    <col min="7" max="7" width="20.83203125" customWidth="1"/>
    <col min="8" max="8" width="12.33203125" customWidth="1"/>
    <col min="9" max="9" width="14.1640625" customWidth="1"/>
    <col min="10" max="10" width="14.83203125" customWidth="1"/>
    <col min="11" max="11" width="13.1640625" customWidth="1"/>
    <col min="12" max="12" width="19.33203125" customWidth="1"/>
    <col min="13" max="13" width="15.6640625" customWidth="1"/>
    <col min="14" max="14" width="23.33203125" bestFit="1" customWidth="1"/>
  </cols>
  <sheetData>
    <row r="1" spans="2:50" ht="19" x14ac:dyDescent="0.25">
      <c r="B1" s="40" t="s">
        <v>1689</v>
      </c>
      <c r="N1" t="s">
        <v>1627</v>
      </c>
      <c r="AX1" s="55" t="s">
        <v>1700</v>
      </c>
    </row>
    <row r="3" spans="2:50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N3" s="54" t="s">
        <v>50</v>
      </c>
      <c r="O3" s="54"/>
      <c r="P3" s="54"/>
      <c r="Q3" s="54"/>
      <c r="AX3" s="55" t="s">
        <v>1701</v>
      </c>
    </row>
    <row r="4" spans="2:50" ht="14" x14ac:dyDescent="0.2">
      <c r="B4" s="49" t="s">
        <v>74</v>
      </c>
      <c r="C4" s="49"/>
      <c r="D4" s="49" t="s">
        <v>1683</v>
      </c>
      <c r="E4" s="49"/>
      <c r="F4" s="49" t="s">
        <v>1605</v>
      </c>
      <c r="G4" s="49"/>
      <c r="H4" s="49" t="s">
        <v>1684</v>
      </c>
      <c r="I4" s="49"/>
      <c r="J4" s="49" t="s">
        <v>1685</v>
      </c>
      <c r="K4" s="49"/>
      <c r="N4" s="53" t="s">
        <v>86</v>
      </c>
      <c r="O4" s="53" t="s">
        <v>87</v>
      </c>
      <c r="P4" s="53" t="s">
        <v>52</v>
      </c>
      <c r="Q4" s="53" t="s">
        <v>53</v>
      </c>
      <c r="AX4" s="55" t="s">
        <v>1702</v>
      </c>
    </row>
    <row r="5" spans="2:50" ht="14" x14ac:dyDescent="0.2">
      <c r="B5" s="49" t="s">
        <v>1686</v>
      </c>
      <c r="C5" s="49"/>
      <c r="D5" s="49" t="s">
        <v>1687</v>
      </c>
      <c r="E5" s="49"/>
      <c r="F5" s="49" t="s">
        <v>1688</v>
      </c>
      <c r="G5" s="49"/>
      <c r="H5" s="56"/>
      <c r="I5" s="56"/>
      <c r="J5" s="56"/>
      <c r="K5" s="56"/>
      <c r="N5" s="45">
        <v>847</v>
      </c>
      <c r="O5" s="45">
        <v>5</v>
      </c>
      <c r="P5" s="45">
        <v>116</v>
      </c>
      <c r="Q5" s="45">
        <v>968</v>
      </c>
    </row>
    <row r="10" spans="2:50" ht="19" x14ac:dyDescent="0.25">
      <c r="B10" s="41" t="s">
        <v>1690</v>
      </c>
    </row>
    <row r="12" spans="2:50" x14ac:dyDescent="0.15">
      <c r="B12" s="58" t="s">
        <v>1691</v>
      </c>
      <c r="C12" t="s">
        <v>1696</v>
      </c>
    </row>
    <row r="13" spans="2:50" x14ac:dyDescent="0.15">
      <c r="B13" s="58" t="s">
        <v>1692</v>
      </c>
      <c r="C13" t="s">
        <v>1697</v>
      </c>
    </row>
    <row r="14" spans="2:50" x14ac:dyDescent="0.15">
      <c r="B14" s="58" t="s">
        <v>1693</v>
      </c>
      <c r="C14" t="s">
        <v>1698</v>
      </c>
    </row>
    <row r="16" spans="2:50" ht="19" x14ac:dyDescent="0.25">
      <c r="B16" s="41" t="s">
        <v>1694</v>
      </c>
      <c r="I16" s="41" t="s">
        <v>1699</v>
      </c>
    </row>
    <row r="18" spans="2:13" x14ac:dyDescent="0.15">
      <c r="C18" s="43" t="s">
        <v>1704</v>
      </c>
      <c r="D18" t="s">
        <v>28</v>
      </c>
      <c r="E18" t="s">
        <v>1705</v>
      </c>
      <c r="F18" t="s">
        <v>1706</v>
      </c>
      <c r="G18" t="s">
        <v>1707</v>
      </c>
      <c r="J18" s="43" t="s">
        <v>0</v>
      </c>
      <c r="K18" t="s">
        <v>1704</v>
      </c>
      <c r="L18" t="s">
        <v>1718</v>
      </c>
    </row>
    <row r="19" spans="2:13" x14ac:dyDescent="0.15">
      <c r="C19" s="43" t="s">
        <v>1708</v>
      </c>
      <c r="D19" s="42">
        <v>0.67200000000000004</v>
      </c>
      <c r="E19" s="42">
        <v>0.47137410661500778</v>
      </c>
      <c r="F19" s="42">
        <v>0</v>
      </c>
      <c r="G19">
        <v>1</v>
      </c>
      <c r="J19" s="43">
        <v>1</v>
      </c>
      <c r="K19" s="42">
        <v>1</v>
      </c>
      <c r="L19">
        <v>6.5625</v>
      </c>
    </row>
    <row r="20" spans="2:13" x14ac:dyDescent="0.15">
      <c r="C20" s="43" t="s">
        <v>1709</v>
      </c>
      <c r="D20" s="42">
        <v>0.248</v>
      </c>
      <c r="E20" s="42">
        <v>0.43358966777357599</v>
      </c>
      <c r="F20" s="42">
        <v>0</v>
      </c>
      <c r="G20">
        <v>1</v>
      </c>
      <c r="J20" s="43">
        <v>2</v>
      </c>
      <c r="K20" s="42">
        <v>2</v>
      </c>
      <c r="L20">
        <v>2.421875</v>
      </c>
    </row>
    <row r="21" spans="2:13" x14ac:dyDescent="0.15">
      <c r="C21" s="43" t="s">
        <v>1710</v>
      </c>
      <c r="D21" s="42">
        <v>5.6000000000000001E-2</v>
      </c>
      <c r="E21" s="42">
        <v>0.23084696788271913</v>
      </c>
      <c r="F21" s="42">
        <v>0</v>
      </c>
      <c r="G21">
        <v>1</v>
      </c>
      <c r="J21" s="43">
        <v>3</v>
      </c>
      <c r="K21" s="42">
        <v>3</v>
      </c>
      <c r="L21">
        <v>0.546875</v>
      </c>
    </row>
    <row r="22" spans="2:13" x14ac:dyDescent="0.15">
      <c r="C22" s="43" t="s">
        <v>1711</v>
      </c>
      <c r="D22" s="42">
        <v>2.4E-2</v>
      </c>
      <c r="E22" s="42">
        <v>0.15366490564148488</v>
      </c>
      <c r="F22" s="42">
        <v>0</v>
      </c>
      <c r="G22">
        <v>1</v>
      </c>
      <c r="J22" s="43">
        <v>4</v>
      </c>
      <c r="K22" s="42">
        <v>4</v>
      </c>
      <c r="L22">
        <v>0.234375</v>
      </c>
    </row>
    <row r="23" spans="2:13" x14ac:dyDescent="0.15">
      <c r="C23" s="43" t="s">
        <v>1712</v>
      </c>
      <c r="D23" s="42">
        <v>8.0000000000000002E-3</v>
      </c>
      <c r="E23" s="42">
        <v>8.9442719099991588E-2</v>
      </c>
      <c r="F23" s="42">
        <v>0</v>
      </c>
      <c r="G23">
        <v>1</v>
      </c>
      <c r="J23" s="43">
        <v>5</v>
      </c>
      <c r="K23" s="42">
        <v>5</v>
      </c>
      <c r="L23">
        <v>7.8125E-2</v>
      </c>
    </row>
    <row r="24" spans="2:13" x14ac:dyDescent="0.15">
      <c r="C24" s="43" t="s">
        <v>1713</v>
      </c>
      <c r="D24" s="42">
        <v>8.0000000000000002E-3</v>
      </c>
      <c r="E24" s="42">
        <v>8.9442719099991588E-2</v>
      </c>
      <c r="F24" s="42">
        <v>0</v>
      </c>
      <c r="G24">
        <v>1</v>
      </c>
      <c r="J24" s="43">
        <v>6</v>
      </c>
      <c r="K24" s="42">
        <v>6</v>
      </c>
      <c r="L24">
        <v>7.8125E-2</v>
      </c>
    </row>
    <row r="25" spans="2:13" x14ac:dyDescent="0.15">
      <c r="C25" s="43" t="s">
        <v>1714</v>
      </c>
      <c r="D25" s="42">
        <v>0</v>
      </c>
      <c r="E25" s="42">
        <v>0</v>
      </c>
      <c r="F25" s="42">
        <v>0</v>
      </c>
      <c r="G25">
        <v>0</v>
      </c>
      <c r="J25" s="43">
        <v>7</v>
      </c>
      <c r="K25" s="42">
        <v>7</v>
      </c>
      <c r="L25">
        <v>0</v>
      </c>
    </row>
    <row r="26" spans="2:13" x14ac:dyDescent="0.15">
      <c r="C26" s="43" t="s">
        <v>1715</v>
      </c>
      <c r="D26" s="42">
        <v>8.0000000000000002E-3</v>
      </c>
      <c r="E26" s="42">
        <v>8.9442719099991588E-2</v>
      </c>
      <c r="F26" s="42">
        <v>0</v>
      </c>
      <c r="G26">
        <v>1</v>
      </c>
      <c r="J26" s="43">
        <v>8</v>
      </c>
      <c r="K26" s="42">
        <v>8</v>
      </c>
      <c r="L26">
        <v>7.8125E-2</v>
      </c>
    </row>
    <row r="27" spans="2:13" x14ac:dyDescent="0.15">
      <c r="C27" s="43" t="s">
        <v>1716</v>
      </c>
      <c r="D27" s="42">
        <v>0</v>
      </c>
      <c r="E27" s="42">
        <v>0</v>
      </c>
      <c r="F27" s="42">
        <v>0</v>
      </c>
      <c r="G27">
        <v>0</v>
      </c>
      <c r="J27" s="43">
        <v>9</v>
      </c>
      <c r="K27" s="42">
        <v>9</v>
      </c>
      <c r="L27">
        <v>0</v>
      </c>
    </row>
    <row r="28" spans="2:13" x14ac:dyDescent="0.15">
      <c r="C28" s="43" t="s">
        <v>1717</v>
      </c>
      <c r="D28" s="42">
        <v>0</v>
      </c>
      <c r="E28" s="42">
        <v>0</v>
      </c>
      <c r="F28" s="42">
        <v>0</v>
      </c>
      <c r="G28">
        <v>0</v>
      </c>
      <c r="J28" s="43">
        <v>10</v>
      </c>
      <c r="K28" s="42">
        <v>10</v>
      </c>
      <c r="L28">
        <v>0</v>
      </c>
    </row>
    <row r="30" spans="2:13" ht="19" x14ac:dyDescent="0.25">
      <c r="B30" s="41" t="s">
        <v>1695</v>
      </c>
    </row>
    <row r="32" spans="2:13" x14ac:dyDescent="0.15">
      <c r="C32" s="43" t="s">
        <v>77</v>
      </c>
      <c r="D32" t="s">
        <v>1719</v>
      </c>
      <c r="E32" t="s">
        <v>1691</v>
      </c>
      <c r="F32" t="s">
        <v>1720</v>
      </c>
      <c r="G32" t="s">
        <v>1721</v>
      </c>
      <c r="H32" t="s">
        <v>1722</v>
      </c>
      <c r="I32" t="s">
        <v>1723</v>
      </c>
      <c r="J32" t="s">
        <v>1724</v>
      </c>
      <c r="K32" t="s">
        <v>1725</v>
      </c>
      <c r="L32" t="s">
        <v>1726</v>
      </c>
      <c r="M32" t="s">
        <v>1727</v>
      </c>
    </row>
    <row r="33" spans="3:13" x14ac:dyDescent="0.15">
      <c r="C33" s="43">
        <v>0</v>
      </c>
      <c r="D33" s="42">
        <v>0</v>
      </c>
      <c r="E33" s="42">
        <v>0</v>
      </c>
      <c r="F33" s="42">
        <v>0</v>
      </c>
      <c r="G33" s="42">
        <v>0</v>
      </c>
      <c r="H33" s="42">
        <v>0</v>
      </c>
      <c r="I33" s="42">
        <v>0</v>
      </c>
      <c r="J33" s="42">
        <v>0</v>
      </c>
      <c r="K33" s="42">
        <v>0</v>
      </c>
      <c r="L33" s="42">
        <v>0</v>
      </c>
      <c r="M33">
        <v>0</v>
      </c>
    </row>
    <row r="34" spans="3:13" x14ac:dyDescent="0.15">
      <c r="C34" s="43">
        <v>1</v>
      </c>
      <c r="D34" s="42">
        <v>1</v>
      </c>
      <c r="E34" s="42">
        <v>8.0000000000000004E-4</v>
      </c>
      <c r="F34" s="42">
        <v>1</v>
      </c>
      <c r="G34" s="42">
        <v>0.1024</v>
      </c>
      <c r="H34" s="42">
        <v>9.765625</v>
      </c>
      <c r="I34" s="42">
        <v>1</v>
      </c>
      <c r="J34" s="42">
        <v>9.765625</v>
      </c>
      <c r="K34" s="42">
        <v>7.8125E-3</v>
      </c>
      <c r="L34" s="42">
        <v>8.0000000000000004E-4</v>
      </c>
      <c r="M34">
        <v>7.8125E-3</v>
      </c>
    </row>
    <row r="35" spans="3:13" x14ac:dyDescent="0.15">
      <c r="C35" s="43">
        <v>2</v>
      </c>
      <c r="D35" s="42">
        <v>2</v>
      </c>
      <c r="E35" s="42">
        <v>1.6000000000000001E-3</v>
      </c>
      <c r="F35" s="42">
        <v>2</v>
      </c>
      <c r="G35" s="42">
        <v>0.20480000000000001</v>
      </c>
      <c r="H35" s="42">
        <v>9.765625</v>
      </c>
      <c r="I35" s="42">
        <v>1</v>
      </c>
      <c r="J35" s="42">
        <v>9.765625</v>
      </c>
      <c r="K35" s="42">
        <v>1.5625E-2</v>
      </c>
      <c r="L35" s="42">
        <v>1.6000000000000001E-3</v>
      </c>
      <c r="M35">
        <v>1.5625E-2</v>
      </c>
    </row>
    <row r="36" spans="3:13" x14ac:dyDescent="0.15">
      <c r="C36" s="43">
        <v>3</v>
      </c>
      <c r="D36" s="42">
        <v>3</v>
      </c>
      <c r="E36" s="42">
        <v>2.3999999999999998E-3</v>
      </c>
      <c r="F36" s="42">
        <v>3</v>
      </c>
      <c r="G36" s="42">
        <v>0.30720000000000003</v>
      </c>
      <c r="H36" s="42">
        <v>9.765625</v>
      </c>
      <c r="I36" s="42">
        <v>1</v>
      </c>
      <c r="J36" s="42">
        <v>9.765625</v>
      </c>
      <c r="K36" s="42">
        <v>2.34375E-2</v>
      </c>
      <c r="L36" s="42">
        <v>2.3999999999999998E-3</v>
      </c>
      <c r="M36">
        <v>2.34375E-2</v>
      </c>
    </row>
    <row r="37" spans="3:13" x14ac:dyDescent="0.15">
      <c r="C37" s="43">
        <v>4</v>
      </c>
      <c r="D37" s="42">
        <v>4</v>
      </c>
      <c r="E37" s="42">
        <v>3.2000000000000002E-3</v>
      </c>
      <c r="F37" s="42">
        <v>4</v>
      </c>
      <c r="G37" s="42">
        <v>0.40960000000000002</v>
      </c>
      <c r="H37" s="42">
        <v>9.765625</v>
      </c>
      <c r="I37" s="42">
        <v>1</v>
      </c>
      <c r="J37" s="42">
        <v>9.765625</v>
      </c>
      <c r="K37" s="42">
        <v>3.125E-2</v>
      </c>
      <c r="L37" s="42">
        <v>3.2000000000000002E-3</v>
      </c>
      <c r="M37">
        <v>3.125E-2</v>
      </c>
    </row>
    <row r="38" spans="3:13" x14ac:dyDescent="0.15">
      <c r="C38" s="43">
        <v>5</v>
      </c>
      <c r="D38" s="42">
        <v>5</v>
      </c>
      <c r="E38" s="42">
        <v>4.0000000000000001E-3</v>
      </c>
      <c r="F38" s="42">
        <v>5</v>
      </c>
      <c r="G38" s="42">
        <v>0.51200000000000001</v>
      </c>
      <c r="H38" s="42">
        <v>9.765625</v>
      </c>
      <c r="I38" s="42">
        <v>1</v>
      </c>
      <c r="J38" s="42">
        <v>9.765625</v>
      </c>
      <c r="K38" s="42">
        <v>3.90625E-2</v>
      </c>
      <c r="L38" s="42">
        <v>4.0000000000000001E-3</v>
      </c>
      <c r="M38">
        <v>3.90625E-2</v>
      </c>
    </row>
    <row r="39" spans="3:13" x14ac:dyDescent="0.15">
      <c r="C39" s="43">
        <v>6</v>
      </c>
      <c r="D39" s="42">
        <v>6</v>
      </c>
      <c r="E39" s="42">
        <v>4.7999999999999996E-3</v>
      </c>
      <c r="F39" s="42">
        <v>6</v>
      </c>
      <c r="G39" s="42">
        <v>0.61440000000000006</v>
      </c>
      <c r="H39" s="42">
        <v>9.765625</v>
      </c>
      <c r="I39" s="42">
        <v>1</v>
      </c>
      <c r="J39" s="42">
        <v>9.765625</v>
      </c>
      <c r="K39" s="42">
        <v>4.6875E-2</v>
      </c>
      <c r="L39" s="42">
        <v>4.7999999999999996E-3</v>
      </c>
      <c r="M39">
        <v>4.6875E-2</v>
      </c>
    </row>
    <row r="40" spans="3:13" x14ac:dyDescent="0.15">
      <c r="C40" s="43">
        <v>7</v>
      </c>
      <c r="D40" s="42">
        <v>7</v>
      </c>
      <c r="E40" s="42">
        <v>5.5999999999999999E-3</v>
      </c>
      <c r="F40" s="42">
        <v>7</v>
      </c>
      <c r="G40" s="42">
        <v>0.71679999999999999</v>
      </c>
      <c r="H40" s="42">
        <v>9.765625</v>
      </c>
      <c r="I40" s="42">
        <v>1</v>
      </c>
      <c r="J40" s="42">
        <v>9.765625</v>
      </c>
      <c r="K40" s="42">
        <v>5.46875E-2</v>
      </c>
      <c r="L40" s="42">
        <v>5.5999999999999999E-3</v>
      </c>
      <c r="M40">
        <v>5.46875E-2</v>
      </c>
    </row>
    <row r="41" spans="3:13" x14ac:dyDescent="0.15">
      <c r="C41" s="43">
        <v>8</v>
      </c>
      <c r="D41" s="42">
        <v>8</v>
      </c>
      <c r="E41" s="42">
        <v>6.4000000000000003E-3</v>
      </c>
      <c r="F41" s="42">
        <v>8</v>
      </c>
      <c r="G41" s="42">
        <v>0.81920000000000004</v>
      </c>
      <c r="H41" s="42">
        <v>9.765625</v>
      </c>
      <c r="I41" s="42">
        <v>1</v>
      </c>
      <c r="J41" s="42">
        <v>9.765625</v>
      </c>
      <c r="K41" s="42">
        <v>6.25E-2</v>
      </c>
      <c r="L41" s="42">
        <v>6.4000000000000003E-3</v>
      </c>
      <c r="M41">
        <v>6.25E-2</v>
      </c>
    </row>
    <row r="42" spans="3:13" x14ac:dyDescent="0.15">
      <c r="C42" s="43">
        <v>9</v>
      </c>
      <c r="D42" s="42">
        <v>9</v>
      </c>
      <c r="E42" s="42">
        <v>7.1999999999999998E-3</v>
      </c>
      <c r="F42" s="42">
        <v>9</v>
      </c>
      <c r="G42" s="42">
        <v>0.92160000000000009</v>
      </c>
      <c r="H42" s="42">
        <v>9.765625</v>
      </c>
      <c r="I42" s="42">
        <v>1</v>
      </c>
      <c r="J42" s="42">
        <v>9.765625</v>
      </c>
      <c r="K42" s="42">
        <v>7.03125E-2</v>
      </c>
      <c r="L42" s="42">
        <v>7.1999999999999998E-3</v>
      </c>
      <c r="M42">
        <v>7.03125E-2</v>
      </c>
    </row>
    <row r="43" spans="3:13" x14ac:dyDescent="0.15">
      <c r="C43" s="43">
        <v>10</v>
      </c>
      <c r="D43" s="42">
        <v>10</v>
      </c>
      <c r="E43" s="42">
        <v>8.0000000000000002E-3</v>
      </c>
      <c r="F43" s="42">
        <v>10</v>
      </c>
      <c r="G43" s="42">
        <v>1.024</v>
      </c>
      <c r="H43" s="42">
        <v>9.765625</v>
      </c>
      <c r="I43" s="42">
        <v>1</v>
      </c>
      <c r="J43" s="42">
        <v>9.765625</v>
      </c>
      <c r="K43" s="42">
        <v>7.8125E-2</v>
      </c>
      <c r="L43" s="42">
        <v>8.0000000000000002E-3</v>
      </c>
      <c r="M43">
        <v>7.8125E-2</v>
      </c>
    </row>
    <row r="44" spans="3:13" x14ac:dyDescent="0.15">
      <c r="C44" s="43">
        <v>11</v>
      </c>
      <c r="D44" s="42">
        <v>11</v>
      </c>
      <c r="E44" s="42">
        <v>8.8000000000000005E-3</v>
      </c>
      <c r="F44" s="42">
        <v>11</v>
      </c>
      <c r="G44" s="42">
        <v>1.1264000000000001</v>
      </c>
      <c r="H44" s="42">
        <v>9.765625</v>
      </c>
      <c r="I44" s="42">
        <v>1</v>
      </c>
      <c r="J44" s="42">
        <v>9.765625</v>
      </c>
      <c r="K44" s="42">
        <v>8.59375E-2</v>
      </c>
      <c r="L44" s="42">
        <v>8.8000000000000005E-3</v>
      </c>
      <c r="M44">
        <v>8.59375E-2</v>
      </c>
    </row>
    <row r="45" spans="3:13" x14ac:dyDescent="0.15">
      <c r="C45" s="43">
        <v>12</v>
      </c>
      <c r="D45" s="42">
        <v>12</v>
      </c>
      <c r="E45" s="42">
        <v>9.5999999999999992E-3</v>
      </c>
      <c r="F45" s="42">
        <v>12</v>
      </c>
      <c r="G45" s="42">
        <v>1.2288000000000001</v>
      </c>
      <c r="H45" s="42">
        <v>9.765625</v>
      </c>
      <c r="I45" s="42">
        <v>1</v>
      </c>
      <c r="J45" s="42">
        <v>9.765625</v>
      </c>
      <c r="K45" s="42">
        <v>9.375E-2</v>
      </c>
      <c r="L45" s="42">
        <v>9.5999999999999992E-3</v>
      </c>
      <c r="M45">
        <v>9.375E-2</v>
      </c>
    </row>
    <row r="46" spans="3:13" x14ac:dyDescent="0.15">
      <c r="C46" s="43">
        <v>13</v>
      </c>
      <c r="D46" s="42">
        <v>13</v>
      </c>
      <c r="E46" s="42">
        <v>1.04E-2</v>
      </c>
      <c r="F46" s="42">
        <v>13</v>
      </c>
      <c r="G46" s="42">
        <v>1.3312000000000002</v>
      </c>
      <c r="H46" s="42">
        <v>9.765625</v>
      </c>
      <c r="I46" s="42">
        <v>1</v>
      </c>
      <c r="J46" s="42">
        <v>9.765625</v>
      </c>
      <c r="K46" s="42">
        <v>0.1015625</v>
      </c>
      <c r="L46" s="42">
        <v>1.04E-2</v>
      </c>
      <c r="M46">
        <v>0.1015625</v>
      </c>
    </row>
    <row r="47" spans="3:13" x14ac:dyDescent="0.15">
      <c r="C47" s="43">
        <v>14</v>
      </c>
      <c r="D47" s="42">
        <v>14</v>
      </c>
      <c r="E47" s="42">
        <v>1.12E-2</v>
      </c>
      <c r="F47" s="42">
        <v>14</v>
      </c>
      <c r="G47" s="42">
        <v>1.4336</v>
      </c>
      <c r="H47" s="42">
        <v>9.765625</v>
      </c>
      <c r="I47" s="42">
        <v>1</v>
      </c>
      <c r="J47" s="42">
        <v>9.765625</v>
      </c>
      <c r="K47" s="42">
        <v>0.109375</v>
      </c>
      <c r="L47" s="42">
        <v>1.12E-2</v>
      </c>
      <c r="M47">
        <v>0.109375</v>
      </c>
    </row>
    <row r="48" spans="3:13" x14ac:dyDescent="0.15">
      <c r="C48" s="43">
        <v>15</v>
      </c>
      <c r="D48" s="42">
        <v>15</v>
      </c>
      <c r="E48" s="42">
        <v>1.2E-2</v>
      </c>
      <c r="F48" s="42">
        <v>15</v>
      </c>
      <c r="G48" s="42">
        <v>1.536</v>
      </c>
      <c r="H48" s="42">
        <v>9.765625</v>
      </c>
      <c r="I48" s="42">
        <v>1</v>
      </c>
      <c r="J48" s="42">
        <v>9.765625</v>
      </c>
      <c r="K48" s="42">
        <v>0.1171875</v>
      </c>
      <c r="L48" s="42">
        <v>1.2E-2</v>
      </c>
      <c r="M48">
        <v>0.1171875</v>
      </c>
    </row>
    <row r="49" spans="3:13" x14ac:dyDescent="0.15">
      <c r="C49" s="43">
        <v>16</v>
      </c>
      <c r="D49" s="42">
        <v>16</v>
      </c>
      <c r="E49" s="42">
        <v>1.2800000000000001E-2</v>
      </c>
      <c r="F49" s="42">
        <v>16</v>
      </c>
      <c r="G49" s="42">
        <v>1.6384000000000001</v>
      </c>
      <c r="H49" s="42">
        <v>9.765625</v>
      </c>
      <c r="I49" s="42">
        <v>1</v>
      </c>
      <c r="J49" s="42">
        <v>9.765625</v>
      </c>
      <c r="K49" s="42">
        <v>0.125</v>
      </c>
      <c r="L49" s="42">
        <v>1.2800000000000001E-2</v>
      </c>
      <c r="M49">
        <v>0.125</v>
      </c>
    </row>
    <row r="50" spans="3:13" x14ac:dyDescent="0.15">
      <c r="C50" s="43">
        <v>17</v>
      </c>
      <c r="D50" s="42">
        <v>17</v>
      </c>
      <c r="E50" s="42">
        <v>1.3599999999999999E-2</v>
      </c>
      <c r="F50" s="42">
        <v>17</v>
      </c>
      <c r="G50" s="42">
        <v>1.7408000000000001</v>
      </c>
      <c r="H50" s="42">
        <v>9.765625</v>
      </c>
      <c r="I50" s="42">
        <v>1</v>
      </c>
      <c r="J50" s="42">
        <v>9.765625</v>
      </c>
      <c r="K50" s="42">
        <v>0.1328125</v>
      </c>
      <c r="L50" s="42">
        <v>1.3599999999999999E-2</v>
      </c>
      <c r="M50">
        <v>0.1328125</v>
      </c>
    </row>
    <row r="51" spans="3:13" x14ac:dyDescent="0.15">
      <c r="C51" s="43">
        <v>18</v>
      </c>
      <c r="D51" s="42">
        <v>18</v>
      </c>
      <c r="E51" s="42">
        <v>1.44E-2</v>
      </c>
      <c r="F51" s="42">
        <v>18</v>
      </c>
      <c r="G51" s="42">
        <v>1.8432000000000002</v>
      </c>
      <c r="H51" s="42">
        <v>9.765625</v>
      </c>
      <c r="I51" s="42">
        <v>1</v>
      </c>
      <c r="J51" s="42">
        <v>9.765625</v>
      </c>
      <c r="K51" s="42">
        <v>0.140625</v>
      </c>
      <c r="L51" s="42">
        <v>1.44E-2</v>
      </c>
      <c r="M51">
        <v>0.140625</v>
      </c>
    </row>
    <row r="52" spans="3:13" x14ac:dyDescent="0.15">
      <c r="C52" s="43">
        <v>19</v>
      </c>
      <c r="D52" s="42">
        <v>19</v>
      </c>
      <c r="E52" s="42">
        <v>1.52E-2</v>
      </c>
      <c r="F52" s="42">
        <v>19</v>
      </c>
      <c r="G52" s="42">
        <v>1.9456</v>
      </c>
      <c r="H52" s="42">
        <v>9.765625</v>
      </c>
      <c r="I52" s="42">
        <v>1</v>
      </c>
      <c r="J52" s="42">
        <v>9.765625</v>
      </c>
      <c r="K52" s="42">
        <v>0.1484375</v>
      </c>
      <c r="L52" s="42">
        <v>1.52E-2</v>
      </c>
      <c r="M52">
        <v>0.1484375</v>
      </c>
    </row>
    <row r="53" spans="3:13" x14ac:dyDescent="0.15">
      <c r="C53" s="43">
        <v>20</v>
      </c>
      <c r="D53" s="42">
        <v>20</v>
      </c>
      <c r="E53" s="42">
        <v>1.6E-2</v>
      </c>
      <c r="F53" s="42">
        <v>20</v>
      </c>
      <c r="G53" s="42">
        <v>2.048</v>
      </c>
      <c r="H53" s="42">
        <v>9.765625</v>
      </c>
      <c r="I53" s="42">
        <v>1</v>
      </c>
      <c r="J53" s="42">
        <v>9.765625</v>
      </c>
      <c r="K53" s="42">
        <v>0.15625</v>
      </c>
      <c r="L53" s="42">
        <v>1.6E-2</v>
      </c>
      <c r="M53">
        <v>0.15625</v>
      </c>
    </row>
    <row r="54" spans="3:13" x14ac:dyDescent="0.15">
      <c r="C54" s="43">
        <v>21</v>
      </c>
      <c r="D54" s="42">
        <v>21</v>
      </c>
      <c r="E54" s="42">
        <v>1.6799999999999999E-2</v>
      </c>
      <c r="F54" s="42">
        <v>21</v>
      </c>
      <c r="G54" s="42">
        <v>2.1504000000000003</v>
      </c>
      <c r="H54" s="42">
        <v>9.765625</v>
      </c>
      <c r="I54" s="42">
        <v>1</v>
      </c>
      <c r="J54" s="42">
        <v>9.765625</v>
      </c>
      <c r="K54" s="42">
        <v>0.1640625</v>
      </c>
      <c r="L54" s="42">
        <v>1.6799999999999999E-2</v>
      </c>
      <c r="M54">
        <v>0.1640625</v>
      </c>
    </row>
    <row r="55" spans="3:13" x14ac:dyDescent="0.15">
      <c r="C55" s="43">
        <v>22</v>
      </c>
      <c r="D55" s="42">
        <v>22</v>
      </c>
      <c r="E55" s="42">
        <v>1.7600000000000001E-2</v>
      </c>
      <c r="F55" s="42">
        <v>22</v>
      </c>
      <c r="G55" s="42">
        <v>2.2528000000000001</v>
      </c>
      <c r="H55" s="42">
        <v>9.765625</v>
      </c>
      <c r="I55" s="42">
        <v>1</v>
      </c>
      <c r="J55" s="42">
        <v>9.765625</v>
      </c>
      <c r="K55" s="42">
        <v>0.171875</v>
      </c>
      <c r="L55" s="42">
        <v>1.7600000000000001E-2</v>
      </c>
      <c r="M55">
        <v>0.171875</v>
      </c>
    </row>
    <row r="56" spans="3:13" x14ac:dyDescent="0.15">
      <c r="C56" s="43">
        <v>23</v>
      </c>
      <c r="D56" s="42">
        <v>23</v>
      </c>
      <c r="E56" s="42">
        <v>1.84E-2</v>
      </c>
      <c r="F56" s="42">
        <v>23</v>
      </c>
      <c r="G56" s="42">
        <v>2.3552</v>
      </c>
      <c r="H56" s="42">
        <v>9.765625</v>
      </c>
      <c r="I56" s="42">
        <v>1</v>
      </c>
      <c r="J56" s="42">
        <v>9.765625</v>
      </c>
      <c r="K56" s="42">
        <v>0.1796875</v>
      </c>
      <c r="L56" s="42">
        <v>1.84E-2</v>
      </c>
      <c r="M56">
        <v>0.1796875</v>
      </c>
    </row>
    <row r="57" spans="3:13" x14ac:dyDescent="0.15">
      <c r="C57" s="43">
        <v>24</v>
      </c>
      <c r="D57" s="42">
        <v>24</v>
      </c>
      <c r="E57" s="42">
        <v>1.9199999999999998E-2</v>
      </c>
      <c r="F57" s="42">
        <v>24</v>
      </c>
      <c r="G57" s="42">
        <v>2.4576000000000002</v>
      </c>
      <c r="H57" s="42">
        <v>9.765625</v>
      </c>
      <c r="I57" s="42">
        <v>1</v>
      </c>
      <c r="J57" s="42">
        <v>9.765625</v>
      </c>
      <c r="K57" s="42">
        <v>0.1875</v>
      </c>
      <c r="L57" s="42">
        <v>1.9199999999999998E-2</v>
      </c>
      <c r="M57">
        <v>0.1875</v>
      </c>
    </row>
    <row r="58" spans="3:13" x14ac:dyDescent="0.15">
      <c r="C58" s="43">
        <v>25</v>
      </c>
      <c r="D58" s="42">
        <v>25</v>
      </c>
      <c r="E58" s="42">
        <v>0.02</v>
      </c>
      <c r="F58" s="42">
        <v>25</v>
      </c>
      <c r="G58" s="42">
        <v>2.56</v>
      </c>
      <c r="H58" s="42">
        <v>9.765625</v>
      </c>
      <c r="I58" s="42">
        <v>1</v>
      </c>
      <c r="J58" s="42">
        <v>9.765625</v>
      </c>
      <c r="K58" s="42">
        <v>0.1953125</v>
      </c>
      <c r="L58" s="42">
        <v>0.02</v>
      </c>
      <c r="M58">
        <v>0.1953125</v>
      </c>
    </row>
    <row r="59" spans="3:13" x14ac:dyDescent="0.15">
      <c r="C59" s="43">
        <v>26</v>
      </c>
      <c r="D59" s="42">
        <v>26</v>
      </c>
      <c r="E59" s="42">
        <v>2.0799999999999999E-2</v>
      </c>
      <c r="F59" s="42">
        <v>26</v>
      </c>
      <c r="G59" s="42">
        <v>2.6624000000000003</v>
      </c>
      <c r="H59" s="42">
        <v>9.765625</v>
      </c>
      <c r="I59" s="42">
        <v>1</v>
      </c>
      <c r="J59" s="42">
        <v>9.765625</v>
      </c>
      <c r="K59" s="42">
        <v>0.203125</v>
      </c>
      <c r="L59" s="42">
        <v>2.0799999999999999E-2</v>
      </c>
      <c r="M59">
        <v>0.203125</v>
      </c>
    </row>
    <row r="60" spans="3:13" x14ac:dyDescent="0.15">
      <c r="C60" s="43">
        <v>27</v>
      </c>
      <c r="D60" s="42">
        <v>27</v>
      </c>
      <c r="E60" s="42">
        <v>2.1600000000000001E-2</v>
      </c>
      <c r="F60" s="42">
        <v>27</v>
      </c>
      <c r="G60" s="42">
        <v>2.7648000000000001</v>
      </c>
      <c r="H60" s="42">
        <v>9.765625</v>
      </c>
      <c r="I60" s="42">
        <v>1</v>
      </c>
      <c r="J60" s="42">
        <v>9.765625</v>
      </c>
      <c r="K60" s="42">
        <v>0.2109375</v>
      </c>
      <c r="L60" s="42">
        <v>2.1600000000000001E-2</v>
      </c>
      <c r="M60">
        <v>0.2109375</v>
      </c>
    </row>
    <row r="61" spans="3:13" x14ac:dyDescent="0.15">
      <c r="C61" s="43">
        <v>28</v>
      </c>
      <c r="D61" s="42">
        <v>28</v>
      </c>
      <c r="E61" s="42">
        <v>2.24E-2</v>
      </c>
      <c r="F61" s="42">
        <v>28</v>
      </c>
      <c r="G61" s="42">
        <v>2.8672</v>
      </c>
      <c r="H61" s="42">
        <v>9.765625</v>
      </c>
      <c r="I61" s="42">
        <v>1</v>
      </c>
      <c r="J61" s="42">
        <v>9.765625</v>
      </c>
      <c r="K61" s="42">
        <v>0.21875</v>
      </c>
      <c r="L61" s="42">
        <v>2.24E-2</v>
      </c>
      <c r="M61">
        <v>0.21875</v>
      </c>
    </row>
    <row r="62" spans="3:13" x14ac:dyDescent="0.15">
      <c r="C62" s="43">
        <v>29</v>
      </c>
      <c r="D62" s="42">
        <v>29</v>
      </c>
      <c r="E62" s="42">
        <v>2.3199999999999998E-2</v>
      </c>
      <c r="F62" s="42">
        <v>29</v>
      </c>
      <c r="G62" s="42">
        <v>2.9696000000000002</v>
      </c>
      <c r="H62" s="42">
        <v>9.765625</v>
      </c>
      <c r="I62" s="42">
        <v>1</v>
      </c>
      <c r="J62" s="42">
        <v>9.765625</v>
      </c>
      <c r="K62" s="42">
        <v>0.2265625</v>
      </c>
      <c r="L62" s="42">
        <v>2.3199999999999998E-2</v>
      </c>
      <c r="M62">
        <v>0.2265625</v>
      </c>
    </row>
    <row r="63" spans="3:13" x14ac:dyDescent="0.15">
      <c r="C63" s="43">
        <v>30</v>
      </c>
      <c r="D63" s="42">
        <v>30</v>
      </c>
      <c r="E63" s="42">
        <v>2.4E-2</v>
      </c>
      <c r="F63" s="42">
        <v>30</v>
      </c>
      <c r="G63" s="42">
        <v>3.0720000000000001</v>
      </c>
      <c r="H63" s="42">
        <v>9.765625</v>
      </c>
      <c r="I63" s="42">
        <v>1</v>
      </c>
      <c r="J63" s="42">
        <v>9.765625</v>
      </c>
      <c r="K63" s="42">
        <v>0.234375</v>
      </c>
      <c r="L63" s="42">
        <v>2.4E-2</v>
      </c>
      <c r="M63">
        <v>0.234375</v>
      </c>
    </row>
    <row r="64" spans="3:13" x14ac:dyDescent="0.15">
      <c r="C64" s="43">
        <v>31</v>
      </c>
      <c r="D64" s="42">
        <v>31</v>
      </c>
      <c r="E64" s="42">
        <v>2.4799999999999999E-2</v>
      </c>
      <c r="F64" s="42">
        <v>31</v>
      </c>
      <c r="G64" s="42">
        <v>3.1744000000000003</v>
      </c>
      <c r="H64" s="42">
        <v>9.765625</v>
      </c>
      <c r="I64" s="42">
        <v>1</v>
      </c>
      <c r="J64" s="42">
        <v>9.765625</v>
      </c>
      <c r="K64" s="42">
        <v>0.2421875</v>
      </c>
      <c r="L64" s="42">
        <v>2.4799999999999999E-2</v>
      </c>
      <c r="M64">
        <v>0.2421875</v>
      </c>
    </row>
    <row r="65" spans="3:13" x14ac:dyDescent="0.15">
      <c r="C65" s="43">
        <v>32</v>
      </c>
      <c r="D65" s="42">
        <v>32</v>
      </c>
      <c r="E65" s="42">
        <v>2.5600000000000001E-2</v>
      </c>
      <c r="F65" s="42">
        <v>32</v>
      </c>
      <c r="G65" s="42">
        <v>3.2768000000000002</v>
      </c>
      <c r="H65" s="42">
        <v>9.765625</v>
      </c>
      <c r="I65" s="42">
        <v>1</v>
      </c>
      <c r="J65" s="42">
        <v>9.765625</v>
      </c>
      <c r="K65" s="42">
        <v>0.25</v>
      </c>
      <c r="L65" s="42">
        <v>2.5600000000000001E-2</v>
      </c>
      <c r="M65">
        <v>0.25</v>
      </c>
    </row>
    <row r="66" spans="3:13" x14ac:dyDescent="0.15">
      <c r="C66" s="43">
        <v>33</v>
      </c>
      <c r="D66" s="42">
        <v>33</v>
      </c>
      <c r="E66" s="42">
        <v>2.64E-2</v>
      </c>
      <c r="F66" s="42">
        <v>33</v>
      </c>
      <c r="G66" s="42">
        <v>3.3792</v>
      </c>
      <c r="H66" s="42">
        <v>9.765625</v>
      </c>
      <c r="I66" s="42">
        <v>1</v>
      </c>
      <c r="J66" s="42">
        <v>9.765625</v>
      </c>
      <c r="K66" s="42">
        <v>0.2578125</v>
      </c>
      <c r="L66" s="42">
        <v>2.64E-2</v>
      </c>
      <c r="M66">
        <v>0.2578125</v>
      </c>
    </row>
    <row r="67" spans="3:13" x14ac:dyDescent="0.15">
      <c r="C67" s="43">
        <v>34</v>
      </c>
      <c r="D67" s="42">
        <v>34</v>
      </c>
      <c r="E67" s="42">
        <v>2.7199999999999998E-2</v>
      </c>
      <c r="F67" s="42">
        <v>34</v>
      </c>
      <c r="G67" s="42">
        <v>3.4816000000000003</v>
      </c>
      <c r="H67" s="42">
        <v>9.765625</v>
      </c>
      <c r="I67" s="42">
        <v>1</v>
      </c>
      <c r="J67" s="42">
        <v>9.765625</v>
      </c>
      <c r="K67" s="42">
        <v>0.265625</v>
      </c>
      <c r="L67" s="42">
        <v>2.7199999999999998E-2</v>
      </c>
      <c r="M67">
        <v>0.265625</v>
      </c>
    </row>
    <row r="68" spans="3:13" x14ac:dyDescent="0.15">
      <c r="C68" s="43">
        <v>35</v>
      </c>
      <c r="D68" s="42">
        <v>35</v>
      </c>
      <c r="E68" s="42">
        <v>2.8000000000000001E-2</v>
      </c>
      <c r="F68" s="42">
        <v>35</v>
      </c>
      <c r="G68" s="42">
        <v>3.5840000000000001</v>
      </c>
      <c r="H68" s="42">
        <v>9.765625</v>
      </c>
      <c r="I68" s="42">
        <v>1</v>
      </c>
      <c r="J68" s="42">
        <v>9.765625</v>
      </c>
      <c r="K68" s="42">
        <v>0.2734375</v>
      </c>
      <c r="L68" s="42">
        <v>2.8000000000000001E-2</v>
      </c>
      <c r="M68">
        <v>0.2734375</v>
      </c>
    </row>
    <row r="69" spans="3:13" x14ac:dyDescent="0.15">
      <c r="C69" s="43">
        <v>36</v>
      </c>
      <c r="D69" s="42">
        <v>36</v>
      </c>
      <c r="E69" s="42">
        <v>2.8799999999999999E-2</v>
      </c>
      <c r="F69" s="42">
        <v>35</v>
      </c>
      <c r="G69" s="42">
        <v>3.6864000000000003</v>
      </c>
      <c r="H69" s="42">
        <v>9.4943576388888893</v>
      </c>
      <c r="I69" s="42">
        <v>1</v>
      </c>
      <c r="J69" s="42">
        <v>9.765625</v>
      </c>
      <c r="K69" s="42">
        <v>0.2734375</v>
      </c>
      <c r="L69" s="42">
        <v>2.8799999999999999E-2</v>
      </c>
      <c r="M69">
        <v>0.28125</v>
      </c>
    </row>
    <row r="70" spans="3:13" x14ac:dyDescent="0.15">
      <c r="C70" s="43">
        <v>37</v>
      </c>
      <c r="D70" s="42">
        <v>37</v>
      </c>
      <c r="E70" s="42">
        <v>2.9600000000000001E-2</v>
      </c>
      <c r="F70" s="42">
        <v>36</v>
      </c>
      <c r="G70" s="42">
        <v>3.7888000000000002</v>
      </c>
      <c r="H70" s="42">
        <v>9.5016891891891895</v>
      </c>
      <c r="I70" s="42">
        <v>1</v>
      </c>
      <c r="J70" s="42">
        <v>9.765625</v>
      </c>
      <c r="K70" s="42">
        <v>0.28125</v>
      </c>
      <c r="L70" s="42">
        <v>2.9600000000000001E-2</v>
      </c>
      <c r="M70">
        <v>0.2890625</v>
      </c>
    </row>
    <row r="71" spans="3:13" x14ac:dyDescent="0.15">
      <c r="C71" s="43">
        <v>38</v>
      </c>
      <c r="D71" s="42">
        <v>38</v>
      </c>
      <c r="E71" s="42">
        <v>3.04E-2</v>
      </c>
      <c r="F71" s="42">
        <v>37</v>
      </c>
      <c r="G71" s="42">
        <v>3.8912</v>
      </c>
      <c r="H71" s="42">
        <v>9.5086348684210531</v>
      </c>
      <c r="I71" s="42">
        <v>1</v>
      </c>
      <c r="J71" s="42">
        <v>9.765625</v>
      </c>
      <c r="K71" s="42">
        <v>0.2890625</v>
      </c>
      <c r="L71" s="42">
        <v>3.04E-2</v>
      </c>
      <c r="M71">
        <v>0.296875</v>
      </c>
    </row>
    <row r="72" spans="3:13" x14ac:dyDescent="0.15">
      <c r="C72" s="43">
        <v>39</v>
      </c>
      <c r="D72" s="42">
        <v>39</v>
      </c>
      <c r="E72" s="42">
        <v>3.1199999999999999E-2</v>
      </c>
      <c r="F72" s="42">
        <v>38</v>
      </c>
      <c r="G72" s="42">
        <v>3.9936000000000003</v>
      </c>
      <c r="H72" s="42">
        <v>9.5152243589743595</v>
      </c>
      <c r="I72" s="42">
        <v>1</v>
      </c>
      <c r="J72" s="42">
        <v>9.765625</v>
      </c>
      <c r="K72" s="42">
        <v>0.296875</v>
      </c>
      <c r="L72" s="42">
        <v>3.1199999999999999E-2</v>
      </c>
      <c r="M72">
        <v>0.3046875</v>
      </c>
    </row>
    <row r="73" spans="3:13" x14ac:dyDescent="0.15">
      <c r="C73" s="43">
        <v>40</v>
      </c>
      <c r="D73" s="42">
        <v>40</v>
      </c>
      <c r="E73" s="42">
        <v>3.2000000000000001E-2</v>
      </c>
      <c r="F73" s="42">
        <v>39</v>
      </c>
      <c r="G73" s="42">
        <v>4.0960000000000001</v>
      </c>
      <c r="H73" s="42">
        <v>9.521484375</v>
      </c>
      <c r="I73" s="42">
        <v>1</v>
      </c>
      <c r="J73" s="42">
        <v>9.765625</v>
      </c>
      <c r="K73" s="42">
        <v>0.3046875</v>
      </c>
      <c r="L73" s="42">
        <v>3.2000000000000001E-2</v>
      </c>
      <c r="M73">
        <v>0.3125</v>
      </c>
    </row>
    <row r="74" spans="3:13" x14ac:dyDescent="0.15">
      <c r="C74" s="43">
        <v>41</v>
      </c>
      <c r="D74" s="42">
        <v>41</v>
      </c>
      <c r="E74" s="42">
        <v>3.2800000000000003E-2</v>
      </c>
      <c r="F74" s="42">
        <v>40</v>
      </c>
      <c r="G74" s="42">
        <v>4.1984000000000004</v>
      </c>
      <c r="H74" s="42">
        <v>9.5274390243902438</v>
      </c>
      <c r="I74" s="42">
        <v>1</v>
      </c>
      <c r="J74" s="42">
        <v>9.765625</v>
      </c>
      <c r="K74" s="42">
        <v>0.3125</v>
      </c>
      <c r="L74" s="42">
        <v>3.2800000000000003E-2</v>
      </c>
      <c r="M74">
        <v>0.3203125</v>
      </c>
    </row>
    <row r="75" spans="3:13" x14ac:dyDescent="0.15">
      <c r="C75" s="43">
        <v>42</v>
      </c>
      <c r="D75" s="42">
        <v>42</v>
      </c>
      <c r="E75" s="42">
        <v>3.3599999999999998E-2</v>
      </c>
      <c r="F75" s="42">
        <v>41</v>
      </c>
      <c r="G75" s="42">
        <v>4.3008000000000006</v>
      </c>
      <c r="H75" s="42">
        <v>9.5331101190476204</v>
      </c>
      <c r="I75" s="42">
        <v>1</v>
      </c>
      <c r="J75" s="42">
        <v>9.765625</v>
      </c>
      <c r="K75" s="42">
        <v>0.3203125</v>
      </c>
      <c r="L75" s="42">
        <v>3.3599999999999998E-2</v>
      </c>
      <c r="M75">
        <v>0.328125</v>
      </c>
    </row>
    <row r="76" spans="3:13" x14ac:dyDescent="0.15">
      <c r="C76" s="43">
        <v>43</v>
      </c>
      <c r="D76" s="42">
        <v>43</v>
      </c>
      <c r="E76" s="42">
        <v>3.44E-2</v>
      </c>
      <c r="F76" s="42">
        <v>42</v>
      </c>
      <c r="G76" s="42">
        <v>4.4032</v>
      </c>
      <c r="H76" s="42">
        <v>9.5385174418604652</v>
      </c>
      <c r="I76" s="42">
        <v>1</v>
      </c>
      <c r="J76" s="42">
        <v>9.765625</v>
      </c>
      <c r="K76" s="42">
        <v>0.328125</v>
      </c>
      <c r="L76" s="42">
        <v>3.44E-2</v>
      </c>
      <c r="M76">
        <v>0.3359375</v>
      </c>
    </row>
    <row r="77" spans="3:13" x14ac:dyDescent="0.15">
      <c r="C77" s="43">
        <v>44</v>
      </c>
      <c r="D77" s="42">
        <v>44</v>
      </c>
      <c r="E77" s="42">
        <v>3.5200000000000002E-2</v>
      </c>
      <c r="F77" s="42">
        <v>43</v>
      </c>
      <c r="G77" s="42">
        <v>4.5056000000000003</v>
      </c>
      <c r="H77" s="42">
        <v>9.5436789772727266</v>
      </c>
      <c r="I77" s="42">
        <v>1</v>
      </c>
      <c r="J77" s="42">
        <v>9.765625</v>
      </c>
      <c r="K77" s="42">
        <v>0.3359375</v>
      </c>
      <c r="L77" s="42">
        <v>3.5200000000000002E-2</v>
      </c>
      <c r="M77">
        <v>0.34375</v>
      </c>
    </row>
    <row r="78" spans="3:13" x14ac:dyDescent="0.15">
      <c r="C78" s="43">
        <v>45</v>
      </c>
      <c r="D78" s="42">
        <v>45</v>
      </c>
      <c r="E78" s="42">
        <v>3.5999999999999997E-2</v>
      </c>
      <c r="F78" s="42">
        <v>44</v>
      </c>
      <c r="G78" s="42">
        <v>4.6080000000000005</v>
      </c>
      <c r="H78" s="42">
        <v>9.5486111111111125</v>
      </c>
      <c r="I78" s="42">
        <v>1</v>
      </c>
      <c r="J78" s="42">
        <v>9.765625</v>
      </c>
      <c r="K78" s="42">
        <v>0.34375</v>
      </c>
      <c r="L78" s="42">
        <v>3.5999999999999997E-2</v>
      </c>
      <c r="M78">
        <v>0.3515625</v>
      </c>
    </row>
    <row r="79" spans="3:13" x14ac:dyDescent="0.15">
      <c r="C79" s="43">
        <v>46</v>
      </c>
      <c r="D79" s="42">
        <v>46</v>
      </c>
      <c r="E79" s="42">
        <v>3.6799999999999999E-2</v>
      </c>
      <c r="F79" s="42">
        <v>45</v>
      </c>
      <c r="G79" s="42">
        <v>4.7103999999999999</v>
      </c>
      <c r="H79" s="42">
        <v>9.5533288043478262</v>
      </c>
      <c r="I79" s="42">
        <v>1</v>
      </c>
      <c r="J79" s="42">
        <v>9.765625</v>
      </c>
      <c r="K79" s="42">
        <v>0.3515625</v>
      </c>
      <c r="L79" s="42">
        <v>3.6799999999999999E-2</v>
      </c>
      <c r="M79">
        <v>0.359375</v>
      </c>
    </row>
    <row r="80" spans="3:13" x14ac:dyDescent="0.15">
      <c r="C80" s="43">
        <v>47</v>
      </c>
      <c r="D80" s="42">
        <v>47</v>
      </c>
      <c r="E80" s="42">
        <v>3.7600000000000001E-2</v>
      </c>
      <c r="F80" s="42">
        <v>46</v>
      </c>
      <c r="G80" s="42">
        <v>4.8128000000000002</v>
      </c>
      <c r="H80" s="42">
        <v>9.5578457446808507</v>
      </c>
      <c r="I80" s="42">
        <v>1</v>
      </c>
      <c r="J80" s="42">
        <v>9.765625</v>
      </c>
      <c r="K80" s="42">
        <v>0.359375</v>
      </c>
      <c r="L80" s="42">
        <v>3.7600000000000001E-2</v>
      </c>
      <c r="M80">
        <v>0.3671875</v>
      </c>
    </row>
    <row r="81" spans="3:13" x14ac:dyDescent="0.15">
      <c r="C81" s="43">
        <v>48</v>
      </c>
      <c r="D81" s="42">
        <v>48</v>
      </c>
      <c r="E81" s="42">
        <v>3.8399999999999997E-2</v>
      </c>
      <c r="F81" s="42">
        <v>46</v>
      </c>
      <c r="G81" s="42">
        <v>4.9152000000000005</v>
      </c>
      <c r="H81" s="42">
        <v>9.3587239583333339</v>
      </c>
      <c r="I81" s="42">
        <v>1</v>
      </c>
      <c r="J81" s="42">
        <v>9.765625</v>
      </c>
      <c r="K81" s="42">
        <v>0.359375</v>
      </c>
      <c r="L81" s="42">
        <v>3.8399999999999997E-2</v>
      </c>
      <c r="M81">
        <v>0.375</v>
      </c>
    </row>
    <row r="82" spans="3:13" x14ac:dyDescent="0.15">
      <c r="C82" s="43">
        <v>49</v>
      </c>
      <c r="D82" s="42">
        <v>49</v>
      </c>
      <c r="E82" s="42">
        <v>3.9199999999999999E-2</v>
      </c>
      <c r="F82" s="42">
        <v>47</v>
      </c>
      <c r="G82" s="42">
        <v>5.0175999999999998</v>
      </c>
      <c r="H82" s="42">
        <v>9.3670280612244898</v>
      </c>
      <c r="I82" s="42">
        <v>1</v>
      </c>
      <c r="J82" s="42">
        <v>9.765625</v>
      </c>
      <c r="K82" s="42">
        <v>0.3671875</v>
      </c>
      <c r="L82" s="42">
        <v>3.9199999999999999E-2</v>
      </c>
      <c r="M82">
        <v>0.3828125</v>
      </c>
    </row>
    <row r="83" spans="3:13" x14ac:dyDescent="0.15">
      <c r="C83" s="43">
        <v>50</v>
      </c>
      <c r="D83" s="42">
        <v>50</v>
      </c>
      <c r="E83" s="42">
        <v>0.04</v>
      </c>
      <c r="F83" s="42">
        <v>48</v>
      </c>
      <c r="G83" s="42">
        <v>5.12</v>
      </c>
      <c r="H83" s="42">
        <v>9.375</v>
      </c>
      <c r="I83" s="42">
        <v>1</v>
      </c>
      <c r="J83" s="42">
        <v>9.765625</v>
      </c>
      <c r="K83" s="42">
        <v>0.375</v>
      </c>
      <c r="L83" s="42">
        <v>0.04</v>
      </c>
      <c r="M83">
        <v>0.390625</v>
      </c>
    </row>
    <row r="84" spans="3:13" x14ac:dyDescent="0.15">
      <c r="C84" s="43">
        <v>51</v>
      </c>
      <c r="D84" s="42">
        <v>51</v>
      </c>
      <c r="E84" s="42">
        <v>4.0800000000000003E-2</v>
      </c>
      <c r="F84" s="42">
        <v>48</v>
      </c>
      <c r="G84" s="42">
        <v>5.2224000000000004</v>
      </c>
      <c r="H84" s="42">
        <v>9.1911764705882355</v>
      </c>
      <c r="I84" s="42">
        <v>1</v>
      </c>
      <c r="J84" s="42">
        <v>9.765625</v>
      </c>
      <c r="K84" s="42">
        <v>0.375</v>
      </c>
      <c r="L84" s="42">
        <v>4.0800000000000003E-2</v>
      </c>
      <c r="M84">
        <v>0.3984375</v>
      </c>
    </row>
    <row r="85" spans="3:13" x14ac:dyDescent="0.15">
      <c r="C85" s="43">
        <v>52</v>
      </c>
      <c r="D85" s="42">
        <v>52</v>
      </c>
      <c r="E85" s="42">
        <v>4.1599999999999998E-2</v>
      </c>
      <c r="F85" s="42">
        <v>48</v>
      </c>
      <c r="G85" s="42">
        <v>5.3248000000000006</v>
      </c>
      <c r="H85" s="42">
        <v>9.0144230769230766</v>
      </c>
      <c r="I85" s="42">
        <v>1</v>
      </c>
      <c r="J85" s="42">
        <v>9.765625</v>
      </c>
      <c r="K85" s="42">
        <v>0.375</v>
      </c>
      <c r="L85" s="42">
        <v>4.1599999999999998E-2</v>
      </c>
      <c r="M85">
        <v>0.40625</v>
      </c>
    </row>
    <row r="86" spans="3:13" x14ac:dyDescent="0.15">
      <c r="C86" s="43">
        <v>53</v>
      </c>
      <c r="D86" s="42">
        <v>53</v>
      </c>
      <c r="E86" s="42">
        <v>4.24E-2</v>
      </c>
      <c r="F86" s="42">
        <v>49</v>
      </c>
      <c r="G86" s="42">
        <v>5.4272</v>
      </c>
      <c r="H86" s="42">
        <v>9.0285966981132066</v>
      </c>
      <c r="I86" s="42">
        <v>1</v>
      </c>
      <c r="J86" s="42">
        <v>9.765625</v>
      </c>
      <c r="K86" s="42">
        <v>0.3828125</v>
      </c>
      <c r="L86" s="42">
        <v>4.24E-2</v>
      </c>
      <c r="M86">
        <v>0.4140625</v>
      </c>
    </row>
    <row r="87" spans="3:13" x14ac:dyDescent="0.15">
      <c r="C87" s="43">
        <v>54</v>
      </c>
      <c r="D87" s="42">
        <v>54</v>
      </c>
      <c r="E87" s="42">
        <v>4.3200000000000002E-2</v>
      </c>
      <c r="F87" s="42">
        <v>50</v>
      </c>
      <c r="G87" s="42">
        <v>5.5296000000000003</v>
      </c>
      <c r="H87" s="42">
        <v>9.0422453703703702</v>
      </c>
      <c r="I87" s="42">
        <v>1</v>
      </c>
      <c r="J87" s="42">
        <v>9.765625</v>
      </c>
      <c r="K87" s="42">
        <v>0.390625</v>
      </c>
      <c r="L87" s="42">
        <v>4.3200000000000002E-2</v>
      </c>
      <c r="M87">
        <v>0.421875</v>
      </c>
    </row>
    <row r="88" spans="3:13" x14ac:dyDescent="0.15">
      <c r="C88" s="43">
        <v>55</v>
      </c>
      <c r="D88" s="42">
        <v>55</v>
      </c>
      <c r="E88" s="42">
        <v>4.3999999999999997E-2</v>
      </c>
      <c r="F88" s="42">
        <v>50</v>
      </c>
      <c r="G88" s="42">
        <v>5.6320000000000006</v>
      </c>
      <c r="H88" s="42">
        <v>8.8778409090909101</v>
      </c>
      <c r="I88" s="42">
        <v>1</v>
      </c>
      <c r="J88" s="42">
        <v>9.765625</v>
      </c>
      <c r="K88" s="42">
        <v>0.390625</v>
      </c>
      <c r="L88" s="42">
        <v>4.3999999999999997E-2</v>
      </c>
      <c r="M88">
        <v>0.4296875</v>
      </c>
    </row>
    <row r="89" spans="3:13" x14ac:dyDescent="0.15">
      <c r="C89" s="43">
        <v>56</v>
      </c>
      <c r="D89" s="42">
        <v>56</v>
      </c>
      <c r="E89" s="42">
        <v>4.48E-2</v>
      </c>
      <c r="F89" s="42">
        <v>51</v>
      </c>
      <c r="G89" s="42">
        <v>5.7343999999999999</v>
      </c>
      <c r="H89" s="42">
        <v>8.8936941964285712</v>
      </c>
      <c r="I89" s="42">
        <v>1</v>
      </c>
      <c r="J89" s="42">
        <v>9.765625</v>
      </c>
      <c r="K89" s="42">
        <v>0.3984375</v>
      </c>
      <c r="L89" s="42">
        <v>4.48E-2</v>
      </c>
      <c r="M89">
        <v>0.4375</v>
      </c>
    </row>
    <row r="90" spans="3:13" x14ac:dyDescent="0.15">
      <c r="C90" s="43">
        <v>57</v>
      </c>
      <c r="D90" s="42">
        <v>57</v>
      </c>
      <c r="E90" s="42">
        <v>4.5600000000000002E-2</v>
      </c>
      <c r="F90" s="42">
        <v>52</v>
      </c>
      <c r="G90" s="42">
        <v>5.8368000000000002</v>
      </c>
      <c r="H90" s="42">
        <v>8.9089912280701746</v>
      </c>
      <c r="I90" s="42">
        <v>1</v>
      </c>
      <c r="J90" s="42">
        <v>9.765625</v>
      </c>
      <c r="K90" s="42">
        <v>0.40625</v>
      </c>
      <c r="L90" s="42">
        <v>4.5600000000000002E-2</v>
      </c>
      <c r="M90">
        <v>0.4453125</v>
      </c>
    </row>
    <row r="91" spans="3:13" x14ac:dyDescent="0.15">
      <c r="C91" s="43">
        <v>58</v>
      </c>
      <c r="D91" s="42">
        <v>58</v>
      </c>
      <c r="E91" s="42">
        <v>4.6399999999999997E-2</v>
      </c>
      <c r="F91" s="42">
        <v>52</v>
      </c>
      <c r="G91" s="42">
        <v>5.9392000000000005</v>
      </c>
      <c r="H91" s="42">
        <v>8.755387931034484</v>
      </c>
      <c r="I91" s="42">
        <v>1</v>
      </c>
      <c r="J91" s="42">
        <v>9.765625</v>
      </c>
      <c r="K91" s="42">
        <v>0.40625</v>
      </c>
      <c r="L91" s="42">
        <v>4.6399999999999997E-2</v>
      </c>
      <c r="M91">
        <v>0.453125</v>
      </c>
    </row>
    <row r="92" spans="3:13" x14ac:dyDescent="0.15">
      <c r="C92" s="43">
        <v>59</v>
      </c>
      <c r="D92" s="42">
        <v>59</v>
      </c>
      <c r="E92" s="42">
        <v>4.7199999999999999E-2</v>
      </c>
      <c r="F92" s="42">
        <v>53</v>
      </c>
      <c r="G92" s="42">
        <v>6.0415999999999999</v>
      </c>
      <c r="H92" s="42">
        <v>8.7725105932203391</v>
      </c>
      <c r="I92" s="42">
        <v>1</v>
      </c>
      <c r="J92" s="42">
        <v>9.765625</v>
      </c>
      <c r="K92" s="42">
        <v>0.4140625</v>
      </c>
      <c r="L92" s="42">
        <v>4.7199999999999999E-2</v>
      </c>
      <c r="M92">
        <v>0.4609375</v>
      </c>
    </row>
    <row r="93" spans="3:13" x14ac:dyDescent="0.15">
      <c r="C93" s="43">
        <v>60</v>
      </c>
      <c r="D93" s="42">
        <v>60</v>
      </c>
      <c r="E93" s="42">
        <v>4.8000000000000001E-2</v>
      </c>
      <c r="F93" s="42">
        <v>54</v>
      </c>
      <c r="G93" s="42">
        <v>6.1440000000000001</v>
      </c>
      <c r="H93" s="42">
        <v>8.7890625</v>
      </c>
      <c r="I93" s="42">
        <v>1</v>
      </c>
      <c r="J93" s="42">
        <v>9.765625</v>
      </c>
      <c r="K93" s="42">
        <v>0.421875</v>
      </c>
      <c r="L93" s="42">
        <v>4.8000000000000001E-2</v>
      </c>
      <c r="M93">
        <v>0.46875</v>
      </c>
    </row>
    <row r="94" spans="3:13" x14ac:dyDescent="0.15">
      <c r="C94" s="43">
        <v>61</v>
      </c>
      <c r="D94" s="42">
        <v>61</v>
      </c>
      <c r="E94" s="42">
        <v>4.8800000000000003E-2</v>
      </c>
      <c r="F94" s="42">
        <v>54</v>
      </c>
      <c r="G94" s="42">
        <v>6.2464000000000004</v>
      </c>
      <c r="H94" s="42">
        <v>8.6449795081967213</v>
      </c>
      <c r="I94" s="42">
        <v>1</v>
      </c>
      <c r="J94" s="42">
        <v>9.765625</v>
      </c>
      <c r="K94" s="42">
        <v>0.421875</v>
      </c>
      <c r="L94" s="42">
        <v>4.8800000000000003E-2</v>
      </c>
      <c r="M94">
        <v>0.4765625</v>
      </c>
    </row>
    <row r="95" spans="3:13" x14ac:dyDescent="0.15">
      <c r="C95" s="43">
        <v>62</v>
      </c>
      <c r="D95" s="42">
        <v>62</v>
      </c>
      <c r="E95" s="42">
        <v>4.9599999999999998E-2</v>
      </c>
      <c r="F95" s="42">
        <v>54</v>
      </c>
      <c r="G95" s="42">
        <v>6.3488000000000007</v>
      </c>
      <c r="H95" s="42">
        <v>8.50554435483871</v>
      </c>
      <c r="I95" s="42">
        <v>1</v>
      </c>
      <c r="J95" s="42">
        <v>9.765625</v>
      </c>
      <c r="K95" s="42">
        <v>0.421875</v>
      </c>
      <c r="L95" s="42">
        <v>4.9599999999999998E-2</v>
      </c>
      <c r="M95">
        <v>0.484375</v>
      </c>
    </row>
    <row r="96" spans="3:13" x14ac:dyDescent="0.15">
      <c r="C96" s="43">
        <v>63</v>
      </c>
      <c r="D96" s="42">
        <v>63</v>
      </c>
      <c r="E96" s="42">
        <v>5.04E-2</v>
      </c>
      <c r="F96" s="42">
        <v>55</v>
      </c>
      <c r="G96" s="42">
        <v>6.4512</v>
      </c>
      <c r="H96" s="42">
        <v>8.5255456349206344</v>
      </c>
      <c r="I96" s="42">
        <v>1</v>
      </c>
      <c r="J96" s="42">
        <v>9.765625</v>
      </c>
      <c r="K96" s="42">
        <v>0.4296875</v>
      </c>
      <c r="L96" s="42">
        <v>5.04E-2</v>
      </c>
      <c r="M96">
        <v>0.4921875</v>
      </c>
    </row>
    <row r="97" spans="3:13" x14ac:dyDescent="0.15">
      <c r="C97" s="43">
        <v>64</v>
      </c>
      <c r="D97" s="42">
        <v>64</v>
      </c>
      <c r="E97" s="42">
        <v>5.1200000000000002E-2</v>
      </c>
      <c r="F97" s="42">
        <v>56</v>
      </c>
      <c r="G97" s="42">
        <v>6.5536000000000003</v>
      </c>
      <c r="H97" s="42">
        <v>8.544921875</v>
      </c>
      <c r="I97" s="42">
        <v>1</v>
      </c>
      <c r="J97" s="42">
        <v>9.765625</v>
      </c>
      <c r="K97" s="42">
        <v>0.4375</v>
      </c>
      <c r="L97" s="42">
        <v>5.1200000000000002E-2</v>
      </c>
      <c r="M97">
        <v>0.5</v>
      </c>
    </row>
    <row r="98" spans="3:13" x14ac:dyDescent="0.15">
      <c r="C98" s="43">
        <v>65</v>
      </c>
      <c r="D98" s="42">
        <v>65</v>
      </c>
      <c r="E98" s="42">
        <v>5.1999999999999998E-2</v>
      </c>
      <c r="F98" s="42">
        <v>57</v>
      </c>
      <c r="G98" s="42">
        <v>6.6560000000000006</v>
      </c>
      <c r="H98" s="42">
        <v>8.5637019230769234</v>
      </c>
      <c r="I98" s="42">
        <v>1</v>
      </c>
      <c r="J98" s="42">
        <v>9.765625</v>
      </c>
      <c r="K98" s="42">
        <v>0.4453125</v>
      </c>
      <c r="L98" s="42">
        <v>5.1999999999999998E-2</v>
      </c>
      <c r="M98">
        <v>0.5078125</v>
      </c>
    </row>
    <row r="99" spans="3:13" x14ac:dyDescent="0.15">
      <c r="C99" s="43">
        <v>66</v>
      </c>
      <c r="D99" s="42">
        <v>66</v>
      </c>
      <c r="E99" s="42">
        <v>5.28E-2</v>
      </c>
      <c r="F99" s="42">
        <v>57</v>
      </c>
      <c r="G99" s="42">
        <v>6.7584</v>
      </c>
      <c r="H99" s="42">
        <v>8.4339488636363633</v>
      </c>
      <c r="I99" s="42">
        <v>1</v>
      </c>
      <c r="J99" s="42">
        <v>9.765625</v>
      </c>
      <c r="K99" s="42">
        <v>0.4453125</v>
      </c>
      <c r="L99" s="42">
        <v>5.28E-2</v>
      </c>
      <c r="M99">
        <v>0.515625</v>
      </c>
    </row>
    <row r="100" spans="3:13" x14ac:dyDescent="0.15">
      <c r="C100" s="43">
        <v>67</v>
      </c>
      <c r="D100" s="42">
        <v>67</v>
      </c>
      <c r="E100" s="42">
        <v>5.3600000000000002E-2</v>
      </c>
      <c r="F100" s="42">
        <v>58</v>
      </c>
      <c r="G100" s="42">
        <v>6.8608000000000002</v>
      </c>
      <c r="H100" s="42">
        <v>8.4538246268656714</v>
      </c>
      <c r="I100" s="42">
        <v>1</v>
      </c>
      <c r="J100" s="42">
        <v>9.765625</v>
      </c>
      <c r="K100" s="42">
        <v>0.453125</v>
      </c>
      <c r="L100" s="42">
        <v>5.3600000000000002E-2</v>
      </c>
      <c r="M100">
        <v>0.5234375</v>
      </c>
    </row>
    <row r="101" spans="3:13" x14ac:dyDescent="0.15">
      <c r="C101" s="43">
        <v>68</v>
      </c>
      <c r="D101" s="42">
        <v>68</v>
      </c>
      <c r="E101" s="42">
        <v>5.4399999999999997E-2</v>
      </c>
      <c r="F101" s="42">
        <v>59</v>
      </c>
      <c r="G101" s="42">
        <v>6.9632000000000005</v>
      </c>
      <c r="H101" s="42">
        <v>8.4731158088235308</v>
      </c>
      <c r="I101" s="42">
        <v>1</v>
      </c>
      <c r="J101" s="42">
        <v>9.765625</v>
      </c>
      <c r="K101" s="42">
        <v>0.4609375</v>
      </c>
      <c r="L101" s="42">
        <v>5.4399999999999997E-2</v>
      </c>
      <c r="M101">
        <v>0.53125</v>
      </c>
    </row>
    <row r="102" spans="3:13" x14ac:dyDescent="0.15">
      <c r="C102" s="43">
        <v>69</v>
      </c>
      <c r="D102" s="42">
        <v>69</v>
      </c>
      <c r="E102" s="42">
        <v>5.5199999999999999E-2</v>
      </c>
      <c r="F102" s="42">
        <v>60</v>
      </c>
      <c r="G102" s="42">
        <v>7.0656000000000008</v>
      </c>
      <c r="H102" s="42">
        <v>8.491847826086957</v>
      </c>
      <c r="I102" s="42">
        <v>1</v>
      </c>
      <c r="J102" s="42">
        <v>9.765625</v>
      </c>
      <c r="K102" s="42">
        <v>0.46875</v>
      </c>
      <c r="L102" s="42">
        <v>5.5199999999999999E-2</v>
      </c>
      <c r="M102">
        <v>0.5390625</v>
      </c>
    </row>
    <row r="103" spans="3:13" x14ac:dyDescent="0.15">
      <c r="C103" s="43">
        <v>70</v>
      </c>
      <c r="D103" s="42">
        <v>70</v>
      </c>
      <c r="E103" s="42">
        <v>5.6000000000000001E-2</v>
      </c>
      <c r="F103" s="42">
        <v>61</v>
      </c>
      <c r="G103" s="42">
        <v>7.1680000000000001</v>
      </c>
      <c r="H103" s="42">
        <v>8.5100446428571423</v>
      </c>
      <c r="I103" s="42">
        <v>1</v>
      </c>
      <c r="J103" s="42">
        <v>9.765625</v>
      </c>
      <c r="K103" s="42">
        <v>0.4765625</v>
      </c>
      <c r="L103" s="42">
        <v>5.6000000000000001E-2</v>
      </c>
      <c r="M103">
        <v>0.546875</v>
      </c>
    </row>
    <row r="104" spans="3:13" x14ac:dyDescent="0.15">
      <c r="C104" s="43">
        <v>71</v>
      </c>
      <c r="D104" s="42">
        <v>71</v>
      </c>
      <c r="E104" s="42">
        <v>5.6800000000000003E-2</v>
      </c>
      <c r="F104" s="42">
        <v>62</v>
      </c>
      <c r="G104" s="42">
        <v>7.2704000000000004</v>
      </c>
      <c r="H104" s="42">
        <v>8.5277288732394361</v>
      </c>
      <c r="I104" s="42">
        <v>1</v>
      </c>
      <c r="J104" s="42">
        <v>9.765625</v>
      </c>
      <c r="K104" s="42">
        <v>0.484375</v>
      </c>
      <c r="L104" s="42">
        <v>5.6800000000000003E-2</v>
      </c>
      <c r="M104">
        <v>0.5546875</v>
      </c>
    </row>
    <row r="105" spans="3:13" x14ac:dyDescent="0.15">
      <c r="C105" s="43">
        <v>72</v>
      </c>
      <c r="D105" s="42">
        <v>72</v>
      </c>
      <c r="E105" s="42">
        <v>5.7599999999999998E-2</v>
      </c>
      <c r="F105" s="42">
        <v>63</v>
      </c>
      <c r="G105" s="42">
        <v>7.3728000000000007</v>
      </c>
      <c r="H105" s="42">
        <v>8.544921875</v>
      </c>
      <c r="I105" s="42">
        <v>1</v>
      </c>
      <c r="J105" s="42">
        <v>9.765625</v>
      </c>
      <c r="K105" s="42">
        <v>0.4921875</v>
      </c>
      <c r="L105" s="42">
        <v>5.7599999999999998E-2</v>
      </c>
      <c r="M105">
        <v>0.5625</v>
      </c>
    </row>
    <row r="106" spans="3:13" x14ac:dyDescent="0.15">
      <c r="C106" s="43">
        <v>73</v>
      </c>
      <c r="D106" s="42">
        <v>73</v>
      </c>
      <c r="E106" s="42">
        <v>5.8400000000000001E-2</v>
      </c>
      <c r="F106" s="42">
        <v>63</v>
      </c>
      <c r="G106" s="42">
        <v>7.4752000000000001</v>
      </c>
      <c r="H106" s="42">
        <v>8.4278681506849313</v>
      </c>
      <c r="I106" s="42">
        <v>1</v>
      </c>
      <c r="J106" s="42">
        <v>9.765625</v>
      </c>
      <c r="K106" s="42">
        <v>0.4921875</v>
      </c>
      <c r="L106" s="42">
        <v>5.8400000000000001E-2</v>
      </c>
      <c r="M106">
        <v>0.5703125</v>
      </c>
    </row>
    <row r="107" spans="3:13" x14ac:dyDescent="0.15">
      <c r="C107" s="43">
        <v>74</v>
      </c>
      <c r="D107" s="42">
        <v>74</v>
      </c>
      <c r="E107" s="42">
        <v>5.9200000000000003E-2</v>
      </c>
      <c r="F107" s="42">
        <v>64</v>
      </c>
      <c r="G107" s="42">
        <v>7.5776000000000003</v>
      </c>
      <c r="H107" s="42">
        <v>8.4459459459459456</v>
      </c>
      <c r="I107" s="42">
        <v>1</v>
      </c>
      <c r="J107" s="42">
        <v>9.765625</v>
      </c>
      <c r="K107" s="42">
        <v>0.5</v>
      </c>
      <c r="L107" s="42">
        <v>5.9200000000000003E-2</v>
      </c>
      <c r="M107">
        <v>0.578125</v>
      </c>
    </row>
    <row r="108" spans="3:13" x14ac:dyDescent="0.15">
      <c r="C108" s="43">
        <v>75</v>
      </c>
      <c r="D108" s="42">
        <v>75</v>
      </c>
      <c r="E108" s="42">
        <v>0.06</v>
      </c>
      <c r="F108" s="42">
        <v>64</v>
      </c>
      <c r="G108" s="42">
        <v>7.6800000000000006</v>
      </c>
      <c r="H108" s="42">
        <v>8.3333333333333339</v>
      </c>
      <c r="I108" s="42">
        <v>1</v>
      </c>
      <c r="J108" s="42">
        <v>9.765625</v>
      </c>
      <c r="K108" s="42">
        <v>0.5</v>
      </c>
      <c r="L108" s="42">
        <v>0.06</v>
      </c>
      <c r="M108">
        <v>0.5859375</v>
      </c>
    </row>
    <row r="109" spans="3:13" x14ac:dyDescent="0.15">
      <c r="C109" s="43">
        <v>76</v>
      </c>
      <c r="D109" s="42">
        <v>76</v>
      </c>
      <c r="E109" s="42">
        <v>6.08E-2</v>
      </c>
      <c r="F109" s="42">
        <v>65</v>
      </c>
      <c r="G109" s="42">
        <v>7.7824</v>
      </c>
      <c r="H109" s="42">
        <v>8.3521792763157894</v>
      </c>
      <c r="I109" s="42">
        <v>1</v>
      </c>
      <c r="J109" s="42">
        <v>9.765625</v>
      </c>
      <c r="K109" s="42">
        <v>0.5078125</v>
      </c>
      <c r="L109" s="42">
        <v>6.08E-2</v>
      </c>
      <c r="M109">
        <v>0.59375</v>
      </c>
    </row>
    <row r="110" spans="3:13" x14ac:dyDescent="0.15">
      <c r="C110" s="43">
        <v>77</v>
      </c>
      <c r="D110" s="42">
        <v>77</v>
      </c>
      <c r="E110" s="42">
        <v>6.1600000000000002E-2</v>
      </c>
      <c r="F110" s="42">
        <v>66</v>
      </c>
      <c r="G110" s="42">
        <v>7.8848000000000003</v>
      </c>
      <c r="H110" s="42">
        <v>8.3705357142857135</v>
      </c>
      <c r="I110" s="42">
        <v>1</v>
      </c>
      <c r="J110" s="42">
        <v>9.765625</v>
      </c>
      <c r="K110" s="42">
        <v>0.515625</v>
      </c>
      <c r="L110" s="42">
        <v>6.1600000000000002E-2</v>
      </c>
      <c r="M110">
        <v>0.6015625</v>
      </c>
    </row>
    <row r="111" spans="3:13" x14ac:dyDescent="0.15">
      <c r="C111" s="43">
        <v>78</v>
      </c>
      <c r="D111" s="42">
        <v>78</v>
      </c>
      <c r="E111" s="42">
        <v>6.2399999999999997E-2</v>
      </c>
      <c r="F111" s="42">
        <v>66</v>
      </c>
      <c r="G111" s="42">
        <v>7.9872000000000005</v>
      </c>
      <c r="H111" s="42">
        <v>8.2632211538461551</v>
      </c>
      <c r="I111" s="42">
        <v>1</v>
      </c>
      <c r="J111" s="42">
        <v>9.765625</v>
      </c>
      <c r="K111" s="42">
        <v>0.515625</v>
      </c>
      <c r="L111" s="42">
        <v>6.2399999999999997E-2</v>
      </c>
      <c r="M111">
        <v>0.609375</v>
      </c>
    </row>
    <row r="112" spans="3:13" x14ac:dyDescent="0.15">
      <c r="C112" s="43">
        <v>79</v>
      </c>
      <c r="D112" s="42">
        <v>79</v>
      </c>
      <c r="E112" s="42">
        <v>6.3200000000000006E-2</v>
      </c>
      <c r="F112" s="42">
        <v>66</v>
      </c>
      <c r="G112" s="42">
        <v>8.0896000000000008</v>
      </c>
      <c r="H112" s="42">
        <v>8.1586234177215182</v>
      </c>
      <c r="I112" s="42">
        <v>1</v>
      </c>
      <c r="J112" s="42">
        <v>9.7656249999999982</v>
      </c>
      <c r="K112" s="42">
        <v>0.515625</v>
      </c>
      <c r="L112" s="42">
        <v>6.3200000000000006E-2</v>
      </c>
      <c r="M112">
        <v>0.6171875</v>
      </c>
    </row>
    <row r="113" spans="3:13" x14ac:dyDescent="0.15">
      <c r="C113" s="43">
        <v>80</v>
      </c>
      <c r="D113" s="42">
        <v>80</v>
      </c>
      <c r="E113" s="42">
        <v>6.4000000000000001E-2</v>
      </c>
      <c r="F113" s="42">
        <v>66</v>
      </c>
      <c r="G113" s="42">
        <v>8.1920000000000002</v>
      </c>
      <c r="H113" s="42">
        <v>8.056640625</v>
      </c>
      <c r="I113" s="42">
        <v>1</v>
      </c>
      <c r="J113" s="42">
        <v>9.765625</v>
      </c>
      <c r="K113" s="42">
        <v>0.515625</v>
      </c>
      <c r="L113" s="42">
        <v>6.4000000000000001E-2</v>
      </c>
      <c r="M113">
        <v>0.625</v>
      </c>
    </row>
    <row r="114" spans="3:13" x14ac:dyDescent="0.15">
      <c r="C114" s="43">
        <v>81</v>
      </c>
      <c r="D114" s="42">
        <v>81</v>
      </c>
      <c r="E114" s="42">
        <v>6.4799999999999996E-2</v>
      </c>
      <c r="F114" s="42">
        <v>66</v>
      </c>
      <c r="G114" s="42">
        <v>8.2943999999999996</v>
      </c>
      <c r="H114" s="42">
        <v>7.9571759259259265</v>
      </c>
      <c r="I114" s="42">
        <v>1</v>
      </c>
      <c r="J114" s="42">
        <v>9.765625</v>
      </c>
      <c r="K114" s="42">
        <v>0.515625</v>
      </c>
      <c r="L114" s="42">
        <v>6.4799999999999996E-2</v>
      </c>
      <c r="M114">
        <v>0.6328125</v>
      </c>
    </row>
    <row r="115" spans="3:13" x14ac:dyDescent="0.15">
      <c r="C115" s="43">
        <v>82</v>
      </c>
      <c r="D115" s="42">
        <v>82</v>
      </c>
      <c r="E115" s="42">
        <v>6.5600000000000006E-2</v>
      </c>
      <c r="F115" s="42">
        <v>66</v>
      </c>
      <c r="G115" s="42">
        <v>8.3968000000000007</v>
      </c>
      <c r="H115" s="42">
        <v>7.8601371951219505</v>
      </c>
      <c r="I115" s="42">
        <v>1</v>
      </c>
      <c r="J115" s="42">
        <v>9.765625</v>
      </c>
      <c r="K115" s="42">
        <v>0.515625</v>
      </c>
      <c r="L115" s="42">
        <v>6.5600000000000006E-2</v>
      </c>
      <c r="M115">
        <v>0.640625</v>
      </c>
    </row>
    <row r="116" spans="3:13" x14ac:dyDescent="0.15">
      <c r="C116" s="43">
        <v>83</v>
      </c>
      <c r="D116" s="42">
        <v>83</v>
      </c>
      <c r="E116" s="42">
        <v>6.6400000000000001E-2</v>
      </c>
      <c r="F116" s="42">
        <v>67</v>
      </c>
      <c r="G116" s="42">
        <v>8.4992000000000001</v>
      </c>
      <c r="H116" s="42">
        <v>7.8830948795180724</v>
      </c>
      <c r="I116" s="42">
        <v>1</v>
      </c>
      <c r="J116" s="42">
        <v>9.765625</v>
      </c>
      <c r="K116" s="42">
        <v>0.5234375</v>
      </c>
      <c r="L116" s="42">
        <v>6.6400000000000001E-2</v>
      </c>
      <c r="M116">
        <v>0.6484375</v>
      </c>
    </row>
    <row r="117" spans="3:13" x14ac:dyDescent="0.15">
      <c r="C117" s="43">
        <v>84</v>
      </c>
      <c r="D117" s="42">
        <v>84</v>
      </c>
      <c r="E117" s="42">
        <v>6.7199999999999996E-2</v>
      </c>
      <c r="F117" s="42">
        <v>67</v>
      </c>
      <c r="G117" s="42">
        <v>8.6016000000000012</v>
      </c>
      <c r="H117" s="42">
        <v>7.7892485119047628</v>
      </c>
      <c r="I117" s="42">
        <v>1</v>
      </c>
      <c r="J117" s="42">
        <v>9.765625</v>
      </c>
      <c r="K117" s="42">
        <v>0.5234375</v>
      </c>
      <c r="L117" s="42">
        <v>6.7199999999999996E-2</v>
      </c>
      <c r="M117">
        <v>0.65625</v>
      </c>
    </row>
    <row r="118" spans="3:13" x14ac:dyDescent="0.15">
      <c r="C118" s="43">
        <v>85</v>
      </c>
      <c r="D118" s="42">
        <v>85</v>
      </c>
      <c r="E118" s="42">
        <v>6.8000000000000005E-2</v>
      </c>
      <c r="F118" s="42">
        <v>68</v>
      </c>
      <c r="G118" s="42">
        <v>8.7040000000000006</v>
      </c>
      <c r="H118" s="42">
        <v>7.8124999999999991</v>
      </c>
      <c r="I118" s="42">
        <v>1</v>
      </c>
      <c r="J118" s="42">
        <v>9.765625</v>
      </c>
      <c r="K118" s="42">
        <v>0.53125</v>
      </c>
      <c r="L118" s="42">
        <v>6.8000000000000005E-2</v>
      </c>
      <c r="M118">
        <v>0.6640625</v>
      </c>
    </row>
    <row r="119" spans="3:13" x14ac:dyDescent="0.15">
      <c r="C119" s="43">
        <v>86</v>
      </c>
      <c r="D119" s="42">
        <v>86</v>
      </c>
      <c r="E119" s="42">
        <v>6.88E-2</v>
      </c>
      <c r="F119" s="42">
        <v>69</v>
      </c>
      <c r="G119" s="42">
        <v>8.8064</v>
      </c>
      <c r="H119" s="42">
        <v>7.8352107558139537</v>
      </c>
      <c r="I119" s="42">
        <v>1</v>
      </c>
      <c r="J119" s="42">
        <v>9.765625</v>
      </c>
      <c r="K119" s="42">
        <v>0.5390625</v>
      </c>
      <c r="L119" s="42">
        <v>6.88E-2</v>
      </c>
      <c r="M119">
        <v>0.671875</v>
      </c>
    </row>
    <row r="120" spans="3:13" x14ac:dyDescent="0.15">
      <c r="C120" s="43">
        <v>87</v>
      </c>
      <c r="D120" s="42">
        <v>87</v>
      </c>
      <c r="E120" s="42">
        <v>6.9599999999999995E-2</v>
      </c>
      <c r="F120" s="42">
        <v>69</v>
      </c>
      <c r="G120" s="42">
        <v>8.9088000000000012</v>
      </c>
      <c r="H120" s="42">
        <v>7.7451508620689662</v>
      </c>
      <c r="I120" s="42">
        <v>1</v>
      </c>
      <c r="J120" s="42">
        <v>9.765625</v>
      </c>
      <c r="K120" s="42">
        <v>0.5390625</v>
      </c>
      <c r="L120" s="42">
        <v>6.9599999999999995E-2</v>
      </c>
      <c r="M120">
        <v>0.6796875</v>
      </c>
    </row>
    <row r="121" spans="3:13" x14ac:dyDescent="0.15">
      <c r="C121" s="43">
        <v>88</v>
      </c>
      <c r="D121" s="42">
        <v>88</v>
      </c>
      <c r="E121" s="42">
        <v>7.0400000000000004E-2</v>
      </c>
      <c r="F121" s="42">
        <v>70</v>
      </c>
      <c r="G121" s="42">
        <v>9.0112000000000005</v>
      </c>
      <c r="H121" s="42">
        <v>7.768110795454545</v>
      </c>
      <c r="I121" s="42">
        <v>1</v>
      </c>
      <c r="J121" s="42">
        <v>9.765625</v>
      </c>
      <c r="K121" s="42">
        <v>0.546875</v>
      </c>
      <c r="L121" s="42">
        <v>7.0400000000000004E-2</v>
      </c>
      <c r="M121">
        <v>0.6875</v>
      </c>
    </row>
    <row r="122" spans="3:13" x14ac:dyDescent="0.15">
      <c r="C122" s="43">
        <v>89</v>
      </c>
      <c r="D122" s="42">
        <v>89</v>
      </c>
      <c r="E122" s="42">
        <v>7.1199999999999999E-2</v>
      </c>
      <c r="F122" s="42">
        <v>70</v>
      </c>
      <c r="G122" s="42">
        <v>9.1135999999999999</v>
      </c>
      <c r="H122" s="42">
        <v>7.6808286516853936</v>
      </c>
      <c r="I122" s="42">
        <v>1</v>
      </c>
      <c r="J122" s="42">
        <v>9.765625</v>
      </c>
      <c r="K122" s="42">
        <v>0.546875</v>
      </c>
      <c r="L122" s="42">
        <v>7.1199999999999999E-2</v>
      </c>
      <c r="M122">
        <v>0.6953125</v>
      </c>
    </row>
    <row r="123" spans="3:13" x14ac:dyDescent="0.15">
      <c r="C123" s="43">
        <v>90</v>
      </c>
      <c r="D123" s="42">
        <v>90</v>
      </c>
      <c r="E123" s="42">
        <v>7.1999999999999995E-2</v>
      </c>
      <c r="F123" s="42">
        <v>71</v>
      </c>
      <c r="G123" s="42">
        <v>9.2160000000000011</v>
      </c>
      <c r="H123" s="42">
        <v>7.7039930555555562</v>
      </c>
      <c r="I123" s="42">
        <v>1</v>
      </c>
      <c r="J123" s="42">
        <v>9.765625</v>
      </c>
      <c r="K123" s="42">
        <v>0.5546875</v>
      </c>
      <c r="L123" s="42">
        <v>7.1999999999999995E-2</v>
      </c>
      <c r="M123">
        <v>0.703125</v>
      </c>
    </row>
    <row r="124" spans="3:13" x14ac:dyDescent="0.15">
      <c r="C124" s="43">
        <v>91</v>
      </c>
      <c r="D124" s="42">
        <v>91</v>
      </c>
      <c r="E124" s="42">
        <v>7.2800000000000004E-2</v>
      </c>
      <c r="F124" s="42">
        <v>72</v>
      </c>
      <c r="G124" s="42">
        <v>9.3184000000000005</v>
      </c>
      <c r="H124" s="42">
        <v>7.7266483516483513</v>
      </c>
      <c r="I124" s="42">
        <v>1</v>
      </c>
      <c r="J124" s="42">
        <v>9.765625</v>
      </c>
      <c r="K124" s="42">
        <v>0.5625</v>
      </c>
      <c r="L124" s="42">
        <v>7.2800000000000004E-2</v>
      </c>
      <c r="M124">
        <v>0.7109375</v>
      </c>
    </row>
    <row r="125" spans="3:13" x14ac:dyDescent="0.15">
      <c r="C125" s="43">
        <v>92</v>
      </c>
      <c r="D125" s="42">
        <v>92</v>
      </c>
      <c r="E125" s="42">
        <v>7.3599999999999999E-2</v>
      </c>
      <c r="F125" s="42">
        <v>72</v>
      </c>
      <c r="G125" s="42">
        <v>9.4207999999999998</v>
      </c>
      <c r="H125" s="42">
        <v>7.6426630434782608</v>
      </c>
      <c r="I125" s="42">
        <v>1</v>
      </c>
      <c r="J125" s="42">
        <v>9.765625</v>
      </c>
      <c r="K125" s="42">
        <v>0.5625</v>
      </c>
      <c r="L125" s="42">
        <v>7.3599999999999999E-2</v>
      </c>
      <c r="M125">
        <v>0.71875</v>
      </c>
    </row>
    <row r="126" spans="3:13" x14ac:dyDescent="0.15">
      <c r="C126" s="43">
        <v>93</v>
      </c>
      <c r="D126" s="42">
        <v>93</v>
      </c>
      <c r="E126" s="42">
        <v>7.4399999999999994E-2</v>
      </c>
      <c r="F126" s="42">
        <v>72</v>
      </c>
      <c r="G126" s="42">
        <v>9.523200000000001</v>
      </c>
      <c r="H126" s="42">
        <v>7.5604838709677429</v>
      </c>
      <c r="I126" s="42">
        <v>1</v>
      </c>
      <c r="J126" s="42">
        <v>9.765625</v>
      </c>
      <c r="K126" s="42">
        <v>0.5625</v>
      </c>
      <c r="L126" s="42">
        <v>7.4399999999999994E-2</v>
      </c>
      <c r="M126">
        <v>0.7265625</v>
      </c>
    </row>
    <row r="127" spans="3:13" x14ac:dyDescent="0.15">
      <c r="C127" s="43">
        <v>94</v>
      </c>
      <c r="D127" s="42">
        <v>94</v>
      </c>
      <c r="E127" s="42">
        <v>7.5200000000000003E-2</v>
      </c>
      <c r="F127" s="42">
        <v>73</v>
      </c>
      <c r="G127" s="42">
        <v>9.6256000000000004</v>
      </c>
      <c r="H127" s="42">
        <v>7.5839428191489358</v>
      </c>
      <c r="I127" s="42">
        <v>1</v>
      </c>
      <c r="J127" s="42">
        <v>9.765625</v>
      </c>
      <c r="K127" s="42">
        <v>0.5703125</v>
      </c>
      <c r="L127" s="42">
        <v>7.5200000000000003E-2</v>
      </c>
      <c r="M127">
        <v>0.734375</v>
      </c>
    </row>
    <row r="128" spans="3:13" x14ac:dyDescent="0.15">
      <c r="C128" s="43">
        <v>95</v>
      </c>
      <c r="D128" s="42">
        <v>95</v>
      </c>
      <c r="E128" s="42">
        <v>7.5999999999999998E-2</v>
      </c>
      <c r="F128" s="42">
        <v>73</v>
      </c>
      <c r="G128" s="42">
        <v>9.7279999999999998</v>
      </c>
      <c r="H128" s="42">
        <v>7.5041118421052637</v>
      </c>
      <c r="I128" s="42">
        <v>1</v>
      </c>
      <c r="J128" s="42">
        <v>9.765625</v>
      </c>
      <c r="K128" s="42">
        <v>0.5703125</v>
      </c>
      <c r="L128" s="42">
        <v>7.5999999999999998E-2</v>
      </c>
      <c r="M128">
        <v>0.7421875</v>
      </c>
    </row>
    <row r="129" spans="3:13" x14ac:dyDescent="0.15">
      <c r="C129" s="43">
        <v>96</v>
      </c>
      <c r="D129" s="42">
        <v>96</v>
      </c>
      <c r="E129" s="42">
        <v>7.6799999999999993E-2</v>
      </c>
      <c r="F129" s="42">
        <v>74</v>
      </c>
      <c r="G129" s="42">
        <v>9.8304000000000009</v>
      </c>
      <c r="H129" s="42">
        <v>7.5276692708333339</v>
      </c>
      <c r="I129" s="42">
        <v>1</v>
      </c>
      <c r="J129" s="42">
        <v>9.765625</v>
      </c>
      <c r="K129" s="42">
        <v>0.578125</v>
      </c>
      <c r="L129" s="42">
        <v>7.6799999999999993E-2</v>
      </c>
      <c r="M129">
        <v>0.75</v>
      </c>
    </row>
    <row r="130" spans="3:13" x14ac:dyDescent="0.15">
      <c r="C130" s="43">
        <v>97</v>
      </c>
      <c r="D130" s="42">
        <v>97</v>
      </c>
      <c r="E130" s="42">
        <v>7.7600000000000002E-2</v>
      </c>
      <c r="F130" s="42">
        <v>74</v>
      </c>
      <c r="G130" s="42">
        <v>9.9328000000000003</v>
      </c>
      <c r="H130" s="42">
        <v>7.4500644329896906</v>
      </c>
      <c r="I130" s="42">
        <v>1</v>
      </c>
      <c r="J130" s="42">
        <v>9.765625</v>
      </c>
      <c r="K130" s="42">
        <v>0.578125</v>
      </c>
      <c r="L130" s="42">
        <v>7.7600000000000002E-2</v>
      </c>
      <c r="M130">
        <v>0.7578125</v>
      </c>
    </row>
    <row r="131" spans="3:13" x14ac:dyDescent="0.15">
      <c r="C131" s="43">
        <v>98</v>
      </c>
      <c r="D131" s="42">
        <v>98</v>
      </c>
      <c r="E131" s="42">
        <v>7.8399999999999997E-2</v>
      </c>
      <c r="F131" s="42">
        <v>75</v>
      </c>
      <c r="G131" s="42">
        <v>10.0352</v>
      </c>
      <c r="H131" s="42">
        <v>7.473692602040817</v>
      </c>
      <c r="I131" s="42">
        <v>1</v>
      </c>
      <c r="J131" s="42">
        <v>9.765625</v>
      </c>
      <c r="K131" s="42">
        <v>0.5859375</v>
      </c>
      <c r="L131" s="42">
        <v>7.8399999999999997E-2</v>
      </c>
      <c r="M131">
        <v>0.765625</v>
      </c>
    </row>
    <row r="132" spans="3:13" x14ac:dyDescent="0.15">
      <c r="C132" s="43">
        <v>99</v>
      </c>
      <c r="D132" s="42">
        <v>99</v>
      </c>
      <c r="E132" s="42">
        <v>7.9200000000000007E-2</v>
      </c>
      <c r="F132" s="42">
        <v>75</v>
      </c>
      <c r="G132" s="42">
        <v>10.137600000000001</v>
      </c>
      <c r="H132" s="42">
        <v>7.3982007575757569</v>
      </c>
      <c r="I132" s="42">
        <v>1</v>
      </c>
      <c r="J132" s="42">
        <v>9.765625</v>
      </c>
      <c r="K132" s="42">
        <v>0.5859375</v>
      </c>
      <c r="L132" s="42">
        <v>7.9200000000000007E-2</v>
      </c>
      <c r="M132">
        <v>0.7734375</v>
      </c>
    </row>
    <row r="133" spans="3:13" x14ac:dyDescent="0.15">
      <c r="C133" s="43">
        <v>100</v>
      </c>
      <c r="D133" s="42">
        <v>100</v>
      </c>
      <c r="E133" s="42">
        <v>0.08</v>
      </c>
      <c r="F133" s="42">
        <v>75</v>
      </c>
      <c r="G133" s="42">
        <v>10.24</v>
      </c>
      <c r="H133" s="42">
        <v>7.32421875</v>
      </c>
      <c r="I133" s="42">
        <v>1</v>
      </c>
      <c r="J133" s="42">
        <v>9.765625</v>
      </c>
      <c r="K133" s="42">
        <v>0.5859375</v>
      </c>
      <c r="L133" s="42">
        <v>0.08</v>
      </c>
      <c r="M133">
        <v>0.78125</v>
      </c>
    </row>
    <row r="134" spans="3:13" x14ac:dyDescent="0.15">
      <c r="C134" s="43">
        <v>101</v>
      </c>
      <c r="D134" s="42">
        <v>101</v>
      </c>
      <c r="E134" s="42">
        <v>8.0799999999999997E-2</v>
      </c>
      <c r="F134" s="42">
        <v>75</v>
      </c>
      <c r="G134" s="42">
        <v>10.342400000000001</v>
      </c>
      <c r="H134" s="42">
        <v>7.2517017326732676</v>
      </c>
      <c r="I134" s="42">
        <v>1</v>
      </c>
      <c r="J134" s="42">
        <v>9.765625</v>
      </c>
      <c r="K134" s="42">
        <v>0.5859375</v>
      </c>
      <c r="L134" s="42">
        <v>8.0799999999999997E-2</v>
      </c>
      <c r="M134">
        <v>0.7890625</v>
      </c>
    </row>
    <row r="135" spans="3:13" x14ac:dyDescent="0.15">
      <c r="C135" s="43">
        <v>102</v>
      </c>
      <c r="D135" s="42">
        <v>102</v>
      </c>
      <c r="E135" s="42">
        <v>8.1600000000000006E-2</v>
      </c>
      <c r="F135" s="42">
        <v>75</v>
      </c>
      <c r="G135" s="42">
        <v>10.444800000000001</v>
      </c>
      <c r="H135" s="42">
        <v>7.180606617647058</v>
      </c>
      <c r="I135" s="42">
        <v>1</v>
      </c>
      <c r="J135" s="42">
        <v>9.765625</v>
      </c>
      <c r="K135" s="42">
        <v>0.5859375</v>
      </c>
      <c r="L135" s="42">
        <v>8.1600000000000006E-2</v>
      </c>
      <c r="M135">
        <v>0.796875</v>
      </c>
    </row>
    <row r="136" spans="3:13" x14ac:dyDescent="0.15">
      <c r="C136" s="43">
        <v>103</v>
      </c>
      <c r="D136" s="42">
        <v>103</v>
      </c>
      <c r="E136" s="42">
        <v>8.2400000000000001E-2</v>
      </c>
      <c r="F136" s="42">
        <v>75</v>
      </c>
      <c r="G136" s="42">
        <v>10.5472</v>
      </c>
      <c r="H136" s="42">
        <v>7.110891990291262</v>
      </c>
      <c r="I136" s="42">
        <v>1</v>
      </c>
      <c r="J136" s="42">
        <v>9.765625</v>
      </c>
      <c r="K136" s="42">
        <v>0.5859375</v>
      </c>
      <c r="L136" s="42">
        <v>8.2400000000000001E-2</v>
      </c>
      <c r="M136">
        <v>0.8046875</v>
      </c>
    </row>
    <row r="137" spans="3:13" x14ac:dyDescent="0.15">
      <c r="C137" s="43">
        <v>104</v>
      </c>
      <c r="D137" s="42">
        <v>104</v>
      </c>
      <c r="E137" s="42">
        <v>8.3199999999999996E-2</v>
      </c>
      <c r="F137" s="42">
        <v>76</v>
      </c>
      <c r="G137" s="42">
        <v>10.649600000000001</v>
      </c>
      <c r="H137" s="42">
        <v>7.1364182692307692</v>
      </c>
      <c r="I137" s="42">
        <v>1</v>
      </c>
      <c r="J137" s="42">
        <v>9.765625</v>
      </c>
      <c r="K137" s="42">
        <v>0.59375</v>
      </c>
      <c r="L137" s="42">
        <v>8.3199999999999996E-2</v>
      </c>
      <c r="M137">
        <v>0.8125</v>
      </c>
    </row>
    <row r="138" spans="3:13" x14ac:dyDescent="0.15">
      <c r="C138" s="43">
        <v>105</v>
      </c>
      <c r="D138" s="42">
        <v>105</v>
      </c>
      <c r="E138" s="42">
        <v>8.4000000000000005E-2</v>
      </c>
      <c r="F138" s="42">
        <v>76</v>
      </c>
      <c r="G138" s="42">
        <v>10.752000000000001</v>
      </c>
      <c r="H138" s="42">
        <v>7.0684523809523805</v>
      </c>
      <c r="I138" s="42">
        <v>1</v>
      </c>
      <c r="J138" s="42">
        <v>9.765625</v>
      </c>
      <c r="K138" s="42">
        <v>0.59375</v>
      </c>
      <c r="L138" s="42">
        <v>8.4000000000000005E-2</v>
      </c>
      <c r="M138">
        <v>0.8203125</v>
      </c>
    </row>
    <row r="139" spans="3:13" x14ac:dyDescent="0.15">
      <c r="C139" s="43">
        <v>106</v>
      </c>
      <c r="D139" s="42">
        <v>106</v>
      </c>
      <c r="E139" s="42">
        <v>8.48E-2</v>
      </c>
      <c r="F139" s="42">
        <v>76</v>
      </c>
      <c r="G139" s="42">
        <v>10.8544</v>
      </c>
      <c r="H139" s="42">
        <v>7.001768867924528</v>
      </c>
      <c r="I139" s="42">
        <v>1</v>
      </c>
      <c r="J139" s="42">
        <v>9.765625</v>
      </c>
      <c r="K139" s="42">
        <v>0.59375</v>
      </c>
      <c r="L139" s="42">
        <v>8.48E-2</v>
      </c>
      <c r="M139">
        <v>0.828125</v>
      </c>
    </row>
    <row r="140" spans="3:13" x14ac:dyDescent="0.15">
      <c r="C140" s="43">
        <v>107</v>
      </c>
      <c r="D140" s="42">
        <v>107</v>
      </c>
      <c r="E140" s="42">
        <v>8.5599999999999996E-2</v>
      </c>
      <c r="F140" s="42">
        <v>76</v>
      </c>
      <c r="G140" s="42">
        <v>10.956800000000001</v>
      </c>
      <c r="H140" s="42">
        <v>6.9363317757009346</v>
      </c>
      <c r="I140" s="42">
        <v>1</v>
      </c>
      <c r="J140" s="42">
        <v>9.765625</v>
      </c>
      <c r="K140" s="42">
        <v>0.59375</v>
      </c>
      <c r="L140" s="42">
        <v>8.5599999999999996E-2</v>
      </c>
      <c r="M140">
        <v>0.8359375</v>
      </c>
    </row>
    <row r="141" spans="3:13" x14ac:dyDescent="0.15">
      <c r="C141" s="43">
        <v>108</v>
      </c>
      <c r="D141" s="42">
        <v>108</v>
      </c>
      <c r="E141" s="42">
        <v>8.6400000000000005E-2</v>
      </c>
      <c r="F141" s="42">
        <v>76</v>
      </c>
      <c r="G141" s="42">
        <v>11.059200000000001</v>
      </c>
      <c r="H141" s="42">
        <v>6.872106481481481</v>
      </c>
      <c r="I141" s="42">
        <v>1</v>
      </c>
      <c r="J141" s="42">
        <v>9.765625</v>
      </c>
      <c r="K141" s="42">
        <v>0.59375</v>
      </c>
      <c r="L141" s="42">
        <v>8.6400000000000005E-2</v>
      </c>
      <c r="M141">
        <v>0.84375</v>
      </c>
    </row>
    <row r="142" spans="3:13" x14ac:dyDescent="0.15">
      <c r="C142" s="43">
        <v>109</v>
      </c>
      <c r="D142" s="42">
        <v>109</v>
      </c>
      <c r="E142" s="42">
        <v>8.72E-2</v>
      </c>
      <c r="F142" s="42">
        <v>77</v>
      </c>
      <c r="G142" s="42">
        <v>11.1616</v>
      </c>
      <c r="H142" s="42">
        <v>6.8986525229357802</v>
      </c>
      <c r="I142" s="42">
        <v>1</v>
      </c>
      <c r="J142" s="42">
        <v>9.765625</v>
      </c>
      <c r="K142" s="42">
        <v>0.6015625</v>
      </c>
      <c r="L142" s="42">
        <v>8.72E-2</v>
      </c>
      <c r="M142">
        <v>0.8515625</v>
      </c>
    </row>
    <row r="143" spans="3:13" x14ac:dyDescent="0.15">
      <c r="C143" s="43">
        <v>110</v>
      </c>
      <c r="D143" s="42">
        <v>110</v>
      </c>
      <c r="E143" s="42">
        <v>8.7999999999999995E-2</v>
      </c>
      <c r="F143" s="42">
        <v>78</v>
      </c>
      <c r="G143" s="42">
        <v>11.264000000000001</v>
      </c>
      <c r="H143" s="42">
        <v>6.9247159090909092</v>
      </c>
      <c r="I143" s="42">
        <v>1</v>
      </c>
      <c r="J143" s="42">
        <v>9.765625</v>
      </c>
      <c r="K143" s="42">
        <v>0.609375</v>
      </c>
      <c r="L143" s="42">
        <v>8.7999999999999995E-2</v>
      </c>
      <c r="M143">
        <v>0.859375</v>
      </c>
    </row>
    <row r="144" spans="3:13" x14ac:dyDescent="0.15">
      <c r="C144" s="43">
        <v>111</v>
      </c>
      <c r="D144" s="42">
        <v>111</v>
      </c>
      <c r="E144" s="42">
        <v>8.8800000000000004E-2</v>
      </c>
      <c r="F144" s="42">
        <v>79</v>
      </c>
      <c r="G144" s="42">
        <v>11.366400000000001</v>
      </c>
      <c r="H144" s="42">
        <v>6.9503096846846848</v>
      </c>
      <c r="I144" s="42">
        <v>1</v>
      </c>
      <c r="J144" s="42">
        <v>9.765625</v>
      </c>
      <c r="K144" s="42">
        <v>0.6171875</v>
      </c>
      <c r="L144" s="42">
        <v>8.8800000000000004E-2</v>
      </c>
      <c r="M144">
        <v>0.8671875</v>
      </c>
    </row>
    <row r="145" spans="3:13" x14ac:dyDescent="0.15">
      <c r="C145" s="43">
        <v>112</v>
      </c>
      <c r="D145" s="42">
        <v>112</v>
      </c>
      <c r="E145" s="42">
        <v>8.9599999999999999E-2</v>
      </c>
      <c r="F145" s="42">
        <v>80</v>
      </c>
      <c r="G145" s="42">
        <v>11.4688</v>
      </c>
      <c r="H145" s="42">
        <v>6.9754464285714288</v>
      </c>
      <c r="I145" s="42">
        <v>1</v>
      </c>
      <c r="J145" s="42">
        <v>9.765625</v>
      </c>
      <c r="K145" s="42">
        <v>0.625</v>
      </c>
      <c r="L145" s="42">
        <v>8.9599999999999999E-2</v>
      </c>
      <c r="M145">
        <v>0.875</v>
      </c>
    </row>
    <row r="146" spans="3:13" x14ac:dyDescent="0.15">
      <c r="C146" s="43">
        <v>113</v>
      </c>
      <c r="D146" s="42">
        <v>113</v>
      </c>
      <c r="E146" s="42">
        <v>9.0399999999999994E-2</v>
      </c>
      <c r="F146" s="42">
        <v>81</v>
      </c>
      <c r="G146" s="42">
        <v>11.571200000000001</v>
      </c>
      <c r="H146" s="42">
        <v>7.0001382743362832</v>
      </c>
      <c r="I146" s="42">
        <v>1</v>
      </c>
      <c r="J146" s="42">
        <v>9.765625</v>
      </c>
      <c r="K146" s="42">
        <v>0.6328125</v>
      </c>
      <c r="L146" s="42">
        <v>9.0399999999999994E-2</v>
      </c>
      <c r="M146">
        <v>0.8828125</v>
      </c>
    </row>
    <row r="147" spans="3:13" x14ac:dyDescent="0.15">
      <c r="C147" s="43">
        <v>114</v>
      </c>
      <c r="D147" s="42">
        <v>114</v>
      </c>
      <c r="E147" s="42">
        <v>9.1200000000000003E-2</v>
      </c>
      <c r="F147" s="42">
        <v>81</v>
      </c>
      <c r="G147" s="42">
        <v>11.6736</v>
      </c>
      <c r="H147" s="42">
        <v>6.9387335526315788</v>
      </c>
      <c r="I147" s="42">
        <v>1</v>
      </c>
      <c r="J147" s="42">
        <v>9.765625</v>
      </c>
      <c r="K147" s="42">
        <v>0.6328125</v>
      </c>
      <c r="L147" s="42">
        <v>9.1200000000000003E-2</v>
      </c>
      <c r="M147">
        <v>0.890625</v>
      </c>
    </row>
    <row r="148" spans="3:13" x14ac:dyDescent="0.15">
      <c r="C148" s="43">
        <v>115</v>
      </c>
      <c r="D148" s="42">
        <v>115</v>
      </c>
      <c r="E148" s="42">
        <v>9.1999999999999998E-2</v>
      </c>
      <c r="F148" s="42">
        <v>81</v>
      </c>
      <c r="G148" s="42">
        <v>11.776</v>
      </c>
      <c r="H148" s="42">
        <v>6.8783967391304346</v>
      </c>
      <c r="I148" s="42">
        <v>1</v>
      </c>
      <c r="J148" s="42">
        <v>9.765625</v>
      </c>
      <c r="K148" s="42">
        <v>0.6328125</v>
      </c>
      <c r="L148" s="42">
        <v>9.1999999999999998E-2</v>
      </c>
      <c r="M148">
        <v>0.8984375</v>
      </c>
    </row>
    <row r="149" spans="3:13" x14ac:dyDescent="0.15">
      <c r="C149" s="43">
        <v>116</v>
      </c>
      <c r="D149" s="42">
        <v>116</v>
      </c>
      <c r="E149" s="42">
        <v>9.2799999999999994E-2</v>
      </c>
      <c r="F149" s="42">
        <v>81</v>
      </c>
      <c r="G149" s="42">
        <v>11.878400000000001</v>
      </c>
      <c r="H149" s="42">
        <v>6.819100215517242</v>
      </c>
      <c r="I149" s="42">
        <v>1</v>
      </c>
      <c r="J149" s="42">
        <v>9.765625</v>
      </c>
      <c r="K149" s="42">
        <v>0.6328125</v>
      </c>
      <c r="L149" s="42">
        <v>9.2799999999999994E-2</v>
      </c>
      <c r="M149">
        <v>0.90625</v>
      </c>
    </row>
    <row r="150" spans="3:13" x14ac:dyDescent="0.15">
      <c r="C150" s="43">
        <v>117</v>
      </c>
      <c r="D150" s="42">
        <v>117</v>
      </c>
      <c r="E150" s="42">
        <v>9.3600000000000003E-2</v>
      </c>
      <c r="F150" s="42">
        <v>81</v>
      </c>
      <c r="G150" s="42">
        <v>11.9808</v>
      </c>
      <c r="H150" s="42">
        <v>6.7608173076923075</v>
      </c>
      <c r="I150" s="42">
        <v>1</v>
      </c>
      <c r="J150" s="42">
        <v>9.765625</v>
      </c>
      <c r="K150" s="42">
        <v>0.6328125</v>
      </c>
      <c r="L150" s="42">
        <v>9.3600000000000003E-2</v>
      </c>
      <c r="M150">
        <v>0.9140625</v>
      </c>
    </row>
    <row r="151" spans="3:13" x14ac:dyDescent="0.15">
      <c r="C151" s="43">
        <v>118</v>
      </c>
      <c r="D151" s="42">
        <v>118</v>
      </c>
      <c r="E151" s="42">
        <v>9.4399999999999998E-2</v>
      </c>
      <c r="F151" s="42">
        <v>82</v>
      </c>
      <c r="G151" s="42">
        <v>12.0832</v>
      </c>
      <c r="H151" s="42">
        <v>6.7862817796610173</v>
      </c>
      <c r="I151" s="42">
        <v>1</v>
      </c>
      <c r="J151" s="42">
        <v>9.765625</v>
      </c>
      <c r="K151" s="42">
        <v>0.640625</v>
      </c>
      <c r="L151" s="42">
        <v>9.4399999999999998E-2</v>
      </c>
      <c r="M151">
        <v>0.921875</v>
      </c>
    </row>
    <row r="152" spans="3:13" x14ac:dyDescent="0.15">
      <c r="C152" s="43">
        <v>119</v>
      </c>
      <c r="D152" s="42">
        <v>119</v>
      </c>
      <c r="E152" s="42">
        <v>9.5200000000000007E-2</v>
      </c>
      <c r="F152" s="42">
        <v>83</v>
      </c>
      <c r="G152" s="42">
        <v>12.185600000000001</v>
      </c>
      <c r="H152" s="42">
        <v>6.8113182773109235</v>
      </c>
      <c r="I152" s="42">
        <v>1</v>
      </c>
      <c r="J152" s="42">
        <v>9.765625</v>
      </c>
      <c r="K152" s="42">
        <v>0.6484375</v>
      </c>
      <c r="L152" s="42">
        <v>9.5200000000000007E-2</v>
      </c>
      <c r="M152">
        <v>0.9296875</v>
      </c>
    </row>
    <row r="153" spans="3:13" x14ac:dyDescent="0.15">
      <c r="C153" s="43">
        <v>120</v>
      </c>
      <c r="D153" s="42">
        <v>120</v>
      </c>
      <c r="E153" s="42">
        <v>9.6000000000000002E-2</v>
      </c>
      <c r="F153" s="42">
        <v>83</v>
      </c>
      <c r="G153" s="42">
        <v>12.288</v>
      </c>
      <c r="H153" s="42">
        <v>6.754557291666667</v>
      </c>
      <c r="I153" s="42">
        <v>1</v>
      </c>
      <c r="J153" s="42">
        <v>9.765625</v>
      </c>
      <c r="K153" s="42">
        <v>0.6484375</v>
      </c>
      <c r="L153" s="42">
        <v>9.6000000000000002E-2</v>
      </c>
      <c r="M153">
        <v>0.9375</v>
      </c>
    </row>
    <row r="154" spans="3:13" x14ac:dyDescent="0.15">
      <c r="C154" s="43">
        <v>121</v>
      </c>
      <c r="D154" s="42">
        <v>121</v>
      </c>
      <c r="E154" s="42">
        <v>9.6799999999999997E-2</v>
      </c>
      <c r="F154" s="42">
        <v>83</v>
      </c>
      <c r="G154" s="42">
        <v>12.390400000000001</v>
      </c>
      <c r="H154" s="42">
        <v>6.6987345041322319</v>
      </c>
      <c r="I154" s="42">
        <v>1</v>
      </c>
      <c r="J154" s="42">
        <v>9.765625</v>
      </c>
      <c r="K154" s="42">
        <v>0.6484375</v>
      </c>
      <c r="L154" s="42">
        <v>9.6799999999999997E-2</v>
      </c>
      <c r="M154">
        <v>0.9453125</v>
      </c>
    </row>
    <row r="155" spans="3:13" x14ac:dyDescent="0.15">
      <c r="C155" s="43">
        <v>122</v>
      </c>
      <c r="D155" s="42">
        <v>122</v>
      </c>
      <c r="E155" s="42">
        <v>9.7600000000000006E-2</v>
      </c>
      <c r="F155" s="42">
        <v>83</v>
      </c>
      <c r="G155" s="42">
        <v>12.492800000000001</v>
      </c>
      <c r="H155" s="42">
        <v>6.6438268442622945</v>
      </c>
      <c r="I155" s="42">
        <v>1</v>
      </c>
      <c r="J155" s="42">
        <v>9.765625</v>
      </c>
      <c r="K155" s="42">
        <v>0.6484375</v>
      </c>
      <c r="L155" s="42">
        <v>9.7600000000000006E-2</v>
      </c>
      <c r="M155">
        <v>0.953125</v>
      </c>
    </row>
    <row r="156" spans="3:13" x14ac:dyDescent="0.15">
      <c r="C156" s="43">
        <v>123</v>
      </c>
      <c r="D156" s="42">
        <v>123</v>
      </c>
      <c r="E156" s="42">
        <v>9.8400000000000001E-2</v>
      </c>
      <c r="F156" s="42">
        <v>84</v>
      </c>
      <c r="G156" s="42">
        <v>12.5952</v>
      </c>
      <c r="H156" s="42">
        <v>6.6692073170731705</v>
      </c>
      <c r="I156" s="42">
        <v>1</v>
      </c>
      <c r="J156" s="42">
        <v>9.765625</v>
      </c>
      <c r="K156" s="42">
        <v>0.65625</v>
      </c>
      <c r="L156" s="42">
        <v>9.8400000000000001E-2</v>
      </c>
      <c r="M156">
        <v>0.9609375</v>
      </c>
    </row>
    <row r="157" spans="3:13" x14ac:dyDescent="0.15">
      <c r="C157" s="43">
        <v>124</v>
      </c>
      <c r="D157" s="42">
        <v>124</v>
      </c>
      <c r="E157" s="42">
        <v>9.9199999999999997E-2</v>
      </c>
      <c r="F157" s="42">
        <v>84</v>
      </c>
      <c r="G157" s="42">
        <v>12.697600000000001</v>
      </c>
      <c r="H157" s="42">
        <v>6.615423387096774</v>
      </c>
      <c r="I157" s="42">
        <v>1</v>
      </c>
      <c r="J157" s="42">
        <v>9.765625</v>
      </c>
      <c r="K157" s="42">
        <v>0.65625</v>
      </c>
      <c r="L157" s="42">
        <v>9.9199999999999997E-2</v>
      </c>
      <c r="M157">
        <v>0.96875</v>
      </c>
    </row>
    <row r="158" spans="3:13" x14ac:dyDescent="0.15">
      <c r="C158" s="43">
        <v>125</v>
      </c>
      <c r="D158" s="42">
        <v>125</v>
      </c>
      <c r="E158" s="42">
        <v>0.1</v>
      </c>
      <c r="F158" s="42">
        <v>84</v>
      </c>
      <c r="G158" s="42">
        <v>12.8</v>
      </c>
      <c r="H158" s="42">
        <v>6.5625</v>
      </c>
      <c r="I158" s="42">
        <v>1</v>
      </c>
      <c r="J158" s="42">
        <v>9.765625</v>
      </c>
      <c r="K158" s="42">
        <v>0.65625</v>
      </c>
      <c r="L158" s="42">
        <v>0.1</v>
      </c>
      <c r="M158">
        <v>0.9765625</v>
      </c>
    </row>
    <row r="159" spans="3:13" x14ac:dyDescent="0.15">
      <c r="C159" s="43">
        <v>126</v>
      </c>
      <c r="D159" s="42">
        <v>126</v>
      </c>
      <c r="E159" s="42">
        <v>0.1008</v>
      </c>
      <c r="F159" s="42">
        <v>84</v>
      </c>
      <c r="G159" s="42">
        <v>12.9024</v>
      </c>
      <c r="H159" s="42">
        <v>6.510416666666667</v>
      </c>
      <c r="I159" s="42">
        <v>1</v>
      </c>
      <c r="J159" s="42">
        <v>9.765625</v>
      </c>
      <c r="K159" s="42">
        <v>0.65625</v>
      </c>
      <c r="L159" s="42">
        <v>0.1008</v>
      </c>
      <c r="M159">
        <v>0.984375</v>
      </c>
    </row>
    <row r="160" spans="3:13" x14ac:dyDescent="0.15">
      <c r="C160" s="43">
        <v>127</v>
      </c>
      <c r="D160" s="42">
        <v>127</v>
      </c>
      <c r="E160" s="42">
        <v>0.1016</v>
      </c>
      <c r="F160" s="42">
        <v>84</v>
      </c>
      <c r="G160" s="42">
        <v>13.004800000000001</v>
      </c>
      <c r="H160" s="42">
        <v>6.459153543307087</v>
      </c>
      <c r="I160" s="42">
        <v>1</v>
      </c>
      <c r="J160" s="42">
        <v>9.765625</v>
      </c>
      <c r="K160" s="42">
        <v>0.65625</v>
      </c>
      <c r="L160" s="42">
        <v>0.1016</v>
      </c>
      <c r="M160">
        <v>0.9921875</v>
      </c>
    </row>
    <row r="161" spans="3:13" x14ac:dyDescent="0.15">
      <c r="C161" s="43">
        <v>128</v>
      </c>
      <c r="D161" s="42">
        <v>128</v>
      </c>
      <c r="E161" s="42">
        <v>0.1024</v>
      </c>
      <c r="F161" s="42">
        <v>85</v>
      </c>
      <c r="G161" s="42">
        <v>13.107200000000001</v>
      </c>
      <c r="H161" s="42">
        <v>6.4849853515625</v>
      </c>
      <c r="I161" s="42">
        <v>1</v>
      </c>
      <c r="J161" s="42">
        <v>9.765625</v>
      </c>
      <c r="K161" s="42">
        <v>0.6640625</v>
      </c>
      <c r="L161" s="42">
        <v>0.1024</v>
      </c>
      <c r="M161">
        <v>1</v>
      </c>
    </row>
    <row r="162" spans="3:13" x14ac:dyDescent="0.15">
      <c r="C162" s="43">
        <v>129</v>
      </c>
      <c r="D162" s="42">
        <v>129</v>
      </c>
      <c r="E162" s="42">
        <v>0.1032</v>
      </c>
      <c r="F162" s="42">
        <v>86</v>
      </c>
      <c r="G162" s="42">
        <v>13.2096</v>
      </c>
      <c r="H162" s="42">
        <v>6.510416666666667</v>
      </c>
      <c r="I162" s="42">
        <v>1</v>
      </c>
      <c r="J162" s="42">
        <v>9.6899224806201545</v>
      </c>
      <c r="K162" s="42">
        <v>0.671875</v>
      </c>
      <c r="L162" s="42">
        <v>0.1032</v>
      </c>
      <c r="M162">
        <v>1</v>
      </c>
    </row>
    <row r="163" spans="3:13" x14ac:dyDescent="0.15">
      <c r="C163" s="43">
        <v>130</v>
      </c>
      <c r="D163" s="42">
        <v>130</v>
      </c>
      <c r="E163" s="42">
        <v>0.104</v>
      </c>
      <c r="F163" s="42">
        <v>86</v>
      </c>
      <c r="G163" s="42">
        <v>13.312000000000001</v>
      </c>
      <c r="H163" s="42">
        <v>6.4603365384615383</v>
      </c>
      <c r="I163" s="42">
        <v>1</v>
      </c>
      <c r="J163" s="42">
        <v>9.615384615384615</v>
      </c>
      <c r="K163" s="42">
        <v>0.671875</v>
      </c>
      <c r="L163" s="42">
        <v>0.104</v>
      </c>
      <c r="M163">
        <v>1</v>
      </c>
    </row>
    <row r="164" spans="3:13" x14ac:dyDescent="0.15">
      <c r="C164" s="43">
        <v>131</v>
      </c>
      <c r="D164" s="42">
        <v>131</v>
      </c>
      <c r="E164" s="42">
        <v>0.1048</v>
      </c>
      <c r="F164" s="42">
        <v>87</v>
      </c>
      <c r="G164" s="42">
        <v>13.414400000000001</v>
      </c>
      <c r="H164" s="42">
        <v>6.4855677480916025</v>
      </c>
      <c r="I164" s="42">
        <v>1</v>
      </c>
      <c r="J164" s="42">
        <v>9.5419847328244263</v>
      </c>
      <c r="K164" s="42">
        <v>0.6796875</v>
      </c>
      <c r="L164" s="42">
        <v>0.1048</v>
      </c>
      <c r="M164">
        <v>1</v>
      </c>
    </row>
    <row r="165" spans="3:13" x14ac:dyDescent="0.15">
      <c r="C165" s="43">
        <v>132</v>
      </c>
      <c r="D165" s="42">
        <v>132</v>
      </c>
      <c r="E165" s="42">
        <v>0.1056</v>
      </c>
      <c r="F165" s="42">
        <v>87</v>
      </c>
      <c r="G165" s="42">
        <v>13.5168</v>
      </c>
      <c r="H165" s="42">
        <v>6.4364346590909092</v>
      </c>
      <c r="I165" s="42">
        <v>1</v>
      </c>
      <c r="J165" s="42">
        <v>9.4696969696969706</v>
      </c>
      <c r="K165" s="42">
        <v>0.6796875</v>
      </c>
      <c r="L165" s="42">
        <v>0.1056</v>
      </c>
      <c r="M165">
        <v>1</v>
      </c>
    </row>
    <row r="166" spans="3:13" x14ac:dyDescent="0.15">
      <c r="C166" s="43">
        <v>133</v>
      </c>
      <c r="D166" s="42">
        <v>133</v>
      </c>
      <c r="E166" s="42">
        <v>0.10639999999999999</v>
      </c>
      <c r="F166" s="42">
        <v>87</v>
      </c>
      <c r="G166" s="42">
        <v>13.619200000000001</v>
      </c>
      <c r="H166" s="42">
        <v>6.3880404135338349</v>
      </c>
      <c r="I166" s="42">
        <v>1</v>
      </c>
      <c r="J166" s="42">
        <v>9.3984962406015047</v>
      </c>
      <c r="K166" s="42">
        <v>0.6796875</v>
      </c>
      <c r="L166" s="42">
        <v>0.10639999999999999</v>
      </c>
      <c r="M166">
        <v>1</v>
      </c>
    </row>
    <row r="167" spans="3:13" x14ac:dyDescent="0.15">
      <c r="C167" s="43">
        <v>134</v>
      </c>
      <c r="D167" s="42">
        <v>134</v>
      </c>
      <c r="E167" s="42">
        <v>0.1072</v>
      </c>
      <c r="F167" s="42">
        <v>88</v>
      </c>
      <c r="G167" s="42">
        <v>13.7216</v>
      </c>
      <c r="H167" s="42">
        <v>6.4132462686567164</v>
      </c>
      <c r="I167" s="42">
        <v>1</v>
      </c>
      <c r="J167" s="42">
        <v>9.3283582089552244</v>
      </c>
      <c r="K167" s="42">
        <v>0.6875</v>
      </c>
      <c r="L167" s="42">
        <v>0.1072</v>
      </c>
      <c r="M167">
        <v>1</v>
      </c>
    </row>
    <row r="168" spans="3:13" x14ac:dyDescent="0.15">
      <c r="C168" s="43">
        <v>135</v>
      </c>
      <c r="D168" s="42">
        <v>135</v>
      </c>
      <c r="E168" s="42">
        <v>0.108</v>
      </c>
      <c r="F168" s="42">
        <v>88</v>
      </c>
      <c r="G168" s="42">
        <v>13.824</v>
      </c>
      <c r="H168" s="42">
        <v>6.3657407407407405</v>
      </c>
      <c r="I168" s="42">
        <v>1</v>
      </c>
      <c r="J168" s="42">
        <v>9.2592592592592595</v>
      </c>
      <c r="K168" s="42">
        <v>0.6875</v>
      </c>
      <c r="L168" s="42">
        <v>0.108</v>
      </c>
      <c r="M168">
        <v>1</v>
      </c>
    </row>
    <row r="169" spans="3:13" x14ac:dyDescent="0.15">
      <c r="C169" s="43">
        <v>136</v>
      </c>
      <c r="D169" s="42">
        <v>136</v>
      </c>
      <c r="E169" s="42">
        <v>0.10879999999999999</v>
      </c>
      <c r="F169" s="42">
        <v>89</v>
      </c>
      <c r="G169" s="42">
        <v>13.926400000000001</v>
      </c>
      <c r="H169" s="42">
        <v>6.3907398897058831</v>
      </c>
      <c r="I169" s="42">
        <v>1</v>
      </c>
      <c r="J169" s="42">
        <v>9.1911764705882355</v>
      </c>
      <c r="K169" s="42">
        <v>0.6953125</v>
      </c>
      <c r="L169" s="42">
        <v>0.10879999999999999</v>
      </c>
      <c r="M169">
        <v>1</v>
      </c>
    </row>
    <row r="170" spans="3:13" x14ac:dyDescent="0.15">
      <c r="C170" s="43">
        <v>137</v>
      </c>
      <c r="D170" s="42">
        <v>137</v>
      </c>
      <c r="E170" s="42">
        <v>0.1096</v>
      </c>
      <c r="F170" s="42">
        <v>89</v>
      </c>
      <c r="G170" s="42">
        <v>14.0288</v>
      </c>
      <c r="H170" s="42">
        <v>6.344092153284671</v>
      </c>
      <c r="I170" s="42">
        <v>1</v>
      </c>
      <c r="J170" s="42">
        <v>9.1240875912408761</v>
      </c>
      <c r="K170" s="42">
        <v>0.6953125</v>
      </c>
      <c r="L170" s="42">
        <v>0.1096</v>
      </c>
      <c r="M170">
        <v>1</v>
      </c>
    </row>
    <row r="171" spans="3:13" x14ac:dyDescent="0.15">
      <c r="C171" s="43">
        <v>138</v>
      </c>
      <c r="D171" s="42">
        <v>138</v>
      </c>
      <c r="E171" s="42">
        <v>0.1104</v>
      </c>
      <c r="F171" s="42">
        <v>89</v>
      </c>
      <c r="G171" s="42">
        <v>14.131200000000002</v>
      </c>
      <c r="H171" s="42">
        <v>6.2981204710144931</v>
      </c>
      <c r="I171" s="42">
        <v>1</v>
      </c>
      <c r="J171" s="42">
        <v>9.0579710144927539</v>
      </c>
      <c r="K171" s="42">
        <v>0.6953125</v>
      </c>
      <c r="L171" s="42">
        <v>0.1104</v>
      </c>
      <c r="M171">
        <v>1</v>
      </c>
    </row>
    <row r="172" spans="3:13" x14ac:dyDescent="0.15">
      <c r="C172" s="43">
        <v>139</v>
      </c>
      <c r="D172" s="42">
        <v>139</v>
      </c>
      <c r="E172" s="42">
        <v>0.11119999999999999</v>
      </c>
      <c r="F172" s="42">
        <v>90</v>
      </c>
      <c r="G172" s="42">
        <v>14.233600000000001</v>
      </c>
      <c r="H172" s="42">
        <v>6.3230665467625906</v>
      </c>
      <c r="I172" s="42">
        <v>1</v>
      </c>
      <c r="J172" s="42">
        <v>8.9928057553956844</v>
      </c>
      <c r="K172" s="42">
        <v>0.703125</v>
      </c>
      <c r="L172" s="42">
        <v>0.11119999999999999</v>
      </c>
      <c r="M172">
        <v>1</v>
      </c>
    </row>
    <row r="173" spans="3:13" x14ac:dyDescent="0.15">
      <c r="C173" s="43">
        <v>140</v>
      </c>
      <c r="D173" s="42">
        <v>140</v>
      </c>
      <c r="E173" s="42">
        <v>0.112</v>
      </c>
      <c r="F173" s="42">
        <v>91</v>
      </c>
      <c r="G173" s="42">
        <v>14.336</v>
      </c>
      <c r="H173" s="42">
        <v>6.34765625</v>
      </c>
      <c r="I173" s="42">
        <v>1</v>
      </c>
      <c r="J173" s="42">
        <v>8.9285714285714288</v>
      </c>
      <c r="K173" s="42">
        <v>0.7109375</v>
      </c>
      <c r="L173" s="42">
        <v>0.112</v>
      </c>
      <c r="M173">
        <v>1</v>
      </c>
    </row>
    <row r="174" spans="3:13" x14ac:dyDescent="0.15">
      <c r="C174" s="43">
        <v>141</v>
      </c>
      <c r="D174" s="42">
        <v>141</v>
      </c>
      <c r="E174" s="42">
        <v>0.1128</v>
      </c>
      <c r="F174" s="42">
        <v>91</v>
      </c>
      <c r="G174" s="42">
        <v>14.438400000000001</v>
      </c>
      <c r="H174" s="42">
        <v>6.3026374113475176</v>
      </c>
      <c r="I174" s="42">
        <v>1</v>
      </c>
      <c r="J174" s="42">
        <v>8.8652482269503547</v>
      </c>
      <c r="K174" s="42">
        <v>0.7109375</v>
      </c>
      <c r="L174" s="42">
        <v>0.1128</v>
      </c>
      <c r="M174">
        <v>1</v>
      </c>
    </row>
    <row r="175" spans="3:13" x14ac:dyDescent="0.15">
      <c r="C175" s="43">
        <v>142</v>
      </c>
      <c r="D175" s="42">
        <v>142</v>
      </c>
      <c r="E175" s="42">
        <v>0.11360000000000001</v>
      </c>
      <c r="F175" s="42">
        <v>91</v>
      </c>
      <c r="G175" s="42">
        <v>14.540800000000001</v>
      </c>
      <c r="H175" s="42">
        <v>6.25825264084507</v>
      </c>
      <c r="I175" s="42">
        <v>1</v>
      </c>
      <c r="J175" s="42">
        <v>8.8028169014084501</v>
      </c>
      <c r="K175" s="42">
        <v>0.7109375</v>
      </c>
      <c r="L175" s="42">
        <v>0.11360000000000001</v>
      </c>
      <c r="M175">
        <v>1</v>
      </c>
    </row>
    <row r="176" spans="3:13" x14ac:dyDescent="0.15">
      <c r="C176" s="43">
        <v>143</v>
      </c>
      <c r="D176" s="42">
        <v>143</v>
      </c>
      <c r="E176" s="42">
        <v>0.1144</v>
      </c>
      <c r="F176" s="42">
        <v>91</v>
      </c>
      <c r="G176" s="42">
        <v>14.6432</v>
      </c>
      <c r="H176" s="42">
        <v>6.2144886363636367</v>
      </c>
      <c r="I176" s="42">
        <v>1</v>
      </c>
      <c r="J176" s="42">
        <v>8.7412587412587417</v>
      </c>
      <c r="K176" s="42">
        <v>0.7109375</v>
      </c>
      <c r="L176" s="42">
        <v>0.1144</v>
      </c>
      <c r="M176">
        <v>1</v>
      </c>
    </row>
    <row r="177" spans="3:13" x14ac:dyDescent="0.15">
      <c r="C177" s="43">
        <v>144</v>
      </c>
      <c r="D177" s="42">
        <v>144</v>
      </c>
      <c r="E177" s="42">
        <v>0.1152</v>
      </c>
      <c r="F177" s="42">
        <v>91</v>
      </c>
      <c r="G177" s="42">
        <v>14.745600000000001</v>
      </c>
      <c r="H177" s="42">
        <v>6.1713324652777777</v>
      </c>
      <c r="I177" s="42">
        <v>1</v>
      </c>
      <c r="J177" s="42">
        <v>8.6805555555555554</v>
      </c>
      <c r="K177" s="42">
        <v>0.7109375</v>
      </c>
      <c r="L177" s="42">
        <v>0.1152</v>
      </c>
      <c r="M177">
        <v>1</v>
      </c>
    </row>
    <row r="178" spans="3:13" x14ac:dyDescent="0.15">
      <c r="C178" s="43">
        <v>145</v>
      </c>
      <c r="D178" s="42">
        <v>145</v>
      </c>
      <c r="E178" s="42">
        <v>0.11600000000000001</v>
      </c>
      <c r="F178" s="42">
        <v>91</v>
      </c>
      <c r="G178" s="42">
        <v>14.848000000000001</v>
      </c>
      <c r="H178" s="42">
        <v>6.1287715517241379</v>
      </c>
      <c r="I178" s="42">
        <v>1</v>
      </c>
      <c r="J178" s="42">
        <v>8.6206896551724128</v>
      </c>
      <c r="K178" s="42">
        <v>0.7109375</v>
      </c>
      <c r="L178" s="42">
        <v>0.11600000000000001</v>
      </c>
      <c r="M178">
        <v>1</v>
      </c>
    </row>
    <row r="179" spans="3:13" x14ac:dyDescent="0.15">
      <c r="C179" s="43">
        <v>146</v>
      </c>
      <c r="D179" s="42">
        <v>146</v>
      </c>
      <c r="E179" s="42">
        <v>0.1168</v>
      </c>
      <c r="F179" s="42">
        <v>92</v>
      </c>
      <c r="G179" s="42">
        <v>14.9504</v>
      </c>
      <c r="H179" s="42">
        <v>6.1536815068493151</v>
      </c>
      <c r="I179" s="42">
        <v>1</v>
      </c>
      <c r="J179" s="42">
        <v>8.5616438356164384</v>
      </c>
      <c r="K179" s="42">
        <v>0.71875</v>
      </c>
      <c r="L179" s="42">
        <v>0.1168</v>
      </c>
      <c r="M179">
        <v>1</v>
      </c>
    </row>
    <row r="180" spans="3:13" x14ac:dyDescent="0.15">
      <c r="C180" s="43">
        <v>147</v>
      </c>
      <c r="D180" s="42">
        <v>147</v>
      </c>
      <c r="E180" s="42">
        <v>0.1176</v>
      </c>
      <c r="F180" s="42">
        <v>92</v>
      </c>
      <c r="G180" s="42">
        <v>15.052800000000001</v>
      </c>
      <c r="H180" s="42">
        <v>6.1118197278911568</v>
      </c>
      <c r="I180" s="42">
        <v>1</v>
      </c>
      <c r="J180" s="42">
        <v>8.5034013605442187</v>
      </c>
      <c r="K180" s="42">
        <v>0.71875</v>
      </c>
      <c r="L180" s="42">
        <v>0.1176</v>
      </c>
      <c r="M180">
        <v>1</v>
      </c>
    </row>
    <row r="181" spans="3:13" x14ac:dyDescent="0.15">
      <c r="C181" s="43">
        <v>148</v>
      </c>
      <c r="D181" s="42">
        <v>148</v>
      </c>
      <c r="E181" s="42">
        <v>0.11840000000000001</v>
      </c>
      <c r="F181" s="42">
        <v>92</v>
      </c>
      <c r="G181" s="42">
        <v>15.155200000000001</v>
      </c>
      <c r="H181" s="42">
        <v>6.0705236486486482</v>
      </c>
      <c r="I181" s="42">
        <v>1</v>
      </c>
      <c r="J181" s="42">
        <v>8.4459459459459456</v>
      </c>
      <c r="K181" s="42">
        <v>0.71875</v>
      </c>
      <c r="L181" s="42">
        <v>0.11840000000000001</v>
      </c>
      <c r="M181">
        <v>1</v>
      </c>
    </row>
    <row r="182" spans="3:13" x14ac:dyDescent="0.15">
      <c r="C182" s="43">
        <v>149</v>
      </c>
      <c r="D182" s="42">
        <v>149</v>
      </c>
      <c r="E182" s="42">
        <v>0.1192</v>
      </c>
      <c r="F182" s="42">
        <v>93</v>
      </c>
      <c r="G182" s="42">
        <v>15.2576</v>
      </c>
      <c r="H182" s="42">
        <v>6.0953229865771812</v>
      </c>
      <c r="I182" s="42">
        <v>1</v>
      </c>
      <c r="J182" s="42">
        <v>8.3892617449664435</v>
      </c>
      <c r="K182" s="42">
        <v>0.7265625</v>
      </c>
      <c r="L182" s="42">
        <v>0.1192</v>
      </c>
      <c r="M182">
        <v>1</v>
      </c>
    </row>
    <row r="183" spans="3:13" x14ac:dyDescent="0.15">
      <c r="C183" s="43">
        <v>150</v>
      </c>
      <c r="D183" s="42">
        <v>150</v>
      </c>
      <c r="E183" s="42">
        <v>0.12</v>
      </c>
      <c r="F183" s="42">
        <v>93</v>
      </c>
      <c r="G183" s="42">
        <v>15.360000000000001</v>
      </c>
      <c r="H183" s="42">
        <v>6.0546875</v>
      </c>
      <c r="I183" s="42">
        <v>1</v>
      </c>
      <c r="J183" s="42">
        <v>8.3333333333333339</v>
      </c>
      <c r="K183" s="42">
        <v>0.7265625</v>
      </c>
      <c r="L183" s="42">
        <v>0.12</v>
      </c>
      <c r="M183">
        <v>1</v>
      </c>
    </row>
    <row r="184" spans="3:13" x14ac:dyDescent="0.15">
      <c r="C184" s="43">
        <v>151</v>
      </c>
      <c r="D184" s="42">
        <v>151</v>
      </c>
      <c r="E184" s="42">
        <v>0.1208</v>
      </c>
      <c r="F184" s="42">
        <v>93</v>
      </c>
      <c r="G184" s="42">
        <v>15.462400000000001</v>
      </c>
      <c r="H184" s="42">
        <v>6.0145902317880795</v>
      </c>
      <c r="I184" s="42">
        <v>1</v>
      </c>
      <c r="J184" s="42">
        <v>8.2781456953642376</v>
      </c>
      <c r="K184" s="42">
        <v>0.7265625</v>
      </c>
      <c r="L184" s="42">
        <v>0.1208</v>
      </c>
      <c r="M184">
        <v>1</v>
      </c>
    </row>
    <row r="185" spans="3:13" x14ac:dyDescent="0.15">
      <c r="C185" s="43">
        <v>152</v>
      </c>
      <c r="D185" s="42">
        <v>152</v>
      </c>
      <c r="E185" s="42">
        <v>0.1216</v>
      </c>
      <c r="F185" s="42">
        <v>93</v>
      </c>
      <c r="G185" s="42">
        <v>15.5648</v>
      </c>
      <c r="H185" s="42">
        <v>5.9750205592105265</v>
      </c>
      <c r="I185" s="42">
        <v>1</v>
      </c>
      <c r="J185" s="42">
        <v>8.223684210526315</v>
      </c>
      <c r="K185" s="42">
        <v>0.7265625</v>
      </c>
      <c r="L185" s="42">
        <v>0.1216</v>
      </c>
      <c r="M185">
        <v>1</v>
      </c>
    </row>
    <row r="186" spans="3:13" x14ac:dyDescent="0.15">
      <c r="C186" s="43">
        <v>153</v>
      </c>
      <c r="D186" s="42">
        <v>153</v>
      </c>
      <c r="E186" s="42">
        <v>0.12239999999999999</v>
      </c>
      <c r="F186" s="42">
        <v>94</v>
      </c>
      <c r="G186" s="42">
        <v>15.667200000000001</v>
      </c>
      <c r="H186" s="42">
        <v>5.9997957516339868</v>
      </c>
      <c r="I186" s="42">
        <v>1</v>
      </c>
      <c r="J186" s="42">
        <v>8.169934640522877</v>
      </c>
      <c r="K186" s="42">
        <v>0.734375</v>
      </c>
      <c r="L186" s="42">
        <v>0.12239999999999999</v>
      </c>
      <c r="M186">
        <v>1</v>
      </c>
    </row>
    <row r="187" spans="3:13" x14ac:dyDescent="0.15">
      <c r="C187" s="43">
        <v>154</v>
      </c>
      <c r="D187" s="42">
        <v>154</v>
      </c>
      <c r="E187" s="42">
        <v>0.1232</v>
      </c>
      <c r="F187" s="42">
        <v>94</v>
      </c>
      <c r="G187" s="42">
        <v>15.769600000000001</v>
      </c>
      <c r="H187" s="42">
        <v>5.9608360389610384</v>
      </c>
      <c r="I187" s="42">
        <v>1</v>
      </c>
      <c r="J187" s="42">
        <v>8.1168831168831161</v>
      </c>
      <c r="K187" s="42">
        <v>0.734375</v>
      </c>
      <c r="L187" s="42">
        <v>0.1232</v>
      </c>
      <c r="M187">
        <v>1</v>
      </c>
    </row>
    <row r="188" spans="3:13" x14ac:dyDescent="0.15">
      <c r="C188" s="43">
        <v>155</v>
      </c>
      <c r="D188" s="42">
        <v>155</v>
      </c>
      <c r="E188" s="42">
        <v>0.124</v>
      </c>
      <c r="F188" s="42">
        <v>94</v>
      </c>
      <c r="G188" s="42">
        <v>15.872</v>
      </c>
      <c r="H188" s="42">
        <v>5.9223790322580649</v>
      </c>
      <c r="I188" s="42">
        <v>1</v>
      </c>
      <c r="J188" s="42">
        <v>8.064516129032258</v>
      </c>
      <c r="K188" s="42">
        <v>0.734375</v>
      </c>
      <c r="L188" s="42">
        <v>0.124</v>
      </c>
      <c r="M188">
        <v>1</v>
      </c>
    </row>
    <row r="189" spans="3:13" x14ac:dyDescent="0.15">
      <c r="C189" s="43">
        <v>156</v>
      </c>
      <c r="D189" s="42">
        <v>156</v>
      </c>
      <c r="E189" s="42">
        <v>0.12479999999999999</v>
      </c>
      <c r="F189" s="42">
        <v>95</v>
      </c>
      <c r="G189" s="42">
        <v>15.974400000000001</v>
      </c>
      <c r="H189" s="42">
        <v>5.9470152243589745</v>
      </c>
      <c r="I189" s="42">
        <v>1</v>
      </c>
      <c r="J189" s="42">
        <v>8.0128205128205128</v>
      </c>
      <c r="K189" s="42">
        <v>0.7421875</v>
      </c>
      <c r="L189" s="42">
        <v>0.12479999999999999</v>
      </c>
      <c r="M189">
        <v>1</v>
      </c>
    </row>
    <row r="190" spans="3:13" x14ac:dyDescent="0.15">
      <c r="C190" s="43">
        <v>157</v>
      </c>
      <c r="D190" s="42">
        <v>157</v>
      </c>
      <c r="E190" s="42">
        <v>0.12559999999999999</v>
      </c>
      <c r="F190" s="42">
        <v>95</v>
      </c>
      <c r="G190" s="42">
        <v>16.076800000000002</v>
      </c>
      <c r="H190" s="42">
        <v>5.9091361464968157</v>
      </c>
      <c r="I190" s="42">
        <v>1</v>
      </c>
      <c r="J190" s="42">
        <v>7.9617834394904463</v>
      </c>
      <c r="K190" s="42">
        <v>0.7421875</v>
      </c>
      <c r="L190" s="42">
        <v>0.12559999999999999</v>
      </c>
      <c r="M190">
        <v>1</v>
      </c>
    </row>
    <row r="191" spans="3:13" x14ac:dyDescent="0.15">
      <c r="C191" s="43">
        <v>158</v>
      </c>
      <c r="D191" s="42">
        <v>158</v>
      </c>
      <c r="E191" s="42">
        <v>0.12640000000000001</v>
      </c>
      <c r="F191" s="42">
        <v>96</v>
      </c>
      <c r="G191" s="42">
        <v>16.179200000000002</v>
      </c>
      <c r="H191" s="42">
        <v>5.9335443037974676</v>
      </c>
      <c r="I191" s="42">
        <v>1</v>
      </c>
      <c r="J191" s="42">
        <v>7.9113924050632907</v>
      </c>
      <c r="K191" s="42">
        <v>0.75</v>
      </c>
      <c r="L191" s="42">
        <v>0.12640000000000001</v>
      </c>
      <c r="M191">
        <v>1</v>
      </c>
    </row>
    <row r="192" spans="3:13" x14ac:dyDescent="0.15">
      <c r="C192" s="43">
        <v>159</v>
      </c>
      <c r="D192" s="42">
        <v>159</v>
      </c>
      <c r="E192" s="42">
        <v>0.12720000000000001</v>
      </c>
      <c r="F192" s="42">
        <v>96</v>
      </c>
      <c r="G192" s="42">
        <v>16.281600000000001</v>
      </c>
      <c r="H192" s="42">
        <v>5.8962264150943389</v>
      </c>
      <c r="I192" s="42">
        <v>1</v>
      </c>
      <c r="J192" s="42">
        <v>7.8616352201257858</v>
      </c>
      <c r="K192" s="42">
        <v>0.75</v>
      </c>
      <c r="L192" s="42">
        <v>0.12720000000000001</v>
      </c>
      <c r="M192">
        <v>1</v>
      </c>
    </row>
    <row r="193" spans="3:13" x14ac:dyDescent="0.15">
      <c r="C193" s="43">
        <v>160</v>
      </c>
      <c r="D193" s="42">
        <v>160</v>
      </c>
      <c r="E193" s="42">
        <v>0.128</v>
      </c>
      <c r="F193" s="42">
        <v>96</v>
      </c>
      <c r="G193" s="42">
        <v>16.384</v>
      </c>
      <c r="H193" s="42">
        <v>5.859375</v>
      </c>
      <c r="I193" s="42">
        <v>1</v>
      </c>
      <c r="J193" s="42">
        <v>7.8125</v>
      </c>
      <c r="K193" s="42">
        <v>0.75</v>
      </c>
      <c r="L193" s="42">
        <v>0.128</v>
      </c>
      <c r="M193">
        <v>1</v>
      </c>
    </row>
    <row r="194" spans="3:13" x14ac:dyDescent="0.15">
      <c r="C194" s="43">
        <v>161</v>
      </c>
      <c r="D194" s="42">
        <v>161</v>
      </c>
      <c r="E194" s="42">
        <v>0.1288</v>
      </c>
      <c r="F194" s="42">
        <v>96</v>
      </c>
      <c r="G194" s="42">
        <v>16.4864</v>
      </c>
      <c r="H194" s="42">
        <v>5.8229813664596275</v>
      </c>
      <c r="I194" s="42">
        <v>1</v>
      </c>
      <c r="J194" s="42">
        <v>7.7639751552795033</v>
      </c>
      <c r="K194" s="42">
        <v>0.75</v>
      </c>
      <c r="L194" s="42">
        <v>0.1288</v>
      </c>
      <c r="M194">
        <v>1</v>
      </c>
    </row>
    <row r="195" spans="3:13" x14ac:dyDescent="0.15">
      <c r="C195" s="43">
        <v>162</v>
      </c>
      <c r="D195" s="42">
        <v>162</v>
      </c>
      <c r="E195" s="42">
        <v>0.12959999999999999</v>
      </c>
      <c r="F195" s="42">
        <v>97</v>
      </c>
      <c r="G195" s="42">
        <v>16.588799999999999</v>
      </c>
      <c r="H195" s="42">
        <v>5.8473186728395063</v>
      </c>
      <c r="I195" s="42">
        <v>1</v>
      </c>
      <c r="J195" s="42">
        <v>7.7160493827160499</v>
      </c>
      <c r="K195" s="42">
        <v>0.7578125</v>
      </c>
      <c r="L195" s="42">
        <v>0.12959999999999999</v>
      </c>
      <c r="M195">
        <v>1</v>
      </c>
    </row>
    <row r="196" spans="3:13" x14ac:dyDescent="0.15">
      <c r="C196" s="43">
        <v>163</v>
      </c>
      <c r="D196" s="42">
        <v>163</v>
      </c>
      <c r="E196" s="42">
        <v>0.13039999999999999</v>
      </c>
      <c r="F196" s="42">
        <v>97</v>
      </c>
      <c r="G196" s="42">
        <v>16.691200000000002</v>
      </c>
      <c r="H196" s="42">
        <v>5.8114455521472399</v>
      </c>
      <c r="I196" s="42">
        <v>1</v>
      </c>
      <c r="J196" s="42">
        <v>7.6687116564417188</v>
      </c>
      <c r="K196" s="42">
        <v>0.7578125</v>
      </c>
      <c r="L196" s="42">
        <v>0.13039999999999999</v>
      </c>
      <c r="M196">
        <v>1</v>
      </c>
    </row>
    <row r="197" spans="3:13" x14ac:dyDescent="0.15">
      <c r="C197" s="43">
        <v>164</v>
      </c>
      <c r="D197" s="42">
        <v>164</v>
      </c>
      <c r="E197" s="42">
        <v>0.13120000000000001</v>
      </c>
      <c r="F197" s="42">
        <v>97</v>
      </c>
      <c r="G197" s="42">
        <v>16.793600000000001</v>
      </c>
      <c r="H197" s="42">
        <v>5.7760099085365848</v>
      </c>
      <c r="I197" s="42">
        <v>1</v>
      </c>
      <c r="J197" s="42">
        <v>7.6219512195121943</v>
      </c>
      <c r="K197" s="42">
        <v>0.7578125</v>
      </c>
      <c r="L197" s="42">
        <v>0.13120000000000001</v>
      </c>
      <c r="M197">
        <v>1</v>
      </c>
    </row>
    <row r="198" spans="3:13" x14ac:dyDescent="0.15">
      <c r="C198" s="43">
        <v>165</v>
      </c>
      <c r="D198" s="42">
        <v>165</v>
      </c>
      <c r="E198" s="42">
        <v>0.13200000000000001</v>
      </c>
      <c r="F198" s="42">
        <v>97</v>
      </c>
      <c r="G198" s="42">
        <v>16.896000000000001</v>
      </c>
      <c r="H198" s="42">
        <v>5.7410037878787872</v>
      </c>
      <c r="I198" s="42">
        <v>1</v>
      </c>
      <c r="J198" s="42">
        <v>7.5757575757575752</v>
      </c>
      <c r="K198" s="42">
        <v>0.7578125</v>
      </c>
      <c r="L198" s="42">
        <v>0.13200000000000001</v>
      </c>
      <c r="M198">
        <v>1</v>
      </c>
    </row>
    <row r="199" spans="3:13" x14ac:dyDescent="0.15">
      <c r="C199" s="43">
        <v>166</v>
      </c>
      <c r="D199" s="42">
        <v>166</v>
      </c>
      <c r="E199" s="42">
        <v>0.1328</v>
      </c>
      <c r="F199" s="42">
        <v>97</v>
      </c>
      <c r="G199" s="42">
        <v>16.9984</v>
      </c>
      <c r="H199" s="42">
        <v>5.7064194277108431</v>
      </c>
      <c r="I199" s="42">
        <v>1</v>
      </c>
      <c r="J199" s="42">
        <v>7.5301204819277103</v>
      </c>
      <c r="K199" s="42">
        <v>0.7578125</v>
      </c>
      <c r="L199" s="42">
        <v>0.1328</v>
      </c>
      <c r="M199">
        <v>1</v>
      </c>
    </row>
    <row r="200" spans="3:13" x14ac:dyDescent="0.15">
      <c r="C200" s="43">
        <v>167</v>
      </c>
      <c r="D200" s="42">
        <v>167</v>
      </c>
      <c r="E200" s="42">
        <v>0.1336</v>
      </c>
      <c r="F200" s="42">
        <v>97</v>
      </c>
      <c r="G200" s="42">
        <v>17.1008</v>
      </c>
      <c r="H200" s="42">
        <v>5.6722492514970062</v>
      </c>
      <c r="I200" s="42">
        <v>1</v>
      </c>
      <c r="J200" s="42">
        <v>7.4850299401197606</v>
      </c>
      <c r="K200" s="42">
        <v>0.7578125</v>
      </c>
      <c r="L200" s="42">
        <v>0.1336</v>
      </c>
      <c r="M200">
        <v>1</v>
      </c>
    </row>
    <row r="201" spans="3:13" x14ac:dyDescent="0.15">
      <c r="C201" s="43">
        <v>168</v>
      </c>
      <c r="D201" s="42">
        <v>168</v>
      </c>
      <c r="E201" s="42">
        <v>0.13439999999999999</v>
      </c>
      <c r="F201" s="42">
        <v>98</v>
      </c>
      <c r="G201" s="42">
        <v>17.203200000000002</v>
      </c>
      <c r="H201" s="42">
        <v>5.6966145833333339</v>
      </c>
      <c r="I201" s="42">
        <v>1</v>
      </c>
      <c r="J201" s="42">
        <v>7.4404761904761907</v>
      </c>
      <c r="K201" s="42">
        <v>0.765625</v>
      </c>
      <c r="L201" s="42">
        <v>0.13439999999999999</v>
      </c>
      <c r="M201">
        <v>1</v>
      </c>
    </row>
    <row r="202" spans="3:13" x14ac:dyDescent="0.15">
      <c r="C202" s="43">
        <v>169</v>
      </c>
      <c r="D202" s="42">
        <v>169</v>
      </c>
      <c r="E202" s="42">
        <v>0.13519999999999999</v>
      </c>
      <c r="F202" s="42">
        <v>98</v>
      </c>
      <c r="G202" s="42">
        <v>17.305600000000002</v>
      </c>
      <c r="H202" s="42">
        <v>5.6629068047337281</v>
      </c>
      <c r="I202" s="42">
        <v>1</v>
      </c>
      <c r="J202" s="42">
        <v>7.3964497041420127</v>
      </c>
      <c r="K202" s="42">
        <v>0.765625</v>
      </c>
      <c r="L202" s="42">
        <v>0.13519999999999999</v>
      </c>
      <c r="M202">
        <v>1</v>
      </c>
    </row>
    <row r="203" spans="3:13" x14ac:dyDescent="0.15">
      <c r="C203" s="43">
        <v>170</v>
      </c>
      <c r="D203" s="42">
        <v>170</v>
      </c>
      <c r="E203" s="42">
        <v>0.13600000000000001</v>
      </c>
      <c r="F203" s="42">
        <v>99</v>
      </c>
      <c r="G203" s="42">
        <v>17.408000000000001</v>
      </c>
      <c r="H203" s="42">
        <v>5.6870404411764701</v>
      </c>
      <c r="I203" s="42">
        <v>1</v>
      </c>
      <c r="J203" s="42">
        <v>7.3529411764705879</v>
      </c>
      <c r="K203" s="42">
        <v>0.7734375</v>
      </c>
      <c r="L203" s="42">
        <v>0.13600000000000001</v>
      </c>
      <c r="M203">
        <v>1</v>
      </c>
    </row>
    <row r="204" spans="3:13" x14ac:dyDescent="0.15">
      <c r="C204" s="43">
        <v>171</v>
      </c>
      <c r="D204" s="42">
        <v>171</v>
      </c>
      <c r="E204" s="42">
        <v>0.1368</v>
      </c>
      <c r="F204" s="42">
        <v>100</v>
      </c>
      <c r="G204" s="42">
        <v>17.510400000000001</v>
      </c>
      <c r="H204" s="42">
        <v>5.7108918128654969</v>
      </c>
      <c r="I204" s="42">
        <v>1</v>
      </c>
      <c r="J204" s="42">
        <v>7.3099415204678362</v>
      </c>
      <c r="K204" s="42">
        <v>0.78125</v>
      </c>
      <c r="L204" s="42">
        <v>0.1368</v>
      </c>
      <c r="M204">
        <v>1</v>
      </c>
    </row>
    <row r="205" spans="3:13" x14ac:dyDescent="0.15">
      <c r="C205" s="43">
        <v>172</v>
      </c>
      <c r="D205" s="42">
        <v>172</v>
      </c>
      <c r="E205" s="42">
        <v>0.1376</v>
      </c>
      <c r="F205" s="42">
        <v>101</v>
      </c>
      <c r="G205" s="42">
        <v>17.6128</v>
      </c>
      <c r="H205" s="42">
        <v>5.7344658430232558</v>
      </c>
      <c r="I205" s="42">
        <v>1</v>
      </c>
      <c r="J205" s="42">
        <v>7.2674418604651159</v>
      </c>
      <c r="K205" s="42">
        <v>0.7890625</v>
      </c>
      <c r="L205" s="42">
        <v>0.1376</v>
      </c>
      <c r="M205">
        <v>1</v>
      </c>
    </row>
    <row r="206" spans="3:13" x14ac:dyDescent="0.15">
      <c r="C206" s="43">
        <v>173</v>
      </c>
      <c r="D206" s="42">
        <v>173</v>
      </c>
      <c r="E206" s="42">
        <v>0.1384</v>
      </c>
      <c r="F206" s="42">
        <v>101</v>
      </c>
      <c r="G206" s="42">
        <v>17.715199999999999</v>
      </c>
      <c r="H206" s="42">
        <v>5.7013186416184976</v>
      </c>
      <c r="I206" s="42">
        <v>1</v>
      </c>
      <c r="J206" s="42">
        <v>7.2254335260115612</v>
      </c>
      <c r="K206" s="42">
        <v>0.7890625</v>
      </c>
      <c r="L206" s="42">
        <v>0.1384</v>
      </c>
      <c r="M206">
        <v>1</v>
      </c>
    </row>
    <row r="207" spans="3:13" x14ac:dyDescent="0.15">
      <c r="C207" s="43">
        <v>174</v>
      </c>
      <c r="D207" s="42">
        <v>174</v>
      </c>
      <c r="E207" s="42">
        <v>0.13919999999999999</v>
      </c>
      <c r="F207" s="42">
        <v>101</v>
      </c>
      <c r="G207" s="42">
        <v>17.817600000000002</v>
      </c>
      <c r="H207" s="42">
        <v>5.6685524425287364</v>
      </c>
      <c r="I207" s="42">
        <v>1</v>
      </c>
      <c r="J207" s="42">
        <v>7.1839080459770122</v>
      </c>
      <c r="K207" s="42">
        <v>0.7890625</v>
      </c>
      <c r="L207" s="42">
        <v>0.13919999999999999</v>
      </c>
      <c r="M207">
        <v>1</v>
      </c>
    </row>
    <row r="208" spans="3:13" x14ac:dyDescent="0.15">
      <c r="C208" s="43">
        <v>175</v>
      </c>
      <c r="D208" s="42">
        <v>175</v>
      </c>
      <c r="E208" s="42">
        <v>0.14000000000000001</v>
      </c>
      <c r="F208" s="42">
        <v>101</v>
      </c>
      <c r="G208" s="42">
        <v>17.920000000000002</v>
      </c>
      <c r="H208" s="42">
        <v>5.6361607142857135</v>
      </c>
      <c r="I208" s="42">
        <v>1</v>
      </c>
      <c r="J208" s="42">
        <v>7.1428571428571423</v>
      </c>
      <c r="K208" s="42">
        <v>0.7890625</v>
      </c>
      <c r="L208" s="42">
        <v>0.14000000000000001</v>
      </c>
      <c r="M208">
        <v>1</v>
      </c>
    </row>
    <row r="209" spans="3:13" x14ac:dyDescent="0.15">
      <c r="C209" s="43">
        <v>176</v>
      </c>
      <c r="D209" s="42">
        <v>176</v>
      </c>
      <c r="E209" s="42">
        <v>0.14080000000000001</v>
      </c>
      <c r="F209" s="42">
        <v>101</v>
      </c>
      <c r="G209" s="42">
        <v>18.022400000000001</v>
      </c>
      <c r="H209" s="42">
        <v>5.6041370738636358</v>
      </c>
      <c r="I209" s="42">
        <v>1</v>
      </c>
      <c r="J209" s="42">
        <v>7.1022727272727266</v>
      </c>
      <c r="K209" s="42">
        <v>0.7890625</v>
      </c>
      <c r="L209" s="42">
        <v>0.14080000000000001</v>
      </c>
      <c r="M209">
        <v>1</v>
      </c>
    </row>
    <row r="210" spans="3:13" x14ac:dyDescent="0.15">
      <c r="C210" s="43">
        <v>177</v>
      </c>
      <c r="D210" s="42">
        <v>177</v>
      </c>
      <c r="E210" s="42">
        <v>0.1416</v>
      </c>
      <c r="F210" s="42">
        <v>101</v>
      </c>
      <c r="G210" s="42">
        <v>18.1248</v>
      </c>
      <c r="H210" s="42">
        <v>5.5724752824858754</v>
      </c>
      <c r="I210" s="42">
        <v>1</v>
      </c>
      <c r="J210" s="42">
        <v>7.0621468926553668</v>
      </c>
      <c r="K210" s="42">
        <v>0.7890625</v>
      </c>
      <c r="L210" s="42">
        <v>0.1416</v>
      </c>
      <c r="M210">
        <v>1</v>
      </c>
    </row>
    <row r="211" spans="3:13" x14ac:dyDescent="0.15">
      <c r="C211" s="43">
        <v>178</v>
      </c>
      <c r="D211" s="42">
        <v>178</v>
      </c>
      <c r="E211" s="42">
        <v>0.1424</v>
      </c>
      <c r="F211" s="42">
        <v>101</v>
      </c>
      <c r="G211" s="42">
        <v>18.2272</v>
      </c>
      <c r="H211" s="42">
        <v>5.5411692415730336</v>
      </c>
      <c r="I211" s="42">
        <v>1</v>
      </c>
      <c r="J211" s="42">
        <v>7.02247191011236</v>
      </c>
      <c r="K211" s="42">
        <v>0.7890625</v>
      </c>
      <c r="L211" s="42">
        <v>0.1424</v>
      </c>
      <c r="M211">
        <v>1</v>
      </c>
    </row>
    <row r="212" spans="3:13" x14ac:dyDescent="0.15">
      <c r="C212" s="43">
        <v>179</v>
      </c>
      <c r="D212" s="42">
        <v>179</v>
      </c>
      <c r="E212" s="42">
        <v>0.14319999999999999</v>
      </c>
      <c r="F212" s="42">
        <v>101</v>
      </c>
      <c r="G212" s="42">
        <v>18.329599999999999</v>
      </c>
      <c r="H212" s="42">
        <v>5.5102129888268161</v>
      </c>
      <c r="I212" s="42">
        <v>1</v>
      </c>
      <c r="J212" s="42">
        <v>6.983240223463687</v>
      </c>
      <c r="K212" s="42">
        <v>0.7890625</v>
      </c>
      <c r="L212" s="42">
        <v>0.14319999999999999</v>
      </c>
      <c r="M212">
        <v>1</v>
      </c>
    </row>
    <row r="213" spans="3:13" x14ac:dyDescent="0.15">
      <c r="C213" s="43">
        <v>180</v>
      </c>
      <c r="D213" s="42">
        <v>180</v>
      </c>
      <c r="E213" s="42">
        <v>0.14399999999999999</v>
      </c>
      <c r="F213" s="42">
        <v>102</v>
      </c>
      <c r="G213" s="42">
        <v>18.432000000000002</v>
      </c>
      <c r="H213" s="42">
        <v>5.533854166666667</v>
      </c>
      <c r="I213" s="42">
        <v>1</v>
      </c>
      <c r="J213" s="42">
        <v>6.9444444444444446</v>
      </c>
      <c r="K213" s="42">
        <v>0.796875</v>
      </c>
      <c r="L213" s="42">
        <v>0.14399999999999999</v>
      </c>
      <c r="M213">
        <v>1</v>
      </c>
    </row>
    <row r="214" spans="3:13" x14ac:dyDescent="0.15">
      <c r="C214" s="43">
        <v>181</v>
      </c>
      <c r="D214" s="42">
        <v>181</v>
      </c>
      <c r="E214" s="42">
        <v>0.14480000000000001</v>
      </c>
      <c r="F214" s="42">
        <v>102</v>
      </c>
      <c r="G214" s="42">
        <v>18.534400000000002</v>
      </c>
      <c r="H214" s="42">
        <v>5.5032803867403306</v>
      </c>
      <c r="I214" s="42">
        <v>1</v>
      </c>
      <c r="J214" s="42">
        <v>6.9060773480662974</v>
      </c>
      <c r="K214" s="42">
        <v>0.796875</v>
      </c>
      <c r="L214" s="42">
        <v>0.14480000000000001</v>
      </c>
      <c r="M214">
        <v>1</v>
      </c>
    </row>
    <row r="215" spans="3:13" x14ac:dyDescent="0.15">
      <c r="C215" s="43">
        <v>182</v>
      </c>
      <c r="D215" s="42">
        <v>182</v>
      </c>
      <c r="E215" s="42">
        <v>0.14560000000000001</v>
      </c>
      <c r="F215" s="42">
        <v>103</v>
      </c>
      <c r="G215" s="42">
        <v>18.636800000000001</v>
      </c>
      <c r="H215" s="42">
        <v>5.5266998626373622</v>
      </c>
      <c r="I215" s="42">
        <v>1</v>
      </c>
      <c r="J215" s="42">
        <v>6.8681318681318677</v>
      </c>
      <c r="K215" s="42">
        <v>0.8046875</v>
      </c>
      <c r="L215" s="42">
        <v>0.14560000000000001</v>
      </c>
      <c r="M215">
        <v>1</v>
      </c>
    </row>
    <row r="216" spans="3:13" x14ac:dyDescent="0.15">
      <c r="C216" s="43">
        <v>183</v>
      </c>
      <c r="D216" s="42">
        <v>183</v>
      </c>
      <c r="E216" s="42">
        <v>0.1464</v>
      </c>
      <c r="F216" s="42">
        <v>103</v>
      </c>
      <c r="G216" s="42">
        <v>18.7392</v>
      </c>
      <c r="H216" s="42">
        <v>5.4964993169398904</v>
      </c>
      <c r="I216" s="42">
        <v>1</v>
      </c>
      <c r="J216" s="42">
        <v>6.8306010928961749</v>
      </c>
      <c r="K216" s="42">
        <v>0.8046875</v>
      </c>
      <c r="L216" s="42">
        <v>0.1464</v>
      </c>
      <c r="M216">
        <v>1</v>
      </c>
    </row>
    <row r="217" spans="3:13" x14ac:dyDescent="0.15">
      <c r="C217" s="43">
        <v>184</v>
      </c>
      <c r="D217" s="42">
        <v>184</v>
      </c>
      <c r="E217" s="42">
        <v>0.1472</v>
      </c>
      <c r="F217" s="42">
        <v>103</v>
      </c>
      <c r="G217" s="42">
        <v>18.8416</v>
      </c>
      <c r="H217" s="42">
        <v>5.4666270380434785</v>
      </c>
      <c r="I217" s="42">
        <v>1</v>
      </c>
      <c r="J217" s="42">
        <v>6.7934782608695654</v>
      </c>
      <c r="K217" s="42">
        <v>0.8046875</v>
      </c>
      <c r="L217" s="42">
        <v>0.1472</v>
      </c>
      <c r="M217">
        <v>1</v>
      </c>
    </row>
    <row r="218" spans="3:13" x14ac:dyDescent="0.15">
      <c r="C218" s="43">
        <v>185</v>
      </c>
      <c r="D218" s="42">
        <v>185</v>
      </c>
      <c r="E218" s="42">
        <v>0.14799999999999999</v>
      </c>
      <c r="F218" s="42">
        <v>103</v>
      </c>
      <c r="G218" s="42">
        <v>18.944000000000003</v>
      </c>
      <c r="H218" s="42">
        <v>5.4370777027027026</v>
      </c>
      <c r="I218" s="42">
        <v>1</v>
      </c>
      <c r="J218" s="42">
        <v>6.756756756756757</v>
      </c>
      <c r="K218" s="42">
        <v>0.8046875</v>
      </c>
      <c r="L218" s="42">
        <v>0.14799999999999999</v>
      </c>
      <c r="M218">
        <v>1</v>
      </c>
    </row>
    <row r="219" spans="3:13" x14ac:dyDescent="0.15">
      <c r="C219" s="43">
        <v>186</v>
      </c>
      <c r="D219" s="42">
        <v>186</v>
      </c>
      <c r="E219" s="42">
        <v>0.14879999999999999</v>
      </c>
      <c r="F219" s="42">
        <v>103</v>
      </c>
      <c r="G219" s="42">
        <v>19.046400000000002</v>
      </c>
      <c r="H219" s="42">
        <v>5.407846102150538</v>
      </c>
      <c r="I219" s="42">
        <v>1</v>
      </c>
      <c r="J219" s="42">
        <v>6.720430107526882</v>
      </c>
      <c r="K219" s="42">
        <v>0.8046875</v>
      </c>
      <c r="L219" s="42">
        <v>0.14879999999999999</v>
      </c>
      <c r="M219">
        <v>1</v>
      </c>
    </row>
    <row r="220" spans="3:13" x14ac:dyDescent="0.15">
      <c r="C220" s="43">
        <v>187</v>
      </c>
      <c r="D220" s="42">
        <v>187</v>
      </c>
      <c r="E220" s="42">
        <v>0.14960000000000001</v>
      </c>
      <c r="F220" s="42">
        <v>104</v>
      </c>
      <c r="G220" s="42">
        <v>19.148800000000001</v>
      </c>
      <c r="H220" s="42">
        <v>5.4311497326203204</v>
      </c>
      <c r="I220" s="42">
        <v>1</v>
      </c>
      <c r="J220" s="42">
        <v>6.6844919786096249</v>
      </c>
      <c r="K220" s="42">
        <v>0.8125</v>
      </c>
      <c r="L220" s="42">
        <v>0.14960000000000001</v>
      </c>
      <c r="M220">
        <v>1</v>
      </c>
    </row>
    <row r="221" spans="3:13" x14ac:dyDescent="0.15">
      <c r="C221" s="43">
        <v>188</v>
      </c>
      <c r="D221" s="42">
        <v>188</v>
      </c>
      <c r="E221" s="42">
        <v>0.15040000000000001</v>
      </c>
      <c r="F221" s="42">
        <v>104</v>
      </c>
      <c r="G221" s="42">
        <v>19.251200000000001</v>
      </c>
      <c r="H221" s="42">
        <v>5.4022606382978724</v>
      </c>
      <c r="I221" s="42">
        <v>1</v>
      </c>
      <c r="J221" s="42">
        <v>6.6489361702127656</v>
      </c>
      <c r="K221" s="42">
        <v>0.8125</v>
      </c>
      <c r="L221" s="42">
        <v>0.15040000000000001</v>
      </c>
      <c r="M221">
        <v>1</v>
      </c>
    </row>
    <row r="222" spans="3:13" x14ac:dyDescent="0.15">
      <c r="C222" s="43">
        <v>189</v>
      </c>
      <c r="D222" s="42">
        <v>189</v>
      </c>
      <c r="E222" s="42">
        <v>0.1512</v>
      </c>
      <c r="F222" s="42">
        <v>104</v>
      </c>
      <c r="G222" s="42">
        <v>19.3536</v>
      </c>
      <c r="H222" s="42">
        <v>5.3736772486772484</v>
      </c>
      <c r="I222" s="42">
        <v>1</v>
      </c>
      <c r="J222" s="42">
        <v>6.6137566137566139</v>
      </c>
      <c r="K222" s="42">
        <v>0.8125</v>
      </c>
      <c r="L222" s="42">
        <v>0.1512</v>
      </c>
      <c r="M222">
        <v>1</v>
      </c>
    </row>
    <row r="223" spans="3:13" x14ac:dyDescent="0.15">
      <c r="C223" s="43">
        <v>190</v>
      </c>
      <c r="D223" s="42">
        <v>190</v>
      </c>
      <c r="E223" s="42">
        <v>0.152</v>
      </c>
      <c r="F223" s="42">
        <v>104</v>
      </c>
      <c r="G223" s="42">
        <v>19.456</v>
      </c>
      <c r="H223" s="42">
        <v>5.3453947368421053</v>
      </c>
      <c r="I223" s="42">
        <v>1</v>
      </c>
      <c r="J223" s="42">
        <v>6.5789473684210531</v>
      </c>
      <c r="K223" s="42">
        <v>0.8125</v>
      </c>
      <c r="L223" s="42">
        <v>0.152</v>
      </c>
      <c r="M223">
        <v>1</v>
      </c>
    </row>
    <row r="224" spans="3:13" x14ac:dyDescent="0.15">
      <c r="C224" s="43">
        <v>191</v>
      </c>
      <c r="D224" s="42">
        <v>191</v>
      </c>
      <c r="E224" s="42">
        <v>0.15279999999999999</v>
      </c>
      <c r="F224" s="42">
        <v>104</v>
      </c>
      <c r="G224" s="42">
        <v>19.558400000000002</v>
      </c>
      <c r="H224" s="42">
        <v>5.3174083769633507</v>
      </c>
      <c r="I224" s="42">
        <v>1</v>
      </c>
      <c r="J224" s="42">
        <v>6.5445026178010473</v>
      </c>
      <c r="K224" s="42">
        <v>0.8125</v>
      </c>
      <c r="L224" s="42">
        <v>0.15279999999999999</v>
      </c>
      <c r="M224">
        <v>1</v>
      </c>
    </row>
    <row r="225" spans="3:13" x14ac:dyDescent="0.15">
      <c r="C225" s="43">
        <v>192</v>
      </c>
      <c r="D225" s="42">
        <v>192</v>
      </c>
      <c r="E225" s="42">
        <v>0.15359999999999999</v>
      </c>
      <c r="F225" s="42">
        <v>105</v>
      </c>
      <c r="G225" s="42">
        <v>19.660800000000002</v>
      </c>
      <c r="H225" s="42">
        <v>5.3405761718750009</v>
      </c>
      <c r="I225" s="42">
        <v>1</v>
      </c>
      <c r="J225" s="42">
        <v>6.510416666666667</v>
      </c>
      <c r="K225" s="42">
        <v>0.8203125</v>
      </c>
      <c r="L225" s="42">
        <v>0.15359999999999999</v>
      </c>
      <c r="M225">
        <v>1</v>
      </c>
    </row>
    <row r="226" spans="3:13" x14ac:dyDescent="0.15">
      <c r="C226" s="43">
        <v>193</v>
      </c>
      <c r="D226" s="42">
        <v>193</v>
      </c>
      <c r="E226" s="42">
        <v>0.15440000000000001</v>
      </c>
      <c r="F226" s="42">
        <v>105</v>
      </c>
      <c r="G226" s="42">
        <v>19.763200000000001</v>
      </c>
      <c r="H226" s="42">
        <v>5.3129047927461137</v>
      </c>
      <c r="I226" s="42">
        <v>1</v>
      </c>
      <c r="J226" s="42">
        <v>6.4766839378238341</v>
      </c>
      <c r="K226" s="42">
        <v>0.8203125</v>
      </c>
      <c r="L226" s="42">
        <v>0.15440000000000001</v>
      </c>
      <c r="M226">
        <v>1</v>
      </c>
    </row>
    <row r="227" spans="3:13" x14ac:dyDescent="0.15">
      <c r="C227" s="43">
        <v>194</v>
      </c>
      <c r="D227" s="42">
        <v>194</v>
      </c>
      <c r="E227" s="42">
        <v>0.1552</v>
      </c>
      <c r="F227" s="42">
        <v>105</v>
      </c>
      <c r="G227" s="42">
        <v>19.865600000000001</v>
      </c>
      <c r="H227" s="42">
        <v>5.28551868556701</v>
      </c>
      <c r="I227" s="42">
        <v>1</v>
      </c>
      <c r="J227" s="42">
        <v>6.4432989690721651</v>
      </c>
      <c r="K227" s="42">
        <v>0.8203125</v>
      </c>
      <c r="L227" s="42">
        <v>0.1552</v>
      </c>
      <c r="M227">
        <v>1</v>
      </c>
    </row>
    <row r="228" spans="3:13" x14ac:dyDescent="0.15">
      <c r="C228" s="43">
        <v>195</v>
      </c>
      <c r="D228" s="42">
        <v>195</v>
      </c>
      <c r="E228" s="42">
        <v>0.156</v>
      </c>
      <c r="F228" s="42">
        <v>105</v>
      </c>
      <c r="G228" s="42">
        <v>19.968</v>
      </c>
      <c r="H228" s="42">
        <v>5.2584134615384617</v>
      </c>
      <c r="I228" s="42">
        <v>1</v>
      </c>
      <c r="J228" s="42">
        <v>6.4102564102564106</v>
      </c>
      <c r="K228" s="42">
        <v>0.8203125</v>
      </c>
      <c r="L228" s="42">
        <v>0.156</v>
      </c>
      <c r="M228">
        <v>1</v>
      </c>
    </row>
    <row r="229" spans="3:13" x14ac:dyDescent="0.15">
      <c r="C229" s="43">
        <v>196</v>
      </c>
      <c r="D229" s="42">
        <v>196</v>
      </c>
      <c r="E229" s="42">
        <v>0.15679999999999999</v>
      </c>
      <c r="F229" s="42">
        <v>105</v>
      </c>
      <c r="G229" s="42">
        <v>20.070399999999999</v>
      </c>
      <c r="H229" s="42">
        <v>5.2315848214285712</v>
      </c>
      <c r="I229" s="42">
        <v>1</v>
      </c>
      <c r="J229" s="42">
        <v>6.3775510204081636</v>
      </c>
      <c r="K229" s="42">
        <v>0.8203125</v>
      </c>
      <c r="L229" s="42">
        <v>0.15679999999999999</v>
      </c>
      <c r="M229">
        <v>1</v>
      </c>
    </row>
    <row r="230" spans="3:13" x14ac:dyDescent="0.15">
      <c r="C230" s="43">
        <v>197</v>
      </c>
      <c r="D230" s="42">
        <v>197</v>
      </c>
      <c r="E230" s="42">
        <v>0.15759999999999999</v>
      </c>
      <c r="F230" s="42">
        <v>105</v>
      </c>
      <c r="G230" s="42">
        <v>20.172800000000002</v>
      </c>
      <c r="H230" s="42">
        <v>5.2050285532994929</v>
      </c>
      <c r="I230" s="42">
        <v>1</v>
      </c>
      <c r="J230" s="42">
        <v>6.3451776649746199</v>
      </c>
      <c r="K230" s="42">
        <v>0.8203125</v>
      </c>
      <c r="L230" s="42">
        <v>0.15759999999999999</v>
      </c>
      <c r="M230">
        <v>1</v>
      </c>
    </row>
    <row r="231" spans="3:13" x14ac:dyDescent="0.15">
      <c r="C231" s="43">
        <v>198</v>
      </c>
      <c r="D231" s="42">
        <v>198</v>
      </c>
      <c r="E231" s="42">
        <v>0.15840000000000001</v>
      </c>
      <c r="F231" s="42">
        <v>105</v>
      </c>
      <c r="G231" s="42">
        <v>20.275200000000002</v>
      </c>
      <c r="H231" s="42">
        <v>5.1787405303030303</v>
      </c>
      <c r="I231" s="42">
        <v>1</v>
      </c>
      <c r="J231" s="42">
        <v>6.3131313131313123</v>
      </c>
      <c r="K231" s="42">
        <v>0.8203125</v>
      </c>
      <c r="L231" s="42">
        <v>0.15840000000000001</v>
      </c>
      <c r="M231">
        <v>1</v>
      </c>
    </row>
    <row r="232" spans="3:13" x14ac:dyDescent="0.15">
      <c r="C232" s="43">
        <v>199</v>
      </c>
      <c r="D232" s="42">
        <v>199</v>
      </c>
      <c r="E232" s="42">
        <v>0.15920000000000001</v>
      </c>
      <c r="F232" s="42">
        <v>106</v>
      </c>
      <c r="G232" s="42">
        <v>20.377600000000001</v>
      </c>
      <c r="H232" s="42">
        <v>5.201790201005025</v>
      </c>
      <c r="I232" s="42">
        <v>1</v>
      </c>
      <c r="J232" s="42">
        <v>6.2814070351758788</v>
      </c>
      <c r="K232" s="42">
        <v>0.828125</v>
      </c>
      <c r="L232" s="42">
        <v>0.15920000000000001</v>
      </c>
      <c r="M232">
        <v>1</v>
      </c>
    </row>
    <row r="233" spans="3:13" x14ac:dyDescent="0.15">
      <c r="C233" s="43">
        <v>200</v>
      </c>
      <c r="D233" s="42">
        <v>200</v>
      </c>
      <c r="E233" s="42">
        <v>0.16</v>
      </c>
      <c r="F233" s="42">
        <v>106</v>
      </c>
      <c r="G233" s="42">
        <v>20.48</v>
      </c>
      <c r="H233" s="42">
        <v>5.17578125</v>
      </c>
      <c r="I233" s="42">
        <v>1</v>
      </c>
      <c r="J233" s="42">
        <v>6.25</v>
      </c>
      <c r="K233" s="42">
        <v>0.828125</v>
      </c>
      <c r="L233" s="42">
        <v>0.16</v>
      </c>
      <c r="M233">
        <v>1</v>
      </c>
    </row>
    <row r="234" spans="3:13" x14ac:dyDescent="0.15">
      <c r="C234" s="43">
        <v>201</v>
      </c>
      <c r="D234" s="42">
        <v>201</v>
      </c>
      <c r="E234" s="42">
        <v>0.1608</v>
      </c>
      <c r="F234" s="42">
        <v>106</v>
      </c>
      <c r="G234" s="42">
        <v>20.5824</v>
      </c>
      <c r="H234" s="42">
        <v>5.1500310945273631</v>
      </c>
      <c r="I234" s="42">
        <v>1</v>
      </c>
      <c r="J234" s="42">
        <v>6.2189054726368163</v>
      </c>
      <c r="K234" s="42">
        <v>0.828125</v>
      </c>
      <c r="L234" s="42">
        <v>0.1608</v>
      </c>
      <c r="M234">
        <v>1</v>
      </c>
    </row>
    <row r="235" spans="3:13" x14ac:dyDescent="0.15">
      <c r="C235" s="43">
        <v>202</v>
      </c>
      <c r="D235" s="42">
        <v>202</v>
      </c>
      <c r="E235" s="42">
        <v>0.16159999999999999</v>
      </c>
      <c r="F235" s="42">
        <v>106</v>
      </c>
      <c r="G235" s="42">
        <v>20.684800000000003</v>
      </c>
      <c r="H235" s="42">
        <v>5.124535891089109</v>
      </c>
      <c r="I235" s="42">
        <v>1</v>
      </c>
      <c r="J235" s="42">
        <v>6.1881188118811883</v>
      </c>
      <c r="K235" s="42">
        <v>0.828125</v>
      </c>
      <c r="L235" s="42">
        <v>0.16159999999999999</v>
      </c>
      <c r="M235">
        <v>1</v>
      </c>
    </row>
    <row r="236" spans="3:13" x14ac:dyDescent="0.15">
      <c r="C236" s="43">
        <v>203</v>
      </c>
      <c r="D236" s="42">
        <v>203</v>
      </c>
      <c r="E236" s="42">
        <v>0.16239999999999999</v>
      </c>
      <c r="F236" s="42">
        <v>106</v>
      </c>
      <c r="G236" s="42">
        <v>20.787200000000002</v>
      </c>
      <c r="H236" s="42">
        <v>5.0992918719211824</v>
      </c>
      <c r="I236" s="42">
        <v>1</v>
      </c>
      <c r="J236" s="42">
        <v>6.1576354679802963</v>
      </c>
      <c r="K236" s="42">
        <v>0.828125</v>
      </c>
      <c r="L236" s="42">
        <v>0.16239999999999999</v>
      </c>
      <c r="M236">
        <v>1</v>
      </c>
    </row>
    <row r="237" spans="3:13" x14ac:dyDescent="0.15">
      <c r="C237" s="43">
        <v>204</v>
      </c>
      <c r="D237" s="42">
        <v>204</v>
      </c>
      <c r="E237" s="42">
        <v>0.16320000000000001</v>
      </c>
      <c r="F237" s="42">
        <v>106</v>
      </c>
      <c r="G237" s="42">
        <v>20.889600000000002</v>
      </c>
      <c r="H237" s="42">
        <v>5.0742953431372548</v>
      </c>
      <c r="I237" s="42">
        <v>1</v>
      </c>
      <c r="J237" s="42">
        <v>6.1274509803921564</v>
      </c>
      <c r="K237" s="42">
        <v>0.828125</v>
      </c>
      <c r="L237" s="42">
        <v>0.16320000000000001</v>
      </c>
      <c r="M237">
        <v>1</v>
      </c>
    </row>
    <row r="238" spans="3:13" x14ac:dyDescent="0.15">
      <c r="C238" s="43">
        <v>205</v>
      </c>
      <c r="D238" s="42">
        <v>205</v>
      </c>
      <c r="E238" s="42">
        <v>0.16400000000000001</v>
      </c>
      <c r="F238" s="42">
        <v>106</v>
      </c>
      <c r="G238" s="42">
        <v>20.992000000000001</v>
      </c>
      <c r="H238" s="42">
        <v>5.0495426829268286</v>
      </c>
      <c r="I238" s="42">
        <v>1</v>
      </c>
      <c r="J238" s="42">
        <v>6.0975609756097562</v>
      </c>
      <c r="K238" s="42">
        <v>0.828125</v>
      </c>
      <c r="L238" s="42">
        <v>0.16400000000000001</v>
      </c>
      <c r="M238">
        <v>1</v>
      </c>
    </row>
    <row r="239" spans="3:13" x14ac:dyDescent="0.15">
      <c r="C239" s="43">
        <v>206</v>
      </c>
      <c r="D239" s="42">
        <v>206</v>
      </c>
      <c r="E239" s="42">
        <v>0.1648</v>
      </c>
      <c r="F239" s="42">
        <v>106</v>
      </c>
      <c r="G239" s="42">
        <v>21.0944</v>
      </c>
      <c r="H239" s="42">
        <v>5.0250303398058254</v>
      </c>
      <c r="I239" s="42">
        <v>1</v>
      </c>
      <c r="J239" s="42">
        <v>6.0679611650485432</v>
      </c>
      <c r="K239" s="42">
        <v>0.828125</v>
      </c>
      <c r="L239" s="42">
        <v>0.1648</v>
      </c>
      <c r="M239">
        <v>1</v>
      </c>
    </row>
    <row r="240" spans="3:13" x14ac:dyDescent="0.15">
      <c r="C240" s="43">
        <v>207</v>
      </c>
      <c r="D240" s="42">
        <v>207</v>
      </c>
      <c r="E240" s="42">
        <v>0.1656</v>
      </c>
      <c r="F240" s="42">
        <v>106</v>
      </c>
      <c r="G240" s="42">
        <v>21.1968</v>
      </c>
      <c r="H240" s="42">
        <v>5.0007548309178746</v>
      </c>
      <c r="I240" s="42">
        <v>1</v>
      </c>
      <c r="J240" s="42">
        <v>6.0386473429951693</v>
      </c>
      <c r="K240" s="42">
        <v>0.828125</v>
      </c>
      <c r="L240" s="42">
        <v>0.1656</v>
      </c>
      <c r="M240">
        <v>1</v>
      </c>
    </row>
    <row r="241" spans="3:13" x14ac:dyDescent="0.15">
      <c r="C241" s="43">
        <v>208</v>
      </c>
      <c r="D241" s="42">
        <v>208</v>
      </c>
      <c r="E241" s="42">
        <v>0.16639999999999999</v>
      </c>
      <c r="F241" s="42">
        <v>106</v>
      </c>
      <c r="G241" s="42">
        <v>21.299200000000003</v>
      </c>
      <c r="H241" s="42">
        <v>4.9767127403846159</v>
      </c>
      <c r="I241" s="42">
        <v>1</v>
      </c>
      <c r="J241" s="42">
        <v>6.009615384615385</v>
      </c>
      <c r="K241" s="42">
        <v>0.828125</v>
      </c>
      <c r="L241" s="42">
        <v>0.16639999999999999</v>
      </c>
      <c r="M241">
        <v>1</v>
      </c>
    </row>
    <row r="242" spans="3:13" x14ac:dyDescent="0.15">
      <c r="C242" s="43">
        <v>209</v>
      </c>
      <c r="D242" s="42">
        <v>209</v>
      </c>
      <c r="E242" s="42">
        <v>0.16719999999999999</v>
      </c>
      <c r="F242" s="42">
        <v>106</v>
      </c>
      <c r="G242" s="42">
        <v>21.401600000000002</v>
      </c>
      <c r="H242" s="42">
        <v>4.9529007177033497</v>
      </c>
      <c r="I242" s="42">
        <v>1</v>
      </c>
      <c r="J242" s="42">
        <v>5.9808612440191391</v>
      </c>
      <c r="K242" s="42">
        <v>0.828125</v>
      </c>
      <c r="L242" s="42">
        <v>0.16719999999999999</v>
      </c>
      <c r="M242">
        <v>1</v>
      </c>
    </row>
    <row r="243" spans="3:13" x14ac:dyDescent="0.15">
      <c r="C243" s="43">
        <v>210</v>
      </c>
      <c r="D243" s="42">
        <v>210</v>
      </c>
      <c r="E243" s="42">
        <v>0.16800000000000001</v>
      </c>
      <c r="F243" s="42">
        <v>106</v>
      </c>
      <c r="G243" s="42">
        <v>21.504000000000001</v>
      </c>
      <c r="H243" s="42">
        <v>4.9293154761904763</v>
      </c>
      <c r="I243" s="42">
        <v>1</v>
      </c>
      <c r="J243" s="42">
        <v>5.9523809523809517</v>
      </c>
      <c r="K243" s="42">
        <v>0.828125</v>
      </c>
      <c r="L243" s="42">
        <v>0.16800000000000001</v>
      </c>
      <c r="M243">
        <v>1</v>
      </c>
    </row>
    <row r="244" spans="3:13" x14ac:dyDescent="0.15">
      <c r="C244" s="43">
        <v>211</v>
      </c>
      <c r="D244" s="42">
        <v>211</v>
      </c>
      <c r="E244" s="42">
        <v>0.16880000000000001</v>
      </c>
      <c r="F244" s="42">
        <v>106</v>
      </c>
      <c r="G244" s="42">
        <v>21.606400000000001</v>
      </c>
      <c r="H244" s="42">
        <v>4.9059537914691944</v>
      </c>
      <c r="I244" s="42">
        <v>1</v>
      </c>
      <c r="J244" s="42">
        <v>5.9241706161137442</v>
      </c>
      <c r="K244" s="42">
        <v>0.828125</v>
      </c>
      <c r="L244" s="42">
        <v>0.16880000000000001</v>
      </c>
      <c r="M244">
        <v>1</v>
      </c>
    </row>
    <row r="245" spans="3:13" x14ac:dyDescent="0.15">
      <c r="C245" s="43">
        <v>212</v>
      </c>
      <c r="D245" s="42">
        <v>212</v>
      </c>
      <c r="E245" s="42">
        <v>0.1696</v>
      </c>
      <c r="F245" s="42">
        <v>106</v>
      </c>
      <c r="G245" s="42">
        <v>21.7088</v>
      </c>
      <c r="H245" s="42">
        <v>4.8828125</v>
      </c>
      <c r="I245" s="42">
        <v>1</v>
      </c>
      <c r="J245" s="42">
        <v>5.8962264150943398</v>
      </c>
      <c r="K245" s="42">
        <v>0.828125</v>
      </c>
      <c r="L245" s="42">
        <v>0.1696</v>
      </c>
      <c r="M245">
        <v>1</v>
      </c>
    </row>
    <row r="246" spans="3:13" x14ac:dyDescent="0.15">
      <c r="C246" s="43">
        <v>213</v>
      </c>
      <c r="D246" s="42">
        <v>213</v>
      </c>
      <c r="E246" s="42">
        <v>0.1704</v>
      </c>
      <c r="F246" s="42">
        <v>106</v>
      </c>
      <c r="G246" s="42">
        <v>21.811199999999999</v>
      </c>
      <c r="H246" s="42">
        <v>4.859888497652582</v>
      </c>
      <c r="I246" s="42">
        <v>1</v>
      </c>
      <c r="J246" s="42">
        <v>5.868544600938967</v>
      </c>
      <c r="K246" s="42">
        <v>0.828125</v>
      </c>
      <c r="L246" s="42">
        <v>0.1704</v>
      </c>
      <c r="M246">
        <v>1</v>
      </c>
    </row>
    <row r="247" spans="3:13" x14ac:dyDescent="0.15">
      <c r="C247" s="43">
        <v>214</v>
      </c>
      <c r="D247" s="42">
        <v>214</v>
      </c>
      <c r="E247" s="42">
        <v>0.17119999999999999</v>
      </c>
      <c r="F247" s="42">
        <v>106</v>
      </c>
      <c r="G247" s="42">
        <v>21.913600000000002</v>
      </c>
      <c r="H247" s="42">
        <v>4.8371787383177569</v>
      </c>
      <c r="I247" s="42">
        <v>1</v>
      </c>
      <c r="J247" s="42">
        <v>5.8411214953271031</v>
      </c>
      <c r="K247" s="42">
        <v>0.828125</v>
      </c>
      <c r="L247" s="42">
        <v>0.17119999999999999</v>
      </c>
      <c r="M247">
        <v>1</v>
      </c>
    </row>
    <row r="248" spans="3:13" x14ac:dyDescent="0.15">
      <c r="C248" s="43">
        <v>215</v>
      </c>
      <c r="D248" s="42">
        <v>215</v>
      </c>
      <c r="E248" s="42">
        <v>0.17199999999999999</v>
      </c>
      <c r="F248" s="42">
        <v>106</v>
      </c>
      <c r="G248" s="42">
        <v>22.016000000000002</v>
      </c>
      <c r="H248" s="42">
        <v>4.8146802325581399</v>
      </c>
      <c r="I248" s="42">
        <v>1</v>
      </c>
      <c r="J248" s="42">
        <v>5.8139534883720936</v>
      </c>
      <c r="K248" s="42">
        <v>0.828125</v>
      </c>
      <c r="L248" s="42">
        <v>0.17199999999999999</v>
      </c>
      <c r="M248">
        <v>1</v>
      </c>
    </row>
    <row r="249" spans="3:13" x14ac:dyDescent="0.15">
      <c r="C249" s="43">
        <v>216</v>
      </c>
      <c r="D249" s="42">
        <v>216</v>
      </c>
      <c r="E249" s="42">
        <v>0.17280000000000001</v>
      </c>
      <c r="F249" s="42">
        <v>106</v>
      </c>
      <c r="G249" s="42">
        <v>22.118400000000001</v>
      </c>
      <c r="H249" s="42">
        <v>4.7923900462962958</v>
      </c>
      <c r="I249" s="42">
        <v>1</v>
      </c>
      <c r="J249" s="42">
        <v>5.7870370370370363</v>
      </c>
      <c r="K249" s="42">
        <v>0.828125</v>
      </c>
      <c r="L249" s="42">
        <v>0.17280000000000001</v>
      </c>
      <c r="M249">
        <v>1</v>
      </c>
    </row>
    <row r="250" spans="3:13" x14ac:dyDescent="0.15">
      <c r="C250" s="43">
        <v>217</v>
      </c>
      <c r="D250" s="42">
        <v>217</v>
      </c>
      <c r="E250" s="42">
        <v>0.1736</v>
      </c>
      <c r="F250" s="42">
        <v>106</v>
      </c>
      <c r="G250" s="42">
        <v>22.220800000000001</v>
      </c>
      <c r="H250" s="42">
        <v>4.7703052995391708</v>
      </c>
      <c r="I250" s="42">
        <v>1</v>
      </c>
      <c r="J250" s="42">
        <v>5.7603686635944698</v>
      </c>
      <c r="K250" s="42">
        <v>0.828125</v>
      </c>
      <c r="L250" s="42">
        <v>0.1736</v>
      </c>
      <c r="M250">
        <v>1</v>
      </c>
    </row>
    <row r="251" spans="3:13" x14ac:dyDescent="0.15">
      <c r="C251" s="43">
        <v>218</v>
      </c>
      <c r="D251" s="42">
        <v>218</v>
      </c>
      <c r="E251" s="42">
        <v>0.1744</v>
      </c>
      <c r="F251" s="42">
        <v>106</v>
      </c>
      <c r="G251" s="42">
        <v>22.3232</v>
      </c>
      <c r="H251" s="42">
        <v>4.7484231651376145</v>
      </c>
      <c r="I251" s="42">
        <v>1</v>
      </c>
      <c r="J251" s="42">
        <v>5.7339449541284404</v>
      </c>
      <c r="K251" s="42">
        <v>0.828125</v>
      </c>
      <c r="L251" s="42">
        <v>0.1744</v>
      </c>
      <c r="M251">
        <v>1</v>
      </c>
    </row>
    <row r="252" spans="3:13" x14ac:dyDescent="0.15">
      <c r="C252" s="43">
        <v>219</v>
      </c>
      <c r="D252" s="42">
        <v>219</v>
      </c>
      <c r="E252" s="42">
        <v>0.17519999999999999</v>
      </c>
      <c r="F252" s="42">
        <v>106</v>
      </c>
      <c r="G252" s="42">
        <v>22.425599999999999</v>
      </c>
      <c r="H252" s="42">
        <v>4.7267408675799087</v>
      </c>
      <c r="I252" s="42">
        <v>1</v>
      </c>
      <c r="J252" s="42">
        <v>5.7077625570776256</v>
      </c>
      <c r="K252" s="42">
        <v>0.828125</v>
      </c>
      <c r="L252" s="42">
        <v>0.17519999999999999</v>
      </c>
      <c r="M252">
        <v>1</v>
      </c>
    </row>
    <row r="253" spans="3:13" x14ac:dyDescent="0.15">
      <c r="C253" s="43">
        <v>220</v>
      </c>
      <c r="D253" s="42">
        <v>220</v>
      </c>
      <c r="E253" s="42">
        <v>0.17599999999999999</v>
      </c>
      <c r="F253" s="42">
        <v>106</v>
      </c>
      <c r="G253" s="42">
        <v>22.528000000000002</v>
      </c>
      <c r="H253" s="42">
        <v>4.7052556818181817</v>
      </c>
      <c r="I253" s="42">
        <v>1</v>
      </c>
      <c r="J253" s="42">
        <v>5.6818181818181825</v>
      </c>
      <c r="K253" s="42">
        <v>0.828125</v>
      </c>
      <c r="L253" s="42">
        <v>0.17599999999999999</v>
      </c>
      <c r="M253">
        <v>1</v>
      </c>
    </row>
    <row r="254" spans="3:13" x14ac:dyDescent="0.15">
      <c r="C254" s="43">
        <v>221</v>
      </c>
      <c r="D254" s="42">
        <v>221</v>
      </c>
      <c r="E254" s="42">
        <v>0.17680000000000001</v>
      </c>
      <c r="F254" s="42">
        <v>106</v>
      </c>
      <c r="G254" s="42">
        <v>22.630400000000002</v>
      </c>
      <c r="H254" s="42">
        <v>4.6839649321266963</v>
      </c>
      <c r="I254" s="42">
        <v>1</v>
      </c>
      <c r="J254" s="42">
        <v>5.6561085972850673</v>
      </c>
      <c r="K254" s="42">
        <v>0.828125</v>
      </c>
      <c r="L254" s="42">
        <v>0.17680000000000001</v>
      </c>
      <c r="M254">
        <v>1</v>
      </c>
    </row>
    <row r="255" spans="3:13" x14ac:dyDescent="0.15">
      <c r="C255" s="43">
        <v>222</v>
      </c>
      <c r="D255" s="42">
        <v>222</v>
      </c>
      <c r="E255" s="42">
        <v>0.17760000000000001</v>
      </c>
      <c r="F255" s="42">
        <v>107</v>
      </c>
      <c r="G255" s="42">
        <v>22.732800000000001</v>
      </c>
      <c r="H255" s="42">
        <v>4.7068552927927927</v>
      </c>
      <c r="I255" s="42">
        <v>1</v>
      </c>
      <c r="J255" s="42">
        <v>5.6306306306306304</v>
      </c>
      <c r="K255" s="42">
        <v>0.8359375</v>
      </c>
      <c r="L255" s="42">
        <v>0.17760000000000001</v>
      </c>
      <c r="M255">
        <v>1</v>
      </c>
    </row>
    <row r="256" spans="3:13" x14ac:dyDescent="0.15">
      <c r="C256" s="43">
        <v>223</v>
      </c>
      <c r="D256" s="42">
        <v>223</v>
      </c>
      <c r="E256" s="42">
        <v>0.1784</v>
      </c>
      <c r="F256" s="42">
        <v>107</v>
      </c>
      <c r="G256" s="42">
        <v>22.8352</v>
      </c>
      <c r="H256" s="42">
        <v>4.6857483183856505</v>
      </c>
      <c r="I256" s="42">
        <v>1</v>
      </c>
      <c r="J256" s="42">
        <v>5.6053811659192823</v>
      </c>
      <c r="K256" s="42">
        <v>0.8359375</v>
      </c>
      <c r="L256" s="42">
        <v>0.1784</v>
      </c>
      <c r="M256">
        <v>1</v>
      </c>
    </row>
    <row r="257" spans="3:13" x14ac:dyDescent="0.15">
      <c r="C257" s="43">
        <v>224</v>
      </c>
      <c r="D257" s="42">
        <v>224</v>
      </c>
      <c r="E257" s="42">
        <v>0.1792</v>
      </c>
      <c r="F257" s="42">
        <v>107</v>
      </c>
      <c r="G257" s="42">
        <v>22.9376</v>
      </c>
      <c r="H257" s="42">
        <v>4.6648297991071432</v>
      </c>
      <c r="I257" s="42">
        <v>1</v>
      </c>
      <c r="J257" s="42">
        <v>5.5803571428571432</v>
      </c>
      <c r="K257" s="42">
        <v>0.8359375</v>
      </c>
      <c r="L257" s="42">
        <v>0.1792</v>
      </c>
      <c r="M257">
        <v>1</v>
      </c>
    </row>
    <row r="258" spans="3:13" x14ac:dyDescent="0.15">
      <c r="C258" s="43">
        <v>225</v>
      </c>
      <c r="D258" s="42">
        <v>225</v>
      </c>
      <c r="E258" s="42">
        <v>0.18</v>
      </c>
      <c r="F258" s="42">
        <v>107</v>
      </c>
      <c r="G258" s="42">
        <v>23.040000000000003</v>
      </c>
      <c r="H258" s="42">
        <v>4.6440972222222223</v>
      </c>
      <c r="I258" s="42">
        <v>1</v>
      </c>
      <c r="J258" s="42">
        <v>5.5555555555555554</v>
      </c>
      <c r="K258" s="42">
        <v>0.8359375</v>
      </c>
      <c r="L258" s="42">
        <v>0.18</v>
      </c>
      <c r="M258">
        <v>1</v>
      </c>
    </row>
    <row r="259" spans="3:13" x14ac:dyDescent="0.15">
      <c r="C259" s="43">
        <v>226</v>
      </c>
      <c r="D259" s="42">
        <v>226</v>
      </c>
      <c r="E259" s="42">
        <v>0.18079999999999999</v>
      </c>
      <c r="F259" s="42">
        <v>108</v>
      </c>
      <c r="G259" s="42">
        <v>23.142400000000002</v>
      </c>
      <c r="H259" s="42">
        <v>4.6667588495575227</v>
      </c>
      <c r="I259" s="42">
        <v>1</v>
      </c>
      <c r="J259" s="42">
        <v>5.5309734513274336</v>
      </c>
      <c r="K259" s="42">
        <v>0.84375</v>
      </c>
      <c r="L259" s="42">
        <v>0.18079999999999999</v>
      </c>
      <c r="M259">
        <v>1</v>
      </c>
    </row>
    <row r="260" spans="3:13" x14ac:dyDescent="0.15">
      <c r="C260" s="43">
        <v>227</v>
      </c>
      <c r="D260" s="42">
        <v>227</v>
      </c>
      <c r="E260" s="42">
        <v>0.18160000000000001</v>
      </c>
      <c r="F260" s="42">
        <v>108</v>
      </c>
      <c r="G260" s="42">
        <v>23.244800000000001</v>
      </c>
      <c r="H260" s="42">
        <v>4.6462004405286343</v>
      </c>
      <c r="I260" s="42">
        <v>1</v>
      </c>
      <c r="J260" s="42">
        <v>5.5066079295154182</v>
      </c>
      <c r="K260" s="42">
        <v>0.84375</v>
      </c>
      <c r="L260" s="42">
        <v>0.18160000000000001</v>
      </c>
      <c r="M260">
        <v>1</v>
      </c>
    </row>
    <row r="261" spans="3:13" x14ac:dyDescent="0.15">
      <c r="C261" s="43">
        <v>228</v>
      </c>
      <c r="D261" s="42">
        <v>228</v>
      </c>
      <c r="E261" s="42">
        <v>0.18240000000000001</v>
      </c>
      <c r="F261" s="42">
        <v>108</v>
      </c>
      <c r="G261" s="42">
        <v>23.347200000000001</v>
      </c>
      <c r="H261" s="42">
        <v>4.6258223684210522</v>
      </c>
      <c r="I261" s="42">
        <v>1</v>
      </c>
      <c r="J261" s="42">
        <v>5.4824561403508767</v>
      </c>
      <c r="K261" s="42">
        <v>0.84375</v>
      </c>
      <c r="L261" s="42">
        <v>0.18240000000000001</v>
      </c>
      <c r="M261">
        <v>1</v>
      </c>
    </row>
    <row r="262" spans="3:13" x14ac:dyDescent="0.15">
      <c r="C262" s="43">
        <v>229</v>
      </c>
      <c r="D262" s="42">
        <v>229</v>
      </c>
      <c r="E262" s="42">
        <v>0.1832</v>
      </c>
      <c r="F262" s="42">
        <v>108</v>
      </c>
      <c r="G262" s="42">
        <v>23.4496</v>
      </c>
      <c r="H262" s="42">
        <v>4.6056222707423577</v>
      </c>
      <c r="I262" s="42">
        <v>1</v>
      </c>
      <c r="J262" s="42">
        <v>5.4585152838427948</v>
      </c>
      <c r="K262" s="42">
        <v>0.84375</v>
      </c>
      <c r="L262" s="42">
        <v>0.1832</v>
      </c>
      <c r="M262">
        <v>1</v>
      </c>
    </row>
    <row r="263" spans="3:13" x14ac:dyDescent="0.15">
      <c r="C263" s="43">
        <v>230</v>
      </c>
      <c r="D263" s="42">
        <v>230</v>
      </c>
      <c r="E263" s="42">
        <v>0.184</v>
      </c>
      <c r="F263" s="42">
        <v>109</v>
      </c>
      <c r="G263" s="42">
        <v>23.552</v>
      </c>
      <c r="H263" s="42">
        <v>4.6280570652173916</v>
      </c>
      <c r="I263" s="42">
        <v>1</v>
      </c>
      <c r="J263" s="42">
        <v>5.4347826086956523</v>
      </c>
      <c r="K263" s="42">
        <v>0.8515625</v>
      </c>
      <c r="L263" s="42">
        <v>0.184</v>
      </c>
      <c r="M263">
        <v>1</v>
      </c>
    </row>
    <row r="264" spans="3:13" x14ac:dyDescent="0.15">
      <c r="C264" s="43">
        <v>231</v>
      </c>
      <c r="D264" s="42">
        <v>231</v>
      </c>
      <c r="E264" s="42">
        <v>0.18479999999999999</v>
      </c>
      <c r="F264" s="42">
        <v>110</v>
      </c>
      <c r="G264" s="42">
        <v>23.654400000000003</v>
      </c>
      <c r="H264" s="42">
        <v>4.6502976190476195</v>
      </c>
      <c r="I264" s="42">
        <v>1</v>
      </c>
      <c r="J264" s="42">
        <v>5.4112554112554117</v>
      </c>
      <c r="K264" s="42">
        <v>0.859375</v>
      </c>
      <c r="L264" s="42">
        <v>0.18479999999999999</v>
      </c>
      <c r="M264">
        <v>1</v>
      </c>
    </row>
    <row r="265" spans="3:13" x14ac:dyDescent="0.15">
      <c r="C265" s="43">
        <v>232</v>
      </c>
      <c r="D265" s="42">
        <v>232</v>
      </c>
      <c r="E265" s="42">
        <v>0.18559999999999999</v>
      </c>
      <c r="F265" s="42">
        <v>110</v>
      </c>
      <c r="G265" s="42">
        <v>23.756800000000002</v>
      </c>
      <c r="H265" s="42">
        <v>4.630253232758621</v>
      </c>
      <c r="I265" s="42">
        <v>1</v>
      </c>
      <c r="J265" s="42">
        <v>5.3879310344827589</v>
      </c>
      <c r="K265" s="42">
        <v>0.859375</v>
      </c>
      <c r="L265" s="42">
        <v>0.18559999999999999</v>
      </c>
      <c r="M265">
        <v>1</v>
      </c>
    </row>
    <row r="266" spans="3:13" x14ac:dyDescent="0.15">
      <c r="C266" s="43">
        <v>233</v>
      </c>
      <c r="D266" s="42">
        <v>233</v>
      </c>
      <c r="E266" s="42">
        <v>0.18640000000000001</v>
      </c>
      <c r="F266" s="42">
        <v>110</v>
      </c>
      <c r="G266" s="42">
        <v>23.859200000000001</v>
      </c>
      <c r="H266" s="42">
        <v>4.6103809012875532</v>
      </c>
      <c r="I266" s="42">
        <v>1</v>
      </c>
      <c r="J266" s="42">
        <v>5.3648068669527893</v>
      </c>
      <c r="K266" s="42">
        <v>0.859375</v>
      </c>
      <c r="L266" s="42">
        <v>0.18640000000000001</v>
      </c>
      <c r="M266">
        <v>1</v>
      </c>
    </row>
    <row r="267" spans="3:13" x14ac:dyDescent="0.15">
      <c r="C267" s="43">
        <v>234</v>
      </c>
      <c r="D267" s="42">
        <v>234</v>
      </c>
      <c r="E267" s="42">
        <v>0.18720000000000001</v>
      </c>
      <c r="F267" s="42">
        <v>110</v>
      </c>
      <c r="G267" s="42">
        <v>23.961600000000001</v>
      </c>
      <c r="H267" s="42">
        <v>4.5906784188034191</v>
      </c>
      <c r="I267" s="42">
        <v>1</v>
      </c>
      <c r="J267" s="42">
        <v>5.3418803418803416</v>
      </c>
      <c r="K267" s="42">
        <v>0.859375</v>
      </c>
      <c r="L267" s="42">
        <v>0.18720000000000001</v>
      </c>
      <c r="M267">
        <v>1</v>
      </c>
    </row>
    <row r="268" spans="3:13" x14ac:dyDescent="0.15">
      <c r="C268" s="43">
        <v>235</v>
      </c>
      <c r="D268" s="42">
        <v>235</v>
      </c>
      <c r="E268" s="42">
        <v>0.188</v>
      </c>
      <c r="F268" s="42">
        <v>110</v>
      </c>
      <c r="G268" s="42">
        <v>24.064</v>
      </c>
      <c r="H268" s="42">
        <v>4.5711436170212769</v>
      </c>
      <c r="I268" s="42">
        <v>1</v>
      </c>
      <c r="J268" s="42">
        <v>5.3191489361702127</v>
      </c>
      <c r="K268" s="42">
        <v>0.859375</v>
      </c>
      <c r="L268" s="42">
        <v>0.188</v>
      </c>
      <c r="M268">
        <v>1</v>
      </c>
    </row>
    <row r="269" spans="3:13" x14ac:dyDescent="0.15">
      <c r="C269" s="43">
        <v>236</v>
      </c>
      <c r="D269" s="42">
        <v>236</v>
      </c>
      <c r="E269" s="42">
        <v>0.1888</v>
      </c>
      <c r="F269" s="42">
        <v>110</v>
      </c>
      <c r="G269" s="42">
        <v>24.166399999999999</v>
      </c>
      <c r="H269" s="42">
        <v>4.5517743644067794</v>
      </c>
      <c r="I269" s="42">
        <v>1</v>
      </c>
      <c r="J269" s="42">
        <v>5.296610169491526</v>
      </c>
      <c r="K269" s="42">
        <v>0.859375</v>
      </c>
      <c r="L269" s="42">
        <v>0.1888</v>
      </c>
      <c r="M269">
        <v>1</v>
      </c>
    </row>
    <row r="270" spans="3:13" x14ac:dyDescent="0.15">
      <c r="C270" s="43">
        <v>237</v>
      </c>
      <c r="D270" s="42">
        <v>237</v>
      </c>
      <c r="E270" s="42">
        <v>0.18959999999999999</v>
      </c>
      <c r="F270" s="42">
        <v>111</v>
      </c>
      <c r="G270" s="42">
        <v>24.268800000000002</v>
      </c>
      <c r="H270" s="42">
        <v>4.5737737341772151</v>
      </c>
      <c r="I270" s="42">
        <v>1</v>
      </c>
      <c r="J270" s="42">
        <v>5.2742616033755274</v>
      </c>
      <c r="K270" s="42">
        <v>0.8671875</v>
      </c>
      <c r="L270" s="42">
        <v>0.18959999999999999</v>
      </c>
      <c r="M270">
        <v>1</v>
      </c>
    </row>
    <row r="271" spans="3:13" x14ac:dyDescent="0.15">
      <c r="C271" s="43">
        <v>238</v>
      </c>
      <c r="D271" s="42">
        <v>238</v>
      </c>
      <c r="E271" s="42">
        <v>0.19040000000000001</v>
      </c>
      <c r="F271" s="42">
        <v>111</v>
      </c>
      <c r="G271" s="42">
        <v>24.371200000000002</v>
      </c>
      <c r="H271" s="42">
        <v>4.5545561974789912</v>
      </c>
      <c r="I271" s="42">
        <v>1</v>
      </c>
      <c r="J271" s="42">
        <v>5.2521008403361344</v>
      </c>
      <c r="K271" s="42">
        <v>0.8671875</v>
      </c>
      <c r="L271" s="42">
        <v>0.19040000000000001</v>
      </c>
      <c r="M271">
        <v>1</v>
      </c>
    </row>
    <row r="272" spans="3:13" x14ac:dyDescent="0.15">
      <c r="C272" s="43">
        <v>239</v>
      </c>
      <c r="D272" s="42">
        <v>239</v>
      </c>
      <c r="E272" s="42">
        <v>0.19120000000000001</v>
      </c>
      <c r="F272" s="42">
        <v>111</v>
      </c>
      <c r="G272" s="42">
        <v>24.473600000000001</v>
      </c>
      <c r="H272" s="42">
        <v>4.5354994769874475</v>
      </c>
      <c r="I272" s="42">
        <v>1</v>
      </c>
      <c r="J272" s="42">
        <v>5.2301255230125516</v>
      </c>
      <c r="K272" s="42">
        <v>0.8671875</v>
      </c>
      <c r="L272" s="42">
        <v>0.19120000000000001</v>
      </c>
      <c r="M272">
        <v>1</v>
      </c>
    </row>
    <row r="273" spans="3:13" x14ac:dyDescent="0.15">
      <c r="C273" s="43">
        <v>240</v>
      </c>
      <c r="D273" s="42">
        <v>240</v>
      </c>
      <c r="E273" s="42">
        <v>0.192</v>
      </c>
      <c r="F273" s="42">
        <v>111</v>
      </c>
      <c r="G273" s="42">
        <v>24.576000000000001</v>
      </c>
      <c r="H273" s="42">
        <v>4.5166015625</v>
      </c>
      <c r="I273" s="42">
        <v>1</v>
      </c>
      <c r="J273" s="42">
        <v>5.208333333333333</v>
      </c>
      <c r="K273" s="42">
        <v>0.8671875</v>
      </c>
      <c r="L273" s="42">
        <v>0.192</v>
      </c>
      <c r="M273">
        <v>1</v>
      </c>
    </row>
    <row r="274" spans="3:13" x14ac:dyDescent="0.15">
      <c r="C274" s="43">
        <v>241</v>
      </c>
      <c r="D274" s="42">
        <v>241</v>
      </c>
      <c r="E274" s="42">
        <v>0.1928</v>
      </c>
      <c r="F274" s="42">
        <v>111</v>
      </c>
      <c r="G274" s="42">
        <v>24.6784</v>
      </c>
      <c r="H274" s="42">
        <v>4.4978604771784232</v>
      </c>
      <c r="I274" s="42">
        <v>1</v>
      </c>
      <c r="J274" s="42">
        <v>5.186721991701245</v>
      </c>
      <c r="K274" s="42">
        <v>0.8671875</v>
      </c>
      <c r="L274" s="42">
        <v>0.1928</v>
      </c>
      <c r="M274">
        <v>1</v>
      </c>
    </row>
    <row r="275" spans="3:13" x14ac:dyDescent="0.15">
      <c r="C275" s="43">
        <v>242</v>
      </c>
      <c r="D275" s="42">
        <v>242</v>
      </c>
      <c r="E275" s="42">
        <v>0.19359999999999999</v>
      </c>
      <c r="F275" s="42">
        <v>111</v>
      </c>
      <c r="G275" s="42">
        <v>24.780800000000003</v>
      </c>
      <c r="H275" s="42">
        <v>4.4792742768595044</v>
      </c>
      <c r="I275" s="42">
        <v>1</v>
      </c>
      <c r="J275" s="42">
        <v>5.1652892561983474</v>
      </c>
      <c r="K275" s="42">
        <v>0.8671875</v>
      </c>
      <c r="L275" s="42">
        <v>0.19359999999999999</v>
      </c>
      <c r="M275">
        <v>1</v>
      </c>
    </row>
    <row r="276" spans="3:13" x14ac:dyDescent="0.15">
      <c r="C276" s="43">
        <v>243</v>
      </c>
      <c r="D276" s="42">
        <v>243</v>
      </c>
      <c r="E276" s="42">
        <v>0.19439999999999999</v>
      </c>
      <c r="F276" s="42">
        <v>112</v>
      </c>
      <c r="G276" s="42">
        <v>24.883200000000002</v>
      </c>
      <c r="H276" s="42">
        <v>4.5010288065843627</v>
      </c>
      <c r="I276" s="42">
        <v>1</v>
      </c>
      <c r="J276" s="42">
        <v>5.1440329218106999</v>
      </c>
      <c r="K276" s="42">
        <v>0.875</v>
      </c>
      <c r="L276" s="42">
        <v>0.19439999999999999</v>
      </c>
      <c r="M276">
        <v>1</v>
      </c>
    </row>
    <row r="277" spans="3:13" x14ac:dyDescent="0.15">
      <c r="C277" s="43">
        <v>244</v>
      </c>
      <c r="D277" s="42">
        <v>244</v>
      </c>
      <c r="E277" s="42">
        <v>0.19520000000000001</v>
      </c>
      <c r="F277" s="42">
        <v>113</v>
      </c>
      <c r="G277" s="42">
        <v>24.985600000000002</v>
      </c>
      <c r="H277" s="42">
        <v>4.5226050204918034</v>
      </c>
      <c r="I277" s="42">
        <v>1</v>
      </c>
      <c r="J277" s="42">
        <v>5.1229508196721305</v>
      </c>
      <c r="K277" s="42">
        <v>0.8828125</v>
      </c>
      <c r="L277" s="42">
        <v>0.19520000000000001</v>
      </c>
      <c r="M277">
        <v>1</v>
      </c>
    </row>
    <row r="278" spans="3:13" x14ac:dyDescent="0.15">
      <c r="C278" s="43">
        <v>245</v>
      </c>
      <c r="D278" s="42">
        <v>245</v>
      </c>
      <c r="E278" s="42">
        <v>0.19600000000000001</v>
      </c>
      <c r="F278" s="42">
        <v>113</v>
      </c>
      <c r="G278" s="42">
        <v>25.088000000000001</v>
      </c>
      <c r="H278" s="42">
        <v>4.5041454081632653</v>
      </c>
      <c r="I278" s="42">
        <v>1</v>
      </c>
      <c r="J278" s="42">
        <v>5.1020408163265305</v>
      </c>
      <c r="K278" s="42">
        <v>0.8828125</v>
      </c>
      <c r="L278" s="42">
        <v>0.19600000000000001</v>
      </c>
      <c r="M278">
        <v>1</v>
      </c>
    </row>
    <row r="279" spans="3:13" x14ac:dyDescent="0.15">
      <c r="C279" s="43">
        <v>246</v>
      </c>
      <c r="D279" s="42">
        <v>246</v>
      </c>
      <c r="E279" s="42">
        <v>0.1968</v>
      </c>
      <c r="F279" s="42">
        <v>114</v>
      </c>
      <c r="G279" s="42">
        <v>25.1904</v>
      </c>
      <c r="H279" s="42">
        <v>4.5255335365853657</v>
      </c>
      <c r="I279" s="42">
        <v>1</v>
      </c>
      <c r="J279" s="42">
        <v>5.0813008130081299</v>
      </c>
      <c r="K279" s="42">
        <v>0.890625</v>
      </c>
      <c r="L279" s="42">
        <v>0.1968</v>
      </c>
      <c r="M279">
        <v>1</v>
      </c>
    </row>
    <row r="280" spans="3:13" x14ac:dyDescent="0.15">
      <c r="C280" s="43">
        <v>247</v>
      </c>
      <c r="D280" s="42">
        <v>247</v>
      </c>
      <c r="E280" s="42">
        <v>0.1976</v>
      </c>
      <c r="F280" s="42">
        <v>114</v>
      </c>
      <c r="G280" s="42">
        <v>25.2928</v>
      </c>
      <c r="H280" s="42">
        <v>4.5072115384615383</v>
      </c>
      <c r="I280" s="42">
        <v>1</v>
      </c>
      <c r="J280" s="42">
        <v>5.0607287449392713</v>
      </c>
      <c r="K280" s="42">
        <v>0.890625</v>
      </c>
      <c r="L280" s="42">
        <v>0.1976</v>
      </c>
      <c r="M280">
        <v>1</v>
      </c>
    </row>
    <row r="281" spans="3:13" x14ac:dyDescent="0.15">
      <c r="C281" s="43">
        <v>248</v>
      </c>
      <c r="D281" s="42">
        <v>248</v>
      </c>
      <c r="E281" s="42">
        <v>0.19839999999999999</v>
      </c>
      <c r="F281" s="42">
        <v>114</v>
      </c>
      <c r="G281" s="42">
        <v>25.395200000000003</v>
      </c>
      <c r="H281" s="42">
        <v>4.489037298387097</v>
      </c>
      <c r="I281" s="42">
        <v>1</v>
      </c>
      <c r="J281" s="42">
        <v>5.040322580645161</v>
      </c>
      <c r="K281" s="42">
        <v>0.890625</v>
      </c>
      <c r="L281" s="42">
        <v>0.19839999999999999</v>
      </c>
      <c r="M281">
        <v>1</v>
      </c>
    </row>
    <row r="282" spans="3:13" x14ac:dyDescent="0.15">
      <c r="C282" s="43">
        <v>249</v>
      </c>
      <c r="D282" s="42">
        <v>249</v>
      </c>
      <c r="E282" s="42">
        <v>0.19919999999999999</v>
      </c>
      <c r="F282" s="42">
        <v>115</v>
      </c>
      <c r="G282" s="42">
        <v>25.497600000000002</v>
      </c>
      <c r="H282" s="42">
        <v>4.5102284136546187</v>
      </c>
      <c r="I282" s="42">
        <v>1</v>
      </c>
      <c r="J282" s="42">
        <v>5.0200803212851408</v>
      </c>
      <c r="K282" s="42">
        <v>0.8984375</v>
      </c>
      <c r="L282" s="42">
        <v>0.19919999999999999</v>
      </c>
      <c r="M282">
        <v>1</v>
      </c>
    </row>
    <row r="283" spans="3:13" x14ac:dyDescent="0.15">
      <c r="C283" s="43">
        <v>250</v>
      </c>
      <c r="D283" s="42">
        <v>250</v>
      </c>
      <c r="E283" s="42">
        <v>0.2</v>
      </c>
      <c r="F283" s="42">
        <v>115</v>
      </c>
      <c r="G283" s="42">
        <v>25.6</v>
      </c>
      <c r="H283" s="42">
        <v>4.4921875</v>
      </c>
      <c r="I283" s="42">
        <v>1</v>
      </c>
      <c r="J283" s="42">
        <v>5</v>
      </c>
      <c r="K283" s="42">
        <v>0.8984375</v>
      </c>
      <c r="L283" s="42">
        <v>0.2</v>
      </c>
      <c r="M283">
        <v>1</v>
      </c>
    </row>
    <row r="284" spans="3:13" x14ac:dyDescent="0.15">
      <c r="C284" s="43">
        <v>251</v>
      </c>
      <c r="D284" s="42">
        <v>251</v>
      </c>
      <c r="E284" s="42">
        <v>0.20080000000000001</v>
      </c>
      <c r="F284" s="42">
        <v>115</v>
      </c>
      <c r="G284" s="42">
        <v>25.702400000000001</v>
      </c>
      <c r="H284" s="42">
        <v>4.4742903386454183</v>
      </c>
      <c r="I284" s="42">
        <v>1</v>
      </c>
      <c r="J284" s="42">
        <v>4.9800796812749004</v>
      </c>
      <c r="K284" s="42">
        <v>0.8984375</v>
      </c>
      <c r="L284" s="42">
        <v>0.20080000000000001</v>
      </c>
      <c r="M284">
        <v>1</v>
      </c>
    </row>
    <row r="285" spans="3:13" x14ac:dyDescent="0.15">
      <c r="C285" s="43">
        <v>252</v>
      </c>
      <c r="D285" s="42">
        <v>252</v>
      </c>
      <c r="E285" s="42">
        <v>0.2016</v>
      </c>
      <c r="F285" s="42">
        <v>115</v>
      </c>
      <c r="G285" s="42">
        <v>25.8048</v>
      </c>
      <c r="H285" s="42">
        <v>4.4565352182539684</v>
      </c>
      <c r="I285" s="42">
        <v>1</v>
      </c>
      <c r="J285" s="42">
        <v>4.9603174603174605</v>
      </c>
      <c r="K285" s="42">
        <v>0.8984375</v>
      </c>
      <c r="L285" s="42">
        <v>0.2016</v>
      </c>
      <c r="M285">
        <v>1</v>
      </c>
    </row>
    <row r="286" spans="3:13" x14ac:dyDescent="0.15">
      <c r="C286" s="43">
        <v>253</v>
      </c>
      <c r="D286" s="42">
        <v>253</v>
      </c>
      <c r="E286" s="42">
        <v>0.2024</v>
      </c>
      <c r="F286" s="42">
        <v>115</v>
      </c>
      <c r="G286" s="42">
        <v>25.9072</v>
      </c>
      <c r="H286" s="42">
        <v>4.438920454545455</v>
      </c>
      <c r="I286" s="42">
        <v>1</v>
      </c>
      <c r="J286" s="42">
        <v>4.9407114624505928</v>
      </c>
      <c r="K286" s="42">
        <v>0.8984375</v>
      </c>
      <c r="L286" s="42">
        <v>0.2024</v>
      </c>
      <c r="M286">
        <v>1</v>
      </c>
    </row>
    <row r="287" spans="3:13" x14ac:dyDescent="0.15">
      <c r="C287" s="43">
        <v>254</v>
      </c>
      <c r="D287" s="42">
        <v>254</v>
      </c>
      <c r="E287" s="42">
        <v>0.20319999999999999</v>
      </c>
      <c r="F287" s="42">
        <v>115</v>
      </c>
      <c r="G287" s="42">
        <v>26.009600000000002</v>
      </c>
      <c r="H287" s="42">
        <v>4.4214443897637796</v>
      </c>
      <c r="I287" s="42">
        <v>1</v>
      </c>
      <c r="J287" s="42">
        <v>4.9212598425196852</v>
      </c>
      <c r="K287" s="42">
        <v>0.8984375</v>
      </c>
      <c r="L287" s="42">
        <v>0.20319999999999999</v>
      </c>
      <c r="M287">
        <v>1</v>
      </c>
    </row>
    <row r="288" spans="3:13" x14ac:dyDescent="0.15">
      <c r="C288" s="43">
        <v>255</v>
      </c>
      <c r="D288" s="42">
        <v>255</v>
      </c>
      <c r="E288" s="42">
        <v>0.20399999999999999</v>
      </c>
      <c r="F288" s="42">
        <v>115</v>
      </c>
      <c r="G288" s="42">
        <v>26.112000000000002</v>
      </c>
      <c r="H288" s="42">
        <v>4.4041053921568629</v>
      </c>
      <c r="I288" s="42">
        <v>1</v>
      </c>
      <c r="J288" s="42">
        <v>4.9019607843137258</v>
      </c>
      <c r="K288" s="42">
        <v>0.8984375</v>
      </c>
      <c r="L288" s="42">
        <v>0.20399999999999999</v>
      </c>
      <c r="M288">
        <v>1</v>
      </c>
    </row>
    <row r="289" spans="3:13" x14ac:dyDescent="0.15">
      <c r="C289" s="43">
        <v>256</v>
      </c>
      <c r="D289" s="42">
        <v>256</v>
      </c>
      <c r="E289" s="42">
        <v>0.20480000000000001</v>
      </c>
      <c r="F289" s="42">
        <v>115</v>
      </c>
      <c r="G289" s="42">
        <v>26.214400000000001</v>
      </c>
      <c r="H289" s="42">
        <v>4.38690185546875</v>
      </c>
      <c r="I289" s="42">
        <v>1</v>
      </c>
      <c r="J289" s="42">
        <v>4.8828125</v>
      </c>
      <c r="K289" s="42">
        <v>0.8984375</v>
      </c>
      <c r="L289" s="42">
        <v>0.20480000000000001</v>
      </c>
      <c r="M289">
        <v>1</v>
      </c>
    </row>
    <row r="290" spans="3:13" x14ac:dyDescent="0.15">
      <c r="C290" s="43">
        <v>257</v>
      </c>
      <c r="D290" s="42">
        <v>257</v>
      </c>
      <c r="E290" s="42">
        <v>0.2056</v>
      </c>
      <c r="F290" s="42">
        <v>115</v>
      </c>
      <c r="G290" s="42">
        <v>26.316800000000001</v>
      </c>
      <c r="H290" s="42">
        <v>4.3698321984435795</v>
      </c>
      <c r="I290" s="42">
        <v>1</v>
      </c>
      <c r="J290" s="42">
        <v>4.863813229571984</v>
      </c>
      <c r="K290" s="42">
        <v>0.8984375</v>
      </c>
      <c r="L290" s="42">
        <v>0.2056</v>
      </c>
      <c r="M290">
        <v>1</v>
      </c>
    </row>
    <row r="291" spans="3:13" x14ac:dyDescent="0.15">
      <c r="C291" s="43">
        <v>258</v>
      </c>
      <c r="D291" s="42">
        <v>258</v>
      </c>
      <c r="E291" s="42">
        <v>0.2064</v>
      </c>
      <c r="F291" s="42">
        <v>115</v>
      </c>
      <c r="G291" s="42">
        <v>26.4192</v>
      </c>
      <c r="H291" s="42">
        <v>4.352894864341085</v>
      </c>
      <c r="I291" s="42">
        <v>1</v>
      </c>
      <c r="J291" s="42">
        <v>4.8449612403100772</v>
      </c>
      <c r="K291" s="42">
        <v>0.8984375</v>
      </c>
      <c r="L291" s="42">
        <v>0.2064</v>
      </c>
      <c r="M291">
        <v>1</v>
      </c>
    </row>
    <row r="292" spans="3:13" x14ac:dyDescent="0.15">
      <c r="C292" s="43">
        <v>259</v>
      </c>
      <c r="D292" s="42">
        <v>259</v>
      </c>
      <c r="E292" s="42">
        <v>0.2072</v>
      </c>
      <c r="F292" s="42">
        <v>115</v>
      </c>
      <c r="G292" s="42">
        <v>26.521600000000003</v>
      </c>
      <c r="H292" s="42">
        <v>4.3360883204633209</v>
      </c>
      <c r="I292" s="42">
        <v>1</v>
      </c>
      <c r="J292" s="42">
        <v>4.8262548262548259</v>
      </c>
      <c r="K292" s="42">
        <v>0.8984375</v>
      </c>
      <c r="L292" s="42">
        <v>0.2072</v>
      </c>
      <c r="M292">
        <v>1</v>
      </c>
    </row>
    <row r="293" spans="3:13" x14ac:dyDescent="0.15">
      <c r="C293" s="43">
        <v>260</v>
      </c>
      <c r="D293" s="42">
        <v>260</v>
      </c>
      <c r="E293" s="42">
        <v>0.20799999999999999</v>
      </c>
      <c r="F293" s="42">
        <v>115</v>
      </c>
      <c r="G293" s="42">
        <v>26.624000000000002</v>
      </c>
      <c r="H293" s="42">
        <v>4.3194110576923075</v>
      </c>
      <c r="I293" s="42">
        <v>1</v>
      </c>
      <c r="J293" s="42">
        <v>4.8076923076923075</v>
      </c>
      <c r="K293" s="42">
        <v>0.8984375</v>
      </c>
      <c r="L293" s="42">
        <v>0.20799999999999999</v>
      </c>
      <c r="M293">
        <v>1</v>
      </c>
    </row>
    <row r="294" spans="3:13" x14ac:dyDescent="0.15">
      <c r="C294" s="43">
        <v>261</v>
      </c>
      <c r="D294" s="42">
        <v>261</v>
      </c>
      <c r="E294" s="42">
        <v>0.20880000000000001</v>
      </c>
      <c r="F294" s="42">
        <v>115</v>
      </c>
      <c r="G294" s="42">
        <v>26.726400000000002</v>
      </c>
      <c r="H294" s="42">
        <v>4.3028615900383143</v>
      </c>
      <c r="I294" s="42">
        <v>1</v>
      </c>
      <c r="J294" s="42">
        <v>4.7892720306513406</v>
      </c>
      <c r="K294" s="42">
        <v>0.8984375</v>
      </c>
      <c r="L294" s="42">
        <v>0.20880000000000001</v>
      </c>
      <c r="M294">
        <v>1</v>
      </c>
    </row>
    <row r="295" spans="3:13" x14ac:dyDescent="0.15">
      <c r="C295" s="43">
        <v>262</v>
      </c>
      <c r="D295" s="42">
        <v>262</v>
      </c>
      <c r="E295" s="42">
        <v>0.20960000000000001</v>
      </c>
      <c r="F295" s="42">
        <v>115</v>
      </c>
      <c r="G295" s="42">
        <v>26.828800000000001</v>
      </c>
      <c r="H295" s="42">
        <v>4.286438454198473</v>
      </c>
      <c r="I295" s="42">
        <v>1</v>
      </c>
      <c r="J295" s="42">
        <v>4.7709923664122131</v>
      </c>
      <c r="K295" s="42">
        <v>0.8984375</v>
      </c>
      <c r="L295" s="42">
        <v>0.20960000000000001</v>
      </c>
      <c r="M295">
        <v>1</v>
      </c>
    </row>
    <row r="296" spans="3:13" x14ac:dyDescent="0.15">
      <c r="C296" s="43">
        <v>263</v>
      </c>
      <c r="D296" s="42">
        <v>263</v>
      </c>
      <c r="E296" s="42">
        <v>0.2104</v>
      </c>
      <c r="F296" s="42">
        <v>115</v>
      </c>
      <c r="G296" s="42">
        <v>26.9312</v>
      </c>
      <c r="H296" s="42">
        <v>4.2701402091254756</v>
      </c>
      <c r="I296" s="42">
        <v>1</v>
      </c>
      <c r="J296" s="42">
        <v>4.752851711026616</v>
      </c>
      <c r="K296" s="42">
        <v>0.8984375</v>
      </c>
      <c r="L296" s="42">
        <v>0.2104</v>
      </c>
      <c r="M296">
        <v>1</v>
      </c>
    </row>
    <row r="297" spans="3:13" x14ac:dyDescent="0.15">
      <c r="C297" s="43">
        <v>264</v>
      </c>
      <c r="D297" s="42">
        <v>264</v>
      </c>
      <c r="E297" s="42">
        <v>0.2112</v>
      </c>
      <c r="F297" s="42">
        <v>115</v>
      </c>
      <c r="G297" s="42">
        <v>27.0336</v>
      </c>
      <c r="H297" s="42">
        <v>4.2539654356060606</v>
      </c>
      <c r="I297" s="42">
        <v>1</v>
      </c>
      <c r="J297" s="42">
        <v>4.7348484848484853</v>
      </c>
      <c r="K297" s="42">
        <v>0.8984375</v>
      </c>
      <c r="L297" s="42">
        <v>0.2112</v>
      </c>
      <c r="M297">
        <v>1</v>
      </c>
    </row>
    <row r="298" spans="3:13" x14ac:dyDescent="0.15">
      <c r="C298" s="43">
        <v>265</v>
      </c>
      <c r="D298" s="42">
        <v>265</v>
      </c>
      <c r="E298" s="42">
        <v>0.21199999999999999</v>
      </c>
      <c r="F298" s="42">
        <v>115</v>
      </c>
      <c r="G298" s="42">
        <v>27.136000000000003</v>
      </c>
      <c r="H298" s="42">
        <v>4.2379127358490569</v>
      </c>
      <c r="I298" s="42">
        <v>1</v>
      </c>
      <c r="J298" s="42">
        <v>4.716981132075472</v>
      </c>
      <c r="K298" s="42">
        <v>0.8984375</v>
      </c>
      <c r="L298" s="42">
        <v>0.21199999999999999</v>
      </c>
      <c r="M298">
        <v>1</v>
      </c>
    </row>
    <row r="299" spans="3:13" x14ac:dyDescent="0.15">
      <c r="C299" s="43">
        <v>266</v>
      </c>
      <c r="D299" s="42">
        <v>266</v>
      </c>
      <c r="E299" s="42">
        <v>0.21279999999999999</v>
      </c>
      <c r="F299" s="42">
        <v>115</v>
      </c>
      <c r="G299" s="42">
        <v>27.238400000000002</v>
      </c>
      <c r="H299" s="42">
        <v>4.2219807330827068</v>
      </c>
      <c r="I299" s="42">
        <v>1</v>
      </c>
      <c r="J299" s="42">
        <v>4.6992481203007523</v>
      </c>
      <c r="K299" s="42">
        <v>0.8984375</v>
      </c>
      <c r="L299" s="42">
        <v>0.21279999999999999</v>
      </c>
      <c r="M299">
        <v>1</v>
      </c>
    </row>
    <row r="300" spans="3:13" x14ac:dyDescent="0.15">
      <c r="C300" s="43">
        <v>267</v>
      </c>
      <c r="D300" s="42">
        <v>267</v>
      </c>
      <c r="E300" s="42">
        <v>0.21360000000000001</v>
      </c>
      <c r="F300" s="42">
        <v>115</v>
      </c>
      <c r="G300" s="42">
        <v>27.340800000000002</v>
      </c>
      <c r="H300" s="42">
        <v>4.2061680711610485</v>
      </c>
      <c r="I300" s="42">
        <v>1</v>
      </c>
      <c r="J300" s="42">
        <v>4.6816479400749058</v>
      </c>
      <c r="K300" s="42">
        <v>0.8984375</v>
      </c>
      <c r="L300" s="42">
        <v>0.21360000000000001</v>
      </c>
      <c r="M300">
        <v>1</v>
      </c>
    </row>
    <row r="301" spans="3:13" x14ac:dyDescent="0.15">
      <c r="C301" s="43">
        <v>268</v>
      </c>
      <c r="D301" s="42">
        <v>268</v>
      </c>
      <c r="E301" s="42">
        <v>0.21440000000000001</v>
      </c>
      <c r="F301" s="42">
        <v>115</v>
      </c>
      <c r="G301" s="42">
        <v>27.443200000000001</v>
      </c>
      <c r="H301" s="42">
        <v>4.1904734141791042</v>
      </c>
      <c r="I301" s="42">
        <v>1</v>
      </c>
      <c r="J301" s="42">
        <v>4.6641791044776122</v>
      </c>
      <c r="K301" s="42">
        <v>0.8984375</v>
      </c>
      <c r="L301" s="42">
        <v>0.21440000000000001</v>
      </c>
      <c r="M301">
        <v>1</v>
      </c>
    </row>
    <row r="302" spans="3:13" x14ac:dyDescent="0.15">
      <c r="C302" s="43">
        <v>269</v>
      </c>
      <c r="D302" s="42">
        <v>269</v>
      </c>
      <c r="E302" s="42">
        <v>0.2152</v>
      </c>
      <c r="F302" s="42">
        <v>115</v>
      </c>
      <c r="G302" s="42">
        <v>27.5456</v>
      </c>
      <c r="H302" s="42">
        <v>4.1748954460966541</v>
      </c>
      <c r="I302" s="42">
        <v>1</v>
      </c>
      <c r="J302" s="42">
        <v>4.6468401486988844</v>
      </c>
      <c r="K302" s="42">
        <v>0.8984375</v>
      </c>
      <c r="L302" s="42">
        <v>0.2152</v>
      </c>
      <c r="M302">
        <v>1</v>
      </c>
    </row>
    <row r="303" spans="3:13" x14ac:dyDescent="0.15">
      <c r="C303" s="43">
        <v>270</v>
      </c>
      <c r="D303" s="42">
        <v>270</v>
      </c>
      <c r="E303" s="42">
        <v>0.216</v>
      </c>
      <c r="F303" s="42">
        <v>115</v>
      </c>
      <c r="G303" s="42">
        <v>27.648</v>
      </c>
      <c r="H303" s="42">
        <v>4.1594328703703702</v>
      </c>
      <c r="I303" s="42">
        <v>1</v>
      </c>
      <c r="J303" s="42">
        <v>4.6296296296296298</v>
      </c>
      <c r="K303" s="42">
        <v>0.8984375</v>
      </c>
      <c r="L303" s="42">
        <v>0.216</v>
      </c>
      <c r="M303">
        <v>1</v>
      </c>
    </row>
    <row r="304" spans="3:13" x14ac:dyDescent="0.15">
      <c r="C304" s="43">
        <v>271</v>
      </c>
      <c r="D304" s="42">
        <v>271</v>
      </c>
      <c r="E304" s="42">
        <v>0.21679999999999999</v>
      </c>
      <c r="F304" s="42">
        <v>115</v>
      </c>
      <c r="G304" s="42">
        <v>27.750400000000003</v>
      </c>
      <c r="H304" s="42">
        <v>4.1440844095940959</v>
      </c>
      <c r="I304" s="42">
        <v>1</v>
      </c>
      <c r="J304" s="42">
        <v>4.6125461254612548</v>
      </c>
      <c r="K304" s="42">
        <v>0.8984375</v>
      </c>
      <c r="L304" s="42">
        <v>0.21679999999999999</v>
      </c>
      <c r="M304">
        <v>1</v>
      </c>
    </row>
    <row r="305" spans="3:13" x14ac:dyDescent="0.15">
      <c r="C305" s="43">
        <v>272</v>
      </c>
      <c r="D305" s="42">
        <v>272</v>
      </c>
      <c r="E305" s="42">
        <v>0.21759999999999999</v>
      </c>
      <c r="F305" s="42">
        <v>115</v>
      </c>
      <c r="G305" s="42">
        <v>27.852800000000002</v>
      </c>
      <c r="H305" s="42">
        <v>4.1288488051470589</v>
      </c>
      <c r="I305" s="42">
        <v>1</v>
      </c>
      <c r="J305" s="42">
        <v>4.5955882352941178</v>
      </c>
      <c r="K305" s="42">
        <v>0.8984375</v>
      </c>
      <c r="L305" s="42">
        <v>0.21759999999999999</v>
      </c>
      <c r="M305">
        <v>1</v>
      </c>
    </row>
    <row r="306" spans="3:13" x14ac:dyDescent="0.15">
      <c r="C306" s="43">
        <v>273</v>
      </c>
      <c r="D306" s="42">
        <v>273</v>
      </c>
      <c r="E306" s="42">
        <v>0.21840000000000001</v>
      </c>
      <c r="F306" s="42">
        <v>116</v>
      </c>
      <c r="G306" s="42">
        <v>27.955200000000001</v>
      </c>
      <c r="H306" s="42">
        <v>4.1494963369963367</v>
      </c>
      <c r="I306" s="42">
        <v>1</v>
      </c>
      <c r="J306" s="42">
        <v>4.5787545787545785</v>
      </c>
      <c r="K306" s="42">
        <v>0.90625</v>
      </c>
      <c r="L306" s="42">
        <v>0.21840000000000001</v>
      </c>
      <c r="M306">
        <v>1</v>
      </c>
    </row>
    <row r="307" spans="3:13" x14ac:dyDescent="0.15">
      <c r="C307" s="43">
        <v>274</v>
      </c>
      <c r="D307" s="42">
        <v>274</v>
      </c>
      <c r="E307" s="42">
        <v>0.21920000000000001</v>
      </c>
      <c r="F307" s="42">
        <v>116</v>
      </c>
      <c r="G307" s="42">
        <v>28.057600000000001</v>
      </c>
      <c r="H307" s="42">
        <v>4.1343521897810218</v>
      </c>
      <c r="I307" s="42">
        <v>1</v>
      </c>
      <c r="J307" s="42">
        <v>4.562043795620438</v>
      </c>
      <c r="K307" s="42">
        <v>0.90625</v>
      </c>
      <c r="L307" s="42">
        <v>0.21920000000000001</v>
      </c>
      <c r="M307">
        <v>1</v>
      </c>
    </row>
    <row r="308" spans="3:13" x14ac:dyDescent="0.15">
      <c r="C308" s="43">
        <v>275</v>
      </c>
      <c r="D308" s="42">
        <v>275</v>
      </c>
      <c r="E308" s="42">
        <v>0.22</v>
      </c>
      <c r="F308" s="42">
        <v>116</v>
      </c>
      <c r="G308" s="42">
        <v>28.16</v>
      </c>
      <c r="H308" s="42">
        <v>4.1193181818181817</v>
      </c>
      <c r="I308" s="42">
        <v>1</v>
      </c>
      <c r="J308" s="42">
        <v>4.5454545454545459</v>
      </c>
      <c r="K308" s="42">
        <v>0.90625</v>
      </c>
      <c r="L308" s="42">
        <v>0.22</v>
      </c>
      <c r="M308">
        <v>1</v>
      </c>
    </row>
    <row r="309" spans="3:13" x14ac:dyDescent="0.15">
      <c r="C309" s="43">
        <v>276</v>
      </c>
      <c r="D309" s="42">
        <v>276</v>
      </c>
      <c r="E309" s="42">
        <v>0.2208</v>
      </c>
      <c r="F309" s="42">
        <v>116</v>
      </c>
      <c r="G309" s="42">
        <v>28.262400000000003</v>
      </c>
      <c r="H309" s="42">
        <v>4.1043931159420293</v>
      </c>
      <c r="I309" s="42">
        <v>1</v>
      </c>
      <c r="J309" s="42">
        <v>4.5289855072463769</v>
      </c>
      <c r="K309" s="42">
        <v>0.90625</v>
      </c>
      <c r="L309" s="42">
        <v>0.2208</v>
      </c>
      <c r="M309">
        <v>1</v>
      </c>
    </row>
    <row r="310" spans="3:13" x14ac:dyDescent="0.15">
      <c r="C310" s="43">
        <v>277</v>
      </c>
      <c r="D310" s="42">
        <v>277</v>
      </c>
      <c r="E310" s="42">
        <v>0.22159999999999999</v>
      </c>
      <c r="F310" s="42">
        <v>116</v>
      </c>
      <c r="G310" s="42">
        <v>28.364800000000002</v>
      </c>
      <c r="H310" s="42">
        <v>4.0895758122743686</v>
      </c>
      <c r="I310" s="42">
        <v>1</v>
      </c>
      <c r="J310" s="42">
        <v>4.512635379061372</v>
      </c>
      <c r="K310" s="42">
        <v>0.90625</v>
      </c>
      <c r="L310" s="42">
        <v>0.22159999999999999</v>
      </c>
      <c r="M310">
        <v>1</v>
      </c>
    </row>
    <row r="311" spans="3:13" x14ac:dyDescent="0.15">
      <c r="C311" s="43">
        <v>278</v>
      </c>
      <c r="D311" s="42">
        <v>278</v>
      </c>
      <c r="E311" s="42">
        <v>0.22239999999999999</v>
      </c>
      <c r="F311" s="42">
        <v>116</v>
      </c>
      <c r="G311" s="42">
        <v>28.467200000000002</v>
      </c>
      <c r="H311" s="42">
        <v>4.0748651079136691</v>
      </c>
      <c r="I311" s="42">
        <v>1</v>
      </c>
      <c r="J311" s="42">
        <v>4.4964028776978422</v>
      </c>
      <c r="K311" s="42">
        <v>0.90625</v>
      </c>
      <c r="L311" s="42">
        <v>0.22239999999999999</v>
      </c>
      <c r="M311">
        <v>1</v>
      </c>
    </row>
    <row r="312" spans="3:13" x14ac:dyDescent="0.15">
      <c r="C312" s="43">
        <v>279</v>
      </c>
      <c r="D312" s="42">
        <v>279</v>
      </c>
      <c r="E312" s="42">
        <v>0.22320000000000001</v>
      </c>
      <c r="F312" s="42">
        <v>116</v>
      </c>
      <c r="G312" s="42">
        <v>28.569600000000001</v>
      </c>
      <c r="H312" s="42">
        <v>4.0602598566308243</v>
      </c>
      <c r="I312" s="42">
        <v>1</v>
      </c>
      <c r="J312" s="42">
        <v>4.4802867383512543</v>
      </c>
      <c r="K312" s="42">
        <v>0.90625</v>
      </c>
      <c r="L312" s="42">
        <v>0.22320000000000001</v>
      </c>
      <c r="M312">
        <v>1</v>
      </c>
    </row>
    <row r="313" spans="3:13" x14ac:dyDescent="0.15">
      <c r="C313" s="43">
        <v>280</v>
      </c>
      <c r="D313" s="42">
        <v>280</v>
      </c>
      <c r="E313" s="42">
        <v>0.224</v>
      </c>
      <c r="F313" s="42">
        <v>116</v>
      </c>
      <c r="G313" s="42">
        <v>28.672000000000001</v>
      </c>
      <c r="H313" s="42">
        <v>4.0457589285714288</v>
      </c>
      <c r="I313" s="42">
        <v>1</v>
      </c>
      <c r="J313" s="42">
        <v>4.4642857142857144</v>
      </c>
      <c r="K313" s="42">
        <v>0.90625</v>
      </c>
      <c r="L313" s="42">
        <v>0.224</v>
      </c>
      <c r="M313">
        <v>1</v>
      </c>
    </row>
    <row r="314" spans="3:13" x14ac:dyDescent="0.15">
      <c r="C314" s="43">
        <v>281</v>
      </c>
      <c r="D314" s="42">
        <v>281</v>
      </c>
      <c r="E314" s="42">
        <v>0.2248</v>
      </c>
      <c r="F314" s="42">
        <v>116</v>
      </c>
      <c r="G314" s="42">
        <v>28.7744</v>
      </c>
      <c r="H314" s="42">
        <v>4.0313612099644125</v>
      </c>
      <c r="I314" s="42">
        <v>1</v>
      </c>
      <c r="J314" s="42">
        <v>4.4483985765124556</v>
      </c>
      <c r="K314" s="42">
        <v>0.90625</v>
      </c>
      <c r="L314" s="42">
        <v>0.2248</v>
      </c>
      <c r="M314">
        <v>1</v>
      </c>
    </row>
    <row r="315" spans="3:13" x14ac:dyDescent="0.15">
      <c r="C315" s="43">
        <v>282</v>
      </c>
      <c r="D315" s="42">
        <v>282</v>
      </c>
      <c r="E315" s="42">
        <v>0.22559999999999999</v>
      </c>
      <c r="F315" s="42">
        <v>116</v>
      </c>
      <c r="G315" s="42">
        <v>28.876800000000003</v>
      </c>
      <c r="H315" s="42">
        <v>4.0170656028368796</v>
      </c>
      <c r="I315" s="42">
        <v>1</v>
      </c>
      <c r="J315" s="42">
        <v>4.4326241134751774</v>
      </c>
      <c r="K315" s="42">
        <v>0.90625</v>
      </c>
      <c r="L315" s="42">
        <v>0.22559999999999999</v>
      </c>
      <c r="M315">
        <v>1</v>
      </c>
    </row>
    <row r="316" spans="3:13" x14ac:dyDescent="0.15">
      <c r="C316" s="43">
        <v>283</v>
      </c>
      <c r="D316" s="42">
        <v>283</v>
      </c>
      <c r="E316" s="42">
        <v>0.22639999999999999</v>
      </c>
      <c r="F316" s="42">
        <v>116</v>
      </c>
      <c r="G316" s="42">
        <v>28.979200000000002</v>
      </c>
      <c r="H316" s="42">
        <v>4.0028710247349828</v>
      </c>
      <c r="I316" s="42">
        <v>1</v>
      </c>
      <c r="J316" s="42">
        <v>4.4169611307420498</v>
      </c>
      <c r="K316" s="42">
        <v>0.90625</v>
      </c>
      <c r="L316" s="42">
        <v>0.22639999999999999</v>
      </c>
      <c r="M316">
        <v>1</v>
      </c>
    </row>
    <row r="317" spans="3:13" x14ac:dyDescent="0.15">
      <c r="C317" s="43">
        <v>284</v>
      </c>
      <c r="D317" s="42">
        <v>284</v>
      </c>
      <c r="E317" s="42">
        <v>0.22720000000000001</v>
      </c>
      <c r="F317" s="42">
        <v>116</v>
      </c>
      <c r="G317" s="42">
        <v>29.081600000000002</v>
      </c>
      <c r="H317" s="42">
        <v>3.988776408450704</v>
      </c>
      <c r="I317" s="42">
        <v>1</v>
      </c>
      <c r="J317" s="42">
        <v>4.401408450704225</v>
      </c>
      <c r="K317" s="42">
        <v>0.90625</v>
      </c>
      <c r="L317" s="42">
        <v>0.22720000000000001</v>
      </c>
      <c r="M317">
        <v>1</v>
      </c>
    </row>
    <row r="318" spans="3:13" x14ac:dyDescent="0.15">
      <c r="C318" s="43">
        <v>285</v>
      </c>
      <c r="D318" s="42">
        <v>285</v>
      </c>
      <c r="E318" s="42">
        <v>0.22800000000000001</v>
      </c>
      <c r="F318" s="42">
        <v>116</v>
      </c>
      <c r="G318" s="42">
        <v>29.184000000000001</v>
      </c>
      <c r="H318" s="42">
        <v>3.9747807017543857</v>
      </c>
      <c r="I318" s="42">
        <v>1</v>
      </c>
      <c r="J318" s="42">
        <v>4.3859649122807012</v>
      </c>
      <c r="K318" s="42">
        <v>0.90625</v>
      </c>
      <c r="L318" s="42">
        <v>0.22800000000000001</v>
      </c>
      <c r="M318">
        <v>1</v>
      </c>
    </row>
    <row r="319" spans="3:13" x14ac:dyDescent="0.15">
      <c r="C319" s="43">
        <v>286</v>
      </c>
      <c r="D319" s="42">
        <v>286</v>
      </c>
      <c r="E319" s="42">
        <v>0.2288</v>
      </c>
      <c r="F319" s="42">
        <v>117</v>
      </c>
      <c r="G319" s="42">
        <v>29.2864</v>
      </c>
      <c r="H319" s="42">
        <v>3.9950284090909092</v>
      </c>
      <c r="I319" s="42">
        <v>1</v>
      </c>
      <c r="J319" s="42">
        <v>4.3706293706293708</v>
      </c>
      <c r="K319" s="42">
        <v>0.9140625</v>
      </c>
      <c r="L319" s="42">
        <v>0.2288</v>
      </c>
      <c r="M319">
        <v>1</v>
      </c>
    </row>
    <row r="320" spans="3:13" x14ac:dyDescent="0.15">
      <c r="C320" s="43">
        <v>287</v>
      </c>
      <c r="D320" s="42">
        <v>287</v>
      </c>
      <c r="E320" s="42">
        <v>0.2296</v>
      </c>
      <c r="F320" s="42">
        <v>117</v>
      </c>
      <c r="G320" s="42">
        <v>29.3888</v>
      </c>
      <c r="H320" s="42">
        <v>3.9811084494773521</v>
      </c>
      <c r="I320" s="42">
        <v>1</v>
      </c>
      <c r="J320" s="42">
        <v>4.3554006968641117</v>
      </c>
      <c r="K320" s="42">
        <v>0.9140625</v>
      </c>
      <c r="L320" s="42">
        <v>0.2296</v>
      </c>
      <c r="M320">
        <v>1</v>
      </c>
    </row>
    <row r="321" spans="3:13" x14ac:dyDescent="0.15">
      <c r="C321" s="43">
        <v>288</v>
      </c>
      <c r="D321" s="42">
        <v>288</v>
      </c>
      <c r="E321" s="42">
        <v>0.23039999999999999</v>
      </c>
      <c r="F321" s="42">
        <v>117</v>
      </c>
      <c r="G321" s="42">
        <v>29.491200000000003</v>
      </c>
      <c r="H321" s="42">
        <v>3.96728515625</v>
      </c>
      <c r="I321" s="42">
        <v>1</v>
      </c>
      <c r="J321" s="42">
        <v>4.3402777777777777</v>
      </c>
      <c r="K321" s="42">
        <v>0.9140625</v>
      </c>
      <c r="L321" s="42">
        <v>0.23039999999999999</v>
      </c>
      <c r="M321">
        <v>1</v>
      </c>
    </row>
    <row r="322" spans="3:13" x14ac:dyDescent="0.15">
      <c r="C322" s="43">
        <v>289</v>
      </c>
      <c r="D322" s="42">
        <v>289</v>
      </c>
      <c r="E322" s="42">
        <v>0.23119999999999999</v>
      </c>
      <c r="F322" s="42">
        <v>117</v>
      </c>
      <c r="G322" s="42">
        <v>29.593600000000002</v>
      </c>
      <c r="H322" s="42">
        <v>3.9535575259515574</v>
      </c>
      <c r="I322" s="42">
        <v>1</v>
      </c>
      <c r="J322" s="42">
        <v>4.3252595155709344</v>
      </c>
      <c r="K322" s="42">
        <v>0.9140625</v>
      </c>
      <c r="L322" s="42">
        <v>0.23119999999999999</v>
      </c>
      <c r="M322">
        <v>1</v>
      </c>
    </row>
    <row r="323" spans="3:13" x14ac:dyDescent="0.15">
      <c r="C323" s="43">
        <v>290</v>
      </c>
      <c r="D323" s="42">
        <v>290</v>
      </c>
      <c r="E323" s="42">
        <v>0.23200000000000001</v>
      </c>
      <c r="F323" s="42">
        <v>117</v>
      </c>
      <c r="G323" s="42">
        <v>29.696000000000002</v>
      </c>
      <c r="H323" s="42">
        <v>3.9399245689655169</v>
      </c>
      <c r="I323" s="42">
        <v>1</v>
      </c>
      <c r="J323" s="42">
        <v>4.3103448275862064</v>
      </c>
      <c r="K323" s="42">
        <v>0.9140625</v>
      </c>
      <c r="L323" s="42">
        <v>0.23200000000000001</v>
      </c>
      <c r="M323">
        <v>1</v>
      </c>
    </row>
    <row r="324" spans="3:13" x14ac:dyDescent="0.15">
      <c r="C324" s="43">
        <v>291</v>
      </c>
      <c r="D324" s="42">
        <v>291</v>
      </c>
      <c r="E324" s="42">
        <v>0.23280000000000001</v>
      </c>
      <c r="F324" s="42">
        <v>117</v>
      </c>
      <c r="G324" s="42">
        <v>29.798400000000001</v>
      </c>
      <c r="H324" s="42">
        <v>3.9263853092783503</v>
      </c>
      <c r="I324" s="42">
        <v>1</v>
      </c>
      <c r="J324" s="42">
        <v>4.2955326460481098</v>
      </c>
      <c r="K324" s="42">
        <v>0.9140625</v>
      </c>
      <c r="L324" s="42">
        <v>0.23280000000000001</v>
      </c>
      <c r="M324">
        <v>1</v>
      </c>
    </row>
    <row r="325" spans="3:13" x14ac:dyDescent="0.15">
      <c r="C325" s="43">
        <v>292</v>
      </c>
      <c r="D325" s="42">
        <v>292</v>
      </c>
      <c r="E325" s="42">
        <v>0.2336</v>
      </c>
      <c r="F325" s="42">
        <v>117</v>
      </c>
      <c r="G325" s="42">
        <v>29.9008</v>
      </c>
      <c r="H325" s="42">
        <v>3.9129387842465753</v>
      </c>
      <c r="I325" s="42">
        <v>1</v>
      </c>
      <c r="J325" s="42">
        <v>4.2808219178082192</v>
      </c>
      <c r="K325" s="42">
        <v>0.9140625</v>
      </c>
      <c r="L325" s="42">
        <v>0.2336</v>
      </c>
      <c r="M325">
        <v>1</v>
      </c>
    </row>
    <row r="326" spans="3:13" x14ac:dyDescent="0.15">
      <c r="C326" s="43">
        <v>293</v>
      </c>
      <c r="D326" s="42">
        <v>293</v>
      </c>
      <c r="E326" s="42">
        <v>0.2344</v>
      </c>
      <c r="F326" s="42">
        <v>117</v>
      </c>
      <c r="G326" s="42">
        <v>30.003200000000003</v>
      </c>
      <c r="H326" s="42">
        <v>3.8995840443686007</v>
      </c>
      <c r="I326" s="42">
        <v>1</v>
      </c>
      <c r="J326" s="42">
        <v>4.2662116040955631</v>
      </c>
      <c r="K326" s="42">
        <v>0.9140625</v>
      </c>
      <c r="L326" s="42">
        <v>0.2344</v>
      </c>
      <c r="M326">
        <v>1</v>
      </c>
    </row>
    <row r="327" spans="3:13" x14ac:dyDescent="0.15">
      <c r="C327" s="43">
        <v>294</v>
      </c>
      <c r="D327" s="42">
        <v>294</v>
      </c>
      <c r="E327" s="42">
        <v>0.23519999999999999</v>
      </c>
      <c r="F327" s="42">
        <v>118</v>
      </c>
      <c r="G327" s="42">
        <v>30.105600000000003</v>
      </c>
      <c r="H327" s="42">
        <v>3.9195365646258504</v>
      </c>
      <c r="I327" s="42">
        <v>1</v>
      </c>
      <c r="J327" s="42">
        <v>4.2517006802721093</v>
      </c>
      <c r="K327" s="42">
        <v>0.921875</v>
      </c>
      <c r="L327" s="42">
        <v>0.23519999999999999</v>
      </c>
      <c r="M327">
        <v>1</v>
      </c>
    </row>
    <row r="328" spans="3:13" x14ac:dyDescent="0.15">
      <c r="C328" s="43">
        <v>295</v>
      </c>
      <c r="D328" s="42">
        <v>295</v>
      </c>
      <c r="E328" s="42">
        <v>0.23599999999999999</v>
      </c>
      <c r="F328" s="42">
        <v>118</v>
      </c>
      <c r="G328" s="42">
        <v>30.208000000000002</v>
      </c>
      <c r="H328" s="42">
        <v>3.90625</v>
      </c>
      <c r="I328" s="42">
        <v>1</v>
      </c>
      <c r="J328" s="42">
        <v>4.2372881355932206</v>
      </c>
      <c r="K328" s="42">
        <v>0.921875</v>
      </c>
      <c r="L328" s="42">
        <v>0.23599999999999999</v>
      </c>
      <c r="M328">
        <v>1</v>
      </c>
    </row>
    <row r="329" spans="3:13" x14ac:dyDescent="0.15">
      <c r="C329" s="43">
        <v>296</v>
      </c>
      <c r="D329" s="42">
        <v>296</v>
      </c>
      <c r="E329" s="42">
        <v>0.23680000000000001</v>
      </c>
      <c r="F329" s="42">
        <v>118</v>
      </c>
      <c r="G329" s="42">
        <v>30.310400000000001</v>
      </c>
      <c r="H329" s="42">
        <v>3.8930532094594592</v>
      </c>
      <c r="I329" s="42">
        <v>1</v>
      </c>
      <c r="J329" s="42">
        <v>4.2229729729729728</v>
      </c>
      <c r="K329" s="42">
        <v>0.921875</v>
      </c>
      <c r="L329" s="42">
        <v>0.23680000000000001</v>
      </c>
      <c r="M329">
        <v>1</v>
      </c>
    </row>
    <row r="330" spans="3:13" x14ac:dyDescent="0.15">
      <c r="C330" s="43">
        <v>297</v>
      </c>
      <c r="D330" s="42">
        <v>297</v>
      </c>
      <c r="E330" s="42">
        <v>0.23760000000000001</v>
      </c>
      <c r="F330" s="42">
        <v>118</v>
      </c>
      <c r="G330" s="42">
        <v>30.412800000000001</v>
      </c>
      <c r="H330" s="42">
        <v>3.8799452861952859</v>
      </c>
      <c r="I330" s="42">
        <v>1</v>
      </c>
      <c r="J330" s="42">
        <v>4.2087542087542085</v>
      </c>
      <c r="K330" s="42">
        <v>0.921875</v>
      </c>
      <c r="L330" s="42">
        <v>0.23760000000000001</v>
      </c>
      <c r="M330">
        <v>1</v>
      </c>
    </row>
    <row r="331" spans="3:13" x14ac:dyDescent="0.15">
      <c r="C331" s="43">
        <v>298</v>
      </c>
      <c r="D331" s="42">
        <v>298</v>
      </c>
      <c r="E331" s="42">
        <v>0.2384</v>
      </c>
      <c r="F331" s="42">
        <v>118</v>
      </c>
      <c r="G331" s="42">
        <v>30.5152</v>
      </c>
      <c r="H331" s="42">
        <v>3.8669253355704698</v>
      </c>
      <c r="I331" s="42">
        <v>1</v>
      </c>
      <c r="J331" s="42">
        <v>4.1946308724832218</v>
      </c>
      <c r="K331" s="42">
        <v>0.921875</v>
      </c>
      <c r="L331" s="42">
        <v>0.2384</v>
      </c>
      <c r="M331">
        <v>1</v>
      </c>
    </row>
    <row r="332" spans="3:13" x14ac:dyDescent="0.15">
      <c r="C332" s="43">
        <v>299</v>
      </c>
      <c r="D332" s="42">
        <v>299</v>
      </c>
      <c r="E332" s="42">
        <v>0.2392</v>
      </c>
      <c r="F332" s="42">
        <v>118</v>
      </c>
      <c r="G332" s="42">
        <v>30.617600000000003</v>
      </c>
      <c r="H332" s="42">
        <v>3.8539924749163879</v>
      </c>
      <c r="I332" s="42">
        <v>1</v>
      </c>
      <c r="J332" s="42">
        <v>4.1806020066889635</v>
      </c>
      <c r="K332" s="42">
        <v>0.921875</v>
      </c>
      <c r="L332" s="42">
        <v>0.2392</v>
      </c>
      <c r="M332">
        <v>1</v>
      </c>
    </row>
    <row r="333" spans="3:13" x14ac:dyDescent="0.15">
      <c r="C333" s="43">
        <v>300</v>
      </c>
      <c r="D333" s="42">
        <v>300</v>
      </c>
      <c r="E333" s="42">
        <v>0.24</v>
      </c>
      <c r="F333" s="42">
        <v>118</v>
      </c>
      <c r="G333" s="42">
        <v>30.720000000000002</v>
      </c>
      <c r="H333" s="42">
        <v>3.8411458333333335</v>
      </c>
      <c r="I333" s="42">
        <v>1</v>
      </c>
      <c r="J333" s="42">
        <v>4.166666666666667</v>
      </c>
      <c r="K333" s="42">
        <v>0.921875</v>
      </c>
      <c r="L333" s="42">
        <v>0.24</v>
      </c>
      <c r="M333">
        <v>1</v>
      </c>
    </row>
    <row r="334" spans="3:13" x14ac:dyDescent="0.15">
      <c r="C334" s="43">
        <v>301</v>
      </c>
      <c r="D334" s="42">
        <v>301</v>
      </c>
      <c r="E334" s="42">
        <v>0.24079999999999999</v>
      </c>
      <c r="F334" s="42">
        <v>118</v>
      </c>
      <c r="G334" s="42">
        <v>30.822400000000002</v>
      </c>
      <c r="H334" s="42">
        <v>3.828384551495017</v>
      </c>
      <c r="I334" s="42">
        <v>1</v>
      </c>
      <c r="J334" s="42">
        <v>4.1528239202657806</v>
      </c>
      <c r="K334" s="42">
        <v>0.921875</v>
      </c>
      <c r="L334" s="42">
        <v>0.24079999999999999</v>
      </c>
      <c r="M334">
        <v>1</v>
      </c>
    </row>
    <row r="335" spans="3:13" x14ac:dyDescent="0.15">
      <c r="C335" s="43">
        <v>302</v>
      </c>
      <c r="D335" s="42">
        <v>302</v>
      </c>
      <c r="E335" s="42">
        <v>0.24160000000000001</v>
      </c>
      <c r="F335" s="42">
        <v>118</v>
      </c>
      <c r="G335" s="42">
        <v>30.924800000000001</v>
      </c>
      <c r="H335" s="42">
        <v>3.8157077814569536</v>
      </c>
      <c r="I335" s="42">
        <v>1</v>
      </c>
      <c r="J335" s="42">
        <v>4.1390728476821188</v>
      </c>
      <c r="K335" s="42">
        <v>0.921875</v>
      </c>
      <c r="L335" s="42">
        <v>0.24160000000000001</v>
      </c>
      <c r="M335">
        <v>1</v>
      </c>
    </row>
    <row r="336" spans="3:13" x14ac:dyDescent="0.15">
      <c r="C336" s="43">
        <v>303</v>
      </c>
      <c r="D336" s="42">
        <v>303</v>
      </c>
      <c r="E336" s="42">
        <v>0.2424</v>
      </c>
      <c r="F336" s="42">
        <v>118</v>
      </c>
      <c r="G336" s="42">
        <v>31.027200000000001</v>
      </c>
      <c r="H336" s="42">
        <v>3.8031146864686467</v>
      </c>
      <c r="I336" s="42">
        <v>1</v>
      </c>
      <c r="J336" s="42">
        <v>4.1254125412541249</v>
      </c>
      <c r="K336" s="42">
        <v>0.921875</v>
      </c>
      <c r="L336" s="42">
        <v>0.2424</v>
      </c>
      <c r="M336">
        <v>1</v>
      </c>
    </row>
    <row r="337" spans="3:13" x14ac:dyDescent="0.15">
      <c r="C337" s="43">
        <v>304</v>
      </c>
      <c r="D337" s="42">
        <v>304</v>
      </c>
      <c r="E337" s="42">
        <v>0.2432</v>
      </c>
      <c r="F337" s="42">
        <v>118</v>
      </c>
      <c r="G337" s="42">
        <v>31.1296</v>
      </c>
      <c r="H337" s="42">
        <v>3.7906044407894739</v>
      </c>
      <c r="I337" s="42">
        <v>1</v>
      </c>
      <c r="J337" s="42">
        <v>4.1118421052631575</v>
      </c>
      <c r="K337" s="42">
        <v>0.921875</v>
      </c>
      <c r="L337" s="42">
        <v>0.2432</v>
      </c>
      <c r="M337">
        <v>1</v>
      </c>
    </row>
    <row r="338" spans="3:13" x14ac:dyDescent="0.15">
      <c r="C338" s="43">
        <v>305</v>
      </c>
      <c r="D338" s="42">
        <v>305</v>
      </c>
      <c r="E338" s="42">
        <v>0.24399999999999999</v>
      </c>
      <c r="F338" s="42">
        <v>118</v>
      </c>
      <c r="G338" s="42">
        <v>31.232000000000003</v>
      </c>
      <c r="H338" s="42">
        <v>3.7781762295081966</v>
      </c>
      <c r="I338" s="42">
        <v>1</v>
      </c>
      <c r="J338" s="42">
        <v>4.0983606557377046</v>
      </c>
      <c r="K338" s="42">
        <v>0.921875</v>
      </c>
      <c r="L338" s="42">
        <v>0.24399999999999999</v>
      </c>
      <c r="M338">
        <v>1</v>
      </c>
    </row>
    <row r="339" spans="3:13" x14ac:dyDescent="0.15">
      <c r="C339" s="43">
        <v>306</v>
      </c>
      <c r="D339" s="42">
        <v>306</v>
      </c>
      <c r="E339" s="42">
        <v>0.24479999999999999</v>
      </c>
      <c r="F339" s="42">
        <v>118</v>
      </c>
      <c r="G339" s="42">
        <v>31.334400000000002</v>
      </c>
      <c r="H339" s="42">
        <v>3.7658292483660132</v>
      </c>
      <c r="I339" s="42">
        <v>1</v>
      </c>
      <c r="J339" s="42">
        <v>4.0849673202614385</v>
      </c>
      <c r="K339" s="42">
        <v>0.921875</v>
      </c>
      <c r="L339" s="42">
        <v>0.24479999999999999</v>
      </c>
      <c r="M339">
        <v>1</v>
      </c>
    </row>
    <row r="340" spans="3:13" x14ac:dyDescent="0.15">
      <c r="C340" s="43">
        <v>307</v>
      </c>
      <c r="D340" s="42">
        <v>307</v>
      </c>
      <c r="E340" s="42">
        <v>0.24560000000000001</v>
      </c>
      <c r="F340" s="42">
        <v>118</v>
      </c>
      <c r="G340" s="42">
        <v>31.436800000000002</v>
      </c>
      <c r="H340" s="42">
        <v>3.7535627035830617</v>
      </c>
      <c r="I340" s="42">
        <v>1</v>
      </c>
      <c r="J340" s="42">
        <v>4.0716612377850163</v>
      </c>
      <c r="K340" s="42">
        <v>0.921875</v>
      </c>
      <c r="L340" s="42">
        <v>0.24560000000000001</v>
      </c>
      <c r="M340">
        <v>1</v>
      </c>
    </row>
    <row r="341" spans="3:13" x14ac:dyDescent="0.15">
      <c r="C341" s="43">
        <v>308</v>
      </c>
      <c r="D341" s="42">
        <v>308</v>
      </c>
      <c r="E341" s="42">
        <v>0.24640000000000001</v>
      </c>
      <c r="F341" s="42">
        <v>118</v>
      </c>
      <c r="G341" s="42">
        <v>31.539200000000001</v>
      </c>
      <c r="H341" s="42">
        <v>3.7413758116883113</v>
      </c>
      <c r="I341" s="42">
        <v>1</v>
      </c>
      <c r="J341" s="42">
        <v>4.0584415584415581</v>
      </c>
      <c r="K341" s="42">
        <v>0.921875</v>
      </c>
      <c r="L341" s="42">
        <v>0.24640000000000001</v>
      </c>
      <c r="M341">
        <v>1</v>
      </c>
    </row>
    <row r="342" spans="3:13" x14ac:dyDescent="0.15">
      <c r="C342" s="43">
        <v>309</v>
      </c>
      <c r="D342" s="42">
        <v>309</v>
      </c>
      <c r="E342" s="42">
        <v>0.2472</v>
      </c>
      <c r="F342" s="42">
        <v>119</v>
      </c>
      <c r="G342" s="42">
        <v>31.6416</v>
      </c>
      <c r="H342" s="42">
        <v>3.7608717637540452</v>
      </c>
      <c r="I342" s="42">
        <v>1</v>
      </c>
      <c r="J342" s="42">
        <v>4.0453074433656955</v>
      </c>
      <c r="K342" s="42">
        <v>0.9296875</v>
      </c>
      <c r="L342" s="42">
        <v>0.2472</v>
      </c>
      <c r="M342">
        <v>1</v>
      </c>
    </row>
    <row r="343" spans="3:13" x14ac:dyDescent="0.15">
      <c r="C343" s="43">
        <v>310</v>
      </c>
      <c r="D343" s="42">
        <v>310</v>
      </c>
      <c r="E343" s="42">
        <v>0.248</v>
      </c>
      <c r="F343" s="42">
        <v>120</v>
      </c>
      <c r="G343" s="42">
        <v>31.744</v>
      </c>
      <c r="H343" s="42">
        <v>3.780241935483871</v>
      </c>
      <c r="I343" s="42">
        <v>1</v>
      </c>
      <c r="J343" s="42">
        <v>4.032258064516129</v>
      </c>
      <c r="K343" s="42">
        <v>0.9375</v>
      </c>
      <c r="L343" s="42">
        <v>0.248</v>
      </c>
      <c r="M343">
        <v>1</v>
      </c>
    </row>
    <row r="344" spans="3:13" x14ac:dyDescent="0.15">
      <c r="C344" s="43">
        <v>311</v>
      </c>
      <c r="D344" s="42">
        <v>311</v>
      </c>
      <c r="E344" s="42">
        <v>0.24879999999999999</v>
      </c>
      <c r="F344" s="42">
        <v>120</v>
      </c>
      <c r="G344" s="42">
        <v>31.846400000000003</v>
      </c>
      <c r="H344" s="42">
        <v>3.7680868167202575</v>
      </c>
      <c r="I344" s="42">
        <v>1</v>
      </c>
      <c r="J344" s="42">
        <v>4.019292604501608</v>
      </c>
      <c r="K344" s="42">
        <v>0.9375</v>
      </c>
      <c r="L344" s="42">
        <v>0.24879999999999999</v>
      </c>
      <c r="M344">
        <v>1</v>
      </c>
    </row>
    <row r="345" spans="3:13" x14ac:dyDescent="0.15">
      <c r="C345" s="43">
        <v>312</v>
      </c>
      <c r="D345" s="42">
        <v>312</v>
      </c>
      <c r="E345" s="42">
        <v>0.24959999999999999</v>
      </c>
      <c r="F345" s="42">
        <v>120</v>
      </c>
      <c r="G345" s="42">
        <v>31.948800000000002</v>
      </c>
      <c r="H345" s="42">
        <v>3.7560096153846154</v>
      </c>
      <c r="I345" s="42">
        <v>1</v>
      </c>
      <c r="J345" s="42">
        <v>4.0064102564102564</v>
      </c>
      <c r="K345" s="42">
        <v>0.9375</v>
      </c>
      <c r="L345" s="42">
        <v>0.24959999999999999</v>
      </c>
      <c r="M345">
        <v>1</v>
      </c>
    </row>
    <row r="346" spans="3:13" x14ac:dyDescent="0.15">
      <c r="C346" s="43">
        <v>313</v>
      </c>
      <c r="D346" s="42">
        <v>313</v>
      </c>
      <c r="E346" s="42">
        <v>0.25040000000000001</v>
      </c>
      <c r="F346" s="42">
        <v>120</v>
      </c>
      <c r="G346" s="42">
        <v>32.051200000000001</v>
      </c>
      <c r="H346" s="42">
        <v>3.7440095846645365</v>
      </c>
      <c r="I346" s="42">
        <v>1</v>
      </c>
      <c r="J346" s="42">
        <v>3.9936102236421722</v>
      </c>
      <c r="K346" s="42">
        <v>0.9375</v>
      </c>
      <c r="L346" s="42">
        <v>0.25040000000000001</v>
      </c>
      <c r="M346">
        <v>1</v>
      </c>
    </row>
    <row r="347" spans="3:13" x14ac:dyDescent="0.15">
      <c r="C347" s="43">
        <v>314</v>
      </c>
      <c r="D347" s="42">
        <v>314</v>
      </c>
      <c r="E347" s="42">
        <v>0.25119999999999998</v>
      </c>
      <c r="F347" s="42">
        <v>121</v>
      </c>
      <c r="G347" s="42">
        <v>32.153600000000004</v>
      </c>
      <c r="H347" s="42">
        <v>3.7631867038216562</v>
      </c>
      <c r="I347" s="42">
        <v>1</v>
      </c>
      <c r="J347" s="42">
        <v>3.9808917197452232</v>
      </c>
      <c r="K347" s="42">
        <v>0.9453125</v>
      </c>
      <c r="L347" s="42">
        <v>0.25119999999999998</v>
      </c>
      <c r="M347">
        <v>1</v>
      </c>
    </row>
    <row r="348" spans="3:13" x14ac:dyDescent="0.15">
      <c r="C348" s="43">
        <v>315</v>
      </c>
      <c r="D348" s="42">
        <v>315</v>
      </c>
      <c r="E348" s="42">
        <v>0.252</v>
      </c>
      <c r="F348" s="42">
        <v>121</v>
      </c>
      <c r="G348" s="42">
        <v>32.256</v>
      </c>
      <c r="H348" s="42">
        <v>3.7512400793650795</v>
      </c>
      <c r="I348" s="42">
        <v>1</v>
      </c>
      <c r="J348" s="42">
        <v>3.9682539682539684</v>
      </c>
      <c r="K348" s="42">
        <v>0.9453125</v>
      </c>
      <c r="L348" s="42">
        <v>0.252</v>
      </c>
      <c r="M348">
        <v>1</v>
      </c>
    </row>
    <row r="349" spans="3:13" x14ac:dyDescent="0.15">
      <c r="C349" s="43">
        <v>316</v>
      </c>
      <c r="D349" s="42">
        <v>316</v>
      </c>
      <c r="E349" s="42">
        <v>0.25280000000000002</v>
      </c>
      <c r="F349" s="42">
        <v>121</v>
      </c>
      <c r="G349" s="42">
        <v>32.358400000000003</v>
      </c>
      <c r="H349" s="42">
        <v>3.739369066455696</v>
      </c>
      <c r="I349" s="42">
        <v>1</v>
      </c>
      <c r="J349" s="42">
        <v>3.9556962025316453</v>
      </c>
      <c r="K349" s="42">
        <v>0.9453125</v>
      </c>
      <c r="L349" s="42">
        <v>0.25280000000000002</v>
      </c>
      <c r="M349">
        <v>1</v>
      </c>
    </row>
    <row r="350" spans="3:13" x14ac:dyDescent="0.15">
      <c r="C350" s="43">
        <v>317</v>
      </c>
      <c r="D350" s="42">
        <v>317</v>
      </c>
      <c r="E350" s="42">
        <v>0.25359999999999999</v>
      </c>
      <c r="F350" s="42">
        <v>121</v>
      </c>
      <c r="G350" s="42">
        <v>32.460799999999999</v>
      </c>
      <c r="H350" s="42">
        <v>3.727572949526814</v>
      </c>
      <c r="I350" s="42">
        <v>1</v>
      </c>
      <c r="J350" s="42">
        <v>3.9432176656151419</v>
      </c>
      <c r="K350" s="42">
        <v>0.9453125</v>
      </c>
      <c r="L350" s="42">
        <v>0.25359999999999999</v>
      </c>
      <c r="M350">
        <v>1</v>
      </c>
    </row>
    <row r="351" spans="3:13" x14ac:dyDescent="0.15">
      <c r="C351" s="43">
        <v>318</v>
      </c>
      <c r="D351" s="42">
        <v>318</v>
      </c>
      <c r="E351" s="42">
        <v>0.25440000000000002</v>
      </c>
      <c r="F351" s="42">
        <v>122</v>
      </c>
      <c r="G351" s="42">
        <v>32.563200000000002</v>
      </c>
      <c r="H351" s="42">
        <v>3.7465605345911945</v>
      </c>
      <c r="I351" s="42">
        <v>1</v>
      </c>
      <c r="J351" s="42">
        <v>3.9308176100628929</v>
      </c>
      <c r="K351" s="42">
        <v>0.953125</v>
      </c>
      <c r="L351" s="42">
        <v>0.25440000000000002</v>
      </c>
      <c r="M351">
        <v>1</v>
      </c>
    </row>
    <row r="352" spans="3:13" x14ac:dyDescent="0.15">
      <c r="C352" s="43">
        <v>319</v>
      </c>
      <c r="D352" s="42">
        <v>319</v>
      </c>
      <c r="E352" s="42">
        <v>0.25519999999999998</v>
      </c>
      <c r="F352" s="42">
        <v>122</v>
      </c>
      <c r="G352" s="42">
        <v>32.665600000000005</v>
      </c>
      <c r="H352" s="42">
        <v>3.7348158307210033</v>
      </c>
      <c r="I352" s="42">
        <v>1</v>
      </c>
      <c r="J352" s="42">
        <v>3.9184952978056429</v>
      </c>
      <c r="K352" s="42">
        <v>0.953125</v>
      </c>
      <c r="L352" s="42">
        <v>0.25519999999999998</v>
      </c>
      <c r="M352">
        <v>1</v>
      </c>
    </row>
    <row r="353" spans="3:13" x14ac:dyDescent="0.15">
      <c r="C353" s="43">
        <v>320</v>
      </c>
      <c r="D353" s="42">
        <v>320</v>
      </c>
      <c r="E353" s="42">
        <v>0.25600000000000001</v>
      </c>
      <c r="F353" s="42">
        <v>122</v>
      </c>
      <c r="G353" s="42">
        <v>32.768000000000001</v>
      </c>
      <c r="H353" s="42">
        <v>3.72314453125</v>
      </c>
      <c r="I353" s="42">
        <v>1</v>
      </c>
      <c r="J353" s="42">
        <v>3.90625</v>
      </c>
      <c r="K353" s="42">
        <v>0.953125</v>
      </c>
      <c r="L353" s="42">
        <v>0.25600000000000001</v>
      </c>
      <c r="M353">
        <v>1</v>
      </c>
    </row>
    <row r="354" spans="3:13" x14ac:dyDescent="0.15">
      <c r="C354" s="43">
        <v>321</v>
      </c>
      <c r="D354" s="42">
        <v>321</v>
      </c>
      <c r="E354" s="42">
        <v>0.25679999999999997</v>
      </c>
      <c r="F354" s="42">
        <v>122</v>
      </c>
      <c r="G354" s="42">
        <v>32.870400000000004</v>
      </c>
      <c r="H354" s="42">
        <v>3.7115459501557635</v>
      </c>
      <c r="I354" s="42">
        <v>1</v>
      </c>
      <c r="J354" s="42">
        <v>3.8940809968847354</v>
      </c>
      <c r="K354" s="42">
        <v>0.953125</v>
      </c>
      <c r="L354" s="42">
        <v>0.25679999999999997</v>
      </c>
      <c r="M354">
        <v>1</v>
      </c>
    </row>
    <row r="355" spans="3:13" x14ac:dyDescent="0.15">
      <c r="C355" s="43">
        <v>322</v>
      </c>
      <c r="D355" s="42">
        <v>322</v>
      </c>
      <c r="E355" s="42">
        <v>0.2576</v>
      </c>
      <c r="F355" s="42">
        <v>122</v>
      </c>
      <c r="G355" s="42">
        <v>32.972799999999999</v>
      </c>
      <c r="H355" s="42">
        <v>3.7000194099378882</v>
      </c>
      <c r="I355" s="42">
        <v>1</v>
      </c>
      <c r="J355" s="42">
        <v>3.8819875776397517</v>
      </c>
      <c r="K355" s="42">
        <v>0.953125</v>
      </c>
      <c r="L355" s="42">
        <v>0.2576</v>
      </c>
      <c r="M355">
        <v>1</v>
      </c>
    </row>
    <row r="356" spans="3:13" x14ac:dyDescent="0.15">
      <c r="C356" s="43">
        <v>323</v>
      </c>
      <c r="D356" s="42">
        <v>323</v>
      </c>
      <c r="E356" s="42">
        <v>0.25840000000000002</v>
      </c>
      <c r="F356" s="42">
        <v>122</v>
      </c>
      <c r="G356" s="42">
        <v>33.075200000000002</v>
      </c>
      <c r="H356" s="42">
        <v>3.688564241486068</v>
      </c>
      <c r="I356" s="42">
        <v>1</v>
      </c>
      <c r="J356" s="42">
        <v>3.8699690402476778</v>
      </c>
      <c r="K356" s="42">
        <v>0.953125</v>
      </c>
      <c r="L356" s="42">
        <v>0.25840000000000002</v>
      </c>
      <c r="M356">
        <v>1</v>
      </c>
    </row>
    <row r="357" spans="3:13" x14ac:dyDescent="0.15">
      <c r="C357" s="43">
        <v>324</v>
      </c>
      <c r="D357" s="42">
        <v>324</v>
      </c>
      <c r="E357" s="42">
        <v>0.25919999999999999</v>
      </c>
      <c r="F357" s="42">
        <v>122</v>
      </c>
      <c r="G357" s="42">
        <v>33.177599999999998</v>
      </c>
      <c r="H357" s="42">
        <v>3.6771797839506175</v>
      </c>
      <c r="I357" s="42">
        <v>1</v>
      </c>
      <c r="J357" s="42">
        <v>3.8580246913580249</v>
      </c>
      <c r="K357" s="42">
        <v>0.953125</v>
      </c>
      <c r="L357" s="42">
        <v>0.25919999999999999</v>
      </c>
      <c r="M357">
        <v>1</v>
      </c>
    </row>
    <row r="358" spans="3:13" x14ac:dyDescent="0.15">
      <c r="C358" s="43">
        <v>325</v>
      </c>
      <c r="D358" s="42">
        <v>325</v>
      </c>
      <c r="E358" s="42">
        <v>0.26</v>
      </c>
      <c r="F358" s="42">
        <v>122</v>
      </c>
      <c r="G358" s="42">
        <v>33.28</v>
      </c>
      <c r="H358" s="42">
        <v>3.6658653846153846</v>
      </c>
      <c r="I358" s="42">
        <v>1</v>
      </c>
      <c r="J358" s="42">
        <v>3.8461538461538458</v>
      </c>
      <c r="K358" s="42">
        <v>0.953125</v>
      </c>
      <c r="L358" s="42">
        <v>0.26</v>
      </c>
      <c r="M358">
        <v>1</v>
      </c>
    </row>
    <row r="359" spans="3:13" x14ac:dyDescent="0.15">
      <c r="C359" s="43">
        <v>326</v>
      </c>
      <c r="D359" s="42">
        <v>326</v>
      </c>
      <c r="E359" s="42">
        <v>0.26079999999999998</v>
      </c>
      <c r="F359" s="42">
        <v>122</v>
      </c>
      <c r="G359" s="42">
        <v>33.382400000000004</v>
      </c>
      <c r="H359" s="42">
        <v>3.6546203987730066</v>
      </c>
      <c r="I359" s="42">
        <v>1</v>
      </c>
      <c r="J359" s="42">
        <v>3.8343558282208594</v>
      </c>
      <c r="K359" s="42">
        <v>0.953125</v>
      </c>
      <c r="L359" s="42">
        <v>0.26079999999999998</v>
      </c>
      <c r="M359">
        <v>1</v>
      </c>
    </row>
    <row r="360" spans="3:13" x14ac:dyDescent="0.15">
      <c r="C360" s="43">
        <v>327</v>
      </c>
      <c r="D360" s="42">
        <v>327</v>
      </c>
      <c r="E360" s="42">
        <v>0.2616</v>
      </c>
      <c r="F360" s="42">
        <v>122</v>
      </c>
      <c r="G360" s="42">
        <v>33.4848</v>
      </c>
      <c r="H360" s="42">
        <v>3.6434441896024463</v>
      </c>
      <c r="I360" s="42">
        <v>1</v>
      </c>
      <c r="J360" s="42">
        <v>3.8226299694189603</v>
      </c>
      <c r="K360" s="42">
        <v>0.953125</v>
      </c>
      <c r="L360" s="42">
        <v>0.2616</v>
      </c>
      <c r="M360">
        <v>1</v>
      </c>
    </row>
    <row r="361" spans="3:13" x14ac:dyDescent="0.15">
      <c r="C361" s="43">
        <v>328</v>
      </c>
      <c r="D361" s="42">
        <v>328</v>
      </c>
      <c r="E361" s="42">
        <v>0.26240000000000002</v>
      </c>
      <c r="F361" s="42">
        <v>122</v>
      </c>
      <c r="G361" s="42">
        <v>33.587200000000003</v>
      </c>
      <c r="H361" s="42">
        <v>3.63233612804878</v>
      </c>
      <c r="I361" s="42">
        <v>1</v>
      </c>
      <c r="J361" s="42">
        <v>3.8109756097560972</v>
      </c>
      <c r="K361" s="42">
        <v>0.953125</v>
      </c>
      <c r="L361" s="42">
        <v>0.26240000000000002</v>
      </c>
      <c r="M361">
        <v>1</v>
      </c>
    </row>
    <row r="362" spans="3:13" x14ac:dyDescent="0.15">
      <c r="C362" s="43">
        <v>329</v>
      </c>
      <c r="D362" s="42">
        <v>329</v>
      </c>
      <c r="E362" s="42">
        <v>0.26319999999999999</v>
      </c>
      <c r="F362" s="42">
        <v>122</v>
      </c>
      <c r="G362" s="42">
        <v>33.689599999999999</v>
      </c>
      <c r="H362" s="42">
        <v>3.6212955927051671</v>
      </c>
      <c r="I362" s="42">
        <v>1</v>
      </c>
      <c r="J362" s="42">
        <v>3.7993920972644379</v>
      </c>
      <c r="K362" s="42">
        <v>0.953125</v>
      </c>
      <c r="L362" s="42">
        <v>0.26319999999999999</v>
      </c>
      <c r="M362">
        <v>1</v>
      </c>
    </row>
    <row r="363" spans="3:13" x14ac:dyDescent="0.15">
      <c r="C363" s="43">
        <v>330</v>
      </c>
      <c r="D363" s="42">
        <v>330</v>
      </c>
      <c r="E363" s="42">
        <v>0.26400000000000001</v>
      </c>
      <c r="F363" s="42">
        <v>122</v>
      </c>
      <c r="G363" s="42">
        <v>33.792000000000002</v>
      </c>
      <c r="H363" s="42">
        <v>3.6103219696969697</v>
      </c>
      <c r="I363" s="42">
        <v>1</v>
      </c>
      <c r="J363" s="42">
        <v>3.7878787878787876</v>
      </c>
      <c r="K363" s="42">
        <v>0.953125</v>
      </c>
      <c r="L363" s="42">
        <v>0.26400000000000001</v>
      </c>
      <c r="M363">
        <v>1</v>
      </c>
    </row>
    <row r="364" spans="3:13" x14ac:dyDescent="0.15">
      <c r="C364" s="43">
        <v>331</v>
      </c>
      <c r="D364" s="42">
        <v>331</v>
      </c>
      <c r="E364" s="42">
        <v>0.26479999999999998</v>
      </c>
      <c r="F364" s="42">
        <v>122</v>
      </c>
      <c r="G364" s="42">
        <v>33.894400000000005</v>
      </c>
      <c r="H364" s="42">
        <v>3.599414652567976</v>
      </c>
      <c r="I364" s="42">
        <v>1</v>
      </c>
      <c r="J364" s="42">
        <v>3.7764350453172209</v>
      </c>
      <c r="K364" s="42">
        <v>0.953125</v>
      </c>
      <c r="L364" s="42">
        <v>0.26479999999999998</v>
      </c>
      <c r="M364">
        <v>1</v>
      </c>
    </row>
    <row r="365" spans="3:13" x14ac:dyDescent="0.15">
      <c r="C365" s="43">
        <v>332</v>
      </c>
      <c r="D365" s="42">
        <v>332</v>
      </c>
      <c r="E365" s="42">
        <v>0.2656</v>
      </c>
      <c r="F365" s="42">
        <v>122</v>
      </c>
      <c r="G365" s="42">
        <v>33.9968</v>
      </c>
      <c r="H365" s="42">
        <v>3.5885730421686746</v>
      </c>
      <c r="I365" s="42">
        <v>1</v>
      </c>
      <c r="J365" s="42">
        <v>3.7650602409638552</v>
      </c>
      <c r="K365" s="42">
        <v>0.953125</v>
      </c>
      <c r="L365" s="42">
        <v>0.2656</v>
      </c>
      <c r="M365">
        <v>1</v>
      </c>
    </row>
    <row r="366" spans="3:13" x14ac:dyDescent="0.15">
      <c r="C366" s="43">
        <v>333</v>
      </c>
      <c r="D366" s="42">
        <v>333</v>
      </c>
      <c r="E366" s="42">
        <v>0.26640000000000003</v>
      </c>
      <c r="F366" s="42">
        <v>122</v>
      </c>
      <c r="G366" s="42">
        <v>34.099200000000003</v>
      </c>
      <c r="H366" s="42">
        <v>3.577796546546546</v>
      </c>
      <c r="I366" s="42">
        <v>1</v>
      </c>
      <c r="J366" s="42">
        <v>3.7537537537537533</v>
      </c>
      <c r="K366" s="42">
        <v>0.953125</v>
      </c>
      <c r="L366" s="42">
        <v>0.26640000000000003</v>
      </c>
      <c r="M366">
        <v>1</v>
      </c>
    </row>
    <row r="367" spans="3:13" x14ac:dyDescent="0.15">
      <c r="C367" s="43">
        <v>334</v>
      </c>
      <c r="D367" s="42">
        <v>334</v>
      </c>
      <c r="E367" s="42">
        <v>0.26719999999999999</v>
      </c>
      <c r="F367" s="42">
        <v>122</v>
      </c>
      <c r="G367" s="42">
        <v>34.201599999999999</v>
      </c>
      <c r="H367" s="42">
        <v>3.5670845808383236</v>
      </c>
      <c r="I367" s="42">
        <v>1</v>
      </c>
      <c r="J367" s="42">
        <v>3.7425149700598803</v>
      </c>
      <c r="K367" s="42">
        <v>0.953125</v>
      </c>
      <c r="L367" s="42">
        <v>0.26719999999999999</v>
      </c>
      <c r="M367">
        <v>1</v>
      </c>
    </row>
    <row r="368" spans="3:13" x14ac:dyDescent="0.15">
      <c r="C368" s="43">
        <v>335</v>
      </c>
      <c r="D368" s="42">
        <v>335</v>
      </c>
      <c r="E368" s="42">
        <v>0.26800000000000002</v>
      </c>
      <c r="F368" s="42">
        <v>122</v>
      </c>
      <c r="G368" s="42">
        <v>34.304000000000002</v>
      </c>
      <c r="H368" s="42">
        <v>3.5564365671641789</v>
      </c>
      <c r="I368" s="42">
        <v>1</v>
      </c>
      <c r="J368" s="42">
        <v>3.7313432835820892</v>
      </c>
      <c r="K368" s="42">
        <v>0.953125</v>
      </c>
      <c r="L368" s="42">
        <v>0.26800000000000002</v>
      </c>
      <c r="M368">
        <v>1</v>
      </c>
    </row>
    <row r="369" spans="3:13" x14ac:dyDescent="0.15">
      <c r="C369" s="43">
        <v>336</v>
      </c>
      <c r="D369" s="42">
        <v>336</v>
      </c>
      <c r="E369" s="42">
        <v>0.26879999999999998</v>
      </c>
      <c r="F369" s="42">
        <v>122</v>
      </c>
      <c r="G369" s="42">
        <v>34.406400000000005</v>
      </c>
      <c r="H369" s="42">
        <v>3.5458519345238098</v>
      </c>
      <c r="I369" s="42">
        <v>1</v>
      </c>
      <c r="J369" s="42">
        <v>3.7202380952380953</v>
      </c>
      <c r="K369" s="42">
        <v>0.953125</v>
      </c>
      <c r="L369" s="42">
        <v>0.26879999999999998</v>
      </c>
      <c r="M369">
        <v>1</v>
      </c>
    </row>
    <row r="370" spans="3:13" x14ac:dyDescent="0.15">
      <c r="C370" s="43">
        <v>337</v>
      </c>
      <c r="D370" s="42">
        <v>337</v>
      </c>
      <c r="E370" s="42">
        <v>0.26960000000000001</v>
      </c>
      <c r="F370" s="42">
        <v>122</v>
      </c>
      <c r="G370" s="42">
        <v>34.508800000000001</v>
      </c>
      <c r="H370" s="42">
        <v>3.535330118694362</v>
      </c>
      <c r="I370" s="42">
        <v>1</v>
      </c>
      <c r="J370" s="42">
        <v>3.7091988130563798</v>
      </c>
      <c r="K370" s="42">
        <v>0.953125</v>
      </c>
      <c r="L370" s="42">
        <v>0.26960000000000001</v>
      </c>
      <c r="M370">
        <v>1</v>
      </c>
    </row>
    <row r="371" spans="3:13" x14ac:dyDescent="0.15">
      <c r="C371" s="43">
        <v>338</v>
      </c>
      <c r="D371" s="42">
        <v>338</v>
      </c>
      <c r="E371" s="42">
        <v>0.27039999999999997</v>
      </c>
      <c r="F371" s="42">
        <v>122</v>
      </c>
      <c r="G371" s="42">
        <v>34.611200000000004</v>
      </c>
      <c r="H371" s="42">
        <v>3.5248705621301779</v>
      </c>
      <c r="I371" s="42">
        <v>1</v>
      </c>
      <c r="J371" s="42">
        <v>3.6982248520710064</v>
      </c>
      <c r="K371" s="42">
        <v>0.953125</v>
      </c>
      <c r="L371" s="42">
        <v>0.27039999999999997</v>
      </c>
      <c r="M371">
        <v>1</v>
      </c>
    </row>
    <row r="372" spans="3:13" x14ac:dyDescent="0.15">
      <c r="C372" s="43">
        <v>339</v>
      </c>
      <c r="D372" s="42">
        <v>339</v>
      </c>
      <c r="E372" s="42">
        <v>0.2712</v>
      </c>
      <c r="F372" s="42">
        <v>122</v>
      </c>
      <c r="G372" s="42">
        <v>34.7136</v>
      </c>
      <c r="H372" s="42">
        <v>3.5144727138643068</v>
      </c>
      <c r="I372" s="42">
        <v>1</v>
      </c>
      <c r="J372" s="42">
        <v>3.6873156342182893</v>
      </c>
      <c r="K372" s="42">
        <v>0.953125</v>
      </c>
      <c r="L372" s="42">
        <v>0.2712</v>
      </c>
      <c r="M372">
        <v>1</v>
      </c>
    </row>
    <row r="373" spans="3:13" x14ac:dyDescent="0.15">
      <c r="C373" s="43">
        <v>340</v>
      </c>
      <c r="D373" s="42">
        <v>340</v>
      </c>
      <c r="E373" s="42">
        <v>0.27200000000000002</v>
      </c>
      <c r="F373" s="42">
        <v>122</v>
      </c>
      <c r="G373" s="42">
        <v>34.816000000000003</v>
      </c>
      <c r="H373" s="42">
        <v>3.5041360294117645</v>
      </c>
      <c r="I373" s="42">
        <v>1</v>
      </c>
      <c r="J373" s="42">
        <v>3.6764705882352939</v>
      </c>
      <c r="K373" s="42">
        <v>0.953125</v>
      </c>
      <c r="L373" s="42">
        <v>0.27200000000000002</v>
      </c>
      <c r="M373">
        <v>1</v>
      </c>
    </row>
    <row r="374" spans="3:13" x14ac:dyDescent="0.15">
      <c r="C374" s="43">
        <v>341</v>
      </c>
      <c r="D374" s="42">
        <v>341</v>
      </c>
      <c r="E374" s="42">
        <v>0.27279999999999999</v>
      </c>
      <c r="F374" s="42">
        <v>122</v>
      </c>
      <c r="G374" s="42">
        <v>34.918399999999998</v>
      </c>
      <c r="H374" s="42">
        <v>3.4938599706744871</v>
      </c>
      <c r="I374" s="42">
        <v>1</v>
      </c>
      <c r="J374" s="42">
        <v>3.6656891495601176</v>
      </c>
      <c r="K374" s="42">
        <v>0.953125</v>
      </c>
      <c r="L374" s="42">
        <v>0.27279999999999999</v>
      </c>
      <c r="M374">
        <v>1</v>
      </c>
    </row>
    <row r="375" spans="3:13" x14ac:dyDescent="0.15">
      <c r="C375" s="43">
        <v>342</v>
      </c>
      <c r="D375" s="42">
        <v>342</v>
      </c>
      <c r="E375" s="42">
        <v>0.27360000000000001</v>
      </c>
      <c r="F375" s="42">
        <v>122</v>
      </c>
      <c r="G375" s="42">
        <v>35.020800000000001</v>
      </c>
      <c r="H375" s="42">
        <v>3.4836440058479532</v>
      </c>
      <c r="I375" s="42">
        <v>1</v>
      </c>
      <c r="J375" s="42">
        <v>3.6549707602339181</v>
      </c>
      <c r="K375" s="42">
        <v>0.953125</v>
      </c>
      <c r="L375" s="42">
        <v>0.27360000000000001</v>
      </c>
      <c r="M375">
        <v>1</v>
      </c>
    </row>
    <row r="376" spans="3:13" x14ac:dyDescent="0.15">
      <c r="C376" s="43">
        <v>343</v>
      </c>
      <c r="D376" s="42">
        <v>343</v>
      </c>
      <c r="E376" s="42">
        <v>0.27439999999999998</v>
      </c>
      <c r="F376" s="42">
        <v>122</v>
      </c>
      <c r="G376" s="42">
        <v>35.123200000000004</v>
      </c>
      <c r="H376" s="42">
        <v>3.4734876093294464</v>
      </c>
      <c r="I376" s="42">
        <v>1</v>
      </c>
      <c r="J376" s="42">
        <v>3.6443148688046652</v>
      </c>
      <c r="K376" s="42">
        <v>0.953125</v>
      </c>
      <c r="L376" s="42">
        <v>0.27439999999999998</v>
      </c>
      <c r="M376">
        <v>1</v>
      </c>
    </row>
    <row r="377" spans="3:13" x14ac:dyDescent="0.15">
      <c r="C377" s="43">
        <v>344</v>
      </c>
      <c r="D377" s="42">
        <v>344</v>
      </c>
      <c r="E377" s="42">
        <v>0.2752</v>
      </c>
      <c r="F377" s="42">
        <v>122</v>
      </c>
      <c r="G377" s="42">
        <v>35.2256</v>
      </c>
      <c r="H377" s="42">
        <v>3.4633902616279069</v>
      </c>
      <c r="I377" s="42">
        <v>1</v>
      </c>
      <c r="J377" s="42">
        <v>3.6337209302325579</v>
      </c>
      <c r="K377" s="42">
        <v>0.953125</v>
      </c>
      <c r="L377" s="42">
        <v>0.2752</v>
      </c>
      <c r="M377">
        <v>1</v>
      </c>
    </row>
    <row r="378" spans="3:13" x14ac:dyDescent="0.15">
      <c r="C378" s="43">
        <v>345</v>
      </c>
      <c r="D378" s="42">
        <v>345</v>
      </c>
      <c r="E378" s="42">
        <v>0.27600000000000002</v>
      </c>
      <c r="F378" s="42">
        <v>122</v>
      </c>
      <c r="G378" s="42">
        <v>35.328000000000003</v>
      </c>
      <c r="H378" s="42">
        <v>3.4533514492753619</v>
      </c>
      <c r="I378" s="42">
        <v>1</v>
      </c>
      <c r="J378" s="42">
        <v>3.6231884057971011</v>
      </c>
      <c r="K378" s="42">
        <v>0.953125</v>
      </c>
      <c r="L378" s="42">
        <v>0.27600000000000002</v>
      </c>
      <c r="M378">
        <v>1</v>
      </c>
    </row>
    <row r="379" spans="3:13" x14ac:dyDescent="0.15">
      <c r="C379" s="43">
        <v>346</v>
      </c>
      <c r="D379" s="42">
        <v>346</v>
      </c>
      <c r="E379" s="42">
        <v>0.27679999999999999</v>
      </c>
      <c r="F379" s="42">
        <v>122</v>
      </c>
      <c r="G379" s="42">
        <v>35.430399999999999</v>
      </c>
      <c r="H379" s="42">
        <v>3.4433706647398843</v>
      </c>
      <c r="I379" s="42">
        <v>1</v>
      </c>
      <c r="J379" s="42">
        <v>3.6127167630057806</v>
      </c>
      <c r="K379" s="42">
        <v>0.953125</v>
      </c>
      <c r="L379" s="42">
        <v>0.27679999999999999</v>
      </c>
      <c r="M379">
        <v>1</v>
      </c>
    </row>
    <row r="380" spans="3:13" x14ac:dyDescent="0.15">
      <c r="C380" s="43">
        <v>347</v>
      </c>
      <c r="D380" s="42">
        <v>347</v>
      </c>
      <c r="E380" s="42">
        <v>0.27760000000000001</v>
      </c>
      <c r="F380" s="42">
        <v>122</v>
      </c>
      <c r="G380" s="42">
        <v>35.532800000000002</v>
      </c>
      <c r="H380" s="42">
        <v>3.4334474063400573</v>
      </c>
      <c r="I380" s="42">
        <v>1</v>
      </c>
      <c r="J380" s="42">
        <v>3.6023054755043225</v>
      </c>
      <c r="K380" s="42">
        <v>0.953125</v>
      </c>
      <c r="L380" s="42">
        <v>0.27760000000000001</v>
      </c>
      <c r="M380">
        <v>1</v>
      </c>
    </row>
    <row r="381" spans="3:13" x14ac:dyDescent="0.15">
      <c r="C381" s="43">
        <v>348</v>
      </c>
      <c r="D381" s="42">
        <v>348</v>
      </c>
      <c r="E381" s="42">
        <v>0.27839999999999998</v>
      </c>
      <c r="F381" s="42">
        <v>122</v>
      </c>
      <c r="G381" s="42">
        <v>35.635200000000005</v>
      </c>
      <c r="H381" s="42">
        <v>3.4235811781609198</v>
      </c>
      <c r="I381" s="42">
        <v>1</v>
      </c>
      <c r="J381" s="42">
        <v>3.5919540229885061</v>
      </c>
      <c r="K381" s="42">
        <v>0.953125</v>
      </c>
      <c r="L381" s="42">
        <v>0.27839999999999998</v>
      </c>
      <c r="M381">
        <v>1</v>
      </c>
    </row>
    <row r="382" spans="3:13" x14ac:dyDescent="0.15">
      <c r="C382" s="43">
        <v>349</v>
      </c>
      <c r="D382" s="42">
        <v>349</v>
      </c>
      <c r="E382" s="42">
        <v>0.2792</v>
      </c>
      <c r="F382" s="42">
        <v>122</v>
      </c>
      <c r="G382" s="42">
        <v>35.7376</v>
      </c>
      <c r="H382" s="42">
        <v>3.4137714899713467</v>
      </c>
      <c r="I382" s="42">
        <v>1</v>
      </c>
      <c r="J382" s="42">
        <v>3.5816618911174785</v>
      </c>
      <c r="K382" s="42">
        <v>0.953125</v>
      </c>
      <c r="L382" s="42">
        <v>0.2792</v>
      </c>
      <c r="M382">
        <v>1</v>
      </c>
    </row>
    <row r="383" spans="3:13" x14ac:dyDescent="0.15">
      <c r="C383" s="43">
        <v>350</v>
      </c>
      <c r="D383" s="42">
        <v>350</v>
      </c>
      <c r="E383" s="42">
        <v>0.28000000000000003</v>
      </c>
      <c r="F383" s="42">
        <v>122</v>
      </c>
      <c r="G383" s="42">
        <v>35.840000000000003</v>
      </c>
      <c r="H383" s="42">
        <v>3.4040178571428568</v>
      </c>
      <c r="I383" s="42">
        <v>1</v>
      </c>
      <c r="J383" s="42">
        <v>3.5714285714285712</v>
      </c>
      <c r="K383" s="42">
        <v>0.953125</v>
      </c>
      <c r="L383" s="42">
        <v>0.28000000000000003</v>
      </c>
      <c r="M383">
        <v>1</v>
      </c>
    </row>
    <row r="384" spans="3:13" x14ac:dyDescent="0.15">
      <c r="C384" s="43">
        <v>351</v>
      </c>
      <c r="D384" s="42">
        <v>351</v>
      </c>
      <c r="E384" s="42">
        <v>0.28079999999999999</v>
      </c>
      <c r="F384" s="42">
        <v>122</v>
      </c>
      <c r="G384" s="42">
        <v>35.942399999999999</v>
      </c>
      <c r="H384" s="42">
        <v>3.3943198005698005</v>
      </c>
      <c r="I384" s="42">
        <v>1</v>
      </c>
      <c r="J384" s="42">
        <v>3.5612535612535612</v>
      </c>
      <c r="K384" s="42">
        <v>0.953125</v>
      </c>
      <c r="L384" s="42">
        <v>0.28079999999999999</v>
      </c>
      <c r="M384">
        <v>1</v>
      </c>
    </row>
    <row r="385" spans="3:13" x14ac:dyDescent="0.15">
      <c r="C385" s="43">
        <v>352</v>
      </c>
      <c r="D385" s="42">
        <v>352</v>
      </c>
      <c r="E385" s="42">
        <v>0.28160000000000002</v>
      </c>
      <c r="F385" s="42">
        <v>122</v>
      </c>
      <c r="G385" s="42">
        <v>36.044800000000002</v>
      </c>
      <c r="H385" s="42">
        <v>3.3846768465909087</v>
      </c>
      <c r="I385" s="42">
        <v>1</v>
      </c>
      <c r="J385" s="42">
        <v>3.5511363636363633</v>
      </c>
      <c r="K385" s="42">
        <v>0.953125</v>
      </c>
      <c r="L385" s="42">
        <v>0.28160000000000002</v>
      </c>
      <c r="M385">
        <v>1</v>
      </c>
    </row>
    <row r="386" spans="3:13" x14ac:dyDescent="0.15">
      <c r="C386" s="43">
        <v>353</v>
      </c>
      <c r="D386" s="42">
        <v>353</v>
      </c>
      <c r="E386" s="42">
        <v>0.28239999999999998</v>
      </c>
      <c r="F386" s="42">
        <v>122</v>
      </c>
      <c r="G386" s="42">
        <v>36.147200000000005</v>
      </c>
      <c r="H386" s="42">
        <v>3.3750885269121813</v>
      </c>
      <c r="I386" s="42">
        <v>1</v>
      </c>
      <c r="J386" s="42">
        <v>3.5410764872521248</v>
      </c>
      <c r="K386" s="42">
        <v>0.953125</v>
      </c>
      <c r="L386" s="42">
        <v>0.28239999999999998</v>
      </c>
      <c r="M386">
        <v>1</v>
      </c>
    </row>
    <row r="387" spans="3:13" x14ac:dyDescent="0.15">
      <c r="C387" s="43">
        <v>354</v>
      </c>
      <c r="D387" s="42">
        <v>354</v>
      </c>
      <c r="E387" s="42">
        <v>0.28320000000000001</v>
      </c>
      <c r="F387" s="42">
        <v>122</v>
      </c>
      <c r="G387" s="42">
        <v>36.249600000000001</v>
      </c>
      <c r="H387" s="42">
        <v>3.3655543785310735</v>
      </c>
      <c r="I387" s="42">
        <v>1</v>
      </c>
      <c r="J387" s="42">
        <v>3.5310734463276834</v>
      </c>
      <c r="K387" s="42">
        <v>0.953125</v>
      </c>
      <c r="L387" s="42">
        <v>0.28320000000000001</v>
      </c>
      <c r="M387">
        <v>1</v>
      </c>
    </row>
    <row r="388" spans="3:13" x14ac:dyDescent="0.15">
      <c r="C388" s="43">
        <v>355</v>
      </c>
      <c r="D388" s="42">
        <v>355</v>
      </c>
      <c r="E388" s="42">
        <v>0.28399999999999997</v>
      </c>
      <c r="F388" s="42">
        <v>122</v>
      </c>
      <c r="G388" s="42">
        <v>36.352000000000004</v>
      </c>
      <c r="H388" s="42">
        <v>3.356073943661972</v>
      </c>
      <c r="I388" s="42">
        <v>1</v>
      </c>
      <c r="J388" s="42">
        <v>3.5211267605633805</v>
      </c>
      <c r="K388" s="42">
        <v>0.953125</v>
      </c>
      <c r="L388" s="42">
        <v>0.28399999999999997</v>
      </c>
      <c r="M388">
        <v>1</v>
      </c>
    </row>
    <row r="389" spans="3:13" x14ac:dyDescent="0.15">
      <c r="C389" s="43">
        <v>356</v>
      </c>
      <c r="D389" s="42">
        <v>356</v>
      </c>
      <c r="E389" s="42">
        <v>0.2848</v>
      </c>
      <c r="F389" s="42">
        <v>122</v>
      </c>
      <c r="G389" s="42">
        <v>36.4544</v>
      </c>
      <c r="H389" s="42">
        <v>3.3466467696629212</v>
      </c>
      <c r="I389" s="42">
        <v>1</v>
      </c>
      <c r="J389" s="42">
        <v>3.51123595505618</v>
      </c>
      <c r="K389" s="42">
        <v>0.953125</v>
      </c>
      <c r="L389" s="42">
        <v>0.2848</v>
      </c>
      <c r="M389">
        <v>1</v>
      </c>
    </row>
    <row r="390" spans="3:13" x14ac:dyDescent="0.15">
      <c r="C390" s="43">
        <v>357</v>
      </c>
      <c r="D390" s="42">
        <v>357</v>
      </c>
      <c r="E390" s="42">
        <v>0.28560000000000002</v>
      </c>
      <c r="F390" s="42">
        <v>122</v>
      </c>
      <c r="G390" s="42">
        <v>36.556800000000003</v>
      </c>
      <c r="H390" s="42">
        <v>3.3372724089635852</v>
      </c>
      <c r="I390" s="42">
        <v>1</v>
      </c>
      <c r="J390" s="42">
        <v>3.5014005602240892</v>
      </c>
      <c r="K390" s="42">
        <v>0.953125</v>
      </c>
      <c r="L390" s="42">
        <v>0.28560000000000002</v>
      </c>
      <c r="M390">
        <v>1</v>
      </c>
    </row>
    <row r="391" spans="3:13" x14ac:dyDescent="0.15">
      <c r="C391" s="43">
        <v>358</v>
      </c>
      <c r="D391" s="42">
        <v>358</v>
      </c>
      <c r="E391" s="42">
        <v>0.28639999999999999</v>
      </c>
      <c r="F391" s="42">
        <v>122</v>
      </c>
      <c r="G391" s="42">
        <v>36.659199999999998</v>
      </c>
      <c r="H391" s="42">
        <v>3.3279504189944134</v>
      </c>
      <c r="I391" s="42">
        <v>1</v>
      </c>
      <c r="J391" s="42">
        <v>3.4916201117318435</v>
      </c>
      <c r="K391" s="42">
        <v>0.953125</v>
      </c>
      <c r="L391" s="42">
        <v>0.28639999999999999</v>
      </c>
      <c r="M391">
        <v>1</v>
      </c>
    </row>
    <row r="392" spans="3:13" x14ac:dyDescent="0.15">
      <c r="C392" s="43">
        <v>359</v>
      </c>
      <c r="D392" s="42">
        <v>359</v>
      </c>
      <c r="E392" s="42">
        <v>0.28720000000000001</v>
      </c>
      <c r="F392" s="42">
        <v>122</v>
      </c>
      <c r="G392" s="42">
        <v>36.761600000000001</v>
      </c>
      <c r="H392" s="42">
        <v>3.3186803621169916</v>
      </c>
      <c r="I392" s="42">
        <v>1</v>
      </c>
      <c r="J392" s="42">
        <v>3.4818941504178271</v>
      </c>
      <c r="K392" s="42">
        <v>0.953125</v>
      </c>
      <c r="L392" s="42">
        <v>0.28720000000000001</v>
      </c>
      <c r="M392">
        <v>1</v>
      </c>
    </row>
    <row r="393" spans="3:13" x14ac:dyDescent="0.15">
      <c r="C393" s="43">
        <v>360</v>
      </c>
      <c r="D393" s="42">
        <v>360</v>
      </c>
      <c r="E393" s="42">
        <v>0.28799999999999998</v>
      </c>
      <c r="F393" s="42">
        <v>122</v>
      </c>
      <c r="G393" s="42">
        <v>36.864000000000004</v>
      </c>
      <c r="H393" s="42">
        <v>3.3094618055555558</v>
      </c>
      <c r="I393" s="42">
        <v>1</v>
      </c>
      <c r="J393" s="42">
        <v>3.4722222222222223</v>
      </c>
      <c r="K393" s="42">
        <v>0.953125</v>
      </c>
      <c r="L393" s="42">
        <v>0.28799999999999998</v>
      </c>
      <c r="M393">
        <v>1</v>
      </c>
    </row>
    <row r="394" spans="3:13" x14ac:dyDescent="0.15">
      <c r="C394" s="43">
        <v>361</v>
      </c>
      <c r="D394" s="42">
        <v>361</v>
      </c>
      <c r="E394" s="42">
        <v>0.2888</v>
      </c>
      <c r="F394" s="42">
        <v>122</v>
      </c>
      <c r="G394" s="42">
        <v>36.9664</v>
      </c>
      <c r="H394" s="42">
        <v>3.3002943213296398</v>
      </c>
      <c r="I394" s="42">
        <v>1</v>
      </c>
      <c r="J394" s="42">
        <v>3.4626038781163433</v>
      </c>
      <c r="K394" s="42">
        <v>0.953125</v>
      </c>
      <c r="L394" s="42">
        <v>0.2888</v>
      </c>
      <c r="M394">
        <v>1</v>
      </c>
    </row>
    <row r="395" spans="3:13" x14ac:dyDescent="0.15">
      <c r="C395" s="43">
        <v>362</v>
      </c>
      <c r="D395" s="42">
        <v>362</v>
      </c>
      <c r="E395" s="42">
        <v>0.28960000000000002</v>
      </c>
      <c r="F395" s="42">
        <v>122</v>
      </c>
      <c r="G395" s="42">
        <v>37.068800000000003</v>
      </c>
      <c r="H395" s="42">
        <v>3.2911774861878449</v>
      </c>
      <c r="I395" s="42">
        <v>1</v>
      </c>
      <c r="J395" s="42">
        <v>3.4530386740331487</v>
      </c>
      <c r="K395" s="42">
        <v>0.953125</v>
      </c>
      <c r="L395" s="42">
        <v>0.28960000000000002</v>
      </c>
      <c r="M395">
        <v>1</v>
      </c>
    </row>
    <row r="396" spans="3:13" x14ac:dyDescent="0.15">
      <c r="C396" s="43">
        <v>363</v>
      </c>
      <c r="D396" s="42">
        <v>363</v>
      </c>
      <c r="E396" s="42">
        <v>0.29039999999999999</v>
      </c>
      <c r="F396" s="42">
        <v>122</v>
      </c>
      <c r="G396" s="42">
        <v>37.171199999999999</v>
      </c>
      <c r="H396" s="42">
        <v>3.2821108815427</v>
      </c>
      <c r="I396" s="42">
        <v>1</v>
      </c>
      <c r="J396" s="42">
        <v>3.443526170798898</v>
      </c>
      <c r="K396" s="42">
        <v>0.953125</v>
      </c>
      <c r="L396" s="42">
        <v>0.29039999999999999</v>
      </c>
      <c r="M396">
        <v>1</v>
      </c>
    </row>
    <row r="397" spans="3:13" x14ac:dyDescent="0.15">
      <c r="C397" s="43">
        <v>364</v>
      </c>
      <c r="D397" s="42">
        <v>364</v>
      </c>
      <c r="E397" s="42">
        <v>0.29120000000000001</v>
      </c>
      <c r="F397" s="42">
        <v>122</v>
      </c>
      <c r="G397" s="42">
        <v>37.273600000000002</v>
      </c>
      <c r="H397" s="42">
        <v>3.2730940934065931</v>
      </c>
      <c r="I397" s="42">
        <v>1</v>
      </c>
      <c r="J397" s="42">
        <v>3.4340659340659339</v>
      </c>
      <c r="K397" s="42">
        <v>0.953125</v>
      </c>
      <c r="L397" s="42">
        <v>0.29120000000000001</v>
      </c>
      <c r="M397">
        <v>1</v>
      </c>
    </row>
    <row r="398" spans="3:13" x14ac:dyDescent="0.15">
      <c r="C398" s="43">
        <v>365</v>
      </c>
      <c r="D398" s="42">
        <v>365</v>
      </c>
      <c r="E398" s="42">
        <v>0.29199999999999998</v>
      </c>
      <c r="F398" s="42">
        <v>122</v>
      </c>
      <c r="G398" s="42">
        <v>37.376000000000005</v>
      </c>
      <c r="H398" s="42">
        <v>3.2641267123287672</v>
      </c>
      <c r="I398" s="42">
        <v>1</v>
      </c>
      <c r="J398" s="42">
        <v>3.4246575342465757</v>
      </c>
      <c r="K398" s="42">
        <v>0.953125</v>
      </c>
      <c r="L398" s="42">
        <v>0.29199999999999998</v>
      </c>
      <c r="M398">
        <v>1</v>
      </c>
    </row>
    <row r="399" spans="3:13" x14ac:dyDescent="0.15">
      <c r="C399" s="43">
        <v>366</v>
      </c>
      <c r="D399" s="42">
        <v>366</v>
      </c>
      <c r="E399" s="42">
        <v>0.2928</v>
      </c>
      <c r="F399" s="42">
        <v>122</v>
      </c>
      <c r="G399" s="42">
        <v>37.478400000000001</v>
      </c>
      <c r="H399" s="42">
        <v>3.2552083333333335</v>
      </c>
      <c r="I399" s="42">
        <v>1</v>
      </c>
      <c r="J399" s="42">
        <v>3.4153005464480874</v>
      </c>
      <c r="K399" s="42">
        <v>0.953125</v>
      </c>
      <c r="L399" s="42">
        <v>0.2928</v>
      </c>
      <c r="M399">
        <v>1</v>
      </c>
    </row>
    <row r="400" spans="3:13" x14ac:dyDescent="0.15">
      <c r="C400" s="43">
        <v>367</v>
      </c>
      <c r="D400" s="42">
        <v>367</v>
      </c>
      <c r="E400" s="42">
        <v>0.29360000000000003</v>
      </c>
      <c r="F400" s="42">
        <v>122</v>
      </c>
      <c r="G400" s="42">
        <v>37.580800000000004</v>
      </c>
      <c r="H400" s="42">
        <v>3.2463385558583102</v>
      </c>
      <c r="I400" s="42">
        <v>1</v>
      </c>
      <c r="J400" s="42">
        <v>3.4059945504087192</v>
      </c>
      <c r="K400" s="42">
        <v>0.953125</v>
      </c>
      <c r="L400" s="42">
        <v>0.29360000000000003</v>
      </c>
      <c r="M400">
        <v>1</v>
      </c>
    </row>
    <row r="401" spans="3:13" x14ac:dyDescent="0.15">
      <c r="C401" s="43">
        <v>368</v>
      </c>
      <c r="D401" s="42">
        <v>368</v>
      </c>
      <c r="E401" s="42">
        <v>0.2944</v>
      </c>
      <c r="F401" s="42">
        <v>122</v>
      </c>
      <c r="G401" s="42">
        <v>37.683199999999999</v>
      </c>
      <c r="H401" s="42">
        <v>3.2375169836956523</v>
      </c>
      <c r="I401" s="42">
        <v>1</v>
      </c>
      <c r="J401" s="42">
        <v>3.3967391304347827</v>
      </c>
      <c r="K401" s="42">
        <v>0.953125</v>
      </c>
      <c r="L401" s="42">
        <v>0.2944</v>
      </c>
      <c r="M401">
        <v>1</v>
      </c>
    </row>
    <row r="402" spans="3:13" x14ac:dyDescent="0.15">
      <c r="C402" s="43">
        <v>369</v>
      </c>
      <c r="D402" s="42">
        <v>369</v>
      </c>
      <c r="E402" s="42">
        <v>0.29520000000000002</v>
      </c>
      <c r="F402" s="42">
        <v>122</v>
      </c>
      <c r="G402" s="42">
        <v>37.785600000000002</v>
      </c>
      <c r="H402" s="42">
        <v>3.228743224932249</v>
      </c>
      <c r="I402" s="42">
        <v>1</v>
      </c>
      <c r="J402" s="42">
        <v>3.3875338753387534</v>
      </c>
      <c r="K402" s="42">
        <v>0.953125</v>
      </c>
      <c r="L402" s="42">
        <v>0.29520000000000002</v>
      </c>
      <c r="M402">
        <v>1</v>
      </c>
    </row>
    <row r="403" spans="3:13" x14ac:dyDescent="0.15">
      <c r="C403" s="43">
        <v>370</v>
      </c>
      <c r="D403" s="42">
        <v>370</v>
      </c>
      <c r="E403" s="42">
        <v>0.29599999999999999</v>
      </c>
      <c r="F403" s="42">
        <v>122</v>
      </c>
      <c r="G403" s="42">
        <v>37.888000000000005</v>
      </c>
      <c r="H403" s="42">
        <v>3.2200168918918921</v>
      </c>
      <c r="I403" s="42">
        <v>1</v>
      </c>
      <c r="J403" s="42">
        <v>3.3783783783783785</v>
      </c>
      <c r="K403" s="42">
        <v>0.953125</v>
      </c>
      <c r="L403" s="42">
        <v>0.29599999999999999</v>
      </c>
      <c r="M403">
        <v>1</v>
      </c>
    </row>
    <row r="404" spans="3:13" x14ac:dyDescent="0.15">
      <c r="C404" s="43">
        <v>371</v>
      </c>
      <c r="D404" s="42">
        <v>371</v>
      </c>
      <c r="E404" s="42">
        <v>0.29680000000000001</v>
      </c>
      <c r="F404" s="42">
        <v>122</v>
      </c>
      <c r="G404" s="42">
        <v>37.990400000000001</v>
      </c>
      <c r="H404" s="42">
        <v>3.2113376010781671</v>
      </c>
      <c r="I404" s="42">
        <v>1</v>
      </c>
      <c r="J404" s="42">
        <v>3.3692722371967654</v>
      </c>
      <c r="K404" s="42">
        <v>0.953125</v>
      </c>
      <c r="L404" s="42">
        <v>0.29680000000000001</v>
      </c>
      <c r="M404">
        <v>1</v>
      </c>
    </row>
    <row r="405" spans="3:13" x14ac:dyDescent="0.15">
      <c r="C405" s="43">
        <v>372</v>
      </c>
      <c r="D405" s="42">
        <v>372</v>
      </c>
      <c r="E405" s="42">
        <v>0.29759999999999998</v>
      </c>
      <c r="F405" s="42">
        <v>122</v>
      </c>
      <c r="G405" s="42">
        <v>38.092800000000004</v>
      </c>
      <c r="H405" s="42">
        <v>3.20270497311828</v>
      </c>
      <c r="I405" s="42">
        <v>1</v>
      </c>
      <c r="J405" s="42">
        <v>3.360215053763441</v>
      </c>
      <c r="K405" s="42">
        <v>0.953125</v>
      </c>
      <c r="L405" s="42">
        <v>0.29759999999999998</v>
      </c>
      <c r="M405">
        <v>1</v>
      </c>
    </row>
    <row r="406" spans="3:13" x14ac:dyDescent="0.15">
      <c r="C406" s="43">
        <v>373</v>
      </c>
      <c r="D406" s="42">
        <v>373</v>
      </c>
      <c r="E406" s="42">
        <v>0.2984</v>
      </c>
      <c r="F406" s="42">
        <v>122</v>
      </c>
      <c r="G406" s="42">
        <v>38.1952</v>
      </c>
      <c r="H406" s="42">
        <v>3.1941186327077746</v>
      </c>
      <c r="I406" s="42">
        <v>1</v>
      </c>
      <c r="J406" s="42">
        <v>3.3512064343163539</v>
      </c>
      <c r="K406" s="42">
        <v>0.953125</v>
      </c>
      <c r="L406" s="42">
        <v>0.2984</v>
      </c>
      <c r="M406">
        <v>1</v>
      </c>
    </row>
    <row r="407" spans="3:13" x14ac:dyDescent="0.15">
      <c r="C407" s="43">
        <v>374</v>
      </c>
      <c r="D407" s="42">
        <v>374</v>
      </c>
      <c r="E407" s="42">
        <v>0.29920000000000002</v>
      </c>
      <c r="F407" s="42">
        <v>122</v>
      </c>
      <c r="G407" s="42">
        <v>38.297600000000003</v>
      </c>
      <c r="H407" s="42">
        <v>3.1855782085561497</v>
      </c>
      <c r="I407" s="42">
        <v>1</v>
      </c>
      <c r="J407" s="42">
        <v>3.3422459893048124</v>
      </c>
      <c r="K407" s="42">
        <v>0.953125</v>
      </c>
      <c r="L407" s="42">
        <v>0.29920000000000002</v>
      </c>
      <c r="M407">
        <v>1</v>
      </c>
    </row>
    <row r="408" spans="3:13" x14ac:dyDescent="0.15">
      <c r="C408" s="43">
        <v>375</v>
      </c>
      <c r="D408" s="42">
        <v>375</v>
      </c>
      <c r="E408" s="42">
        <v>0.3</v>
      </c>
      <c r="F408" s="42">
        <v>122</v>
      </c>
      <c r="G408" s="42">
        <v>38.4</v>
      </c>
      <c r="H408" s="42">
        <v>3.1770833333333335</v>
      </c>
      <c r="I408" s="42">
        <v>1</v>
      </c>
      <c r="J408" s="42">
        <v>3.3333333333333335</v>
      </c>
      <c r="K408" s="42">
        <v>0.953125</v>
      </c>
      <c r="L408" s="42">
        <v>0.3</v>
      </c>
      <c r="M408">
        <v>1</v>
      </c>
    </row>
    <row r="409" spans="3:13" x14ac:dyDescent="0.15">
      <c r="C409" s="43">
        <v>376</v>
      </c>
      <c r="D409" s="42">
        <v>376</v>
      </c>
      <c r="E409" s="42">
        <v>0.30080000000000001</v>
      </c>
      <c r="F409" s="42">
        <v>122</v>
      </c>
      <c r="G409" s="42">
        <v>38.502400000000002</v>
      </c>
      <c r="H409" s="42">
        <v>3.1686336436170213</v>
      </c>
      <c r="I409" s="42">
        <v>1</v>
      </c>
      <c r="J409" s="42">
        <v>3.3244680851063828</v>
      </c>
      <c r="K409" s="42">
        <v>0.953125</v>
      </c>
      <c r="L409" s="42">
        <v>0.30080000000000001</v>
      </c>
      <c r="M409">
        <v>1</v>
      </c>
    </row>
    <row r="410" spans="3:13" x14ac:dyDescent="0.15">
      <c r="C410" s="43">
        <v>377</v>
      </c>
      <c r="D410" s="42">
        <v>377</v>
      </c>
      <c r="E410" s="42">
        <v>0.30159999999999998</v>
      </c>
      <c r="F410" s="42">
        <v>122</v>
      </c>
      <c r="G410" s="42">
        <v>38.604800000000004</v>
      </c>
      <c r="H410" s="42">
        <v>3.1602287798408488</v>
      </c>
      <c r="I410" s="42">
        <v>1</v>
      </c>
      <c r="J410" s="42">
        <v>3.3156498673740056</v>
      </c>
      <c r="K410" s="42">
        <v>0.953125</v>
      </c>
      <c r="L410" s="42">
        <v>0.30159999999999998</v>
      </c>
      <c r="M410">
        <v>1</v>
      </c>
    </row>
    <row r="411" spans="3:13" x14ac:dyDescent="0.15">
      <c r="C411" s="43">
        <v>378</v>
      </c>
      <c r="D411" s="42">
        <v>378</v>
      </c>
      <c r="E411" s="42">
        <v>0.3024</v>
      </c>
      <c r="F411" s="42">
        <v>122</v>
      </c>
      <c r="G411" s="42">
        <v>38.7072</v>
      </c>
      <c r="H411" s="42">
        <v>3.1518683862433861</v>
      </c>
      <c r="I411" s="42">
        <v>1</v>
      </c>
      <c r="J411" s="42">
        <v>3.306878306878307</v>
      </c>
      <c r="K411" s="42">
        <v>0.953125</v>
      </c>
      <c r="L411" s="42">
        <v>0.3024</v>
      </c>
      <c r="M411">
        <v>1</v>
      </c>
    </row>
    <row r="412" spans="3:13" x14ac:dyDescent="0.15">
      <c r="C412" s="43">
        <v>379</v>
      </c>
      <c r="D412" s="42">
        <v>379</v>
      </c>
      <c r="E412" s="42">
        <v>0.30320000000000003</v>
      </c>
      <c r="F412" s="42">
        <v>122</v>
      </c>
      <c r="G412" s="42">
        <v>38.809600000000003</v>
      </c>
      <c r="H412" s="42">
        <v>3.1435521108179416</v>
      </c>
      <c r="I412" s="42">
        <v>1</v>
      </c>
      <c r="J412" s="42">
        <v>3.2981530343007912</v>
      </c>
      <c r="K412" s="42">
        <v>0.953125</v>
      </c>
      <c r="L412" s="42">
        <v>0.30320000000000003</v>
      </c>
      <c r="M412">
        <v>1</v>
      </c>
    </row>
    <row r="413" spans="3:13" x14ac:dyDescent="0.15">
      <c r="C413" s="43">
        <v>380</v>
      </c>
      <c r="D413" s="42">
        <v>380</v>
      </c>
      <c r="E413" s="42">
        <v>0.30399999999999999</v>
      </c>
      <c r="F413" s="42">
        <v>122</v>
      </c>
      <c r="G413" s="42">
        <v>38.911999999999999</v>
      </c>
      <c r="H413" s="42">
        <v>3.135279605263158</v>
      </c>
      <c r="I413" s="42">
        <v>1</v>
      </c>
      <c r="J413" s="42">
        <v>3.2894736842105265</v>
      </c>
      <c r="K413" s="42">
        <v>0.953125</v>
      </c>
      <c r="L413" s="42">
        <v>0.30399999999999999</v>
      </c>
      <c r="M413">
        <v>1</v>
      </c>
    </row>
    <row r="414" spans="3:13" x14ac:dyDescent="0.15">
      <c r="C414" s="43">
        <v>381</v>
      </c>
      <c r="D414" s="42">
        <v>381</v>
      </c>
      <c r="E414" s="42">
        <v>0.30480000000000002</v>
      </c>
      <c r="F414" s="42">
        <v>122</v>
      </c>
      <c r="G414" s="42">
        <v>39.014400000000002</v>
      </c>
      <c r="H414" s="42">
        <v>3.1270505249343832</v>
      </c>
      <c r="I414" s="42">
        <v>1</v>
      </c>
      <c r="J414" s="42">
        <v>3.280839895013123</v>
      </c>
      <c r="K414" s="42">
        <v>0.953125</v>
      </c>
      <c r="L414" s="42">
        <v>0.30480000000000002</v>
      </c>
      <c r="M414">
        <v>1</v>
      </c>
    </row>
    <row r="415" spans="3:13" x14ac:dyDescent="0.15">
      <c r="C415" s="43">
        <v>382</v>
      </c>
      <c r="D415" s="42">
        <v>382</v>
      </c>
      <c r="E415" s="42">
        <v>0.30559999999999998</v>
      </c>
      <c r="F415" s="42">
        <v>122</v>
      </c>
      <c r="G415" s="42">
        <v>39.116800000000005</v>
      </c>
      <c r="H415" s="42">
        <v>3.1188645287958119</v>
      </c>
      <c r="I415" s="42">
        <v>1</v>
      </c>
      <c r="J415" s="42">
        <v>3.2722513089005236</v>
      </c>
      <c r="K415" s="42">
        <v>0.953125</v>
      </c>
      <c r="L415" s="42">
        <v>0.30559999999999998</v>
      </c>
      <c r="M415">
        <v>1</v>
      </c>
    </row>
    <row r="416" spans="3:13" x14ac:dyDescent="0.15">
      <c r="C416" s="43">
        <v>383</v>
      </c>
      <c r="D416" s="42">
        <v>383</v>
      </c>
      <c r="E416" s="42">
        <v>0.30640000000000001</v>
      </c>
      <c r="F416" s="42">
        <v>122</v>
      </c>
      <c r="G416" s="42">
        <v>39.219200000000001</v>
      </c>
      <c r="H416" s="42">
        <v>3.1107212793733683</v>
      </c>
      <c r="I416" s="42">
        <v>1</v>
      </c>
      <c r="J416" s="42">
        <v>3.2637075718015667</v>
      </c>
      <c r="K416" s="42">
        <v>0.953125</v>
      </c>
      <c r="L416" s="42">
        <v>0.30640000000000001</v>
      </c>
      <c r="M416">
        <v>1</v>
      </c>
    </row>
    <row r="417" spans="3:13" x14ac:dyDescent="0.15">
      <c r="C417" s="43">
        <v>384</v>
      </c>
      <c r="D417" s="42">
        <v>384</v>
      </c>
      <c r="E417" s="42">
        <v>0.30719999999999997</v>
      </c>
      <c r="F417" s="42">
        <v>122</v>
      </c>
      <c r="G417" s="42">
        <v>39.321600000000004</v>
      </c>
      <c r="H417" s="42">
        <v>3.1026204427083335</v>
      </c>
      <c r="I417" s="42">
        <v>1</v>
      </c>
      <c r="J417" s="42">
        <v>3.2552083333333335</v>
      </c>
      <c r="K417" s="42">
        <v>0.953125</v>
      </c>
      <c r="L417" s="42">
        <v>0.30719999999999997</v>
      </c>
      <c r="M417">
        <v>1</v>
      </c>
    </row>
    <row r="418" spans="3:13" x14ac:dyDescent="0.15">
      <c r="C418" s="43">
        <v>385</v>
      </c>
      <c r="D418" s="42">
        <v>385</v>
      </c>
      <c r="E418" s="42">
        <v>0.308</v>
      </c>
      <c r="F418" s="42">
        <v>122</v>
      </c>
      <c r="G418" s="42">
        <v>39.423999999999999</v>
      </c>
      <c r="H418" s="42">
        <v>3.0945616883116882</v>
      </c>
      <c r="I418" s="42">
        <v>1</v>
      </c>
      <c r="J418" s="42">
        <v>3.2467532467532467</v>
      </c>
      <c r="K418" s="42">
        <v>0.953125</v>
      </c>
      <c r="L418" s="42">
        <v>0.308</v>
      </c>
      <c r="M418">
        <v>1</v>
      </c>
    </row>
    <row r="419" spans="3:13" x14ac:dyDescent="0.15">
      <c r="C419" s="43">
        <v>386</v>
      </c>
      <c r="D419" s="42">
        <v>386</v>
      </c>
      <c r="E419" s="42">
        <v>0.30880000000000002</v>
      </c>
      <c r="F419" s="42">
        <v>122</v>
      </c>
      <c r="G419" s="42">
        <v>39.526400000000002</v>
      </c>
      <c r="H419" s="42">
        <v>3.086544689119171</v>
      </c>
      <c r="I419" s="42">
        <v>1</v>
      </c>
      <c r="J419" s="42">
        <v>3.2383419689119171</v>
      </c>
      <c r="K419" s="42">
        <v>0.953125</v>
      </c>
      <c r="L419" s="42">
        <v>0.30880000000000002</v>
      </c>
      <c r="M419">
        <v>1</v>
      </c>
    </row>
    <row r="420" spans="3:13" x14ac:dyDescent="0.15">
      <c r="C420" s="43">
        <v>387</v>
      </c>
      <c r="D420" s="42">
        <v>387</v>
      </c>
      <c r="E420" s="42">
        <v>0.30959999999999999</v>
      </c>
      <c r="F420" s="42">
        <v>122</v>
      </c>
      <c r="G420" s="42">
        <v>39.628800000000005</v>
      </c>
      <c r="H420" s="42">
        <v>3.0785691214470288</v>
      </c>
      <c r="I420" s="42">
        <v>1</v>
      </c>
      <c r="J420" s="42">
        <v>3.2299741602067185</v>
      </c>
      <c r="K420" s="42">
        <v>0.953125</v>
      </c>
      <c r="L420" s="42">
        <v>0.30959999999999999</v>
      </c>
      <c r="M420">
        <v>1</v>
      </c>
    </row>
    <row r="421" spans="3:13" x14ac:dyDescent="0.15">
      <c r="C421" s="43">
        <v>388</v>
      </c>
      <c r="D421" s="42">
        <v>388</v>
      </c>
      <c r="E421" s="42">
        <v>0.31040000000000001</v>
      </c>
      <c r="F421" s="42">
        <v>122</v>
      </c>
      <c r="G421" s="42">
        <v>39.731200000000001</v>
      </c>
      <c r="H421" s="42">
        <v>3.0706346649484537</v>
      </c>
      <c r="I421" s="42">
        <v>1</v>
      </c>
      <c r="J421" s="42">
        <v>3.2216494845360826</v>
      </c>
      <c r="K421" s="42">
        <v>0.953125</v>
      </c>
      <c r="L421" s="42">
        <v>0.31040000000000001</v>
      </c>
      <c r="M421">
        <v>1</v>
      </c>
    </row>
    <row r="422" spans="3:13" x14ac:dyDescent="0.15">
      <c r="C422" s="43">
        <v>389</v>
      </c>
      <c r="D422" s="42">
        <v>389</v>
      </c>
      <c r="E422" s="42">
        <v>0.31119999999999998</v>
      </c>
      <c r="F422" s="42">
        <v>122</v>
      </c>
      <c r="G422" s="42">
        <v>39.833600000000004</v>
      </c>
      <c r="H422" s="42">
        <v>3.0627410025706943</v>
      </c>
      <c r="I422" s="42">
        <v>1</v>
      </c>
      <c r="J422" s="42">
        <v>3.2133676092544992</v>
      </c>
      <c r="K422" s="42">
        <v>0.953125</v>
      </c>
      <c r="L422" s="42">
        <v>0.31119999999999998</v>
      </c>
      <c r="M422">
        <v>1</v>
      </c>
    </row>
    <row r="423" spans="3:13" x14ac:dyDescent="0.15">
      <c r="C423" s="43">
        <v>390</v>
      </c>
      <c r="D423" s="42">
        <v>390</v>
      </c>
      <c r="E423" s="42">
        <v>0.312</v>
      </c>
      <c r="F423" s="42">
        <v>122</v>
      </c>
      <c r="G423" s="42">
        <v>39.936</v>
      </c>
      <c r="H423" s="42">
        <v>3.0548878205128207</v>
      </c>
      <c r="I423" s="42">
        <v>1</v>
      </c>
      <c r="J423" s="42">
        <v>3.2051282051282053</v>
      </c>
      <c r="K423" s="42">
        <v>0.953125</v>
      </c>
      <c r="L423" s="42">
        <v>0.312</v>
      </c>
      <c r="M423">
        <v>1</v>
      </c>
    </row>
    <row r="424" spans="3:13" x14ac:dyDescent="0.15">
      <c r="C424" s="43">
        <v>391</v>
      </c>
      <c r="D424" s="42">
        <v>391</v>
      </c>
      <c r="E424" s="42">
        <v>0.31280000000000002</v>
      </c>
      <c r="F424" s="42">
        <v>122</v>
      </c>
      <c r="G424" s="42">
        <v>40.038400000000003</v>
      </c>
      <c r="H424" s="42">
        <v>3.047074808184143</v>
      </c>
      <c r="I424" s="42">
        <v>1</v>
      </c>
      <c r="J424" s="42">
        <v>3.1969309462915598</v>
      </c>
      <c r="K424" s="42">
        <v>0.953125</v>
      </c>
      <c r="L424" s="42">
        <v>0.31280000000000002</v>
      </c>
      <c r="M424">
        <v>1</v>
      </c>
    </row>
    <row r="425" spans="3:13" x14ac:dyDescent="0.15">
      <c r="C425" s="43">
        <v>392</v>
      </c>
      <c r="D425" s="42">
        <v>392</v>
      </c>
      <c r="E425" s="42">
        <v>0.31359999999999999</v>
      </c>
      <c r="F425" s="42">
        <v>122</v>
      </c>
      <c r="G425" s="42">
        <v>40.140799999999999</v>
      </c>
      <c r="H425" s="42">
        <v>3.0393016581632653</v>
      </c>
      <c r="I425" s="42">
        <v>1</v>
      </c>
      <c r="J425" s="42">
        <v>3.1887755102040818</v>
      </c>
      <c r="K425" s="42">
        <v>0.953125</v>
      </c>
      <c r="L425" s="42">
        <v>0.31359999999999999</v>
      </c>
      <c r="M425">
        <v>1</v>
      </c>
    </row>
    <row r="426" spans="3:13" x14ac:dyDescent="0.15">
      <c r="C426" s="43">
        <v>393</v>
      </c>
      <c r="D426" s="42">
        <v>393</v>
      </c>
      <c r="E426" s="42">
        <v>0.31440000000000001</v>
      </c>
      <c r="F426" s="42">
        <v>122</v>
      </c>
      <c r="G426" s="42">
        <v>40.243200000000002</v>
      </c>
      <c r="H426" s="42">
        <v>3.0315680661577606</v>
      </c>
      <c r="I426" s="42">
        <v>1</v>
      </c>
      <c r="J426" s="42">
        <v>3.1806615776081424</v>
      </c>
      <c r="K426" s="42">
        <v>0.953125</v>
      </c>
      <c r="L426" s="42">
        <v>0.31440000000000001</v>
      </c>
      <c r="M426">
        <v>1</v>
      </c>
    </row>
    <row r="427" spans="3:13" x14ac:dyDescent="0.15">
      <c r="C427" s="43">
        <v>394</v>
      </c>
      <c r="D427" s="42">
        <v>394</v>
      </c>
      <c r="E427" s="42">
        <v>0.31519999999999998</v>
      </c>
      <c r="F427" s="42">
        <v>122</v>
      </c>
      <c r="G427" s="42">
        <v>40.345600000000005</v>
      </c>
      <c r="H427" s="42">
        <v>3.0238737309644672</v>
      </c>
      <c r="I427" s="42">
        <v>1</v>
      </c>
      <c r="J427" s="42">
        <v>3.1725888324873099</v>
      </c>
      <c r="K427" s="42">
        <v>0.953125</v>
      </c>
      <c r="L427" s="42">
        <v>0.31519999999999998</v>
      </c>
      <c r="M427">
        <v>1</v>
      </c>
    </row>
    <row r="428" spans="3:13" x14ac:dyDescent="0.15">
      <c r="C428" s="43">
        <v>395</v>
      </c>
      <c r="D428" s="42">
        <v>395</v>
      </c>
      <c r="E428" s="42">
        <v>0.316</v>
      </c>
      <c r="F428" s="42">
        <v>122</v>
      </c>
      <c r="G428" s="42">
        <v>40.448</v>
      </c>
      <c r="H428" s="42">
        <v>3.0162183544303796</v>
      </c>
      <c r="I428" s="42">
        <v>1</v>
      </c>
      <c r="J428" s="42">
        <v>3.1645569620253164</v>
      </c>
      <c r="K428" s="42">
        <v>0.953125</v>
      </c>
      <c r="L428" s="42">
        <v>0.316</v>
      </c>
      <c r="M428">
        <v>1</v>
      </c>
    </row>
    <row r="429" spans="3:13" x14ac:dyDescent="0.15">
      <c r="C429" s="43">
        <v>396</v>
      </c>
      <c r="D429" s="42">
        <v>396</v>
      </c>
      <c r="E429" s="42">
        <v>0.31680000000000003</v>
      </c>
      <c r="F429" s="42">
        <v>122</v>
      </c>
      <c r="G429" s="42">
        <v>40.550400000000003</v>
      </c>
      <c r="H429" s="42">
        <v>3.008601641414141</v>
      </c>
      <c r="I429" s="42">
        <v>1</v>
      </c>
      <c r="J429" s="42">
        <v>3.1565656565656561</v>
      </c>
      <c r="K429" s="42">
        <v>0.953125</v>
      </c>
      <c r="L429" s="42">
        <v>0.31680000000000003</v>
      </c>
      <c r="M429">
        <v>1</v>
      </c>
    </row>
    <row r="430" spans="3:13" x14ac:dyDescent="0.15">
      <c r="C430" s="43">
        <v>397</v>
      </c>
      <c r="D430" s="42">
        <v>397</v>
      </c>
      <c r="E430" s="42">
        <v>0.31759999999999999</v>
      </c>
      <c r="F430" s="42">
        <v>122</v>
      </c>
      <c r="G430" s="42">
        <v>40.652799999999999</v>
      </c>
      <c r="H430" s="42">
        <v>3.0010232997481108</v>
      </c>
      <c r="I430" s="42">
        <v>1</v>
      </c>
      <c r="J430" s="42">
        <v>3.1486146095717884</v>
      </c>
      <c r="K430" s="42">
        <v>0.953125</v>
      </c>
      <c r="L430" s="42">
        <v>0.31759999999999999</v>
      </c>
      <c r="M430">
        <v>1</v>
      </c>
    </row>
    <row r="431" spans="3:13" x14ac:dyDescent="0.15">
      <c r="C431" s="43">
        <v>398</v>
      </c>
      <c r="D431" s="42">
        <v>398</v>
      </c>
      <c r="E431" s="42">
        <v>0.31840000000000002</v>
      </c>
      <c r="F431" s="42">
        <v>122</v>
      </c>
      <c r="G431" s="42">
        <v>40.755200000000002</v>
      </c>
      <c r="H431" s="42">
        <v>2.9934830402010051</v>
      </c>
      <c r="I431" s="42">
        <v>1</v>
      </c>
      <c r="J431" s="42">
        <v>3.1407035175879394</v>
      </c>
      <c r="K431" s="42">
        <v>0.953125</v>
      </c>
      <c r="L431" s="42">
        <v>0.31840000000000002</v>
      </c>
      <c r="M431">
        <v>1</v>
      </c>
    </row>
    <row r="432" spans="3:13" x14ac:dyDescent="0.15">
      <c r="C432" s="43">
        <v>399</v>
      </c>
      <c r="D432" s="42">
        <v>399</v>
      </c>
      <c r="E432" s="42">
        <v>0.31919999999999998</v>
      </c>
      <c r="F432" s="42">
        <v>122</v>
      </c>
      <c r="G432" s="42">
        <v>40.857600000000005</v>
      </c>
      <c r="H432" s="42">
        <v>2.9859805764411029</v>
      </c>
      <c r="I432" s="42">
        <v>1</v>
      </c>
      <c r="J432" s="42">
        <v>3.1328320802005014</v>
      </c>
      <c r="K432" s="42">
        <v>0.953125</v>
      </c>
      <c r="L432" s="42">
        <v>0.31919999999999998</v>
      </c>
      <c r="M432">
        <v>1</v>
      </c>
    </row>
    <row r="433" spans="3:13" x14ac:dyDescent="0.15">
      <c r="C433" s="43">
        <v>400</v>
      </c>
      <c r="D433" s="42">
        <v>400</v>
      </c>
      <c r="E433" s="42">
        <v>0.32</v>
      </c>
      <c r="F433" s="42">
        <v>122</v>
      </c>
      <c r="G433" s="42">
        <v>40.96</v>
      </c>
      <c r="H433" s="42">
        <v>2.978515625</v>
      </c>
      <c r="I433" s="42">
        <v>1</v>
      </c>
      <c r="J433" s="42">
        <v>3.125</v>
      </c>
      <c r="K433" s="42">
        <v>0.953125</v>
      </c>
      <c r="L433" s="42">
        <v>0.32</v>
      </c>
      <c r="M433">
        <v>1</v>
      </c>
    </row>
    <row r="434" spans="3:13" x14ac:dyDescent="0.15">
      <c r="C434" s="43">
        <v>401</v>
      </c>
      <c r="D434" s="42">
        <v>401</v>
      </c>
      <c r="E434" s="42">
        <v>0.32079999999999997</v>
      </c>
      <c r="F434" s="42">
        <v>122</v>
      </c>
      <c r="G434" s="42">
        <v>41.062400000000004</v>
      </c>
      <c r="H434" s="42">
        <v>2.9710879052369079</v>
      </c>
      <c r="I434" s="42">
        <v>1</v>
      </c>
      <c r="J434" s="42">
        <v>3.117206982543641</v>
      </c>
      <c r="K434" s="42">
        <v>0.953125</v>
      </c>
      <c r="L434" s="42">
        <v>0.32079999999999997</v>
      </c>
      <c r="M434">
        <v>1</v>
      </c>
    </row>
    <row r="435" spans="3:13" x14ac:dyDescent="0.15">
      <c r="C435" s="43">
        <v>402</v>
      </c>
      <c r="D435" s="42">
        <v>402</v>
      </c>
      <c r="E435" s="42">
        <v>0.3216</v>
      </c>
      <c r="F435" s="42">
        <v>122</v>
      </c>
      <c r="G435" s="42">
        <v>41.1648</v>
      </c>
      <c r="H435" s="42">
        <v>2.9636971393034828</v>
      </c>
      <c r="I435" s="42">
        <v>1</v>
      </c>
      <c r="J435" s="42">
        <v>3.1094527363184081</v>
      </c>
      <c r="K435" s="42">
        <v>0.953125</v>
      </c>
      <c r="L435" s="42">
        <v>0.3216</v>
      </c>
      <c r="M435">
        <v>1</v>
      </c>
    </row>
    <row r="436" spans="3:13" x14ac:dyDescent="0.15">
      <c r="C436" s="43">
        <v>403</v>
      </c>
      <c r="D436" s="42">
        <v>403</v>
      </c>
      <c r="E436" s="42">
        <v>0.32240000000000002</v>
      </c>
      <c r="F436" s="42">
        <v>122</v>
      </c>
      <c r="G436" s="42">
        <v>41.267200000000003</v>
      </c>
      <c r="H436" s="42">
        <v>2.9563430521091809</v>
      </c>
      <c r="I436" s="42">
        <v>1</v>
      </c>
      <c r="J436" s="42">
        <v>3.1017369727047144</v>
      </c>
      <c r="K436" s="42">
        <v>0.953125</v>
      </c>
      <c r="L436" s="42">
        <v>0.32240000000000002</v>
      </c>
      <c r="M436">
        <v>1</v>
      </c>
    </row>
    <row r="437" spans="3:13" x14ac:dyDescent="0.15">
      <c r="C437" s="43">
        <v>404</v>
      </c>
      <c r="D437" s="42">
        <v>404</v>
      </c>
      <c r="E437" s="42">
        <v>0.32319999999999999</v>
      </c>
      <c r="F437" s="42">
        <v>122</v>
      </c>
      <c r="G437" s="42">
        <v>41.369600000000005</v>
      </c>
      <c r="H437" s="42">
        <v>2.9490253712871288</v>
      </c>
      <c r="I437" s="42">
        <v>1</v>
      </c>
      <c r="J437" s="42">
        <v>3.0940594059405941</v>
      </c>
      <c r="K437" s="42">
        <v>0.953125</v>
      </c>
      <c r="L437" s="42">
        <v>0.32319999999999999</v>
      </c>
      <c r="M437">
        <v>1</v>
      </c>
    </row>
    <row r="438" spans="3:13" x14ac:dyDescent="0.15">
      <c r="C438" s="43">
        <v>405</v>
      </c>
      <c r="D438" s="42">
        <v>405</v>
      </c>
      <c r="E438" s="42">
        <v>0.32400000000000001</v>
      </c>
      <c r="F438" s="42">
        <v>123</v>
      </c>
      <c r="G438" s="42">
        <v>41.472000000000001</v>
      </c>
      <c r="H438" s="42">
        <v>2.9658564814814814</v>
      </c>
      <c r="I438" s="42">
        <v>1</v>
      </c>
      <c r="J438" s="42">
        <v>3.0864197530864197</v>
      </c>
      <c r="K438" s="42">
        <v>0.9609375</v>
      </c>
      <c r="L438" s="42">
        <v>0.32400000000000001</v>
      </c>
      <c r="M438">
        <v>1</v>
      </c>
    </row>
    <row r="439" spans="3:13" x14ac:dyDescent="0.15">
      <c r="C439" s="43">
        <v>406</v>
      </c>
      <c r="D439" s="42">
        <v>406</v>
      </c>
      <c r="E439" s="42">
        <v>0.32479999999999998</v>
      </c>
      <c r="F439" s="42">
        <v>123</v>
      </c>
      <c r="G439" s="42">
        <v>41.574400000000004</v>
      </c>
      <c r="H439" s="42">
        <v>2.9585514162561579</v>
      </c>
      <c r="I439" s="42">
        <v>1</v>
      </c>
      <c r="J439" s="42">
        <v>3.0788177339901481</v>
      </c>
      <c r="K439" s="42">
        <v>0.9609375</v>
      </c>
      <c r="L439" s="42">
        <v>0.32479999999999998</v>
      </c>
      <c r="M439">
        <v>1</v>
      </c>
    </row>
    <row r="440" spans="3:13" x14ac:dyDescent="0.15">
      <c r="C440" s="43">
        <v>407</v>
      </c>
      <c r="D440" s="42">
        <v>407</v>
      </c>
      <c r="E440" s="42">
        <v>0.3256</v>
      </c>
      <c r="F440" s="42">
        <v>123</v>
      </c>
      <c r="G440" s="42">
        <v>41.6768</v>
      </c>
      <c r="H440" s="42">
        <v>2.951282248157248</v>
      </c>
      <c r="I440" s="42">
        <v>1</v>
      </c>
      <c r="J440" s="42">
        <v>3.0712530712530715</v>
      </c>
      <c r="K440" s="42">
        <v>0.9609375</v>
      </c>
      <c r="L440" s="42">
        <v>0.3256</v>
      </c>
      <c r="M440">
        <v>1</v>
      </c>
    </row>
    <row r="441" spans="3:13" x14ac:dyDescent="0.15">
      <c r="C441" s="43">
        <v>408</v>
      </c>
      <c r="D441" s="42">
        <v>408</v>
      </c>
      <c r="E441" s="42">
        <v>0.32640000000000002</v>
      </c>
      <c r="F441" s="42">
        <v>123</v>
      </c>
      <c r="G441" s="42">
        <v>41.779200000000003</v>
      </c>
      <c r="H441" s="42">
        <v>2.9440487132352939</v>
      </c>
      <c r="I441" s="42">
        <v>1</v>
      </c>
      <c r="J441" s="42">
        <v>3.0637254901960782</v>
      </c>
      <c r="K441" s="42">
        <v>0.9609375</v>
      </c>
      <c r="L441" s="42">
        <v>0.32640000000000002</v>
      </c>
      <c r="M441">
        <v>1</v>
      </c>
    </row>
    <row r="442" spans="3:13" x14ac:dyDescent="0.15">
      <c r="C442" s="43">
        <v>409</v>
      </c>
      <c r="D442" s="42">
        <v>409</v>
      </c>
      <c r="E442" s="42">
        <v>0.32719999999999999</v>
      </c>
      <c r="F442" s="42">
        <v>123</v>
      </c>
      <c r="G442" s="42">
        <v>41.881599999999999</v>
      </c>
      <c r="H442" s="42">
        <v>2.9368505501222493</v>
      </c>
      <c r="I442" s="42">
        <v>1</v>
      </c>
      <c r="J442" s="42">
        <v>3.0562347188264058</v>
      </c>
      <c r="K442" s="42">
        <v>0.9609375</v>
      </c>
      <c r="L442" s="42">
        <v>0.32719999999999999</v>
      </c>
      <c r="M442">
        <v>1</v>
      </c>
    </row>
    <row r="443" spans="3:13" x14ac:dyDescent="0.15">
      <c r="C443" s="43">
        <v>410</v>
      </c>
      <c r="D443" s="42">
        <v>410</v>
      </c>
      <c r="E443" s="42">
        <v>0.32800000000000001</v>
      </c>
      <c r="F443" s="42">
        <v>123</v>
      </c>
      <c r="G443" s="42">
        <v>41.984000000000002</v>
      </c>
      <c r="H443" s="42">
        <v>2.9296875</v>
      </c>
      <c r="I443" s="42">
        <v>1</v>
      </c>
      <c r="J443" s="42">
        <v>3.0487804878048781</v>
      </c>
      <c r="K443" s="42">
        <v>0.9609375</v>
      </c>
      <c r="L443" s="42">
        <v>0.32800000000000001</v>
      </c>
      <c r="M443">
        <v>1</v>
      </c>
    </row>
    <row r="444" spans="3:13" x14ac:dyDescent="0.15">
      <c r="C444" s="43">
        <v>411</v>
      </c>
      <c r="D444" s="42">
        <v>411</v>
      </c>
      <c r="E444" s="42">
        <v>0.32879999999999998</v>
      </c>
      <c r="F444" s="42">
        <v>123</v>
      </c>
      <c r="G444" s="42">
        <v>42.086400000000005</v>
      </c>
      <c r="H444" s="42">
        <v>2.9225593065693434</v>
      </c>
      <c r="I444" s="42">
        <v>1</v>
      </c>
      <c r="J444" s="42">
        <v>3.0413625304136254</v>
      </c>
      <c r="K444" s="42">
        <v>0.9609375</v>
      </c>
      <c r="L444" s="42">
        <v>0.32879999999999998</v>
      </c>
      <c r="M444">
        <v>1</v>
      </c>
    </row>
    <row r="445" spans="3:13" x14ac:dyDescent="0.15">
      <c r="C445" s="43">
        <v>412</v>
      </c>
      <c r="D445" s="42">
        <v>412</v>
      </c>
      <c r="E445" s="42">
        <v>0.3296</v>
      </c>
      <c r="F445" s="42">
        <v>123</v>
      </c>
      <c r="G445" s="42">
        <v>42.188800000000001</v>
      </c>
      <c r="H445" s="42">
        <v>2.9154657160194173</v>
      </c>
      <c r="I445" s="42">
        <v>1</v>
      </c>
      <c r="J445" s="42">
        <v>3.0339805825242716</v>
      </c>
      <c r="K445" s="42">
        <v>0.9609375</v>
      </c>
      <c r="L445" s="42">
        <v>0.3296</v>
      </c>
      <c r="M445">
        <v>1</v>
      </c>
    </row>
    <row r="446" spans="3:13" x14ac:dyDescent="0.15">
      <c r="C446" s="43">
        <v>413</v>
      </c>
      <c r="D446" s="42">
        <v>413</v>
      </c>
      <c r="E446" s="42">
        <v>0.33040000000000003</v>
      </c>
      <c r="F446" s="42">
        <v>123</v>
      </c>
      <c r="G446" s="42">
        <v>42.291200000000003</v>
      </c>
      <c r="H446" s="42">
        <v>2.9084064769975786</v>
      </c>
      <c r="I446" s="42">
        <v>1</v>
      </c>
      <c r="J446" s="42">
        <v>3.0266343825665856</v>
      </c>
      <c r="K446" s="42">
        <v>0.9609375</v>
      </c>
      <c r="L446" s="42">
        <v>0.33040000000000003</v>
      </c>
      <c r="M446">
        <v>1</v>
      </c>
    </row>
    <row r="447" spans="3:13" x14ac:dyDescent="0.15">
      <c r="C447" s="43">
        <v>414</v>
      </c>
      <c r="D447" s="42">
        <v>414</v>
      </c>
      <c r="E447" s="42">
        <v>0.33119999999999999</v>
      </c>
      <c r="F447" s="42">
        <v>123</v>
      </c>
      <c r="G447" s="42">
        <v>42.393599999999999</v>
      </c>
      <c r="H447" s="42">
        <v>2.90138134057971</v>
      </c>
      <c r="I447" s="42">
        <v>1</v>
      </c>
      <c r="J447" s="42">
        <v>3.0193236714975846</v>
      </c>
      <c r="K447" s="42">
        <v>0.9609375</v>
      </c>
      <c r="L447" s="42">
        <v>0.33119999999999999</v>
      </c>
      <c r="M447">
        <v>1</v>
      </c>
    </row>
    <row r="448" spans="3:13" x14ac:dyDescent="0.15">
      <c r="C448" s="43">
        <v>415</v>
      </c>
      <c r="D448" s="42">
        <v>415</v>
      </c>
      <c r="E448" s="42">
        <v>0.33200000000000002</v>
      </c>
      <c r="F448" s="42">
        <v>123</v>
      </c>
      <c r="G448" s="42">
        <v>42.496000000000002</v>
      </c>
      <c r="H448" s="42">
        <v>2.8943900602409638</v>
      </c>
      <c r="I448" s="42">
        <v>1</v>
      </c>
      <c r="J448" s="42">
        <v>3.012048192771084</v>
      </c>
      <c r="K448" s="42">
        <v>0.9609375</v>
      </c>
      <c r="L448" s="42">
        <v>0.33200000000000002</v>
      </c>
      <c r="M448">
        <v>1</v>
      </c>
    </row>
    <row r="449" spans="3:13" x14ac:dyDescent="0.15">
      <c r="C449" s="43">
        <v>416</v>
      </c>
      <c r="D449" s="42">
        <v>416</v>
      </c>
      <c r="E449" s="42">
        <v>0.33279999999999998</v>
      </c>
      <c r="F449" s="42">
        <v>123</v>
      </c>
      <c r="G449" s="42">
        <v>42.598400000000005</v>
      </c>
      <c r="H449" s="42">
        <v>2.8874323918269234</v>
      </c>
      <c r="I449" s="42">
        <v>1</v>
      </c>
      <c r="J449" s="42">
        <v>3.0048076923076925</v>
      </c>
      <c r="K449" s="42">
        <v>0.9609375</v>
      </c>
      <c r="L449" s="42">
        <v>0.33279999999999998</v>
      </c>
      <c r="M449">
        <v>1</v>
      </c>
    </row>
    <row r="450" spans="3:13" x14ac:dyDescent="0.15">
      <c r="C450" s="43">
        <v>417</v>
      </c>
      <c r="D450" s="42">
        <v>417</v>
      </c>
      <c r="E450" s="42">
        <v>0.33360000000000001</v>
      </c>
      <c r="F450" s="42">
        <v>123</v>
      </c>
      <c r="G450" s="42">
        <v>42.700800000000001</v>
      </c>
      <c r="H450" s="42">
        <v>2.8805080935251799</v>
      </c>
      <c r="I450" s="42">
        <v>1</v>
      </c>
      <c r="J450" s="42">
        <v>2.9976019184652278</v>
      </c>
      <c r="K450" s="42">
        <v>0.9609375</v>
      </c>
      <c r="L450" s="42">
        <v>0.33360000000000001</v>
      </c>
      <c r="M450">
        <v>1</v>
      </c>
    </row>
    <row r="451" spans="3:13" x14ac:dyDescent="0.15">
      <c r="C451" s="43">
        <v>418</v>
      </c>
      <c r="D451" s="42">
        <v>418</v>
      </c>
      <c r="E451" s="42">
        <v>0.33439999999999998</v>
      </c>
      <c r="F451" s="42">
        <v>123</v>
      </c>
      <c r="G451" s="42">
        <v>42.803200000000004</v>
      </c>
      <c r="H451" s="42">
        <v>2.8736169258373208</v>
      </c>
      <c r="I451" s="42">
        <v>1</v>
      </c>
      <c r="J451" s="42">
        <v>2.9904306220095696</v>
      </c>
      <c r="K451" s="42">
        <v>0.9609375</v>
      </c>
      <c r="L451" s="42">
        <v>0.33439999999999998</v>
      </c>
      <c r="M451">
        <v>1</v>
      </c>
    </row>
    <row r="452" spans="3:13" x14ac:dyDescent="0.15">
      <c r="C452" s="43">
        <v>419</v>
      </c>
      <c r="D452" s="42">
        <v>419</v>
      </c>
      <c r="E452" s="42">
        <v>0.3352</v>
      </c>
      <c r="F452" s="42">
        <v>123</v>
      </c>
      <c r="G452" s="42">
        <v>42.9056</v>
      </c>
      <c r="H452" s="42">
        <v>2.8667586515513128</v>
      </c>
      <c r="I452" s="42">
        <v>1</v>
      </c>
      <c r="J452" s="42">
        <v>2.9832935560859188</v>
      </c>
      <c r="K452" s="42">
        <v>0.9609375</v>
      </c>
      <c r="L452" s="42">
        <v>0.3352</v>
      </c>
      <c r="M452">
        <v>1</v>
      </c>
    </row>
    <row r="453" spans="3:13" x14ac:dyDescent="0.15">
      <c r="C453" s="43">
        <v>420</v>
      </c>
      <c r="D453" s="42">
        <v>420</v>
      </c>
      <c r="E453" s="42">
        <v>0.33600000000000002</v>
      </c>
      <c r="F453" s="42">
        <v>123</v>
      </c>
      <c r="G453" s="42">
        <v>43.008000000000003</v>
      </c>
      <c r="H453" s="42">
        <v>2.8599330357142856</v>
      </c>
      <c r="I453" s="42">
        <v>1</v>
      </c>
      <c r="J453" s="42">
        <v>2.9761904761904758</v>
      </c>
      <c r="K453" s="42">
        <v>0.9609375</v>
      </c>
      <c r="L453" s="42">
        <v>0.33600000000000002</v>
      </c>
      <c r="M453">
        <v>1</v>
      </c>
    </row>
    <row r="454" spans="3:13" x14ac:dyDescent="0.15">
      <c r="C454" s="43">
        <v>421</v>
      </c>
      <c r="D454" s="42">
        <v>421</v>
      </c>
      <c r="E454" s="42">
        <v>0.33679999999999999</v>
      </c>
      <c r="F454" s="42">
        <v>123</v>
      </c>
      <c r="G454" s="42">
        <v>43.110400000000006</v>
      </c>
      <c r="H454" s="42">
        <v>2.8531398456057007</v>
      </c>
      <c r="I454" s="42">
        <v>1</v>
      </c>
      <c r="J454" s="42">
        <v>2.9691211401425179</v>
      </c>
      <c r="K454" s="42">
        <v>0.9609375</v>
      </c>
      <c r="L454" s="42">
        <v>0.33679999999999999</v>
      </c>
      <c r="M454">
        <v>1</v>
      </c>
    </row>
    <row r="455" spans="3:13" x14ac:dyDescent="0.15">
      <c r="C455" s="43">
        <v>422</v>
      </c>
      <c r="D455" s="42">
        <v>422</v>
      </c>
      <c r="E455" s="42">
        <v>0.33760000000000001</v>
      </c>
      <c r="F455" s="42">
        <v>123</v>
      </c>
      <c r="G455" s="42">
        <v>43.212800000000001</v>
      </c>
      <c r="H455" s="42">
        <v>2.8463788507109005</v>
      </c>
      <c r="I455" s="42">
        <v>1</v>
      </c>
      <c r="J455" s="42">
        <v>2.9620853080568721</v>
      </c>
      <c r="K455" s="42">
        <v>0.9609375</v>
      </c>
      <c r="L455" s="42">
        <v>0.33760000000000001</v>
      </c>
      <c r="M455">
        <v>1</v>
      </c>
    </row>
    <row r="456" spans="3:13" x14ac:dyDescent="0.15">
      <c r="C456" s="43">
        <v>423</v>
      </c>
      <c r="D456" s="42">
        <v>423</v>
      </c>
      <c r="E456" s="42">
        <v>0.33839999999999998</v>
      </c>
      <c r="F456" s="42">
        <v>123</v>
      </c>
      <c r="G456" s="42">
        <v>43.315200000000004</v>
      </c>
      <c r="H456" s="42">
        <v>2.8396498226950357</v>
      </c>
      <c r="I456" s="42">
        <v>1</v>
      </c>
      <c r="J456" s="42">
        <v>2.9550827423167849</v>
      </c>
      <c r="K456" s="42">
        <v>0.9609375</v>
      </c>
      <c r="L456" s="42">
        <v>0.33839999999999998</v>
      </c>
      <c r="M456">
        <v>1</v>
      </c>
    </row>
    <row r="457" spans="3:13" x14ac:dyDescent="0.15">
      <c r="C457" s="43">
        <v>424</v>
      </c>
      <c r="D457" s="42">
        <v>424</v>
      </c>
      <c r="E457" s="42">
        <v>0.3392</v>
      </c>
      <c r="F457" s="42">
        <v>123</v>
      </c>
      <c r="G457" s="42">
        <v>43.4176</v>
      </c>
      <c r="H457" s="42">
        <v>2.8329525353773586</v>
      </c>
      <c r="I457" s="42">
        <v>1</v>
      </c>
      <c r="J457" s="42">
        <v>2.9481132075471699</v>
      </c>
      <c r="K457" s="42">
        <v>0.9609375</v>
      </c>
      <c r="L457" s="42">
        <v>0.3392</v>
      </c>
      <c r="M457">
        <v>1</v>
      </c>
    </row>
    <row r="458" spans="3:13" x14ac:dyDescent="0.15">
      <c r="C458" s="43">
        <v>425</v>
      </c>
      <c r="D458" s="42">
        <v>425</v>
      </c>
      <c r="E458" s="42">
        <v>0.34</v>
      </c>
      <c r="F458" s="42">
        <v>123</v>
      </c>
      <c r="G458" s="42">
        <v>43.52</v>
      </c>
      <c r="H458" s="42">
        <v>2.8262867647058822</v>
      </c>
      <c r="I458" s="42">
        <v>1</v>
      </c>
      <c r="J458" s="42">
        <v>2.9411764705882351</v>
      </c>
      <c r="K458" s="42">
        <v>0.9609375</v>
      </c>
      <c r="L458" s="42">
        <v>0.34</v>
      </c>
      <c r="M458">
        <v>1</v>
      </c>
    </row>
    <row r="459" spans="3:13" x14ac:dyDescent="0.15">
      <c r="C459" s="43">
        <v>426</v>
      </c>
      <c r="D459" s="42">
        <v>426</v>
      </c>
      <c r="E459" s="42">
        <v>0.34079999999999999</v>
      </c>
      <c r="F459" s="42">
        <v>123</v>
      </c>
      <c r="G459" s="42">
        <v>43.622399999999999</v>
      </c>
      <c r="H459" s="42">
        <v>2.8196522887323945</v>
      </c>
      <c r="I459" s="42">
        <v>1</v>
      </c>
      <c r="J459" s="42">
        <v>2.9342723004694835</v>
      </c>
      <c r="K459" s="42">
        <v>0.9609375</v>
      </c>
      <c r="L459" s="42">
        <v>0.34079999999999999</v>
      </c>
      <c r="M459">
        <v>1</v>
      </c>
    </row>
    <row r="460" spans="3:13" x14ac:dyDescent="0.15">
      <c r="C460" s="43">
        <v>427</v>
      </c>
      <c r="D460" s="42">
        <v>427</v>
      </c>
      <c r="E460" s="42">
        <v>0.34160000000000001</v>
      </c>
      <c r="F460" s="42">
        <v>123</v>
      </c>
      <c r="G460" s="42">
        <v>43.724800000000002</v>
      </c>
      <c r="H460" s="42">
        <v>2.8130488875878217</v>
      </c>
      <c r="I460" s="42">
        <v>1</v>
      </c>
      <c r="J460" s="42">
        <v>2.9274004683840746</v>
      </c>
      <c r="K460" s="42">
        <v>0.9609375</v>
      </c>
      <c r="L460" s="42">
        <v>0.34160000000000001</v>
      </c>
      <c r="M460">
        <v>1</v>
      </c>
    </row>
    <row r="461" spans="3:13" x14ac:dyDescent="0.15">
      <c r="C461" s="43">
        <v>428</v>
      </c>
      <c r="D461" s="42">
        <v>428</v>
      </c>
      <c r="E461" s="42">
        <v>0.34239999999999998</v>
      </c>
      <c r="F461" s="42">
        <v>123</v>
      </c>
      <c r="G461" s="42">
        <v>43.827200000000005</v>
      </c>
      <c r="H461" s="42">
        <v>2.8064763434579443</v>
      </c>
      <c r="I461" s="42">
        <v>1</v>
      </c>
      <c r="J461" s="42">
        <v>2.9205607476635516</v>
      </c>
      <c r="K461" s="42">
        <v>0.9609375</v>
      </c>
      <c r="L461" s="42">
        <v>0.34239999999999998</v>
      </c>
      <c r="M461">
        <v>1</v>
      </c>
    </row>
    <row r="462" spans="3:13" x14ac:dyDescent="0.15">
      <c r="C462" s="43">
        <v>429</v>
      </c>
      <c r="D462" s="42">
        <v>429</v>
      </c>
      <c r="E462" s="42">
        <v>0.34320000000000001</v>
      </c>
      <c r="F462" s="42">
        <v>123</v>
      </c>
      <c r="G462" s="42">
        <v>43.929600000000001</v>
      </c>
      <c r="H462" s="42">
        <v>2.7999344405594404</v>
      </c>
      <c r="I462" s="42">
        <v>1</v>
      </c>
      <c r="J462" s="42">
        <v>2.9137529137529139</v>
      </c>
      <c r="K462" s="42">
        <v>0.9609375</v>
      </c>
      <c r="L462" s="42">
        <v>0.34320000000000001</v>
      </c>
      <c r="M462">
        <v>1</v>
      </c>
    </row>
    <row r="463" spans="3:13" x14ac:dyDescent="0.15">
      <c r="C463" s="43">
        <v>430</v>
      </c>
      <c r="D463" s="42">
        <v>430</v>
      </c>
      <c r="E463" s="42">
        <v>0.34399999999999997</v>
      </c>
      <c r="F463" s="42">
        <v>123</v>
      </c>
      <c r="G463" s="42">
        <v>44.032000000000004</v>
      </c>
      <c r="H463" s="42">
        <v>2.7934229651162794</v>
      </c>
      <c r="I463" s="42">
        <v>1</v>
      </c>
      <c r="J463" s="42">
        <v>2.9069767441860468</v>
      </c>
      <c r="K463" s="42">
        <v>0.9609375</v>
      </c>
      <c r="L463" s="42">
        <v>0.34399999999999997</v>
      </c>
      <c r="M463">
        <v>1</v>
      </c>
    </row>
    <row r="464" spans="3:13" x14ac:dyDescent="0.15">
      <c r="C464" s="43">
        <v>431</v>
      </c>
      <c r="D464" s="42">
        <v>431</v>
      </c>
      <c r="E464" s="42">
        <v>0.3448</v>
      </c>
      <c r="F464" s="42">
        <v>123</v>
      </c>
      <c r="G464" s="42">
        <v>44.134399999999999</v>
      </c>
      <c r="H464" s="42">
        <v>2.7869417053364272</v>
      </c>
      <c r="I464" s="42">
        <v>1</v>
      </c>
      <c r="J464" s="42">
        <v>2.9002320185614852</v>
      </c>
      <c r="K464" s="42">
        <v>0.9609375</v>
      </c>
      <c r="L464" s="42">
        <v>0.3448</v>
      </c>
      <c r="M464">
        <v>1</v>
      </c>
    </row>
    <row r="465" spans="3:13" x14ac:dyDescent="0.15">
      <c r="C465" s="43">
        <v>432</v>
      </c>
      <c r="D465" s="42">
        <v>432</v>
      </c>
      <c r="E465" s="42">
        <v>0.34560000000000002</v>
      </c>
      <c r="F465" s="42">
        <v>123</v>
      </c>
      <c r="G465" s="42">
        <v>44.236800000000002</v>
      </c>
      <c r="H465" s="42">
        <v>2.7804904513888888</v>
      </c>
      <c r="I465" s="42">
        <v>1</v>
      </c>
      <c r="J465" s="42">
        <v>2.8935185185185182</v>
      </c>
      <c r="K465" s="42">
        <v>0.9609375</v>
      </c>
      <c r="L465" s="42">
        <v>0.34560000000000002</v>
      </c>
      <c r="M465">
        <v>1</v>
      </c>
    </row>
    <row r="466" spans="3:13" x14ac:dyDescent="0.15">
      <c r="C466" s="43">
        <v>433</v>
      </c>
      <c r="D466" s="42">
        <v>433</v>
      </c>
      <c r="E466" s="42">
        <v>0.34639999999999999</v>
      </c>
      <c r="F466" s="42">
        <v>123</v>
      </c>
      <c r="G466" s="42">
        <v>44.339200000000005</v>
      </c>
      <c r="H466" s="42">
        <v>2.7740689953810627</v>
      </c>
      <c r="I466" s="42">
        <v>1</v>
      </c>
      <c r="J466" s="42">
        <v>2.8868360277136258</v>
      </c>
      <c r="K466" s="42">
        <v>0.9609375</v>
      </c>
      <c r="L466" s="42">
        <v>0.34639999999999999</v>
      </c>
      <c r="M466">
        <v>1</v>
      </c>
    </row>
    <row r="467" spans="3:13" x14ac:dyDescent="0.15">
      <c r="C467" s="43">
        <v>434</v>
      </c>
      <c r="D467" s="42">
        <v>434</v>
      </c>
      <c r="E467" s="42">
        <v>0.34720000000000001</v>
      </c>
      <c r="F467" s="42">
        <v>123</v>
      </c>
      <c r="G467" s="42">
        <v>44.441600000000001</v>
      </c>
      <c r="H467" s="42">
        <v>2.7676771313364052</v>
      </c>
      <c r="I467" s="42">
        <v>1</v>
      </c>
      <c r="J467" s="42">
        <v>2.8801843317972349</v>
      </c>
      <c r="K467" s="42">
        <v>0.9609375</v>
      </c>
      <c r="L467" s="42">
        <v>0.34720000000000001</v>
      </c>
      <c r="M467">
        <v>1</v>
      </c>
    </row>
    <row r="468" spans="3:13" x14ac:dyDescent="0.15">
      <c r="C468" s="43">
        <v>435</v>
      </c>
      <c r="D468" s="42">
        <v>435</v>
      </c>
      <c r="E468" s="42">
        <v>0.34799999999999998</v>
      </c>
      <c r="F468" s="42">
        <v>123</v>
      </c>
      <c r="G468" s="42">
        <v>44.544000000000004</v>
      </c>
      <c r="H468" s="42">
        <v>2.7613146551724141</v>
      </c>
      <c r="I468" s="42">
        <v>1</v>
      </c>
      <c r="J468" s="42">
        <v>2.8735632183908049</v>
      </c>
      <c r="K468" s="42">
        <v>0.9609375</v>
      </c>
      <c r="L468" s="42">
        <v>0.34799999999999998</v>
      </c>
      <c r="M468">
        <v>1</v>
      </c>
    </row>
    <row r="469" spans="3:13" x14ac:dyDescent="0.15">
      <c r="C469" s="43">
        <v>436</v>
      </c>
      <c r="D469" s="42">
        <v>436</v>
      </c>
      <c r="E469" s="42">
        <v>0.3488</v>
      </c>
      <c r="F469" s="42">
        <v>123</v>
      </c>
      <c r="G469" s="42">
        <v>44.6464</v>
      </c>
      <c r="H469" s="42">
        <v>2.754981364678899</v>
      </c>
      <c r="I469" s="42">
        <v>1</v>
      </c>
      <c r="J469" s="42">
        <v>2.8669724770642202</v>
      </c>
      <c r="K469" s="42">
        <v>0.9609375</v>
      </c>
      <c r="L469" s="42">
        <v>0.3488</v>
      </c>
      <c r="M469">
        <v>1</v>
      </c>
    </row>
    <row r="470" spans="3:13" x14ac:dyDescent="0.15">
      <c r="C470" s="43">
        <v>437</v>
      </c>
      <c r="D470" s="42">
        <v>437</v>
      </c>
      <c r="E470" s="42">
        <v>0.34960000000000002</v>
      </c>
      <c r="F470" s="42">
        <v>123</v>
      </c>
      <c r="G470" s="42">
        <v>44.748800000000003</v>
      </c>
      <c r="H470" s="42">
        <v>2.7486770594965675</v>
      </c>
      <c r="I470" s="42">
        <v>1</v>
      </c>
      <c r="J470" s="42">
        <v>2.860411899313501</v>
      </c>
      <c r="K470" s="42">
        <v>0.9609375</v>
      </c>
      <c r="L470" s="42">
        <v>0.34960000000000002</v>
      </c>
      <c r="M470">
        <v>1</v>
      </c>
    </row>
    <row r="471" spans="3:13" x14ac:dyDescent="0.15">
      <c r="C471" s="43">
        <v>438</v>
      </c>
      <c r="D471" s="42">
        <v>438</v>
      </c>
      <c r="E471" s="42">
        <v>0.35039999999999999</v>
      </c>
      <c r="F471" s="42">
        <v>123</v>
      </c>
      <c r="G471" s="42">
        <v>44.851199999999999</v>
      </c>
      <c r="H471" s="42">
        <v>2.7424015410958904</v>
      </c>
      <c r="I471" s="42">
        <v>1</v>
      </c>
      <c r="J471" s="42">
        <v>2.8538812785388128</v>
      </c>
      <c r="K471" s="42">
        <v>0.9609375</v>
      </c>
      <c r="L471" s="42">
        <v>0.35039999999999999</v>
      </c>
      <c r="M471">
        <v>1</v>
      </c>
    </row>
    <row r="472" spans="3:13" x14ac:dyDescent="0.15">
      <c r="C472" s="43">
        <v>439</v>
      </c>
      <c r="D472" s="42">
        <v>439</v>
      </c>
      <c r="E472" s="42">
        <v>0.35120000000000001</v>
      </c>
      <c r="F472" s="42">
        <v>123</v>
      </c>
      <c r="G472" s="42">
        <v>44.953600000000002</v>
      </c>
      <c r="H472" s="42">
        <v>2.7361546127562639</v>
      </c>
      <c r="I472" s="42">
        <v>1</v>
      </c>
      <c r="J472" s="42">
        <v>2.8473804100227791</v>
      </c>
      <c r="K472" s="42">
        <v>0.9609375</v>
      </c>
      <c r="L472" s="42">
        <v>0.35120000000000001</v>
      </c>
      <c r="M472">
        <v>1</v>
      </c>
    </row>
    <row r="473" spans="3:13" x14ac:dyDescent="0.15">
      <c r="C473" s="43">
        <v>440</v>
      </c>
      <c r="D473" s="42">
        <v>440</v>
      </c>
      <c r="E473" s="42">
        <v>0.35199999999999998</v>
      </c>
      <c r="F473" s="42">
        <v>123</v>
      </c>
      <c r="G473" s="42">
        <v>45.056000000000004</v>
      </c>
      <c r="H473" s="42">
        <v>2.7299360795454546</v>
      </c>
      <c r="I473" s="42">
        <v>1</v>
      </c>
      <c r="J473" s="42">
        <v>2.8409090909090913</v>
      </c>
      <c r="K473" s="42">
        <v>0.9609375</v>
      </c>
      <c r="L473" s="42">
        <v>0.35199999999999998</v>
      </c>
      <c r="M473">
        <v>1</v>
      </c>
    </row>
    <row r="474" spans="3:13" x14ac:dyDescent="0.15">
      <c r="C474" s="43">
        <v>441</v>
      </c>
      <c r="D474" s="42">
        <v>441</v>
      </c>
      <c r="E474" s="42">
        <v>0.3528</v>
      </c>
      <c r="F474" s="42">
        <v>123</v>
      </c>
      <c r="G474" s="42">
        <v>45.1584</v>
      </c>
      <c r="H474" s="42">
        <v>2.7237457482993199</v>
      </c>
      <c r="I474" s="42">
        <v>1</v>
      </c>
      <c r="J474" s="42">
        <v>2.8344671201814058</v>
      </c>
      <c r="K474" s="42">
        <v>0.9609375</v>
      </c>
      <c r="L474" s="42">
        <v>0.3528</v>
      </c>
      <c r="M474">
        <v>1</v>
      </c>
    </row>
    <row r="475" spans="3:13" x14ac:dyDescent="0.15">
      <c r="C475" s="43">
        <v>442</v>
      </c>
      <c r="D475" s="42">
        <v>442</v>
      </c>
      <c r="E475" s="42">
        <v>0.35360000000000003</v>
      </c>
      <c r="F475" s="42">
        <v>123</v>
      </c>
      <c r="G475" s="42">
        <v>45.260800000000003</v>
      </c>
      <c r="H475" s="42">
        <v>2.7175834276018098</v>
      </c>
      <c r="I475" s="42">
        <v>1</v>
      </c>
      <c r="J475" s="42">
        <v>2.8280542986425337</v>
      </c>
      <c r="K475" s="42">
        <v>0.9609375</v>
      </c>
      <c r="L475" s="42">
        <v>0.35360000000000003</v>
      </c>
      <c r="M475">
        <v>1</v>
      </c>
    </row>
    <row r="476" spans="3:13" x14ac:dyDescent="0.15">
      <c r="C476" s="43">
        <v>443</v>
      </c>
      <c r="D476" s="42">
        <v>443</v>
      </c>
      <c r="E476" s="42">
        <v>0.35439999999999999</v>
      </c>
      <c r="F476" s="42">
        <v>123</v>
      </c>
      <c r="G476" s="42">
        <v>45.363199999999999</v>
      </c>
      <c r="H476" s="42">
        <v>2.7114489277652369</v>
      </c>
      <c r="I476" s="42">
        <v>1</v>
      </c>
      <c r="J476" s="42">
        <v>2.8216704288939054</v>
      </c>
      <c r="K476" s="42">
        <v>0.9609375</v>
      </c>
      <c r="L476" s="42">
        <v>0.35439999999999999</v>
      </c>
      <c r="M476">
        <v>1</v>
      </c>
    </row>
    <row r="477" spans="3:13" x14ac:dyDescent="0.15">
      <c r="C477" s="43">
        <v>444</v>
      </c>
      <c r="D477" s="42">
        <v>444</v>
      </c>
      <c r="E477" s="42">
        <v>0.35520000000000002</v>
      </c>
      <c r="F477" s="42">
        <v>123</v>
      </c>
      <c r="G477" s="42">
        <v>45.465600000000002</v>
      </c>
      <c r="H477" s="42">
        <v>2.7053420608108105</v>
      </c>
      <c r="I477" s="42">
        <v>1</v>
      </c>
      <c r="J477" s="42">
        <v>2.8153153153153152</v>
      </c>
      <c r="K477" s="42">
        <v>0.9609375</v>
      </c>
      <c r="L477" s="42">
        <v>0.35520000000000002</v>
      </c>
      <c r="M477">
        <v>1</v>
      </c>
    </row>
    <row r="478" spans="3:13" x14ac:dyDescent="0.15">
      <c r="C478" s="43">
        <v>445</v>
      </c>
      <c r="D478" s="42">
        <v>445</v>
      </c>
      <c r="E478" s="42">
        <v>0.35599999999999998</v>
      </c>
      <c r="F478" s="42">
        <v>123</v>
      </c>
      <c r="G478" s="42">
        <v>45.568000000000005</v>
      </c>
      <c r="H478" s="42">
        <v>2.6992626404494384</v>
      </c>
      <c r="I478" s="42">
        <v>1</v>
      </c>
      <c r="J478" s="42">
        <v>2.808988764044944</v>
      </c>
      <c r="K478" s="42">
        <v>0.9609375</v>
      </c>
      <c r="L478" s="42">
        <v>0.35599999999999998</v>
      </c>
      <c r="M478">
        <v>1</v>
      </c>
    </row>
    <row r="479" spans="3:13" x14ac:dyDescent="0.15">
      <c r="C479" s="43">
        <v>446</v>
      </c>
      <c r="D479" s="42">
        <v>446</v>
      </c>
      <c r="E479" s="42">
        <v>0.35680000000000001</v>
      </c>
      <c r="F479" s="42">
        <v>123</v>
      </c>
      <c r="G479" s="42">
        <v>45.670400000000001</v>
      </c>
      <c r="H479" s="42">
        <v>2.69321048206278</v>
      </c>
      <c r="I479" s="42">
        <v>1</v>
      </c>
      <c r="J479" s="42">
        <v>2.8026905829596411</v>
      </c>
      <c r="K479" s="42">
        <v>0.9609375</v>
      </c>
      <c r="L479" s="42">
        <v>0.35680000000000001</v>
      </c>
      <c r="M479">
        <v>1</v>
      </c>
    </row>
    <row r="480" spans="3:13" x14ac:dyDescent="0.15">
      <c r="C480" s="43">
        <v>447</v>
      </c>
      <c r="D480" s="42">
        <v>447</v>
      </c>
      <c r="E480" s="42">
        <v>0.35759999999999997</v>
      </c>
      <c r="F480" s="42">
        <v>123</v>
      </c>
      <c r="G480" s="42">
        <v>45.772800000000004</v>
      </c>
      <c r="H480" s="42">
        <v>2.6871854026845639</v>
      </c>
      <c r="I480" s="42">
        <v>1</v>
      </c>
      <c r="J480" s="42">
        <v>2.796420581655481</v>
      </c>
      <c r="K480" s="42">
        <v>0.9609375</v>
      </c>
      <c r="L480" s="42">
        <v>0.35759999999999997</v>
      </c>
      <c r="M480">
        <v>1</v>
      </c>
    </row>
    <row r="481" spans="3:13" x14ac:dyDescent="0.15">
      <c r="C481" s="43">
        <v>448</v>
      </c>
      <c r="D481" s="42">
        <v>448</v>
      </c>
      <c r="E481" s="42">
        <v>0.3584</v>
      </c>
      <c r="F481" s="42">
        <v>123</v>
      </c>
      <c r="G481" s="42">
        <v>45.8752</v>
      </c>
      <c r="H481" s="42">
        <v>2.6811872209821428</v>
      </c>
      <c r="I481" s="42">
        <v>1</v>
      </c>
      <c r="J481" s="42">
        <v>2.7901785714285716</v>
      </c>
      <c r="K481" s="42">
        <v>0.9609375</v>
      </c>
      <c r="L481" s="42">
        <v>0.3584</v>
      </c>
      <c r="M481">
        <v>1</v>
      </c>
    </row>
    <row r="482" spans="3:13" x14ac:dyDescent="0.15">
      <c r="C482" s="43">
        <v>449</v>
      </c>
      <c r="D482" s="42">
        <v>449</v>
      </c>
      <c r="E482" s="42">
        <v>0.35920000000000002</v>
      </c>
      <c r="F482" s="42">
        <v>123</v>
      </c>
      <c r="G482" s="42">
        <v>45.977600000000002</v>
      </c>
      <c r="H482" s="42">
        <v>2.6752157572383073</v>
      </c>
      <c r="I482" s="42">
        <v>1</v>
      </c>
      <c r="J482" s="42">
        <v>2.7839643652561246</v>
      </c>
      <c r="K482" s="42">
        <v>0.9609375</v>
      </c>
      <c r="L482" s="42">
        <v>0.35920000000000002</v>
      </c>
      <c r="M482">
        <v>1</v>
      </c>
    </row>
    <row r="483" spans="3:13" x14ac:dyDescent="0.15">
      <c r="C483" s="43">
        <v>450</v>
      </c>
      <c r="D483" s="42">
        <v>450</v>
      </c>
      <c r="E483" s="42">
        <v>0.36</v>
      </c>
      <c r="F483" s="42">
        <v>123</v>
      </c>
      <c r="G483" s="42">
        <v>46.080000000000005</v>
      </c>
      <c r="H483" s="42">
        <v>2.6692708333333335</v>
      </c>
      <c r="I483" s="42">
        <v>1</v>
      </c>
      <c r="J483" s="42">
        <v>2.7777777777777777</v>
      </c>
      <c r="K483" s="42">
        <v>0.9609375</v>
      </c>
      <c r="L483" s="42">
        <v>0.36</v>
      </c>
      <c r="M483">
        <v>1</v>
      </c>
    </row>
    <row r="484" spans="3:13" x14ac:dyDescent="0.15">
      <c r="C484" s="43">
        <v>451</v>
      </c>
      <c r="D484" s="42">
        <v>451</v>
      </c>
      <c r="E484" s="42">
        <v>0.36080000000000001</v>
      </c>
      <c r="F484" s="42">
        <v>123</v>
      </c>
      <c r="G484" s="42">
        <v>46.182400000000001</v>
      </c>
      <c r="H484" s="42">
        <v>2.6633522727272725</v>
      </c>
      <c r="I484" s="42">
        <v>1</v>
      </c>
      <c r="J484" s="42">
        <v>2.7716186252771617</v>
      </c>
      <c r="K484" s="42">
        <v>0.9609375</v>
      </c>
      <c r="L484" s="42">
        <v>0.36080000000000001</v>
      </c>
      <c r="M484">
        <v>1</v>
      </c>
    </row>
    <row r="485" spans="3:13" x14ac:dyDescent="0.15">
      <c r="C485" s="43">
        <v>452</v>
      </c>
      <c r="D485" s="42">
        <v>452</v>
      </c>
      <c r="E485" s="42">
        <v>0.36159999999999998</v>
      </c>
      <c r="F485" s="42">
        <v>123</v>
      </c>
      <c r="G485" s="42">
        <v>46.284800000000004</v>
      </c>
      <c r="H485" s="42">
        <v>2.6574599004424782</v>
      </c>
      <c r="I485" s="42">
        <v>1</v>
      </c>
      <c r="J485" s="42">
        <v>2.7654867256637168</v>
      </c>
      <c r="K485" s="42">
        <v>0.9609375</v>
      </c>
      <c r="L485" s="42">
        <v>0.36159999999999998</v>
      </c>
      <c r="M485">
        <v>1</v>
      </c>
    </row>
    <row r="486" spans="3:13" x14ac:dyDescent="0.15">
      <c r="C486" s="43">
        <v>453</v>
      </c>
      <c r="D486" s="42">
        <v>453</v>
      </c>
      <c r="E486" s="42">
        <v>0.3624</v>
      </c>
      <c r="F486" s="42">
        <v>123</v>
      </c>
      <c r="G486" s="42">
        <v>46.3872</v>
      </c>
      <c r="H486" s="42">
        <v>2.6515935430463577</v>
      </c>
      <c r="I486" s="42">
        <v>1</v>
      </c>
      <c r="J486" s="42">
        <v>2.759381898454746</v>
      </c>
      <c r="K486" s="42">
        <v>0.9609375</v>
      </c>
      <c r="L486" s="42">
        <v>0.3624</v>
      </c>
      <c r="M486">
        <v>1</v>
      </c>
    </row>
    <row r="487" spans="3:13" x14ac:dyDescent="0.15">
      <c r="C487" s="43">
        <v>454</v>
      </c>
      <c r="D487" s="42">
        <v>454</v>
      </c>
      <c r="E487" s="42">
        <v>0.36320000000000002</v>
      </c>
      <c r="F487" s="42">
        <v>123</v>
      </c>
      <c r="G487" s="42">
        <v>46.489600000000003</v>
      </c>
      <c r="H487" s="42">
        <v>2.6457530286343611</v>
      </c>
      <c r="I487" s="42">
        <v>1</v>
      </c>
      <c r="J487" s="42">
        <v>2.7533039647577091</v>
      </c>
      <c r="K487" s="42">
        <v>0.9609375</v>
      </c>
      <c r="L487" s="42">
        <v>0.36320000000000002</v>
      </c>
      <c r="M487">
        <v>1</v>
      </c>
    </row>
    <row r="488" spans="3:13" x14ac:dyDescent="0.15">
      <c r="C488" s="43">
        <v>455</v>
      </c>
      <c r="D488" s="42">
        <v>455</v>
      </c>
      <c r="E488" s="42">
        <v>0.36399999999999999</v>
      </c>
      <c r="F488" s="42">
        <v>123</v>
      </c>
      <c r="G488" s="42">
        <v>46.591999999999999</v>
      </c>
      <c r="H488" s="42">
        <v>2.639938186813187</v>
      </c>
      <c r="I488" s="42">
        <v>1</v>
      </c>
      <c r="J488" s="42">
        <v>2.7472527472527473</v>
      </c>
      <c r="K488" s="42">
        <v>0.9609375</v>
      </c>
      <c r="L488" s="42">
        <v>0.36399999999999999</v>
      </c>
      <c r="M488">
        <v>1</v>
      </c>
    </row>
    <row r="489" spans="3:13" x14ac:dyDescent="0.15">
      <c r="C489" s="43">
        <v>456</v>
      </c>
      <c r="D489" s="42">
        <v>456</v>
      </c>
      <c r="E489" s="42">
        <v>0.36480000000000001</v>
      </c>
      <c r="F489" s="42">
        <v>123</v>
      </c>
      <c r="G489" s="42">
        <v>46.694400000000002</v>
      </c>
      <c r="H489" s="42">
        <v>2.6341488486842106</v>
      </c>
      <c r="I489" s="42">
        <v>1</v>
      </c>
      <c r="J489" s="42">
        <v>2.7412280701754383</v>
      </c>
      <c r="K489" s="42">
        <v>0.9609375</v>
      </c>
      <c r="L489" s="42">
        <v>0.36480000000000001</v>
      </c>
      <c r="M489">
        <v>1</v>
      </c>
    </row>
    <row r="490" spans="3:13" x14ac:dyDescent="0.15">
      <c r="C490" s="43">
        <v>457</v>
      </c>
      <c r="D490" s="42">
        <v>457</v>
      </c>
      <c r="E490" s="42">
        <v>0.36559999999999998</v>
      </c>
      <c r="F490" s="42">
        <v>123</v>
      </c>
      <c r="G490" s="42">
        <v>46.796800000000005</v>
      </c>
      <c r="H490" s="42">
        <v>2.6283848468271338</v>
      </c>
      <c r="I490" s="42">
        <v>1</v>
      </c>
      <c r="J490" s="42">
        <v>2.7352297592997812</v>
      </c>
      <c r="K490" s="42">
        <v>0.9609375</v>
      </c>
      <c r="L490" s="42">
        <v>0.36559999999999998</v>
      </c>
      <c r="M490">
        <v>1</v>
      </c>
    </row>
    <row r="491" spans="3:13" x14ac:dyDescent="0.15">
      <c r="C491" s="43">
        <v>458</v>
      </c>
      <c r="D491" s="42">
        <v>458</v>
      </c>
      <c r="E491" s="42">
        <v>0.3664</v>
      </c>
      <c r="F491" s="42">
        <v>123</v>
      </c>
      <c r="G491" s="42">
        <v>46.8992</v>
      </c>
      <c r="H491" s="42">
        <v>2.6226460152838427</v>
      </c>
      <c r="I491" s="42">
        <v>1</v>
      </c>
      <c r="J491" s="42">
        <v>2.7292576419213974</v>
      </c>
      <c r="K491" s="42">
        <v>0.9609375</v>
      </c>
      <c r="L491" s="42">
        <v>0.3664</v>
      </c>
      <c r="M491">
        <v>1</v>
      </c>
    </row>
    <row r="492" spans="3:13" x14ac:dyDescent="0.15">
      <c r="C492" s="43">
        <v>459</v>
      </c>
      <c r="D492" s="42">
        <v>459</v>
      </c>
      <c r="E492" s="42">
        <v>0.36720000000000003</v>
      </c>
      <c r="F492" s="42">
        <v>123</v>
      </c>
      <c r="G492" s="42">
        <v>47.001600000000003</v>
      </c>
      <c r="H492" s="42">
        <v>2.6169321895424833</v>
      </c>
      <c r="I492" s="42">
        <v>1</v>
      </c>
      <c r="J492" s="42">
        <v>2.7233115468409586</v>
      </c>
      <c r="K492" s="42">
        <v>0.9609375</v>
      </c>
      <c r="L492" s="42">
        <v>0.36720000000000003</v>
      </c>
      <c r="M492">
        <v>1</v>
      </c>
    </row>
    <row r="493" spans="3:13" x14ac:dyDescent="0.15">
      <c r="C493" s="43">
        <v>460</v>
      </c>
      <c r="D493" s="42">
        <v>460</v>
      </c>
      <c r="E493" s="42">
        <v>0.36799999999999999</v>
      </c>
      <c r="F493" s="42">
        <v>123</v>
      </c>
      <c r="G493" s="42">
        <v>47.103999999999999</v>
      </c>
      <c r="H493" s="42">
        <v>2.6112432065217392</v>
      </c>
      <c r="I493" s="42">
        <v>1</v>
      </c>
      <c r="J493" s="42">
        <v>2.7173913043478262</v>
      </c>
      <c r="K493" s="42">
        <v>0.9609375</v>
      </c>
      <c r="L493" s="42">
        <v>0.36799999999999999</v>
      </c>
      <c r="M493">
        <v>1</v>
      </c>
    </row>
    <row r="494" spans="3:13" x14ac:dyDescent="0.15">
      <c r="C494" s="43">
        <v>461</v>
      </c>
      <c r="D494" s="42">
        <v>461</v>
      </c>
      <c r="E494" s="42">
        <v>0.36880000000000002</v>
      </c>
      <c r="F494" s="42">
        <v>123</v>
      </c>
      <c r="G494" s="42">
        <v>47.206400000000002</v>
      </c>
      <c r="H494" s="42">
        <v>2.6055789045553146</v>
      </c>
      <c r="I494" s="42">
        <v>1</v>
      </c>
      <c r="J494" s="42">
        <v>2.7114967462039044</v>
      </c>
      <c r="K494" s="42">
        <v>0.9609375</v>
      </c>
      <c r="L494" s="42">
        <v>0.36880000000000002</v>
      </c>
      <c r="M494">
        <v>1</v>
      </c>
    </row>
    <row r="495" spans="3:13" x14ac:dyDescent="0.15">
      <c r="C495" s="43">
        <v>462</v>
      </c>
      <c r="D495" s="42">
        <v>462</v>
      </c>
      <c r="E495" s="42">
        <v>0.36959999999999998</v>
      </c>
      <c r="F495" s="42">
        <v>123</v>
      </c>
      <c r="G495" s="42">
        <v>47.308800000000005</v>
      </c>
      <c r="H495" s="42">
        <v>2.5999391233766236</v>
      </c>
      <c r="I495" s="42">
        <v>1</v>
      </c>
      <c r="J495" s="42">
        <v>2.7056277056277058</v>
      </c>
      <c r="K495" s="42">
        <v>0.9609375</v>
      </c>
      <c r="L495" s="42">
        <v>0.36959999999999998</v>
      </c>
      <c r="M495">
        <v>1</v>
      </c>
    </row>
    <row r="496" spans="3:13" x14ac:dyDescent="0.15">
      <c r="C496" s="43">
        <v>463</v>
      </c>
      <c r="D496" s="42">
        <v>463</v>
      </c>
      <c r="E496" s="42">
        <v>0.37040000000000001</v>
      </c>
      <c r="F496" s="42">
        <v>124</v>
      </c>
      <c r="G496" s="42">
        <v>47.411200000000001</v>
      </c>
      <c r="H496" s="42">
        <v>2.6154157667386611</v>
      </c>
      <c r="I496" s="42">
        <v>1</v>
      </c>
      <c r="J496" s="42">
        <v>2.6997840172786178</v>
      </c>
      <c r="K496" s="42">
        <v>0.96875</v>
      </c>
      <c r="L496" s="42">
        <v>0.37040000000000001</v>
      </c>
      <c r="M496">
        <v>1</v>
      </c>
    </row>
    <row r="497" spans="3:13" x14ac:dyDescent="0.15">
      <c r="C497" s="43">
        <v>464</v>
      </c>
      <c r="D497" s="42">
        <v>464</v>
      </c>
      <c r="E497" s="42">
        <v>0.37119999999999997</v>
      </c>
      <c r="F497" s="42">
        <v>124</v>
      </c>
      <c r="G497" s="42">
        <v>47.513600000000004</v>
      </c>
      <c r="H497" s="42">
        <v>2.6097790948275863</v>
      </c>
      <c r="I497" s="42">
        <v>1</v>
      </c>
      <c r="J497" s="42">
        <v>2.6939655172413794</v>
      </c>
      <c r="K497" s="42">
        <v>0.96875</v>
      </c>
      <c r="L497" s="42">
        <v>0.37119999999999997</v>
      </c>
      <c r="M497">
        <v>1</v>
      </c>
    </row>
    <row r="498" spans="3:13" x14ac:dyDescent="0.15">
      <c r="C498" s="43">
        <v>465</v>
      </c>
      <c r="D498" s="42">
        <v>465</v>
      </c>
      <c r="E498" s="42">
        <v>0.372</v>
      </c>
      <c r="F498" s="42">
        <v>124</v>
      </c>
      <c r="G498" s="42">
        <v>47.616</v>
      </c>
      <c r="H498" s="42">
        <v>2.6041666666666665</v>
      </c>
      <c r="I498" s="42">
        <v>1</v>
      </c>
      <c r="J498" s="42">
        <v>2.6881720430107525</v>
      </c>
      <c r="K498" s="42">
        <v>0.96875</v>
      </c>
      <c r="L498" s="42">
        <v>0.372</v>
      </c>
      <c r="M498">
        <v>1</v>
      </c>
    </row>
    <row r="499" spans="3:13" x14ac:dyDescent="0.15">
      <c r="C499" s="43">
        <v>466</v>
      </c>
      <c r="D499" s="42">
        <v>466</v>
      </c>
      <c r="E499" s="42">
        <v>0.37280000000000002</v>
      </c>
      <c r="F499" s="42">
        <v>124</v>
      </c>
      <c r="G499" s="42">
        <v>47.718400000000003</v>
      </c>
      <c r="H499" s="42">
        <v>2.5985783261802573</v>
      </c>
      <c r="I499" s="42">
        <v>1</v>
      </c>
      <c r="J499" s="42">
        <v>2.6824034334763946</v>
      </c>
      <c r="K499" s="42">
        <v>0.96875</v>
      </c>
      <c r="L499" s="42">
        <v>0.37280000000000002</v>
      </c>
      <c r="M499">
        <v>1</v>
      </c>
    </row>
    <row r="500" spans="3:13" x14ac:dyDescent="0.15">
      <c r="C500" s="43">
        <v>467</v>
      </c>
      <c r="D500" s="42">
        <v>467</v>
      </c>
      <c r="E500" s="42">
        <v>0.37359999999999999</v>
      </c>
      <c r="F500" s="42">
        <v>124</v>
      </c>
      <c r="G500" s="42">
        <v>47.820800000000006</v>
      </c>
      <c r="H500" s="42">
        <v>2.5930139186295502</v>
      </c>
      <c r="I500" s="42">
        <v>1</v>
      </c>
      <c r="J500" s="42">
        <v>2.6766595289079231</v>
      </c>
      <c r="K500" s="42">
        <v>0.96875</v>
      </c>
      <c r="L500" s="42">
        <v>0.37359999999999999</v>
      </c>
      <c r="M500">
        <v>1</v>
      </c>
    </row>
    <row r="501" spans="3:13" x14ac:dyDescent="0.15">
      <c r="C501" s="43">
        <v>468</v>
      </c>
      <c r="D501" s="42">
        <v>468</v>
      </c>
      <c r="E501" s="42">
        <v>0.37440000000000001</v>
      </c>
      <c r="F501" s="42">
        <v>124</v>
      </c>
      <c r="G501" s="42">
        <v>47.923200000000001</v>
      </c>
      <c r="H501" s="42">
        <v>2.5874732905982905</v>
      </c>
      <c r="I501" s="42">
        <v>1</v>
      </c>
      <c r="J501" s="42">
        <v>2.6709401709401708</v>
      </c>
      <c r="K501" s="42">
        <v>0.96875</v>
      </c>
      <c r="L501" s="42">
        <v>0.37440000000000001</v>
      </c>
      <c r="M501">
        <v>1</v>
      </c>
    </row>
    <row r="502" spans="3:13" x14ac:dyDescent="0.15">
      <c r="C502" s="43">
        <v>469</v>
      </c>
      <c r="D502" s="42">
        <v>469</v>
      </c>
      <c r="E502" s="42">
        <v>0.37519999999999998</v>
      </c>
      <c r="F502" s="42">
        <v>124</v>
      </c>
      <c r="G502" s="42">
        <v>48.025600000000004</v>
      </c>
      <c r="H502" s="42">
        <v>2.5819562899786783</v>
      </c>
      <c r="I502" s="42">
        <v>1</v>
      </c>
      <c r="J502" s="42">
        <v>2.6652452025586357</v>
      </c>
      <c r="K502" s="42">
        <v>0.96875</v>
      </c>
      <c r="L502" s="42">
        <v>0.37519999999999998</v>
      </c>
      <c r="M502">
        <v>1</v>
      </c>
    </row>
    <row r="503" spans="3:13" x14ac:dyDescent="0.15">
      <c r="C503" s="43">
        <v>470</v>
      </c>
      <c r="D503" s="42">
        <v>470</v>
      </c>
      <c r="E503" s="42">
        <v>0.376</v>
      </c>
      <c r="F503" s="42">
        <v>124</v>
      </c>
      <c r="G503" s="42">
        <v>48.128</v>
      </c>
      <c r="H503" s="42">
        <v>2.5764627659574466</v>
      </c>
      <c r="I503" s="42">
        <v>1</v>
      </c>
      <c r="J503" s="42">
        <v>2.6595744680851063</v>
      </c>
      <c r="K503" s="42">
        <v>0.96875</v>
      </c>
      <c r="L503" s="42">
        <v>0.376</v>
      </c>
      <c r="M503">
        <v>1</v>
      </c>
    </row>
    <row r="504" spans="3:13" x14ac:dyDescent="0.15">
      <c r="C504" s="43">
        <v>471</v>
      </c>
      <c r="D504" s="42">
        <v>471</v>
      </c>
      <c r="E504" s="42">
        <v>0.37680000000000002</v>
      </c>
      <c r="F504" s="42">
        <v>124</v>
      </c>
      <c r="G504" s="42">
        <v>48.230400000000003</v>
      </c>
      <c r="H504" s="42">
        <v>2.5709925690021231</v>
      </c>
      <c r="I504" s="42">
        <v>1</v>
      </c>
      <c r="J504" s="42">
        <v>2.6539278131634818</v>
      </c>
      <c r="K504" s="42">
        <v>0.96875</v>
      </c>
      <c r="L504" s="42">
        <v>0.37680000000000002</v>
      </c>
      <c r="M504">
        <v>1</v>
      </c>
    </row>
    <row r="505" spans="3:13" x14ac:dyDescent="0.15">
      <c r="C505" s="43">
        <v>472</v>
      </c>
      <c r="D505" s="42">
        <v>472</v>
      </c>
      <c r="E505" s="42">
        <v>0.37759999999999999</v>
      </c>
      <c r="F505" s="42">
        <v>125</v>
      </c>
      <c r="G505" s="42">
        <v>48.332799999999999</v>
      </c>
      <c r="H505" s="42">
        <v>2.5862354343220342</v>
      </c>
      <c r="I505" s="42">
        <v>1</v>
      </c>
      <c r="J505" s="42">
        <v>2.648305084745763</v>
      </c>
      <c r="K505" s="42">
        <v>0.9765625</v>
      </c>
      <c r="L505" s="42">
        <v>0.37759999999999999</v>
      </c>
      <c r="M505">
        <v>1</v>
      </c>
    </row>
    <row r="506" spans="3:13" x14ac:dyDescent="0.15">
      <c r="C506" s="43">
        <v>473</v>
      </c>
      <c r="D506" s="42">
        <v>473</v>
      </c>
      <c r="E506" s="42">
        <v>0.37840000000000001</v>
      </c>
      <c r="F506" s="42">
        <v>125</v>
      </c>
      <c r="G506" s="42">
        <v>48.435200000000002</v>
      </c>
      <c r="H506" s="42">
        <v>2.5807677061310783</v>
      </c>
      <c r="I506" s="42">
        <v>1</v>
      </c>
      <c r="J506" s="42">
        <v>2.6427061310782238</v>
      </c>
      <c r="K506" s="42">
        <v>0.9765625</v>
      </c>
      <c r="L506" s="42">
        <v>0.37840000000000001</v>
      </c>
      <c r="M506">
        <v>1</v>
      </c>
    </row>
    <row r="507" spans="3:13" x14ac:dyDescent="0.15">
      <c r="C507" s="43">
        <v>474</v>
      </c>
      <c r="D507" s="42">
        <v>474</v>
      </c>
      <c r="E507" s="42">
        <v>0.37919999999999998</v>
      </c>
      <c r="F507" s="42">
        <v>125</v>
      </c>
      <c r="G507" s="42">
        <v>48.537600000000005</v>
      </c>
      <c r="H507" s="42">
        <v>2.5753230485232068</v>
      </c>
      <c r="I507" s="42">
        <v>1</v>
      </c>
      <c r="J507" s="42">
        <v>2.6371308016877637</v>
      </c>
      <c r="K507" s="42">
        <v>0.9765625</v>
      </c>
      <c r="L507" s="42">
        <v>0.37919999999999998</v>
      </c>
      <c r="M507">
        <v>1</v>
      </c>
    </row>
    <row r="508" spans="3:13" x14ac:dyDescent="0.15">
      <c r="C508" s="43">
        <v>475</v>
      </c>
      <c r="D508" s="42">
        <v>475</v>
      </c>
      <c r="E508" s="42">
        <v>0.38</v>
      </c>
      <c r="F508" s="42">
        <v>125</v>
      </c>
      <c r="G508" s="42">
        <v>48.64</v>
      </c>
      <c r="H508" s="42">
        <v>2.5699013157894735</v>
      </c>
      <c r="I508" s="42">
        <v>1</v>
      </c>
      <c r="J508" s="42">
        <v>2.6315789473684212</v>
      </c>
      <c r="K508" s="42">
        <v>0.9765625</v>
      </c>
      <c r="L508" s="42">
        <v>0.38</v>
      </c>
      <c r="M508">
        <v>1</v>
      </c>
    </row>
    <row r="509" spans="3:13" x14ac:dyDescent="0.15">
      <c r="C509" s="43">
        <v>476</v>
      </c>
      <c r="D509" s="42">
        <v>476</v>
      </c>
      <c r="E509" s="42">
        <v>0.38080000000000003</v>
      </c>
      <c r="F509" s="42">
        <v>125</v>
      </c>
      <c r="G509" s="42">
        <v>48.742400000000004</v>
      </c>
      <c r="H509" s="42">
        <v>2.5645023634453779</v>
      </c>
      <c r="I509" s="42">
        <v>1</v>
      </c>
      <c r="J509" s="42">
        <v>2.6260504201680672</v>
      </c>
      <c r="K509" s="42">
        <v>0.9765625</v>
      </c>
      <c r="L509" s="42">
        <v>0.38080000000000003</v>
      </c>
      <c r="M509">
        <v>1</v>
      </c>
    </row>
    <row r="510" spans="3:13" x14ac:dyDescent="0.15">
      <c r="C510" s="43">
        <v>477</v>
      </c>
      <c r="D510" s="42">
        <v>477</v>
      </c>
      <c r="E510" s="42">
        <v>0.38159999999999999</v>
      </c>
      <c r="F510" s="42">
        <v>125</v>
      </c>
      <c r="G510" s="42">
        <v>48.844799999999999</v>
      </c>
      <c r="H510" s="42">
        <v>2.5591260482180296</v>
      </c>
      <c r="I510" s="42">
        <v>1</v>
      </c>
      <c r="J510" s="42">
        <v>2.6205450733752622</v>
      </c>
      <c r="K510" s="42">
        <v>0.9765625</v>
      </c>
      <c r="L510" s="42">
        <v>0.38159999999999999</v>
      </c>
      <c r="M510">
        <v>1</v>
      </c>
    </row>
    <row r="511" spans="3:13" x14ac:dyDescent="0.15">
      <c r="C511" s="43">
        <v>478</v>
      </c>
      <c r="D511" s="42">
        <v>478</v>
      </c>
      <c r="E511" s="42">
        <v>0.38240000000000002</v>
      </c>
      <c r="F511" s="42">
        <v>125</v>
      </c>
      <c r="G511" s="42">
        <v>48.947200000000002</v>
      </c>
      <c r="H511" s="42">
        <v>2.5537722280334725</v>
      </c>
      <c r="I511" s="42">
        <v>1</v>
      </c>
      <c r="J511" s="42">
        <v>2.6150627615062758</v>
      </c>
      <c r="K511" s="42">
        <v>0.9765625</v>
      </c>
      <c r="L511" s="42">
        <v>0.38240000000000002</v>
      </c>
      <c r="M511">
        <v>1</v>
      </c>
    </row>
    <row r="512" spans="3:13" x14ac:dyDescent="0.15">
      <c r="C512" s="43">
        <v>479</v>
      </c>
      <c r="D512" s="42">
        <v>479</v>
      </c>
      <c r="E512" s="42">
        <v>0.38319999999999999</v>
      </c>
      <c r="F512" s="42">
        <v>125</v>
      </c>
      <c r="G512" s="42">
        <v>49.049600000000005</v>
      </c>
      <c r="H512" s="42">
        <v>2.5484407620041756</v>
      </c>
      <c r="I512" s="42">
        <v>1</v>
      </c>
      <c r="J512" s="42">
        <v>2.6096033402922756</v>
      </c>
      <c r="K512" s="42">
        <v>0.9765625</v>
      </c>
      <c r="L512" s="42">
        <v>0.38319999999999999</v>
      </c>
      <c r="M512">
        <v>1</v>
      </c>
    </row>
    <row r="513" spans="3:13" x14ac:dyDescent="0.15">
      <c r="C513" s="43">
        <v>480</v>
      </c>
      <c r="D513" s="42">
        <v>480</v>
      </c>
      <c r="E513" s="42">
        <v>0.38400000000000001</v>
      </c>
      <c r="F513" s="42">
        <v>125</v>
      </c>
      <c r="G513" s="42">
        <v>49.152000000000001</v>
      </c>
      <c r="H513" s="42">
        <v>2.5431315104166665</v>
      </c>
      <c r="I513" s="42">
        <v>1</v>
      </c>
      <c r="J513" s="42">
        <v>2.6041666666666665</v>
      </c>
      <c r="K513" s="42">
        <v>0.9765625</v>
      </c>
      <c r="L513" s="42">
        <v>0.38400000000000001</v>
      </c>
      <c r="M513">
        <v>1</v>
      </c>
    </row>
    <row r="514" spans="3:13" x14ac:dyDescent="0.15">
      <c r="C514" s="43">
        <v>481</v>
      </c>
      <c r="D514" s="42">
        <v>481</v>
      </c>
      <c r="E514" s="42">
        <v>0.38479999999999998</v>
      </c>
      <c r="F514" s="42">
        <v>125</v>
      </c>
      <c r="G514" s="42">
        <v>49.254400000000004</v>
      </c>
      <c r="H514" s="42">
        <v>2.5378443347193347</v>
      </c>
      <c r="I514" s="42">
        <v>1</v>
      </c>
      <c r="J514" s="42">
        <v>2.5987525987525988</v>
      </c>
      <c r="K514" s="42">
        <v>0.9765625</v>
      </c>
      <c r="L514" s="42">
        <v>0.38479999999999998</v>
      </c>
      <c r="M514">
        <v>1</v>
      </c>
    </row>
    <row r="515" spans="3:13" x14ac:dyDescent="0.15">
      <c r="C515" s="43">
        <v>482</v>
      </c>
      <c r="D515" s="42">
        <v>482</v>
      </c>
      <c r="E515" s="42">
        <v>0.3856</v>
      </c>
      <c r="F515" s="42">
        <v>125</v>
      </c>
      <c r="G515" s="42">
        <v>49.3568</v>
      </c>
      <c r="H515" s="42">
        <v>2.5325790975103732</v>
      </c>
      <c r="I515" s="42">
        <v>1</v>
      </c>
      <c r="J515" s="42">
        <v>2.5933609958506225</v>
      </c>
      <c r="K515" s="42">
        <v>0.9765625</v>
      </c>
      <c r="L515" s="42">
        <v>0.3856</v>
      </c>
      <c r="M515">
        <v>1</v>
      </c>
    </row>
    <row r="516" spans="3:13" x14ac:dyDescent="0.15">
      <c r="C516" s="43">
        <v>483</v>
      </c>
      <c r="D516" s="42">
        <v>483</v>
      </c>
      <c r="E516" s="42">
        <v>0.38640000000000002</v>
      </c>
      <c r="F516" s="42">
        <v>125</v>
      </c>
      <c r="G516" s="42">
        <v>49.459200000000003</v>
      </c>
      <c r="H516" s="42">
        <v>2.5273356625258798</v>
      </c>
      <c r="I516" s="42">
        <v>1</v>
      </c>
      <c r="J516" s="42">
        <v>2.5879917184265011</v>
      </c>
      <c r="K516" s="42">
        <v>0.9765625</v>
      </c>
      <c r="L516" s="42">
        <v>0.38640000000000002</v>
      </c>
      <c r="M516">
        <v>1</v>
      </c>
    </row>
    <row r="517" spans="3:13" x14ac:dyDescent="0.15">
      <c r="C517" s="43">
        <v>484</v>
      </c>
      <c r="D517" s="42">
        <v>484</v>
      </c>
      <c r="E517" s="42">
        <v>0.38719999999999999</v>
      </c>
      <c r="F517" s="42">
        <v>125</v>
      </c>
      <c r="G517" s="42">
        <v>49.561600000000006</v>
      </c>
      <c r="H517" s="42">
        <v>2.5221138946280992</v>
      </c>
      <c r="I517" s="42">
        <v>1</v>
      </c>
      <c r="J517" s="42">
        <v>2.5826446280991737</v>
      </c>
      <c r="K517" s="42">
        <v>0.9765625</v>
      </c>
      <c r="L517" s="42">
        <v>0.38719999999999999</v>
      </c>
      <c r="M517">
        <v>1</v>
      </c>
    </row>
    <row r="518" spans="3:13" x14ac:dyDescent="0.15">
      <c r="C518" s="43">
        <v>485</v>
      </c>
      <c r="D518" s="42">
        <v>485</v>
      </c>
      <c r="E518" s="42">
        <v>0.38800000000000001</v>
      </c>
      <c r="F518" s="42">
        <v>125</v>
      </c>
      <c r="G518" s="42">
        <v>49.664000000000001</v>
      </c>
      <c r="H518" s="42">
        <v>2.5169136597938144</v>
      </c>
      <c r="I518" s="42">
        <v>1</v>
      </c>
      <c r="J518" s="42">
        <v>2.5773195876288657</v>
      </c>
      <c r="K518" s="42">
        <v>0.9765625</v>
      </c>
      <c r="L518" s="42">
        <v>0.38800000000000001</v>
      </c>
      <c r="M518">
        <v>1</v>
      </c>
    </row>
    <row r="519" spans="3:13" x14ac:dyDescent="0.15">
      <c r="C519" s="43">
        <v>486</v>
      </c>
      <c r="D519" s="42">
        <v>486</v>
      </c>
      <c r="E519" s="42">
        <v>0.38879999999999998</v>
      </c>
      <c r="F519" s="42">
        <v>125</v>
      </c>
      <c r="G519" s="42">
        <v>49.766400000000004</v>
      </c>
      <c r="H519" s="42">
        <v>2.5117348251028808</v>
      </c>
      <c r="I519" s="42">
        <v>1</v>
      </c>
      <c r="J519" s="42">
        <v>2.57201646090535</v>
      </c>
      <c r="K519" s="42">
        <v>0.9765625</v>
      </c>
      <c r="L519" s="42">
        <v>0.38879999999999998</v>
      </c>
      <c r="M519">
        <v>1</v>
      </c>
    </row>
    <row r="520" spans="3:13" x14ac:dyDescent="0.15">
      <c r="C520" s="43">
        <v>487</v>
      </c>
      <c r="D520" s="42">
        <v>487</v>
      </c>
      <c r="E520" s="42">
        <v>0.3896</v>
      </c>
      <c r="F520" s="42">
        <v>125</v>
      </c>
      <c r="G520" s="42">
        <v>49.8688</v>
      </c>
      <c r="H520" s="42">
        <v>2.5065772587268995</v>
      </c>
      <c r="I520" s="42">
        <v>1</v>
      </c>
      <c r="J520" s="42">
        <v>2.5667351129363452</v>
      </c>
      <c r="K520" s="42">
        <v>0.9765625</v>
      </c>
      <c r="L520" s="42">
        <v>0.3896</v>
      </c>
      <c r="M520">
        <v>1</v>
      </c>
    </row>
    <row r="521" spans="3:13" x14ac:dyDescent="0.15">
      <c r="C521" s="43">
        <v>488</v>
      </c>
      <c r="D521" s="42">
        <v>488</v>
      </c>
      <c r="E521" s="42">
        <v>0.39040000000000002</v>
      </c>
      <c r="F521" s="42">
        <v>125</v>
      </c>
      <c r="G521" s="42">
        <v>49.971200000000003</v>
      </c>
      <c r="H521" s="42">
        <v>2.5014408299180326</v>
      </c>
      <c r="I521" s="42">
        <v>1</v>
      </c>
      <c r="J521" s="42">
        <v>2.5614754098360653</v>
      </c>
      <c r="K521" s="42">
        <v>0.9765625</v>
      </c>
      <c r="L521" s="42">
        <v>0.39040000000000002</v>
      </c>
      <c r="M521">
        <v>1</v>
      </c>
    </row>
    <row r="522" spans="3:13" x14ac:dyDescent="0.15">
      <c r="C522" s="43">
        <v>489</v>
      </c>
      <c r="D522" s="42">
        <v>489</v>
      </c>
      <c r="E522" s="42">
        <v>0.39119999999999999</v>
      </c>
      <c r="F522" s="42">
        <v>125</v>
      </c>
      <c r="G522" s="42">
        <v>50.073599999999999</v>
      </c>
      <c r="H522" s="42">
        <v>2.4963254089979552</v>
      </c>
      <c r="I522" s="42">
        <v>1</v>
      </c>
      <c r="J522" s="42">
        <v>2.556237218813906</v>
      </c>
      <c r="K522" s="42">
        <v>0.9765625</v>
      </c>
      <c r="L522" s="42">
        <v>0.39119999999999999</v>
      </c>
      <c r="M522">
        <v>1</v>
      </c>
    </row>
    <row r="523" spans="3:13" x14ac:dyDescent="0.15">
      <c r="C523" s="43">
        <v>490</v>
      </c>
      <c r="D523" s="42">
        <v>490</v>
      </c>
      <c r="E523" s="42">
        <v>0.39200000000000002</v>
      </c>
      <c r="F523" s="42">
        <v>125</v>
      </c>
      <c r="G523" s="42">
        <v>50.176000000000002</v>
      </c>
      <c r="H523" s="42">
        <v>2.4912308673469385</v>
      </c>
      <c r="I523" s="42">
        <v>1</v>
      </c>
      <c r="J523" s="42">
        <v>2.5510204081632653</v>
      </c>
      <c r="K523" s="42">
        <v>0.9765625</v>
      </c>
      <c r="L523" s="42">
        <v>0.39200000000000002</v>
      </c>
      <c r="M523">
        <v>1</v>
      </c>
    </row>
    <row r="524" spans="3:13" x14ac:dyDescent="0.15">
      <c r="C524" s="43">
        <v>491</v>
      </c>
      <c r="D524" s="42">
        <v>491</v>
      </c>
      <c r="E524" s="42">
        <v>0.39279999999999998</v>
      </c>
      <c r="F524" s="42">
        <v>125</v>
      </c>
      <c r="G524" s="42">
        <v>50.278400000000005</v>
      </c>
      <c r="H524" s="42">
        <v>2.4861570773930755</v>
      </c>
      <c r="I524" s="42">
        <v>1</v>
      </c>
      <c r="J524" s="42">
        <v>2.5458248472505094</v>
      </c>
      <c r="K524" s="42">
        <v>0.9765625</v>
      </c>
      <c r="L524" s="42">
        <v>0.39279999999999998</v>
      </c>
      <c r="M524">
        <v>1</v>
      </c>
    </row>
    <row r="525" spans="3:13" x14ac:dyDescent="0.15">
      <c r="C525" s="43">
        <v>492</v>
      </c>
      <c r="D525" s="42">
        <v>492</v>
      </c>
      <c r="E525" s="42">
        <v>0.39360000000000001</v>
      </c>
      <c r="F525" s="42">
        <v>125</v>
      </c>
      <c r="G525" s="42">
        <v>50.380800000000001</v>
      </c>
      <c r="H525" s="42">
        <v>2.4811039126016259</v>
      </c>
      <c r="I525" s="42">
        <v>1</v>
      </c>
      <c r="J525" s="42">
        <v>2.5406504065040649</v>
      </c>
      <c r="K525" s="42">
        <v>0.9765625</v>
      </c>
      <c r="L525" s="42">
        <v>0.39360000000000001</v>
      </c>
      <c r="M525">
        <v>1</v>
      </c>
    </row>
    <row r="526" spans="3:13" x14ac:dyDescent="0.15">
      <c r="C526" s="43">
        <v>493</v>
      </c>
      <c r="D526" s="42">
        <v>493</v>
      </c>
      <c r="E526" s="42">
        <v>0.39439999999999997</v>
      </c>
      <c r="F526" s="42">
        <v>125</v>
      </c>
      <c r="G526" s="42">
        <v>50.483200000000004</v>
      </c>
      <c r="H526" s="42">
        <v>2.4760712474645032</v>
      </c>
      <c r="I526" s="42">
        <v>1</v>
      </c>
      <c r="J526" s="42">
        <v>2.5354969574036512</v>
      </c>
      <c r="K526" s="42">
        <v>0.9765625</v>
      </c>
      <c r="L526" s="42">
        <v>0.39439999999999997</v>
      </c>
      <c r="M526">
        <v>1</v>
      </c>
    </row>
    <row r="527" spans="3:13" x14ac:dyDescent="0.15">
      <c r="C527" s="43">
        <v>494</v>
      </c>
      <c r="D527" s="42">
        <v>494</v>
      </c>
      <c r="E527" s="42">
        <v>0.3952</v>
      </c>
      <c r="F527" s="42">
        <v>125</v>
      </c>
      <c r="G527" s="42">
        <v>50.585599999999999</v>
      </c>
      <c r="H527" s="42">
        <v>2.4710589574898787</v>
      </c>
      <c r="I527" s="42">
        <v>1</v>
      </c>
      <c r="J527" s="42">
        <v>2.5303643724696356</v>
      </c>
      <c r="K527" s="42">
        <v>0.9765625</v>
      </c>
      <c r="L527" s="42">
        <v>0.3952</v>
      </c>
      <c r="M527">
        <v>1</v>
      </c>
    </row>
    <row r="528" spans="3:13" x14ac:dyDescent="0.15">
      <c r="C528" s="43">
        <v>495</v>
      </c>
      <c r="D528" s="42">
        <v>495</v>
      </c>
      <c r="E528" s="42">
        <v>0.39600000000000002</v>
      </c>
      <c r="F528" s="42">
        <v>125</v>
      </c>
      <c r="G528" s="42">
        <v>50.688000000000002</v>
      </c>
      <c r="H528" s="42">
        <v>2.4660669191919191</v>
      </c>
      <c r="I528" s="42">
        <v>1</v>
      </c>
      <c r="J528" s="42">
        <v>2.5252525252525251</v>
      </c>
      <c r="K528" s="42">
        <v>0.9765625</v>
      </c>
      <c r="L528" s="42">
        <v>0.39600000000000002</v>
      </c>
      <c r="M528">
        <v>1</v>
      </c>
    </row>
    <row r="529" spans="3:13" x14ac:dyDescent="0.15">
      <c r="C529" s="43">
        <v>496</v>
      </c>
      <c r="D529" s="42">
        <v>496</v>
      </c>
      <c r="E529" s="42">
        <v>0.39679999999999999</v>
      </c>
      <c r="F529" s="42">
        <v>125</v>
      </c>
      <c r="G529" s="42">
        <v>50.790400000000005</v>
      </c>
      <c r="H529" s="42">
        <v>2.4610950100806455</v>
      </c>
      <c r="I529" s="42">
        <v>1</v>
      </c>
      <c r="J529" s="42">
        <v>2.5201612903225805</v>
      </c>
      <c r="K529" s="42">
        <v>0.9765625</v>
      </c>
      <c r="L529" s="42">
        <v>0.39679999999999999</v>
      </c>
      <c r="M529">
        <v>1</v>
      </c>
    </row>
    <row r="530" spans="3:13" x14ac:dyDescent="0.15">
      <c r="C530" s="43">
        <v>497</v>
      </c>
      <c r="D530" s="42">
        <v>497</v>
      </c>
      <c r="E530" s="42">
        <v>0.39760000000000001</v>
      </c>
      <c r="F530" s="42">
        <v>125</v>
      </c>
      <c r="G530" s="42">
        <v>50.892800000000001</v>
      </c>
      <c r="H530" s="42">
        <v>2.4561431086519114</v>
      </c>
      <c r="I530" s="42">
        <v>1</v>
      </c>
      <c r="J530" s="42">
        <v>2.5150905432595572</v>
      </c>
      <c r="K530" s="42">
        <v>0.9765625</v>
      </c>
      <c r="L530" s="42">
        <v>0.39760000000000001</v>
      </c>
      <c r="M530">
        <v>1</v>
      </c>
    </row>
    <row r="531" spans="3:13" x14ac:dyDescent="0.15">
      <c r="C531" s="43">
        <v>498</v>
      </c>
      <c r="D531" s="42">
        <v>498</v>
      </c>
      <c r="E531" s="42">
        <v>0.39839999999999998</v>
      </c>
      <c r="F531" s="42">
        <v>125</v>
      </c>
      <c r="G531" s="42">
        <v>50.995200000000004</v>
      </c>
      <c r="H531" s="42">
        <v>2.4512110943775101</v>
      </c>
      <c r="I531" s="42">
        <v>1</v>
      </c>
      <c r="J531" s="42">
        <v>2.5100401606425704</v>
      </c>
      <c r="K531" s="42">
        <v>0.9765625</v>
      </c>
      <c r="L531" s="42">
        <v>0.39839999999999998</v>
      </c>
      <c r="M531">
        <v>1</v>
      </c>
    </row>
    <row r="532" spans="3:13" x14ac:dyDescent="0.15">
      <c r="C532" s="43">
        <v>499</v>
      </c>
      <c r="D532" s="42">
        <v>499</v>
      </c>
      <c r="E532" s="42">
        <v>0.3992</v>
      </c>
      <c r="F532" s="42">
        <v>125</v>
      </c>
      <c r="G532" s="42">
        <v>51.0976</v>
      </c>
      <c r="H532" s="42">
        <v>2.4462988476953909</v>
      </c>
      <c r="I532" s="42">
        <v>1</v>
      </c>
      <c r="J532" s="42">
        <v>2.5050100200400802</v>
      </c>
      <c r="K532" s="42">
        <v>0.9765625</v>
      </c>
      <c r="L532" s="42">
        <v>0.3992</v>
      </c>
      <c r="M532">
        <v>1</v>
      </c>
    </row>
    <row r="533" spans="3:13" x14ac:dyDescent="0.15">
      <c r="C533" s="43">
        <v>500</v>
      </c>
      <c r="D533" s="42">
        <v>500</v>
      </c>
      <c r="E533" s="42">
        <v>0.4</v>
      </c>
      <c r="F533" s="42">
        <v>125</v>
      </c>
      <c r="G533" s="42">
        <v>51.2</v>
      </c>
      <c r="H533" s="42">
        <v>2.44140625</v>
      </c>
      <c r="I533" s="42">
        <v>1</v>
      </c>
      <c r="J533" s="42">
        <v>2.5</v>
      </c>
      <c r="K533" s="42">
        <v>0.9765625</v>
      </c>
      <c r="L533" s="42">
        <v>0.4</v>
      </c>
      <c r="M533">
        <v>1</v>
      </c>
    </row>
    <row r="534" spans="3:13" x14ac:dyDescent="0.15">
      <c r="C534" s="43">
        <v>501</v>
      </c>
      <c r="D534" s="42">
        <v>501</v>
      </c>
      <c r="E534" s="42">
        <v>0.40079999999999999</v>
      </c>
      <c r="F534" s="42">
        <v>125</v>
      </c>
      <c r="G534" s="42">
        <v>51.302400000000006</v>
      </c>
      <c r="H534" s="42">
        <v>2.4365331836327346</v>
      </c>
      <c r="I534" s="42">
        <v>1</v>
      </c>
      <c r="J534" s="42">
        <v>2.4950099800399204</v>
      </c>
      <c r="K534" s="42">
        <v>0.9765625</v>
      </c>
      <c r="L534" s="42">
        <v>0.40079999999999999</v>
      </c>
      <c r="M534">
        <v>1</v>
      </c>
    </row>
    <row r="535" spans="3:13" x14ac:dyDescent="0.15">
      <c r="C535" s="43">
        <v>502</v>
      </c>
      <c r="D535" s="42">
        <v>502</v>
      </c>
      <c r="E535" s="42">
        <v>0.40160000000000001</v>
      </c>
      <c r="F535" s="42">
        <v>125</v>
      </c>
      <c r="G535" s="42">
        <v>51.404800000000002</v>
      </c>
      <c r="H535" s="42">
        <v>2.43167953187251</v>
      </c>
      <c r="I535" s="42">
        <v>1</v>
      </c>
      <c r="J535" s="42">
        <v>2.4900398406374502</v>
      </c>
      <c r="K535" s="42">
        <v>0.9765625</v>
      </c>
      <c r="L535" s="42">
        <v>0.40160000000000001</v>
      </c>
      <c r="M535">
        <v>1</v>
      </c>
    </row>
    <row r="536" spans="3:13" x14ac:dyDescent="0.15">
      <c r="C536" s="43">
        <v>503</v>
      </c>
      <c r="D536" s="42">
        <v>503</v>
      </c>
      <c r="E536" s="42">
        <v>0.40239999999999998</v>
      </c>
      <c r="F536" s="42">
        <v>125</v>
      </c>
      <c r="G536" s="42">
        <v>51.507200000000005</v>
      </c>
      <c r="H536" s="42">
        <v>2.4268451789264414</v>
      </c>
      <c r="I536" s="42">
        <v>1</v>
      </c>
      <c r="J536" s="42">
        <v>2.4850894632206759</v>
      </c>
      <c r="K536" s="42">
        <v>0.9765625</v>
      </c>
      <c r="L536" s="42">
        <v>0.40239999999999998</v>
      </c>
      <c r="M536">
        <v>1</v>
      </c>
    </row>
    <row r="537" spans="3:13" x14ac:dyDescent="0.15">
      <c r="C537" s="43">
        <v>504</v>
      </c>
      <c r="D537" s="42">
        <v>504</v>
      </c>
      <c r="E537" s="42">
        <v>0.4032</v>
      </c>
      <c r="F537" s="42">
        <v>125</v>
      </c>
      <c r="G537" s="42">
        <v>51.6096</v>
      </c>
      <c r="H537" s="42">
        <v>2.4220300099206349</v>
      </c>
      <c r="I537" s="42">
        <v>1</v>
      </c>
      <c r="J537" s="42">
        <v>2.4801587301587302</v>
      </c>
      <c r="K537" s="42">
        <v>0.9765625</v>
      </c>
      <c r="L537" s="42">
        <v>0.4032</v>
      </c>
      <c r="M537">
        <v>1</v>
      </c>
    </row>
    <row r="538" spans="3:13" x14ac:dyDescent="0.15">
      <c r="C538" s="43">
        <v>505</v>
      </c>
      <c r="D538" s="42">
        <v>505</v>
      </c>
      <c r="E538" s="42">
        <v>0.40400000000000003</v>
      </c>
      <c r="F538" s="42">
        <v>125</v>
      </c>
      <c r="G538" s="42">
        <v>51.712000000000003</v>
      </c>
      <c r="H538" s="42">
        <v>2.4172339108910887</v>
      </c>
      <c r="I538" s="42">
        <v>1</v>
      </c>
      <c r="J538" s="42">
        <v>2.4752475247524752</v>
      </c>
      <c r="K538" s="42">
        <v>0.9765625</v>
      </c>
      <c r="L538" s="42">
        <v>0.40400000000000003</v>
      </c>
      <c r="M538">
        <v>1</v>
      </c>
    </row>
    <row r="539" spans="3:13" x14ac:dyDescent="0.15">
      <c r="C539" s="43">
        <v>506</v>
      </c>
      <c r="D539" s="42">
        <v>506</v>
      </c>
      <c r="E539" s="42">
        <v>0.40479999999999999</v>
      </c>
      <c r="F539" s="42">
        <v>125</v>
      </c>
      <c r="G539" s="42">
        <v>51.814399999999999</v>
      </c>
      <c r="H539" s="42">
        <v>2.4124567687747036</v>
      </c>
      <c r="I539" s="42">
        <v>1</v>
      </c>
      <c r="J539" s="42">
        <v>2.4703557312252964</v>
      </c>
      <c r="K539" s="42">
        <v>0.9765625</v>
      </c>
      <c r="L539" s="42">
        <v>0.40479999999999999</v>
      </c>
      <c r="M539">
        <v>1</v>
      </c>
    </row>
    <row r="540" spans="3:13" x14ac:dyDescent="0.15">
      <c r="C540" s="43">
        <v>507</v>
      </c>
      <c r="D540" s="42">
        <v>507</v>
      </c>
      <c r="E540" s="42">
        <v>0.40560000000000002</v>
      </c>
      <c r="F540" s="42">
        <v>125</v>
      </c>
      <c r="G540" s="42">
        <v>51.916800000000002</v>
      </c>
      <c r="H540" s="42">
        <v>2.4076984714003942</v>
      </c>
      <c r="I540" s="42">
        <v>1</v>
      </c>
      <c r="J540" s="42">
        <v>2.4654832347140037</v>
      </c>
      <c r="K540" s="42">
        <v>0.9765625</v>
      </c>
      <c r="L540" s="42">
        <v>0.40560000000000002</v>
      </c>
      <c r="M540">
        <v>1</v>
      </c>
    </row>
    <row r="541" spans="3:13" x14ac:dyDescent="0.15">
      <c r="C541" s="43">
        <v>508</v>
      </c>
      <c r="D541" s="42">
        <v>508</v>
      </c>
      <c r="E541" s="42">
        <v>0.40639999999999998</v>
      </c>
      <c r="F541" s="42">
        <v>125</v>
      </c>
      <c r="G541" s="42">
        <v>52.019200000000005</v>
      </c>
      <c r="H541" s="42">
        <v>2.4029589074803153</v>
      </c>
      <c r="I541" s="42">
        <v>1</v>
      </c>
      <c r="J541" s="42">
        <v>2.4606299212598426</v>
      </c>
      <c r="K541" s="42">
        <v>0.9765625</v>
      </c>
      <c r="L541" s="42">
        <v>0.40639999999999998</v>
      </c>
      <c r="M541">
        <v>1</v>
      </c>
    </row>
    <row r="542" spans="3:13" x14ac:dyDescent="0.15">
      <c r="C542" s="43">
        <v>509</v>
      </c>
      <c r="D542" s="42">
        <v>509</v>
      </c>
      <c r="E542" s="42">
        <v>0.40720000000000001</v>
      </c>
      <c r="F542" s="42">
        <v>125</v>
      </c>
      <c r="G542" s="42">
        <v>52.121600000000001</v>
      </c>
      <c r="H542" s="42">
        <v>2.3982379666011786</v>
      </c>
      <c r="I542" s="42">
        <v>1</v>
      </c>
      <c r="J542" s="42">
        <v>2.4557956777996068</v>
      </c>
      <c r="K542" s="42">
        <v>0.9765625</v>
      </c>
      <c r="L542" s="42">
        <v>0.40720000000000001</v>
      </c>
      <c r="M542">
        <v>1</v>
      </c>
    </row>
    <row r="543" spans="3:13" x14ac:dyDescent="0.15">
      <c r="C543" s="43">
        <v>510</v>
      </c>
      <c r="D543" s="42">
        <v>510</v>
      </c>
      <c r="E543" s="42">
        <v>0.40799999999999997</v>
      </c>
      <c r="F543" s="42">
        <v>125</v>
      </c>
      <c r="G543" s="42">
        <v>52.224000000000004</v>
      </c>
      <c r="H543" s="42">
        <v>2.3935355392156863</v>
      </c>
      <c r="I543" s="42">
        <v>1</v>
      </c>
      <c r="J543" s="42">
        <v>2.4509803921568629</v>
      </c>
      <c r="K543" s="42">
        <v>0.9765625</v>
      </c>
      <c r="L543" s="42">
        <v>0.40799999999999997</v>
      </c>
      <c r="M543">
        <v>1</v>
      </c>
    </row>
    <row r="544" spans="3:13" x14ac:dyDescent="0.15">
      <c r="C544" s="43">
        <v>511</v>
      </c>
      <c r="D544" s="42">
        <v>511</v>
      </c>
      <c r="E544" s="42">
        <v>0.4088</v>
      </c>
      <c r="F544" s="42">
        <v>125</v>
      </c>
      <c r="G544" s="42">
        <v>52.3264</v>
      </c>
      <c r="H544" s="42">
        <v>2.3888515166340509</v>
      </c>
      <c r="I544" s="42">
        <v>1</v>
      </c>
      <c r="J544" s="42">
        <v>2.4461839530332683</v>
      </c>
      <c r="K544" s="42">
        <v>0.9765625</v>
      </c>
      <c r="L544" s="42">
        <v>0.4088</v>
      </c>
      <c r="M544">
        <v>1</v>
      </c>
    </row>
    <row r="545" spans="3:13" x14ac:dyDescent="0.15">
      <c r="C545" s="43">
        <v>512</v>
      </c>
      <c r="D545" s="42">
        <v>512</v>
      </c>
      <c r="E545" s="42">
        <v>0.40960000000000002</v>
      </c>
      <c r="F545" s="42">
        <v>125</v>
      </c>
      <c r="G545" s="42">
        <v>52.428800000000003</v>
      </c>
      <c r="H545" s="42">
        <v>2.384185791015625</v>
      </c>
      <c r="I545" s="42">
        <v>1</v>
      </c>
      <c r="J545" s="42">
        <v>2.44140625</v>
      </c>
      <c r="K545" s="42">
        <v>0.9765625</v>
      </c>
      <c r="L545" s="42">
        <v>0.40960000000000002</v>
      </c>
      <c r="M545">
        <v>1</v>
      </c>
    </row>
    <row r="546" spans="3:13" x14ac:dyDescent="0.15">
      <c r="C546" s="43">
        <v>513</v>
      </c>
      <c r="D546" s="42">
        <v>513</v>
      </c>
      <c r="E546" s="42">
        <v>0.41039999999999999</v>
      </c>
      <c r="F546" s="42">
        <v>125</v>
      </c>
      <c r="G546" s="42">
        <v>52.531200000000005</v>
      </c>
      <c r="H546" s="42">
        <v>2.3795382553606239</v>
      </c>
      <c r="I546" s="42">
        <v>1</v>
      </c>
      <c r="J546" s="42">
        <v>2.4366471734892787</v>
      </c>
      <c r="K546" s="42">
        <v>0.9765625</v>
      </c>
      <c r="L546" s="42">
        <v>0.41039999999999999</v>
      </c>
      <c r="M546">
        <v>1</v>
      </c>
    </row>
    <row r="547" spans="3:13" x14ac:dyDescent="0.15">
      <c r="C547" s="43">
        <v>514</v>
      </c>
      <c r="D547" s="42">
        <v>514</v>
      </c>
      <c r="E547" s="42">
        <v>0.41120000000000001</v>
      </c>
      <c r="F547" s="42">
        <v>125</v>
      </c>
      <c r="G547" s="42">
        <v>52.633600000000001</v>
      </c>
      <c r="H547" s="42">
        <v>2.3749088035019454</v>
      </c>
      <c r="I547" s="42">
        <v>1</v>
      </c>
      <c r="J547" s="42">
        <v>2.431906614785992</v>
      </c>
      <c r="K547" s="42">
        <v>0.9765625</v>
      </c>
      <c r="L547" s="42">
        <v>0.41120000000000001</v>
      </c>
      <c r="M547">
        <v>1</v>
      </c>
    </row>
    <row r="548" spans="3:13" x14ac:dyDescent="0.15">
      <c r="C548" s="43">
        <v>515</v>
      </c>
      <c r="D548" s="42">
        <v>515</v>
      </c>
      <c r="E548" s="42">
        <v>0.41199999999999998</v>
      </c>
      <c r="F548" s="42">
        <v>125</v>
      </c>
      <c r="G548" s="42">
        <v>52.736000000000004</v>
      </c>
      <c r="H548" s="42">
        <v>2.3702973300970873</v>
      </c>
      <c r="I548" s="42">
        <v>1</v>
      </c>
      <c r="J548" s="42">
        <v>2.4271844660194177</v>
      </c>
      <c r="K548" s="42">
        <v>0.9765625</v>
      </c>
      <c r="L548" s="42">
        <v>0.41199999999999998</v>
      </c>
      <c r="M548">
        <v>1</v>
      </c>
    </row>
    <row r="549" spans="3:13" x14ac:dyDescent="0.15">
      <c r="C549" s="43">
        <v>516</v>
      </c>
      <c r="D549" s="42">
        <v>516</v>
      </c>
      <c r="E549" s="42">
        <v>0.4128</v>
      </c>
      <c r="F549" s="42">
        <v>125</v>
      </c>
      <c r="G549" s="42">
        <v>52.8384</v>
      </c>
      <c r="H549" s="42">
        <v>2.3657037306201549</v>
      </c>
      <c r="I549" s="42">
        <v>1</v>
      </c>
      <c r="J549" s="42">
        <v>2.4224806201550386</v>
      </c>
      <c r="K549" s="42">
        <v>0.9765625</v>
      </c>
      <c r="L549" s="42">
        <v>0.4128</v>
      </c>
      <c r="M549">
        <v>1</v>
      </c>
    </row>
    <row r="550" spans="3:13" x14ac:dyDescent="0.15">
      <c r="C550" s="43">
        <v>517</v>
      </c>
      <c r="D550" s="42">
        <v>517</v>
      </c>
      <c r="E550" s="42">
        <v>0.41360000000000002</v>
      </c>
      <c r="F550" s="42">
        <v>125</v>
      </c>
      <c r="G550" s="42">
        <v>52.940800000000003</v>
      </c>
      <c r="H550" s="42">
        <v>2.361127901353965</v>
      </c>
      <c r="I550" s="42">
        <v>1</v>
      </c>
      <c r="J550" s="42">
        <v>2.4177949709864603</v>
      </c>
      <c r="K550" s="42">
        <v>0.9765625</v>
      </c>
      <c r="L550" s="42">
        <v>0.41360000000000002</v>
      </c>
      <c r="M550">
        <v>1</v>
      </c>
    </row>
    <row r="551" spans="3:13" x14ac:dyDescent="0.15">
      <c r="C551" s="43">
        <v>518</v>
      </c>
      <c r="D551" s="42">
        <v>518</v>
      </c>
      <c r="E551" s="42">
        <v>0.41439999999999999</v>
      </c>
      <c r="F551" s="42">
        <v>125</v>
      </c>
      <c r="G551" s="42">
        <v>53.043200000000006</v>
      </c>
      <c r="H551" s="42">
        <v>2.3565697393822393</v>
      </c>
      <c r="I551" s="42">
        <v>1</v>
      </c>
      <c r="J551" s="42">
        <v>2.413127413127413</v>
      </c>
      <c r="K551" s="42">
        <v>0.9765625</v>
      </c>
      <c r="L551" s="42">
        <v>0.41439999999999999</v>
      </c>
      <c r="M551">
        <v>1</v>
      </c>
    </row>
    <row r="552" spans="3:13" x14ac:dyDescent="0.15">
      <c r="C552" s="43">
        <v>519</v>
      </c>
      <c r="D552" s="42">
        <v>519</v>
      </c>
      <c r="E552" s="42">
        <v>0.41520000000000001</v>
      </c>
      <c r="F552" s="42">
        <v>125</v>
      </c>
      <c r="G552" s="42">
        <v>53.145600000000002</v>
      </c>
      <c r="H552" s="42">
        <v>2.352029142581888</v>
      </c>
      <c r="I552" s="42">
        <v>1</v>
      </c>
      <c r="J552" s="42">
        <v>2.4084778420038533</v>
      </c>
      <c r="K552" s="42">
        <v>0.9765625</v>
      </c>
      <c r="L552" s="42">
        <v>0.41520000000000001</v>
      </c>
      <c r="M552">
        <v>1</v>
      </c>
    </row>
    <row r="553" spans="3:13" x14ac:dyDescent="0.15">
      <c r="C553" s="43">
        <v>520</v>
      </c>
      <c r="D553" s="42">
        <v>520</v>
      </c>
      <c r="E553" s="42">
        <v>0.41599999999999998</v>
      </c>
      <c r="F553" s="42">
        <v>125</v>
      </c>
      <c r="G553" s="42">
        <v>53.248000000000005</v>
      </c>
      <c r="H553" s="42">
        <v>2.3475060096153846</v>
      </c>
      <c r="I553" s="42">
        <v>1</v>
      </c>
      <c r="J553" s="42">
        <v>2.4038461538461537</v>
      </c>
      <c r="K553" s="42">
        <v>0.9765625</v>
      </c>
      <c r="L553" s="42">
        <v>0.41599999999999998</v>
      </c>
      <c r="M553">
        <v>1</v>
      </c>
    </row>
    <row r="554" spans="3:13" x14ac:dyDescent="0.15">
      <c r="C554" s="43">
        <v>521</v>
      </c>
      <c r="D554" s="42">
        <v>521</v>
      </c>
      <c r="E554" s="42">
        <v>0.4168</v>
      </c>
      <c r="F554" s="42">
        <v>125</v>
      </c>
      <c r="G554" s="42">
        <v>53.3504</v>
      </c>
      <c r="H554" s="42">
        <v>2.3430002399232244</v>
      </c>
      <c r="I554" s="42">
        <v>1</v>
      </c>
      <c r="J554" s="42">
        <v>2.3992322456813819</v>
      </c>
      <c r="K554" s="42">
        <v>0.9765625</v>
      </c>
      <c r="L554" s="42">
        <v>0.4168</v>
      </c>
      <c r="M554">
        <v>1</v>
      </c>
    </row>
    <row r="555" spans="3:13" x14ac:dyDescent="0.15">
      <c r="C555" s="43">
        <v>522</v>
      </c>
      <c r="D555" s="42">
        <v>522</v>
      </c>
      <c r="E555" s="42">
        <v>0.41760000000000003</v>
      </c>
      <c r="F555" s="42">
        <v>125</v>
      </c>
      <c r="G555" s="42">
        <v>53.452800000000003</v>
      </c>
      <c r="H555" s="42">
        <v>2.3385117337164751</v>
      </c>
      <c r="I555" s="42">
        <v>1</v>
      </c>
      <c r="J555" s="42">
        <v>2.3946360153256703</v>
      </c>
      <c r="K555" s="42">
        <v>0.9765625</v>
      </c>
      <c r="L555" s="42">
        <v>0.41760000000000003</v>
      </c>
      <c r="M555">
        <v>1</v>
      </c>
    </row>
    <row r="556" spans="3:13" x14ac:dyDescent="0.15">
      <c r="C556" s="43">
        <v>523</v>
      </c>
      <c r="D556" s="42">
        <v>523</v>
      </c>
      <c r="E556" s="42">
        <v>0.41839999999999999</v>
      </c>
      <c r="F556" s="42">
        <v>125</v>
      </c>
      <c r="G556" s="42">
        <v>53.555199999999999</v>
      </c>
      <c r="H556" s="42">
        <v>2.3340403919694075</v>
      </c>
      <c r="I556" s="42">
        <v>1</v>
      </c>
      <c r="J556" s="42">
        <v>2.3900573613766731</v>
      </c>
      <c r="K556" s="42">
        <v>0.9765625</v>
      </c>
      <c r="L556" s="42">
        <v>0.41839999999999999</v>
      </c>
      <c r="M556">
        <v>1</v>
      </c>
    </row>
    <row r="557" spans="3:13" x14ac:dyDescent="0.15">
      <c r="C557" s="43">
        <v>524</v>
      </c>
      <c r="D557" s="42">
        <v>524</v>
      </c>
      <c r="E557" s="42">
        <v>0.41920000000000002</v>
      </c>
      <c r="F557" s="42">
        <v>125</v>
      </c>
      <c r="G557" s="42">
        <v>53.657600000000002</v>
      </c>
      <c r="H557" s="42">
        <v>2.3295861164122136</v>
      </c>
      <c r="I557" s="42">
        <v>1</v>
      </c>
      <c r="J557" s="42">
        <v>2.3854961832061066</v>
      </c>
      <c r="K557" s="42">
        <v>0.9765625</v>
      </c>
      <c r="L557" s="42">
        <v>0.41920000000000002</v>
      </c>
      <c r="M557">
        <v>1</v>
      </c>
    </row>
    <row r="558" spans="3:13" x14ac:dyDescent="0.15">
      <c r="C558" s="43">
        <v>525</v>
      </c>
      <c r="D558" s="42">
        <v>525</v>
      </c>
      <c r="E558" s="42">
        <v>0.42</v>
      </c>
      <c r="F558" s="42">
        <v>125</v>
      </c>
      <c r="G558" s="42">
        <v>53.760000000000005</v>
      </c>
      <c r="H558" s="42">
        <v>2.3251488095238098</v>
      </c>
      <c r="I558" s="42">
        <v>1</v>
      </c>
      <c r="J558" s="42">
        <v>2.3809523809523809</v>
      </c>
      <c r="K558" s="42">
        <v>0.9765625</v>
      </c>
      <c r="L558" s="42">
        <v>0.42</v>
      </c>
      <c r="M558">
        <v>1</v>
      </c>
    </row>
    <row r="559" spans="3:13" x14ac:dyDescent="0.15">
      <c r="C559" s="43">
        <v>526</v>
      </c>
      <c r="D559" s="42">
        <v>526</v>
      </c>
      <c r="E559" s="42">
        <v>0.42080000000000001</v>
      </c>
      <c r="F559" s="42">
        <v>125</v>
      </c>
      <c r="G559" s="42">
        <v>53.862400000000001</v>
      </c>
      <c r="H559" s="42">
        <v>2.3207283745247147</v>
      </c>
      <c r="I559" s="42">
        <v>1</v>
      </c>
      <c r="J559" s="42">
        <v>2.376425855513308</v>
      </c>
      <c r="K559" s="42">
        <v>0.9765625</v>
      </c>
      <c r="L559" s="42">
        <v>0.42080000000000001</v>
      </c>
      <c r="M559">
        <v>1</v>
      </c>
    </row>
    <row r="560" spans="3:13" x14ac:dyDescent="0.15">
      <c r="C560" s="43">
        <v>527</v>
      </c>
      <c r="D560" s="42">
        <v>527</v>
      </c>
      <c r="E560" s="42">
        <v>0.42159999999999997</v>
      </c>
      <c r="F560" s="42">
        <v>125</v>
      </c>
      <c r="G560" s="42">
        <v>53.964800000000004</v>
      </c>
      <c r="H560" s="42">
        <v>2.316324715370019</v>
      </c>
      <c r="I560" s="42">
        <v>1</v>
      </c>
      <c r="J560" s="42">
        <v>2.3719165085388996</v>
      </c>
      <c r="K560" s="42">
        <v>0.9765625</v>
      </c>
      <c r="L560" s="42">
        <v>0.42159999999999997</v>
      </c>
      <c r="M560">
        <v>1</v>
      </c>
    </row>
    <row r="561" spans="3:13" x14ac:dyDescent="0.15">
      <c r="C561" s="43">
        <v>528</v>
      </c>
      <c r="D561" s="42">
        <v>528</v>
      </c>
      <c r="E561" s="42">
        <v>0.4224</v>
      </c>
      <c r="F561" s="42">
        <v>125</v>
      </c>
      <c r="G561" s="42">
        <v>54.0672</v>
      </c>
      <c r="H561" s="42">
        <v>2.3119377367424243</v>
      </c>
      <c r="I561" s="42">
        <v>1</v>
      </c>
      <c r="J561" s="42">
        <v>2.3674242424242427</v>
      </c>
      <c r="K561" s="42">
        <v>0.9765625</v>
      </c>
      <c r="L561" s="42">
        <v>0.4224</v>
      </c>
      <c r="M561">
        <v>1</v>
      </c>
    </row>
    <row r="562" spans="3:13" x14ac:dyDescent="0.15">
      <c r="C562" s="43">
        <v>529</v>
      </c>
      <c r="D562" s="42">
        <v>529</v>
      </c>
      <c r="E562" s="42">
        <v>0.42320000000000002</v>
      </c>
      <c r="F562" s="42">
        <v>125</v>
      </c>
      <c r="G562" s="42">
        <v>54.169600000000003</v>
      </c>
      <c r="H562" s="42">
        <v>2.3075673440453683</v>
      </c>
      <c r="I562" s="42">
        <v>1</v>
      </c>
      <c r="J562" s="42">
        <v>2.3629489603024574</v>
      </c>
      <c r="K562" s="42">
        <v>0.9765625</v>
      </c>
      <c r="L562" s="42">
        <v>0.42320000000000002</v>
      </c>
      <c r="M562">
        <v>1</v>
      </c>
    </row>
    <row r="563" spans="3:13" x14ac:dyDescent="0.15">
      <c r="C563" s="43">
        <v>530</v>
      </c>
      <c r="D563" s="42">
        <v>530</v>
      </c>
      <c r="E563" s="42">
        <v>0.42399999999999999</v>
      </c>
      <c r="F563" s="42">
        <v>125</v>
      </c>
      <c r="G563" s="42">
        <v>54.272000000000006</v>
      </c>
      <c r="H563" s="42">
        <v>2.3032134433962264</v>
      </c>
      <c r="I563" s="42">
        <v>1</v>
      </c>
      <c r="J563" s="42">
        <v>2.358490566037736</v>
      </c>
      <c r="K563" s="42">
        <v>0.9765625</v>
      </c>
      <c r="L563" s="42">
        <v>0.42399999999999999</v>
      </c>
      <c r="M563">
        <v>1</v>
      </c>
    </row>
    <row r="564" spans="3:13" x14ac:dyDescent="0.15">
      <c r="C564" s="43">
        <v>531</v>
      </c>
      <c r="D564" s="42">
        <v>531</v>
      </c>
      <c r="E564" s="42">
        <v>0.42480000000000001</v>
      </c>
      <c r="F564" s="42">
        <v>125</v>
      </c>
      <c r="G564" s="42">
        <v>54.374400000000001</v>
      </c>
      <c r="H564" s="42">
        <v>2.2988759416195856</v>
      </c>
      <c r="I564" s="42">
        <v>1</v>
      </c>
      <c r="J564" s="42">
        <v>2.3540489642184559</v>
      </c>
      <c r="K564" s="42">
        <v>0.9765625</v>
      </c>
      <c r="L564" s="42">
        <v>0.42480000000000001</v>
      </c>
      <c r="M564">
        <v>1</v>
      </c>
    </row>
    <row r="565" spans="3:13" x14ac:dyDescent="0.15">
      <c r="C565" s="43">
        <v>532</v>
      </c>
      <c r="D565" s="42">
        <v>532</v>
      </c>
      <c r="E565" s="42">
        <v>0.42559999999999998</v>
      </c>
      <c r="F565" s="42">
        <v>125</v>
      </c>
      <c r="G565" s="42">
        <v>54.476800000000004</v>
      </c>
      <c r="H565" s="42">
        <v>2.2945547462406015</v>
      </c>
      <c r="I565" s="42">
        <v>1</v>
      </c>
      <c r="J565" s="42">
        <v>2.3496240601503762</v>
      </c>
      <c r="K565" s="42">
        <v>0.9765625</v>
      </c>
      <c r="L565" s="42">
        <v>0.42559999999999998</v>
      </c>
      <c r="M565">
        <v>1</v>
      </c>
    </row>
    <row r="566" spans="3:13" x14ac:dyDescent="0.15">
      <c r="C566" s="43">
        <v>533</v>
      </c>
      <c r="D566" s="42">
        <v>533</v>
      </c>
      <c r="E566" s="42">
        <v>0.4264</v>
      </c>
      <c r="F566" s="42">
        <v>125</v>
      </c>
      <c r="G566" s="42">
        <v>54.5792</v>
      </c>
      <c r="H566" s="42">
        <v>2.290249765478424</v>
      </c>
      <c r="I566" s="42">
        <v>1</v>
      </c>
      <c r="J566" s="42">
        <v>2.3452157598499062</v>
      </c>
      <c r="K566" s="42">
        <v>0.9765625</v>
      </c>
      <c r="L566" s="42">
        <v>0.4264</v>
      </c>
      <c r="M566">
        <v>1</v>
      </c>
    </row>
    <row r="567" spans="3:13" x14ac:dyDescent="0.15">
      <c r="C567" s="43">
        <v>534</v>
      </c>
      <c r="D567" s="42">
        <v>534</v>
      </c>
      <c r="E567" s="42">
        <v>0.42720000000000002</v>
      </c>
      <c r="F567" s="42">
        <v>125</v>
      </c>
      <c r="G567" s="42">
        <v>54.681600000000003</v>
      </c>
      <c r="H567" s="42">
        <v>2.2859609082397001</v>
      </c>
      <c r="I567" s="42">
        <v>1</v>
      </c>
      <c r="J567" s="42">
        <v>2.3408239700374529</v>
      </c>
      <c r="K567" s="42">
        <v>0.9765625</v>
      </c>
      <c r="L567" s="42">
        <v>0.42720000000000002</v>
      </c>
      <c r="M567">
        <v>1</v>
      </c>
    </row>
    <row r="568" spans="3:13" x14ac:dyDescent="0.15">
      <c r="C568" s="43">
        <v>535</v>
      </c>
      <c r="D568" s="42">
        <v>535</v>
      </c>
      <c r="E568" s="42">
        <v>0.42799999999999999</v>
      </c>
      <c r="F568" s="42">
        <v>125</v>
      </c>
      <c r="G568" s="42">
        <v>54.784000000000006</v>
      </c>
      <c r="H568" s="42">
        <v>2.2816880841121496</v>
      </c>
      <c r="I568" s="42">
        <v>1</v>
      </c>
      <c r="J568" s="42">
        <v>2.3364485981308412</v>
      </c>
      <c r="K568" s="42">
        <v>0.9765625</v>
      </c>
      <c r="L568" s="42">
        <v>0.42799999999999999</v>
      </c>
      <c r="M568">
        <v>1</v>
      </c>
    </row>
    <row r="569" spans="3:13" x14ac:dyDescent="0.15">
      <c r="C569" s="43">
        <v>536</v>
      </c>
      <c r="D569" s="42">
        <v>536</v>
      </c>
      <c r="E569" s="42">
        <v>0.42880000000000001</v>
      </c>
      <c r="F569" s="42">
        <v>125</v>
      </c>
      <c r="G569" s="42">
        <v>54.886400000000002</v>
      </c>
      <c r="H569" s="42">
        <v>2.2774312033582089</v>
      </c>
      <c r="I569" s="42">
        <v>1</v>
      </c>
      <c r="J569" s="42">
        <v>2.3320895522388061</v>
      </c>
      <c r="K569" s="42">
        <v>0.9765625</v>
      </c>
      <c r="L569" s="42">
        <v>0.42880000000000001</v>
      </c>
      <c r="M569">
        <v>1</v>
      </c>
    </row>
    <row r="570" spans="3:13" x14ac:dyDescent="0.15">
      <c r="C570" s="43">
        <v>537</v>
      </c>
      <c r="D570" s="42">
        <v>537</v>
      </c>
      <c r="E570" s="42">
        <v>0.42959999999999998</v>
      </c>
      <c r="F570" s="42">
        <v>125</v>
      </c>
      <c r="G570" s="42">
        <v>54.988800000000005</v>
      </c>
      <c r="H570" s="42">
        <v>2.2731901769087526</v>
      </c>
      <c r="I570" s="42">
        <v>1</v>
      </c>
      <c r="J570" s="42">
        <v>2.3277467411545625</v>
      </c>
      <c r="K570" s="42">
        <v>0.9765625</v>
      </c>
      <c r="L570" s="42">
        <v>0.42959999999999998</v>
      </c>
      <c r="M570">
        <v>1</v>
      </c>
    </row>
    <row r="571" spans="3:13" x14ac:dyDescent="0.15">
      <c r="C571" s="43">
        <v>538</v>
      </c>
      <c r="D571" s="42">
        <v>538</v>
      </c>
      <c r="E571" s="42">
        <v>0.4304</v>
      </c>
      <c r="F571" s="42">
        <v>125</v>
      </c>
      <c r="G571" s="42">
        <v>55.091200000000001</v>
      </c>
      <c r="H571" s="42">
        <v>2.2689649163568775</v>
      </c>
      <c r="I571" s="42">
        <v>1</v>
      </c>
      <c r="J571" s="42">
        <v>2.3234200743494422</v>
      </c>
      <c r="K571" s="42">
        <v>0.9765625</v>
      </c>
      <c r="L571" s="42">
        <v>0.4304</v>
      </c>
      <c r="M571">
        <v>1</v>
      </c>
    </row>
    <row r="572" spans="3:13" x14ac:dyDescent="0.15">
      <c r="C572" s="43">
        <v>539</v>
      </c>
      <c r="D572" s="42">
        <v>539</v>
      </c>
      <c r="E572" s="42">
        <v>0.43120000000000003</v>
      </c>
      <c r="F572" s="42">
        <v>125</v>
      </c>
      <c r="G572" s="42">
        <v>55.193600000000004</v>
      </c>
      <c r="H572" s="42">
        <v>2.2647553339517623</v>
      </c>
      <c r="I572" s="42">
        <v>1</v>
      </c>
      <c r="J572" s="42">
        <v>2.3191094619666046</v>
      </c>
      <c r="K572" s="42">
        <v>0.9765625</v>
      </c>
      <c r="L572" s="42">
        <v>0.43120000000000003</v>
      </c>
      <c r="M572">
        <v>1</v>
      </c>
    </row>
    <row r="573" spans="3:13" x14ac:dyDescent="0.15">
      <c r="C573" s="43">
        <v>540</v>
      </c>
      <c r="D573" s="42">
        <v>540</v>
      </c>
      <c r="E573" s="42">
        <v>0.432</v>
      </c>
      <c r="F573" s="42">
        <v>125</v>
      </c>
      <c r="G573" s="42">
        <v>55.295999999999999</v>
      </c>
      <c r="H573" s="42">
        <v>2.2605613425925926</v>
      </c>
      <c r="I573" s="42">
        <v>1</v>
      </c>
      <c r="J573" s="42">
        <v>2.3148148148148149</v>
      </c>
      <c r="K573" s="42">
        <v>0.9765625</v>
      </c>
      <c r="L573" s="42">
        <v>0.432</v>
      </c>
      <c r="M573">
        <v>1</v>
      </c>
    </row>
    <row r="574" spans="3:13" x14ac:dyDescent="0.15">
      <c r="C574" s="43">
        <v>541</v>
      </c>
      <c r="D574" s="42">
        <v>541</v>
      </c>
      <c r="E574" s="42">
        <v>0.43280000000000002</v>
      </c>
      <c r="F574" s="42">
        <v>125</v>
      </c>
      <c r="G574" s="42">
        <v>55.398400000000002</v>
      </c>
      <c r="H574" s="42">
        <v>2.2563828558225509</v>
      </c>
      <c r="I574" s="42">
        <v>1</v>
      </c>
      <c r="J574" s="42">
        <v>2.310536044362292</v>
      </c>
      <c r="K574" s="42">
        <v>0.9765625</v>
      </c>
      <c r="L574" s="42">
        <v>0.43280000000000002</v>
      </c>
      <c r="M574">
        <v>1</v>
      </c>
    </row>
    <row r="575" spans="3:13" x14ac:dyDescent="0.15">
      <c r="C575" s="43">
        <v>542</v>
      </c>
      <c r="D575" s="42">
        <v>542</v>
      </c>
      <c r="E575" s="42">
        <v>0.43359999999999999</v>
      </c>
      <c r="F575" s="42">
        <v>125</v>
      </c>
      <c r="G575" s="42">
        <v>55.500800000000005</v>
      </c>
      <c r="H575" s="42">
        <v>2.2522197878228782</v>
      </c>
      <c r="I575" s="42">
        <v>1</v>
      </c>
      <c r="J575" s="42">
        <v>2.3062730627306274</v>
      </c>
      <c r="K575" s="42">
        <v>0.9765625</v>
      </c>
      <c r="L575" s="42">
        <v>0.43359999999999999</v>
      </c>
      <c r="M575">
        <v>1</v>
      </c>
    </row>
    <row r="576" spans="3:13" x14ac:dyDescent="0.15">
      <c r="C576" s="43">
        <v>543</v>
      </c>
      <c r="D576" s="42">
        <v>543</v>
      </c>
      <c r="E576" s="42">
        <v>0.43440000000000001</v>
      </c>
      <c r="F576" s="42">
        <v>125</v>
      </c>
      <c r="G576" s="42">
        <v>55.603200000000001</v>
      </c>
      <c r="H576" s="42">
        <v>2.248072053406998</v>
      </c>
      <c r="I576" s="42">
        <v>1</v>
      </c>
      <c r="J576" s="42">
        <v>2.3020257826887662</v>
      </c>
      <c r="K576" s="42">
        <v>0.9765625</v>
      </c>
      <c r="L576" s="42">
        <v>0.43440000000000001</v>
      </c>
      <c r="M576">
        <v>1</v>
      </c>
    </row>
    <row r="577" spans="3:13" x14ac:dyDescent="0.15">
      <c r="C577" s="43">
        <v>544</v>
      </c>
      <c r="D577" s="42">
        <v>544</v>
      </c>
      <c r="E577" s="42">
        <v>0.43519999999999998</v>
      </c>
      <c r="F577" s="42">
        <v>125</v>
      </c>
      <c r="G577" s="42">
        <v>55.705600000000004</v>
      </c>
      <c r="H577" s="42">
        <v>2.2439395680147061</v>
      </c>
      <c r="I577" s="42">
        <v>1</v>
      </c>
      <c r="J577" s="42">
        <v>2.2977941176470589</v>
      </c>
      <c r="K577" s="42">
        <v>0.9765625</v>
      </c>
      <c r="L577" s="42">
        <v>0.43519999999999998</v>
      </c>
      <c r="M577">
        <v>1</v>
      </c>
    </row>
    <row r="578" spans="3:13" x14ac:dyDescent="0.15">
      <c r="C578" s="43">
        <v>545</v>
      </c>
      <c r="D578" s="42">
        <v>545</v>
      </c>
      <c r="E578" s="42">
        <v>0.436</v>
      </c>
      <c r="F578" s="42">
        <v>125</v>
      </c>
      <c r="G578" s="42">
        <v>55.808</v>
      </c>
      <c r="H578" s="42">
        <v>2.2398222477064222</v>
      </c>
      <c r="I578" s="42">
        <v>1</v>
      </c>
      <c r="J578" s="42">
        <v>2.2935779816513762</v>
      </c>
      <c r="K578" s="42">
        <v>0.9765625</v>
      </c>
      <c r="L578" s="42">
        <v>0.436</v>
      </c>
      <c r="M578">
        <v>1</v>
      </c>
    </row>
    <row r="579" spans="3:13" x14ac:dyDescent="0.15">
      <c r="C579" s="43">
        <v>546</v>
      </c>
      <c r="D579" s="42">
        <v>546</v>
      </c>
      <c r="E579" s="42">
        <v>0.43680000000000002</v>
      </c>
      <c r="F579" s="42">
        <v>125</v>
      </c>
      <c r="G579" s="42">
        <v>55.910400000000003</v>
      </c>
      <c r="H579" s="42">
        <v>2.2357200091575091</v>
      </c>
      <c r="I579" s="42">
        <v>1</v>
      </c>
      <c r="J579" s="42">
        <v>2.2893772893772892</v>
      </c>
      <c r="K579" s="42">
        <v>0.9765625</v>
      </c>
      <c r="L579" s="42">
        <v>0.43680000000000002</v>
      </c>
      <c r="M579">
        <v>1</v>
      </c>
    </row>
    <row r="580" spans="3:13" x14ac:dyDescent="0.15">
      <c r="C580" s="43">
        <v>547</v>
      </c>
      <c r="D580" s="42">
        <v>547</v>
      </c>
      <c r="E580" s="42">
        <v>0.43759999999999999</v>
      </c>
      <c r="F580" s="42">
        <v>125</v>
      </c>
      <c r="G580" s="42">
        <v>56.012800000000006</v>
      </c>
      <c r="H580" s="42">
        <v>2.2316327696526508</v>
      </c>
      <c r="I580" s="42">
        <v>1</v>
      </c>
      <c r="J580" s="42">
        <v>2.2851919561243146</v>
      </c>
      <c r="K580" s="42">
        <v>0.9765625</v>
      </c>
      <c r="L580" s="42">
        <v>0.43759999999999999</v>
      </c>
      <c r="M580">
        <v>1</v>
      </c>
    </row>
    <row r="581" spans="3:13" x14ac:dyDescent="0.15">
      <c r="C581" s="43">
        <v>548</v>
      </c>
      <c r="D581" s="42">
        <v>548</v>
      </c>
      <c r="E581" s="42">
        <v>0.43840000000000001</v>
      </c>
      <c r="F581" s="42">
        <v>125</v>
      </c>
      <c r="G581" s="42">
        <v>56.115200000000002</v>
      </c>
      <c r="H581" s="42">
        <v>2.2275604470802919</v>
      </c>
      <c r="I581" s="42">
        <v>1</v>
      </c>
      <c r="J581" s="42">
        <v>2.281021897810219</v>
      </c>
      <c r="K581" s="42">
        <v>0.9765625</v>
      </c>
      <c r="L581" s="42">
        <v>0.43840000000000001</v>
      </c>
      <c r="M581">
        <v>1</v>
      </c>
    </row>
    <row r="582" spans="3:13" x14ac:dyDescent="0.15">
      <c r="C582" s="43">
        <v>549</v>
      </c>
      <c r="D582" s="42">
        <v>549</v>
      </c>
      <c r="E582" s="42">
        <v>0.43919999999999998</v>
      </c>
      <c r="F582" s="42">
        <v>125</v>
      </c>
      <c r="G582" s="42">
        <v>56.217600000000004</v>
      </c>
      <c r="H582" s="42">
        <v>2.2235029599271403</v>
      </c>
      <c r="I582" s="42">
        <v>1</v>
      </c>
      <c r="J582" s="42">
        <v>2.2768670309653918</v>
      </c>
      <c r="K582" s="42">
        <v>0.9765625</v>
      </c>
      <c r="L582" s="42">
        <v>0.43919999999999998</v>
      </c>
      <c r="M582">
        <v>1</v>
      </c>
    </row>
    <row r="583" spans="3:13" x14ac:dyDescent="0.15">
      <c r="C583" s="43">
        <v>550</v>
      </c>
      <c r="D583" s="42">
        <v>550</v>
      </c>
      <c r="E583" s="42">
        <v>0.44</v>
      </c>
      <c r="F583" s="42">
        <v>125</v>
      </c>
      <c r="G583" s="42">
        <v>56.32</v>
      </c>
      <c r="H583" s="42">
        <v>2.2194602272727271</v>
      </c>
      <c r="I583" s="42">
        <v>1</v>
      </c>
      <c r="J583" s="42">
        <v>2.2727272727272729</v>
      </c>
      <c r="K583" s="42">
        <v>0.9765625</v>
      </c>
      <c r="L583" s="42">
        <v>0.44</v>
      </c>
      <c r="M583">
        <v>1</v>
      </c>
    </row>
    <row r="584" spans="3:13" x14ac:dyDescent="0.15">
      <c r="C584" s="43">
        <v>551</v>
      </c>
      <c r="D584" s="42">
        <v>551</v>
      </c>
      <c r="E584" s="42">
        <v>0.44080000000000003</v>
      </c>
      <c r="F584" s="42">
        <v>125</v>
      </c>
      <c r="G584" s="42">
        <v>56.422400000000003</v>
      </c>
      <c r="H584" s="42">
        <v>2.2154321687840288</v>
      </c>
      <c r="I584" s="42">
        <v>1</v>
      </c>
      <c r="J584" s="42">
        <v>2.2686025408348458</v>
      </c>
      <c r="K584" s="42">
        <v>0.9765625</v>
      </c>
      <c r="L584" s="42">
        <v>0.44080000000000003</v>
      </c>
      <c r="M584">
        <v>1</v>
      </c>
    </row>
    <row r="585" spans="3:13" x14ac:dyDescent="0.15">
      <c r="C585" s="43">
        <v>552</v>
      </c>
      <c r="D585" s="42">
        <v>552</v>
      </c>
      <c r="E585" s="42">
        <v>0.44159999999999999</v>
      </c>
      <c r="F585" s="42">
        <v>125</v>
      </c>
      <c r="G585" s="42">
        <v>56.524800000000006</v>
      </c>
      <c r="H585" s="42">
        <v>2.211418704710145</v>
      </c>
      <c r="I585" s="42">
        <v>1</v>
      </c>
      <c r="J585" s="42">
        <v>2.2644927536231885</v>
      </c>
      <c r="K585" s="42">
        <v>0.9765625</v>
      </c>
      <c r="L585" s="42">
        <v>0.44159999999999999</v>
      </c>
      <c r="M585">
        <v>1</v>
      </c>
    </row>
    <row r="586" spans="3:13" x14ac:dyDescent="0.15">
      <c r="C586" s="43">
        <v>553</v>
      </c>
      <c r="D586" s="42">
        <v>553</v>
      </c>
      <c r="E586" s="42">
        <v>0.44240000000000002</v>
      </c>
      <c r="F586" s="42">
        <v>125</v>
      </c>
      <c r="G586" s="42">
        <v>56.627200000000002</v>
      </c>
      <c r="H586" s="42">
        <v>2.2074197558770341</v>
      </c>
      <c r="I586" s="42">
        <v>1</v>
      </c>
      <c r="J586" s="42">
        <v>2.2603978300180829</v>
      </c>
      <c r="K586" s="42">
        <v>0.9765625</v>
      </c>
      <c r="L586" s="42">
        <v>0.44240000000000002</v>
      </c>
      <c r="M586">
        <v>1</v>
      </c>
    </row>
    <row r="587" spans="3:13" x14ac:dyDescent="0.15">
      <c r="C587" s="43">
        <v>554</v>
      </c>
      <c r="D587" s="42">
        <v>554</v>
      </c>
      <c r="E587" s="42">
        <v>0.44319999999999998</v>
      </c>
      <c r="F587" s="42">
        <v>125</v>
      </c>
      <c r="G587" s="42">
        <v>56.729600000000005</v>
      </c>
      <c r="H587" s="42">
        <v>2.2034352436823106</v>
      </c>
      <c r="I587" s="42">
        <v>1</v>
      </c>
      <c r="J587" s="42">
        <v>2.256317689530686</v>
      </c>
      <c r="K587" s="42">
        <v>0.9765625</v>
      </c>
      <c r="L587" s="42">
        <v>0.44319999999999998</v>
      </c>
      <c r="M587">
        <v>1</v>
      </c>
    </row>
    <row r="588" spans="3:13" x14ac:dyDescent="0.15">
      <c r="C588" s="43">
        <v>555</v>
      </c>
      <c r="D588" s="42">
        <v>555</v>
      </c>
      <c r="E588" s="42">
        <v>0.44400000000000001</v>
      </c>
      <c r="F588" s="42">
        <v>125</v>
      </c>
      <c r="G588" s="42">
        <v>56.832000000000001</v>
      </c>
      <c r="H588" s="42">
        <v>2.1994650900900901</v>
      </c>
      <c r="I588" s="42">
        <v>1</v>
      </c>
      <c r="J588" s="42">
        <v>2.2522522522522523</v>
      </c>
      <c r="K588" s="42">
        <v>0.9765625</v>
      </c>
      <c r="L588" s="42">
        <v>0.44400000000000001</v>
      </c>
      <c r="M588">
        <v>1</v>
      </c>
    </row>
    <row r="589" spans="3:13" x14ac:dyDescent="0.15">
      <c r="C589" s="43">
        <v>556</v>
      </c>
      <c r="D589" s="42">
        <v>556</v>
      </c>
      <c r="E589" s="42">
        <v>0.44479999999999997</v>
      </c>
      <c r="F589" s="42">
        <v>125</v>
      </c>
      <c r="G589" s="42">
        <v>56.934400000000004</v>
      </c>
      <c r="H589" s="42">
        <v>2.1955092176258995</v>
      </c>
      <c r="I589" s="42">
        <v>1</v>
      </c>
      <c r="J589" s="42">
        <v>2.2482014388489211</v>
      </c>
      <c r="K589" s="42">
        <v>0.9765625</v>
      </c>
      <c r="L589" s="42">
        <v>0.44479999999999997</v>
      </c>
      <c r="M589">
        <v>1</v>
      </c>
    </row>
    <row r="590" spans="3:13" x14ac:dyDescent="0.15">
      <c r="C590" s="43">
        <v>557</v>
      </c>
      <c r="D590" s="42">
        <v>557</v>
      </c>
      <c r="E590" s="42">
        <v>0.4456</v>
      </c>
      <c r="F590" s="42">
        <v>125</v>
      </c>
      <c r="G590" s="42">
        <v>57.036799999999999</v>
      </c>
      <c r="H590" s="42">
        <v>2.1915675493716336</v>
      </c>
      <c r="I590" s="42">
        <v>1</v>
      </c>
      <c r="J590" s="42">
        <v>2.2441651705565531</v>
      </c>
      <c r="K590" s="42">
        <v>0.9765625</v>
      </c>
      <c r="L590" s="42">
        <v>0.4456</v>
      </c>
      <c r="M590">
        <v>1</v>
      </c>
    </row>
    <row r="591" spans="3:13" x14ac:dyDescent="0.15">
      <c r="C591" s="43">
        <v>558</v>
      </c>
      <c r="D591" s="42">
        <v>558</v>
      </c>
      <c r="E591" s="42">
        <v>0.44640000000000002</v>
      </c>
      <c r="F591" s="42">
        <v>125</v>
      </c>
      <c r="G591" s="42">
        <v>57.139200000000002</v>
      </c>
      <c r="H591" s="42">
        <v>2.1876400089605732</v>
      </c>
      <c r="I591" s="42">
        <v>1</v>
      </c>
      <c r="J591" s="42">
        <v>2.2401433691756272</v>
      </c>
      <c r="K591" s="42">
        <v>0.9765625</v>
      </c>
      <c r="L591" s="42">
        <v>0.44640000000000002</v>
      </c>
      <c r="M591">
        <v>1</v>
      </c>
    </row>
    <row r="592" spans="3:13" x14ac:dyDescent="0.15">
      <c r="C592" s="43">
        <v>559</v>
      </c>
      <c r="D592" s="42">
        <v>559</v>
      </c>
      <c r="E592" s="42">
        <v>0.44719999999999999</v>
      </c>
      <c r="F592" s="42">
        <v>125</v>
      </c>
      <c r="G592" s="42">
        <v>57.241600000000005</v>
      </c>
      <c r="H592" s="42">
        <v>2.183726520572451</v>
      </c>
      <c r="I592" s="42">
        <v>1</v>
      </c>
      <c r="J592" s="42">
        <v>2.2361359570661898</v>
      </c>
      <c r="K592" s="42">
        <v>0.9765625</v>
      </c>
      <c r="L592" s="42">
        <v>0.44719999999999999</v>
      </c>
      <c r="M592">
        <v>1</v>
      </c>
    </row>
    <row r="593" spans="3:13" x14ac:dyDescent="0.15">
      <c r="C593" s="43">
        <v>560</v>
      </c>
      <c r="D593" s="42">
        <v>560</v>
      </c>
      <c r="E593" s="42">
        <v>0.44800000000000001</v>
      </c>
      <c r="F593" s="42">
        <v>126</v>
      </c>
      <c r="G593" s="42">
        <v>57.344000000000001</v>
      </c>
      <c r="H593" s="42">
        <v>2.197265625</v>
      </c>
      <c r="I593" s="42">
        <v>1</v>
      </c>
      <c r="J593" s="42">
        <v>2.2321428571428572</v>
      </c>
      <c r="K593" s="42">
        <v>0.984375</v>
      </c>
      <c r="L593" s="42">
        <v>0.44800000000000001</v>
      </c>
      <c r="M593">
        <v>1</v>
      </c>
    </row>
    <row r="594" spans="3:13" x14ac:dyDescent="0.15">
      <c r="C594" s="43">
        <v>561</v>
      </c>
      <c r="D594" s="42">
        <v>561</v>
      </c>
      <c r="E594" s="42">
        <v>0.44879999999999998</v>
      </c>
      <c r="F594" s="42">
        <v>126</v>
      </c>
      <c r="G594" s="42">
        <v>57.446400000000004</v>
      </c>
      <c r="H594" s="42">
        <v>2.1933489304812834</v>
      </c>
      <c r="I594" s="42">
        <v>1</v>
      </c>
      <c r="J594" s="42">
        <v>2.2281639928698755</v>
      </c>
      <c r="K594" s="42">
        <v>0.984375</v>
      </c>
      <c r="L594" s="42">
        <v>0.44879999999999998</v>
      </c>
      <c r="M594">
        <v>1</v>
      </c>
    </row>
    <row r="595" spans="3:13" x14ac:dyDescent="0.15">
      <c r="C595" s="43">
        <v>562</v>
      </c>
      <c r="D595" s="42">
        <v>562</v>
      </c>
      <c r="E595" s="42">
        <v>0.4496</v>
      </c>
      <c r="F595" s="42">
        <v>126</v>
      </c>
      <c r="G595" s="42">
        <v>57.5488</v>
      </c>
      <c r="H595" s="42">
        <v>2.189446174377224</v>
      </c>
      <c r="I595" s="42">
        <v>1</v>
      </c>
      <c r="J595" s="42">
        <v>2.2241992882562278</v>
      </c>
      <c r="K595" s="42">
        <v>0.984375</v>
      </c>
      <c r="L595" s="42">
        <v>0.4496</v>
      </c>
      <c r="M595">
        <v>1</v>
      </c>
    </row>
    <row r="596" spans="3:13" x14ac:dyDescent="0.15">
      <c r="C596" s="43">
        <v>563</v>
      </c>
      <c r="D596" s="42">
        <v>563</v>
      </c>
      <c r="E596" s="42">
        <v>0.45040000000000002</v>
      </c>
      <c r="F596" s="42">
        <v>126</v>
      </c>
      <c r="G596" s="42">
        <v>57.651200000000003</v>
      </c>
      <c r="H596" s="42">
        <v>2.1855572824156306</v>
      </c>
      <c r="I596" s="42">
        <v>1</v>
      </c>
      <c r="J596" s="42">
        <v>2.2202486678507993</v>
      </c>
      <c r="K596" s="42">
        <v>0.984375</v>
      </c>
      <c r="L596" s="42">
        <v>0.45040000000000002</v>
      </c>
      <c r="M596">
        <v>1</v>
      </c>
    </row>
    <row r="597" spans="3:13" x14ac:dyDescent="0.15">
      <c r="C597" s="43">
        <v>564</v>
      </c>
      <c r="D597" s="42">
        <v>564</v>
      </c>
      <c r="E597" s="42">
        <v>0.45119999999999999</v>
      </c>
      <c r="F597" s="42">
        <v>126</v>
      </c>
      <c r="G597" s="42">
        <v>57.753600000000006</v>
      </c>
      <c r="H597" s="42">
        <v>2.1816821808510638</v>
      </c>
      <c r="I597" s="42">
        <v>1</v>
      </c>
      <c r="J597" s="42">
        <v>2.2163120567375887</v>
      </c>
      <c r="K597" s="42">
        <v>0.984375</v>
      </c>
      <c r="L597" s="42">
        <v>0.45119999999999999</v>
      </c>
      <c r="M597">
        <v>1</v>
      </c>
    </row>
    <row r="598" spans="3:13" x14ac:dyDescent="0.15">
      <c r="C598" s="43">
        <v>565</v>
      </c>
      <c r="D598" s="42">
        <v>565</v>
      </c>
      <c r="E598" s="42">
        <v>0.45200000000000001</v>
      </c>
      <c r="F598" s="42">
        <v>126</v>
      </c>
      <c r="G598" s="42">
        <v>57.856000000000002</v>
      </c>
      <c r="H598" s="42">
        <v>2.177820796460177</v>
      </c>
      <c r="I598" s="42">
        <v>1</v>
      </c>
      <c r="J598" s="42">
        <v>2.2123893805309733</v>
      </c>
      <c r="K598" s="42">
        <v>0.984375</v>
      </c>
      <c r="L598" s="42">
        <v>0.45200000000000001</v>
      </c>
      <c r="M598">
        <v>1</v>
      </c>
    </row>
    <row r="599" spans="3:13" x14ac:dyDescent="0.15">
      <c r="C599" s="43">
        <v>566</v>
      </c>
      <c r="D599" s="42">
        <v>566</v>
      </c>
      <c r="E599" s="42">
        <v>0.45279999999999998</v>
      </c>
      <c r="F599" s="42">
        <v>126</v>
      </c>
      <c r="G599" s="42">
        <v>57.958400000000005</v>
      </c>
      <c r="H599" s="42">
        <v>2.1739730565371027</v>
      </c>
      <c r="I599" s="42">
        <v>1</v>
      </c>
      <c r="J599" s="42">
        <v>2.2084805653710249</v>
      </c>
      <c r="K599" s="42">
        <v>0.984375</v>
      </c>
      <c r="L599" s="42">
        <v>0.45279999999999998</v>
      </c>
      <c r="M599">
        <v>1</v>
      </c>
    </row>
    <row r="600" spans="3:13" x14ac:dyDescent="0.15">
      <c r="C600" s="43">
        <v>567</v>
      </c>
      <c r="D600" s="42">
        <v>567</v>
      </c>
      <c r="E600" s="42">
        <v>0.4536</v>
      </c>
      <c r="F600" s="42">
        <v>126</v>
      </c>
      <c r="G600" s="42">
        <v>58.0608</v>
      </c>
      <c r="H600" s="42">
        <v>2.1701388888888888</v>
      </c>
      <c r="I600" s="42">
        <v>1</v>
      </c>
      <c r="J600" s="42">
        <v>2.204585537918871</v>
      </c>
      <c r="K600" s="42">
        <v>0.984375</v>
      </c>
      <c r="L600" s="42">
        <v>0.4536</v>
      </c>
      <c r="M600">
        <v>1</v>
      </c>
    </row>
    <row r="601" spans="3:13" x14ac:dyDescent="0.15">
      <c r="C601" s="43">
        <v>568</v>
      </c>
      <c r="D601" s="42">
        <v>568</v>
      </c>
      <c r="E601" s="42">
        <v>0.45440000000000003</v>
      </c>
      <c r="F601" s="42">
        <v>126</v>
      </c>
      <c r="G601" s="42">
        <v>58.163200000000003</v>
      </c>
      <c r="H601" s="42">
        <v>2.166318221830986</v>
      </c>
      <c r="I601" s="42">
        <v>1</v>
      </c>
      <c r="J601" s="42">
        <v>2.2007042253521125</v>
      </c>
      <c r="K601" s="42">
        <v>0.984375</v>
      </c>
      <c r="L601" s="42">
        <v>0.45440000000000003</v>
      </c>
      <c r="M601">
        <v>1</v>
      </c>
    </row>
    <row r="602" spans="3:13" x14ac:dyDescent="0.15">
      <c r="C602" s="43">
        <v>569</v>
      </c>
      <c r="D602" s="42">
        <v>569</v>
      </c>
      <c r="E602" s="42">
        <v>0.45519999999999999</v>
      </c>
      <c r="F602" s="42">
        <v>126</v>
      </c>
      <c r="G602" s="42">
        <v>58.265600000000006</v>
      </c>
      <c r="H602" s="42">
        <v>2.1625109841827768</v>
      </c>
      <c r="I602" s="42">
        <v>1</v>
      </c>
      <c r="J602" s="42">
        <v>2.1968365553602811</v>
      </c>
      <c r="K602" s="42">
        <v>0.984375</v>
      </c>
      <c r="L602" s="42">
        <v>0.45519999999999999</v>
      </c>
      <c r="M602">
        <v>1</v>
      </c>
    </row>
    <row r="603" spans="3:13" x14ac:dyDescent="0.15">
      <c r="C603" s="43">
        <v>570</v>
      </c>
      <c r="D603" s="42">
        <v>570</v>
      </c>
      <c r="E603" s="42">
        <v>0.45600000000000002</v>
      </c>
      <c r="F603" s="42">
        <v>126</v>
      </c>
      <c r="G603" s="42">
        <v>58.368000000000002</v>
      </c>
      <c r="H603" s="42">
        <v>2.158717105263158</v>
      </c>
      <c r="I603" s="42">
        <v>1</v>
      </c>
      <c r="J603" s="42">
        <v>2.1929824561403506</v>
      </c>
      <c r="K603" s="42">
        <v>0.984375</v>
      </c>
      <c r="L603" s="42">
        <v>0.45600000000000002</v>
      </c>
      <c r="M603">
        <v>1</v>
      </c>
    </row>
    <row r="604" spans="3:13" x14ac:dyDescent="0.15">
      <c r="C604" s="43">
        <v>571</v>
      </c>
      <c r="D604" s="42">
        <v>571</v>
      </c>
      <c r="E604" s="42">
        <v>0.45679999999999998</v>
      </c>
      <c r="F604" s="42">
        <v>126</v>
      </c>
      <c r="G604" s="42">
        <v>58.470400000000005</v>
      </c>
      <c r="H604" s="42">
        <v>2.1549365148861646</v>
      </c>
      <c r="I604" s="42">
        <v>1</v>
      </c>
      <c r="J604" s="42">
        <v>2.1891418563922942</v>
      </c>
      <c r="K604" s="42">
        <v>0.984375</v>
      </c>
      <c r="L604" s="42">
        <v>0.45679999999999998</v>
      </c>
      <c r="M604">
        <v>1</v>
      </c>
    </row>
    <row r="605" spans="3:13" x14ac:dyDescent="0.15">
      <c r="C605" s="43">
        <v>572</v>
      </c>
      <c r="D605" s="42">
        <v>572</v>
      </c>
      <c r="E605" s="42">
        <v>0.45760000000000001</v>
      </c>
      <c r="F605" s="42">
        <v>126</v>
      </c>
      <c r="G605" s="42">
        <v>58.572800000000001</v>
      </c>
      <c r="H605" s="42">
        <v>2.1511691433566433</v>
      </c>
      <c r="I605" s="42">
        <v>1</v>
      </c>
      <c r="J605" s="42">
        <v>2.1853146853146854</v>
      </c>
      <c r="K605" s="42">
        <v>0.984375</v>
      </c>
      <c r="L605" s="42">
        <v>0.45760000000000001</v>
      </c>
      <c r="M605">
        <v>1</v>
      </c>
    </row>
    <row r="606" spans="3:13" x14ac:dyDescent="0.15">
      <c r="C606" s="43">
        <v>573</v>
      </c>
      <c r="D606" s="42">
        <v>573</v>
      </c>
      <c r="E606" s="42">
        <v>0.45839999999999997</v>
      </c>
      <c r="F606" s="42">
        <v>126</v>
      </c>
      <c r="G606" s="42">
        <v>58.675200000000004</v>
      </c>
      <c r="H606" s="42">
        <v>2.1474149214659688</v>
      </c>
      <c r="I606" s="42">
        <v>1</v>
      </c>
      <c r="J606" s="42">
        <v>2.1815008726003491</v>
      </c>
      <c r="K606" s="42">
        <v>0.984375</v>
      </c>
      <c r="L606" s="42">
        <v>0.45839999999999997</v>
      </c>
      <c r="M606">
        <v>1</v>
      </c>
    </row>
    <row r="607" spans="3:13" x14ac:dyDescent="0.15">
      <c r="C607" s="43">
        <v>574</v>
      </c>
      <c r="D607" s="42">
        <v>574</v>
      </c>
      <c r="E607" s="42">
        <v>0.4592</v>
      </c>
      <c r="F607" s="42">
        <v>126</v>
      </c>
      <c r="G607" s="42">
        <v>58.7776</v>
      </c>
      <c r="H607" s="42">
        <v>2.1436737804878048</v>
      </c>
      <c r="I607" s="42">
        <v>1</v>
      </c>
      <c r="J607" s="42">
        <v>2.1777003484320558</v>
      </c>
      <c r="K607" s="42">
        <v>0.984375</v>
      </c>
      <c r="L607" s="42">
        <v>0.4592</v>
      </c>
      <c r="M607">
        <v>1</v>
      </c>
    </row>
    <row r="608" spans="3:13" x14ac:dyDescent="0.15">
      <c r="C608" s="43">
        <v>575</v>
      </c>
      <c r="D608" s="42">
        <v>575</v>
      </c>
      <c r="E608" s="42">
        <v>0.46</v>
      </c>
      <c r="F608" s="42">
        <v>126</v>
      </c>
      <c r="G608" s="42">
        <v>58.88</v>
      </c>
      <c r="H608" s="42">
        <v>2.1399456521739131</v>
      </c>
      <c r="I608" s="42">
        <v>1</v>
      </c>
      <c r="J608" s="42">
        <v>2.1739130434782608</v>
      </c>
      <c r="K608" s="42">
        <v>0.984375</v>
      </c>
      <c r="L608" s="42">
        <v>0.46</v>
      </c>
      <c r="M608">
        <v>1</v>
      </c>
    </row>
    <row r="609" spans="3:13" x14ac:dyDescent="0.15">
      <c r="C609" s="43">
        <v>576</v>
      </c>
      <c r="D609" s="42">
        <v>576</v>
      </c>
      <c r="E609" s="42">
        <v>0.46079999999999999</v>
      </c>
      <c r="F609" s="42">
        <v>126</v>
      </c>
      <c r="G609" s="42">
        <v>58.982400000000005</v>
      </c>
      <c r="H609" s="42">
        <v>2.13623046875</v>
      </c>
      <c r="I609" s="42">
        <v>1</v>
      </c>
      <c r="J609" s="42">
        <v>2.1701388888888888</v>
      </c>
      <c r="K609" s="42">
        <v>0.984375</v>
      </c>
      <c r="L609" s="42">
        <v>0.46079999999999999</v>
      </c>
      <c r="M609">
        <v>1</v>
      </c>
    </row>
    <row r="610" spans="3:13" x14ac:dyDescent="0.15">
      <c r="C610" s="43">
        <v>577</v>
      </c>
      <c r="D610" s="42">
        <v>577</v>
      </c>
      <c r="E610" s="42">
        <v>0.46160000000000001</v>
      </c>
      <c r="F610" s="42">
        <v>126</v>
      </c>
      <c r="G610" s="42">
        <v>59.084800000000001</v>
      </c>
      <c r="H610" s="42">
        <v>2.132528162911612</v>
      </c>
      <c r="I610" s="42">
        <v>1</v>
      </c>
      <c r="J610" s="42">
        <v>2.1663778162911611</v>
      </c>
      <c r="K610" s="42">
        <v>0.984375</v>
      </c>
      <c r="L610" s="42">
        <v>0.46160000000000001</v>
      </c>
      <c r="M610">
        <v>1</v>
      </c>
    </row>
    <row r="611" spans="3:13" x14ac:dyDescent="0.15">
      <c r="C611" s="43">
        <v>578</v>
      </c>
      <c r="D611" s="42">
        <v>578</v>
      </c>
      <c r="E611" s="42">
        <v>0.46239999999999998</v>
      </c>
      <c r="F611" s="42">
        <v>126</v>
      </c>
      <c r="G611" s="42">
        <v>59.187200000000004</v>
      </c>
      <c r="H611" s="42">
        <v>2.1288386678200695</v>
      </c>
      <c r="I611" s="42">
        <v>1</v>
      </c>
      <c r="J611" s="42">
        <v>2.1626297577854672</v>
      </c>
      <c r="K611" s="42">
        <v>0.984375</v>
      </c>
      <c r="L611" s="42">
        <v>0.46239999999999998</v>
      </c>
      <c r="M611">
        <v>1</v>
      </c>
    </row>
    <row r="612" spans="3:13" x14ac:dyDescent="0.15">
      <c r="C612" s="43">
        <v>579</v>
      </c>
      <c r="D612" s="42">
        <v>579</v>
      </c>
      <c r="E612" s="42">
        <v>0.4632</v>
      </c>
      <c r="F612" s="42">
        <v>126</v>
      </c>
      <c r="G612" s="42">
        <v>59.2896</v>
      </c>
      <c r="H612" s="42">
        <v>2.1251619170984455</v>
      </c>
      <c r="I612" s="42">
        <v>1</v>
      </c>
      <c r="J612" s="42">
        <v>2.1588946459412779</v>
      </c>
      <c r="K612" s="42">
        <v>0.984375</v>
      </c>
      <c r="L612" s="42">
        <v>0.4632</v>
      </c>
      <c r="M612">
        <v>1</v>
      </c>
    </row>
    <row r="613" spans="3:13" x14ac:dyDescent="0.15">
      <c r="C613" s="43">
        <v>580</v>
      </c>
      <c r="D613" s="42">
        <v>580</v>
      </c>
      <c r="E613" s="42">
        <v>0.46400000000000002</v>
      </c>
      <c r="F613" s="42">
        <v>126</v>
      </c>
      <c r="G613" s="42">
        <v>59.392000000000003</v>
      </c>
      <c r="H613" s="42">
        <v>2.1214978448275863</v>
      </c>
      <c r="I613" s="42">
        <v>1</v>
      </c>
      <c r="J613" s="42">
        <v>2.1551724137931032</v>
      </c>
      <c r="K613" s="42">
        <v>0.984375</v>
      </c>
      <c r="L613" s="42">
        <v>0.46400000000000002</v>
      </c>
      <c r="M613">
        <v>1</v>
      </c>
    </row>
    <row r="614" spans="3:13" x14ac:dyDescent="0.15">
      <c r="C614" s="43">
        <v>581</v>
      </c>
      <c r="D614" s="42">
        <v>581</v>
      </c>
      <c r="E614" s="42">
        <v>0.46479999999999999</v>
      </c>
      <c r="F614" s="42">
        <v>126</v>
      </c>
      <c r="G614" s="42">
        <v>59.494400000000006</v>
      </c>
      <c r="H614" s="42">
        <v>2.1178463855421685</v>
      </c>
      <c r="I614" s="42">
        <v>1</v>
      </c>
      <c r="J614" s="42">
        <v>2.1514629948364887</v>
      </c>
      <c r="K614" s="42">
        <v>0.984375</v>
      </c>
      <c r="L614" s="42">
        <v>0.46479999999999999</v>
      </c>
      <c r="M614">
        <v>1</v>
      </c>
    </row>
    <row r="615" spans="3:13" x14ac:dyDescent="0.15">
      <c r="C615" s="43">
        <v>582</v>
      </c>
      <c r="D615" s="42">
        <v>582</v>
      </c>
      <c r="E615" s="42">
        <v>0.46560000000000001</v>
      </c>
      <c r="F615" s="42">
        <v>126</v>
      </c>
      <c r="G615" s="42">
        <v>59.596800000000002</v>
      </c>
      <c r="H615" s="42">
        <v>2.114207474226804</v>
      </c>
      <c r="I615" s="42">
        <v>1</v>
      </c>
      <c r="J615" s="42">
        <v>2.1477663230240549</v>
      </c>
      <c r="K615" s="42">
        <v>0.984375</v>
      </c>
      <c r="L615" s="42">
        <v>0.46560000000000001</v>
      </c>
      <c r="M615">
        <v>1</v>
      </c>
    </row>
    <row r="616" spans="3:13" x14ac:dyDescent="0.15">
      <c r="C616" s="43">
        <v>583</v>
      </c>
      <c r="D616" s="42">
        <v>583</v>
      </c>
      <c r="E616" s="42">
        <v>0.46639999999999998</v>
      </c>
      <c r="F616" s="42">
        <v>126</v>
      </c>
      <c r="G616" s="42">
        <v>59.699200000000005</v>
      </c>
      <c r="H616" s="42">
        <v>2.1105810463121784</v>
      </c>
      <c r="I616" s="42">
        <v>1</v>
      </c>
      <c r="J616" s="42">
        <v>2.1440823327615783</v>
      </c>
      <c r="K616" s="42">
        <v>0.984375</v>
      </c>
      <c r="L616" s="42">
        <v>0.46639999999999998</v>
      </c>
      <c r="M616">
        <v>1</v>
      </c>
    </row>
    <row r="617" spans="3:13" x14ac:dyDescent="0.15">
      <c r="C617" s="43">
        <v>584</v>
      </c>
      <c r="D617" s="42">
        <v>584</v>
      </c>
      <c r="E617" s="42">
        <v>0.4672</v>
      </c>
      <c r="F617" s="42">
        <v>126</v>
      </c>
      <c r="G617" s="42">
        <v>59.801600000000001</v>
      </c>
      <c r="H617" s="42">
        <v>2.1069670376712328</v>
      </c>
      <c r="I617" s="42">
        <v>1</v>
      </c>
      <c r="J617" s="42">
        <v>2.1404109589041096</v>
      </c>
      <c r="K617" s="42">
        <v>0.984375</v>
      </c>
      <c r="L617" s="42">
        <v>0.4672</v>
      </c>
      <c r="M617">
        <v>1</v>
      </c>
    </row>
    <row r="618" spans="3:13" x14ac:dyDescent="0.15">
      <c r="C618" s="43">
        <v>585</v>
      </c>
      <c r="D618" s="42">
        <v>585</v>
      </c>
      <c r="E618" s="42">
        <v>0.46800000000000003</v>
      </c>
      <c r="F618" s="42">
        <v>126</v>
      </c>
      <c r="G618" s="42">
        <v>59.904000000000003</v>
      </c>
      <c r="H618" s="42">
        <v>2.1033653846153846</v>
      </c>
      <c r="I618" s="42">
        <v>1</v>
      </c>
      <c r="J618" s="42">
        <v>2.1367521367521367</v>
      </c>
      <c r="K618" s="42">
        <v>0.984375</v>
      </c>
      <c r="L618" s="42">
        <v>0.46800000000000003</v>
      </c>
      <c r="M618">
        <v>1</v>
      </c>
    </row>
    <row r="619" spans="3:13" x14ac:dyDescent="0.15">
      <c r="C619" s="43">
        <v>586</v>
      </c>
      <c r="D619" s="42">
        <v>586</v>
      </c>
      <c r="E619" s="42">
        <v>0.46879999999999999</v>
      </c>
      <c r="F619" s="42">
        <v>126</v>
      </c>
      <c r="G619" s="42">
        <v>60.006400000000006</v>
      </c>
      <c r="H619" s="42">
        <v>2.0997760238907852</v>
      </c>
      <c r="I619" s="42">
        <v>1</v>
      </c>
      <c r="J619" s="42">
        <v>2.1331058020477816</v>
      </c>
      <c r="K619" s="42">
        <v>0.984375</v>
      </c>
      <c r="L619" s="42">
        <v>0.46879999999999999</v>
      </c>
      <c r="M619">
        <v>1</v>
      </c>
    </row>
    <row r="620" spans="3:13" x14ac:dyDescent="0.15">
      <c r="C620" s="43">
        <v>587</v>
      </c>
      <c r="D620" s="42">
        <v>587</v>
      </c>
      <c r="E620" s="42">
        <v>0.46960000000000002</v>
      </c>
      <c r="F620" s="42">
        <v>126</v>
      </c>
      <c r="G620" s="42">
        <v>60.108800000000002</v>
      </c>
      <c r="H620" s="42">
        <v>2.0961988926746167</v>
      </c>
      <c r="I620" s="42">
        <v>1</v>
      </c>
      <c r="J620" s="42">
        <v>2.1294718909710393</v>
      </c>
      <c r="K620" s="42">
        <v>0.984375</v>
      </c>
      <c r="L620" s="42">
        <v>0.46960000000000002</v>
      </c>
      <c r="M620">
        <v>1</v>
      </c>
    </row>
    <row r="621" spans="3:13" x14ac:dyDescent="0.15">
      <c r="C621" s="43">
        <v>588</v>
      </c>
      <c r="D621" s="42">
        <v>588</v>
      </c>
      <c r="E621" s="42">
        <v>0.47039999999999998</v>
      </c>
      <c r="F621" s="42">
        <v>126</v>
      </c>
      <c r="G621" s="42">
        <v>60.211200000000005</v>
      </c>
      <c r="H621" s="42">
        <v>2.0926339285714288</v>
      </c>
      <c r="I621" s="42">
        <v>1</v>
      </c>
      <c r="J621" s="42">
        <v>2.1258503401360547</v>
      </c>
      <c r="K621" s="42">
        <v>0.984375</v>
      </c>
      <c r="L621" s="42">
        <v>0.47039999999999998</v>
      </c>
      <c r="M621">
        <v>1</v>
      </c>
    </row>
    <row r="622" spans="3:13" x14ac:dyDescent="0.15">
      <c r="C622" s="43">
        <v>589</v>
      </c>
      <c r="D622" s="42">
        <v>589</v>
      </c>
      <c r="E622" s="42">
        <v>0.47120000000000001</v>
      </c>
      <c r="F622" s="42">
        <v>126</v>
      </c>
      <c r="G622" s="42">
        <v>60.313600000000001</v>
      </c>
      <c r="H622" s="42">
        <v>2.0890810696095077</v>
      </c>
      <c r="I622" s="42">
        <v>1</v>
      </c>
      <c r="J622" s="42">
        <v>2.1222410865874362</v>
      </c>
      <c r="K622" s="42">
        <v>0.984375</v>
      </c>
      <c r="L622" s="42">
        <v>0.47120000000000001</v>
      </c>
      <c r="M622">
        <v>1</v>
      </c>
    </row>
    <row r="623" spans="3:13" x14ac:dyDescent="0.15">
      <c r="C623" s="43">
        <v>590</v>
      </c>
      <c r="D623" s="42">
        <v>590</v>
      </c>
      <c r="E623" s="42">
        <v>0.47199999999999998</v>
      </c>
      <c r="F623" s="42">
        <v>126</v>
      </c>
      <c r="G623" s="42">
        <v>60.416000000000004</v>
      </c>
      <c r="H623" s="42">
        <v>2.0855402542372881</v>
      </c>
      <c r="I623" s="42">
        <v>1</v>
      </c>
      <c r="J623" s="42">
        <v>2.1186440677966103</v>
      </c>
      <c r="K623" s="42">
        <v>0.984375</v>
      </c>
      <c r="L623" s="42">
        <v>0.47199999999999998</v>
      </c>
      <c r="M623">
        <v>1</v>
      </c>
    </row>
    <row r="624" spans="3:13" x14ac:dyDescent="0.15">
      <c r="C624" s="43">
        <v>591</v>
      </c>
      <c r="D624" s="42">
        <v>591</v>
      </c>
      <c r="E624" s="42">
        <v>0.4728</v>
      </c>
      <c r="F624" s="42">
        <v>126</v>
      </c>
      <c r="G624" s="42">
        <v>60.5184</v>
      </c>
      <c r="H624" s="42">
        <v>2.0820114213197969</v>
      </c>
      <c r="I624" s="42">
        <v>1</v>
      </c>
      <c r="J624" s="42">
        <v>2.1150592216582065</v>
      </c>
      <c r="K624" s="42">
        <v>0.984375</v>
      </c>
      <c r="L624" s="42">
        <v>0.4728</v>
      </c>
      <c r="M624">
        <v>1</v>
      </c>
    </row>
    <row r="625" spans="3:13" x14ac:dyDescent="0.15">
      <c r="C625" s="43">
        <v>592</v>
      </c>
      <c r="D625" s="42">
        <v>592</v>
      </c>
      <c r="E625" s="42">
        <v>0.47360000000000002</v>
      </c>
      <c r="F625" s="42">
        <v>126</v>
      </c>
      <c r="G625" s="42">
        <v>60.620800000000003</v>
      </c>
      <c r="H625" s="42">
        <v>2.0784945101351351</v>
      </c>
      <c r="I625" s="42">
        <v>1</v>
      </c>
      <c r="J625" s="42">
        <v>2.1114864864864864</v>
      </c>
      <c r="K625" s="42">
        <v>0.984375</v>
      </c>
      <c r="L625" s="42">
        <v>0.47360000000000002</v>
      </c>
      <c r="M625">
        <v>1</v>
      </c>
    </row>
    <row r="626" spans="3:13" x14ac:dyDescent="0.15">
      <c r="C626" s="43">
        <v>593</v>
      </c>
      <c r="D626" s="42">
        <v>593</v>
      </c>
      <c r="E626" s="42">
        <v>0.47439999999999999</v>
      </c>
      <c r="F626" s="42">
        <v>126</v>
      </c>
      <c r="G626" s="42">
        <v>60.723200000000006</v>
      </c>
      <c r="H626" s="42">
        <v>2.0749894603709951</v>
      </c>
      <c r="I626" s="42">
        <v>1</v>
      </c>
      <c r="J626" s="42">
        <v>2.1079258010118043</v>
      </c>
      <c r="K626" s="42">
        <v>0.984375</v>
      </c>
      <c r="L626" s="42">
        <v>0.47439999999999999</v>
      </c>
      <c r="M626">
        <v>1</v>
      </c>
    </row>
    <row r="627" spans="3:13" x14ac:dyDescent="0.15">
      <c r="C627" s="43">
        <v>594</v>
      </c>
      <c r="D627" s="42">
        <v>594</v>
      </c>
      <c r="E627" s="42">
        <v>0.47520000000000001</v>
      </c>
      <c r="F627" s="42">
        <v>126</v>
      </c>
      <c r="G627" s="42">
        <v>60.825600000000001</v>
      </c>
      <c r="H627" s="42">
        <v>2.0714962121212119</v>
      </c>
      <c r="I627" s="42">
        <v>1</v>
      </c>
      <c r="J627" s="42">
        <v>2.1043771043771042</v>
      </c>
      <c r="K627" s="42">
        <v>0.984375</v>
      </c>
      <c r="L627" s="42">
        <v>0.47520000000000001</v>
      </c>
      <c r="M627">
        <v>1</v>
      </c>
    </row>
    <row r="628" spans="3:13" x14ac:dyDescent="0.15">
      <c r="C628" s="43">
        <v>595</v>
      </c>
      <c r="D628" s="42">
        <v>595</v>
      </c>
      <c r="E628" s="42">
        <v>0.47599999999999998</v>
      </c>
      <c r="F628" s="42">
        <v>126</v>
      </c>
      <c r="G628" s="42">
        <v>60.928000000000004</v>
      </c>
      <c r="H628" s="42">
        <v>2.0680147058823533</v>
      </c>
      <c r="I628" s="42">
        <v>1</v>
      </c>
      <c r="J628" s="42">
        <v>2.1008403361344539</v>
      </c>
      <c r="K628" s="42">
        <v>0.984375</v>
      </c>
      <c r="L628" s="42">
        <v>0.47599999999999998</v>
      </c>
      <c r="M628">
        <v>1</v>
      </c>
    </row>
    <row r="629" spans="3:13" x14ac:dyDescent="0.15">
      <c r="C629" s="43">
        <v>596</v>
      </c>
      <c r="D629" s="42">
        <v>596</v>
      </c>
      <c r="E629" s="42">
        <v>0.4768</v>
      </c>
      <c r="F629" s="42">
        <v>126</v>
      </c>
      <c r="G629" s="42">
        <v>61.0304</v>
      </c>
      <c r="H629" s="42">
        <v>2.0645448825503356</v>
      </c>
      <c r="I629" s="42">
        <v>1</v>
      </c>
      <c r="J629" s="42">
        <v>2.0973154362416109</v>
      </c>
      <c r="K629" s="42">
        <v>0.984375</v>
      </c>
      <c r="L629" s="42">
        <v>0.4768</v>
      </c>
      <c r="M629">
        <v>1</v>
      </c>
    </row>
    <row r="630" spans="3:13" x14ac:dyDescent="0.15">
      <c r="C630" s="43">
        <v>597</v>
      </c>
      <c r="D630" s="42">
        <v>597</v>
      </c>
      <c r="E630" s="42">
        <v>0.47760000000000002</v>
      </c>
      <c r="F630" s="42">
        <v>126</v>
      </c>
      <c r="G630" s="42">
        <v>61.132800000000003</v>
      </c>
      <c r="H630" s="42">
        <v>2.0610866834170851</v>
      </c>
      <c r="I630" s="42">
        <v>1</v>
      </c>
      <c r="J630" s="42">
        <v>2.0938023450586263</v>
      </c>
      <c r="K630" s="42">
        <v>0.984375</v>
      </c>
      <c r="L630" s="42">
        <v>0.47760000000000002</v>
      </c>
      <c r="M630">
        <v>1</v>
      </c>
    </row>
    <row r="631" spans="3:13" x14ac:dyDescent="0.15">
      <c r="C631" s="43">
        <v>598</v>
      </c>
      <c r="D631" s="42">
        <v>598</v>
      </c>
      <c r="E631" s="42">
        <v>0.47839999999999999</v>
      </c>
      <c r="F631" s="42">
        <v>126</v>
      </c>
      <c r="G631" s="42">
        <v>61.235200000000006</v>
      </c>
      <c r="H631" s="42">
        <v>2.0576400501672243</v>
      </c>
      <c r="I631" s="42">
        <v>1</v>
      </c>
      <c r="J631" s="42">
        <v>2.0903010033444818</v>
      </c>
      <c r="K631" s="42">
        <v>0.984375</v>
      </c>
      <c r="L631" s="42">
        <v>0.47839999999999999</v>
      </c>
      <c r="M631">
        <v>1</v>
      </c>
    </row>
    <row r="632" spans="3:13" x14ac:dyDescent="0.15">
      <c r="C632" s="43">
        <v>599</v>
      </c>
      <c r="D632" s="42">
        <v>599</v>
      </c>
      <c r="E632" s="42">
        <v>0.47920000000000001</v>
      </c>
      <c r="F632" s="42">
        <v>126</v>
      </c>
      <c r="G632" s="42">
        <v>61.337600000000002</v>
      </c>
      <c r="H632" s="42">
        <v>2.0542049248747913</v>
      </c>
      <c r="I632" s="42">
        <v>1</v>
      </c>
      <c r="J632" s="42">
        <v>2.0868113522537564</v>
      </c>
      <c r="K632" s="42">
        <v>0.984375</v>
      </c>
      <c r="L632" s="42">
        <v>0.47920000000000001</v>
      </c>
      <c r="M632">
        <v>1</v>
      </c>
    </row>
    <row r="633" spans="3:13" x14ac:dyDescent="0.15">
      <c r="C633" s="43">
        <v>600</v>
      </c>
      <c r="D633" s="42">
        <v>600</v>
      </c>
      <c r="E633" s="42">
        <v>0.48</v>
      </c>
      <c r="F633" s="42">
        <v>126</v>
      </c>
      <c r="G633" s="42">
        <v>61.440000000000005</v>
      </c>
      <c r="H633" s="42">
        <v>2.05078125</v>
      </c>
      <c r="I633" s="42">
        <v>1</v>
      </c>
      <c r="J633" s="42">
        <v>2.0833333333333335</v>
      </c>
      <c r="K633" s="42">
        <v>0.984375</v>
      </c>
      <c r="L633" s="42">
        <v>0.48</v>
      </c>
      <c r="M633">
        <v>1</v>
      </c>
    </row>
    <row r="634" spans="3:13" x14ac:dyDescent="0.15">
      <c r="C634" s="43">
        <v>601</v>
      </c>
      <c r="D634" s="42">
        <v>601</v>
      </c>
      <c r="E634" s="42">
        <v>0.48080000000000001</v>
      </c>
      <c r="F634" s="42">
        <v>126</v>
      </c>
      <c r="G634" s="42">
        <v>61.542400000000001</v>
      </c>
      <c r="H634" s="42">
        <v>2.0473689683860234</v>
      </c>
      <c r="I634" s="42">
        <v>1</v>
      </c>
      <c r="J634" s="42">
        <v>2.0798668885191347</v>
      </c>
      <c r="K634" s="42">
        <v>0.984375</v>
      </c>
      <c r="L634" s="42">
        <v>0.48080000000000001</v>
      </c>
      <c r="M634">
        <v>1</v>
      </c>
    </row>
    <row r="635" spans="3:13" x14ac:dyDescent="0.15">
      <c r="C635" s="43">
        <v>602</v>
      </c>
      <c r="D635" s="42">
        <v>602</v>
      </c>
      <c r="E635" s="42">
        <v>0.48159999999999997</v>
      </c>
      <c r="F635" s="42">
        <v>126</v>
      </c>
      <c r="G635" s="42">
        <v>61.644800000000004</v>
      </c>
      <c r="H635" s="42">
        <v>2.0439680232558142</v>
      </c>
      <c r="I635" s="42">
        <v>1</v>
      </c>
      <c r="J635" s="42">
        <v>2.0764119601328903</v>
      </c>
      <c r="K635" s="42">
        <v>0.984375</v>
      </c>
      <c r="L635" s="42">
        <v>0.48159999999999997</v>
      </c>
      <c r="M635">
        <v>1</v>
      </c>
    </row>
    <row r="636" spans="3:13" x14ac:dyDescent="0.15">
      <c r="C636" s="43">
        <v>603</v>
      </c>
      <c r="D636" s="42">
        <v>603</v>
      </c>
      <c r="E636" s="42">
        <v>0.4824</v>
      </c>
      <c r="F636" s="42">
        <v>126</v>
      </c>
      <c r="G636" s="42">
        <v>61.747199999999999</v>
      </c>
      <c r="H636" s="42">
        <v>2.0405783582089554</v>
      </c>
      <c r="I636" s="42">
        <v>1</v>
      </c>
      <c r="J636" s="42">
        <v>2.0729684908789388</v>
      </c>
      <c r="K636" s="42">
        <v>0.984375</v>
      </c>
      <c r="L636" s="42">
        <v>0.4824</v>
      </c>
      <c r="M636">
        <v>1</v>
      </c>
    </row>
    <row r="637" spans="3:13" x14ac:dyDescent="0.15">
      <c r="C637" s="43">
        <v>604</v>
      </c>
      <c r="D637" s="42">
        <v>604</v>
      </c>
      <c r="E637" s="42">
        <v>0.48320000000000002</v>
      </c>
      <c r="F637" s="42">
        <v>126</v>
      </c>
      <c r="G637" s="42">
        <v>61.849600000000002</v>
      </c>
      <c r="H637" s="42">
        <v>2.0371999172185431</v>
      </c>
      <c r="I637" s="42">
        <v>1</v>
      </c>
      <c r="J637" s="42">
        <v>2.0695364238410594</v>
      </c>
      <c r="K637" s="42">
        <v>0.984375</v>
      </c>
      <c r="L637" s="42">
        <v>0.48320000000000002</v>
      </c>
      <c r="M637">
        <v>1</v>
      </c>
    </row>
    <row r="638" spans="3:13" x14ac:dyDescent="0.15">
      <c r="C638" s="43">
        <v>605</v>
      </c>
      <c r="D638" s="42">
        <v>605</v>
      </c>
      <c r="E638" s="42">
        <v>0.48399999999999999</v>
      </c>
      <c r="F638" s="42">
        <v>126</v>
      </c>
      <c r="G638" s="42">
        <v>61.952000000000005</v>
      </c>
      <c r="H638" s="42">
        <v>2.0338326446280992</v>
      </c>
      <c r="I638" s="42">
        <v>1</v>
      </c>
      <c r="J638" s="42">
        <v>2.0661157024793391</v>
      </c>
      <c r="K638" s="42">
        <v>0.984375</v>
      </c>
      <c r="L638" s="42">
        <v>0.48399999999999999</v>
      </c>
      <c r="M638">
        <v>1</v>
      </c>
    </row>
    <row r="639" spans="3:13" x14ac:dyDescent="0.15">
      <c r="C639" s="43">
        <v>606</v>
      </c>
      <c r="D639" s="42">
        <v>606</v>
      </c>
      <c r="E639" s="42">
        <v>0.48480000000000001</v>
      </c>
      <c r="F639" s="42">
        <v>126</v>
      </c>
      <c r="G639" s="42">
        <v>62.054400000000001</v>
      </c>
      <c r="H639" s="42">
        <v>2.0304764851485149</v>
      </c>
      <c r="I639" s="42">
        <v>1</v>
      </c>
      <c r="J639" s="42">
        <v>2.0627062706270625</v>
      </c>
      <c r="K639" s="42">
        <v>0.984375</v>
      </c>
      <c r="L639" s="42">
        <v>0.48480000000000001</v>
      </c>
      <c r="M639">
        <v>1</v>
      </c>
    </row>
    <row r="640" spans="3:13" x14ac:dyDescent="0.15">
      <c r="C640" s="43">
        <v>607</v>
      </c>
      <c r="D640" s="42">
        <v>607</v>
      </c>
      <c r="E640" s="42">
        <v>0.48559999999999998</v>
      </c>
      <c r="F640" s="42">
        <v>126</v>
      </c>
      <c r="G640" s="42">
        <v>62.156800000000004</v>
      </c>
      <c r="H640" s="42">
        <v>2.0271313838550249</v>
      </c>
      <c r="I640" s="42">
        <v>1</v>
      </c>
      <c r="J640" s="42">
        <v>2.0593080724876445</v>
      </c>
      <c r="K640" s="42">
        <v>0.984375</v>
      </c>
      <c r="L640" s="42">
        <v>0.48559999999999998</v>
      </c>
      <c r="M640">
        <v>1</v>
      </c>
    </row>
    <row r="641" spans="3:13" x14ac:dyDescent="0.15">
      <c r="C641" s="43">
        <v>608</v>
      </c>
      <c r="D641" s="42">
        <v>608</v>
      </c>
      <c r="E641" s="42">
        <v>0.4864</v>
      </c>
      <c r="F641" s="42">
        <v>126</v>
      </c>
      <c r="G641" s="42">
        <v>62.2592</v>
      </c>
      <c r="H641" s="42">
        <v>2.0237972861842106</v>
      </c>
      <c r="I641" s="42">
        <v>1</v>
      </c>
      <c r="J641" s="42">
        <v>2.0559210526315788</v>
      </c>
      <c r="K641" s="42">
        <v>0.984375</v>
      </c>
      <c r="L641" s="42">
        <v>0.4864</v>
      </c>
      <c r="M641">
        <v>1</v>
      </c>
    </row>
    <row r="642" spans="3:13" x14ac:dyDescent="0.15">
      <c r="C642" s="43">
        <v>609</v>
      </c>
      <c r="D642" s="42">
        <v>609</v>
      </c>
      <c r="E642" s="42">
        <v>0.48720000000000002</v>
      </c>
      <c r="F642" s="42">
        <v>126</v>
      </c>
      <c r="G642" s="42">
        <v>62.361600000000003</v>
      </c>
      <c r="H642" s="42">
        <v>2.0204741379310343</v>
      </c>
      <c r="I642" s="42">
        <v>1</v>
      </c>
      <c r="J642" s="42">
        <v>2.0525451559934318</v>
      </c>
      <c r="K642" s="42">
        <v>0.984375</v>
      </c>
      <c r="L642" s="42">
        <v>0.48720000000000002</v>
      </c>
      <c r="M642">
        <v>1</v>
      </c>
    </row>
    <row r="643" spans="3:13" x14ac:dyDescent="0.15">
      <c r="C643" s="43">
        <v>610</v>
      </c>
      <c r="D643" s="42">
        <v>610</v>
      </c>
      <c r="E643" s="42">
        <v>0.48799999999999999</v>
      </c>
      <c r="F643" s="42">
        <v>126</v>
      </c>
      <c r="G643" s="42">
        <v>62.464000000000006</v>
      </c>
      <c r="H643" s="42">
        <v>2.0171618852459017</v>
      </c>
      <c r="I643" s="42">
        <v>1</v>
      </c>
      <c r="J643" s="42">
        <v>2.0491803278688523</v>
      </c>
      <c r="K643" s="42">
        <v>0.984375</v>
      </c>
      <c r="L643" s="42">
        <v>0.48799999999999999</v>
      </c>
      <c r="M643">
        <v>1</v>
      </c>
    </row>
    <row r="644" spans="3:13" x14ac:dyDescent="0.15">
      <c r="C644" s="43">
        <v>611</v>
      </c>
      <c r="D644" s="42">
        <v>611</v>
      </c>
      <c r="E644" s="42">
        <v>0.48880000000000001</v>
      </c>
      <c r="F644" s="42">
        <v>126</v>
      </c>
      <c r="G644" s="42">
        <v>62.566400000000002</v>
      </c>
      <c r="H644" s="42">
        <v>2.013860474631751</v>
      </c>
      <c r="I644" s="42">
        <v>1</v>
      </c>
      <c r="J644" s="42">
        <v>2.0458265139116203</v>
      </c>
      <c r="K644" s="42">
        <v>0.984375</v>
      </c>
      <c r="L644" s="42">
        <v>0.48880000000000001</v>
      </c>
      <c r="M644">
        <v>1</v>
      </c>
    </row>
    <row r="645" spans="3:13" x14ac:dyDescent="0.15">
      <c r="C645" s="43">
        <v>612</v>
      </c>
      <c r="D645" s="42">
        <v>612</v>
      </c>
      <c r="E645" s="42">
        <v>0.48959999999999998</v>
      </c>
      <c r="F645" s="42">
        <v>126</v>
      </c>
      <c r="G645" s="42">
        <v>62.668800000000005</v>
      </c>
      <c r="H645" s="42">
        <v>2.0105698529411766</v>
      </c>
      <c r="I645" s="42">
        <v>1</v>
      </c>
      <c r="J645" s="42">
        <v>2.0424836601307192</v>
      </c>
      <c r="K645" s="42">
        <v>0.984375</v>
      </c>
      <c r="L645" s="42">
        <v>0.48959999999999998</v>
      </c>
      <c r="M645">
        <v>1</v>
      </c>
    </row>
    <row r="646" spans="3:13" x14ac:dyDescent="0.15">
      <c r="C646" s="43">
        <v>613</v>
      </c>
      <c r="D646" s="42">
        <v>613</v>
      </c>
      <c r="E646" s="42">
        <v>0.4904</v>
      </c>
      <c r="F646" s="42">
        <v>126</v>
      </c>
      <c r="G646" s="42">
        <v>62.7712</v>
      </c>
      <c r="H646" s="42">
        <v>2.0072899673735725</v>
      </c>
      <c r="I646" s="42">
        <v>1</v>
      </c>
      <c r="J646" s="42">
        <v>2.0391517128874388</v>
      </c>
      <c r="K646" s="42">
        <v>0.984375</v>
      </c>
      <c r="L646" s="42">
        <v>0.4904</v>
      </c>
      <c r="M646">
        <v>1</v>
      </c>
    </row>
    <row r="647" spans="3:13" x14ac:dyDescent="0.15">
      <c r="C647" s="43">
        <v>614</v>
      </c>
      <c r="D647" s="42">
        <v>614</v>
      </c>
      <c r="E647" s="42">
        <v>0.49120000000000003</v>
      </c>
      <c r="F647" s="42">
        <v>126</v>
      </c>
      <c r="G647" s="42">
        <v>62.873600000000003</v>
      </c>
      <c r="H647" s="42">
        <v>2.0040207654723128</v>
      </c>
      <c r="I647" s="42">
        <v>1</v>
      </c>
      <c r="J647" s="42">
        <v>2.0358306188925082</v>
      </c>
      <c r="K647" s="42">
        <v>0.984375</v>
      </c>
      <c r="L647" s="42">
        <v>0.49120000000000003</v>
      </c>
      <c r="M647">
        <v>1</v>
      </c>
    </row>
    <row r="648" spans="3:13" x14ac:dyDescent="0.15">
      <c r="C648" s="43">
        <v>615</v>
      </c>
      <c r="D648" s="42">
        <v>615</v>
      </c>
      <c r="E648" s="42">
        <v>0.49199999999999999</v>
      </c>
      <c r="F648" s="42">
        <v>126</v>
      </c>
      <c r="G648" s="42">
        <v>62.976000000000006</v>
      </c>
      <c r="H648" s="42">
        <v>2.0007621951219514</v>
      </c>
      <c r="I648" s="42">
        <v>1</v>
      </c>
      <c r="J648" s="42">
        <v>2.0325203252032522</v>
      </c>
      <c r="K648" s="42">
        <v>0.984375</v>
      </c>
      <c r="L648" s="42">
        <v>0.49199999999999999</v>
      </c>
      <c r="M648">
        <v>1</v>
      </c>
    </row>
    <row r="649" spans="3:13" x14ac:dyDescent="0.15">
      <c r="C649" s="43">
        <v>616</v>
      </c>
      <c r="D649" s="42">
        <v>616</v>
      </c>
      <c r="E649" s="42">
        <v>0.49280000000000002</v>
      </c>
      <c r="F649" s="42">
        <v>126</v>
      </c>
      <c r="G649" s="42">
        <v>63.078400000000002</v>
      </c>
      <c r="H649" s="42">
        <v>1.9975142045454546</v>
      </c>
      <c r="I649" s="42">
        <v>1</v>
      </c>
      <c r="J649" s="42">
        <v>2.029220779220779</v>
      </c>
      <c r="K649" s="42">
        <v>0.984375</v>
      </c>
      <c r="L649" s="42">
        <v>0.49280000000000002</v>
      </c>
      <c r="M649">
        <v>1</v>
      </c>
    </row>
    <row r="650" spans="3:13" x14ac:dyDescent="0.15">
      <c r="C650" s="43">
        <v>617</v>
      </c>
      <c r="D650" s="42">
        <v>617</v>
      </c>
      <c r="E650" s="42">
        <v>0.49359999999999998</v>
      </c>
      <c r="F650" s="42">
        <v>126</v>
      </c>
      <c r="G650" s="42">
        <v>63.180800000000005</v>
      </c>
      <c r="H650" s="42">
        <v>1.9942767423014587</v>
      </c>
      <c r="I650" s="42">
        <v>1</v>
      </c>
      <c r="J650" s="42">
        <v>2.025931928687196</v>
      </c>
      <c r="K650" s="42">
        <v>0.984375</v>
      </c>
      <c r="L650" s="42">
        <v>0.49359999999999998</v>
      </c>
      <c r="M650">
        <v>1</v>
      </c>
    </row>
    <row r="651" spans="3:13" x14ac:dyDescent="0.15">
      <c r="C651" s="43">
        <v>618</v>
      </c>
      <c r="D651" s="42">
        <v>618</v>
      </c>
      <c r="E651" s="42">
        <v>0.49440000000000001</v>
      </c>
      <c r="F651" s="42">
        <v>126</v>
      </c>
      <c r="G651" s="42">
        <v>63.283200000000001</v>
      </c>
      <c r="H651" s="42">
        <v>1.9910497572815533</v>
      </c>
      <c r="I651" s="42">
        <v>1</v>
      </c>
      <c r="J651" s="42">
        <v>2.0226537216828477</v>
      </c>
      <c r="K651" s="42">
        <v>0.984375</v>
      </c>
      <c r="L651" s="42">
        <v>0.49440000000000001</v>
      </c>
      <c r="M651">
        <v>1</v>
      </c>
    </row>
    <row r="652" spans="3:13" x14ac:dyDescent="0.15">
      <c r="C652" s="43">
        <v>619</v>
      </c>
      <c r="D652" s="42">
        <v>619</v>
      </c>
      <c r="E652" s="42">
        <v>0.49519999999999997</v>
      </c>
      <c r="F652" s="42">
        <v>126</v>
      </c>
      <c r="G652" s="42">
        <v>63.385600000000004</v>
      </c>
      <c r="H652" s="42">
        <v>1.987833198707593</v>
      </c>
      <c r="I652" s="42">
        <v>1</v>
      </c>
      <c r="J652" s="42">
        <v>2.0193861066235868</v>
      </c>
      <c r="K652" s="42">
        <v>0.984375</v>
      </c>
      <c r="L652" s="42">
        <v>0.49519999999999997</v>
      </c>
      <c r="M652">
        <v>1</v>
      </c>
    </row>
    <row r="653" spans="3:13" x14ac:dyDescent="0.15">
      <c r="C653" s="43">
        <v>620</v>
      </c>
      <c r="D653" s="42">
        <v>620</v>
      </c>
      <c r="E653" s="42">
        <v>0.496</v>
      </c>
      <c r="F653" s="42">
        <v>126</v>
      </c>
      <c r="G653" s="42">
        <v>63.488</v>
      </c>
      <c r="H653" s="42">
        <v>1.9846270161290323</v>
      </c>
      <c r="I653" s="42">
        <v>1</v>
      </c>
      <c r="J653" s="42">
        <v>2.0161290322580645</v>
      </c>
      <c r="K653" s="42">
        <v>0.984375</v>
      </c>
      <c r="L653" s="42">
        <v>0.496</v>
      </c>
      <c r="M653">
        <v>1</v>
      </c>
    </row>
    <row r="654" spans="3:13" x14ac:dyDescent="0.15">
      <c r="C654" s="43">
        <v>621</v>
      </c>
      <c r="D654" s="42">
        <v>621</v>
      </c>
      <c r="E654" s="42">
        <v>0.49680000000000002</v>
      </c>
      <c r="F654" s="42">
        <v>126</v>
      </c>
      <c r="G654" s="42">
        <v>63.590400000000002</v>
      </c>
      <c r="H654" s="42">
        <v>1.9814311594202898</v>
      </c>
      <c r="I654" s="42">
        <v>1</v>
      </c>
      <c r="J654" s="42">
        <v>2.0128824476650564</v>
      </c>
      <c r="K654" s="42">
        <v>0.984375</v>
      </c>
      <c r="L654" s="42">
        <v>0.49680000000000002</v>
      </c>
      <c r="M654">
        <v>1</v>
      </c>
    </row>
    <row r="655" spans="3:13" x14ac:dyDescent="0.15">
      <c r="C655" s="43">
        <v>622</v>
      </c>
      <c r="D655" s="42">
        <v>622</v>
      </c>
      <c r="E655" s="42">
        <v>0.49759999999999999</v>
      </c>
      <c r="F655" s="42">
        <v>126</v>
      </c>
      <c r="G655" s="42">
        <v>63.692800000000005</v>
      </c>
      <c r="H655" s="42">
        <v>1.978245578778135</v>
      </c>
      <c r="I655" s="42">
        <v>1</v>
      </c>
      <c r="J655" s="42">
        <v>2.009646302250804</v>
      </c>
      <c r="K655" s="42">
        <v>0.984375</v>
      </c>
      <c r="L655" s="42">
        <v>0.49759999999999999</v>
      </c>
      <c r="M655">
        <v>1</v>
      </c>
    </row>
    <row r="656" spans="3:13" x14ac:dyDescent="0.15">
      <c r="C656" s="43">
        <v>623</v>
      </c>
      <c r="D656" s="42">
        <v>623</v>
      </c>
      <c r="E656" s="42">
        <v>0.49840000000000001</v>
      </c>
      <c r="F656" s="42">
        <v>126</v>
      </c>
      <c r="G656" s="42">
        <v>63.795200000000001</v>
      </c>
      <c r="H656" s="42">
        <v>1.975070224719101</v>
      </c>
      <c r="I656" s="42">
        <v>1</v>
      </c>
      <c r="J656" s="42">
        <v>2.0064205457463884</v>
      </c>
      <c r="K656" s="42">
        <v>0.984375</v>
      </c>
      <c r="L656" s="42">
        <v>0.49840000000000001</v>
      </c>
      <c r="M656">
        <v>1</v>
      </c>
    </row>
    <row r="657" spans="3:13" x14ac:dyDescent="0.15">
      <c r="C657" s="43">
        <v>624</v>
      </c>
      <c r="D657" s="42">
        <v>624</v>
      </c>
      <c r="E657" s="42">
        <v>0.49919999999999998</v>
      </c>
      <c r="F657" s="42">
        <v>126</v>
      </c>
      <c r="G657" s="42">
        <v>63.897600000000004</v>
      </c>
      <c r="H657" s="42">
        <v>1.9719050480769231</v>
      </c>
      <c r="I657" s="42">
        <v>1</v>
      </c>
      <c r="J657" s="42">
        <v>2.0032051282051282</v>
      </c>
      <c r="K657" s="42">
        <v>0.984375</v>
      </c>
      <c r="L657" s="42">
        <v>0.49919999999999998</v>
      </c>
      <c r="M657">
        <v>1</v>
      </c>
    </row>
    <row r="658" spans="3:13" x14ac:dyDescent="0.15">
      <c r="C658" s="43">
        <v>625</v>
      </c>
      <c r="D658" s="42">
        <v>625</v>
      </c>
      <c r="E658" s="42">
        <v>0.5</v>
      </c>
      <c r="F658" s="42">
        <v>126</v>
      </c>
      <c r="G658" s="42">
        <v>64</v>
      </c>
      <c r="H658" s="42">
        <v>1.96875</v>
      </c>
      <c r="I658" s="42">
        <v>1</v>
      </c>
      <c r="J658" s="42">
        <v>2</v>
      </c>
      <c r="K658" s="42">
        <v>0.984375</v>
      </c>
      <c r="L658" s="42">
        <v>0.5</v>
      </c>
      <c r="M658">
        <v>1</v>
      </c>
    </row>
    <row r="659" spans="3:13" x14ac:dyDescent="0.15">
      <c r="C659" s="43">
        <v>626</v>
      </c>
      <c r="D659" s="42">
        <v>626</v>
      </c>
      <c r="E659" s="42">
        <v>0.50080000000000002</v>
      </c>
      <c r="F659" s="42">
        <v>126</v>
      </c>
      <c r="G659" s="42">
        <v>64.102400000000003</v>
      </c>
      <c r="H659" s="42">
        <v>1.9656050319488818</v>
      </c>
      <c r="I659" s="42">
        <v>1</v>
      </c>
      <c r="J659" s="42">
        <v>1.9968051118210861</v>
      </c>
      <c r="K659" s="42">
        <v>0.984375</v>
      </c>
      <c r="L659" s="42">
        <v>0.50080000000000002</v>
      </c>
      <c r="M659">
        <v>1</v>
      </c>
    </row>
    <row r="660" spans="3:13" x14ac:dyDescent="0.15">
      <c r="C660" s="43">
        <v>627</v>
      </c>
      <c r="D660" s="42">
        <v>627</v>
      </c>
      <c r="E660" s="42">
        <v>0.50160000000000005</v>
      </c>
      <c r="F660" s="42">
        <v>126</v>
      </c>
      <c r="G660" s="42">
        <v>64.204800000000006</v>
      </c>
      <c r="H660" s="42">
        <v>1.9624700956937797</v>
      </c>
      <c r="I660" s="42">
        <v>1</v>
      </c>
      <c r="J660" s="42">
        <v>1.9936204146730461</v>
      </c>
      <c r="K660" s="42">
        <v>0.984375</v>
      </c>
      <c r="L660" s="42">
        <v>0.50160000000000005</v>
      </c>
      <c r="M660">
        <v>1</v>
      </c>
    </row>
    <row r="661" spans="3:13" x14ac:dyDescent="0.15">
      <c r="C661" s="43">
        <v>628</v>
      </c>
      <c r="D661" s="42">
        <v>628</v>
      </c>
      <c r="E661" s="42">
        <v>0.50239999999999996</v>
      </c>
      <c r="F661" s="42">
        <v>126</v>
      </c>
      <c r="G661" s="42">
        <v>64.307200000000009</v>
      </c>
      <c r="H661" s="42">
        <v>1.9593451433121021</v>
      </c>
      <c r="I661" s="42">
        <v>1</v>
      </c>
      <c r="J661" s="42">
        <v>1.9904458598726116</v>
      </c>
      <c r="K661" s="42">
        <v>0.984375</v>
      </c>
      <c r="L661" s="42">
        <v>0.50239999999999996</v>
      </c>
      <c r="M661">
        <v>1</v>
      </c>
    </row>
    <row r="662" spans="3:13" x14ac:dyDescent="0.15">
      <c r="C662" s="43">
        <v>629</v>
      </c>
      <c r="D662" s="42">
        <v>629</v>
      </c>
      <c r="E662" s="42">
        <v>0.50319999999999998</v>
      </c>
      <c r="F662" s="42">
        <v>126</v>
      </c>
      <c r="G662" s="42">
        <v>64.409599999999998</v>
      </c>
      <c r="H662" s="42">
        <v>1.9562301271860096</v>
      </c>
      <c r="I662" s="42">
        <v>1</v>
      </c>
      <c r="J662" s="42">
        <v>1.9872813990461049</v>
      </c>
      <c r="K662" s="42">
        <v>0.984375</v>
      </c>
      <c r="L662" s="42">
        <v>0.50319999999999998</v>
      </c>
      <c r="M662">
        <v>1</v>
      </c>
    </row>
    <row r="663" spans="3:13" x14ac:dyDescent="0.15">
      <c r="C663" s="43">
        <v>630</v>
      </c>
      <c r="D663" s="42">
        <v>630</v>
      </c>
      <c r="E663" s="42">
        <v>0.504</v>
      </c>
      <c r="F663" s="42">
        <v>126</v>
      </c>
      <c r="G663" s="42">
        <v>64.512</v>
      </c>
      <c r="H663" s="42">
        <v>1.953125</v>
      </c>
      <c r="I663" s="42">
        <v>1</v>
      </c>
      <c r="J663" s="42">
        <v>1.9841269841269842</v>
      </c>
      <c r="K663" s="42">
        <v>0.984375</v>
      </c>
      <c r="L663" s="42">
        <v>0.504</v>
      </c>
      <c r="M663">
        <v>1</v>
      </c>
    </row>
    <row r="664" spans="3:13" x14ac:dyDescent="0.15">
      <c r="C664" s="43">
        <v>631</v>
      </c>
      <c r="D664" s="42">
        <v>631</v>
      </c>
      <c r="E664" s="42">
        <v>0.50480000000000003</v>
      </c>
      <c r="F664" s="42">
        <v>126</v>
      </c>
      <c r="G664" s="42">
        <v>64.614400000000003</v>
      </c>
      <c r="H664" s="42">
        <v>1.9500297147385102</v>
      </c>
      <c r="I664" s="42">
        <v>1</v>
      </c>
      <c r="J664" s="42">
        <v>1.9809825673534072</v>
      </c>
      <c r="K664" s="42">
        <v>0.984375</v>
      </c>
      <c r="L664" s="42">
        <v>0.50480000000000003</v>
      </c>
      <c r="M664">
        <v>1</v>
      </c>
    </row>
    <row r="665" spans="3:13" x14ac:dyDescent="0.15">
      <c r="C665" s="43">
        <v>632</v>
      </c>
      <c r="D665" s="42">
        <v>632</v>
      </c>
      <c r="E665" s="42">
        <v>0.50560000000000005</v>
      </c>
      <c r="F665" s="42">
        <v>126</v>
      </c>
      <c r="G665" s="42">
        <v>64.716800000000006</v>
      </c>
      <c r="H665" s="42">
        <v>1.9469442246835442</v>
      </c>
      <c r="I665" s="42">
        <v>1</v>
      </c>
      <c r="J665" s="42">
        <v>1.9778481012658227</v>
      </c>
      <c r="K665" s="42">
        <v>0.984375</v>
      </c>
      <c r="L665" s="42">
        <v>0.50560000000000005</v>
      </c>
      <c r="M665">
        <v>1</v>
      </c>
    </row>
    <row r="666" spans="3:13" x14ac:dyDescent="0.15">
      <c r="C666" s="43">
        <v>633</v>
      </c>
      <c r="D666" s="42">
        <v>633</v>
      </c>
      <c r="E666" s="42">
        <v>0.50639999999999996</v>
      </c>
      <c r="F666" s="42">
        <v>126</v>
      </c>
      <c r="G666" s="42">
        <v>64.819200000000009</v>
      </c>
      <c r="H666" s="42">
        <v>1.9438684834123223</v>
      </c>
      <c r="I666" s="42">
        <v>1</v>
      </c>
      <c r="J666" s="42">
        <v>1.9747235387045816</v>
      </c>
      <c r="K666" s="42">
        <v>0.984375</v>
      </c>
      <c r="L666" s="42">
        <v>0.50639999999999996</v>
      </c>
      <c r="M666">
        <v>1</v>
      </c>
    </row>
    <row r="667" spans="3:13" x14ac:dyDescent="0.15">
      <c r="C667" s="43">
        <v>634</v>
      </c>
      <c r="D667" s="42">
        <v>634</v>
      </c>
      <c r="E667" s="42">
        <v>0.50719999999999998</v>
      </c>
      <c r="F667" s="42">
        <v>126</v>
      </c>
      <c r="G667" s="42">
        <v>64.921599999999998</v>
      </c>
      <c r="H667" s="42">
        <v>1.9408024447949528</v>
      </c>
      <c r="I667" s="42">
        <v>1</v>
      </c>
      <c r="J667" s="42">
        <v>1.9716088328075709</v>
      </c>
      <c r="K667" s="42">
        <v>0.984375</v>
      </c>
      <c r="L667" s="42">
        <v>0.50719999999999998</v>
      </c>
      <c r="M667">
        <v>1</v>
      </c>
    </row>
    <row r="668" spans="3:13" x14ac:dyDescent="0.15">
      <c r="C668" s="43">
        <v>635</v>
      </c>
      <c r="D668" s="42">
        <v>635</v>
      </c>
      <c r="E668" s="42">
        <v>0.50800000000000001</v>
      </c>
      <c r="F668" s="42">
        <v>126</v>
      </c>
      <c r="G668" s="42">
        <v>65.024000000000001</v>
      </c>
      <c r="H668" s="42">
        <v>1.9377460629921259</v>
      </c>
      <c r="I668" s="42">
        <v>1</v>
      </c>
      <c r="J668" s="42">
        <v>1.9685039370078741</v>
      </c>
      <c r="K668" s="42">
        <v>0.984375</v>
      </c>
      <c r="L668" s="42">
        <v>0.50800000000000001</v>
      </c>
      <c r="M668">
        <v>1</v>
      </c>
    </row>
    <row r="669" spans="3:13" x14ac:dyDescent="0.15">
      <c r="C669" s="43">
        <v>636</v>
      </c>
      <c r="D669" s="42">
        <v>636</v>
      </c>
      <c r="E669" s="42">
        <v>0.50880000000000003</v>
      </c>
      <c r="F669" s="42">
        <v>126</v>
      </c>
      <c r="G669" s="42">
        <v>65.126400000000004</v>
      </c>
      <c r="H669" s="42">
        <v>1.9346992924528301</v>
      </c>
      <c r="I669" s="42">
        <v>1</v>
      </c>
      <c r="J669" s="42">
        <v>1.9654088050314464</v>
      </c>
      <c r="K669" s="42">
        <v>0.984375</v>
      </c>
      <c r="L669" s="42">
        <v>0.50880000000000003</v>
      </c>
      <c r="M669">
        <v>1</v>
      </c>
    </row>
    <row r="670" spans="3:13" x14ac:dyDescent="0.15">
      <c r="C670" s="43">
        <v>637</v>
      </c>
      <c r="D670" s="42">
        <v>637</v>
      </c>
      <c r="E670" s="42">
        <v>0.50960000000000005</v>
      </c>
      <c r="F670" s="42">
        <v>126</v>
      </c>
      <c r="G670" s="42">
        <v>65.228800000000007</v>
      </c>
      <c r="H670" s="42">
        <v>1.9316620879120878</v>
      </c>
      <c r="I670" s="42">
        <v>1</v>
      </c>
      <c r="J670" s="42">
        <v>1.9623233908948192</v>
      </c>
      <c r="K670" s="42">
        <v>0.984375</v>
      </c>
      <c r="L670" s="42">
        <v>0.50960000000000005</v>
      </c>
      <c r="M670">
        <v>1</v>
      </c>
    </row>
    <row r="671" spans="3:13" x14ac:dyDescent="0.15">
      <c r="C671" s="43">
        <v>638</v>
      </c>
      <c r="D671" s="42">
        <v>638</v>
      </c>
      <c r="E671" s="42">
        <v>0.51039999999999996</v>
      </c>
      <c r="F671" s="42">
        <v>126</v>
      </c>
      <c r="G671" s="42">
        <v>65.33120000000001</v>
      </c>
      <c r="H671" s="42">
        <v>1.9286344043887149</v>
      </c>
      <c r="I671" s="42">
        <v>1</v>
      </c>
      <c r="J671" s="42">
        <v>1.9592476489028214</v>
      </c>
      <c r="K671" s="42">
        <v>0.984375</v>
      </c>
      <c r="L671" s="42">
        <v>0.51039999999999996</v>
      </c>
      <c r="M671">
        <v>1</v>
      </c>
    </row>
    <row r="672" spans="3:13" x14ac:dyDescent="0.15">
      <c r="C672" s="43">
        <v>639</v>
      </c>
      <c r="D672" s="42">
        <v>639</v>
      </c>
      <c r="E672" s="42">
        <v>0.51119999999999999</v>
      </c>
      <c r="F672" s="42">
        <v>126</v>
      </c>
      <c r="G672" s="42">
        <v>65.433599999999998</v>
      </c>
      <c r="H672" s="42">
        <v>1.9256161971830987</v>
      </c>
      <c r="I672" s="42">
        <v>1</v>
      </c>
      <c r="J672" s="42">
        <v>1.9561815336463224</v>
      </c>
      <c r="K672" s="42">
        <v>0.984375</v>
      </c>
      <c r="L672" s="42">
        <v>0.51119999999999999</v>
      </c>
      <c r="M672">
        <v>1</v>
      </c>
    </row>
    <row r="673" spans="3:13" x14ac:dyDescent="0.15">
      <c r="C673" s="43">
        <v>640</v>
      </c>
      <c r="D673" s="42">
        <v>640</v>
      </c>
      <c r="E673" s="42">
        <v>0.51200000000000001</v>
      </c>
      <c r="F673" s="42">
        <v>126</v>
      </c>
      <c r="G673" s="42">
        <v>65.536000000000001</v>
      </c>
      <c r="H673" s="42">
        <v>1.922607421875</v>
      </c>
      <c r="I673" s="42">
        <v>1</v>
      </c>
      <c r="J673" s="42">
        <v>1.953125</v>
      </c>
      <c r="K673" s="42">
        <v>0.984375</v>
      </c>
      <c r="L673" s="42">
        <v>0.51200000000000001</v>
      </c>
      <c r="M673">
        <v>1</v>
      </c>
    </row>
    <row r="674" spans="3:13" x14ac:dyDescent="0.15">
      <c r="C674" s="43">
        <v>641</v>
      </c>
      <c r="D674" s="42">
        <v>641</v>
      </c>
      <c r="E674" s="42">
        <v>0.51280000000000003</v>
      </c>
      <c r="F674" s="42">
        <v>126</v>
      </c>
      <c r="G674" s="42">
        <v>65.638400000000004</v>
      </c>
      <c r="H674" s="42">
        <v>1.9196080343213728</v>
      </c>
      <c r="I674" s="42">
        <v>1</v>
      </c>
      <c r="J674" s="42">
        <v>1.9500780031201246</v>
      </c>
      <c r="K674" s="42">
        <v>0.984375</v>
      </c>
      <c r="L674" s="42">
        <v>0.51280000000000003</v>
      </c>
      <c r="M674">
        <v>1</v>
      </c>
    </row>
    <row r="675" spans="3:13" x14ac:dyDescent="0.15">
      <c r="C675" s="43">
        <v>642</v>
      </c>
      <c r="D675" s="42">
        <v>642</v>
      </c>
      <c r="E675" s="42">
        <v>0.51359999999999995</v>
      </c>
      <c r="F675" s="42">
        <v>126</v>
      </c>
      <c r="G675" s="42">
        <v>65.740800000000007</v>
      </c>
      <c r="H675" s="42">
        <v>1.9166179906542058</v>
      </c>
      <c r="I675" s="42">
        <v>1</v>
      </c>
      <c r="J675" s="42">
        <v>1.9470404984423677</v>
      </c>
      <c r="K675" s="42">
        <v>0.984375</v>
      </c>
      <c r="L675" s="42">
        <v>0.51359999999999995</v>
      </c>
      <c r="M675">
        <v>1</v>
      </c>
    </row>
    <row r="676" spans="3:13" x14ac:dyDescent="0.15">
      <c r="C676" s="43">
        <v>643</v>
      </c>
      <c r="D676" s="42">
        <v>643</v>
      </c>
      <c r="E676" s="42">
        <v>0.51439999999999997</v>
      </c>
      <c r="F676" s="42">
        <v>126</v>
      </c>
      <c r="G676" s="42">
        <v>65.84320000000001</v>
      </c>
      <c r="H676" s="42">
        <v>1.9136372472783827</v>
      </c>
      <c r="I676" s="42">
        <v>1</v>
      </c>
      <c r="J676" s="42">
        <v>1.9440124416796269</v>
      </c>
      <c r="K676" s="42">
        <v>0.984375</v>
      </c>
      <c r="L676" s="42">
        <v>0.51439999999999997</v>
      </c>
      <c r="M676">
        <v>1</v>
      </c>
    </row>
    <row r="677" spans="3:13" x14ac:dyDescent="0.15">
      <c r="C677" s="43">
        <v>644</v>
      </c>
      <c r="D677" s="42">
        <v>644</v>
      </c>
      <c r="E677" s="42">
        <v>0.51519999999999999</v>
      </c>
      <c r="F677" s="42">
        <v>126</v>
      </c>
      <c r="G677" s="42">
        <v>65.945599999999999</v>
      </c>
      <c r="H677" s="42">
        <v>1.9106657608695652</v>
      </c>
      <c r="I677" s="42">
        <v>1</v>
      </c>
      <c r="J677" s="42">
        <v>1.9409937888198758</v>
      </c>
      <c r="K677" s="42">
        <v>0.984375</v>
      </c>
      <c r="L677" s="42">
        <v>0.51519999999999999</v>
      </c>
      <c r="M677">
        <v>1</v>
      </c>
    </row>
    <row r="678" spans="3:13" x14ac:dyDescent="0.15">
      <c r="C678" s="43">
        <v>645</v>
      </c>
      <c r="D678" s="42">
        <v>645</v>
      </c>
      <c r="E678" s="42">
        <v>0.51600000000000001</v>
      </c>
      <c r="F678" s="42">
        <v>126</v>
      </c>
      <c r="G678" s="42">
        <v>66.048000000000002</v>
      </c>
      <c r="H678" s="42">
        <v>1.9077034883720929</v>
      </c>
      <c r="I678" s="42">
        <v>1</v>
      </c>
      <c r="J678" s="42">
        <v>1.9379844961240309</v>
      </c>
      <c r="K678" s="42">
        <v>0.984375</v>
      </c>
      <c r="L678" s="42">
        <v>0.51600000000000001</v>
      </c>
      <c r="M678">
        <v>1</v>
      </c>
    </row>
    <row r="679" spans="3:13" x14ac:dyDescent="0.15">
      <c r="C679" s="43">
        <v>646</v>
      </c>
      <c r="D679" s="42">
        <v>646</v>
      </c>
      <c r="E679" s="42">
        <v>0.51680000000000004</v>
      </c>
      <c r="F679" s="42">
        <v>126</v>
      </c>
      <c r="G679" s="42">
        <v>66.150400000000005</v>
      </c>
      <c r="H679" s="42">
        <v>1.9047503869969038</v>
      </c>
      <c r="I679" s="42">
        <v>1</v>
      </c>
      <c r="J679" s="42">
        <v>1.9349845201238389</v>
      </c>
      <c r="K679" s="42">
        <v>0.984375</v>
      </c>
      <c r="L679" s="42">
        <v>0.51680000000000004</v>
      </c>
      <c r="M679">
        <v>1</v>
      </c>
    </row>
    <row r="680" spans="3:13" x14ac:dyDescent="0.15">
      <c r="C680" s="43">
        <v>647</v>
      </c>
      <c r="D680" s="42">
        <v>647</v>
      </c>
      <c r="E680" s="42">
        <v>0.51759999999999995</v>
      </c>
      <c r="F680" s="42">
        <v>126</v>
      </c>
      <c r="G680" s="42">
        <v>66.252800000000008</v>
      </c>
      <c r="H680" s="42">
        <v>1.9018064142194746</v>
      </c>
      <c r="I680" s="42">
        <v>1</v>
      </c>
      <c r="J680" s="42">
        <v>1.9319938176197837</v>
      </c>
      <c r="K680" s="42">
        <v>0.984375</v>
      </c>
      <c r="L680" s="42">
        <v>0.51759999999999995</v>
      </c>
      <c r="M680">
        <v>1</v>
      </c>
    </row>
    <row r="681" spans="3:13" x14ac:dyDescent="0.15">
      <c r="C681" s="43">
        <v>648</v>
      </c>
      <c r="D681" s="42">
        <v>648</v>
      </c>
      <c r="E681" s="42">
        <v>0.51839999999999997</v>
      </c>
      <c r="F681" s="42">
        <v>126</v>
      </c>
      <c r="G681" s="42">
        <v>66.355199999999996</v>
      </c>
      <c r="H681" s="42">
        <v>1.8988715277777779</v>
      </c>
      <c r="I681" s="42">
        <v>1</v>
      </c>
      <c r="J681" s="42">
        <v>1.9290123456790125</v>
      </c>
      <c r="K681" s="42">
        <v>0.984375</v>
      </c>
      <c r="L681" s="42">
        <v>0.51839999999999997</v>
      </c>
      <c r="M681">
        <v>1</v>
      </c>
    </row>
    <row r="682" spans="3:13" x14ac:dyDescent="0.15">
      <c r="C682" s="43">
        <v>649</v>
      </c>
      <c r="D682" s="42">
        <v>649</v>
      </c>
      <c r="E682" s="42">
        <v>0.51919999999999999</v>
      </c>
      <c r="F682" s="42">
        <v>126</v>
      </c>
      <c r="G682" s="42">
        <v>66.457599999999999</v>
      </c>
      <c r="H682" s="42">
        <v>1.8959456856702619</v>
      </c>
      <c r="I682" s="42">
        <v>1</v>
      </c>
      <c r="J682" s="42">
        <v>1.926040061633282</v>
      </c>
      <c r="K682" s="42">
        <v>0.984375</v>
      </c>
      <c r="L682" s="42">
        <v>0.51919999999999999</v>
      </c>
      <c r="M682">
        <v>1</v>
      </c>
    </row>
    <row r="683" spans="3:13" x14ac:dyDescent="0.15">
      <c r="C683" s="43">
        <v>650</v>
      </c>
      <c r="D683" s="42">
        <v>650</v>
      </c>
      <c r="E683" s="42">
        <v>0.52</v>
      </c>
      <c r="F683" s="42">
        <v>126</v>
      </c>
      <c r="G683" s="42">
        <v>66.56</v>
      </c>
      <c r="H683" s="42">
        <v>1.893028846153846</v>
      </c>
      <c r="I683" s="42">
        <v>1</v>
      </c>
      <c r="J683" s="42">
        <v>1.9230769230769229</v>
      </c>
      <c r="K683" s="42">
        <v>0.984375</v>
      </c>
      <c r="L683" s="42">
        <v>0.52</v>
      </c>
      <c r="M683">
        <v>1</v>
      </c>
    </row>
    <row r="684" spans="3:13" x14ac:dyDescent="0.15">
      <c r="C684" s="43">
        <v>651</v>
      </c>
      <c r="D684" s="42">
        <v>651</v>
      </c>
      <c r="E684" s="42">
        <v>0.52080000000000004</v>
      </c>
      <c r="F684" s="42">
        <v>126</v>
      </c>
      <c r="G684" s="42">
        <v>66.662400000000005</v>
      </c>
      <c r="H684" s="42">
        <v>1.8901209677419353</v>
      </c>
      <c r="I684" s="42">
        <v>1</v>
      </c>
      <c r="J684" s="42">
        <v>1.9201228878648231</v>
      </c>
      <c r="K684" s="42">
        <v>0.984375</v>
      </c>
      <c r="L684" s="42">
        <v>0.52080000000000004</v>
      </c>
      <c r="M684">
        <v>1</v>
      </c>
    </row>
    <row r="685" spans="3:13" x14ac:dyDescent="0.15">
      <c r="C685" s="43">
        <v>652</v>
      </c>
      <c r="D685" s="42">
        <v>652</v>
      </c>
      <c r="E685" s="42">
        <v>0.52159999999999995</v>
      </c>
      <c r="F685" s="42">
        <v>126</v>
      </c>
      <c r="G685" s="42">
        <v>66.764800000000008</v>
      </c>
      <c r="H685" s="42">
        <v>1.8872220092024541</v>
      </c>
      <c r="I685" s="42">
        <v>1</v>
      </c>
      <c r="J685" s="42">
        <v>1.9171779141104297</v>
      </c>
      <c r="K685" s="42">
        <v>0.984375</v>
      </c>
      <c r="L685" s="42">
        <v>0.52159999999999995</v>
      </c>
      <c r="M685">
        <v>1</v>
      </c>
    </row>
    <row r="686" spans="3:13" x14ac:dyDescent="0.15">
      <c r="C686" s="43">
        <v>653</v>
      </c>
      <c r="D686" s="42">
        <v>653</v>
      </c>
      <c r="E686" s="42">
        <v>0.52239999999999998</v>
      </c>
      <c r="F686" s="42">
        <v>126</v>
      </c>
      <c r="G686" s="42">
        <v>66.867199999999997</v>
      </c>
      <c r="H686" s="42">
        <v>1.884331929555896</v>
      </c>
      <c r="I686" s="42">
        <v>1</v>
      </c>
      <c r="J686" s="42">
        <v>1.9142419601837672</v>
      </c>
      <c r="K686" s="42">
        <v>0.984375</v>
      </c>
      <c r="L686" s="42">
        <v>0.52239999999999998</v>
      </c>
      <c r="M686">
        <v>1</v>
      </c>
    </row>
    <row r="687" spans="3:13" x14ac:dyDescent="0.15">
      <c r="C687" s="43">
        <v>654</v>
      </c>
      <c r="D687" s="42">
        <v>654</v>
      </c>
      <c r="E687" s="42">
        <v>0.5232</v>
      </c>
      <c r="F687" s="42">
        <v>126</v>
      </c>
      <c r="G687" s="42">
        <v>66.9696</v>
      </c>
      <c r="H687" s="42">
        <v>1.8814506880733946</v>
      </c>
      <c r="I687" s="42">
        <v>1</v>
      </c>
      <c r="J687" s="42">
        <v>1.9113149847094801</v>
      </c>
      <c r="K687" s="42">
        <v>0.984375</v>
      </c>
      <c r="L687" s="42">
        <v>0.5232</v>
      </c>
      <c r="M687">
        <v>1</v>
      </c>
    </row>
    <row r="688" spans="3:13" x14ac:dyDescent="0.15">
      <c r="C688" s="43">
        <v>655</v>
      </c>
      <c r="D688" s="42">
        <v>655</v>
      </c>
      <c r="E688" s="42">
        <v>0.52400000000000002</v>
      </c>
      <c r="F688" s="42">
        <v>126</v>
      </c>
      <c r="G688" s="42">
        <v>67.072000000000003</v>
      </c>
      <c r="H688" s="42">
        <v>1.8785782442748091</v>
      </c>
      <c r="I688" s="42">
        <v>1</v>
      </c>
      <c r="J688" s="42">
        <v>1.9083969465648853</v>
      </c>
      <c r="K688" s="42">
        <v>0.984375</v>
      </c>
      <c r="L688" s="42">
        <v>0.52400000000000002</v>
      </c>
      <c r="M688">
        <v>1</v>
      </c>
    </row>
    <row r="689" spans="3:13" x14ac:dyDescent="0.15">
      <c r="C689" s="43">
        <v>656</v>
      </c>
      <c r="D689" s="42">
        <v>656</v>
      </c>
      <c r="E689" s="42">
        <v>0.52480000000000004</v>
      </c>
      <c r="F689" s="42">
        <v>126</v>
      </c>
      <c r="G689" s="42">
        <v>67.174400000000006</v>
      </c>
      <c r="H689" s="42">
        <v>1.8757145579268291</v>
      </c>
      <c r="I689" s="42">
        <v>1</v>
      </c>
      <c r="J689" s="42">
        <v>1.9054878048780486</v>
      </c>
      <c r="K689" s="42">
        <v>0.984375</v>
      </c>
      <c r="L689" s="42">
        <v>0.52480000000000004</v>
      </c>
      <c r="M689">
        <v>1</v>
      </c>
    </row>
    <row r="690" spans="3:13" x14ac:dyDescent="0.15">
      <c r="C690" s="43">
        <v>657</v>
      </c>
      <c r="D690" s="42">
        <v>657</v>
      </c>
      <c r="E690" s="42">
        <v>0.52559999999999996</v>
      </c>
      <c r="F690" s="42">
        <v>126</v>
      </c>
      <c r="G690" s="42">
        <v>67.276800000000009</v>
      </c>
      <c r="H690" s="42">
        <v>1.872859589041096</v>
      </c>
      <c r="I690" s="42">
        <v>1</v>
      </c>
      <c r="J690" s="42">
        <v>1.9025875190258754</v>
      </c>
      <c r="K690" s="42">
        <v>0.984375</v>
      </c>
      <c r="L690" s="42">
        <v>0.52559999999999996</v>
      </c>
      <c r="M690">
        <v>1</v>
      </c>
    </row>
    <row r="691" spans="3:13" x14ac:dyDescent="0.15">
      <c r="C691" s="43">
        <v>658</v>
      </c>
      <c r="D691" s="42">
        <v>658</v>
      </c>
      <c r="E691" s="42">
        <v>0.52639999999999998</v>
      </c>
      <c r="F691" s="42">
        <v>126</v>
      </c>
      <c r="G691" s="42">
        <v>67.379199999999997</v>
      </c>
      <c r="H691" s="42">
        <v>1.8700132978723405</v>
      </c>
      <c r="I691" s="42">
        <v>1</v>
      </c>
      <c r="J691" s="42">
        <v>1.899696048632219</v>
      </c>
      <c r="K691" s="42">
        <v>0.984375</v>
      </c>
      <c r="L691" s="42">
        <v>0.52639999999999998</v>
      </c>
      <c r="M691">
        <v>1</v>
      </c>
    </row>
    <row r="692" spans="3:13" x14ac:dyDescent="0.15">
      <c r="C692" s="43">
        <v>659</v>
      </c>
      <c r="D692" s="42">
        <v>659</v>
      </c>
      <c r="E692" s="42">
        <v>0.5272</v>
      </c>
      <c r="F692" s="42">
        <v>126</v>
      </c>
      <c r="G692" s="42">
        <v>67.4816</v>
      </c>
      <c r="H692" s="42">
        <v>1.8671756449165402</v>
      </c>
      <c r="I692" s="42">
        <v>1</v>
      </c>
      <c r="J692" s="42">
        <v>1.896813353566009</v>
      </c>
      <c r="K692" s="42">
        <v>0.984375</v>
      </c>
      <c r="L692" s="42">
        <v>0.5272</v>
      </c>
      <c r="M692">
        <v>1</v>
      </c>
    </row>
    <row r="693" spans="3:13" x14ac:dyDescent="0.15">
      <c r="C693" s="43">
        <v>660</v>
      </c>
      <c r="D693" s="42">
        <v>660</v>
      </c>
      <c r="E693" s="42">
        <v>0.52800000000000002</v>
      </c>
      <c r="F693" s="42">
        <v>126</v>
      </c>
      <c r="G693" s="42">
        <v>67.584000000000003</v>
      </c>
      <c r="H693" s="42">
        <v>1.8643465909090908</v>
      </c>
      <c r="I693" s="42">
        <v>1</v>
      </c>
      <c r="J693" s="42">
        <v>1.8939393939393938</v>
      </c>
      <c r="K693" s="42">
        <v>0.984375</v>
      </c>
      <c r="L693" s="42">
        <v>0.52800000000000002</v>
      </c>
      <c r="M693">
        <v>1</v>
      </c>
    </row>
    <row r="694" spans="3:13" x14ac:dyDescent="0.15">
      <c r="C694" s="43">
        <v>661</v>
      </c>
      <c r="D694" s="42">
        <v>661</v>
      </c>
      <c r="E694" s="42">
        <v>0.52880000000000005</v>
      </c>
      <c r="F694" s="42">
        <v>126</v>
      </c>
      <c r="G694" s="42">
        <v>67.686400000000006</v>
      </c>
      <c r="H694" s="42">
        <v>1.8615260968229952</v>
      </c>
      <c r="I694" s="42">
        <v>1</v>
      </c>
      <c r="J694" s="42">
        <v>1.8910741301059</v>
      </c>
      <c r="K694" s="42">
        <v>0.984375</v>
      </c>
      <c r="L694" s="42">
        <v>0.52880000000000005</v>
      </c>
      <c r="M694">
        <v>1</v>
      </c>
    </row>
    <row r="695" spans="3:13" x14ac:dyDescent="0.15">
      <c r="C695" s="43">
        <v>662</v>
      </c>
      <c r="D695" s="42">
        <v>662</v>
      </c>
      <c r="E695" s="42">
        <v>0.52959999999999996</v>
      </c>
      <c r="F695" s="42">
        <v>126</v>
      </c>
      <c r="G695" s="42">
        <v>67.788800000000009</v>
      </c>
      <c r="H695" s="42">
        <v>1.8587141238670697</v>
      </c>
      <c r="I695" s="42">
        <v>1</v>
      </c>
      <c r="J695" s="42">
        <v>1.8882175226586104</v>
      </c>
      <c r="K695" s="42">
        <v>0.984375</v>
      </c>
      <c r="L695" s="42">
        <v>0.52959999999999996</v>
      </c>
      <c r="M695">
        <v>1</v>
      </c>
    </row>
    <row r="696" spans="3:13" x14ac:dyDescent="0.15">
      <c r="C696" s="43">
        <v>663</v>
      </c>
      <c r="D696" s="42">
        <v>663</v>
      </c>
      <c r="E696" s="42">
        <v>0.53039999999999998</v>
      </c>
      <c r="F696" s="42">
        <v>126</v>
      </c>
      <c r="G696" s="42">
        <v>67.891199999999998</v>
      </c>
      <c r="H696" s="42">
        <v>1.8559106334841629</v>
      </c>
      <c r="I696" s="42">
        <v>1</v>
      </c>
      <c r="J696" s="42">
        <v>1.8853695324283559</v>
      </c>
      <c r="K696" s="42">
        <v>0.984375</v>
      </c>
      <c r="L696" s="42">
        <v>0.53039999999999998</v>
      </c>
      <c r="M696">
        <v>1</v>
      </c>
    </row>
    <row r="697" spans="3:13" x14ac:dyDescent="0.15">
      <c r="C697" s="43">
        <v>664</v>
      </c>
      <c r="D697" s="42">
        <v>664</v>
      </c>
      <c r="E697" s="42">
        <v>0.53120000000000001</v>
      </c>
      <c r="F697" s="42">
        <v>126</v>
      </c>
      <c r="G697" s="42">
        <v>67.993600000000001</v>
      </c>
      <c r="H697" s="42">
        <v>1.8531155873493976</v>
      </c>
      <c r="I697" s="42">
        <v>1</v>
      </c>
      <c r="J697" s="42">
        <v>1.8825301204819276</v>
      </c>
      <c r="K697" s="42">
        <v>0.984375</v>
      </c>
      <c r="L697" s="42">
        <v>0.53120000000000001</v>
      </c>
      <c r="M697">
        <v>1</v>
      </c>
    </row>
    <row r="698" spans="3:13" x14ac:dyDescent="0.15">
      <c r="C698" s="43">
        <v>665</v>
      </c>
      <c r="D698" s="42">
        <v>665</v>
      </c>
      <c r="E698" s="42">
        <v>0.53200000000000003</v>
      </c>
      <c r="F698" s="42">
        <v>126</v>
      </c>
      <c r="G698" s="42">
        <v>68.096000000000004</v>
      </c>
      <c r="H698" s="42">
        <v>1.850328947368421</v>
      </c>
      <c r="I698" s="42">
        <v>1</v>
      </c>
      <c r="J698" s="42">
        <v>1.8796992481203008</v>
      </c>
      <c r="K698" s="42">
        <v>0.984375</v>
      </c>
      <c r="L698" s="42">
        <v>0.53200000000000003</v>
      </c>
      <c r="M698">
        <v>1</v>
      </c>
    </row>
    <row r="699" spans="3:13" x14ac:dyDescent="0.15">
      <c r="C699" s="43">
        <v>666</v>
      </c>
      <c r="D699" s="42">
        <v>666</v>
      </c>
      <c r="E699" s="42">
        <v>0.53280000000000005</v>
      </c>
      <c r="F699" s="42">
        <v>126</v>
      </c>
      <c r="G699" s="42">
        <v>68.198400000000007</v>
      </c>
      <c r="H699" s="42">
        <v>1.8475506756756754</v>
      </c>
      <c r="I699" s="42">
        <v>1</v>
      </c>
      <c r="J699" s="42">
        <v>1.8768768768768767</v>
      </c>
      <c r="K699" s="42">
        <v>0.984375</v>
      </c>
      <c r="L699" s="42">
        <v>0.53280000000000005</v>
      </c>
      <c r="M699">
        <v>1</v>
      </c>
    </row>
    <row r="700" spans="3:13" x14ac:dyDescent="0.15">
      <c r="C700" s="43">
        <v>667</v>
      </c>
      <c r="D700" s="42">
        <v>667</v>
      </c>
      <c r="E700" s="42">
        <v>0.53359999999999996</v>
      </c>
      <c r="F700" s="42">
        <v>126</v>
      </c>
      <c r="G700" s="42">
        <v>68.30080000000001</v>
      </c>
      <c r="H700" s="42">
        <v>1.8447807346326839</v>
      </c>
      <c r="I700" s="42">
        <v>1</v>
      </c>
      <c r="J700" s="42">
        <v>1.8740629685157422</v>
      </c>
      <c r="K700" s="42">
        <v>0.984375</v>
      </c>
      <c r="L700" s="42">
        <v>0.53359999999999996</v>
      </c>
      <c r="M700">
        <v>1</v>
      </c>
    </row>
    <row r="701" spans="3:13" x14ac:dyDescent="0.15">
      <c r="C701" s="43">
        <v>668</v>
      </c>
      <c r="D701" s="42">
        <v>668</v>
      </c>
      <c r="E701" s="42">
        <v>0.53439999999999999</v>
      </c>
      <c r="F701" s="42">
        <v>126</v>
      </c>
      <c r="G701" s="42">
        <v>68.403199999999998</v>
      </c>
      <c r="H701" s="42">
        <v>1.8420190868263473</v>
      </c>
      <c r="I701" s="42">
        <v>1</v>
      </c>
      <c r="J701" s="42">
        <v>1.8712574850299402</v>
      </c>
      <c r="K701" s="42">
        <v>0.984375</v>
      </c>
      <c r="L701" s="42">
        <v>0.53439999999999999</v>
      </c>
      <c r="M701">
        <v>1</v>
      </c>
    </row>
    <row r="702" spans="3:13" x14ac:dyDescent="0.15">
      <c r="C702" s="43">
        <v>669</v>
      </c>
      <c r="D702" s="42">
        <v>669</v>
      </c>
      <c r="E702" s="42">
        <v>0.53520000000000001</v>
      </c>
      <c r="F702" s="42">
        <v>126</v>
      </c>
      <c r="G702" s="42">
        <v>68.505600000000001</v>
      </c>
      <c r="H702" s="42">
        <v>1.8392656950672646</v>
      </c>
      <c r="I702" s="42">
        <v>1</v>
      </c>
      <c r="J702" s="42">
        <v>1.8684603886397608</v>
      </c>
      <c r="K702" s="42">
        <v>0.984375</v>
      </c>
      <c r="L702" s="42">
        <v>0.53520000000000001</v>
      </c>
      <c r="M702">
        <v>1</v>
      </c>
    </row>
    <row r="703" spans="3:13" x14ac:dyDescent="0.15">
      <c r="C703" s="43">
        <v>670</v>
      </c>
      <c r="D703" s="42">
        <v>670</v>
      </c>
      <c r="E703" s="42">
        <v>0.53600000000000003</v>
      </c>
      <c r="F703" s="42">
        <v>126</v>
      </c>
      <c r="G703" s="42">
        <v>68.608000000000004</v>
      </c>
      <c r="H703" s="42">
        <v>1.8365205223880596</v>
      </c>
      <c r="I703" s="42">
        <v>1</v>
      </c>
      <c r="J703" s="42">
        <v>1.8656716417910446</v>
      </c>
      <c r="K703" s="42">
        <v>0.984375</v>
      </c>
      <c r="L703" s="42">
        <v>0.53600000000000003</v>
      </c>
      <c r="M703">
        <v>1</v>
      </c>
    </row>
    <row r="704" spans="3:13" x14ac:dyDescent="0.15">
      <c r="C704" s="43">
        <v>671</v>
      </c>
      <c r="D704" s="42">
        <v>671</v>
      </c>
      <c r="E704" s="42">
        <v>0.53680000000000005</v>
      </c>
      <c r="F704" s="42">
        <v>126</v>
      </c>
      <c r="G704" s="42">
        <v>68.710400000000007</v>
      </c>
      <c r="H704" s="42">
        <v>1.8337835320417286</v>
      </c>
      <c r="I704" s="42">
        <v>1</v>
      </c>
      <c r="J704" s="42">
        <v>1.862891207153502</v>
      </c>
      <c r="K704" s="42">
        <v>0.984375</v>
      </c>
      <c r="L704" s="42">
        <v>0.53680000000000005</v>
      </c>
      <c r="M704">
        <v>1</v>
      </c>
    </row>
    <row r="705" spans="3:13" x14ac:dyDescent="0.15">
      <c r="C705" s="43">
        <v>672</v>
      </c>
      <c r="D705" s="42">
        <v>672</v>
      </c>
      <c r="E705" s="42">
        <v>0.53759999999999997</v>
      </c>
      <c r="F705" s="42">
        <v>126</v>
      </c>
      <c r="G705" s="42">
        <v>68.81280000000001</v>
      </c>
      <c r="H705" s="42">
        <v>1.8310546875000002</v>
      </c>
      <c r="I705" s="42">
        <v>1</v>
      </c>
      <c r="J705" s="42">
        <v>1.8601190476190477</v>
      </c>
      <c r="K705" s="42">
        <v>0.984375</v>
      </c>
      <c r="L705" s="42">
        <v>0.53759999999999997</v>
      </c>
      <c r="M705">
        <v>1</v>
      </c>
    </row>
    <row r="706" spans="3:13" x14ac:dyDescent="0.15">
      <c r="C706" s="43">
        <v>673</v>
      </c>
      <c r="D706" s="42">
        <v>673</v>
      </c>
      <c r="E706" s="42">
        <v>0.53839999999999999</v>
      </c>
      <c r="F706" s="42">
        <v>126</v>
      </c>
      <c r="G706" s="42">
        <v>68.915199999999999</v>
      </c>
      <c r="H706" s="42">
        <v>1.8283339524517088</v>
      </c>
      <c r="I706" s="42">
        <v>1</v>
      </c>
      <c r="J706" s="42">
        <v>1.8573551263001487</v>
      </c>
      <c r="K706" s="42">
        <v>0.984375</v>
      </c>
      <c r="L706" s="42">
        <v>0.53839999999999999</v>
      </c>
      <c r="M706">
        <v>1</v>
      </c>
    </row>
    <row r="707" spans="3:13" x14ac:dyDescent="0.15">
      <c r="C707" s="43">
        <v>674</v>
      </c>
      <c r="D707" s="42">
        <v>674</v>
      </c>
      <c r="E707" s="42">
        <v>0.53920000000000001</v>
      </c>
      <c r="F707" s="42">
        <v>126</v>
      </c>
      <c r="G707" s="42">
        <v>69.017600000000002</v>
      </c>
      <c r="H707" s="42">
        <v>1.8256212908011868</v>
      </c>
      <c r="I707" s="42">
        <v>1</v>
      </c>
      <c r="J707" s="42">
        <v>1.8545994065281899</v>
      </c>
      <c r="K707" s="42">
        <v>0.984375</v>
      </c>
      <c r="L707" s="42">
        <v>0.53920000000000001</v>
      </c>
      <c r="M707">
        <v>1</v>
      </c>
    </row>
    <row r="708" spans="3:13" x14ac:dyDescent="0.15">
      <c r="C708" s="43">
        <v>675</v>
      </c>
      <c r="D708" s="42">
        <v>675</v>
      </c>
      <c r="E708" s="42">
        <v>0.54</v>
      </c>
      <c r="F708" s="42">
        <v>126</v>
      </c>
      <c r="G708" s="42">
        <v>69.12</v>
      </c>
      <c r="H708" s="42">
        <v>1.8229166666666665</v>
      </c>
      <c r="I708" s="42">
        <v>1</v>
      </c>
      <c r="J708" s="42">
        <v>1.8518518518518516</v>
      </c>
      <c r="K708" s="42">
        <v>0.984375</v>
      </c>
      <c r="L708" s="42">
        <v>0.54</v>
      </c>
      <c r="M708">
        <v>1</v>
      </c>
    </row>
    <row r="709" spans="3:13" x14ac:dyDescent="0.15">
      <c r="C709" s="43">
        <v>676</v>
      </c>
      <c r="D709" s="42">
        <v>676</v>
      </c>
      <c r="E709" s="42">
        <v>0.54079999999999995</v>
      </c>
      <c r="F709" s="42">
        <v>126</v>
      </c>
      <c r="G709" s="42">
        <v>69.222400000000007</v>
      </c>
      <c r="H709" s="42">
        <v>1.8202200443786984</v>
      </c>
      <c r="I709" s="42">
        <v>1</v>
      </c>
      <c r="J709" s="42">
        <v>1.8491124260355032</v>
      </c>
      <c r="K709" s="42">
        <v>0.984375</v>
      </c>
      <c r="L709" s="42">
        <v>0.54079999999999995</v>
      </c>
      <c r="M709">
        <v>1</v>
      </c>
    </row>
    <row r="710" spans="3:13" x14ac:dyDescent="0.15">
      <c r="C710" s="43">
        <v>677</v>
      </c>
      <c r="D710" s="42">
        <v>677</v>
      </c>
      <c r="E710" s="42">
        <v>0.54159999999999997</v>
      </c>
      <c r="F710" s="42">
        <v>126</v>
      </c>
      <c r="G710" s="42">
        <v>69.32480000000001</v>
      </c>
      <c r="H710" s="42">
        <v>1.817531388478582</v>
      </c>
      <c r="I710" s="42">
        <v>1</v>
      </c>
      <c r="J710" s="42">
        <v>1.8463810930576072</v>
      </c>
      <c r="K710" s="42">
        <v>0.984375</v>
      </c>
      <c r="L710" s="42">
        <v>0.54159999999999997</v>
      </c>
      <c r="M710">
        <v>1</v>
      </c>
    </row>
    <row r="711" spans="3:13" x14ac:dyDescent="0.15">
      <c r="C711" s="43">
        <v>678</v>
      </c>
      <c r="D711" s="42">
        <v>678</v>
      </c>
      <c r="E711" s="42">
        <v>0.54239999999999999</v>
      </c>
      <c r="F711" s="42">
        <v>126</v>
      </c>
      <c r="G711" s="42">
        <v>69.427199999999999</v>
      </c>
      <c r="H711" s="42">
        <v>1.8148506637168142</v>
      </c>
      <c r="I711" s="42">
        <v>1</v>
      </c>
      <c r="J711" s="42">
        <v>1.8436578171091447</v>
      </c>
      <c r="K711" s="42">
        <v>0.984375</v>
      </c>
      <c r="L711" s="42">
        <v>0.54239999999999999</v>
      </c>
      <c r="M711">
        <v>1</v>
      </c>
    </row>
    <row r="712" spans="3:13" x14ac:dyDescent="0.15">
      <c r="C712" s="43">
        <v>679</v>
      </c>
      <c r="D712" s="42">
        <v>679</v>
      </c>
      <c r="E712" s="42">
        <v>0.54320000000000002</v>
      </c>
      <c r="F712" s="42">
        <v>126</v>
      </c>
      <c r="G712" s="42">
        <v>69.529600000000002</v>
      </c>
      <c r="H712" s="42">
        <v>1.8121778350515463</v>
      </c>
      <c r="I712" s="42">
        <v>1</v>
      </c>
      <c r="J712" s="42">
        <v>1.840942562592047</v>
      </c>
      <c r="K712" s="42">
        <v>0.984375</v>
      </c>
      <c r="L712" s="42">
        <v>0.54320000000000002</v>
      </c>
      <c r="M712">
        <v>1</v>
      </c>
    </row>
    <row r="713" spans="3:13" x14ac:dyDescent="0.15">
      <c r="C713" s="43">
        <v>680</v>
      </c>
      <c r="D713" s="42">
        <v>680</v>
      </c>
      <c r="E713" s="42">
        <v>0.54400000000000004</v>
      </c>
      <c r="F713" s="42">
        <v>126</v>
      </c>
      <c r="G713" s="42">
        <v>69.632000000000005</v>
      </c>
      <c r="H713" s="42">
        <v>1.8095128676470587</v>
      </c>
      <c r="I713" s="42">
        <v>1</v>
      </c>
      <c r="J713" s="42">
        <v>1.838235294117647</v>
      </c>
      <c r="K713" s="42">
        <v>0.984375</v>
      </c>
      <c r="L713" s="42">
        <v>0.54400000000000004</v>
      </c>
      <c r="M713">
        <v>1</v>
      </c>
    </row>
    <row r="714" spans="3:13" x14ac:dyDescent="0.15">
      <c r="C714" s="43">
        <v>681</v>
      </c>
      <c r="D714" s="42">
        <v>681</v>
      </c>
      <c r="E714" s="42">
        <v>0.54479999999999995</v>
      </c>
      <c r="F714" s="42">
        <v>126</v>
      </c>
      <c r="G714" s="42">
        <v>69.734400000000008</v>
      </c>
      <c r="H714" s="42">
        <v>1.8068557268722469</v>
      </c>
      <c r="I714" s="42">
        <v>1</v>
      </c>
      <c r="J714" s="42">
        <v>1.8355359765051398</v>
      </c>
      <c r="K714" s="42">
        <v>0.984375</v>
      </c>
      <c r="L714" s="42">
        <v>0.54479999999999995</v>
      </c>
      <c r="M714">
        <v>1</v>
      </c>
    </row>
    <row r="715" spans="3:13" x14ac:dyDescent="0.15">
      <c r="C715" s="43">
        <v>682</v>
      </c>
      <c r="D715" s="42">
        <v>682</v>
      </c>
      <c r="E715" s="42">
        <v>0.54559999999999997</v>
      </c>
      <c r="F715" s="42">
        <v>126</v>
      </c>
      <c r="G715" s="42">
        <v>69.836799999999997</v>
      </c>
      <c r="H715" s="42">
        <v>1.8042063782991202</v>
      </c>
      <c r="I715" s="42">
        <v>1</v>
      </c>
      <c r="J715" s="42">
        <v>1.8328445747800588</v>
      </c>
      <c r="K715" s="42">
        <v>0.984375</v>
      </c>
      <c r="L715" s="42">
        <v>0.54559999999999997</v>
      </c>
      <c r="M715">
        <v>1</v>
      </c>
    </row>
    <row r="716" spans="3:13" x14ac:dyDescent="0.15">
      <c r="C716" s="43">
        <v>683</v>
      </c>
      <c r="D716" s="42">
        <v>683</v>
      </c>
      <c r="E716" s="42">
        <v>0.5464</v>
      </c>
      <c r="F716" s="42">
        <v>126</v>
      </c>
      <c r="G716" s="42">
        <v>69.9392</v>
      </c>
      <c r="H716" s="42">
        <v>1.8015647877013177</v>
      </c>
      <c r="I716" s="42">
        <v>1</v>
      </c>
      <c r="J716" s="42">
        <v>1.8301610541727673</v>
      </c>
      <c r="K716" s="42">
        <v>0.984375</v>
      </c>
      <c r="L716" s="42">
        <v>0.5464</v>
      </c>
      <c r="M716">
        <v>1</v>
      </c>
    </row>
    <row r="717" spans="3:13" x14ac:dyDescent="0.15">
      <c r="C717" s="43">
        <v>684</v>
      </c>
      <c r="D717" s="42">
        <v>684</v>
      </c>
      <c r="E717" s="42">
        <v>0.54720000000000002</v>
      </c>
      <c r="F717" s="42">
        <v>126</v>
      </c>
      <c r="G717" s="42">
        <v>70.041600000000003</v>
      </c>
      <c r="H717" s="42">
        <v>1.7989309210526314</v>
      </c>
      <c r="I717" s="42">
        <v>1</v>
      </c>
      <c r="J717" s="42">
        <v>1.827485380116959</v>
      </c>
      <c r="K717" s="42">
        <v>0.984375</v>
      </c>
      <c r="L717" s="42">
        <v>0.54720000000000002</v>
      </c>
      <c r="M717">
        <v>1</v>
      </c>
    </row>
    <row r="718" spans="3:13" x14ac:dyDescent="0.15">
      <c r="C718" s="43">
        <v>685</v>
      </c>
      <c r="D718" s="42">
        <v>685</v>
      </c>
      <c r="E718" s="42">
        <v>0.54800000000000004</v>
      </c>
      <c r="F718" s="42">
        <v>126</v>
      </c>
      <c r="G718" s="42">
        <v>70.144000000000005</v>
      </c>
      <c r="H718" s="42">
        <v>1.7963047445255473</v>
      </c>
      <c r="I718" s="42">
        <v>1</v>
      </c>
      <c r="J718" s="42">
        <v>1.824817518248175</v>
      </c>
      <c r="K718" s="42">
        <v>0.984375</v>
      </c>
      <c r="L718" s="42">
        <v>0.54800000000000004</v>
      </c>
      <c r="M718">
        <v>1</v>
      </c>
    </row>
    <row r="719" spans="3:13" x14ac:dyDescent="0.15">
      <c r="C719" s="43">
        <v>686</v>
      </c>
      <c r="D719" s="42">
        <v>686</v>
      </c>
      <c r="E719" s="42">
        <v>0.54879999999999995</v>
      </c>
      <c r="F719" s="42">
        <v>126</v>
      </c>
      <c r="G719" s="42">
        <v>70.246400000000008</v>
      </c>
      <c r="H719" s="42">
        <v>1.793686224489796</v>
      </c>
      <c r="I719" s="42">
        <v>1</v>
      </c>
      <c r="J719" s="42">
        <v>1.8221574344023326</v>
      </c>
      <c r="K719" s="42">
        <v>0.984375</v>
      </c>
      <c r="L719" s="42">
        <v>0.54879999999999995</v>
      </c>
      <c r="M719">
        <v>1</v>
      </c>
    </row>
    <row r="720" spans="3:13" x14ac:dyDescent="0.15">
      <c r="C720" s="43">
        <v>687</v>
      </c>
      <c r="D720" s="42">
        <v>687</v>
      </c>
      <c r="E720" s="42">
        <v>0.54959999999999998</v>
      </c>
      <c r="F720" s="42">
        <v>126</v>
      </c>
      <c r="G720" s="42">
        <v>70.348799999999997</v>
      </c>
      <c r="H720" s="42">
        <v>1.791075327510917</v>
      </c>
      <c r="I720" s="42">
        <v>1</v>
      </c>
      <c r="J720" s="42">
        <v>1.819505094614265</v>
      </c>
      <c r="K720" s="42">
        <v>0.984375</v>
      </c>
      <c r="L720" s="42">
        <v>0.54959999999999998</v>
      </c>
      <c r="M720">
        <v>1</v>
      </c>
    </row>
    <row r="721" spans="3:13" x14ac:dyDescent="0.15">
      <c r="C721" s="43">
        <v>688</v>
      </c>
      <c r="D721" s="42">
        <v>688</v>
      </c>
      <c r="E721" s="42">
        <v>0.5504</v>
      </c>
      <c r="F721" s="42">
        <v>126</v>
      </c>
      <c r="G721" s="42">
        <v>70.4512</v>
      </c>
      <c r="H721" s="42">
        <v>1.7884720203488371</v>
      </c>
      <c r="I721" s="42">
        <v>1</v>
      </c>
      <c r="J721" s="42">
        <v>1.816860465116279</v>
      </c>
      <c r="K721" s="42">
        <v>0.984375</v>
      </c>
      <c r="L721" s="42">
        <v>0.5504</v>
      </c>
      <c r="M721">
        <v>1</v>
      </c>
    </row>
    <row r="722" spans="3:13" x14ac:dyDescent="0.15">
      <c r="C722" s="43">
        <v>689</v>
      </c>
      <c r="D722" s="42">
        <v>689</v>
      </c>
      <c r="E722" s="42">
        <v>0.55120000000000002</v>
      </c>
      <c r="F722" s="42">
        <v>126</v>
      </c>
      <c r="G722" s="42">
        <v>70.553600000000003</v>
      </c>
      <c r="H722" s="42">
        <v>1.7858762699564585</v>
      </c>
      <c r="I722" s="42">
        <v>1</v>
      </c>
      <c r="J722" s="42">
        <v>1.8142235123367199</v>
      </c>
      <c r="K722" s="42">
        <v>0.984375</v>
      </c>
      <c r="L722" s="42">
        <v>0.55120000000000002</v>
      </c>
      <c r="M722">
        <v>1</v>
      </c>
    </row>
    <row r="723" spans="3:13" x14ac:dyDescent="0.15">
      <c r="C723" s="43">
        <v>690</v>
      </c>
      <c r="D723" s="42">
        <v>690</v>
      </c>
      <c r="E723" s="42">
        <v>0.55200000000000005</v>
      </c>
      <c r="F723" s="42">
        <v>126</v>
      </c>
      <c r="G723" s="42">
        <v>70.656000000000006</v>
      </c>
      <c r="H723" s="42">
        <v>1.7832880434782608</v>
      </c>
      <c r="I723" s="42">
        <v>1</v>
      </c>
      <c r="J723" s="42">
        <v>1.8115942028985506</v>
      </c>
      <c r="K723" s="42">
        <v>0.984375</v>
      </c>
      <c r="L723" s="42">
        <v>0.55200000000000005</v>
      </c>
      <c r="M723">
        <v>1</v>
      </c>
    </row>
    <row r="724" spans="3:13" x14ac:dyDescent="0.15">
      <c r="C724" s="43">
        <v>691</v>
      </c>
      <c r="D724" s="42">
        <v>691</v>
      </c>
      <c r="E724" s="42">
        <v>0.55279999999999996</v>
      </c>
      <c r="F724" s="42">
        <v>126</v>
      </c>
      <c r="G724" s="42">
        <v>70.758400000000009</v>
      </c>
      <c r="H724" s="42">
        <v>1.7807073082489147</v>
      </c>
      <c r="I724" s="42">
        <v>1</v>
      </c>
      <c r="J724" s="42">
        <v>1.8089725036179451</v>
      </c>
      <c r="K724" s="42">
        <v>0.984375</v>
      </c>
      <c r="L724" s="42">
        <v>0.55279999999999996</v>
      </c>
      <c r="M724">
        <v>1</v>
      </c>
    </row>
    <row r="725" spans="3:13" x14ac:dyDescent="0.15">
      <c r="C725" s="43">
        <v>692</v>
      </c>
      <c r="D725" s="42">
        <v>692</v>
      </c>
      <c r="E725" s="42">
        <v>0.55359999999999998</v>
      </c>
      <c r="F725" s="42">
        <v>126</v>
      </c>
      <c r="G725" s="42">
        <v>70.860799999999998</v>
      </c>
      <c r="H725" s="42">
        <v>1.7781340317919077</v>
      </c>
      <c r="I725" s="42">
        <v>1</v>
      </c>
      <c r="J725" s="42">
        <v>1.8063583815028903</v>
      </c>
      <c r="K725" s="42">
        <v>0.984375</v>
      </c>
      <c r="L725" s="42">
        <v>0.55359999999999998</v>
      </c>
      <c r="M725">
        <v>1</v>
      </c>
    </row>
    <row r="726" spans="3:13" x14ac:dyDescent="0.15">
      <c r="C726" s="43">
        <v>693</v>
      </c>
      <c r="D726" s="42">
        <v>693</v>
      </c>
      <c r="E726" s="42">
        <v>0.5544</v>
      </c>
      <c r="F726" s="42">
        <v>126</v>
      </c>
      <c r="G726" s="42">
        <v>70.963200000000001</v>
      </c>
      <c r="H726" s="42">
        <v>1.7755681818181819</v>
      </c>
      <c r="I726" s="42">
        <v>1</v>
      </c>
      <c r="J726" s="42">
        <v>1.8037518037518037</v>
      </c>
      <c r="K726" s="42">
        <v>0.984375</v>
      </c>
      <c r="L726" s="42">
        <v>0.5544</v>
      </c>
      <c r="M726">
        <v>1</v>
      </c>
    </row>
    <row r="727" spans="3:13" x14ac:dyDescent="0.15">
      <c r="C727" s="43">
        <v>694</v>
      </c>
      <c r="D727" s="42">
        <v>694</v>
      </c>
      <c r="E727" s="42">
        <v>0.55520000000000003</v>
      </c>
      <c r="F727" s="42">
        <v>126</v>
      </c>
      <c r="G727" s="42">
        <v>71.065600000000003</v>
      </c>
      <c r="H727" s="42">
        <v>1.7730097262247837</v>
      </c>
      <c r="I727" s="42">
        <v>1</v>
      </c>
      <c r="J727" s="42">
        <v>1.8011527377521612</v>
      </c>
      <c r="K727" s="42">
        <v>0.984375</v>
      </c>
      <c r="L727" s="42">
        <v>0.55520000000000003</v>
      </c>
      <c r="M727">
        <v>1</v>
      </c>
    </row>
    <row r="728" spans="3:13" x14ac:dyDescent="0.15">
      <c r="C728" s="43">
        <v>695</v>
      </c>
      <c r="D728" s="42">
        <v>695</v>
      </c>
      <c r="E728" s="42">
        <v>0.55600000000000005</v>
      </c>
      <c r="F728" s="42">
        <v>126</v>
      </c>
      <c r="G728" s="42">
        <v>71.168000000000006</v>
      </c>
      <c r="H728" s="42">
        <v>1.770458633093525</v>
      </c>
      <c r="I728" s="42">
        <v>1</v>
      </c>
      <c r="J728" s="42">
        <v>1.7985611510791366</v>
      </c>
      <c r="K728" s="42">
        <v>0.984375</v>
      </c>
      <c r="L728" s="42">
        <v>0.55600000000000005</v>
      </c>
      <c r="M728">
        <v>1</v>
      </c>
    </row>
    <row r="729" spans="3:13" x14ac:dyDescent="0.15">
      <c r="C729" s="43">
        <v>696</v>
      </c>
      <c r="D729" s="42">
        <v>696</v>
      </c>
      <c r="E729" s="42">
        <v>0.55679999999999996</v>
      </c>
      <c r="F729" s="42">
        <v>127</v>
      </c>
      <c r="G729" s="42">
        <v>71.270400000000009</v>
      </c>
      <c r="H729" s="42">
        <v>1.7819459410919543</v>
      </c>
      <c r="I729" s="42">
        <v>1</v>
      </c>
      <c r="J729" s="42">
        <v>1.795977011494253</v>
      </c>
      <c r="K729" s="42">
        <v>0.9921875</v>
      </c>
      <c r="L729" s="42">
        <v>0.55679999999999996</v>
      </c>
      <c r="M729">
        <v>1</v>
      </c>
    </row>
    <row r="730" spans="3:13" x14ac:dyDescent="0.15">
      <c r="C730" s="43">
        <v>697</v>
      </c>
      <c r="D730" s="42">
        <v>697</v>
      </c>
      <c r="E730" s="42">
        <v>0.55759999999999998</v>
      </c>
      <c r="F730" s="42">
        <v>127</v>
      </c>
      <c r="G730" s="42">
        <v>71.372799999999998</v>
      </c>
      <c r="H730" s="42">
        <v>1.7793893472022957</v>
      </c>
      <c r="I730" s="42">
        <v>1</v>
      </c>
      <c r="J730" s="42">
        <v>1.793400286944046</v>
      </c>
      <c r="K730" s="42">
        <v>0.9921875</v>
      </c>
      <c r="L730" s="42">
        <v>0.55759999999999998</v>
      </c>
      <c r="M730">
        <v>1</v>
      </c>
    </row>
    <row r="731" spans="3:13" x14ac:dyDescent="0.15">
      <c r="C731" s="43">
        <v>698</v>
      </c>
      <c r="D731" s="42">
        <v>698</v>
      </c>
      <c r="E731" s="42">
        <v>0.55840000000000001</v>
      </c>
      <c r="F731" s="42">
        <v>127</v>
      </c>
      <c r="G731" s="42">
        <v>71.475200000000001</v>
      </c>
      <c r="H731" s="42">
        <v>1.7768400787965615</v>
      </c>
      <c r="I731" s="42">
        <v>1</v>
      </c>
      <c r="J731" s="42">
        <v>1.7908309455587392</v>
      </c>
      <c r="K731" s="42">
        <v>0.9921875</v>
      </c>
      <c r="L731" s="42">
        <v>0.55840000000000001</v>
      </c>
      <c r="M731">
        <v>1</v>
      </c>
    </row>
    <row r="732" spans="3:13" x14ac:dyDescent="0.15">
      <c r="C732" s="43">
        <v>699</v>
      </c>
      <c r="D732" s="42">
        <v>699</v>
      </c>
      <c r="E732" s="42">
        <v>0.55920000000000003</v>
      </c>
      <c r="F732" s="42">
        <v>127</v>
      </c>
      <c r="G732" s="42">
        <v>71.577600000000004</v>
      </c>
      <c r="H732" s="42">
        <v>1.7742981044349069</v>
      </c>
      <c r="I732" s="42">
        <v>1</v>
      </c>
      <c r="J732" s="42">
        <v>1.7882689556509297</v>
      </c>
      <c r="K732" s="42">
        <v>0.9921875</v>
      </c>
      <c r="L732" s="42">
        <v>0.55920000000000003</v>
      </c>
      <c r="M732">
        <v>1</v>
      </c>
    </row>
    <row r="733" spans="3:13" x14ac:dyDescent="0.15">
      <c r="C733" s="43">
        <v>700</v>
      </c>
      <c r="D733" s="42">
        <v>700</v>
      </c>
      <c r="E733" s="42">
        <v>0.56000000000000005</v>
      </c>
      <c r="F733" s="42">
        <v>127</v>
      </c>
      <c r="G733" s="42">
        <v>71.680000000000007</v>
      </c>
      <c r="H733" s="42">
        <v>1.7717633928571428</v>
      </c>
      <c r="I733" s="42">
        <v>1</v>
      </c>
      <c r="J733" s="42">
        <v>1.7857142857142856</v>
      </c>
      <c r="K733" s="42">
        <v>0.9921875</v>
      </c>
      <c r="L733" s="42">
        <v>0.56000000000000005</v>
      </c>
      <c r="M733">
        <v>1</v>
      </c>
    </row>
    <row r="734" spans="3:13" x14ac:dyDescent="0.15">
      <c r="C734" s="43">
        <v>701</v>
      </c>
      <c r="D734" s="42">
        <v>701</v>
      </c>
      <c r="E734" s="42">
        <v>0.56079999999999997</v>
      </c>
      <c r="F734" s="42">
        <v>127</v>
      </c>
      <c r="G734" s="42">
        <v>71.78240000000001</v>
      </c>
      <c r="H734" s="42">
        <v>1.7692359129814552</v>
      </c>
      <c r="I734" s="42">
        <v>1</v>
      </c>
      <c r="J734" s="42">
        <v>1.783166904422254</v>
      </c>
      <c r="K734" s="42">
        <v>0.9921875</v>
      </c>
      <c r="L734" s="42">
        <v>0.56079999999999997</v>
      </c>
      <c r="M734">
        <v>1</v>
      </c>
    </row>
    <row r="735" spans="3:13" x14ac:dyDescent="0.15">
      <c r="C735" s="43">
        <v>702</v>
      </c>
      <c r="D735" s="42">
        <v>702</v>
      </c>
      <c r="E735" s="42">
        <v>0.56159999999999999</v>
      </c>
      <c r="F735" s="42">
        <v>127</v>
      </c>
      <c r="G735" s="42">
        <v>71.884799999999998</v>
      </c>
      <c r="H735" s="42">
        <v>1.766715633903134</v>
      </c>
      <c r="I735" s="42">
        <v>1</v>
      </c>
      <c r="J735" s="42">
        <v>1.7806267806267806</v>
      </c>
      <c r="K735" s="42">
        <v>0.9921875</v>
      </c>
      <c r="L735" s="42">
        <v>0.56159999999999999</v>
      </c>
      <c r="M735">
        <v>1</v>
      </c>
    </row>
    <row r="736" spans="3:13" x14ac:dyDescent="0.15">
      <c r="C736" s="43">
        <v>703</v>
      </c>
      <c r="D736" s="42">
        <v>703</v>
      </c>
      <c r="E736" s="42">
        <v>0.56240000000000001</v>
      </c>
      <c r="F736" s="42">
        <v>127</v>
      </c>
      <c r="G736" s="42">
        <v>71.987200000000001</v>
      </c>
      <c r="H736" s="42">
        <v>1.7642025248933144</v>
      </c>
      <c r="I736" s="42">
        <v>1</v>
      </c>
      <c r="J736" s="42">
        <v>1.7780938833570412</v>
      </c>
      <c r="K736" s="42">
        <v>0.9921875</v>
      </c>
      <c r="L736" s="42">
        <v>0.56240000000000001</v>
      </c>
      <c r="M736">
        <v>1</v>
      </c>
    </row>
    <row r="737" spans="3:13" x14ac:dyDescent="0.15">
      <c r="C737" s="43">
        <v>704</v>
      </c>
      <c r="D737" s="42">
        <v>704</v>
      </c>
      <c r="E737" s="42">
        <v>0.56320000000000003</v>
      </c>
      <c r="F737" s="42">
        <v>127</v>
      </c>
      <c r="G737" s="42">
        <v>72.089600000000004</v>
      </c>
      <c r="H737" s="42">
        <v>1.7616965553977271</v>
      </c>
      <c r="I737" s="42">
        <v>1</v>
      </c>
      <c r="J737" s="42">
        <v>1.7755681818181817</v>
      </c>
      <c r="K737" s="42">
        <v>0.9921875</v>
      </c>
      <c r="L737" s="42">
        <v>0.56320000000000003</v>
      </c>
      <c r="M737">
        <v>1</v>
      </c>
    </row>
    <row r="738" spans="3:13" x14ac:dyDescent="0.15">
      <c r="C738" s="43">
        <v>705</v>
      </c>
      <c r="D738" s="42">
        <v>705</v>
      </c>
      <c r="E738" s="42">
        <v>0.56399999999999995</v>
      </c>
      <c r="F738" s="42">
        <v>127</v>
      </c>
      <c r="G738" s="42">
        <v>72.192000000000007</v>
      </c>
      <c r="H738" s="42">
        <v>1.7591976950354611</v>
      </c>
      <c r="I738" s="42">
        <v>1</v>
      </c>
      <c r="J738" s="42">
        <v>1.773049645390071</v>
      </c>
      <c r="K738" s="42">
        <v>0.9921875</v>
      </c>
      <c r="L738" s="42">
        <v>0.56399999999999995</v>
      </c>
      <c r="M738">
        <v>1</v>
      </c>
    </row>
    <row r="739" spans="3:13" x14ac:dyDescent="0.15">
      <c r="C739" s="43">
        <v>706</v>
      </c>
      <c r="D739" s="42">
        <v>706</v>
      </c>
      <c r="E739" s="42">
        <v>0.56479999999999997</v>
      </c>
      <c r="F739" s="42">
        <v>127</v>
      </c>
      <c r="G739" s="42">
        <v>72.29440000000001</v>
      </c>
      <c r="H739" s="42">
        <v>1.7567059135977339</v>
      </c>
      <c r="I739" s="42">
        <v>1</v>
      </c>
      <c r="J739" s="42">
        <v>1.7705382436260624</v>
      </c>
      <c r="K739" s="42">
        <v>0.9921875</v>
      </c>
      <c r="L739" s="42">
        <v>0.56479999999999997</v>
      </c>
      <c r="M739">
        <v>1</v>
      </c>
    </row>
    <row r="740" spans="3:13" x14ac:dyDescent="0.15">
      <c r="C740" s="43">
        <v>707</v>
      </c>
      <c r="D740" s="42">
        <v>707</v>
      </c>
      <c r="E740" s="42">
        <v>0.56559999999999999</v>
      </c>
      <c r="F740" s="42">
        <v>127</v>
      </c>
      <c r="G740" s="42">
        <v>72.396799999999999</v>
      </c>
      <c r="H740" s="42">
        <v>1.7542211810466761</v>
      </c>
      <c r="I740" s="42">
        <v>1</v>
      </c>
      <c r="J740" s="42">
        <v>1.768033946251768</v>
      </c>
      <c r="K740" s="42">
        <v>0.9921875</v>
      </c>
      <c r="L740" s="42">
        <v>0.56559999999999999</v>
      </c>
      <c r="M740">
        <v>1</v>
      </c>
    </row>
    <row r="741" spans="3:13" x14ac:dyDescent="0.15">
      <c r="C741" s="43">
        <v>708</v>
      </c>
      <c r="D741" s="42">
        <v>708</v>
      </c>
      <c r="E741" s="42">
        <v>0.56640000000000001</v>
      </c>
      <c r="F741" s="42">
        <v>127</v>
      </c>
      <c r="G741" s="42">
        <v>72.499200000000002</v>
      </c>
      <c r="H741" s="42">
        <v>1.7517434675141244</v>
      </c>
      <c r="I741" s="42">
        <v>1</v>
      </c>
      <c r="J741" s="42">
        <v>1.7655367231638417</v>
      </c>
      <c r="K741" s="42">
        <v>0.9921875</v>
      </c>
      <c r="L741" s="42">
        <v>0.56640000000000001</v>
      </c>
      <c r="M741">
        <v>1</v>
      </c>
    </row>
    <row r="742" spans="3:13" x14ac:dyDescent="0.15">
      <c r="C742" s="43">
        <v>709</v>
      </c>
      <c r="D742" s="42">
        <v>709</v>
      </c>
      <c r="E742" s="42">
        <v>0.56720000000000004</v>
      </c>
      <c r="F742" s="42">
        <v>127</v>
      </c>
      <c r="G742" s="42">
        <v>72.601600000000005</v>
      </c>
      <c r="H742" s="42">
        <v>1.7492727433004229</v>
      </c>
      <c r="I742" s="42">
        <v>1</v>
      </c>
      <c r="J742" s="42">
        <v>1.7630465444287728</v>
      </c>
      <c r="K742" s="42">
        <v>0.9921875</v>
      </c>
      <c r="L742" s="42">
        <v>0.56720000000000004</v>
      </c>
      <c r="M742">
        <v>1</v>
      </c>
    </row>
    <row r="743" spans="3:13" x14ac:dyDescent="0.15">
      <c r="C743" s="43">
        <v>710</v>
      </c>
      <c r="D743" s="42">
        <v>710</v>
      </c>
      <c r="E743" s="42">
        <v>0.56799999999999995</v>
      </c>
      <c r="F743" s="42">
        <v>127</v>
      </c>
      <c r="G743" s="42">
        <v>72.704000000000008</v>
      </c>
      <c r="H743" s="42">
        <v>1.7468089788732395</v>
      </c>
      <c r="I743" s="42">
        <v>1</v>
      </c>
      <c r="J743" s="42">
        <v>1.7605633802816902</v>
      </c>
      <c r="K743" s="42">
        <v>0.9921875</v>
      </c>
      <c r="L743" s="42">
        <v>0.56799999999999995</v>
      </c>
      <c r="M743">
        <v>1</v>
      </c>
    </row>
    <row r="744" spans="3:13" x14ac:dyDescent="0.15">
      <c r="C744" s="43">
        <v>711</v>
      </c>
      <c r="D744" s="42">
        <v>711</v>
      </c>
      <c r="E744" s="42">
        <v>0.56879999999999997</v>
      </c>
      <c r="F744" s="42">
        <v>127</v>
      </c>
      <c r="G744" s="42">
        <v>72.806399999999996</v>
      </c>
      <c r="H744" s="42">
        <v>1.7443521448663855</v>
      </c>
      <c r="I744" s="42">
        <v>1</v>
      </c>
      <c r="J744" s="42">
        <v>1.7580872011251758</v>
      </c>
      <c r="K744" s="42">
        <v>0.9921875</v>
      </c>
      <c r="L744" s="42">
        <v>0.56879999999999997</v>
      </c>
      <c r="M744">
        <v>1</v>
      </c>
    </row>
    <row r="745" spans="3:13" x14ac:dyDescent="0.15">
      <c r="C745" s="43">
        <v>712</v>
      </c>
      <c r="D745" s="42">
        <v>712</v>
      </c>
      <c r="E745" s="42">
        <v>0.5696</v>
      </c>
      <c r="F745" s="42">
        <v>127</v>
      </c>
      <c r="G745" s="42">
        <v>72.908799999999999</v>
      </c>
      <c r="H745" s="42">
        <v>1.7419022120786516</v>
      </c>
      <c r="I745" s="42">
        <v>1</v>
      </c>
      <c r="J745" s="42">
        <v>1.75561797752809</v>
      </c>
      <c r="K745" s="42">
        <v>0.9921875</v>
      </c>
      <c r="L745" s="42">
        <v>0.5696</v>
      </c>
      <c r="M745">
        <v>1</v>
      </c>
    </row>
    <row r="746" spans="3:13" x14ac:dyDescent="0.15">
      <c r="C746" s="43">
        <v>713</v>
      </c>
      <c r="D746" s="42">
        <v>713</v>
      </c>
      <c r="E746" s="42">
        <v>0.57040000000000002</v>
      </c>
      <c r="F746" s="42">
        <v>127</v>
      </c>
      <c r="G746" s="42">
        <v>73.011200000000002</v>
      </c>
      <c r="H746" s="42">
        <v>1.7394591514726507</v>
      </c>
      <c r="I746" s="42">
        <v>1</v>
      </c>
      <c r="J746" s="42">
        <v>1.7531556802244039</v>
      </c>
      <c r="K746" s="42">
        <v>0.9921875</v>
      </c>
      <c r="L746" s="42">
        <v>0.57040000000000002</v>
      </c>
      <c r="M746">
        <v>1</v>
      </c>
    </row>
    <row r="747" spans="3:13" x14ac:dyDescent="0.15">
      <c r="C747" s="43">
        <v>714</v>
      </c>
      <c r="D747" s="42">
        <v>714</v>
      </c>
      <c r="E747" s="42">
        <v>0.57120000000000004</v>
      </c>
      <c r="F747" s="42">
        <v>127</v>
      </c>
      <c r="G747" s="42">
        <v>73.113600000000005</v>
      </c>
      <c r="H747" s="42">
        <v>1.7370229341736694</v>
      </c>
      <c r="I747" s="42">
        <v>1</v>
      </c>
      <c r="J747" s="42">
        <v>1.7507002801120446</v>
      </c>
      <c r="K747" s="42">
        <v>0.9921875</v>
      </c>
      <c r="L747" s="42">
        <v>0.57120000000000004</v>
      </c>
      <c r="M747">
        <v>1</v>
      </c>
    </row>
    <row r="748" spans="3:13" x14ac:dyDescent="0.15">
      <c r="C748" s="43">
        <v>715</v>
      </c>
      <c r="D748" s="42">
        <v>715</v>
      </c>
      <c r="E748" s="42">
        <v>0.57199999999999995</v>
      </c>
      <c r="F748" s="42">
        <v>127</v>
      </c>
      <c r="G748" s="42">
        <v>73.216000000000008</v>
      </c>
      <c r="H748" s="42">
        <v>1.7345935314685317</v>
      </c>
      <c r="I748" s="42">
        <v>1</v>
      </c>
      <c r="J748" s="42">
        <v>1.7482517482517483</v>
      </c>
      <c r="K748" s="42">
        <v>0.9921875</v>
      </c>
      <c r="L748" s="42">
        <v>0.57199999999999995</v>
      </c>
      <c r="M748">
        <v>1</v>
      </c>
    </row>
    <row r="749" spans="3:13" x14ac:dyDescent="0.15">
      <c r="C749" s="43">
        <v>716</v>
      </c>
      <c r="D749" s="42">
        <v>716</v>
      </c>
      <c r="E749" s="42">
        <v>0.57279999999999998</v>
      </c>
      <c r="F749" s="42">
        <v>127</v>
      </c>
      <c r="G749" s="42">
        <v>73.318399999999997</v>
      </c>
      <c r="H749" s="42">
        <v>1.7321709148044693</v>
      </c>
      <c r="I749" s="42">
        <v>1</v>
      </c>
      <c r="J749" s="42">
        <v>1.7458100558659218</v>
      </c>
      <c r="K749" s="42">
        <v>0.9921875</v>
      </c>
      <c r="L749" s="42">
        <v>0.57279999999999998</v>
      </c>
      <c r="M749">
        <v>1</v>
      </c>
    </row>
    <row r="750" spans="3:13" x14ac:dyDescent="0.15">
      <c r="C750" s="43">
        <v>717</v>
      </c>
      <c r="D750" s="42">
        <v>717</v>
      </c>
      <c r="E750" s="42">
        <v>0.5736</v>
      </c>
      <c r="F750" s="42">
        <v>127</v>
      </c>
      <c r="G750" s="42">
        <v>73.4208</v>
      </c>
      <c r="H750" s="42">
        <v>1.7297550557880055</v>
      </c>
      <c r="I750" s="42">
        <v>1</v>
      </c>
      <c r="J750" s="42">
        <v>1.7433751743375174</v>
      </c>
      <c r="K750" s="42">
        <v>0.9921875</v>
      </c>
      <c r="L750" s="42">
        <v>0.5736</v>
      </c>
      <c r="M750">
        <v>1</v>
      </c>
    </row>
    <row r="751" spans="3:13" x14ac:dyDescent="0.15">
      <c r="C751" s="43">
        <v>718</v>
      </c>
      <c r="D751" s="42">
        <v>718</v>
      </c>
      <c r="E751" s="42">
        <v>0.57440000000000002</v>
      </c>
      <c r="F751" s="42">
        <v>127</v>
      </c>
      <c r="G751" s="42">
        <v>73.523200000000003</v>
      </c>
      <c r="H751" s="42">
        <v>1.727345926183844</v>
      </c>
      <c r="I751" s="42">
        <v>1</v>
      </c>
      <c r="J751" s="42">
        <v>1.7409470752089136</v>
      </c>
      <c r="K751" s="42">
        <v>0.9921875</v>
      </c>
      <c r="L751" s="42">
        <v>0.57440000000000002</v>
      </c>
      <c r="M751">
        <v>1</v>
      </c>
    </row>
    <row r="752" spans="3:13" x14ac:dyDescent="0.15">
      <c r="C752" s="43">
        <v>719</v>
      </c>
      <c r="D752" s="42">
        <v>719</v>
      </c>
      <c r="E752" s="42">
        <v>0.57520000000000004</v>
      </c>
      <c r="F752" s="42">
        <v>127</v>
      </c>
      <c r="G752" s="42">
        <v>73.625600000000006</v>
      </c>
      <c r="H752" s="42">
        <v>1.724943497913769</v>
      </c>
      <c r="I752" s="42">
        <v>1</v>
      </c>
      <c r="J752" s="42">
        <v>1.7385257301808066</v>
      </c>
      <c r="K752" s="42">
        <v>0.9921875</v>
      </c>
      <c r="L752" s="42">
        <v>0.57520000000000004</v>
      </c>
      <c r="M752">
        <v>1</v>
      </c>
    </row>
    <row r="753" spans="3:13" x14ac:dyDescent="0.15">
      <c r="C753" s="43">
        <v>720</v>
      </c>
      <c r="D753" s="42">
        <v>720</v>
      </c>
      <c r="E753" s="42">
        <v>0.57599999999999996</v>
      </c>
      <c r="F753" s="42">
        <v>127</v>
      </c>
      <c r="G753" s="42">
        <v>73.728000000000009</v>
      </c>
      <c r="H753" s="42">
        <v>1.7225477430555556</v>
      </c>
      <c r="I753" s="42">
        <v>1</v>
      </c>
      <c r="J753" s="42">
        <v>1.7361111111111112</v>
      </c>
      <c r="K753" s="42">
        <v>0.9921875</v>
      </c>
      <c r="L753" s="42">
        <v>0.57599999999999996</v>
      </c>
      <c r="M753">
        <v>1</v>
      </c>
    </row>
    <row r="754" spans="3:13" x14ac:dyDescent="0.15">
      <c r="C754" s="43">
        <v>721</v>
      </c>
      <c r="D754" s="42">
        <v>721</v>
      </c>
      <c r="E754" s="42">
        <v>0.57679999999999998</v>
      </c>
      <c r="F754" s="42">
        <v>127</v>
      </c>
      <c r="G754" s="42">
        <v>73.830399999999997</v>
      </c>
      <c r="H754" s="42">
        <v>1.7201586338418864</v>
      </c>
      <c r="I754" s="42">
        <v>1</v>
      </c>
      <c r="J754" s="42">
        <v>1.7337031900138697</v>
      </c>
      <c r="K754" s="42">
        <v>0.9921875</v>
      </c>
      <c r="L754" s="42">
        <v>0.57679999999999998</v>
      </c>
      <c r="M754">
        <v>1</v>
      </c>
    </row>
    <row r="755" spans="3:13" x14ac:dyDescent="0.15">
      <c r="C755" s="43">
        <v>722</v>
      </c>
      <c r="D755" s="42">
        <v>722</v>
      </c>
      <c r="E755" s="42">
        <v>0.5776</v>
      </c>
      <c r="F755" s="42">
        <v>127</v>
      </c>
      <c r="G755" s="42">
        <v>73.9328</v>
      </c>
      <c r="H755" s="42">
        <v>1.7177761426592797</v>
      </c>
      <c r="I755" s="42">
        <v>1</v>
      </c>
      <c r="J755" s="42">
        <v>1.7313019390581716</v>
      </c>
      <c r="K755" s="42">
        <v>0.9921875</v>
      </c>
      <c r="L755" s="42">
        <v>0.5776</v>
      </c>
      <c r="M755">
        <v>1</v>
      </c>
    </row>
    <row r="756" spans="3:13" x14ac:dyDescent="0.15">
      <c r="C756" s="43">
        <v>723</v>
      </c>
      <c r="D756" s="42">
        <v>723</v>
      </c>
      <c r="E756" s="42">
        <v>0.57840000000000003</v>
      </c>
      <c r="F756" s="42">
        <v>127</v>
      </c>
      <c r="G756" s="42">
        <v>74.035200000000003</v>
      </c>
      <c r="H756" s="42">
        <v>1.7154002420470262</v>
      </c>
      <c r="I756" s="42">
        <v>1</v>
      </c>
      <c r="J756" s="42">
        <v>1.7289073305670815</v>
      </c>
      <c r="K756" s="42">
        <v>0.9921875</v>
      </c>
      <c r="L756" s="42">
        <v>0.57840000000000003</v>
      </c>
      <c r="M756">
        <v>1</v>
      </c>
    </row>
    <row r="757" spans="3:13" x14ac:dyDescent="0.15">
      <c r="C757" s="43">
        <v>724</v>
      </c>
      <c r="D757" s="42">
        <v>724</v>
      </c>
      <c r="E757" s="42">
        <v>0.57920000000000005</v>
      </c>
      <c r="F757" s="42">
        <v>127</v>
      </c>
      <c r="G757" s="42">
        <v>74.137600000000006</v>
      </c>
      <c r="H757" s="42">
        <v>1.7130309046961325</v>
      </c>
      <c r="I757" s="42">
        <v>1</v>
      </c>
      <c r="J757" s="42">
        <v>1.7265193370165743</v>
      </c>
      <c r="K757" s="42">
        <v>0.9921875</v>
      </c>
      <c r="L757" s="42">
        <v>0.57920000000000005</v>
      </c>
      <c r="M757">
        <v>1</v>
      </c>
    </row>
    <row r="758" spans="3:13" x14ac:dyDescent="0.15">
      <c r="C758" s="43">
        <v>725</v>
      </c>
      <c r="D758" s="42">
        <v>725</v>
      </c>
      <c r="E758" s="42">
        <v>0.57999999999999996</v>
      </c>
      <c r="F758" s="42">
        <v>127</v>
      </c>
      <c r="G758" s="42">
        <v>74.240000000000009</v>
      </c>
      <c r="H758" s="42">
        <v>1.710668103448276</v>
      </c>
      <c r="I758" s="42">
        <v>1</v>
      </c>
      <c r="J758" s="42">
        <v>1.7241379310344829</v>
      </c>
      <c r="K758" s="42">
        <v>0.9921875</v>
      </c>
      <c r="L758" s="42">
        <v>0.57999999999999996</v>
      </c>
      <c r="M758">
        <v>1</v>
      </c>
    </row>
    <row r="759" spans="3:13" x14ac:dyDescent="0.15">
      <c r="C759" s="43">
        <v>726</v>
      </c>
      <c r="D759" s="42">
        <v>726</v>
      </c>
      <c r="E759" s="42">
        <v>0.58079999999999998</v>
      </c>
      <c r="F759" s="42">
        <v>127</v>
      </c>
      <c r="G759" s="42">
        <v>74.342399999999998</v>
      </c>
      <c r="H759" s="42">
        <v>1.7083118112947659</v>
      </c>
      <c r="I759" s="42">
        <v>1</v>
      </c>
      <c r="J759" s="42">
        <v>1.721763085399449</v>
      </c>
      <c r="K759" s="42">
        <v>0.9921875</v>
      </c>
      <c r="L759" s="42">
        <v>0.58079999999999998</v>
      </c>
      <c r="M759">
        <v>1</v>
      </c>
    </row>
    <row r="760" spans="3:13" x14ac:dyDescent="0.15">
      <c r="C760" s="43">
        <v>727</v>
      </c>
      <c r="D760" s="42">
        <v>727</v>
      </c>
      <c r="E760" s="42">
        <v>0.58160000000000001</v>
      </c>
      <c r="F760" s="42">
        <v>127</v>
      </c>
      <c r="G760" s="42">
        <v>74.444800000000001</v>
      </c>
      <c r="H760" s="42">
        <v>1.7059620013755159</v>
      </c>
      <c r="I760" s="42">
        <v>1</v>
      </c>
      <c r="J760" s="42">
        <v>1.71939477303989</v>
      </c>
      <c r="K760" s="42">
        <v>0.9921875</v>
      </c>
      <c r="L760" s="42">
        <v>0.58160000000000001</v>
      </c>
      <c r="M760">
        <v>1</v>
      </c>
    </row>
    <row r="761" spans="3:13" x14ac:dyDescent="0.15">
      <c r="C761" s="43">
        <v>728</v>
      </c>
      <c r="D761" s="42">
        <v>728</v>
      </c>
      <c r="E761" s="42">
        <v>0.58240000000000003</v>
      </c>
      <c r="F761" s="42">
        <v>127</v>
      </c>
      <c r="G761" s="42">
        <v>74.547200000000004</v>
      </c>
      <c r="H761" s="42">
        <v>1.7036186469780219</v>
      </c>
      <c r="I761" s="42">
        <v>1</v>
      </c>
      <c r="J761" s="42">
        <v>1.7170329670329669</v>
      </c>
      <c r="K761" s="42">
        <v>0.9921875</v>
      </c>
      <c r="L761" s="42">
        <v>0.58240000000000003</v>
      </c>
      <c r="M761">
        <v>1</v>
      </c>
    </row>
    <row r="762" spans="3:13" x14ac:dyDescent="0.15">
      <c r="C762" s="43">
        <v>729</v>
      </c>
      <c r="D762" s="42">
        <v>729</v>
      </c>
      <c r="E762" s="42">
        <v>0.58320000000000005</v>
      </c>
      <c r="F762" s="42">
        <v>127</v>
      </c>
      <c r="G762" s="42">
        <v>74.649600000000007</v>
      </c>
      <c r="H762" s="42">
        <v>1.7012817215363509</v>
      </c>
      <c r="I762" s="42">
        <v>1</v>
      </c>
      <c r="J762" s="42">
        <v>1.7146776406035664</v>
      </c>
      <c r="K762" s="42">
        <v>0.9921875</v>
      </c>
      <c r="L762" s="42">
        <v>0.58320000000000005</v>
      </c>
      <c r="M762">
        <v>1</v>
      </c>
    </row>
    <row r="763" spans="3:13" x14ac:dyDescent="0.15">
      <c r="C763" s="43">
        <v>730</v>
      </c>
      <c r="D763" s="42">
        <v>730</v>
      </c>
      <c r="E763" s="42">
        <v>0.58399999999999996</v>
      </c>
      <c r="F763" s="42">
        <v>127</v>
      </c>
      <c r="G763" s="42">
        <v>74.75200000000001</v>
      </c>
      <c r="H763" s="42">
        <v>1.6989511986301371</v>
      </c>
      <c r="I763" s="42">
        <v>1</v>
      </c>
      <c r="J763" s="42">
        <v>1.7123287671232879</v>
      </c>
      <c r="K763" s="42">
        <v>0.9921875</v>
      </c>
      <c r="L763" s="42">
        <v>0.58399999999999996</v>
      </c>
      <c r="M763">
        <v>1</v>
      </c>
    </row>
    <row r="764" spans="3:13" x14ac:dyDescent="0.15">
      <c r="C764" s="43">
        <v>731</v>
      </c>
      <c r="D764" s="42">
        <v>731</v>
      </c>
      <c r="E764" s="42">
        <v>0.58479999999999999</v>
      </c>
      <c r="F764" s="42">
        <v>127</v>
      </c>
      <c r="G764" s="42">
        <v>74.854399999999998</v>
      </c>
      <c r="H764" s="42">
        <v>1.6966270519835842</v>
      </c>
      <c r="I764" s="42">
        <v>1</v>
      </c>
      <c r="J764" s="42">
        <v>1.7099863201094392</v>
      </c>
      <c r="K764" s="42">
        <v>0.9921875</v>
      </c>
      <c r="L764" s="42">
        <v>0.58479999999999999</v>
      </c>
      <c r="M764">
        <v>1</v>
      </c>
    </row>
    <row r="765" spans="3:13" x14ac:dyDescent="0.15">
      <c r="C765" s="43">
        <v>732</v>
      </c>
      <c r="D765" s="42">
        <v>732</v>
      </c>
      <c r="E765" s="42">
        <v>0.58560000000000001</v>
      </c>
      <c r="F765" s="42">
        <v>127</v>
      </c>
      <c r="G765" s="42">
        <v>74.956800000000001</v>
      </c>
      <c r="H765" s="42">
        <v>1.6943092554644807</v>
      </c>
      <c r="I765" s="42">
        <v>1</v>
      </c>
      <c r="J765" s="42">
        <v>1.7076502732240437</v>
      </c>
      <c r="K765" s="42">
        <v>0.9921875</v>
      </c>
      <c r="L765" s="42">
        <v>0.58560000000000001</v>
      </c>
      <c r="M765">
        <v>1</v>
      </c>
    </row>
    <row r="766" spans="3:13" x14ac:dyDescent="0.15">
      <c r="C766" s="43">
        <v>733</v>
      </c>
      <c r="D766" s="42">
        <v>733</v>
      </c>
      <c r="E766" s="42">
        <v>0.58640000000000003</v>
      </c>
      <c r="F766" s="42">
        <v>127</v>
      </c>
      <c r="G766" s="42">
        <v>75.059200000000004</v>
      </c>
      <c r="H766" s="42">
        <v>1.6919977830832196</v>
      </c>
      <c r="I766" s="42">
        <v>1</v>
      </c>
      <c r="J766" s="42">
        <v>1.7053206002728512</v>
      </c>
      <c r="K766" s="42">
        <v>0.9921875</v>
      </c>
      <c r="L766" s="42">
        <v>0.58640000000000003</v>
      </c>
      <c r="M766">
        <v>1</v>
      </c>
    </row>
    <row r="767" spans="3:13" x14ac:dyDescent="0.15">
      <c r="C767" s="43">
        <v>734</v>
      </c>
      <c r="D767" s="42">
        <v>734</v>
      </c>
      <c r="E767" s="42">
        <v>0.58720000000000006</v>
      </c>
      <c r="F767" s="42">
        <v>127</v>
      </c>
      <c r="G767" s="42">
        <v>75.161600000000007</v>
      </c>
      <c r="H767" s="42">
        <v>1.6896926089918254</v>
      </c>
      <c r="I767" s="42">
        <v>1</v>
      </c>
      <c r="J767" s="42">
        <v>1.7029972752043596</v>
      </c>
      <c r="K767" s="42">
        <v>0.9921875</v>
      </c>
      <c r="L767" s="42">
        <v>0.58720000000000006</v>
      </c>
      <c r="M767">
        <v>1</v>
      </c>
    </row>
    <row r="768" spans="3:13" x14ac:dyDescent="0.15">
      <c r="C768" s="43">
        <v>735</v>
      </c>
      <c r="D768" s="42">
        <v>735</v>
      </c>
      <c r="E768" s="42">
        <v>0.58799999999999997</v>
      </c>
      <c r="F768" s="42">
        <v>127</v>
      </c>
      <c r="G768" s="42">
        <v>75.26400000000001</v>
      </c>
      <c r="H768" s="42">
        <v>1.6873937074829932</v>
      </c>
      <c r="I768" s="42">
        <v>1</v>
      </c>
      <c r="J768" s="42">
        <v>1.7006802721088436</v>
      </c>
      <c r="K768" s="42">
        <v>0.9921875</v>
      </c>
      <c r="L768" s="42">
        <v>0.58799999999999997</v>
      </c>
      <c r="M768">
        <v>1</v>
      </c>
    </row>
    <row r="769" spans="3:13" x14ac:dyDescent="0.15">
      <c r="C769" s="43">
        <v>736</v>
      </c>
      <c r="D769" s="42">
        <v>736</v>
      </c>
      <c r="E769" s="42">
        <v>0.58879999999999999</v>
      </c>
      <c r="F769" s="42">
        <v>127</v>
      </c>
      <c r="G769" s="42">
        <v>75.366399999999999</v>
      </c>
      <c r="H769" s="42">
        <v>1.6851010529891304</v>
      </c>
      <c r="I769" s="42">
        <v>1</v>
      </c>
      <c r="J769" s="42">
        <v>1.6983695652173914</v>
      </c>
      <c r="K769" s="42">
        <v>0.9921875</v>
      </c>
      <c r="L769" s="42">
        <v>0.58879999999999999</v>
      </c>
      <c r="M769">
        <v>1</v>
      </c>
    </row>
    <row r="770" spans="3:13" x14ac:dyDescent="0.15">
      <c r="C770" s="43">
        <v>737</v>
      </c>
      <c r="D770" s="42">
        <v>737</v>
      </c>
      <c r="E770" s="42">
        <v>0.58960000000000001</v>
      </c>
      <c r="F770" s="42">
        <v>127</v>
      </c>
      <c r="G770" s="42">
        <v>75.468800000000002</v>
      </c>
      <c r="H770" s="42">
        <v>1.6828146200814111</v>
      </c>
      <c r="I770" s="42">
        <v>1</v>
      </c>
      <c r="J770" s="42">
        <v>1.6960651289009498</v>
      </c>
      <c r="K770" s="42">
        <v>0.9921875</v>
      </c>
      <c r="L770" s="42">
        <v>0.58960000000000001</v>
      </c>
      <c r="M770">
        <v>1</v>
      </c>
    </row>
    <row r="771" spans="3:13" x14ac:dyDescent="0.15">
      <c r="C771" s="43">
        <v>738</v>
      </c>
      <c r="D771" s="42">
        <v>738</v>
      </c>
      <c r="E771" s="42">
        <v>0.59040000000000004</v>
      </c>
      <c r="F771" s="42">
        <v>127</v>
      </c>
      <c r="G771" s="42">
        <v>75.571200000000005</v>
      </c>
      <c r="H771" s="42">
        <v>1.6805343834688347</v>
      </c>
      <c r="I771" s="42">
        <v>1</v>
      </c>
      <c r="J771" s="42">
        <v>1.6937669376693767</v>
      </c>
      <c r="K771" s="42">
        <v>0.9921875</v>
      </c>
      <c r="L771" s="42">
        <v>0.59040000000000004</v>
      </c>
      <c r="M771">
        <v>1</v>
      </c>
    </row>
    <row r="772" spans="3:13" x14ac:dyDescent="0.15">
      <c r="C772" s="43">
        <v>739</v>
      </c>
      <c r="D772" s="42">
        <v>739</v>
      </c>
      <c r="E772" s="42">
        <v>0.59119999999999995</v>
      </c>
      <c r="F772" s="42">
        <v>127</v>
      </c>
      <c r="G772" s="42">
        <v>75.673600000000008</v>
      </c>
      <c r="H772" s="42">
        <v>1.6782603179972937</v>
      </c>
      <c r="I772" s="42">
        <v>1</v>
      </c>
      <c r="J772" s="42">
        <v>1.6914749661705009</v>
      </c>
      <c r="K772" s="42">
        <v>0.9921875</v>
      </c>
      <c r="L772" s="42">
        <v>0.59119999999999995</v>
      </c>
      <c r="M772">
        <v>1</v>
      </c>
    </row>
    <row r="773" spans="3:13" x14ac:dyDescent="0.15">
      <c r="C773" s="43">
        <v>740</v>
      </c>
      <c r="D773" s="42">
        <v>740</v>
      </c>
      <c r="E773" s="42">
        <v>0.59199999999999997</v>
      </c>
      <c r="F773" s="42">
        <v>127</v>
      </c>
      <c r="G773" s="42">
        <v>75.77600000000001</v>
      </c>
      <c r="H773" s="42">
        <v>1.6759923986486487</v>
      </c>
      <c r="I773" s="42">
        <v>1</v>
      </c>
      <c r="J773" s="42">
        <v>1.6891891891891893</v>
      </c>
      <c r="K773" s="42">
        <v>0.9921875</v>
      </c>
      <c r="L773" s="42">
        <v>0.59199999999999997</v>
      </c>
      <c r="M773">
        <v>1</v>
      </c>
    </row>
    <row r="774" spans="3:13" x14ac:dyDescent="0.15">
      <c r="C774" s="43">
        <v>741</v>
      </c>
      <c r="D774" s="42">
        <v>741</v>
      </c>
      <c r="E774" s="42">
        <v>0.59279999999999999</v>
      </c>
      <c r="F774" s="42">
        <v>127</v>
      </c>
      <c r="G774" s="42">
        <v>75.878399999999999</v>
      </c>
      <c r="H774" s="42">
        <v>1.6737306005398112</v>
      </c>
      <c r="I774" s="42">
        <v>1</v>
      </c>
      <c r="J774" s="42">
        <v>1.6869095816464237</v>
      </c>
      <c r="K774" s="42">
        <v>0.9921875</v>
      </c>
      <c r="L774" s="42">
        <v>0.59279999999999999</v>
      </c>
      <c r="M774">
        <v>1</v>
      </c>
    </row>
    <row r="775" spans="3:13" x14ac:dyDescent="0.15">
      <c r="C775" s="43">
        <v>742</v>
      </c>
      <c r="D775" s="42">
        <v>742</v>
      </c>
      <c r="E775" s="42">
        <v>0.59360000000000002</v>
      </c>
      <c r="F775" s="42">
        <v>127</v>
      </c>
      <c r="G775" s="42">
        <v>75.980800000000002</v>
      </c>
      <c r="H775" s="42">
        <v>1.6714748989218329</v>
      </c>
      <c r="I775" s="42">
        <v>1</v>
      </c>
      <c r="J775" s="42">
        <v>1.6846361185983827</v>
      </c>
      <c r="K775" s="42">
        <v>0.9921875</v>
      </c>
      <c r="L775" s="42">
        <v>0.59360000000000002</v>
      </c>
      <c r="M775">
        <v>1</v>
      </c>
    </row>
    <row r="776" spans="3:13" x14ac:dyDescent="0.15">
      <c r="C776" s="43">
        <v>743</v>
      </c>
      <c r="D776" s="42">
        <v>743</v>
      </c>
      <c r="E776" s="42">
        <v>0.59440000000000004</v>
      </c>
      <c r="F776" s="42">
        <v>127</v>
      </c>
      <c r="G776" s="42">
        <v>76.083200000000005</v>
      </c>
      <c r="H776" s="42">
        <v>1.6692252691790039</v>
      </c>
      <c r="I776" s="42">
        <v>1</v>
      </c>
      <c r="J776" s="42">
        <v>1.6823687752355314</v>
      </c>
      <c r="K776" s="42">
        <v>0.9921875</v>
      </c>
      <c r="L776" s="42">
        <v>0.59440000000000004</v>
      </c>
      <c r="M776">
        <v>1</v>
      </c>
    </row>
    <row r="777" spans="3:13" x14ac:dyDescent="0.15">
      <c r="C777" s="43">
        <v>744</v>
      </c>
      <c r="D777" s="42">
        <v>744</v>
      </c>
      <c r="E777" s="42">
        <v>0.59519999999999995</v>
      </c>
      <c r="F777" s="42">
        <v>127</v>
      </c>
      <c r="G777" s="42">
        <v>76.185600000000008</v>
      </c>
      <c r="H777" s="42">
        <v>1.6669816868279572</v>
      </c>
      <c r="I777" s="42">
        <v>1</v>
      </c>
      <c r="J777" s="42">
        <v>1.6801075268817205</v>
      </c>
      <c r="K777" s="42">
        <v>0.9921875</v>
      </c>
      <c r="L777" s="42">
        <v>0.59519999999999995</v>
      </c>
      <c r="M777">
        <v>1</v>
      </c>
    </row>
    <row r="778" spans="3:13" x14ac:dyDescent="0.15">
      <c r="C778" s="43">
        <v>745</v>
      </c>
      <c r="D778" s="42">
        <v>745</v>
      </c>
      <c r="E778" s="42">
        <v>0.59599999999999997</v>
      </c>
      <c r="F778" s="42">
        <v>127</v>
      </c>
      <c r="G778" s="42">
        <v>76.287999999999997</v>
      </c>
      <c r="H778" s="42">
        <v>1.6647441275167787</v>
      </c>
      <c r="I778" s="42">
        <v>1</v>
      </c>
      <c r="J778" s="42">
        <v>1.6778523489932886</v>
      </c>
      <c r="K778" s="42">
        <v>0.9921875</v>
      </c>
      <c r="L778" s="42">
        <v>0.59599999999999997</v>
      </c>
      <c r="M778">
        <v>1</v>
      </c>
    </row>
    <row r="779" spans="3:13" x14ac:dyDescent="0.15">
      <c r="C779" s="43">
        <v>746</v>
      </c>
      <c r="D779" s="42">
        <v>746</v>
      </c>
      <c r="E779" s="42">
        <v>0.5968</v>
      </c>
      <c r="F779" s="42">
        <v>127</v>
      </c>
      <c r="G779" s="42">
        <v>76.3904</v>
      </c>
      <c r="H779" s="42">
        <v>1.6625125670241288</v>
      </c>
      <c r="I779" s="42">
        <v>1</v>
      </c>
      <c r="J779" s="42">
        <v>1.6756032171581769</v>
      </c>
      <c r="K779" s="42">
        <v>0.9921875</v>
      </c>
      <c r="L779" s="42">
        <v>0.5968</v>
      </c>
      <c r="M779">
        <v>1</v>
      </c>
    </row>
    <row r="780" spans="3:13" x14ac:dyDescent="0.15">
      <c r="C780" s="43">
        <v>747</v>
      </c>
      <c r="D780" s="42">
        <v>747</v>
      </c>
      <c r="E780" s="42">
        <v>0.59760000000000002</v>
      </c>
      <c r="F780" s="42">
        <v>127</v>
      </c>
      <c r="G780" s="42">
        <v>76.492800000000003</v>
      </c>
      <c r="H780" s="42">
        <v>1.6602869812583667</v>
      </c>
      <c r="I780" s="42">
        <v>1</v>
      </c>
      <c r="J780" s="42">
        <v>1.6733601070950468</v>
      </c>
      <c r="K780" s="42">
        <v>0.9921875</v>
      </c>
      <c r="L780" s="42">
        <v>0.59760000000000002</v>
      </c>
      <c r="M780">
        <v>1</v>
      </c>
    </row>
    <row r="781" spans="3:13" x14ac:dyDescent="0.15">
      <c r="C781" s="43">
        <v>748</v>
      </c>
      <c r="D781" s="42">
        <v>748</v>
      </c>
      <c r="E781" s="42">
        <v>0.59840000000000004</v>
      </c>
      <c r="F781" s="42">
        <v>127</v>
      </c>
      <c r="G781" s="42">
        <v>76.595200000000006</v>
      </c>
      <c r="H781" s="42">
        <v>1.6580673462566844</v>
      </c>
      <c r="I781" s="42">
        <v>1</v>
      </c>
      <c r="J781" s="42">
        <v>1.6711229946524062</v>
      </c>
      <c r="K781" s="42">
        <v>0.9921875</v>
      </c>
      <c r="L781" s="42">
        <v>0.59840000000000004</v>
      </c>
      <c r="M781">
        <v>1</v>
      </c>
    </row>
    <row r="782" spans="3:13" x14ac:dyDescent="0.15">
      <c r="C782" s="43">
        <v>749</v>
      </c>
      <c r="D782" s="42">
        <v>749</v>
      </c>
      <c r="E782" s="42">
        <v>0.59919999999999995</v>
      </c>
      <c r="F782" s="42">
        <v>127</v>
      </c>
      <c r="G782" s="42">
        <v>76.697600000000008</v>
      </c>
      <c r="H782" s="42">
        <v>1.6558536381842457</v>
      </c>
      <c r="I782" s="42">
        <v>1</v>
      </c>
      <c r="J782" s="42">
        <v>1.6688918558077437</v>
      </c>
      <c r="K782" s="42">
        <v>0.9921875</v>
      </c>
      <c r="L782" s="42">
        <v>0.59919999999999995</v>
      </c>
      <c r="M782">
        <v>1</v>
      </c>
    </row>
    <row r="783" spans="3:13" x14ac:dyDescent="0.15">
      <c r="C783" s="43">
        <v>750</v>
      </c>
      <c r="D783" s="42">
        <v>750</v>
      </c>
      <c r="E783" s="42">
        <v>0.6</v>
      </c>
      <c r="F783" s="42">
        <v>127</v>
      </c>
      <c r="G783" s="42">
        <v>76.8</v>
      </c>
      <c r="H783" s="42">
        <v>1.6536458333333335</v>
      </c>
      <c r="I783" s="42">
        <v>1</v>
      </c>
      <c r="J783" s="42">
        <v>1.6666666666666667</v>
      </c>
      <c r="K783" s="42">
        <v>0.9921875</v>
      </c>
      <c r="L783" s="42">
        <v>0.6</v>
      </c>
      <c r="M783">
        <v>1</v>
      </c>
    </row>
    <row r="784" spans="3:13" x14ac:dyDescent="0.15">
      <c r="C784" s="43">
        <v>751</v>
      </c>
      <c r="D784" s="42">
        <v>751</v>
      </c>
      <c r="E784" s="42">
        <v>0.6008</v>
      </c>
      <c r="F784" s="42">
        <v>127</v>
      </c>
      <c r="G784" s="42">
        <v>76.9024</v>
      </c>
      <c r="H784" s="42">
        <v>1.6514439081225034</v>
      </c>
      <c r="I784" s="42">
        <v>1</v>
      </c>
      <c r="J784" s="42">
        <v>1.6644474034620507</v>
      </c>
      <c r="K784" s="42">
        <v>0.9921875</v>
      </c>
      <c r="L784" s="42">
        <v>0.6008</v>
      </c>
      <c r="M784">
        <v>1</v>
      </c>
    </row>
    <row r="785" spans="3:13" x14ac:dyDescent="0.15">
      <c r="C785" s="43">
        <v>752</v>
      </c>
      <c r="D785" s="42">
        <v>752</v>
      </c>
      <c r="E785" s="42">
        <v>0.60160000000000002</v>
      </c>
      <c r="F785" s="42">
        <v>127</v>
      </c>
      <c r="G785" s="42">
        <v>77.004800000000003</v>
      </c>
      <c r="H785" s="42">
        <v>1.6492478390957446</v>
      </c>
      <c r="I785" s="42">
        <v>1</v>
      </c>
      <c r="J785" s="42">
        <v>1.6622340425531914</v>
      </c>
      <c r="K785" s="42">
        <v>0.9921875</v>
      </c>
      <c r="L785" s="42">
        <v>0.60160000000000002</v>
      </c>
      <c r="M785">
        <v>1</v>
      </c>
    </row>
    <row r="786" spans="3:13" x14ac:dyDescent="0.15">
      <c r="C786" s="43">
        <v>753</v>
      </c>
      <c r="D786" s="42">
        <v>753</v>
      </c>
      <c r="E786" s="42">
        <v>0.60240000000000005</v>
      </c>
      <c r="F786" s="42">
        <v>127</v>
      </c>
      <c r="G786" s="42">
        <v>77.107200000000006</v>
      </c>
      <c r="H786" s="42">
        <v>1.6470576029216466</v>
      </c>
      <c r="I786" s="42">
        <v>1</v>
      </c>
      <c r="J786" s="42">
        <v>1.6600265604249667</v>
      </c>
      <c r="K786" s="42">
        <v>0.9921875</v>
      </c>
      <c r="L786" s="42">
        <v>0.60240000000000005</v>
      </c>
      <c r="M786">
        <v>1</v>
      </c>
    </row>
    <row r="787" spans="3:13" x14ac:dyDescent="0.15">
      <c r="C787" s="43">
        <v>754</v>
      </c>
      <c r="D787" s="42">
        <v>754</v>
      </c>
      <c r="E787" s="42">
        <v>0.60319999999999996</v>
      </c>
      <c r="F787" s="42">
        <v>127</v>
      </c>
      <c r="G787" s="42">
        <v>77.209600000000009</v>
      </c>
      <c r="H787" s="42">
        <v>1.644873176392573</v>
      </c>
      <c r="I787" s="42">
        <v>1</v>
      </c>
      <c r="J787" s="42">
        <v>1.6578249336870028</v>
      </c>
      <c r="K787" s="42">
        <v>0.9921875</v>
      </c>
      <c r="L787" s="42">
        <v>0.60319999999999996</v>
      </c>
      <c r="M787">
        <v>1</v>
      </c>
    </row>
    <row r="788" spans="3:13" x14ac:dyDescent="0.15">
      <c r="C788" s="43">
        <v>755</v>
      </c>
      <c r="D788" s="42">
        <v>755</v>
      </c>
      <c r="E788" s="42">
        <v>0.60399999999999998</v>
      </c>
      <c r="F788" s="42">
        <v>127</v>
      </c>
      <c r="G788" s="42">
        <v>77.311999999999998</v>
      </c>
      <c r="H788" s="42">
        <v>1.642694536423841</v>
      </c>
      <c r="I788" s="42">
        <v>1</v>
      </c>
      <c r="J788" s="42">
        <v>1.6556291390728477</v>
      </c>
      <c r="K788" s="42">
        <v>0.9921875</v>
      </c>
      <c r="L788" s="42">
        <v>0.60399999999999998</v>
      </c>
      <c r="M788">
        <v>1</v>
      </c>
    </row>
    <row r="789" spans="3:13" x14ac:dyDescent="0.15">
      <c r="C789" s="43">
        <v>756</v>
      </c>
      <c r="D789" s="42">
        <v>756</v>
      </c>
      <c r="E789" s="42">
        <v>0.6048</v>
      </c>
      <c r="F789" s="42">
        <v>127</v>
      </c>
      <c r="G789" s="42">
        <v>77.414400000000001</v>
      </c>
      <c r="H789" s="42">
        <v>1.64052166005291</v>
      </c>
      <c r="I789" s="42">
        <v>1</v>
      </c>
      <c r="J789" s="42">
        <v>1.6534391534391535</v>
      </c>
      <c r="K789" s="42">
        <v>0.9921875</v>
      </c>
      <c r="L789" s="42">
        <v>0.6048</v>
      </c>
      <c r="M789">
        <v>1</v>
      </c>
    </row>
    <row r="790" spans="3:13" x14ac:dyDescent="0.15">
      <c r="C790" s="43">
        <v>757</v>
      </c>
      <c r="D790" s="42">
        <v>757</v>
      </c>
      <c r="E790" s="42">
        <v>0.60560000000000003</v>
      </c>
      <c r="F790" s="42">
        <v>127</v>
      </c>
      <c r="G790" s="42">
        <v>77.516800000000003</v>
      </c>
      <c r="H790" s="42">
        <v>1.6383545244385733</v>
      </c>
      <c r="I790" s="42">
        <v>1</v>
      </c>
      <c r="J790" s="42">
        <v>1.6512549537648613</v>
      </c>
      <c r="K790" s="42">
        <v>0.9921875</v>
      </c>
      <c r="L790" s="42">
        <v>0.60560000000000003</v>
      </c>
      <c r="M790">
        <v>1</v>
      </c>
    </row>
    <row r="791" spans="3:13" x14ac:dyDescent="0.15">
      <c r="C791" s="43">
        <v>758</v>
      </c>
      <c r="D791" s="42">
        <v>758</v>
      </c>
      <c r="E791" s="42">
        <v>0.60640000000000005</v>
      </c>
      <c r="F791" s="42">
        <v>127</v>
      </c>
      <c r="G791" s="42">
        <v>77.619200000000006</v>
      </c>
      <c r="H791" s="42">
        <v>1.6361931068601583</v>
      </c>
      <c r="I791" s="42">
        <v>1</v>
      </c>
      <c r="J791" s="42">
        <v>1.6490765171503956</v>
      </c>
      <c r="K791" s="42">
        <v>0.9921875</v>
      </c>
      <c r="L791" s="42">
        <v>0.60640000000000005</v>
      </c>
      <c r="M791">
        <v>1</v>
      </c>
    </row>
    <row r="792" spans="3:13" x14ac:dyDescent="0.15">
      <c r="C792" s="43">
        <v>759</v>
      </c>
      <c r="D792" s="42">
        <v>759</v>
      </c>
      <c r="E792" s="42">
        <v>0.60719999999999996</v>
      </c>
      <c r="F792" s="42">
        <v>127</v>
      </c>
      <c r="G792" s="42">
        <v>77.721600000000009</v>
      </c>
      <c r="H792" s="42">
        <v>1.6340373847167327</v>
      </c>
      <c r="I792" s="42">
        <v>1</v>
      </c>
      <c r="J792" s="42">
        <v>1.6469038208168645</v>
      </c>
      <c r="K792" s="42">
        <v>0.9921875</v>
      </c>
      <c r="L792" s="42">
        <v>0.60719999999999996</v>
      </c>
      <c r="M792">
        <v>1</v>
      </c>
    </row>
    <row r="793" spans="3:13" x14ac:dyDescent="0.15">
      <c r="C793" s="43">
        <v>760</v>
      </c>
      <c r="D793" s="42">
        <v>760</v>
      </c>
      <c r="E793" s="42">
        <v>0.60799999999999998</v>
      </c>
      <c r="F793" s="42">
        <v>127</v>
      </c>
      <c r="G793" s="42">
        <v>77.823999999999998</v>
      </c>
      <c r="H793" s="42">
        <v>1.6318873355263159</v>
      </c>
      <c r="I793" s="42">
        <v>1</v>
      </c>
      <c r="J793" s="42">
        <v>1.6447368421052633</v>
      </c>
      <c r="K793" s="42">
        <v>0.9921875</v>
      </c>
      <c r="L793" s="42">
        <v>0.60799999999999998</v>
      </c>
      <c r="M793">
        <v>1</v>
      </c>
    </row>
    <row r="794" spans="3:13" x14ac:dyDescent="0.15">
      <c r="C794" s="43">
        <v>761</v>
      </c>
      <c r="D794" s="42">
        <v>761</v>
      </c>
      <c r="E794" s="42">
        <v>0.60880000000000001</v>
      </c>
      <c r="F794" s="42">
        <v>127</v>
      </c>
      <c r="G794" s="42">
        <v>77.926400000000001</v>
      </c>
      <c r="H794" s="42">
        <v>1.6297429369250986</v>
      </c>
      <c r="I794" s="42">
        <v>1</v>
      </c>
      <c r="J794" s="42">
        <v>1.6425755584756898</v>
      </c>
      <c r="K794" s="42">
        <v>0.9921875</v>
      </c>
      <c r="L794" s="42">
        <v>0.60880000000000001</v>
      </c>
      <c r="M794">
        <v>1</v>
      </c>
    </row>
    <row r="795" spans="3:13" x14ac:dyDescent="0.15">
      <c r="C795" s="43">
        <v>762</v>
      </c>
      <c r="D795" s="42">
        <v>762</v>
      </c>
      <c r="E795" s="42">
        <v>0.60960000000000003</v>
      </c>
      <c r="F795" s="42">
        <v>127</v>
      </c>
      <c r="G795" s="42">
        <v>78.028800000000004</v>
      </c>
      <c r="H795" s="42">
        <v>1.6276041666666665</v>
      </c>
      <c r="I795" s="42">
        <v>1</v>
      </c>
      <c r="J795" s="42">
        <v>1.6404199475065615</v>
      </c>
      <c r="K795" s="42">
        <v>0.9921875</v>
      </c>
      <c r="L795" s="42">
        <v>0.60960000000000003</v>
      </c>
      <c r="M795">
        <v>1</v>
      </c>
    </row>
    <row r="796" spans="3:13" x14ac:dyDescent="0.15">
      <c r="C796" s="43">
        <v>763</v>
      </c>
      <c r="D796" s="42">
        <v>763</v>
      </c>
      <c r="E796" s="42">
        <v>0.61040000000000005</v>
      </c>
      <c r="F796" s="42">
        <v>127</v>
      </c>
      <c r="G796" s="42">
        <v>78.131200000000007</v>
      </c>
      <c r="H796" s="42">
        <v>1.6254710026212318</v>
      </c>
      <c r="I796" s="42">
        <v>1</v>
      </c>
      <c r="J796" s="42">
        <v>1.63826998689384</v>
      </c>
      <c r="K796" s="42">
        <v>0.9921875</v>
      </c>
      <c r="L796" s="42">
        <v>0.61040000000000005</v>
      </c>
      <c r="M796">
        <v>1</v>
      </c>
    </row>
    <row r="797" spans="3:13" x14ac:dyDescent="0.15">
      <c r="C797" s="43">
        <v>764</v>
      </c>
      <c r="D797" s="42">
        <v>764</v>
      </c>
      <c r="E797" s="42">
        <v>0.61119999999999997</v>
      </c>
      <c r="F797" s="42">
        <v>127</v>
      </c>
      <c r="G797" s="42">
        <v>78.23360000000001</v>
      </c>
      <c r="H797" s="42">
        <v>1.6233434227748691</v>
      </c>
      <c r="I797" s="42">
        <v>1</v>
      </c>
      <c r="J797" s="42">
        <v>1.6361256544502618</v>
      </c>
      <c r="K797" s="42">
        <v>0.9921875</v>
      </c>
      <c r="L797" s="42">
        <v>0.61119999999999997</v>
      </c>
      <c r="M797">
        <v>1</v>
      </c>
    </row>
    <row r="798" spans="3:13" x14ac:dyDescent="0.15">
      <c r="C798" s="43">
        <v>765</v>
      </c>
      <c r="D798" s="42">
        <v>765</v>
      </c>
      <c r="E798" s="42">
        <v>0.61199999999999999</v>
      </c>
      <c r="F798" s="42">
        <v>127</v>
      </c>
      <c r="G798" s="42">
        <v>78.335999999999999</v>
      </c>
      <c r="H798" s="42">
        <v>1.6212214052287581</v>
      </c>
      <c r="I798" s="42">
        <v>1</v>
      </c>
      <c r="J798" s="42">
        <v>1.6339869281045751</v>
      </c>
      <c r="K798" s="42">
        <v>0.9921875</v>
      </c>
      <c r="L798" s="42">
        <v>0.61199999999999999</v>
      </c>
      <c r="M798">
        <v>1</v>
      </c>
    </row>
    <row r="799" spans="3:13" x14ac:dyDescent="0.15">
      <c r="C799" s="43">
        <v>766</v>
      </c>
      <c r="D799" s="42">
        <v>766</v>
      </c>
      <c r="E799" s="42">
        <v>0.61280000000000001</v>
      </c>
      <c r="F799" s="42">
        <v>127</v>
      </c>
      <c r="G799" s="42">
        <v>78.438400000000001</v>
      </c>
      <c r="H799" s="42">
        <v>1.6191049281984333</v>
      </c>
      <c r="I799" s="42">
        <v>1</v>
      </c>
      <c r="J799" s="42">
        <v>1.6318537859007833</v>
      </c>
      <c r="K799" s="42">
        <v>0.9921875</v>
      </c>
      <c r="L799" s="42">
        <v>0.61280000000000001</v>
      </c>
      <c r="M799">
        <v>1</v>
      </c>
    </row>
    <row r="800" spans="3:13" x14ac:dyDescent="0.15">
      <c r="C800" s="43">
        <v>767</v>
      </c>
      <c r="D800" s="42">
        <v>767</v>
      </c>
      <c r="E800" s="42">
        <v>0.61360000000000003</v>
      </c>
      <c r="F800" s="42">
        <v>127</v>
      </c>
      <c r="G800" s="42">
        <v>78.540800000000004</v>
      </c>
      <c r="H800" s="42">
        <v>1.6169939700130378</v>
      </c>
      <c r="I800" s="42">
        <v>1</v>
      </c>
      <c r="J800" s="42">
        <v>1.6297262059973923</v>
      </c>
      <c r="K800" s="42">
        <v>0.9921875</v>
      </c>
      <c r="L800" s="42">
        <v>0.61360000000000003</v>
      </c>
      <c r="M800">
        <v>1</v>
      </c>
    </row>
    <row r="801" spans="3:13" x14ac:dyDescent="0.15">
      <c r="C801" s="43">
        <v>768</v>
      </c>
      <c r="D801" s="42">
        <v>768</v>
      </c>
      <c r="E801" s="42">
        <v>0.61439999999999995</v>
      </c>
      <c r="F801" s="42">
        <v>127</v>
      </c>
      <c r="G801" s="42">
        <v>78.643200000000007</v>
      </c>
      <c r="H801" s="42">
        <v>1.6148885091145835</v>
      </c>
      <c r="I801" s="42">
        <v>1</v>
      </c>
      <c r="J801" s="42">
        <v>1.6276041666666667</v>
      </c>
      <c r="K801" s="42">
        <v>0.9921875</v>
      </c>
      <c r="L801" s="42">
        <v>0.61439999999999995</v>
      </c>
      <c r="M801">
        <v>1</v>
      </c>
    </row>
    <row r="802" spans="3:13" x14ac:dyDescent="0.15">
      <c r="C802" s="43">
        <v>769</v>
      </c>
      <c r="D802" s="42">
        <v>769</v>
      </c>
      <c r="E802" s="42">
        <v>0.61519999999999997</v>
      </c>
      <c r="F802" s="42">
        <v>127</v>
      </c>
      <c r="G802" s="42">
        <v>78.74560000000001</v>
      </c>
      <c r="H802" s="42">
        <v>1.6127885240572173</v>
      </c>
      <c r="I802" s="42">
        <v>1</v>
      </c>
      <c r="J802" s="42">
        <v>1.6254876462938883</v>
      </c>
      <c r="K802" s="42">
        <v>0.9921875</v>
      </c>
      <c r="L802" s="42">
        <v>0.61519999999999997</v>
      </c>
      <c r="M802">
        <v>1</v>
      </c>
    </row>
    <row r="803" spans="3:13" x14ac:dyDescent="0.15">
      <c r="C803" s="43">
        <v>770</v>
      </c>
      <c r="D803" s="42">
        <v>770</v>
      </c>
      <c r="E803" s="42">
        <v>0.61599999999999999</v>
      </c>
      <c r="F803" s="42">
        <v>127</v>
      </c>
      <c r="G803" s="42">
        <v>78.847999999999999</v>
      </c>
      <c r="H803" s="42">
        <v>1.6106939935064934</v>
      </c>
      <c r="I803" s="42">
        <v>1</v>
      </c>
      <c r="J803" s="42">
        <v>1.6233766233766234</v>
      </c>
      <c r="K803" s="42">
        <v>0.9921875</v>
      </c>
      <c r="L803" s="42">
        <v>0.61599999999999999</v>
      </c>
      <c r="M803">
        <v>1</v>
      </c>
    </row>
    <row r="804" spans="3:13" x14ac:dyDescent="0.15">
      <c r="C804" s="43">
        <v>771</v>
      </c>
      <c r="D804" s="42">
        <v>771</v>
      </c>
      <c r="E804" s="42">
        <v>0.61680000000000001</v>
      </c>
      <c r="F804" s="42">
        <v>127</v>
      </c>
      <c r="G804" s="42">
        <v>78.950400000000002</v>
      </c>
      <c r="H804" s="42">
        <v>1.608604896238651</v>
      </c>
      <c r="I804" s="42">
        <v>1</v>
      </c>
      <c r="J804" s="42">
        <v>1.6212710765239948</v>
      </c>
      <c r="K804" s="42">
        <v>0.9921875</v>
      </c>
      <c r="L804" s="42">
        <v>0.61680000000000001</v>
      </c>
      <c r="M804">
        <v>1</v>
      </c>
    </row>
    <row r="805" spans="3:13" x14ac:dyDescent="0.15">
      <c r="C805" s="43">
        <v>772</v>
      </c>
      <c r="D805" s="42">
        <v>772</v>
      </c>
      <c r="E805" s="42">
        <v>0.61760000000000004</v>
      </c>
      <c r="F805" s="42">
        <v>127</v>
      </c>
      <c r="G805" s="42">
        <v>79.052800000000005</v>
      </c>
      <c r="H805" s="42">
        <v>1.6065212111398963</v>
      </c>
      <c r="I805" s="42">
        <v>1</v>
      </c>
      <c r="J805" s="42">
        <v>1.6191709844559585</v>
      </c>
      <c r="K805" s="42">
        <v>0.9921875</v>
      </c>
      <c r="L805" s="42">
        <v>0.61760000000000004</v>
      </c>
      <c r="M805">
        <v>1</v>
      </c>
    </row>
    <row r="806" spans="3:13" x14ac:dyDescent="0.15">
      <c r="C806" s="43">
        <v>773</v>
      </c>
      <c r="D806" s="42">
        <v>773</v>
      </c>
      <c r="E806" s="42">
        <v>0.61839999999999995</v>
      </c>
      <c r="F806" s="42">
        <v>127</v>
      </c>
      <c r="G806" s="42">
        <v>79.155200000000008</v>
      </c>
      <c r="H806" s="42">
        <v>1.6044429172056922</v>
      </c>
      <c r="I806" s="42">
        <v>1</v>
      </c>
      <c r="J806" s="42">
        <v>1.6170763260025875</v>
      </c>
      <c r="K806" s="42">
        <v>0.9921875</v>
      </c>
      <c r="L806" s="42">
        <v>0.61839999999999995</v>
      </c>
      <c r="M806">
        <v>1</v>
      </c>
    </row>
    <row r="807" spans="3:13" x14ac:dyDescent="0.15">
      <c r="C807" s="43">
        <v>774</v>
      </c>
      <c r="D807" s="42">
        <v>774</v>
      </c>
      <c r="E807" s="42">
        <v>0.61919999999999997</v>
      </c>
      <c r="F807" s="42">
        <v>127</v>
      </c>
      <c r="G807" s="42">
        <v>79.257600000000011</v>
      </c>
      <c r="H807" s="42">
        <v>1.6023699935400517</v>
      </c>
      <c r="I807" s="42">
        <v>1</v>
      </c>
      <c r="J807" s="42">
        <v>1.6149870801033592</v>
      </c>
      <c r="K807" s="42">
        <v>0.9921875</v>
      </c>
      <c r="L807" s="42">
        <v>0.61919999999999997</v>
      </c>
      <c r="M807">
        <v>1</v>
      </c>
    </row>
    <row r="808" spans="3:13" x14ac:dyDescent="0.15">
      <c r="C808" s="43">
        <v>775</v>
      </c>
      <c r="D808" s="42">
        <v>775</v>
      </c>
      <c r="E808" s="42">
        <v>0.62</v>
      </c>
      <c r="F808" s="42">
        <v>127</v>
      </c>
      <c r="G808" s="42">
        <v>79.36</v>
      </c>
      <c r="H808" s="42">
        <v>1.6003024193548387</v>
      </c>
      <c r="I808" s="42">
        <v>1</v>
      </c>
      <c r="J808" s="42">
        <v>1.6129032258064517</v>
      </c>
      <c r="K808" s="42">
        <v>0.9921875</v>
      </c>
      <c r="L808" s="42">
        <v>0.62</v>
      </c>
      <c r="M808">
        <v>1</v>
      </c>
    </row>
    <row r="809" spans="3:13" x14ac:dyDescent="0.15">
      <c r="C809" s="43">
        <v>776</v>
      </c>
      <c r="D809" s="42">
        <v>776</v>
      </c>
      <c r="E809" s="42">
        <v>0.62080000000000002</v>
      </c>
      <c r="F809" s="42">
        <v>127</v>
      </c>
      <c r="G809" s="42">
        <v>79.462400000000002</v>
      </c>
      <c r="H809" s="42">
        <v>1.5982401739690721</v>
      </c>
      <c r="I809" s="42">
        <v>1</v>
      </c>
      <c r="J809" s="42">
        <v>1.6108247422680413</v>
      </c>
      <c r="K809" s="42">
        <v>0.9921875</v>
      </c>
      <c r="L809" s="42">
        <v>0.62080000000000002</v>
      </c>
      <c r="M809">
        <v>1</v>
      </c>
    </row>
    <row r="810" spans="3:13" x14ac:dyDescent="0.15">
      <c r="C810" s="43">
        <v>777</v>
      </c>
      <c r="D810" s="42">
        <v>777</v>
      </c>
      <c r="E810" s="42">
        <v>0.62160000000000004</v>
      </c>
      <c r="F810" s="42">
        <v>127</v>
      </c>
      <c r="G810" s="42">
        <v>79.564800000000005</v>
      </c>
      <c r="H810" s="42">
        <v>1.5961832368082367</v>
      </c>
      <c r="I810" s="42">
        <v>1</v>
      </c>
      <c r="J810" s="42">
        <v>1.6087516087516087</v>
      </c>
      <c r="K810" s="42">
        <v>0.9921875</v>
      </c>
      <c r="L810" s="42">
        <v>0.62160000000000004</v>
      </c>
      <c r="M810">
        <v>1</v>
      </c>
    </row>
    <row r="811" spans="3:13" x14ac:dyDescent="0.15">
      <c r="C811" s="43">
        <v>778</v>
      </c>
      <c r="D811" s="42">
        <v>778</v>
      </c>
      <c r="E811" s="42">
        <v>0.62239999999999995</v>
      </c>
      <c r="F811" s="42">
        <v>127</v>
      </c>
      <c r="G811" s="42">
        <v>79.667200000000008</v>
      </c>
      <c r="H811" s="42">
        <v>1.5941315874035991</v>
      </c>
      <c r="I811" s="42">
        <v>1</v>
      </c>
      <c r="J811" s="42">
        <v>1.6066838046272496</v>
      </c>
      <c r="K811" s="42">
        <v>0.9921875</v>
      </c>
      <c r="L811" s="42">
        <v>0.62239999999999995</v>
      </c>
      <c r="M811">
        <v>1</v>
      </c>
    </row>
    <row r="812" spans="3:13" x14ac:dyDescent="0.15">
      <c r="C812" s="43">
        <v>779</v>
      </c>
      <c r="D812" s="42">
        <v>779</v>
      </c>
      <c r="E812" s="42">
        <v>0.62319999999999998</v>
      </c>
      <c r="F812" s="42">
        <v>127</v>
      </c>
      <c r="G812" s="42">
        <v>79.769599999999997</v>
      </c>
      <c r="H812" s="42">
        <v>1.5920852053915278</v>
      </c>
      <c r="I812" s="42">
        <v>1</v>
      </c>
      <c r="J812" s="42">
        <v>1.6046213093709885</v>
      </c>
      <c r="K812" s="42">
        <v>0.9921875</v>
      </c>
      <c r="L812" s="42">
        <v>0.62319999999999998</v>
      </c>
      <c r="M812">
        <v>1</v>
      </c>
    </row>
    <row r="813" spans="3:13" x14ac:dyDescent="0.15">
      <c r="C813" s="43">
        <v>780</v>
      </c>
      <c r="D813" s="42">
        <v>780</v>
      </c>
      <c r="E813" s="42">
        <v>0.624</v>
      </c>
      <c r="F813" s="42">
        <v>127</v>
      </c>
      <c r="G813" s="42">
        <v>79.872</v>
      </c>
      <c r="H813" s="42">
        <v>1.5900440705128205</v>
      </c>
      <c r="I813" s="42">
        <v>1</v>
      </c>
      <c r="J813" s="42">
        <v>1.6025641025641026</v>
      </c>
      <c r="K813" s="42">
        <v>0.9921875</v>
      </c>
      <c r="L813" s="42">
        <v>0.624</v>
      </c>
      <c r="M813">
        <v>1</v>
      </c>
    </row>
    <row r="814" spans="3:13" x14ac:dyDescent="0.15">
      <c r="C814" s="43">
        <v>781</v>
      </c>
      <c r="D814" s="42">
        <v>781</v>
      </c>
      <c r="E814" s="42">
        <v>0.62480000000000002</v>
      </c>
      <c r="F814" s="42">
        <v>127</v>
      </c>
      <c r="G814" s="42">
        <v>79.974400000000003</v>
      </c>
      <c r="H814" s="42">
        <v>1.5880081626120357</v>
      </c>
      <c r="I814" s="42">
        <v>1</v>
      </c>
      <c r="J814" s="42">
        <v>1.6005121638924455</v>
      </c>
      <c r="K814" s="42">
        <v>0.9921875</v>
      </c>
      <c r="L814" s="42">
        <v>0.62480000000000002</v>
      </c>
      <c r="M814">
        <v>1</v>
      </c>
    </row>
    <row r="815" spans="3:13" x14ac:dyDescent="0.15">
      <c r="C815" s="43">
        <v>782</v>
      </c>
      <c r="D815" s="42">
        <v>782</v>
      </c>
      <c r="E815" s="42">
        <v>0.62560000000000004</v>
      </c>
      <c r="F815" s="42">
        <v>127</v>
      </c>
      <c r="G815" s="42">
        <v>80.076800000000006</v>
      </c>
      <c r="H815" s="42">
        <v>1.5859774616368285</v>
      </c>
      <c r="I815" s="42">
        <v>1</v>
      </c>
      <c r="J815" s="42">
        <v>1.5984654731457799</v>
      </c>
      <c r="K815" s="42">
        <v>0.9921875</v>
      </c>
      <c r="L815" s="42">
        <v>0.62560000000000004</v>
      </c>
      <c r="M815">
        <v>1</v>
      </c>
    </row>
    <row r="816" spans="3:13" x14ac:dyDescent="0.15">
      <c r="C816" s="43">
        <v>783</v>
      </c>
      <c r="D816" s="42">
        <v>783</v>
      </c>
      <c r="E816" s="42">
        <v>0.62639999999999996</v>
      </c>
      <c r="F816" s="42">
        <v>127</v>
      </c>
      <c r="G816" s="42">
        <v>80.179200000000009</v>
      </c>
      <c r="H816" s="42">
        <v>1.5839519476372925</v>
      </c>
      <c r="I816" s="42">
        <v>1</v>
      </c>
      <c r="J816" s="42">
        <v>1.5964240102171137</v>
      </c>
      <c r="K816" s="42">
        <v>0.9921875</v>
      </c>
      <c r="L816" s="42">
        <v>0.62639999999999996</v>
      </c>
      <c r="M816">
        <v>1</v>
      </c>
    </row>
    <row r="817" spans="3:13" x14ac:dyDescent="0.15">
      <c r="C817" s="43">
        <v>784</v>
      </c>
      <c r="D817" s="42">
        <v>784</v>
      </c>
      <c r="E817" s="42">
        <v>0.62719999999999998</v>
      </c>
      <c r="F817" s="42">
        <v>127</v>
      </c>
      <c r="G817" s="42">
        <v>80.281599999999997</v>
      </c>
      <c r="H817" s="42">
        <v>1.5819316007653061</v>
      </c>
      <c r="I817" s="42">
        <v>1</v>
      </c>
      <c r="J817" s="42">
        <v>1.5943877551020409</v>
      </c>
      <c r="K817" s="42">
        <v>0.9921875</v>
      </c>
      <c r="L817" s="42">
        <v>0.62719999999999998</v>
      </c>
      <c r="M817">
        <v>1</v>
      </c>
    </row>
    <row r="818" spans="3:13" x14ac:dyDescent="0.15">
      <c r="C818" s="43">
        <v>785</v>
      </c>
      <c r="D818" s="42">
        <v>785</v>
      </c>
      <c r="E818" s="42">
        <v>0.628</v>
      </c>
      <c r="F818" s="42">
        <v>127</v>
      </c>
      <c r="G818" s="42">
        <v>80.384</v>
      </c>
      <c r="H818" s="42">
        <v>1.5799164012738853</v>
      </c>
      <c r="I818" s="42">
        <v>1</v>
      </c>
      <c r="J818" s="42">
        <v>1.5923566878980893</v>
      </c>
      <c r="K818" s="42">
        <v>0.9921875</v>
      </c>
      <c r="L818" s="42">
        <v>0.628</v>
      </c>
      <c r="M818">
        <v>1</v>
      </c>
    </row>
    <row r="819" spans="3:13" x14ac:dyDescent="0.15">
      <c r="C819" s="43">
        <v>786</v>
      </c>
      <c r="D819" s="42">
        <v>786</v>
      </c>
      <c r="E819" s="42">
        <v>0.62880000000000003</v>
      </c>
      <c r="F819" s="42">
        <v>127</v>
      </c>
      <c r="G819" s="42">
        <v>80.486400000000003</v>
      </c>
      <c r="H819" s="42">
        <v>1.5779063295165394</v>
      </c>
      <c r="I819" s="42">
        <v>1</v>
      </c>
      <c r="J819" s="42">
        <v>1.5903307888040712</v>
      </c>
      <c r="K819" s="42">
        <v>0.9921875</v>
      </c>
      <c r="L819" s="42">
        <v>0.62880000000000003</v>
      </c>
      <c r="M819">
        <v>1</v>
      </c>
    </row>
    <row r="820" spans="3:13" x14ac:dyDescent="0.15">
      <c r="C820" s="43">
        <v>787</v>
      </c>
      <c r="D820" s="42">
        <v>787</v>
      </c>
      <c r="E820" s="42">
        <v>0.62960000000000005</v>
      </c>
      <c r="F820" s="42">
        <v>127</v>
      </c>
      <c r="G820" s="42">
        <v>80.588800000000006</v>
      </c>
      <c r="H820" s="42">
        <v>1.5759013659466328</v>
      </c>
      <c r="I820" s="42">
        <v>1</v>
      </c>
      <c r="J820" s="42">
        <v>1.5883100381194408</v>
      </c>
      <c r="K820" s="42">
        <v>0.9921875</v>
      </c>
      <c r="L820" s="42">
        <v>0.62960000000000005</v>
      </c>
      <c r="M820">
        <v>1</v>
      </c>
    </row>
    <row r="821" spans="3:13" x14ac:dyDescent="0.15">
      <c r="C821" s="43">
        <v>788</v>
      </c>
      <c r="D821" s="42">
        <v>788</v>
      </c>
      <c r="E821" s="42">
        <v>0.63039999999999996</v>
      </c>
      <c r="F821" s="42">
        <v>127</v>
      </c>
      <c r="G821" s="42">
        <v>80.691200000000009</v>
      </c>
      <c r="H821" s="42">
        <v>1.5739014911167513</v>
      </c>
      <c r="I821" s="42">
        <v>1</v>
      </c>
      <c r="J821" s="42">
        <v>1.586294416243655</v>
      </c>
      <c r="K821" s="42">
        <v>0.9921875</v>
      </c>
      <c r="L821" s="42">
        <v>0.63039999999999996</v>
      </c>
      <c r="M821">
        <v>1</v>
      </c>
    </row>
    <row r="822" spans="3:13" x14ac:dyDescent="0.15">
      <c r="C822" s="43">
        <v>789</v>
      </c>
      <c r="D822" s="42">
        <v>789</v>
      </c>
      <c r="E822" s="42">
        <v>0.63119999999999998</v>
      </c>
      <c r="F822" s="42">
        <v>127</v>
      </c>
      <c r="G822" s="42">
        <v>80.793599999999998</v>
      </c>
      <c r="H822" s="42">
        <v>1.5719066856780735</v>
      </c>
      <c r="I822" s="42">
        <v>1</v>
      </c>
      <c r="J822" s="42">
        <v>1.5842839036755387</v>
      </c>
      <c r="K822" s="42">
        <v>0.9921875</v>
      </c>
      <c r="L822" s="42">
        <v>0.63119999999999998</v>
      </c>
      <c r="M822">
        <v>1</v>
      </c>
    </row>
    <row r="823" spans="3:13" x14ac:dyDescent="0.15">
      <c r="C823" s="43">
        <v>790</v>
      </c>
      <c r="D823" s="42">
        <v>790</v>
      </c>
      <c r="E823" s="42">
        <v>0.63200000000000001</v>
      </c>
      <c r="F823" s="42">
        <v>127</v>
      </c>
      <c r="G823" s="42">
        <v>80.896000000000001</v>
      </c>
      <c r="H823" s="42">
        <v>1.5699169303797469</v>
      </c>
      <c r="I823" s="42">
        <v>1</v>
      </c>
      <c r="J823" s="42">
        <v>1.5822784810126582</v>
      </c>
      <c r="K823" s="42">
        <v>0.9921875</v>
      </c>
      <c r="L823" s="42">
        <v>0.63200000000000001</v>
      </c>
      <c r="M823">
        <v>1</v>
      </c>
    </row>
    <row r="824" spans="3:13" x14ac:dyDescent="0.15">
      <c r="C824" s="43">
        <v>791</v>
      </c>
      <c r="D824" s="42">
        <v>791</v>
      </c>
      <c r="E824" s="42">
        <v>0.63280000000000003</v>
      </c>
      <c r="F824" s="42">
        <v>127</v>
      </c>
      <c r="G824" s="42">
        <v>80.998400000000004</v>
      </c>
      <c r="H824" s="42">
        <v>1.5679322060682679</v>
      </c>
      <c r="I824" s="42">
        <v>1</v>
      </c>
      <c r="J824" s="42">
        <v>1.5802781289506953</v>
      </c>
      <c r="K824" s="42">
        <v>0.9921875</v>
      </c>
      <c r="L824" s="42">
        <v>0.63280000000000003</v>
      </c>
      <c r="M824">
        <v>1</v>
      </c>
    </row>
    <row r="825" spans="3:13" x14ac:dyDescent="0.15">
      <c r="C825" s="43">
        <v>792</v>
      </c>
      <c r="D825" s="42">
        <v>792</v>
      </c>
      <c r="E825" s="42">
        <v>0.63360000000000005</v>
      </c>
      <c r="F825" s="42">
        <v>127</v>
      </c>
      <c r="G825" s="42">
        <v>81.100800000000007</v>
      </c>
      <c r="H825" s="42">
        <v>1.5659524936868685</v>
      </c>
      <c r="I825" s="42">
        <v>1</v>
      </c>
      <c r="J825" s="42">
        <v>1.5782828282828281</v>
      </c>
      <c r="K825" s="42">
        <v>0.9921875</v>
      </c>
      <c r="L825" s="42">
        <v>0.63360000000000005</v>
      </c>
      <c r="M825">
        <v>1</v>
      </c>
    </row>
    <row r="826" spans="3:13" x14ac:dyDescent="0.15">
      <c r="C826" s="43">
        <v>793</v>
      </c>
      <c r="D826" s="42">
        <v>793</v>
      </c>
      <c r="E826" s="42">
        <v>0.63439999999999996</v>
      </c>
      <c r="F826" s="42">
        <v>127</v>
      </c>
      <c r="G826" s="42">
        <v>81.20320000000001</v>
      </c>
      <c r="H826" s="42">
        <v>1.5639777742749055</v>
      </c>
      <c r="I826" s="42">
        <v>1</v>
      </c>
      <c r="J826" s="42">
        <v>1.5762925598991173</v>
      </c>
      <c r="K826" s="42">
        <v>0.9921875</v>
      </c>
      <c r="L826" s="42">
        <v>0.63439999999999996</v>
      </c>
      <c r="M826">
        <v>1</v>
      </c>
    </row>
    <row r="827" spans="3:13" x14ac:dyDescent="0.15">
      <c r="C827" s="43">
        <v>794</v>
      </c>
      <c r="D827" s="42">
        <v>794</v>
      </c>
      <c r="E827" s="42">
        <v>0.63519999999999999</v>
      </c>
      <c r="F827" s="42">
        <v>127</v>
      </c>
      <c r="G827" s="42">
        <v>81.305599999999998</v>
      </c>
      <c r="H827" s="42">
        <v>1.5620080289672544</v>
      </c>
      <c r="I827" s="42">
        <v>1</v>
      </c>
      <c r="J827" s="42">
        <v>1.5743073047858942</v>
      </c>
      <c r="K827" s="42">
        <v>0.9921875</v>
      </c>
      <c r="L827" s="42">
        <v>0.63519999999999999</v>
      </c>
      <c r="M827">
        <v>1</v>
      </c>
    </row>
    <row r="828" spans="3:13" x14ac:dyDescent="0.15">
      <c r="C828" s="43">
        <v>795</v>
      </c>
      <c r="D828" s="42">
        <v>795</v>
      </c>
      <c r="E828" s="42">
        <v>0.63600000000000001</v>
      </c>
      <c r="F828" s="42">
        <v>127</v>
      </c>
      <c r="G828" s="42">
        <v>81.408000000000001</v>
      </c>
      <c r="H828" s="42">
        <v>1.5600432389937107</v>
      </c>
      <c r="I828" s="42">
        <v>1</v>
      </c>
      <c r="J828" s="42">
        <v>1.5723270440251571</v>
      </c>
      <c r="K828" s="42">
        <v>0.9921875</v>
      </c>
      <c r="L828" s="42">
        <v>0.63600000000000001</v>
      </c>
      <c r="M828">
        <v>1</v>
      </c>
    </row>
    <row r="829" spans="3:13" x14ac:dyDescent="0.15">
      <c r="C829" s="43">
        <v>796</v>
      </c>
      <c r="D829" s="42">
        <v>796</v>
      </c>
      <c r="E829" s="42">
        <v>0.63680000000000003</v>
      </c>
      <c r="F829" s="42">
        <v>127</v>
      </c>
      <c r="G829" s="42">
        <v>81.510400000000004</v>
      </c>
      <c r="H829" s="42">
        <v>1.5580833856783918</v>
      </c>
      <c r="I829" s="42">
        <v>1</v>
      </c>
      <c r="J829" s="42">
        <v>1.5703517587939697</v>
      </c>
      <c r="K829" s="42">
        <v>0.9921875</v>
      </c>
      <c r="L829" s="42">
        <v>0.63680000000000003</v>
      </c>
      <c r="M829">
        <v>1</v>
      </c>
    </row>
    <row r="830" spans="3:13" x14ac:dyDescent="0.15">
      <c r="C830" s="43">
        <v>797</v>
      </c>
      <c r="D830" s="42">
        <v>797</v>
      </c>
      <c r="E830" s="42">
        <v>0.63759999999999994</v>
      </c>
      <c r="F830" s="42">
        <v>127</v>
      </c>
      <c r="G830" s="42">
        <v>81.612799999999993</v>
      </c>
      <c r="H830" s="42">
        <v>1.5561284504391468</v>
      </c>
      <c r="I830" s="42">
        <v>1</v>
      </c>
      <c r="J830" s="42">
        <v>1.5683814303638646</v>
      </c>
      <c r="K830" s="42">
        <v>0.9921875</v>
      </c>
      <c r="L830" s="42">
        <v>0.63759999999999994</v>
      </c>
      <c r="M830">
        <v>1</v>
      </c>
    </row>
    <row r="831" spans="3:13" x14ac:dyDescent="0.15">
      <c r="C831" s="43">
        <v>798</v>
      </c>
      <c r="D831" s="42">
        <v>798</v>
      </c>
      <c r="E831" s="42">
        <v>0.63839999999999997</v>
      </c>
      <c r="F831" s="42">
        <v>127</v>
      </c>
      <c r="G831" s="42">
        <v>81.71520000000001</v>
      </c>
      <c r="H831" s="42">
        <v>1.5541784147869675</v>
      </c>
      <c r="I831" s="42">
        <v>1</v>
      </c>
      <c r="J831" s="42">
        <v>1.5664160401002507</v>
      </c>
      <c r="K831" s="42">
        <v>0.9921875</v>
      </c>
      <c r="L831" s="42">
        <v>0.63839999999999997</v>
      </c>
      <c r="M831">
        <v>1</v>
      </c>
    </row>
    <row r="832" spans="3:13" x14ac:dyDescent="0.15">
      <c r="C832" s="43">
        <v>799</v>
      </c>
      <c r="D832" s="42">
        <v>799</v>
      </c>
      <c r="E832" s="42">
        <v>0.63919999999999999</v>
      </c>
      <c r="F832" s="42">
        <v>127</v>
      </c>
      <c r="G832" s="42">
        <v>81.817599999999999</v>
      </c>
      <c r="H832" s="42">
        <v>1.5522332603254068</v>
      </c>
      <c r="I832" s="42">
        <v>1</v>
      </c>
      <c r="J832" s="42">
        <v>1.5644555694618274</v>
      </c>
      <c r="K832" s="42">
        <v>0.9921875</v>
      </c>
      <c r="L832" s="42">
        <v>0.63919999999999999</v>
      </c>
      <c r="M832">
        <v>1</v>
      </c>
    </row>
    <row r="833" spans="3:13" x14ac:dyDescent="0.15">
      <c r="C833" s="43">
        <v>800</v>
      </c>
      <c r="D833" s="42">
        <v>800</v>
      </c>
      <c r="E833" s="42">
        <v>0.64</v>
      </c>
      <c r="F833" s="42">
        <v>127</v>
      </c>
      <c r="G833" s="42">
        <v>81.92</v>
      </c>
      <c r="H833" s="42">
        <v>1.55029296875</v>
      </c>
      <c r="I833" s="42">
        <v>1</v>
      </c>
      <c r="J833" s="42">
        <v>1.5625</v>
      </c>
      <c r="K833" s="42">
        <v>0.9921875</v>
      </c>
      <c r="L833" s="42">
        <v>0.64</v>
      </c>
      <c r="M833">
        <v>1</v>
      </c>
    </row>
    <row r="834" spans="3:13" x14ac:dyDescent="0.15">
      <c r="C834" s="43">
        <v>801</v>
      </c>
      <c r="D834" s="42">
        <v>801</v>
      </c>
      <c r="E834" s="42">
        <v>0.64080000000000004</v>
      </c>
      <c r="F834" s="42">
        <v>127</v>
      </c>
      <c r="G834" s="42">
        <v>82.022400000000005</v>
      </c>
      <c r="H834" s="42">
        <v>1.5483575218476904</v>
      </c>
      <c r="I834" s="42">
        <v>1</v>
      </c>
      <c r="J834" s="42">
        <v>1.5605493133583019</v>
      </c>
      <c r="K834" s="42">
        <v>0.9921875</v>
      </c>
      <c r="L834" s="42">
        <v>0.64080000000000004</v>
      </c>
      <c r="M834">
        <v>1</v>
      </c>
    </row>
    <row r="835" spans="3:13" x14ac:dyDescent="0.15">
      <c r="C835" s="43">
        <v>802</v>
      </c>
      <c r="D835" s="42">
        <v>802</v>
      </c>
      <c r="E835" s="42">
        <v>0.64159999999999995</v>
      </c>
      <c r="F835" s="42">
        <v>127</v>
      </c>
      <c r="G835" s="42">
        <v>82.124800000000008</v>
      </c>
      <c r="H835" s="42">
        <v>1.5464269014962595</v>
      </c>
      <c r="I835" s="42">
        <v>1</v>
      </c>
      <c r="J835" s="42">
        <v>1.5586034912718205</v>
      </c>
      <c r="K835" s="42">
        <v>0.9921875</v>
      </c>
      <c r="L835" s="42">
        <v>0.64159999999999995</v>
      </c>
      <c r="M835">
        <v>1</v>
      </c>
    </row>
    <row r="836" spans="3:13" x14ac:dyDescent="0.15">
      <c r="C836" s="43">
        <v>803</v>
      </c>
      <c r="D836" s="42">
        <v>803</v>
      </c>
      <c r="E836" s="42">
        <v>0.64239999999999997</v>
      </c>
      <c r="F836" s="42">
        <v>127</v>
      </c>
      <c r="G836" s="42">
        <v>82.227200000000011</v>
      </c>
      <c r="H836" s="42">
        <v>1.544501089663761</v>
      </c>
      <c r="I836" s="42">
        <v>1</v>
      </c>
      <c r="J836" s="42">
        <v>1.5566625155666252</v>
      </c>
      <c r="K836" s="42">
        <v>0.9921875</v>
      </c>
      <c r="L836" s="42">
        <v>0.64239999999999997</v>
      </c>
      <c r="M836">
        <v>1</v>
      </c>
    </row>
    <row r="837" spans="3:13" x14ac:dyDescent="0.15">
      <c r="C837" s="43">
        <v>804</v>
      </c>
      <c r="D837" s="42">
        <v>804</v>
      </c>
      <c r="E837" s="42">
        <v>0.64319999999999999</v>
      </c>
      <c r="F837" s="42">
        <v>127</v>
      </c>
      <c r="G837" s="42">
        <v>82.329599999999999</v>
      </c>
      <c r="H837" s="42">
        <v>1.5425800684079602</v>
      </c>
      <c r="I837" s="42">
        <v>1</v>
      </c>
      <c r="J837" s="42">
        <v>1.5547263681592041</v>
      </c>
      <c r="K837" s="42">
        <v>0.9921875</v>
      </c>
      <c r="L837" s="42">
        <v>0.64319999999999999</v>
      </c>
      <c r="M837">
        <v>1</v>
      </c>
    </row>
    <row r="838" spans="3:13" x14ac:dyDescent="0.15">
      <c r="C838" s="43">
        <v>805</v>
      </c>
      <c r="D838" s="42">
        <v>805</v>
      </c>
      <c r="E838" s="42">
        <v>0.64400000000000002</v>
      </c>
      <c r="F838" s="42">
        <v>127</v>
      </c>
      <c r="G838" s="42">
        <v>82.432000000000002</v>
      </c>
      <c r="H838" s="42">
        <v>1.5406638198757763</v>
      </c>
      <c r="I838" s="42">
        <v>1</v>
      </c>
      <c r="J838" s="42">
        <v>1.5527950310559007</v>
      </c>
      <c r="K838" s="42">
        <v>0.9921875</v>
      </c>
      <c r="L838" s="42">
        <v>0.64400000000000002</v>
      </c>
      <c r="M838">
        <v>1</v>
      </c>
    </row>
    <row r="839" spans="3:13" x14ac:dyDescent="0.15">
      <c r="C839" s="43">
        <v>806</v>
      </c>
      <c r="D839" s="42">
        <v>806</v>
      </c>
      <c r="E839" s="42">
        <v>0.64480000000000004</v>
      </c>
      <c r="F839" s="42">
        <v>127</v>
      </c>
      <c r="G839" s="42">
        <v>82.534400000000005</v>
      </c>
      <c r="H839" s="42">
        <v>1.5387523263027294</v>
      </c>
      <c r="I839" s="42">
        <v>1</v>
      </c>
      <c r="J839" s="42">
        <v>1.5508684863523572</v>
      </c>
      <c r="K839" s="42">
        <v>0.9921875</v>
      </c>
      <c r="L839" s="42">
        <v>0.64480000000000004</v>
      </c>
      <c r="M839">
        <v>1</v>
      </c>
    </row>
    <row r="840" spans="3:13" x14ac:dyDescent="0.15">
      <c r="C840" s="43">
        <v>807</v>
      </c>
      <c r="D840" s="42">
        <v>807</v>
      </c>
      <c r="E840" s="42">
        <v>0.64559999999999995</v>
      </c>
      <c r="F840" s="42">
        <v>127</v>
      </c>
      <c r="G840" s="42">
        <v>82.636800000000008</v>
      </c>
      <c r="H840" s="42">
        <v>1.5368455700123917</v>
      </c>
      <c r="I840" s="42">
        <v>1</v>
      </c>
      <c r="J840" s="42">
        <v>1.5489467162329618</v>
      </c>
      <c r="K840" s="42">
        <v>0.9921875</v>
      </c>
      <c r="L840" s="42">
        <v>0.64559999999999995</v>
      </c>
      <c r="M840">
        <v>1</v>
      </c>
    </row>
    <row r="841" spans="3:13" x14ac:dyDescent="0.15">
      <c r="C841" s="43">
        <v>808</v>
      </c>
      <c r="D841" s="42">
        <v>808</v>
      </c>
      <c r="E841" s="42">
        <v>0.64639999999999997</v>
      </c>
      <c r="F841" s="42">
        <v>127</v>
      </c>
      <c r="G841" s="42">
        <v>82.739200000000011</v>
      </c>
      <c r="H841" s="42">
        <v>1.5349435334158417</v>
      </c>
      <c r="I841" s="42">
        <v>1</v>
      </c>
      <c r="J841" s="42">
        <v>1.5470297029702971</v>
      </c>
      <c r="K841" s="42">
        <v>0.9921875</v>
      </c>
      <c r="L841" s="42">
        <v>0.64639999999999997</v>
      </c>
      <c r="M841">
        <v>1</v>
      </c>
    </row>
    <row r="842" spans="3:13" x14ac:dyDescent="0.15">
      <c r="C842" s="43">
        <v>809</v>
      </c>
      <c r="D842" s="42">
        <v>809</v>
      </c>
      <c r="E842" s="42">
        <v>0.6472</v>
      </c>
      <c r="F842" s="42">
        <v>127</v>
      </c>
      <c r="G842" s="42">
        <v>82.8416</v>
      </c>
      <c r="H842" s="42">
        <v>1.5330461990111248</v>
      </c>
      <c r="I842" s="42">
        <v>1</v>
      </c>
      <c r="J842" s="42">
        <v>1.5451174289245984</v>
      </c>
      <c r="K842" s="42">
        <v>0.9921875</v>
      </c>
      <c r="L842" s="42">
        <v>0.6472</v>
      </c>
      <c r="M842">
        <v>1</v>
      </c>
    </row>
    <row r="843" spans="3:13" x14ac:dyDescent="0.15">
      <c r="C843" s="43">
        <v>810</v>
      </c>
      <c r="D843" s="42">
        <v>810</v>
      </c>
      <c r="E843" s="42">
        <v>0.64800000000000002</v>
      </c>
      <c r="F843" s="42">
        <v>127</v>
      </c>
      <c r="G843" s="42">
        <v>82.944000000000003</v>
      </c>
      <c r="H843" s="42">
        <v>1.531153549382716</v>
      </c>
      <c r="I843" s="42">
        <v>1</v>
      </c>
      <c r="J843" s="42">
        <v>1.5432098765432098</v>
      </c>
      <c r="K843" s="42">
        <v>0.9921875</v>
      </c>
      <c r="L843" s="42">
        <v>0.64800000000000002</v>
      </c>
      <c r="M843">
        <v>1</v>
      </c>
    </row>
    <row r="844" spans="3:13" x14ac:dyDescent="0.15">
      <c r="C844" s="43">
        <v>811</v>
      </c>
      <c r="D844" s="42">
        <v>811</v>
      </c>
      <c r="E844" s="42">
        <v>0.64880000000000004</v>
      </c>
      <c r="F844" s="42">
        <v>127</v>
      </c>
      <c r="G844" s="42">
        <v>83.046400000000006</v>
      </c>
      <c r="H844" s="42">
        <v>1.5292655672009863</v>
      </c>
      <c r="I844" s="42">
        <v>1</v>
      </c>
      <c r="J844" s="42">
        <v>1.5413070283600492</v>
      </c>
      <c r="K844" s="42">
        <v>0.9921875</v>
      </c>
      <c r="L844" s="42">
        <v>0.64880000000000004</v>
      </c>
      <c r="M844">
        <v>1</v>
      </c>
    </row>
    <row r="845" spans="3:13" x14ac:dyDescent="0.15">
      <c r="C845" s="43">
        <v>812</v>
      </c>
      <c r="D845" s="42">
        <v>812</v>
      </c>
      <c r="E845" s="42">
        <v>0.64959999999999996</v>
      </c>
      <c r="F845" s="42">
        <v>127</v>
      </c>
      <c r="G845" s="42">
        <v>83.148800000000008</v>
      </c>
      <c r="H845" s="42">
        <v>1.527382235221675</v>
      </c>
      <c r="I845" s="42">
        <v>1</v>
      </c>
      <c r="J845" s="42">
        <v>1.5394088669950741</v>
      </c>
      <c r="K845" s="42">
        <v>0.9921875</v>
      </c>
      <c r="L845" s="42">
        <v>0.64959999999999996</v>
      </c>
      <c r="M845">
        <v>1</v>
      </c>
    </row>
    <row r="846" spans="3:13" x14ac:dyDescent="0.15">
      <c r="C846" s="43">
        <v>813</v>
      </c>
      <c r="D846" s="42">
        <v>813</v>
      </c>
      <c r="E846" s="42">
        <v>0.65039999999999998</v>
      </c>
      <c r="F846" s="42">
        <v>127</v>
      </c>
      <c r="G846" s="42">
        <v>83.251199999999997</v>
      </c>
      <c r="H846" s="42">
        <v>1.5255035362853628</v>
      </c>
      <c r="I846" s="42">
        <v>1</v>
      </c>
      <c r="J846" s="42">
        <v>1.5375153751537516</v>
      </c>
      <c r="K846" s="42">
        <v>0.9921875</v>
      </c>
      <c r="L846" s="42">
        <v>0.65039999999999998</v>
      </c>
      <c r="M846">
        <v>1</v>
      </c>
    </row>
    <row r="847" spans="3:13" x14ac:dyDescent="0.15">
      <c r="C847" s="43">
        <v>814</v>
      </c>
      <c r="D847" s="42">
        <v>814</v>
      </c>
      <c r="E847" s="42">
        <v>0.6512</v>
      </c>
      <c r="F847" s="42">
        <v>127</v>
      </c>
      <c r="G847" s="42">
        <v>83.3536</v>
      </c>
      <c r="H847" s="42">
        <v>1.5236294533169532</v>
      </c>
      <c r="I847" s="42">
        <v>1</v>
      </c>
      <c r="J847" s="42">
        <v>1.5356265356265357</v>
      </c>
      <c r="K847" s="42">
        <v>0.9921875</v>
      </c>
      <c r="L847" s="42">
        <v>0.6512</v>
      </c>
      <c r="M847">
        <v>1</v>
      </c>
    </row>
    <row r="848" spans="3:13" x14ac:dyDescent="0.15">
      <c r="C848" s="43">
        <v>815</v>
      </c>
      <c r="D848" s="42">
        <v>815</v>
      </c>
      <c r="E848" s="42">
        <v>0.65200000000000002</v>
      </c>
      <c r="F848" s="42">
        <v>127</v>
      </c>
      <c r="G848" s="42">
        <v>83.456000000000003</v>
      </c>
      <c r="H848" s="42">
        <v>1.5217599693251533</v>
      </c>
      <c r="I848" s="42">
        <v>1</v>
      </c>
      <c r="J848" s="42">
        <v>1.5337423312883436</v>
      </c>
      <c r="K848" s="42">
        <v>0.9921875</v>
      </c>
      <c r="L848" s="42">
        <v>0.65200000000000002</v>
      </c>
      <c r="M848">
        <v>1</v>
      </c>
    </row>
    <row r="849" spans="3:13" x14ac:dyDescent="0.15">
      <c r="C849" s="43">
        <v>816</v>
      </c>
      <c r="D849" s="42">
        <v>816</v>
      </c>
      <c r="E849" s="42">
        <v>0.65280000000000005</v>
      </c>
      <c r="F849" s="42">
        <v>127</v>
      </c>
      <c r="G849" s="42">
        <v>83.558400000000006</v>
      </c>
      <c r="H849" s="42">
        <v>1.5198950674019607</v>
      </c>
      <c r="I849" s="42">
        <v>1</v>
      </c>
      <c r="J849" s="42">
        <v>1.5318627450980391</v>
      </c>
      <c r="K849" s="42">
        <v>0.9921875</v>
      </c>
      <c r="L849" s="42">
        <v>0.65280000000000005</v>
      </c>
      <c r="M849">
        <v>1</v>
      </c>
    </row>
    <row r="850" spans="3:13" x14ac:dyDescent="0.15">
      <c r="C850" s="43">
        <v>817</v>
      </c>
      <c r="D850" s="42">
        <v>817</v>
      </c>
      <c r="E850" s="42">
        <v>0.65359999999999996</v>
      </c>
      <c r="F850" s="42">
        <v>127</v>
      </c>
      <c r="G850" s="42">
        <v>83.660800000000009</v>
      </c>
      <c r="H850" s="42">
        <v>1.5180347307221542</v>
      </c>
      <c r="I850" s="42">
        <v>1</v>
      </c>
      <c r="J850" s="42">
        <v>1.5299877600979193</v>
      </c>
      <c r="K850" s="42">
        <v>0.9921875</v>
      </c>
      <c r="L850" s="42">
        <v>0.65359999999999996</v>
      </c>
      <c r="M850">
        <v>1</v>
      </c>
    </row>
    <row r="851" spans="3:13" x14ac:dyDescent="0.15">
      <c r="C851" s="43">
        <v>818</v>
      </c>
      <c r="D851" s="42">
        <v>818</v>
      </c>
      <c r="E851" s="42">
        <v>0.65439999999999998</v>
      </c>
      <c r="F851" s="42">
        <v>127</v>
      </c>
      <c r="G851" s="42">
        <v>83.763199999999998</v>
      </c>
      <c r="H851" s="42">
        <v>1.5161789425427874</v>
      </c>
      <c r="I851" s="42">
        <v>1</v>
      </c>
      <c r="J851" s="42">
        <v>1.5281173594132029</v>
      </c>
      <c r="K851" s="42">
        <v>0.9921875</v>
      </c>
      <c r="L851" s="42">
        <v>0.65439999999999998</v>
      </c>
      <c r="M851">
        <v>1</v>
      </c>
    </row>
    <row r="852" spans="3:13" x14ac:dyDescent="0.15">
      <c r="C852" s="43">
        <v>819</v>
      </c>
      <c r="D852" s="42">
        <v>819</v>
      </c>
      <c r="E852" s="42">
        <v>0.6552</v>
      </c>
      <c r="F852" s="42">
        <v>127</v>
      </c>
      <c r="G852" s="42">
        <v>83.865600000000001</v>
      </c>
      <c r="H852" s="42">
        <v>1.5143276862026862</v>
      </c>
      <c r="I852" s="42">
        <v>1</v>
      </c>
      <c r="J852" s="42">
        <v>1.5262515262515262</v>
      </c>
      <c r="K852" s="42">
        <v>0.9921875</v>
      </c>
      <c r="L852" s="42">
        <v>0.6552</v>
      </c>
      <c r="M852">
        <v>1</v>
      </c>
    </row>
    <row r="853" spans="3:13" x14ac:dyDescent="0.15">
      <c r="C853" s="43">
        <v>820</v>
      </c>
      <c r="D853" s="42">
        <v>820</v>
      </c>
      <c r="E853" s="42">
        <v>0.65600000000000003</v>
      </c>
      <c r="F853" s="42">
        <v>127</v>
      </c>
      <c r="G853" s="42">
        <v>83.968000000000004</v>
      </c>
      <c r="H853" s="42">
        <v>1.5124809451219512</v>
      </c>
      <c r="I853" s="42">
        <v>1</v>
      </c>
      <c r="J853" s="42">
        <v>1.524390243902439</v>
      </c>
      <c r="K853" s="42">
        <v>0.9921875</v>
      </c>
      <c r="L853" s="42">
        <v>0.65600000000000003</v>
      </c>
      <c r="M853">
        <v>1</v>
      </c>
    </row>
    <row r="854" spans="3:13" x14ac:dyDescent="0.15">
      <c r="C854" s="43">
        <v>821</v>
      </c>
      <c r="D854" s="42">
        <v>821</v>
      </c>
      <c r="E854" s="42">
        <v>0.65680000000000005</v>
      </c>
      <c r="F854" s="42">
        <v>127</v>
      </c>
      <c r="G854" s="42">
        <v>84.070400000000006</v>
      </c>
      <c r="H854" s="42">
        <v>1.5106387028014616</v>
      </c>
      <c r="I854" s="42">
        <v>1</v>
      </c>
      <c r="J854" s="42">
        <v>1.5225334957369061</v>
      </c>
      <c r="K854" s="42">
        <v>0.9921875</v>
      </c>
      <c r="L854" s="42">
        <v>0.65680000000000005</v>
      </c>
      <c r="M854">
        <v>1</v>
      </c>
    </row>
    <row r="855" spans="3:13" x14ac:dyDescent="0.15">
      <c r="C855" s="43">
        <v>822</v>
      </c>
      <c r="D855" s="42">
        <v>822</v>
      </c>
      <c r="E855" s="42">
        <v>0.65759999999999996</v>
      </c>
      <c r="F855" s="42">
        <v>127</v>
      </c>
      <c r="G855" s="42">
        <v>84.172800000000009</v>
      </c>
      <c r="H855" s="42">
        <v>1.5088009428223845</v>
      </c>
      <c r="I855" s="42">
        <v>1</v>
      </c>
      <c r="J855" s="42">
        <v>1.5206812652068127</v>
      </c>
      <c r="K855" s="42">
        <v>0.9921875</v>
      </c>
      <c r="L855" s="42">
        <v>0.65759999999999996</v>
      </c>
      <c r="M855">
        <v>1</v>
      </c>
    </row>
    <row r="856" spans="3:13" x14ac:dyDescent="0.15">
      <c r="C856" s="43">
        <v>823</v>
      </c>
      <c r="D856" s="42">
        <v>823</v>
      </c>
      <c r="E856" s="42">
        <v>0.65839999999999999</v>
      </c>
      <c r="F856" s="42">
        <v>127</v>
      </c>
      <c r="G856" s="42">
        <v>84.275199999999998</v>
      </c>
      <c r="H856" s="42">
        <v>1.5069676488456865</v>
      </c>
      <c r="I856" s="42">
        <v>1</v>
      </c>
      <c r="J856" s="42">
        <v>1.5188335358444716</v>
      </c>
      <c r="K856" s="42">
        <v>0.9921875</v>
      </c>
      <c r="L856" s="42">
        <v>0.65839999999999999</v>
      </c>
      <c r="M856">
        <v>1</v>
      </c>
    </row>
    <row r="857" spans="3:13" x14ac:dyDescent="0.15">
      <c r="C857" s="43">
        <v>824</v>
      </c>
      <c r="D857" s="42">
        <v>824</v>
      </c>
      <c r="E857" s="42">
        <v>0.65920000000000001</v>
      </c>
      <c r="F857" s="42">
        <v>127</v>
      </c>
      <c r="G857" s="42">
        <v>84.377600000000001</v>
      </c>
      <c r="H857" s="42">
        <v>1.5051388046116505</v>
      </c>
      <c r="I857" s="42">
        <v>1</v>
      </c>
      <c r="J857" s="42">
        <v>1.5169902912621358</v>
      </c>
      <c r="K857" s="42">
        <v>0.9921875</v>
      </c>
      <c r="L857" s="42">
        <v>0.65920000000000001</v>
      </c>
      <c r="M857">
        <v>1</v>
      </c>
    </row>
    <row r="858" spans="3:13" x14ac:dyDescent="0.15">
      <c r="C858" s="43">
        <v>825</v>
      </c>
      <c r="D858" s="42">
        <v>825</v>
      </c>
      <c r="E858" s="42">
        <v>0.66</v>
      </c>
      <c r="F858" s="42">
        <v>127</v>
      </c>
      <c r="G858" s="42">
        <v>84.48</v>
      </c>
      <c r="H858" s="42">
        <v>1.5033143939393938</v>
      </c>
      <c r="I858" s="42">
        <v>1</v>
      </c>
      <c r="J858" s="42">
        <v>1.5151515151515151</v>
      </c>
      <c r="K858" s="42">
        <v>0.9921875</v>
      </c>
      <c r="L858" s="42">
        <v>0.66</v>
      </c>
      <c r="M858">
        <v>1</v>
      </c>
    </row>
    <row r="859" spans="3:13" x14ac:dyDescent="0.15">
      <c r="C859" s="43">
        <v>826</v>
      </c>
      <c r="D859" s="42">
        <v>826</v>
      </c>
      <c r="E859" s="42">
        <v>0.66080000000000005</v>
      </c>
      <c r="F859" s="42">
        <v>127</v>
      </c>
      <c r="G859" s="42">
        <v>84.582400000000007</v>
      </c>
      <c r="H859" s="42">
        <v>1.5014944007263922</v>
      </c>
      <c r="I859" s="42">
        <v>1</v>
      </c>
      <c r="J859" s="42">
        <v>1.5133171912832928</v>
      </c>
      <c r="K859" s="42">
        <v>0.9921875</v>
      </c>
      <c r="L859" s="42">
        <v>0.66080000000000005</v>
      </c>
      <c r="M859">
        <v>1</v>
      </c>
    </row>
    <row r="860" spans="3:13" x14ac:dyDescent="0.15">
      <c r="C860" s="43">
        <v>827</v>
      </c>
      <c r="D860" s="42">
        <v>827</v>
      </c>
      <c r="E860" s="42">
        <v>0.66159999999999997</v>
      </c>
      <c r="F860" s="42">
        <v>127</v>
      </c>
      <c r="G860" s="42">
        <v>84.68480000000001</v>
      </c>
      <c r="H860" s="42">
        <v>1.4996788089480049</v>
      </c>
      <c r="I860" s="42">
        <v>1</v>
      </c>
      <c r="J860" s="42">
        <v>1.5114873035066507</v>
      </c>
      <c r="K860" s="42">
        <v>0.9921875</v>
      </c>
      <c r="L860" s="42">
        <v>0.66159999999999997</v>
      </c>
      <c r="M860">
        <v>1</v>
      </c>
    </row>
    <row r="861" spans="3:13" x14ac:dyDescent="0.15">
      <c r="C861" s="43">
        <v>828</v>
      </c>
      <c r="D861" s="42">
        <v>828</v>
      </c>
      <c r="E861" s="42">
        <v>0.66239999999999999</v>
      </c>
      <c r="F861" s="42">
        <v>127</v>
      </c>
      <c r="G861" s="42">
        <v>84.787199999999999</v>
      </c>
      <c r="H861" s="42">
        <v>1.4978676026570048</v>
      </c>
      <c r="I861" s="42">
        <v>1</v>
      </c>
      <c r="J861" s="42">
        <v>1.5096618357487923</v>
      </c>
      <c r="K861" s="42">
        <v>0.9921875</v>
      </c>
      <c r="L861" s="42">
        <v>0.66239999999999999</v>
      </c>
      <c r="M861">
        <v>1</v>
      </c>
    </row>
    <row r="862" spans="3:13" x14ac:dyDescent="0.15">
      <c r="C862" s="43">
        <v>829</v>
      </c>
      <c r="D862" s="42">
        <v>829</v>
      </c>
      <c r="E862" s="42">
        <v>0.66320000000000001</v>
      </c>
      <c r="F862" s="42">
        <v>127</v>
      </c>
      <c r="G862" s="42">
        <v>84.889600000000002</v>
      </c>
      <c r="H862" s="42">
        <v>1.4960607659831122</v>
      </c>
      <c r="I862" s="42">
        <v>1</v>
      </c>
      <c r="J862" s="42">
        <v>1.5078407720144753</v>
      </c>
      <c r="K862" s="42">
        <v>0.9921875</v>
      </c>
      <c r="L862" s="42">
        <v>0.66320000000000001</v>
      </c>
      <c r="M862">
        <v>1</v>
      </c>
    </row>
    <row r="863" spans="3:13" x14ac:dyDescent="0.15">
      <c r="C863" s="43">
        <v>830</v>
      </c>
      <c r="D863" s="42">
        <v>830</v>
      </c>
      <c r="E863" s="42">
        <v>0.66400000000000003</v>
      </c>
      <c r="F863" s="42">
        <v>127</v>
      </c>
      <c r="G863" s="42">
        <v>84.992000000000004</v>
      </c>
      <c r="H863" s="42">
        <v>1.49425828313253</v>
      </c>
      <c r="I863" s="42">
        <v>1</v>
      </c>
      <c r="J863" s="42">
        <v>1.506024096385542</v>
      </c>
      <c r="K863" s="42">
        <v>0.9921875</v>
      </c>
      <c r="L863" s="42">
        <v>0.66400000000000003</v>
      </c>
      <c r="M863">
        <v>1</v>
      </c>
    </row>
    <row r="864" spans="3:13" x14ac:dyDescent="0.15">
      <c r="C864" s="43">
        <v>831</v>
      </c>
      <c r="D864" s="42">
        <v>831</v>
      </c>
      <c r="E864" s="42">
        <v>0.66479999999999995</v>
      </c>
      <c r="F864" s="42">
        <v>127</v>
      </c>
      <c r="G864" s="42">
        <v>85.094400000000007</v>
      </c>
      <c r="H864" s="42">
        <v>1.4924601383874851</v>
      </c>
      <c r="I864" s="42">
        <v>1</v>
      </c>
      <c r="J864" s="42">
        <v>1.5042117930204575</v>
      </c>
      <c r="K864" s="42">
        <v>0.9921875</v>
      </c>
      <c r="L864" s="42">
        <v>0.66479999999999995</v>
      </c>
      <c r="M864">
        <v>1</v>
      </c>
    </row>
    <row r="865" spans="3:13" x14ac:dyDescent="0.15">
      <c r="C865" s="43">
        <v>832</v>
      </c>
      <c r="D865" s="42">
        <v>832</v>
      </c>
      <c r="E865" s="42">
        <v>0.66559999999999997</v>
      </c>
      <c r="F865" s="42">
        <v>127</v>
      </c>
      <c r="G865" s="42">
        <v>85.19680000000001</v>
      </c>
      <c r="H865" s="42">
        <v>1.4906663161057694</v>
      </c>
      <c r="I865" s="42">
        <v>1</v>
      </c>
      <c r="J865" s="42">
        <v>1.5024038461538463</v>
      </c>
      <c r="K865" s="42">
        <v>0.9921875</v>
      </c>
      <c r="L865" s="42">
        <v>0.66559999999999997</v>
      </c>
      <c r="M865">
        <v>1</v>
      </c>
    </row>
    <row r="866" spans="3:13" x14ac:dyDescent="0.15">
      <c r="C866" s="43">
        <v>833</v>
      </c>
      <c r="D866" s="42">
        <v>833</v>
      </c>
      <c r="E866" s="42">
        <v>0.66639999999999999</v>
      </c>
      <c r="F866" s="42">
        <v>127</v>
      </c>
      <c r="G866" s="42">
        <v>85.299199999999999</v>
      </c>
      <c r="H866" s="42">
        <v>1.4888768007202882</v>
      </c>
      <c r="I866" s="42">
        <v>1</v>
      </c>
      <c r="J866" s="42">
        <v>1.5006002400960385</v>
      </c>
      <c r="K866" s="42">
        <v>0.9921875</v>
      </c>
      <c r="L866" s="42">
        <v>0.66639999999999999</v>
      </c>
      <c r="M866">
        <v>1</v>
      </c>
    </row>
    <row r="867" spans="3:13" x14ac:dyDescent="0.15">
      <c r="C867" s="43">
        <v>834</v>
      </c>
      <c r="D867" s="42">
        <v>834</v>
      </c>
      <c r="E867" s="42">
        <v>0.66720000000000002</v>
      </c>
      <c r="F867" s="42">
        <v>127</v>
      </c>
      <c r="G867" s="42">
        <v>85.401600000000002</v>
      </c>
      <c r="H867" s="42">
        <v>1.487091576738609</v>
      </c>
      <c r="I867" s="42">
        <v>1</v>
      </c>
      <c r="J867" s="42">
        <v>1.4988009592326139</v>
      </c>
      <c r="K867" s="42">
        <v>0.9921875</v>
      </c>
      <c r="L867" s="42">
        <v>0.66720000000000002</v>
      </c>
      <c r="M867">
        <v>1</v>
      </c>
    </row>
    <row r="868" spans="3:13" x14ac:dyDescent="0.15">
      <c r="C868" s="43">
        <v>835</v>
      </c>
      <c r="D868" s="42">
        <v>835</v>
      </c>
      <c r="E868" s="42">
        <v>0.66800000000000004</v>
      </c>
      <c r="F868" s="42">
        <v>127</v>
      </c>
      <c r="G868" s="42">
        <v>85.504000000000005</v>
      </c>
      <c r="H868" s="42">
        <v>1.4853106287425148</v>
      </c>
      <c r="I868" s="42">
        <v>1</v>
      </c>
      <c r="J868" s="42">
        <v>1.4970059880239519</v>
      </c>
      <c r="K868" s="42">
        <v>0.9921875</v>
      </c>
      <c r="L868" s="42">
        <v>0.66800000000000004</v>
      </c>
      <c r="M868">
        <v>1</v>
      </c>
    </row>
    <row r="869" spans="3:13" x14ac:dyDescent="0.15">
      <c r="C869" s="43">
        <v>836</v>
      </c>
      <c r="D869" s="42">
        <v>836</v>
      </c>
      <c r="E869" s="42">
        <v>0.66879999999999995</v>
      </c>
      <c r="F869" s="42">
        <v>127</v>
      </c>
      <c r="G869" s="42">
        <v>85.606400000000008</v>
      </c>
      <c r="H869" s="42">
        <v>1.4835339413875599</v>
      </c>
      <c r="I869" s="42">
        <v>1</v>
      </c>
      <c r="J869" s="42">
        <v>1.4952153110047848</v>
      </c>
      <c r="K869" s="42">
        <v>0.9921875</v>
      </c>
      <c r="L869" s="42">
        <v>0.66879999999999995</v>
      </c>
      <c r="M869">
        <v>1</v>
      </c>
    </row>
    <row r="870" spans="3:13" x14ac:dyDescent="0.15">
      <c r="C870" s="43">
        <v>837</v>
      </c>
      <c r="D870" s="42">
        <v>837</v>
      </c>
      <c r="E870" s="42">
        <v>0.66959999999999997</v>
      </c>
      <c r="F870" s="42">
        <v>127</v>
      </c>
      <c r="G870" s="42">
        <v>85.708800000000011</v>
      </c>
      <c r="H870" s="42">
        <v>1.4817614994026285</v>
      </c>
      <c r="I870" s="42">
        <v>1</v>
      </c>
      <c r="J870" s="42">
        <v>1.4934289127837514</v>
      </c>
      <c r="K870" s="42">
        <v>0.9921875</v>
      </c>
      <c r="L870" s="42">
        <v>0.66959999999999997</v>
      </c>
      <c r="M870">
        <v>1</v>
      </c>
    </row>
    <row r="871" spans="3:13" x14ac:dyDescent="0.15">
      <c r="C871" s="43">
        <v>838</v>
      </c>
      <c r="D871" s="42">
        <v>838</v>
      </c>
      <c r="E871" s="42">
        <v>0.6704</v>
      </c>
      <c r="F871" s="42">
        <v>127</v>
      </c>
      <c r="G871" s="42">
        <v>85.811199999999999</v>
      </c>
      <c r="H871" s="42">
        <v>1.4799932875894988</v>
      </c>
      <c r="I871" s="42">
        <v>1</v>
      </c>
      <c r="J871" s="42">
        <v>1.4916467780429594</v>
      </c>
      <c r="K871" s="42">
        <v>0.9921875</v>
      </c>
      <c r="L871" s="42">
        <v>0.6704</v>
      </c>
      <c r="M871">
        <v>1</v>
      </c>
    </row>
    <row r="872" spans="3:13" x14ac:dyDescent="0.15">
      <c r="C872" s="43">
        <v>839</v>
      </c>
      <c r="D872" s="42">
        <v>839</v>
      </c>
      <c r="E872" s="42">
        <v>0.67120000000000002</v>
      </c>
      <c r="F872" s="42">
        <v>127</v>
      </c>
      <c r="G872" s="42">
        <v>85.913600000000002</v>
      </c>
      <c r="H872" s="42">
        <v>1.4782292908224075</v>
      </c>
      <c r="I872" s="42">
        <v>1</v>
      </c>
      <c r="J872" s="42">
        <v>1.4898688915375446</v>
      </c>
      <c r="K872" s="42">
        <v>0.9921875</v>
      </c>
      <c r="L872" s="42">
        <v>0.67120000000000002</v>
      </c>
      <c r="M872">
        <v>1</v>
      </c>
    </row>
    <row r="873" spans="3:13" x14ac:dyDescent="0.15">
      <c r="C873" s="43">
        <v>840</v>
      </c>
      <c r="D873" s="42">
        <v>840</v>
      </c>
      <c r="E873" s="42">
        <v>0.67200000000000004</v>
      </c>
      <c r="F873" s="42">
        <v>127</v>
      </c>
      <c r="G873" s="42">
        <v>86.016000000000005</v>
      </c>
      <c r="H873" s="42">
        <v>1.4764694940476188</v>
      </c>
      <c r="I873" s="42">
        <v>1</v>
      </c>
      <c r="J873" s="42">
        <v>1.4880952380952379</v>
      </c>
      <c r="K873" s="42">
        <v>0.9921875</v>
      </c>
      <c r="L873" s="42">
        <v>0.67200000000000004</v>
      </c>
      <c r="M873">
        <v>1</v>
      </c>
    </row>
    <row r="874" spans="3:13" x14ac:dyDescent="0.15">
      <c r="C874" s="43">
        <v>841</v>
      </c>
      <c r="D874" s="42">
        <v>841</v>
      </c>
      <c r="E874" s="42">
        <v>0.67279999999999995</v>
      </c>
      <c r="F874" s="42">
        <v>127</v>
      </c>
      <c r="G874" s="42">
        <v>86.118400000000008</v>
      </c>
      <c r="H874" s="42">
        <v>1.4747138822829966</v>
      </c>
      <c r="I874" s="42">
        <v>1</v>
      </c>
      <c r="J874" s="42">
        <v>1.4863258026159336</v>
      </c>
      <c r="K874" s="42">
        <v>0.9921875</v>
      </c>
      <c r="L874" s="42">
        <v>0.67279999999999995</v>
      </c>
      <c r="M874">
        <v>1</v>
      </c>
    </row>
    <row r="875" spans="3:13" x14ac:dyDescent="0.15">
      <c r="C875" s="43">
        <v>842</v>
      </c>
      <c r="D875" s="42">
        <v>842</v>
      </c>
      <c r="E875" s="42">
        <v>0.67359999999999998</v>
      </c>
      <c r="F875" s="42">
        <v>127</v>
      </c>
      <c r="G875" s="42">
        <v>86.220800000000011</v>
      </c>
      <c r="H875" s="42">
        <v>1.4729624406175772</v>
      </c>
      <c r="I875" s="42">
        <v>1</v>
      </c>
      <c r="J875" s="42">
        <v>1.484560570071259</v>
      </c>
      <c r="K875" s="42">
        <v>0.9921875</v>
      </c>
      <c r="L875" s="42">
        <v>0.67359999999999998</v>
      </c>
      <c r="M875">
        <v>1</v>
      </c>
    </row>
    <row r="876" spans="3:13" x14ac:dyDescent="0.15">
      <c r="C876" s="43">
        <v>843</v>
      </c>
      <c r="D876" s="42">
        <v>843</v>
      </c>
      <c r="E876" s="42">
        <v>0.6744</v>
      </c>
      <c r="F876" s="42">
        <v>127</v>
      </c>
      <c r="G876" s="42">
        <v>86.3232</v>
      </c>
      <c r="H876" s="42">
        <v>1.4712151542111507</v>
      </c>
      <c r="I876" s="42">
        <v>1</v>
      </c>
      <c r="J876" s="42">
        <v>1.4827995255041519</v>
      </c>
      <c r="K876" s="42">
        <v>0.9921875</v>
      </c>
      <c r="L876" s="42">
        <v>0.6744</v>
      </c>
      <c r="M876">
        <v>1</v>
      </c>
    </row>
    <row r="877" spans="3:13" x14ac:dyDescent="0.15">
      <c r="C877" s="43">
        <v>844</v>
      </c>
      <c r="D877" s="42">
        <v>844</v>
      </c>
      <c r="E877" s="42">
        <v>0.67520000000000002</v>
      </c>
      <c r="F877" s="42">
        <v>127</v>
      </c>
      <c r="G877" s="42">
        <v>86.425600000000003</v>
      </c>
      <c r="H877" s="42">
        <v>1.4694720082938388</v>
      </c>
      <c r="I877" s="42">
        <v>1</v>
      </c>
      <c r="J877" s="42">
        <v>1.481042654028436</v>
      </c>
      <c r="K877" s="42">
        <v>0.9921875</v>
      </c>
      <c r="L877" s="42">
        <v>0.67520000000000002</v>
      </c>
      <c r="M877">
        <v>1</v>
      </c>
    </row>
    <row r="878" spans="3:13" x14ac:dyDescent="0.15">
      <c r="C878" s="43">
        <v>845</v>
      </c>
      <c r="D878" s="42">
        <v>845</v>
      </c>
      <c r="E878" s="42">
        <v>0.67600000000000005</v>
      </c>
      <c r="F878" s="42">
        <v>127</v>
      </c>
      <c r="G878" s="42">
        <v>86.528000000000006</v>
      </c>
      <c r="H878" s="42">
        <v>1.4677329881656804</v>
      </c>
      <c r="I878" s="42">
        <v>1</v>
      </c>
      <c r="J878" s="42">
        <v>1.4792899408284024</v>
      </c>
      <c r="K878" s="42">
        <v>0.9921875</v>
      </c>
      <c r="L878" s="42">
        <v>0.67600000000000005</v>
      </c>
      <c r="M878">
        <v>1</v>
      </c>
    </row>
    <row r="879" spans="3:13" x14ac:dyDescent="0.15">
      <c r="C879" s="43">
        <v>846</v>
      </c>
      <c r="D879" s="42">
        <v>846</v>
      </c>
      <c r="E879" s="42">
        <v>0.67679999999999996</v>
      </c>
      <c r="F879" s="42">
        <v>127</v>
      </c>
      <c r="G879" s="42">
        <v>86.630400000000009</v>
      </c>
      <c r="H879" s="42">
        <v>1.4659980791962175</v>
      </c>
      <c r="I879" s="42">
        <v>1</v>
      </c>
      <c r="J879" s="42">
        <v>1.4775413711583925</v>
      </c>
      <c r="K879" s="42">
        <v>0.9921875</v>
      </c>
      <c r="L879" s="42">
        <v>0.67679999999999996</v>
      </c>
      <c r="M879">
        <v>1</v>
      </c>
    </row>
    <row r="880" spans="3:13" x14ac:dyDescent="0.15">
      <c r="C880" s="43">
        <v>847</v>
      </c>
      <c r="D880" s="42">
        <v>847</v>
      </c>
      <c r="E880" s="42">
        <v>0.67759999999999998</v>
      </c>
      <c r="F880" s="42">
        <v>127</v>
      </c>
      <c r="G880" s="42">
        <v>86.732799999999997</v>
      </c>
      <c r="H880" s="42">
        <v>1.464267266824085</v>
      </c>
      <c r="I880" s="42">
        <v>1</v>
      </c>
      <c r="J880" s="42">
        <v>1.475796930342385</v>
      </c>
      <c r="K880" s="42">
        <v>0.9921875</v>
      </c>
      <c r="L880" s="42">
        <v>0.67759999999999998</v>
      </c>
      <c r="M880">
        <v>1</v>
      </c>
    </row>
    <row r="881" spans="3:13" x14ac:dyDescent="0.15">
      <c r="C881" s="43">
        <v>848</v>
      </c>
      <c r="D881" s="42">
        <v>848</v>
      </c>
      <c r="E881" s="42">
        <v>0.6784</v>
      </c>
      <c r="F881" s="42">
        <v>127</v>
      </c>
      <c r="G881" s="42">
        <v>86.8352</v>
      </c>
      <c r="H881" s="42">
        <v>1.4625405365566038</v>
      </c>
      <c r="I881" s="42">
        <v>1</v>
      </c>
      <c r="J881" s="42">
        <v>1.4740566037735849</v>
      </c>
      <c r="K881" s="42">
        <v>0.9921875</v>
      </c>
      <c r="L881" s="42">
        <v>0.6784</v>
      </c>
      <c r="M881">
        <v>1</v>
      </c>
    </row>
    <row r="882" spans="3:13" x14ac:dyDescent="0.15">
      <c r="C882" s="43">
        <v>849</v>
      </c>
      <c r="D882" s="42">
        <v>849</v>
      </c>
      <c r="E882" s="42">
        <v>0.67920000000000003</v>
      </c>
      <c r="F882" s="42">
        <v>127</v>
      </c>
      <c r="G882" s="42">
        <v>86.937600000000003</v>
      </c>
      <c r="H882" s="42">
        <v>1.4608178739693758</v>
      </c>
      <c r="I882" s="42">
        <v>1</v>
      </c>
      <c r="J882" s="42">
        <v>1.4723203769140165</v>
      </c>
      <c r="K882" s="42">
        <v>0.9921875</v>
      </c>
      <c r="L882" s="42">
        <v>0.67920000000000003</v>
      </c>
      <c r="M882">
        <v>1</v>
      </c>
    </row>
    <row r="883" spans="3:13" x14ac:dyDescent="0.15">
      <c r="C883" s="43">
        <v>850</v>
      </c>
      <c r="D883" s="42">
        <v>850</v>
      </c>
      <c r="E883" s="42">
        <v>0.68</v>
      </c>
      <c r="F883" s="42">
        <v>127</v>
      </c>
      <c r="G883" s="42">
        <v>87.04</v>
      </c>
      <c r="H883" s="42">
        <v>1.4590992647058822</v>
      </c>
      <c r="I883" s="42">
        <v>1</v>
      </c>
      <c r="J883" s="42">
        <v>1.4705882352941175</v>
      </c>
      <c r="K883" s="42">
        <v>0.9921875</v>
      </c>
      <c r="L883" s="42">
        <v>0.68</v>
      </c>
      <c r="M883">
        <v>1</v>
      </c>
    </row>
    <row r="884" spans="3:13" x14ac:dyDescent="0.15">
      <c r="C884" s="43">
        <v>851</v>
      </c>
      <c r="D884" s="42">
        <v>851</v>
      </c>
      <c r="E884" s="42">
        <v>0.68079999999999996</v>
      </c>
      <c r="F884" s="42">
        <v>127</v>
      </c>
      <c r="G884" s="42">
        <v>87.142400000000009</v>
      </c>
      <c r="H884" s="42">
        <v>1.4573846944770859</v>
      </c>
      <c r="I884" s="42">
        <v>1</v>
      </c>
      <c r="J884" s="42">
        <v>1.4688601645123385</v>
      </c>
      <c r="K884" s="42">
        <v>0.9921875</v>
      </c>
      <c r="L884" s="42">
        <v>0.68079999999999996</v>
      </c>
      <c r="M884">
        <v>1</v>
      </c>
    </row>
    <row r="885" spans="3:13" x14ac:dyDescent="0.15">
      <c r="C885" s="43">
        <v>852</v>
      </c>
      <c r="D885" s="42">
        <v>852</v>
      </c>
      <c r="E885" s="42">
        <v>0.68159999999999998</v>
      </c>
      <c r="F885" s="42">
        <v>127</v>
      </c>
      <c r="G885" s="42">
        <v>87.244799999999998</v>
      </c>
      <c r="H885" s="42">
        <v>1.455674149061033</v>
      </c>
      <c r="I885" s="42">
        <v>1</v>
      </c>
      <c r="J885" s="42">
        <v>1.4671361502347418</v>
      </c>
      <c r="K885" s="42">
        <v>0.9921875</v>
      </c>
      <c r="L885" s="42">
        <v>0.68159999999999998</v>
      </c>
      <c r="M885">
        <v>1</v>
      </c>
    </row>
    <row r="886" spans="3:13" x14ac:dyDescent="0.15">
      <c r="C886" s="43">
        <v>853</v>
      </c>
      <c r="D886" s="42">
        <v>853</v>
      </c>
      <c r="E886" s="42">
        <v>0.68240000000000001</v>
      </c>
      <c r="F886" s="42">
        <v>127</v>
      </c>
      <c r="G886" s="42">
        <v>87.347200000000001</v>
      </c>
      <c r="H886" s="42">
        <v>1.4539676143024618</v>
      </c>
      <c r="I886" s="42">
        <v>1</v>
      </c>
      <c r="J886" s="42">
        <v>1.4654161781946073</v>
      </c>
      <c r="K886" s="42">
        <v>0.9921875</v>
      </c>
      <c r="L886" s="42">
        <v>0.68240000000000001</v>
      </c>
      <c r="M886">
        <v>1</v>
      </c>
    </row>
    <row r="887" spans="3:13" x14ac:dyDescent="0.15">
      <c r="C887" s="43">
        <v>854</v>
      </c>
      <c r="D887" s="42">
        <v>854</v>
      </c>
      <c r="E887" s="42">
        <v>0.68320000000000003</v>
      </c>
      <c r="F887" s="42">
        <v>127</v>
      </c>
      <c r="G887" s="42">
        <v>87.449600000000004</v>
      </c>
      <c r="H887" s="42">
        <v>1.4522650761124121</v>
      </c>
      <c r="I887" s="42">
        <v>1</v>
      </c>
      <c r="J887" s="42">
        <v>1.4637002341920373</v>
      </c>
      <c r="K887" s="42">
        <v>0.9921875</v>
      </c>
      <c r="L887" s="42">
        <v>0.68320000000000003</v>
      </c>
      <c r="M887">
        <v>1</v>
      </c>
    </row>
    <row r="888" spans="3:13" x14ac:dyDescent="0.15">
      <c r="C888" s="43">
        <v>855</v>
      </c>
      <c r="D888" s="42">
        <v>855</v>
      </c>
      <c r="E888" s="42">
        <v>0.68400000000000005</v>
      </c>
      <c r="F888" s="42">
        <v>127</v>
      </c>
      <c r="G888" s="42">
        <v>87.552000000000007</v>
      </c>
      <c r="H888" s="42">
        <v>1.4505665204678362</v>
      </c>
      <c r="I888" s="42">
        <v>1</v>
      </c>
      <c r="J888" s="42">
        <v>1.4619883040935671</v>
      </c>
      <c r="K888" s="42">
        <v>0.9921875</v>
      </c>
      <c r="L888" s="42">
        <v>0.68400000000000005</v>
      </c>
      <c r="M888">
        <v>1</v>
      </c>
    </row>
    <row r="889" spans="3:13" x14ac:dyDescent="0.15">
      <c r="C889" s="43">
        <v>856</v>
      </c>
      <c r="D889" s="42">
        <v>856</v>
      </c>
      <c r="E889" s="42">
        <v>0.68479999999999996</v>
      </c>
      <c r="F889" s="42">
        <v>127</v>
      </c>
      <c r="G889" s="42">
        <v>87.65440000000001</v>
      </c>
      <c r="H889" s="42">
        <v>1.448871933411215</v>
      </c>
      <c r="I889" s="42">
        <v>1</v>
      </c>
      <c r="J889" s="42">
        <v>1.4602803738317758</v>
      </c>
      <c r="K889" s="42">
        <v>0.9921875</v>
      </c>
      <c r="L889" s="42">
        <v>0.68479999999999996</v>
      </c>
      <c r="M889">
        <v>1</v>
      </c>
    </row>
    <row r="890" spans="3:13" x14ac:dyDescent="0.15">
      <c r="C890" s="43">
        <v>857</v>
      </c>
      <c r="D890" s="42">
        <v>857</v>
      </c>
      <c r="E890" s="42">
        <v>0.68559999999999999</v>
      </c>
      <c r="F890" s="42">
        <v>127</v>
      </c>
      <c r="G890" s="42">
        <v>87.756799999999998</v>
      </c>
      <c r="H890" s="42">
        <v>1.4471813010501751</v>
      </c>
      <c r="I890" s="42">
        <v>1</v>
      </c>
      <c r="J890" s="42">
        <v>1.4585764294049008</v>
      </c>
      <c r="K890" s="42">
        <v>0.9921875</v>
      </c>
      <c r="L890" s="42">
        <v>0.68559999999999999</v>
      </c>
      <c r="M890">
        <v>1</v>
      </c>
    </row>
    <row r="891" spans="3:13" x14ac:dyDescent="0.15">
      <c r="C891" s="43">
        <v>858</v>
      </c>
      <c r="D891" s="42">
        <v>858</v>
      </c>
      <c r="E891" s="42">
        <v>0.68640000000000001</v>
      </c>
      <c r="F891" s="42">
        <v>127</v>
      </c>
      <c r="G891" s="42">
        <v>87.859200000000001</v>
      </c>
      <c r="H891" s="42">
        <v>1.4454946095571095</v>
      </c>
      <c r="I891" s="42">
        <v>1</v>
      </c>
      <c r="J891" s="42">
        <v>1.4568764568764569</v>
      </c>
      <c r="K891" s="42">
        <v>0.9921875</v>
      </c>
      <c r="L891" s="42">
        <v>0.68640000000000001</v>
      </c>
      <c r="M891">
        <v>1</v>
      </c>
    </row>
    <row r="892" spans="3:13" x14ac:dyDescent="0.15">
      <c r="C892" s="43">
        <v>859</v>
      </c>
      <c r="D892" s="42">
        <v>859</v>
      </c>
      <c r="E892" s="42">
        <v>0.68720000000000003</v>
      </c>
      <c r="F892" s="42">
        <v>127</v>
      </c>
      <c r="G892" s="42">
        <v>87.961600000000004</v>
      </c>
      <c r="H892" s="42">
        <v>1.4438118451688009</v>
      </c>
      <c r="I892" s="42">
        <v>1</v>
      </c>
      <c r="J892" s="42">
        <v>1.4551804423748544</v>
      </c>
      <c r="K892" s="42">
        <v>0.9921875</v>
      </c>
      <c r="L892" s="42">
        <v>0.68720000000000003</v>
      </c>
      <c r="M892">
        <v>1</v>
      </c>
    </row>
    <row r="893" spans="3:13" x14ac:dyDescent="0.15">
      <c r="C893" s="43">
        <v>860</v>
      </c>
      <c r="D893" s="42">
        <v>860</v>
      </c>
      <c r="E893" s="42">
        <v>0.68799999999999994</v>
      </c>
      <c r="F893" s="42">
        <v>127</v>
      </c>
      <c r="G893" s="42">
        <v>88.064000000000007</v>
      </c>
      <c r="H893" s="42">
        <v>1.4421329941860466</v>
      </c>
      <c r="I893" s="42">
        <v>1</v>
      </c>
      <c r="J893" s="42">
        <v>1.4534883720930234</v>
      </c>
      <c r="K893" s="42">
        <v>0.9921875</v>
      </c>
      <c r="L893" s="42">
        <v>0.68799999999999994</v>
      </c>
      <c r="M893">
        <v>1</v>
      </c>
    </row>
    <row r="894" spans="3:13" x14ac:dyDescent="0.15">
      <c r="C894" s="43">
        <v>861</v>
      </c>
      <c r="D894" s="42">
        <v>861</v>
      </c>
      <c r="E894" s="42">
        <v>0.68879999999999997</v>
      </c>
      <c r="F894" s="42">
        <v>127</v>
      </c>
      <c r="G894" s="42">
        <v>88.16640000000001</v>
      </c>
      <c r="H894" s="42">
        <v>1.4404580429732869</v>
      </c>
      <c r="I894" s="42">
        <v>1</v>
      </c>
      <c r="J894" s="42">
        <v>1.4518002322880372</v>
      </c>
      <c r="K894" s="42">
        <v>0.9921875</v>
      </c>
      <c r="L894" s="42">
        <v>0.68879999999999997</v>
      </c>
      <c r="M894">
        <v>1</v>
      </c>
    </row>
    <row r="895" spans="3:13" x14ac:dyDescent="0.15">
      <c r="C895" s="43">
        <v>862</v>
      </c>
      <c r="D895" s="42">
        <v>862</v>
      </c>
      <c r="E895" s="42">
        <v>0.68959999999999999</v>
      </c>
      <c r="F895" s="42">
        <v>127</v>
      </c>
      <c r="G895" s="42">
        <v>88.268799999999999</v>
      </c>
      <c r="H895" s="42">
        <v>1.4387869779582367</v>
      </c>
      <c r="I895" s="42">
        <v>1</v>
      </c>
      <c r="J895" s="42">
        <v>1.4501160092807426</v>
      </c>
      <c r="K895" s="42">
        <v>0.9921875</v>
      </c>
      <c r="L895" s="42">
        <v>0.68959999999999999</v>
      </c>
      <c r="M895">
        <v>1</v>
      </c>
    </row>
    <row r="896" spans="3:13" x14ac:dyDescent="0.15">
      <c r="C896" s="43">
        <v>863</v>
      </c>
      <c r="D896" s="42">
        <v>863</v>
      </c>
      <c r="E896" s="42">
        <v>0.69040000000000001</v>
      </c>
      <c r="F896" s="42">
        <v>127</v>
      </c>
      <c r="G896" s="42">
        <v>88.371200000000002</v>
      </c>
      <c r="H896" s="42">
        <v>1.4371197856315179</v>
      </c>
      <c r="I896" s="42">
        <v>1</v>
      </c>
      <c r="J896" s="42">
        <v>1.4484356894553883</v>
      </c>
      <c r="K896" s="42">
        <v>0.9921875</v>
      </c>
      <c r="L896" s="42">
        <v>0.69040000000000001</v>
      </c>
      <c r="M896">
        <v>1</v>
      </c>
    </row>
    <row r="897" spans="3:13" x14ac:dyDescent="0.15">
      <c r="C897" s="43">
        <v>864</v>
      </c>
      <c r="D897" s="42">
        <v>864</v>
      </c>
      <c r="E897" s="42">
        <v>0.69120000000000004</v>
      </c>
      <c r="F897" s="42">
        <v>127</v>
      </c>
      <c r="G897" s="42">
        <v>88.473600000000005</v>
      </c>
      <c r="H897" s="42">
        <v>1.4354564525462963</v>
      </c>
      <c r="I897" s="42">
        <v>1</v>
      </c>
      <c r="J897" s="42">
        <v>1.4467592592592591</v>
      </c>
      <c r="K897" s="42">
        <v>0.9921875</v>
      </c>
      <c r="L897" s="42">
        <v>0.69120000000000004</v>
      </c>
      <c r="M897">
        <v>1</v>
      </c>
    </row>
    <row r="898" spans="3:13" x14ac:dyDescent="0.15">
      <c r="C898" s="43">
        <v>865</v>
      </c>
      <c r="D898" s="42">
        <v>865</v>
      </c>
      <c r="E898" s="42">
        <v>0.69199999999999995</v>
      </c>
      <c r="F898" s="42">
        <v>127</v>
      </c>
      <c r="G898" s="42">
        <v>88.576000000000008</v>
      </c>
      <c r="H898" s="42">
        <v>1.4337969653179192</v>
      </c>
      <c r="I898" s="42">
        <v>1</v>
      </c>
      <c r="J898" s="42">
        <v>1.4450867052023122</v>
      </c>
      <c r="K898" s="42">
        <v>0.9921875</v>
      </c>
      <c r="L898" s="42">
        <v>0.69199999999999995</v>
      </c>
      <c r="M898">
        <v>1</v>
      </c>
    </row>
    <row r="899" spans="3:13" x14ac:dyDescent="0.15">
      <c r="C899" s="43">
        <v>866</v>
      </c>
      <c r="D899" s="42">
        <v>866</v>
      </c>
      <c r="E899" s="42">
        <v>0.69279999999999997</v>
      </c>
      <c r="F899" s="42">
        <v>127</v>
      </c>
      <c r="G899" s="42">
        <v>88.678400000000011</v>
      </c>
      <c r="H899" s="42">
        <v>1.4321413106235565</v>
      </c>
      <c r="I899" s="42">
        <v>1</v>
      </c>
      <c r="J899" s="42">
        <v>1.4434180138568129</v>
      </c>
      <c r="K899" s="42">
        <v>0.9921875</v>
      </c>
      <c r="L899" s="42">
        <v>0.69279999999999997</v>
      </c>
      <c r="M899">
        <v>1</v>
      </c>
    </row>
    <row r="900" spans="3:13" x14ac:dyDescent="0.15">
      <c r="C900" s="43">
        <v>867</v>
      </c>
      <c r="D900" s="42">
        <v>867</v>
      </c>
      <c r="E900" s="42">
        <v>0.69359999999999999</v>
      </c>
      <c r="F900" s="42">
        <v>127</v>
      </c>
      <c r="G900" s="42">
        <v>88.780799999999999</v>
      </c>
      <c r="H900" s="42">
        <v>1.4304894752018456</v>
      </c>
      <c r="I900" s="42">
        <v>1</v>
      </c>
      <c r="J900" s="42">
        <v>1.441753171856978</v>
      </c>
      <c r="K900" s="42">
        <v>0.9921875</v>
      </c>
      <c r="L900" s="42">
        <v>0.69359999999999999</v>
      </c>
      <c r="M900">
        <v>1</v>
      </c>
    </row>
    <row r="901" spans="3:13" x14ac:dyDescent="0.15">
      <c r="C901" s="43">
        <v>868</v>
      </c>
      <c r="D901" s="42">
        <v>868</v>
      </c>
      <c r="E901" s="42">
        <v>0.69440000000000002</v>
      </c>
      <c r="F901" s="42">
        <v>127</v>
      </c>
      <c r="G901" s="42">
        <v>88.883200000000002</v>
      </c>
      <c r="H901" s="42">
        <v>1.4288414458525345</v>
      </c>
      <c r="I901" s="42">
        <v>1</v>
      </c>
      <c r="J901" s="42">
        <v>1.4400921658986174</v>
      </c>
      <c r="K901" s="42">
        <v>0.9921875</v>
      </c>
      <c r="L901" s="42">
        <v>0.69440000000000002</v>
      </c>
      <c r="M901">
        <v>1</v>
      </c>
    </row>
    <row r="902" spans="3:13" x14ac:dyDescent="0.15">
      <c r="C902" s="43">
        <v>869</v>
      </c>
      <c r="D902" s="42">
        <v>869</v>
      </c>
      <c r="E902" s="42">
        <v>0.69520000000000004</v>
      </c>
      <c r="F902" s="42">
        <v>127</v>
      </c>
      <c r="G902" s="42">
        <v>88.985600000000005</v>
      </c>
      <c r="H902" s="42">
        <v>1.4271972094361334</v>
      </c>
      <c r="I902" s="42">
        <v>1</v>
      </c>
      <c r="J902" s="42">
        <v>1.4384349827387801</v>
      </c>
      <c r="K902" s="42">
        <v>0.9921875</v>
      </c>
      <c r="L902" s="42">
        <v>0.69520000000000004</v>
      </c>
      <c r="M902">
        <v>1</v>
      </c>
    </row>
    <row r="903" spans="3:13" x14ac:dyDescent="0.15">
      <c r="C903" s="43">
        <v>870</v>
      </c>
      <c r="D903" s="42">
        <v>870</v>
      </c>
      <c r="E903" s="42">
        <v>0.69599999999999995</v>
      </c>
      <c r="F903" s="42">
        <v>127</v>
      </c>
      <c r="G903" s="42">
        <v>89.088000000000008</v>
      </c>
      <c r="H903" s="42">
        <v>1.4255567528735633</v>
      </c>
      <c r="I903" s="42">
        <v>1</v>
      </c>
      <c r="J903" s="42">
        <v>1.4367816091954024</v>
      </c>
      <c r="K903" s="42">
        <v>0.9921875</v>
      </c>
      <c r="L903" s="42">
        <v>0.69599999999999995</v>
      </c>
      <c r="M903">
        <v>1</v>
      </c>
    </row>
    <row r="904" spans="3:13" x14ac:dyDescent="0.15">
      <c r="C904" s="43">
        <v>871</v>
      </c>
      <c r="D904" s="42">
        <v>871</v>
      </c>
      <c r="E904" s="42">
        <v>0.69679999999999997</v>
      </c>
      <c r="F904" s="42">
        <v>127</v>
      </c>
      <c r="G904" s="42">
        <v>89.190400000000011</v>
      </c>
      <c r="H904" s="42">
        <v>1.4239200631458095</v>
      </c>
      <c r="I904" s="42">
        <v>1</v>
      </c>
      <c r="J904" s="42">
        <v>1.4351320321469576</v>
      </c>
      <c r="K904" s="42">
        <v>0.9921875</v>
      </c>
      <c r="L904" s="42">
        <v>0.69679999999999997</v>
      </c>
      <c r="M904">
        <v>1</v>
      </c>
    </row>
    <row r="905" spans="3:13" x14ac:dyDescent="0.15">
      <c r="C905" s="43">
        <v>872</v>
      </c>
      <c r="D905" s="42">
        <v>872</v>
      </c>
      <c r="E905" s="42">
        <v>0.6976</v>
      </c>
      <c r="F905" s="42">
        <v>127</v>
      </c>
      <c r="G905" s="42">
        <v>89.2928</v>
      </c>
      <c r="H905" s="42">
        <v>1.422287127293578</v>
      </c>
      <c r="I905" s="42">
        <v>1</v>
      </c>
      <c r="J905" s="42">
        <v>1.4334862385321101</v>
      </c>
      <c r="K905" s="42">
        <v>0.9921875</v>
      </c>
      <c r="L905" s="42">
        <v>0.6976</v>
      </c>
      <c r="M905">
        <v>1</v>
      </c>
    </row>
    <row r="906" spans="3:13" x14ac:dyDescent="0.15">
      <c r="C906" s="43">
        <v>873</v>
      </c>
      <c r="D906" s="42">
        <v>873</v>
      </c>
      <c r="E906" s="42">
        <v>0.69840000000000002</v>
      </c>
      <c r="F906" s="42">
        <v>127</v>
      </c>
      <c r="G906" s="42">
        <v>89.395200000000003</v>
      </c>
      <c r="H906" s="42">
        <v>1.420657932416953</v>
      </c>
      <c r="I906" s="42">
        <v>1</v>
      </c>
      <c r="J906" s="42">
        <v>1.43184421534937</v>
      </c>
      <c r="K906" s="42">
        <v>0.9921875</v>
      </c>
      <c r="L906" s="42">
        <v>0.69840000000000002</v>
      </c>
      <c r="M906">
        <v>1</v>
      </c>
    </row>
    <row r="907" spans="3:13" x14ac:dyDescent="0.15">
      <c r="C907" s="43">
        <v>874</v>
      </c>
      <c r="D907" s="42">
        <v>874</v>
      </c>
      <c r="E907" s="42">
        <v>0.69920000000000004</v>
      </c>
      <c r="F907" s="42">
        <v>127</v>
      </c>
      <c r="G907" s="42">
        <v>89.497600000000006</v>
      </c>
      <c r="H907" s="42">
        <v>1.419032465675057</v>
      </c>
      <c r="I907" s="42">
        <v>1</v>
      </c>
      <c r="J907" s="42">
        <v>1.4302059496567505</v>
      </c>
      <c r="K907" s="42">
        <v>0.9921875</v>
      </c>
      <c r="L907" s="42">
        <v>0.69920000000000004</v>
      </c>
      <c r="M907">
        <v>1</v>
      </c>
    </row>
    <row r="908" spans="3:13" x14ac:dyDescent="0.15">
      <c r="C908" s="43">
        <v>875</v>
      </c>
      <c r="D908" s="42">
        <v>875</v>
      </c>
      <c r="E908" s="42">
        <v>0.7</v>
      </c>
      <c r="F908" s="42">
        <v>127</v>
      </c>
      <c r="G908" s="42">
        <v>89.600000000000009</v>
      </c>
      <c r="H908" s="42">
        <v>1.4174107142857144</v>
      </c>
      <c r="I908" s="42">
        <v>1</v>
      </c>
      <c r="J908" s="42">
        <v>1.4285714285714286</v>
      </c>
      <c r="K908" s="42">
        <v>0.9921875</v>
      </c>
      <c r="L908" s="42">
        <v>0.7</v>
      </c>
      <c r="M908">
        <v>1</v>
      </c>
    </row>
    <row r="909" spans="3:13" x14ac:dyDescent="0.15">
      <c r="C909" s="43">
        <v>876</v>
      </c>
      <c r="D909" s="42">
        <v>876</v>
      </c>
      <c r="E909" s="42">
        <v>0.70079999999999998</v>
      </c>
      <c r="F909" s="42">
        <v>127</v>
      </c>
      <c r="G909" s="42">
        <v>89.702399999999997</v>
      </c>
      <c r="H909" s="42">
        <v>1.4157926655251143</v>
      </c>
      <c r="I909" s="42">
        <v>1</v>
      </c>
      <c r="J909" s="42">
        <v>1.4269406392694064</v>
      </c>
      <c r="K909" s="42">
        <v>0.9921875</v>
      </c>
      <c r="L909" s="42">
        <v>0.70079999999999998</v>
      </c>
      <c r="M909">
        <v>1</v>
      </c>
    </row>
    <row r="910" spans="3:13" x14ac:dyDescent="0.15">
      <c r="C910" s="43">
        <v>877</v>
      </c>
      <c r="D910" s="42">
        <v>877</v>
      </c>
      <c r="E910" s="42">
        <v>0.7016</v>
      </c>
      <c r="F910" s="42">
        <v>127</v>
      </c>
      <c r="G910" s="42">
        <v>89.8048</v>
      </c>
      <c r="H910" s="42">
        <v>1.41417830672748</v>
      </c>
      <c r="I910" s="42">
        <v>1</v>
      </c>
      <c r="J910" s="42">
        <v>1.4253135689851768</v>
      </c>
      <c r="K910" s="42">
        <v>0.9921875</v>
      </c>
      <c r="L910" s="42">
        <v>0.7016</v>
      </c>
      <c r="M910">
        <v>1</v>
      </c>
    </row>
    <row r="911" spans="3:13" x14ac:dyDescent="0.15">
      <c r="C911" s="43">
        <v>878</v>
      </c>
      <c r="D911" s="42">
        <v>878</v>
      </c>
      <c r="E911" s="42">
        <v>0.70240000000000002</v>
      </c>
      <c r="F911" s="42">
        <v>127</v>
      </c>
      <c r="G911" s="42">
        <v>89.907200000000003</v>
      </c>
      <c r="H911" s="42">
        <v>1.4125676252847379</v>
      </c>
      <c r="I911" s="42">
        <v>1</v>
      </c>
      <c r="J911" s="42">
        <v>1.4236902050113895</v>
      </c>
      <c r="K911" s="42">
        <v>0.9921875</v>
      </c>
      <c r="L911" s="42">
        <v>0.70240000000000002</v>
      </c>
      <c r="M911">
        <v>1</v>
      </c>
    </row>
    <row r="912" spans="3:13" x14ac:dyDescent="0.15">
      <c r="C912" s="43">
        <v>879</v>
      </c>
      <c r="D912" s="42">
        <v>879</v>
      </c>
      <c r="E912" s="42">
        <v>0.70320000000000005</v>
      </c>
      <c r="F912" s="42">
        <v>127</v>
      </c>
      <c r="G912" s="42">
        <v>90.009600000000006</v>
      </c>
      <c r="H912" s="42">
        <v>1.4109606086461888</v>
      </c>
      <c r="I912" s="42">
        <v>1</v>
      </c>
      <c r="J912" s="42">
        <v>1.422070534698521</v>
      </c>
      <c r="K912" s="42">
        <v>0.9921875</v>
      </c>
      <c r="L912" s="42">
        <v>0.70320000000000005</v>
      </c>
      <c r="M912">
        <v>1</v>
      </c>
    </row>
    <row r="913" spans="3:13" x14ac:dyDescent="0.15">
      <c r="C913" s="43">
        <v>880</v>
      </c>
      <c r="D913" s="42">
        <v>880</v>
      </c>
      <c r="E913" s="42">
        <v>0.70399999999999996</v>
      </c>
      <c r="F913" s="42">
        <v>127</v>
      </c>
      <c r="G913" s="42">
        <v>90.112000000000009</v>
      </c>
      <c r="H913" s="42">
        <v>1.4093572443181819</v>
      </c>
      <c r="I913" s="42">
        <v>1</v>
      </c>
      <c r="J913" s="42">
        <v>1.4204545454545456</v>
      </c>
      <c r="K913" s="42">
        <v>0.9921875</v>
      </c>
      <c r="L913" s="42">
        <v>0.70399999999999996</v>
      </c>
      <c r="M913">
        <v>1</v>
      </c>
    </row>
    <row r="914" spans="3:13" x14ac:dyDescent="0.15">
      <c r="C914" s="43">
        <v>881</v>
      </c>
      <c r="D914" s="42">
        <v>881</v>
      </c>
      <c r="E914" s="42">
        <v>0.70479999999999998</v>
      </c>
      <c r="F914" s="42">
        <v>127</v>
      </c>
      <c r="G914" s="42">
        <v>90.214399999999998</v>
      </c>
      <c r="H914" s="42">
        <v>1.4077575198637913</v>
      </c>
      <c r="I914" s="42">
        <v>1</v>
      </c>
      <c r="J914" s="42">
        <v>1.4188422247446084</v>
      </c>
      <c r="K914" s="42">
        <v>0.9921875</v>
      </c>
      <c r="L914" s="42">
        <v>0.70479999999999998</v>
      </c>
      <c r="M914">
        <v>1</v>
      </c>
    </row>
    <row r="915" spans="3:13" x14ac:dyDescent="0.15">
      <c r="C915" s="43">
        <v>882</v>
      </c>
      <c r="D915" s="42">
        <v>882</v>
      </c>
      <c r="E915" s="42">
        <v>0.7056</v>
      </c>
      <c r="F915" s="42">
        <v>127</v>
      </c>
      <c r="G915" s="42">
        <v>90.316800000000001</v>
      </c>
      <c r="H915" s="42">
        <v>1.4061614229024944</v>
      </c>
      <c r="I915" s="42">
        <v>1</v>
      </c>
      <c r="J915" s="42">
        <v>1.4172335600907029</v>
      </c>
      <c r="K915" s="42">
        <v>0.9921875</v>
      </c>
      <c r="L915" s="42">
        <v>0.7056</v>
      </c>
      <c r="M915">
        <v>1</v>
      </c>
    </row>
    <row r="916" spans="3:13" x14ac:dyDescent="0.15">
      <c r="C916" s="43">
        <v>883</v>
      </c>
      <c r="D916" s="42">
        <v>883</v>
      </c>
      <c r="E916" s="42">
        <v>0.70640000000000003</v>
      </c>
      <c r="F916" s="42">
        <v>127</v>
      </c>
      <c r="G916" s="42">
        <v>90.419200000000004</v>
      </c>
      <c r="H916" s="42">
        <v>1.4045689411098528</v>
      </c>
      <c r="I916" s="42">
        <v>1</v>
      </c>
      <c r="J916" s="42">
        <v>1.4156285390713477</v>
      </c>
      <c r="K916" s="42">
        <v>0.9921875</v>
      </c>
      <c r="L916" s="42">
        <v>0.70640000000000003</v>
      </c>
      <c r="M916">
        <v>1</v>
      </c>
    </row>
    <row r="917" spans="3:13" x14ac:dyDescent="0.15">
      <c r="C917" s="43">
        <v>884</v>
      </c>
      <c r="D917" s="42">
        <v>884</v>
      </c>
      <c r="E917" s="42">
        <v>0.70720000000000005</v>
      </c>
      <c r="F917" s="42">
        <v>127</v>
      </c>
      <c r="G917" s="42">
        <v>90.521600000000007</v>
      </c>
      <c r="H917" s="42">
        <v>1.4029800622171944</v>
      </c>
      <c r="I917" s="42">
        <v>1</v>
      </c>
      <c r="J917" s="42">
        <v>1.4140271493212668</v>
      </c>
      <c r="K917" s="42">
        <v>0.9921875</v>
      </c>
      <c r="L917" s="42">
        <v>0.70720000000000005</v>
      </c>
      <c r="M917">
        <v>1</v>
      </c>
    </row>
    <row r="918" spans="3:13" x14ac:dyDescent="0.15">
      <c r="C918" s="43">
        <v>885</v>
      </c>
      <c r="D918" s="42">
        <v>885</v>
      </c>
      <c r="E918" s="42">
        <v>0.70799999999999996</v>
      </c>
      <c r="F918" s="42">
        <v>127</v>
      </c>
      <c r="G918" s="42">
        <v>90.624000000000009</v>
      </c>
      <c r="H918" s="42">
        <v>1.4013947740112995</v>
      </c>
      <c r="I918" s="42">
        <v>1</v>
      </c>
      <c r="J918" s="42">
        <v>1.4124293785310735</v>
      </c>
      <c r="K918" s="42">
        <v>0.9921875</v>
      </c>
      <c r="L918" s="42">
        <v>0.70799999999999996</v>
      </c>
      <c r="M918">
        <v>1</v>
      </c>
    </row>
    <row r="919" spans="3:13" x14ac:dyDescent="0.15">
      <c r="C919" s="43">
        <v>886</v>
      </c>
      <c r="D919" s="42">
        <v>886</v>
      </c>
      <c r="E919" s="42">
        <v>0.70879999999999999</v>
      </c>
      <c r="F919" s="42">
        <v>127</v>
      </c>
      <c r="G919" s="42">
        <v>90.726399999999998</v>
      </c>
      <c r="H919" s="42">
        <v>1.3998130643340858</v>
      </c>
      <c r="I919" s="42">
        <v>1</v>
      </c>
      <c r="J919" s="42">
        <v>1.4108352144469527</v>
      </c>
      <c r="K919" s="42">
        <v>0.9921875</v>
      </c>
      <c r="L919" s="42">
        <v>0.70879999999999999</v>
      </c>
      <c r="M919">
        <v>1</v>
      </c>
    </row>
    <row r="920" spans="3:13" x14ac:dyDescent="0.15">
      <c r="C920" s="43">
        <v>887</v>
      </c>
      <c r="D920" s="42">
        <v>887</v>
      </c>
      <c r="E920" s="42">
        <v>0.70960000000000001</v>
      </c>
      <c r="F920" s="42">
        <v>127</v>
      </c>
      <c r="G920" s="42">
        <v>90.828800000000001</v>
      </c>
      <c r="H920" s="42">
        <v>1.3982349210823</v>
      </c>
      <c r="I920" s="42">
        <v>1</v>
      </c>
      <c r="J920" s="42">
        <v>1.4092446448703495</v>
      </c>
      <c r="K920" s="42">
        <v>0.9921875</v>
      </c>
      <c r="L920" s="42">
        <v>0.70960000000000001</v>
      </c>
      <c r="M920">
        <v>1</v>
      </c>
    </row>
    <row r="921" spans="3:13" x14ac:dyDescent="0.15">
      <c r="C921" s="43">
        <v>888</v>
      </c>
      <c r="D921" s="42">
        <v>888</v>
      </c>
      <c r="E921" s="42">
        <v>0.71040000000000003</v>
      </c>
      <c r="F921" s="42">
        <v>127</v>
      </c>
      <c r="G921" s="42">
        <v>90.931200000000004</v>
      </c>
      <c r="H921" s="42">
        <v>1.3966603322072071</v>
      </c>
      <c r="I921" s="42">
        <v>1</v>
      </c>
      <c r="J921" s="42">
        <v>1.4076576576576576</v>
      </c>
      <c r="K921" s="42">
        <v>0.9921875</v>
      </c>
      <c r="L921" s="42">
        <v>0.71040000000000003</v>
      </c>
      <c r="M921">
        <v>1</v>
      </c>
    </row>
    <row r="922" spans="3:13" x14ac:dyDescent="0.15">
      <c r="C922" s="43">
        <v>889</v>
      </c>
      <c r="D922" s="42">
        <v>889</v>
      </c>
      <c r="E922" s="42">
        <v>0.71120000000000005</v>
      </c>
      <c r="F922" s="42">
        <v>127</v>
      </c>
      <c r="G922" s="42">
        <v>91.033600000000007</v>
      </c>
      <c r="H922" s="42">
        <v>1.3950892857142856</v>
      </c>
      <c r="I922" s="42">
        <v>1</v>
      </c>
      <c r="J922" s="42">
        <v>1.4060742407199098</v>
      </c>
      <c r="K922" s="42">
        <v>0.9921875</v>
      </c>
      <c r="L922" s="42">
        <v>0.71120000000000005</v>
      </c>
      <c r="M922">
        <v>1</v>
      </c>
    </row>
    <row r="923" spans="3:13" x14ac:dyDescent="0.15">
      <c r="C923" s="43">
        <v>890</v>
      </c>
      <c r="D923" s="42">
        <v>890</v>
      </c>
      <c r="E923" s="42">
        <v>0.71199999999999997</v>
      </c>
      <c r="F923" s="42">
        <v>127</v>
      </c>
      <c r="G923" s="42">
        <v>91.13600000000001</v>
      </c>
      <c r="H923" s="42">
        <v>1.3935217696629214</v>
      </c>
      <c r="I923" s="42">
        <v>1</v>
      </c>
      <c r="J923" s="42">
        <v>1.404494382022472</v>
      </c>
      <c r="K923" s="42">
        <v>0.9921875</v>
      </c>
      <c r="L923" s="42">
        <v>0.71199999999999997</v>
      </c>
      <c r="M923">
        <v>1</v>
      </c>
    </row>
    <row r="924" spans="3:13" x14ac:dyDescent="0.15">
      <c r="C924" s="43">
        <v>891</v>
      </c>
      <c r="D924" s="42">
        <v>891</v>
      </c>
      <c r="E924" s="42">
        <v>0.71279999999999999</v>
      </c>
      <c r="F924" s="42">
        <v>127</v>
      </c>
      <c r="G924" s="42">
        <v>91.238399999999999</v>
      </c>
      <c r="H924" s="42">
        <v>1.3919577721661056</v>
      </c>
      <c r="I924" s="42">
        <v>1</v>
      </c>
      <c r="J924" s="42">
        <v>1.4029180695847363</v>
      </c>
      <c r="K924" s="42">
        <v>0.9921875</v>
      </c>
      <c r="L924" s="42">
        <v>0.71279999999999999</v>
      </c>
      <c r="M924">
        <v>1</v>
      </c>
    </row>
    <row r="925" spans="3:13" x14ac:dyDescent="0.15">
      <c r="C925" s="43">
        <v>892</v>
      </c>
      <c r="D925" s="42">
        <v>892</v>
      </c>
      <c r="E925" s="42">
        <v>0.71360000000000001</v>
      </c>
      <c r="F925" s="42">
        <v>127</v>
      </c>
      <c r="G925" s="42">
        <v>91.340800000000002</v>
      </c>
      <c r="H925" s="42">
        <v>1.3903972813901344</v>
      </c>
      <c r="I925" s="42">
        <v>1</v>
      </c>
      <c r="J925" s="42">
        <v>1.4013452914798206</v>
      </c>
      <c r="K925" s="42">
        <v>0.9921875</v>
      </c>
      <c r="L925" s="42">
        <v>0.71360000000000001</v>
      </c>
      <c r="M925">
        <v>1</v>
      </c>
    </row>
    <row r="926" spans="3:13" x14ac:dyDescent="0.15">
      <c r="C926" s="43">
        <v>893</v>
      </c>
      <c r="D926" s="42">
        <v>893</v>
      </c>
      <c r="E926" s="42">
        <v>0.71440000000000003</v>
      </c>
      <c r="F926" s="42">
        <v>127</v>
      </c>
      <c r="G926" s="42">
        <v>91.443200000000004</v>
      </c>
      <c r="H926" s="42">
        <v>1.3888402855543112</v>
      </c>
      <c r="I926" s="42">
        <v>1</v>
      </c>
      <c r="J926" s="42">
        <v>1.3997760358342664</v>
      </c>
      <c r="K926" s="42">
        <v>0.9921875</v>
      </c>
      <c r="L926" s="42">
        <v>0.71440000000000003</v>
      </c>
      <c r="M926">
        <v>1</v>
      </c>
    </row>
    <row r="927" spans="3:13" x14ac:dyDescent="0.15">
      <c r="C927" s="43">
        <v>894</v>
      </c>
      <c r="D927" s="42">
        <v>894</v>
      </c>
      <c r="E927" s="42">
        <v>0.71519999999999995</v>
      </c>
      <c r="F927" s="42">
        <v>127</v>
      </c>
      <c r="G927" s="42">
        <v>91.545600000000007</v>
      </c>
      <c r="H927" s="42">
        <v>1.3872867729306488</v>
      </c>
      <c r="I927" s="42">
        <v>1</v>
      </c>
      <c r="J927" s="42">
        <v>1.3982102908277405</v>
      </c>
      <c r="K927" s="42">
        <v>0.9921875</v>
      </c>
      <c r="L927" s="42">
        <v>0.71519999999999995</v>
      </c>
      <c r="M927">
        <v>1</v>
      </c>
    </row>
    <row r="928" spans="3:13" x14ac:dyDescent="0.15">
      <c r="C928" s="43">
        <v>895</v>
      </c>
      <c r="D928" s="42">
        <v>895</v>
      </c>
      <c r="E928" s="42">
        <v>0.71599999999999997</v>
      </c>
      <c r="F928" s="42">
        <v>127</v>
      </c>
      <c r="G928" s="42">
        <v>91.64800000000001</v>
      </c>
      <c r="H928" s="42">
        <v>1.3857367318435754</v>
      </c>
      <c r="I928" s="42">
        <v>1</v>
      </c>
      <c r="J928" s="42">
        <v>1.3966480446927374</v>
      </c>
      <c r="K928" s="42">
        <v>0.9921875</v>
      </c>
      <c r="L928" s="42">
        <v>0.71599999999999997</v>
      </c>
      <c r="M928">
        <v>1</v>
      </c>
    </row>
    <row r="929" spans="3:13" x14ac:dyDescent="0.15">
      <c r="C929" s="43">
        <v>896</v>
      </c>
      <c r="D929" s="42">
        <v>896</v>
      </c>
      <c r="E929" s="42">
        <v>0.71679999999999999</v>
      </c>
      <c r="F929" s="42">
        <v>127</v>
      </c>
      <c r="G929" s="42">
        <v>91.750399999999999</v>
      </c>
      <c r="H929" s="42">
        <v>1.3841901506696428</v>
      </c>
      <c r="I929" s="42">
        <v>1</v>
      </c>
      <c r="J929" s="42">
        <v>1.3950892857142858</v>
      </c>
      <c r="K929" s="42">
        <v>0.9921875</v>
      </c>
      <c r="L929" s="42">
        <v>0.71679999999999999</v>
      </c>
      <c r="M929">
        <v>1</v>
      </c>
    </row>
    <row r="930" spans="3:13" x14ac:dyDescent="0.15">
      <c r="C930" s="43">
        <v>897</v>
      </c>
      <c r="D930" s="42">
        <v>897</v>
      </c>
      <c r="E930" s="42">
        <v>0.71760000000000002</v>
      </c>
      <c r="F930" s="42">
        <v>127</v>
      </c>
      <c r="G930" s="42">
        <v>91.852800000000002</v>
      </c>
      <c r="H930" s="42">
        <v>1.3826470178372352</v>
      </c>
      <c r="I930" s="42">
        <v>1</v>
      </c>
      <c r="J930" s="42">
        <v>1.3935340022296543</v>
      </c>
      <c r="K930" s="42">
        <v>0.9921875</v>
      </c>
      <c r="L930" s="42">
        <v>0.71760000000000002</v>
      </c>
      <c r="M930">
        <v>1</v>
      </c>
    </row>
    <row r="931" spans="3:13" x14ac:dyDescent="0.15">
      <c r="C931" s="43">
        <v>898</v>
      </c>
      <c r="D931" s="42">
        <v>898</v>
      </c>
      <c r="E931" s="42">
        <v>0.71840000000000004</v>
      </c>
      <c r="F931" s="42">
        <v>127</v>
      </c>
      <c r="G931" s="42">
        <v>91.955200000000005</v>
      </c>
      <c r="H931" s="42">
        <v>1.3811073218262806</v>
      </c>
      <c r="I931" s="42">
        <v>1</v>
      </c>
      <c r="J931" s="42">
        <v>1.3919821826280623</v>
      </c>
      <c r="K931" s="42">
        <v>0.9921875</v>
      </c>
      <c r="L931" s="42">
        <v>0.71840000000000004</v>
      </c>
      <c r="M931">
        <v>1</v>
      </c>
    </row>
    <row r="932" spans="3:13" x14ac:dyDescent="0.15">
      <c r="C932" s="43">
        <v>899</v>
      </c>
      <c r="D932" s="42">
        <v>899</v>
      </c>
      <c r="E932" s="42">
        <v>0.71919999999999995</v>
      </c>
      <c r="F932" s="42">
        <v>127</v>
      </c>
      <c r="G932" s="42">
        <v>92.057600000000008</v>
      </c>
      <c r="H932" s="42">
        <v>1.3795710511679644</v>
      </c>
      <c r="I932" s="42">
        <v>1</v>
      </c>
      <c r="J932" s="42">
        <v>1.3904338153503895</v>
      </c>
      <c r="K932" s="42">
        <v>0.9921875</v>
      </c>
      <c r="L932" s="42">
        <v>0.71919999999999995</v>
      </c>
      <c r="M932">
        <v>1</v>
      </c>
    </row>
    <row r="933" spans="3:13" x14ac:dyDescent="0.15">
      <c r="C933" s="43">
        <v>900</v>
      </c>
      <c r="D933" s="42">
        <v>900</v>
      </c>
      <c r="E933" s="42">
        <v>0.72</v>
      </c>
      <c r="F933" s="42">
        <v>127</v>
      </c>
      <c r="G933" s="42">
        <v>92.160000000000011</v>
      </c>
      <c r="H933" s="42">
        <v>1.3780381944444444</v>
      </c>
      <c r="I933" s="42">
        <v>1</v>
      </c>
      <c r="J933" s="42">
        <v>1.3888888888888888</v>
      </c>
      <c r="K933" s="42">
        <v>0.9921875</v>
      </c>
      <c r="L933" s="42">
        <v>0.72</v>
      </c>
      <c r="M933">
        <v>1</v>
      </c>
    </row>
    <row r="934" spans="3:13" x14ac:dyDescent="0.15">
      <c r="C934" s="43">
        <v>901</v>
      </c>
      <c r="D934" s="42">
        <v>901</v>
      </c>
      <c r="E934" s="42">
        <v>0.7208</v>
      </c>
      <c r="F934" s="42">
        <v>127</v>
      </c>
      <c r="G934" s="42">
        <v>92.2624</v>
      </c>
      <c r="H934" s="42">
        <v>1.3765087402885683</v>
      </c>
      <c r="I934" s="42">
        <v>1</v>
      </c>
      <c r="J934" s="42">
        <v>1.3873473917869035</v>
      </c>
      <c r="K934" s="42">
        <v>0.9921875</v>
      </c>
      <c r="L934" s="42">
        <v>0.7208</v>
      </c>
      <c r="M934">
        <v>1</v>
      </c>
    </row>
    <row r="935" spans="3:13" x14ac:dyDescent="0.15">
      <c r="C935" s="43">
        <v>902</v>
      </c>
      <c r="D935" s="42">
        <v>902</v>
      </c>
      <c r="E935" s="42">
        <v>0.72160000000000002</v>
      </c>
      <c r="F935" s="42">
        <v>127</v>
      </c>
      <c r="G935" s="42">
        <v>92.364800000000002</v>
      </c>
      <c r="H935" s="42">
        <v>1.374982677383592</v>
      </c>
      <c r="I935" s="42">
        <v>1</v>
      </c>
      <c r="J935" s="42">
        <v>1.3858093126385809</v>
      </c>
      <c r="K935" s="42">
        <v>0.9921875</v>
      </c>
      <c r="L935" s="42">
        <v>0.72160000000000002</v>
      </c>
      <c r="M935">
        <v>1</v>
      </c>
    </row>
    <row r="936" spans="3:13" x14ac:dyDescent="0.15">
      <c r="C936" s="43">
        <v>903</v>
      </c>
      <c r="D936" s="42">
        <v>903</v>
      </c>
      <c r="E936" s="42">
        <v>0.72240000000000004</v>
      </c>
      <c r="F936" s="42">
        <v>127</v>
      </c>
      <c r="G936" s="42">
        <v>92.467200000000005</v>
      </c>
      <c r="H936" s="42">
        <v>1.3734599944629013</v>
      </c>
      <c r="I936" s="42">
        <v>1</v>
      </c>
      <c r="J936" s="42">
        <v>1.3842746400885935</v>
      </c>
      <c r="K936" s="42">
        <v>0.9921875</v>
      </c>
      <c r="L936" s="42">
        <v>0.72240000000000004</v>
      </c>
      <c r="M936">
        <v>1</v>
      </c>
    </row>
    <row r="937" spans="3:13" x14ac:dyDescent="0.15">
      <c r="C937" s="43">
        <v>904</v>
      </c>
      <c r="D937" s="42">
        <v>904</v>
      </c>
      <c r="E937" s="42">
        <v>0.72319999999999995</v>
      </c>
      <c r="F937" s="42">
        <v>127</v>
      </c>
      <c r="G937" s="42">
        <v>92.569600000000008</v>
      </c>
      <c r="H937" s="42">
        <v>1.3719406803097347</v>
      </c>
      <c r="I937" s="42">
        <v>1</v>
      </c>
      <c r="J937" s="42">
        <v>1.3827433628318584</v>
      </c>
      <c r="K937" s="42">
        <v>0.9921875</v>
      </c>
      <c r="L937" s="42">
        <v>0.72319999999999995</v>
      </c>
      <c r="M937">
        <v>1</v>
      </c>
    </row>
    <row r="938" spans="3:13" x14ac:dyDescent="0.15">
      <c r="C938" s="43">
        <v>905</v>
      </c>
      <c r="D938" s="42">
        <v>905</v>
      </c>
      <c r="E938" s="42">
        <v>0.72399999999999998</v>
      </c>
      <c r="F938" s="42">
        <v>127</v>
      </c>
      <c r="G938" s="42">
        <v>92.672000000000011</v>
      </c>
      <c r="H938" s="42">
        <v>1.370424723756906</v>
      </c>
      <c r="I938" s="42">
        <v>1</v>
      </c>
      <c r="J938" s="42">
        <v>1.3812154696132597</v>
      </c>
      <c r="K938" s="42">
        <v>0.9921875</v>
      </c>
      <c r="L938" s="42">
        <v>0.72399999999999998</v>
      </c>
      <c r="M938">
        <v>1</v>
      </c>
    </row>
    <row r="939" spans="3:13" x14ac:dyDescent="0.15">
      <c r="C939" s="43">
        <v>906</v>
      </c>
      <c r="D939" s="42">
        <v>906</v>
      </c>
      <c r="E939" s="42">
        <v>0.7248</v>
      </c>
      <c r="F939" s="42">
        <v>127</v>
      </c>
      <c r="G939" s="42">
        <v>92.7744</v>
      </c>
      <c r="H939" s="42">
        <v>1.3689121136865343</v>
      </c>
      <c r="I939" s="42">
        <v>1</v>
      </c>
      <c r="J939" s="42">
        <v>1.379690949227373</v>
      </c>
      <c r="K939" s="42">
        <v>0.9921875</v>
      </c>
      <c r="L939" s="42">
        <v>0.7248</v>
      </c>
      <c r="M939">
        <v>1</v>
      </c>
    </row>
    <row r="940" spans="3:13" x14ac:dyDescent="0.15">
      <c r="C940" s="43">
        <v>907</v>
      </c>
      <c r="D940" s="42">
        <v>907</v>
      </c>
      <c r="E940" s="42">
        <v>0.72560000000000002</v>
      </c>
      <c r="F940" s="42">
        <v>127</v>
      </c>
      <c r="G940" s="42">
        <v>92.876800000000003</v>
      </c>
      <c r="H940" s="42">
        <v>1.3674028390297683</v>
      </c>
      <c r="I940" s="42">
        <v>1</v>
      </c>
      <c r="J940" s="42">
        <v>1.3781697905181918</v>
      </c>
      <c r="K940" s="42">
        <v>0.9921875</v>
      </c>
      <c r="L940" s="42">
        <v>0.72560000000000002</v>
      </c>
      <c r="M940">
        <v>1</v>
      </c>
    </row>
    <row r="941" spans="3:13" x14ac:dyDescent="0.15">
      <c r="C941" s="43">
        <v>908</v>
      </c>
      <c r="D941" s="42">
        <v>908</v>
      </c>
      <c r="E941" s="42">
        <v>0.72640000000000005</v>
      </c>
      <c r="F941" s="42">
        <v>128</v>
      </c>
      <c r="G941" s="42">
        <v>92.979200000000006</v>
      </c>
      <c r="H941" s="42">
        <v>1.3766519823788546</v>
      </c>
      <c r="I941" s="42">
        <v>1</v>
      </c>
      <c r="J941" s="42">
        <v>1.3766519823788546</v>
      </c>
      <c r="K941" s="42">
        <v>1</v>
      </c>
      <c r="L941" s="42">
        <v>0.72640000000000005</v>
      </c>
      <c r="M941">
        <v>1</v>
      </c>
    </row>
    <row r="942" spans="3:13" x14ac:dyDescent="0.15">
      <c r="C942" s="43">
        <v>909</v>
      </c>
      <c r="D942" s="42">
        <v>909</v>
      </c>
      <c r="E942" s="42">
        <v>0.72719999999999996</v>
      </c>
      <c r="F942" s="42">
        <v>128</v>
      </c>
      <c r="G942" s="42">
        <v>93.081600000000009</v>
      </c>
      <c r="H942" s="42">
        <v>1.3751375137513753</v>
      </c>
      <c r="I942" s="42">
        <v>1</v>
      </c>
      <c r="J942" s="42">
        <v>1.3751375137513753</v>
      </c>
      <c r="K942" s="42">
        <v>1</v>
      </c>
      <c r="L942" s="42">
        <v>0.72719999999999996</v>
      </c>
      <c r="M942">
        <v>1</v>
      </c>
    </row>
    <row r="943" spans="3:13" x14ac:dyDescent="0.15">
      <c r="C943" s="43">
        <v>910</v>
      </c>
      <c r="D943" s="42">
        <v>910</v>
      </c>
      <c r="E943" s="42">
        <v>0.72799999999999998</v>
      </c>
      <c r="F943" s="42">
        <v>128</v>
      </c>
      <c r="G943" s="42">
        <v>93.183999999999997</v>
      </c>
      <c r="H943" s="42">
        <v>1.3736263736263736</v>
      </c>
      <c r="I943" s="42">
        <v>1</v>
      </c>
      <c r="J943" s="42">
        <v>1.3736263736263736</v>
      </c>
      <c r="K943" s="42">
        <v>1</v>
      </c>
      <c r="L943" s="42">
        <v>0.72799999999999998</v>
      </c>
      <c r="M943">
        <v>1</v>
      </c>
    </row>
    <row r="944" spans="3:13" x14ac:dyDescent="0.15">
      <c r="C944" s="43">
        <v>911</v>
      </c>
      <c r="D944" s="42">
        <v>911</v>
      </c>
      <c r="E944" s="42">
        <v>0.7288</v>
      </c>
      <c r="F944" s="42">
        <v>128</v>
      </c>
      <c r="G944" s="42">
        <v>93.2864</v>
      </c>
      <c r="H944" s="42">
        <v>1.37211855104281</v>
      </c>
      <c r="I944" s="42">
        <v>1</v>
      </c>
      <c r="J944" s="42">
        <v>1.37211855104281</v>
      </c>
      <c r="K944" s="42">
        <v>1</v>
      </c>
      <c r="L944" s="42">
        <v>0.7288</v>
      </c>
      <c r="M944">
        <v>1</v>
      </c>
    </row>
    <row r="945" spans="3:13" x14ac:dyDescent="0.15">
      <c r="C945" s="43">
        <v>912</v>
      </c>
      <c r="D945" s="42">
        <v>912</v>
      </c>
      <c r="E945" s="42">
        <v>0.72960000000000003</v>
      </c>
      <c r="F945" s="42">
        <v>128</v>
      </c>
      <c r="G945" s="42">
        <v>93.388800000000003</v>
      </c>
      <c r="H945" s="42">
        <v>1.3706140350877192</v>
      </c>
      <c r="I945" s="42">
        <v>1</v>
      </c>
      <c r="J945" s="42">
        <v>1.3706140350877192</v>
      </c>
      <c r="K945" s="42">
        <v>1</v>
      </c>
      <c r="L945" s="42">
        <v>0.72960000000000003</v>
      </c>
      <c r="M945">
        <v>1</v>
      </c>
    </row>
    <row r="946" spans="3:13" x14ac:dyDescent="0.15">
      <c r="C946" s="43">
        <v>913</v>
      </c>
      <c r="D946" s="42">
        <v>913</v>
      </c>
      <c r="E946" s="42">
        <v>0.73040000000000005</v>
      </c>
      <c r="F946" s="42">
        <v>128</v>
      </c>
      <c r="G946" s="42">
        <v>93.491200000000006</v>
      </c>
      <c r="H946" s="42">
        <v>1.3691128148959473</v>
      </c>
      <c r="I946" s="42">
        <v>1</v>
      </c>
      <c r="J946" s="42">
        <v>1.3691128148959473</v>
      </c>
      <c r="K946" s="42">
        <v>1</v>
      </c>
      <c r="L946" s="42">
        <v>0.73040000000000005</v>
      </c>
      <c r="M946">
        <v>1</v>
      </c>
    </row>
    <row r="947" spans="3:13" x14ac:dyDescent="0.15">
      <c r="C947" s="43">
        <v>914</v>
      </c>
      <c r="D947" s="42">
        <v>914</v>
      </c>
      <c r="E947" s="42">
        <v>0.73119999999999996</v>
      </c>
      <c r="F947" s="42">
        <v>128</v>
      </c>
      <c r="G947" s="42">
        <v>93.593600000000009</v>
      </c>
      <c r="H947" s="42">
        <v>1.3676148796498906</v>
      </c>
      <c r="I947" s="42">
        <v>1</v>
      </c>
      <c r="J947" s="42">
        <v>1.3676148796498906</v>
      </c>
      <c r="K947" s="42">
        <v>1</v>
      </c>
      <c r="L947" s="42">
        <v>0.73119999999999996</v>
      </c>
      <c r="M947">
        <v>1</v>
      </c>
    </row>
    <row r="948" spans="3:13" x14ac:dyDescent="0.15">
      <c r="C948" s="43">
        <v>915</v>
      </c>
      <c r="D948" s="42">
        <v>915</v>
      </c>
      <c r="E948" s="42">
        <v>0.73199999999999998</v>
      </c>
      <c r="F948" s="42">
        <v>128</v>
      </c>
      <c r="G948" s="42">
        <v>93.695999999999998</v>
      </c>
      <c r="H948" s="42">
        <v>1.3661202185792349</v>
      </c>
      <c r="I948" s="42">
        <v>1</v>
      </c>
      <c r="J948" s="42">
        <v>1.3661202185792349</v>
      </c>
      <c r="K948" s="42">
        <v>1</v>
      </c>
      <c r="L948" s="42">
        <v>0.73199999999999998</v>
      </c>
      <c r="M948">
        <v>1</v>
      </c>
    </row>
    <row r="949" spans="3:13" x14ac:dyDescent="0.15">
      <c r="C949" s="43">
        <v>916</v>
      </c>
      <c r="D949" s="42">
        <v>916</v>
      </c>
      <c r="E949" s="42">
        <v>0.73280000000000001</v>
      </c>
      <c r="F949" s="42">
        <v>128</v>
      </c>
      <c r="G949" s="42">
        <v>93.798400000000001</v>
      </c>
      <c r="H949" s="42">
        <v>1.3646288209606987</v>
      </c>
      <c r="I949" s="42">
        <v>1</v>
      </c>
      <c r="J949" s="42">
        <v>1.3646288209606987</v>
      </c>
      <c r="K949" s="42">
        <v>1</v>
      </c>
      <c r="L949" s="42">
        <v>0.73280000000000001</v>
      </c>
      <c r="M949">
        <v>1</v>
      </c>
    </row>
    <row r="950" spans="3:13" x14ac:dyDescent="0.15">
      <c r="C950" s="43">
        <v>917</v>
      </c>
      <c r="D950" s="42">
        <v>917</v>
      </c>
      <c r="E950" s="42">
        <v>0.73360000000000003</v>
      </c>
      <c r="F950" s="42">
        <v>128</v>
      </c>
      <c r="G950" s="42">
        <v>93.900800000000004</v>
      </c>
      <c r="H950" s="42">
        <v>1.3631406761177753</v>
      </c>
      <c r="I950" s="42">
        <v>1</v>
      </c>
      <c r="J950" s="42">
        <v>1.3631406761177753</v>
      </c>
      <c r="K950" s="42">
        <v>1</v>
      </c>
      <c r="L950" s="42">
        <v>0.73360000000000003</v>
      </c>
      <c r="M950">
        <v>1</v>
      </c>
    </row>
    <row r="951" spans="3:13" x14ac:dyDescent="0.15">
      <c r="C951" s="43">
        <v>918</v>
      </c>
      <c r="D951" s="42">
        <v>918</v>
      </c>
      <c r="E951" s="42">
        <v>0.73440000000000005</v>
      </c>
      <c r="F951" s="42">
        <v>128</v>
      </c>
      <c r="G951" s="42">
        <v>94.003200000000007</v>
      </c>
      <c r="H951" s="42">
        <v>1.3616557734204793</v>
      </c>
      <c r="I951" s="42">
        <v>1</v>
      </c>
      <c r="J951" s="42">
        <v>1.3616557734204793</v>
      </c>
      <c r="K951" s="42">
        <v>1</v>
      </c>
      <c r="L951" s="42">
        <v>0.73440000000000005</v>
      </c>
      <c r="M951">
        <v>1</v>
      </c>
    </row>
    <row r="952" spans="3:13" x14ac:dyDescent="0.15">
      <c r="C952" s="43">
        <v>919</v>
      </c>
      <c r="D952" s="42">
        <v>919</v>
      </c>
      <c r="E952" s="42">
        <v>0.73519999999999996</v>
      </c>
      <c r="F952" s="42">
        <v>128</v>
      </c>
      <c r="G952" s="42">
        <v>94.10560000000001</v>
      </c>
      <c r="H952" s="42">
        <v>1.3601741022850926</v>
      </c>
      <c r="I952" s="42">
        <v>1</v>
      </c>
      <c r="J952" s="42">
        <v>1.3601741022850926</v>
      </c>
      <c r="K952" s="42">
        <v>1</v>
      </c>
      <c r="L952" s="42">
        <v>0.73519999999999996</v>
      </c>
      <c r="M952">
        <v>1</v>
      </c>
    </row>
    <row r="953" spans="3:13" x14ac:dyDescent="0.15">
      <c r="C953" s="43">
        <v>920</v>
      </c>
      <c r="D953" s="42">
        <v>920</v>
      </c>
      <c r="E953" s="42">
        <v>0.73599999999999999</v>
      </c>
      <c r="F953" s="42">
        <v>128</v>
      </c>
      <c r="G953" s="42">
        <v>94.207999999999998</v>
      </c>
      <c r="H953" s="42">
        <v>1.3586956521739131</v>
      </c>
      <c r="I953" s="42">
        <v>1</v>
      </c>
      <c r="J953" s="42">
        <v>1.3586956521739131</v>
      </c>
      <c r="K953" s="42">
        <v>1</v>
      </c>
      <c r="L953" s="42">
        <v>0.73599999999999999</v>
      </c>
      <c r="M953">
        <v>1</v>
      </c>
    </row>
    <row r="954" spans="3:13" x14ac:dyDescent="0.15">
      <c r="C954" s="43">
        <v>921</v>
      </c>
      <c r="D954" s="42">
        <v>921</v>
      </c>
      <c r="E954" s="42">
        <v>0.73680000000000001</v>
      </c>
      <c r="F954" s="42">
        <v>128</v>
      </c>
      <c r="G954" s="42">
        <v>94.310400000000001</v>
      </c>
      <c r="H954" s="42">
        <v>1.3572204125950054</v>
      </c>
      <c r="I954" s="42">
        <v>1</v>
      </c>
      <c r="J954" s="42">
        <v>1.3572204125950054</v>
      </c>
      <c r="K954" s="42">
        <v>1</v>
      </c>
      <c r="L954" s="42">
        <v>0.73680000000000001</v>
      </c>
      <c r="M954">
        <v>1</v>
      </c>
    </row>
    <row r="955" spans="3:13" x14ac:dyDescent="0.15">
      <c r="C955" s="43">
        <v>922</v>
      </c>
      <c r="D955" s="42">
        <v>922</v>
      </c>
      <c r="E955" s="42">
        <v>0.73760000000000003</v>
      </c>
      <c r="F955" s="42">
        <v>128</v>
      </c>
      <c r="G955" s="42">
        <v>94.412800000000004</v>
      </c>
      <c r="H955" s="42">
        <v>1.3557483731019522</v>
      </c>
      <c r="I955" s="42">
        <v>1</v>
      </c>
      <c r="J955" s="42">
        <v>1.3557483731019522</v>
      </c>
      <c r="K955" s="42">
        <v>1</v>
      </c>
      <c r="L955" s="42">
        <v>0.73760000000000003</v>
      </c>
      <c r="M955">
        <v>1</v>
      </c>
    </row>
    <row r="956" spans="3:13" x14ac:dyDescent="0.15">
      <c r="C956" s="43">
        <v>923</v>
      </c>
      <c r="D956" s="42">
        <v>923</v>
      </c>
      <c r="E956" s="42">
        <v>0.73839999999999995</v>
      </c>
      <c r="F956" s="42">
        <v>128</v>
      </c>
      <c r="G956" s="42">
        <v>94.515200000000007</v>
      </c>
      <c r="H956" s="42">
        <v>1.354279523293608</v>
      </c>
      <c r="I956" s="42">
        <v>1</v>
      </c>
      <c r="J956" s="42">
        <v>1.354279523293608</v>
      </c>
      <c r="K956" s="42">
        <v>1</v>
      </c>
      <c r="L956" s="42">
        <v>0.73839999999999995</v>
      </c>
      <c r="M956">
        <v>1</v>
      </c>
    </row>
    <row r="957" spans="3:13" x14ac:dyDescent="0.15">
      <c r="C957" s="43">
        <v>924</v>
      </c>
      <c r="D957" s="42">
        <v>924</v>
      </c>
      <c r="E957" s="42">
        <v>0.73919999999999997</v>
      </c>
      <c r="F957" s="42">
        <v>128</v>
      </c>
      <c r="G957" s="42">
        <v>94.61760000000001</v>
      </c>
      <c r="H957" s="42">
        <v>1.3528138528138529</v>
      </c>
      <c r="I957" s="42">
        <v>1</v>
      </c>
      <c r="J957" s="42">
        <v>1.3528138528138529</v>
      </c>
      <c r="K957" s="42">
        <v>1</v>
      </c>
      <c r="L957" s="42">
        <v>0.73919999999999997</v>
      </c>
      <c r="M957">
        <v>1</v>
      </c>
    </row>
    <row r="958" spans="3:13" x14ac:dyDescent="0.15">
      <c r="C958" s="43">
        <v>925</v>
      </c>
      <c r="D958" s="42">
        <v>925</v>
      </c>
      <c r="E958" s="42">
        <v>0.74</v>
      </c>
      <c r="F958" s="42">
        <v>128</v>
      </c>
      <c r="G958" s="42">
        <v>94.72</v>
      </c>
      <c r="H958" s="42">
        <v>1.3513513513513513</v>
      </c>
      <c r="I958" s="42">
        <v>1</v>
      </c>
      <c r="J958" s="42">
        <v>1.3513513513513513</v>
      </c>
      <c r="K958" s="42">
        <v>1</v>
      </c>
      <c r="L958" s="42">
        <v>0.74</v>
      </c>
      <c r="M958">
        <v>1</v>
      </c>
    </row>
    <row r="959" spans="3:13" x14ac:dyDescent="0.15">
      <c r="C959" s="43">
        <v>926</v>
      </c>
      <c r="D959" s="42">
        <v>926</v>
      </c>
      <c r="E959" s="42">
        <v>0.74080000000000001</v>
      </c>
      <c r="F959" s="42">
        <v>128</v>
      </c>
      <c r="G959" s="42">
        <v>94.822400000000002</v>
      </c>
      <c r="H959" s="42">
        <v>1.3498920086393089</v>
      </c>
      <c r="I959" s="42">
        <v>1</v>
      </c>
      <c r="J959" s="42">
        <v>1.3498920086393089</v>
      </c>
      <c r="K959" s="42">
        <v>1</v>
      </c>
      <c r="L959" s="42">
        <v>0.74080000000000001</v>
      </c>
      <c r="M959">
        <v>1</v>
      </c>
    </row>
    <row r="960" spans="3:13" x14ac:dyDescent="0.15">
      <c r="C960" s="43">
        <v>927</v>
      </c>
      <c r="D960" s="42">
        <v>927</v>
      </c>
      <c r="E960" s="42">
        <v>0.74160000000000004</v>
      </c>
      <c r="F960" s="42">
        <v>128</v>
      </c>
      <c r="G960" s="42">
        <v>94.924800000000005</v>
      </c>
      <c r="H960" s="42">
        <v>1.348435814455232</v>
      </c>
      <c r="I960" s="42">
        <v>1</v>
      </c>
      <c r="J960" s="42">
        <v>1.348435814455232</v>
      </c>
      <c r="K960" s="42">
        <v>1</v>
      </c>
      <c r="L960" s="42">
        <v>0.74160000000000004</v>
      </c>
      <c r="M960">
        <v>1</v>
      </c>
    </row>
    <row r="961" spans="3:13" x14ac:dyDescent="0.15">
      <c r="C961" s="43">
        <v>928</v>
      </c>
      <c r="D961" s="42">
        <v>928</v>
      </c>
      <c r="E961" s="42">
        <v>0.74239999999999995</v>
      </c>
      <c r="F961" s="42">
        <v>128</v>
      </c>
      <c r="G961" s="42">
        <v>95.027200000000008</v>
      </c>
      <c r="H961" s="42">
        <v>1.3469827586206897</v>
      </c>
      <c r="I961" s="42">
        <v>1</v>
      </c>
      <c r="J961" s="42">
        <v>1.3469827586206897</v>
      </c>
      <c r="K961" s="42">
        <v>1</v>
      </c>
      <c r="L961" s="42">
        <v>0.74239999999999995</v>
      </c>
      <c r="M961">
        <v>1</v>
      </c>
    </row>
    <row r="962" spans="3:13" x14ac:dyDescent="0.15">
      <c r="C962" s="43">
        <v>929</v>
      </c>
      <c r="D962" s="42">
        <v>929</v>
      </c>
      <c r="E962" s="42">
        <v>0.74319999999999997</v>
      </c>
      <c r="F962" s="42">
        <v>128</v>
      </c>
      <c r="G962" s="42">
        <v>95.129600000000011</v>
      </c>
      <c r="H962" s="42">
        <v>1.3455328310010766</v>
      </c>
      <c r="I962" s="42">
        <v>1</v>
      </c>
      <c r="J962" s="42">
        <v>1.3455328310010766</v>
      </c>
      <c r="K962" s="42">
        <v>1</v>
      </c>
      <c r="L962" s="42">
        <v>0.74319999999999997</v>
      </c>
      <c r="M962">
        <v>1</v>
      </c>
    </row>
    <row r="963" spans="3:13" x14ac:dyDescent="0.15">
      <c r="C963" s="43">
        <v>930</v>
      </c>
      <c r="D963" s="42">
        <v>930</v>
      </c>
      <c r="E963" s="42">
        <v>0.74399999999999999</v>
      </c>
      <c r="F963" s="42">
        <v>128</v>
      </c>
      <c r="G963" s="42">
        <v>95.231999999999999</v>
      </c>
      <c r="H963" s="42">
        <v>1.3440860215053763</v>
      </c>
      <c r="I963" s="42">
        <v>1</v>
      </c>
      <c r="J963" s="42">
        <v>1.3440860215053763</v>
      </c>
      <c r="K963" s="42">
        <v>1</v>
      </c>
      <c r="L963" s="42">
        <v>0.74399999999999999</v>
      </c>
      <c r="M963">
        <v>1</v>
      </c>
    </row>
    <row r="964" spans="3:13" x14ac:dyDescent="0.15">
      <c r="C964" s="43">
        <v>931</v>
      </c>
      <c r="D964" s="42">
        <v>931</v>
      </c>
      <c r="E964" s="42">
        <v>0.74480000000000002</v>
      </c>
      <c r="F964" s="42">
        <v>128</v>
      </c>
      <c r="G964" s="42">
        <v>95.334400000000002</v>
      </c>
      <c r="H964" s="42">
        <v>1.342642320085929</v>
      </c>
      <c r="I964" s="42">
        <v>1</v>
      </c>
      <c r="J964" s="42">
        <v>1.342642320085929</v>
      </c>
      <c r="K964" s="42">
        <v>1</v>
      </c>
      <c r="L964" s="42">
        <v>0.74480000000000002</v>
      </c>
      <c r="M964">
        <v>1</v>
      </c>
    </row>
    <row r="965" spans="3:13" x14ac:dyDescent="0.15">
      <c r="C965" s="43">
        <v>932</v>
      </c>
      <c r="D965" s="42">
        <v>932</v>
      </c>
      <c r="E965" s="42">
        <v>0.74560000000000004</v>
      </c>
      <c r="F965" s="42">
        <v>128</v>
      </c>
      <c r="G965" s="42">
        <v>95.436800000000005</v>
      </c>
      <c r="H965" s="42">
        <v>1.3412017167381973</v>
      </c>
      <c r="I965" s="42">
        <v>1</v>
      </c>
      <c r="J965" s="42">
        <v>1.3412017167381973</v>
      </c>
      <c r="K965" s="42">
        <v>1</v>
      </c>
      <c r="L965" s="42">
        <v>0.74560000000000004</v>
      </c>
      <c r="M965">
        <v>1</v>
      </c>
    </row>
    <row r="966" spans="3:13" x14ac:dyDescent="0.15">
      <c r="C966" s="43">
        <v>933</v>
      </c>
      <c r="D966" s="42">
        <v>933</v>
      </c>
      <c r="E966" s="42">
        <v>0.74639999999999995</v>
      </c>
      <c r="F966" s="42">
        <v>128</v>
      </c>
      <c r="G966" s="42">
        <v>95.539200000000008</v>
      </c>
      <c r="H966" s="42">
        <v>1.339764201500536</v>
      </c>
      <c r="I966" s="42">
        <v>1</v>
      </c>
      <c r="J966" s="42">
        <v>1.339764201500536</v>
      </c>
      <c r="K966" s="42">
        <v>1</v>
      </c>
      <c r="L966" s="42">
        <v>0.74639999999999995</v>
      </c>
      <c r="M966">
        <v>1</v>
      </c>
    </row>
    <row r="967" spans="3:13" x14ac:dyDescent="0.15">
      <c r="C967" s="43">
        <v>934</v>
      </c>
      <c r="D967" s="42">
        <v>934</v>
      </c>
      <c r="E967" s="42">
        <v>0.74719999999999998</v>
      </c>
      <c r="F967" s="42">
        <v>128</v>
      </c>
      <c r="G967" s="42">
        <v>95.641600000000011</v>
      </c>
      <c r="H967" s="42">
        <v>1.3383297644539616</v>
      </c>
      <c r="I967" s="42">
        <v>1</v>
      </c>
      <c r="J967" s="42">
        <v>1.3383297644539616</v>
      </c>
      <c r="K967" s="42">
        <v>1</v>
      </c>
      <c r="L967" s="42">
        <v>0.74719999999999998</v>
      </c>
      <c r="M967">
        <v>1</v>
      </c>
    </row>
    <row r="968" spans="3:13" x14ac:dyDescent="0.15">
      <c r="C968" s="43">
        <v>935</v>
      </c>
      <c r="D968" s="42">
        <v>935</v>
      </c>
      <c r="E968" s="42">
        <v>0.748</v>
      </c>
      <c r="F968" s="42">
        <v>128</v>
      </c>
      <c r="G968" s="42">
        <v>95.744</v>
      </c>
      <c r="H968" s="42">
        <v>1.3368983957219251</v>
      </c>
      <c r="I968" s="42">
        <v>1</v>
      </c>
      <c r="J968" s="42">
        <v>1.3368983957219251</v>
      </c>
      <c r="K968" s="42">
        <v>1</v>
      </c>
      <c r="L968" s="42">
        <v>0.748</v>
      </c>
      <c r="M968">
        <v>1</v>
      </c>
    </row>
    <row r="969" spans="3:13" x14ac:dyDescent="0.15">
      <c r="C969" s="43">
        <v>936</v>
      </c>
      <c r="D969" s="42">
        <v>936</v>
      </c>
      <c r="E969" s="42">
        <v>0.74880000000000002</v>
      </c>
      <c r="F969" s="42">
        <v>128</v>
      </c>
      <c r="G969" s="42">
        <v>95.846400000000003</v>
      </c>
      <c r="H969" s="42">
        <v>1.3354700854700854</v>
      </c>
      <c r="I969" s="42">
        <v>1</v>
      </c>
      <c r="J969" s="42">
        <v>1.3354700854700854</v>
      </c>
      <c r="K969" s="42">
        <v>1</v>
      </c>
      <c r="L969" s="42">
        <v>0.74880000000000002</v>
      </c>
      <c r="M969">
        <v>1</v>
      </c>
    </row>
    <row r="970" spans="3:13" x14ac:dyDescent="0.15">
      <c r="C970" s="43">
        <v>937</v>
      </c>
      <c r="D970" s="42">
        <v>937</v>
      </c>
      <c r="E970" s="42">
        <v>0.74960000000000004</v>
      </c>
      <c r="F970" s="42">
        <v>128</v>
      </c>
      <c r="G970" s="42">
        <v>95.948800000000006</v>
      </c>
      <c r="H970" s="42">
        <v>1.3340448239060831</v>
      </c>
      <c r="I970" s="42">
        <v>1</v>
      </c>
      <c r="J970" s="42">
        <v>1.3340448239060831</v>
      </c>
      <c r="K970" s="42">
        <v>1</v>
      </c>
      <c r="L970" s="42">
        <v>0.74960000000000004</v>
      </c>
      <c r="M970">
        <v>1</v>
      </c>
    </row>
    <row r="971" spans="3:13" x14ac:dyDescent="0.15">
      <c r="C971" s="43">
        <v>938</v>
      </c>
      <c r="D971" s="42">
        <v>938</v>
      </c>
      <c r="E971" s="42">
        <v>0.75039999999999996</v>
      </c>
      <c r="F971" s="42">
        <v>128</v>
      </c>
      <c r="G971" s="42">
        <v>96.051200000000009</v>
      </c>
      <c r="H971" s="42">
        <v>1.3326226012793179</v>
      </c>
      <c r="I971" s="42">
        <v>1</v>
      </c>
      <c r="J971" s="42">
        <v>1.3326226012793179</v>
      </c>
      <c r="K971" s="42">
        <v>1</v>
      </c>
      <c r="L971" s="42">
        <v>0.75039999999999996</v>
      </c>
      <c r="M971">
        <v>1</v>
      </c>
    </row>
    <row r="972" spans="3:13" x14ac:dyDescent="0.15">
      <c r="C972" s="43">
        <v>939</v>
      </c>
      <c r="D972" s="42">
        <v>939</v>
      </c>
      <c r="E972" s="42">
        <v>0.75119999999999998</v>
      </c>
      <c r="F972" s="42">
        <v>128</v>
      </c>
      <c r="G972" s="42">
        <v>96.153600000000012</v>
      </c>
      <c r="H972" s="42">
        <v>1.3312034078807242</v>
      </c>
      <c r="I972" s="42">
        <v>1</v>
      </c>
      <c r="J972" s="42">
        <v>1.3312034078807242</v>
      </c>
      <c r="K972" s="42">
        <v>1</v>
      </c>
      <c r="L972" s="42">
        <v>0.75119999999999998</v>
      </c>
      <c r="M972">
        <v>1</v>
      </c>
    </row>
    <row r="973" spans="3:13" x14ac:dyDescent="0.15">
      <c r="C973" s="43">
        <v>940</v>
      </c>
      <c r="D973" s="42">
        <v>940</v>
      </c>
      <c r="E973" s="42">
        <v>0.752</v>
      </c>
      <c r="F973" s="42">
        <v>128</v>
      </c>
      <c r="G973" s="42">
        <v>96.256</v>
      </c>
      <c r="H973" s="42">
        <v>1.3297872340425532</v>
      </c>
      <c r="I973" s="42">
        <v>1</v>
      </c>
      <c r="J973" s="42">
        <v>1.3297872340425532</v>
      </c>
      <c r="K973" s="42">
        <v>1</v>
      </c>
      <c r="L973" s="42">
        <v>0.752</v>
      </c>
      <c r="M973">
        <v>1</v>
      </c>
    </row>
    <row r="974" spans="3:13" x14ac:dyDescent="0.15">
      <c r="C974" s="43">
        <v>941</v>
      </c>
      <c r="D974" s="42">
        <v>941</v>
      </c>
      <c r="E974" s="42">
        <v>0.75280000000000002</v>
      </c>
      <c r="F974" s="42">
        <v>128</v>
      </c>
      <c r="G974" s="42">
        <v>96.358400000000003</v>
      </c>
      <c r="H974" s="42">
        <v>1.3283740701381508</v>
      </c>
      <c r="I974" s="42">
        <v>1</v>
      </c>
      <c r="J974" s="42">
        <v>1.3283740701381508</v>
      </c>
      <c r="K974" s="42">
        <v>1</v>
      </c>
      <c r="L974" s="42">
        <v>0.75280000000000002</v>
      </c>
      <c r="M974">
        <v>1</v>
      </c>
    </row>
    <row r="975" spans="3:13" x14ac:dyDescent="0.15">
      <c r="C975" s="43">
        <v>942</v>
      </c>
      <c r="D975" s="42">
        <v>942</v>
      </c>
      <c r="E975" s="42">
        <v>0.75360000000000005</v>
      </c>
      <c r="F975" s="42">
        <v>128</v>
      </c>
      <c r="G975" s="42">
        <v>96.460800000000006</v>
      </c>
      <c r="H975" s="42">
        <v>1.3269639065817409</v>
      </c>
      <c r="I975" s="42">
        <v>1</v>
      </c>
      <c r="J975" s="42">
        <v>1.3269639065817409</v>
      </c>
      <c r="K975" s="42">
        <v>1</v>
      </c>
      <c r="L975" s="42">
        <v>0.75360000000000005</v>
      </c>
      <c r="M975">
        <v>1</v>
      </c>
    </row>
    <row r="976" spans="3:13" x14ac:dyDescent="0.15">
      <c r="C976" s="43">
        <v>943</v>
      </c>
      <c r="D976" s="42">
        <v>943</v>
      </c>
      <c r="E976" s="42">
        <v>0.75439999999999996</v>
      </c>
      <c r="F976" s="42">
        <v>128</v>
      </c>
      <c r="G976" s="42">
        <v>96.563200000000009</v>
      </c>
      <c r="H976" s="42">
        <v>1.3255567338282079</v>
      </c>
      <c r="I976" s="42">
        <v>1</v>
      </c>
      <c r="J976" s="42">
        <v>1.3255567338282079</v>
      </c>
      <c r="K976" s="42">
        <v>1</v>
      </c>
      <c r="L976" s="42">
        <v>0.75439999999999996</v>
      </c>
      <c r="M976">
        <v>1</v>
      </c>
    </row>
    <row r="977" spans="3:13" x14ac:dyDescent="0.15">
      <c r="C977" s="43">
        <v>944</v>
      </c>
      <c r="D977" s="42">
        <v>944</v>
      </c>
      <c r="E977" s="42">
        <v>0.75519999999999998</v>
      </c>
      <c r="F977" s="42">
        <v>128</v>
      </c>
      <c r="G977" s="42">
        <v>96.665599999999998</v>
      </c>
      <c r="H977" s="42">
        <v>1.3241525423728815</v>
      </c>
      <c r="I977" s="42">
        <v>1</v>
      </c>
      <c r="J977" s="42">
        <v>1.3241525423728815</v>
      </c>
      <c r="K977" s="42">
        <v>1</v>
      </c>
      <c r="L977" s="42">
        <v>0.75519999999999998</v>
      </c>
      <c r="M977">
        <v>1</v>
      </c>
    </row>
    <row r="978" spans="3:13" x14ac:dyDescent="0.15">
      <c r="C978" s="43">
        <v>945</v>
      </c>
      <c r="D978" s="42">
        <v>945</v>
      </c>
      <c r="E978" s="42">
        <v>0.75600000000000001</v>
      </c>
      <c r="F978" s="42">
        <v>128</v>
      </c>
      <c r="G978" s="42">
        <v>96.768000000000001</v>
      </c>
      <c r="H978" s="42">
        <v>1.3227513227513228</v>
      </c>
      <c r="I978" s="42">
        <v>1</v>
      </c>
      <c r="J978" s="42">
        <v>1.3227513227513228</v>
      </c>
      <c r="K978" s="42">
        <v>1</v>
      </c>
      <c r="L978" s="42">
        <v>0.75600000000000001</v>
      </c>
      <c r="M978">
        <v>1</v>
      </c>
    </row>
    <row r="979" spans="3:13" x14ac:dyDescent="0.15">
      <c r="C979" s="43">
        <v>946</v>
      </c>
      <c r="D979" s="42">
        <v>946</v>
      </c>
      <c r="E979" s="42">
        <v>0.75680000000000003</v>
      </c>
      <c r="F979" s="42">
        <v>128</v>
      </c>
      <c r="G979" s="42">
        <v>96.870400000000004</v>
      </c>
      <c r="H979" s="42">
        <v>1.3213530655391119</v>
      </c>
      <c r="I979" s="42">
        <v>1</v>
      </c>
      <c r="J979" s="42">
        <v>1.3213530655391119</v>
      </c>
      <c r="K979" s="42">
        <v>1</v>
      </c>
      <c r="L979" s="42">
        <v>0.75680000000000003</v>
      </c>
      <c r="M979">
        <v>1</v>
      </c>
    </row>
    <row r="980" spans="3:13" x14ac:dyDescent="0.15">
      <c r="C980" s="43">
        <v>947</v>
      </c>
      <c r="D980" s="42">
        <v>947</v>
      </c>
      <c r="E980" s="42">
        <v>0.75760000000000005</v>
      </c>
      <c r="F980" s="42">
        <v>128</v>
      </c>
      <c r="G980" s="42">
        <v>96.972800000000007</v>
      </c>
      <c r="H980" s="42">
        <v>1.3199577613516367</v>
      </c>
      <c r="I980" s="42">
        <v>1</v>
      </c>
      <c r="J980" s="42">
        <v>1.3199577613516367</v>
      </c>
      <c r="K980" s="42">
        <v>1</v>
      </c>
      <c r="L980" s="42">
        <v>0.75760000000000005</v>
      </c>
      <c r="M980">
        <v>1</v>
      </c>
    </row>
    <row r="981" spans="3:13" x14ac:dyDescent="0.15">
      <c r="C981" s="43">
        <v>948</v>
      </c>
      <c r="D981" s="42">
        <v>948</v>
      </c>
      <c r="E981" s="42">
        <v>0.75839999999999996</v>
      </c>
      <c r="F981" s="42">
        <v>128</v>
      </c>
      <c r="G981" s="42">
        <v>97.075200000000009</v>
      </c>
      <c r="H981" s="42">
        <v>1.3185654008438819</v>
      </c>
      <c r="I981" s="42">
        <v>1</v>
      </c>
      <c r="J981" s="42">
        <v>1.3185654008438819</v>
      </c>
      <c r="K981" s="42">
        <v>1</v>
      </c>
      <c r="L981" s="42">
        <v>0.75839999999999996</v>
      </c>
      <c r="M981">
        <v>1</v>
      </c>
    </row>
    <row r="982" spans="3:13" x14ac:dyDescent="0.15">
      <c r="C982" s="43">
        <v>949</v>
      </c>
      <c r="D982" s="42">
        <v>949</v>
      </c>
      <c r="E982" s="42">
        <v>0.75919999999999999</v>
      </c>
      <c r="F982" s="42">
        <v>128</v>
      </c>
      <c r="G982" s="42">
        <v>97.177599999999998</v>
      </c>
      <c r="H982" s="42">
        <v>1.3171759747102214</v>
      </c>
      <c r="I982" s="42">
        <v>1</v>
      </c>
      <c r="J982" s="42">
        <v>1.3171759747102214</v>
      </c>
      <c r="K982" s="42">
        <v>1</v>
      </c>
      <c r="L982" s="42">
        <v>0.75919999999999999</v>
      </c>
      <c r="M982">
        <v>1</v>
      </c>
    </row>
    <row r="983" spans="3:13" x14ac:dyDescent="0.15">
      <c r="C983" s="43">
        <v>950</v>
      </c>
      <c r="D983" s="42">
        <v>950</v>
      </c>
      <c r="E983" s="42">
        <v>0.76</v>
      </c>
      <c r="F983" s="42">
        <v>128</v>
      </c>
      <c r="G983" s="42">
        <v>97.28</v>
      </c>
      <c r="H983" s="42">
        <v>1.3157894736842106</v>
      </c>
      <c r="I983" s="42">
        <v>1</v>
      </c>
      <c r="J983" s="42">
        <v>1.3157894736842106</v>
      </c>
      <c r="K983" s="42">
        <v>1</v>
      </c>
      <c r="L983" s="42">
        <v>0.76</v>
      </c>
      <c r="M983">
        <v>1</v>
      </c>
    </row>
    <row r="984" spans="3:13" x14ac:dyDescent="0.15">
      <c r="C984" s="43">
        <v>951</v>
      </c>
      <c r="D984" s="42">
        <v>951</v>
      </c>
      <c r="E984" s="42">
        <v>0.76080000000000003</v>
      </c>
      <c r="F984" s="42">
        <v>128</v>
      </c>
      <c r="G984" s="42">
        <v>97.382400000000004</v>
      </c>
      <c r="H984" s="42">
        <v>1.3144058885383807</v>
      </c>
      <c r="I984" s="42">
        <v>1</v>
      </c>
      <c r="J984" s="42">
        <v>1.3144058885383807</v>
      </c>
      <c r="K984" s="42">
        <v>1</v>
      </c>
      <c r="L984" s="42">
        <v>0.76080000000000003</v>
      </c>
      <c r="M984">
        <v>1</v>
      </c>
    </row>
    <row r="985" spans="3:13" x14ac:dyDescent="0.15">
      <c r="C985" s="43">
        <v>952</v>
      </c>
      <c r="D985" s="42">
        <v>952</v>
      </c>
      <c r="E985" s="42">
        <v>0.76160000000000005</v>
      </c>
      <c r="F985" s="42">
        <v>128</v>
      </c>
      <c r="G985" s="42">
        <v>97.484800000000007</v>
      </c>
      <c r="H985" s="42">
        <v>1.3130252100840336</v>
      </c>
      <c r="I985" s="42">
        <v>1</v>
      </c>
      <c r="J985" s="42">
        <v>1.3130252100840336</v>
      </c>
      <c r="K985" s="42">
        <v>1</v>
      </c>
      <c r="L985" s="42">
        <v>0.76160000000000005</v>
      </c>
      <c r="M985">
        <v>1</v>
      </c>
    </row>
    <row r="986" spans="3:13" x14ac:dyDescent="0.15">
      <c r="C986" s="43">
        <v>953</v>
      </c>
      <c r="D986" s="42">
        <v>953</v>
      </c>
      <c r="E986" s="42">
        <v>0.76239999999999997</v>
      </c>
      <c r="F986" s="42">
        <v>128</v>
      </c>
      <c r="G986" s="42">
        <v>97.58720000000001</v>
      </c>
      <c r="H986" s="42">
        <v>1.3116474291710389</v>
      </c>
      <c r="I986" s="42">
        <v>1</v>
      </c>
      <c r="J986" s="42">
        <v>1.3116474291710389</v>
      </c>
      <c r="K986" s="42">
        <v>1</v>
      </c>
      <c r="L986" s="42">
        <v>0.76239999999999997</v>
      </c>
      <c r="M986">
        <v>1</v>
      </c>
    </row>
    <row r="987" spans="3:13" x14ac:dyDescent="0.15">
      <c r="C987" s="43">
        <v>954</v>
      </c>
      <c r="D987" s="42">
        <v>954</v>
      </c>
      <c r="E987" s="42">
        <v>0.76319999999999999</v>
      </c>
      <c r="F987" s="42">
        <v>128</v>
      </c>
      <c r="G987" s="42">
        <v>97.689599999999999</v>
      </c>
      <c r="H987" s="42">
        <v>1.3102725366876311</v>
      </c>
      <c r="I987" s="42">
        <v>1</v>
      </c>
      <c r="J987" s="42">
        <v>1.3102725366876311</v>
      </c>
      <c r="K987" s="42">
        <v>1</v>
      </c>
      <c r="L987" s="42">
        <v>0.76319999999999999</v>
      </c>
      <c r="M987">
        <v>1</v>
      </c>
    </row>
    <row r="988" spans="3:13" x14ac:dyDescent="0.15">
      <c r="C988" s="43">
        <v>955</v>
      </c>
      <c r="D988" s="42">
        <v>955</v>
      </c>
      <c r="E988" s="42">
        <v>0.76400000000000001</v>
      </c>
      <c r="F988" s="42">
        <v>128</v>
      </c>
      <c r="G988" s="42">
        <v>97.792000000000002</v>
      </c>
      <c r="H988" s="42">
        <v>1.3089005235602094</v>
      </c>
      <c r="I988" s="42">
        <v>1</v>
      </c>
      <c r="J988" s="42">
        <v>1.3089005235602094</v>
      </c>
      <c r="K988" s="42">
        <v>1</v>
      </c>
      <c r="L988" s="42">
        <v>0.76400000000000001</v>
      </c>
      <c r="M988">
        <v>1</v>
      </c>
    </row>
    <row r="989" spans="3:13" x14ac:dyDescent="0.15">
      <c r="C989" s="43">
        <v>956</v>
      </c>
      <c r="D989" s="42">
        <v>956</v>
      </c>
      <c r="E989" s="42">
        <v>0.76480000000000004</v>
      </c>
      <c r="F989" s="42">
        <v>128</v>
      </c>
      <c r="G989" s="42">
        <v>97.894400000000005</v>
      </c>
      <c r="H989" s="42">
        <v>1.3075313807531379</v>
      </c>
      <c r="I989" s="42">
        <v>1</v>
      </c>
      <c r="J989" s="42">
        <v>1.3075313807531379</v>
      </c>
      <c r="K989" s="42">
        <v>1</v>
      </c>
      <c r="L989" s="42">
        <v>0.76480000000000004</v>
      </c>
      <c r="M989">
        <v>1</v>
      </c>
    </row>
    <row r="990" spans="3:13" x14ac:dyDescent="0.15">
      <c r="C990" s="43">
        <v>957</v>
      </c>
      <c r="D990" s="42">
        <v>957</v>
      </c>
      <c r="E990" s="42">
        <v>0.76559999999999995</v>
      </c>
      <c r="F990" s="42">
        <v>128</v>
      </c>
      <c r="G990" s="42">
        <v>97.996800000000007</v>
      </c>
      <c r="H990" s="42">
        <v>1.3061650992685476</v>
      </c>
      <c r="I990" s="42">
        <v>1</v>
      </c>
      <c r="J990" s="42">
        <v>1.3061650992685476</v>
      </c>
      <c r="K990" s="42">
        <v>1</v>
      </c>
      <c r="L990" s="42">
        <v>0.76559999999999995</v>
      </c>
      <c r="M990">
        <v>1</v>
      </c>
    </row>
    <row r="991" spans="3:13" x14ac:dyDescent="0.15">
      <c r="C991" s="43">
        <v>958</v>
      </c>
      <c r="D991" s="42">
        <v>958</v>
      </c>
      <c r="E991" s="42">
        <v>0.76639999999999997</v>
      </c>
      <c r="F991" s="42">
        <v>128</v>
      </c>
      <c r="G991" s="42">
        <v>98.09920000000001</v>
      </c>
      <c r="H991" s="42">
        <v>1.3048016701461378</v>
      </c>
      <c r="I991" s="42">
        <v>1</v>
      </c>
      <c r="J991" s="42">
        <v>1.3048016701461378</v>
      </c>
      <c r="K991" s="42">
        <v>1</v>
      </c>
      <c r="L991" s="42">
        <v>0.76639999999999997</v>
      </c>
      <c r="M991">
        <v>1</v>
      </c>
    </row>
    <row r="992" spans="3:13" x14ac:dyDescent="0.15">
      <c r="C992" s="43">
        <v>959</v>
      </c>
      <c r="D992" s="42">
        <v>959</v>
      </c>
      <c r="E992" s="42">
        <v>0.76719999999999999</v>
      </c>
      <c r="F992" s="42">
        <v>128</v>
      </c>
      <c r="G992" s="42">
        <v>98.201599999999999</v>
      </c>
      <c r="H992" s="42">
        <v>1.3034410844629822</v>
      </c>
      <c r="I992" s="42">
        <v>1</v>
      </c>
      <c r="J992" s="42">
        <v>1.3034410844629822</v>
      </c>
      <c r="K992" s="42">
        <v>1</v>
      </c>
      <c r="L992" s="42">
        <v>0.76719999999999999</v>
      </c>
      <c r="M992">
        <v>1</v>
      </c>
    </row>
    <row r="993" spans="3:13" x14ac:dyDescent="0.15">
      <c r="C993" s="43">
        <v>960</v>
      </c>
      <c r="D993" s="42">
        <v>960</v>
      </c>
      <c r="E993" s="42">
        <v>0.76800000000000002</v>
      </c>
      <c r="F993" s="42">
        <v>128</v>
      </c>
      <c r="G993" s="42">
        <v>98.304000000000002</v>
      </c>
      <c r="H993" s="42">
        <v>1.3020833333333333</v>
      </c>
      <c r="I993" s="42">
        <v>1</v>
      </c>
      <c r="J993" s="42">
        <v>1.3020833333333333</v>
      </c>
      <c r="K993" s="42">
        <v>1</v>
      </c>
      <c r="L993" s="42">
        <v>0.76800000000000002</v>
      </c>
      <c r="M993">
        <v>1</v>
      </c>
    </row>
    <row r="994" spans="3:13" x14ac:dyDescent="0.15">
      <c r="C994" s="43">
        <v>961</v>
      </c>
      <c r="D994" s="42">
        <v>961</v>
      </c>
      <c r="E994" s="42">
        <v>0.76880000000000004</v>
      </c>
      <c r="F994" s="42">
        <v>128</v>
      </c>
      <c r="G994" s="42">
        <v>98.406400000000005</v>
      </c>
      <c r="H994" s="42">
        <v>1.3007284079084287</v>
      </c>
      <c r="I994" s="42">
        <v>1</v>
      </c>
      <c r="J994" s="42">
        <v>1.3007284079084287</v>
      </c>
      <c r="K994" s="42">
        <v>1</v>
      </c>
      <c r="L994" s="42">
        <v>0.76880000000000004</v>
      </c>
      <c r="M994">
        <v>1</v>
      </c>
    </row>
    <row r="995" spans="3:13" x14ac:dyDescent="0.15">
      <c r="C995" s="43">
        <v>962</v>
      </c>
      <c r="D995" s="42">
        <v>962</v>
      </c>
      <c r="E995" s="42">
        <v>0.76959999999999995</v>
      </c>
      <c r="F995" s="42">
        <v>128</v>
      </c>
      <c r="G995" s="42">
        <v>98.508800000000008</v>
      </c>
      <c r="H995" s="42">
        <v>1.2993762993762994</v>
      </c>
      <c r="I995" s="42">
        <v>1</v>
      </c>
      <c r="J995" s="42">
        <v>1.2993762993762994</v>
      </c>
      <c r="K995" s="42">
        <v>1</v>
      </c>
      <c r="L995" s="42">
        <v>0.76959999999999995</v>
      </c>
      <c r="M995">
        <v>1</v>
      </c>
    </row>
    <row r="996" spans="3:13" x14ac:dyDescent="0.15">
      <c r="C996" s="43">
        <v>963</v>
      </c>
      <c r="D996" s="42">
        <v>963</v>
      </c>
      <c r="E996" s="42">
        <v>0.77039999999999997</v>
      </c>
      <c r="F996" s="42">
        <v>128</v>
      </c>
      <c r="G996" s="42">
        <v>98.611200000000011</v>
      </c>
      <c r="H996" s="42">
        <v>1.2980269989615785</v>
      </c>
      <c r="I996" s="42">
        <v>1</v>
      </c>
      <c r="J996" s="42">
        <v>1.2980269989615785</v>
      </c>
      <c r="K996" s="42">
        <v>1</v>
      </c>
      <c r="L996" s="42">
        <v>0.77039999999999997</v>
      </c>
      <c r="M996">
        <v>1</v>
      </c>
    </row>
    <row r="997" spans="3:13" x14ac:dyDescent="0.15">
      <c r="C997" s="43">
        <v>964</v>
      </c>
      <c r="D997" s="42">
        <v>964</v>
      </c>
      <c r="E997" s="42">
        <v>0.7712</v>
      </c>
      <c r="F997" s="42">
        <v>128</v>
      </c>
      <c r="G997" s="42">
        <v>98.7136</v>
      </c>
      <c r="H997" s="42">
        <v>1.2966804979253113</v>
      </c>
      <c r="I997" s="42">
        <v>1</v>
      </c>
      <c r="J997" s="42">
        <v>1.2966804979253113</v>
      </c>
      <c r="K997" s="42">
        <v>1</v>
      </c>
      <c r="L997" s="42">
        <v>0.7712</v>
      </c>
      <c r="M997">
        <v>1</v>
      </c>
    </row>
    <row r="998" spans="3:13" x14ac:dyDescent="0.15">
      <c r="C998" s="43">
        <v>965</v>
      </c>
      <c r="D998" s="42">
        <v>965</v>
      </c>
      <c r="E998" s="42">
        <v>0.77200000000000002</v>
      </c>
      <c r="F998" s="42">
        <v>128</v>
      </c>
      <c r="G998" s="42">
        <v>98.816000000000003</v>
      </c>
      <c r="H998" s="42">
        <v>1.2953367875647668</v>
      </c>
      <c r="I998" s="42">
        <v>1</v>
      </c>
      <c r="J998" s="42">
        <v>1.2953367875647668</v>
      </c>
      <c r="K998" s="42">
        <v>1</v>
      </c>
      <c r="L998" s="42">
        <v>0.77200000000000002</v>
      </c>
      <c r="M998">
        <v>1</v>
      </c>
    </row>
    <row r="999" spans="3:13" x14ac:dyDescent="0.15">
      <c r="C999" s="43">
        <v>966</v>
      </c>
      <c r="D999" s="42">
        <v>966</v>
      </c>
      <c r="E999" s="42">
        <v>0.77280000000000004</v>
      </c>
      <c r="F999" s="42">
        <v>128</v>
      </c>
      <c r="G999" s="42">
        <v>98.918400000000005</v>
      </c>
      <c r="H999" s="42">
        <v>1.2939958592132506</v>
      </c>
      <c r="I999" s="42">
        <v>1</v>
      </c>
      <c r="J999" s="42">
        <v>1.2939958592132506</v>
      </c>
      <c r="K999" s="42">
        <v>1</v>
      </c>
      <c r="L999" s="42">
        <v>0.77280000000000004</v>
      </c>
      <c r="M999">
        <v>1</v>
      </c>
    </row>
    <row r="1000" spans="3:13" x14ac:dyDescent="0.15">
      <c r="C1000" s="43">
        <v>967</v>
      </c>
      <c r="D1000" s="42">
        <v>967</v>
      </c>
      <c r="E1000" s="42">
        <v>0.77359999999999995</v>
      </c>
      <c r="F1000" s="42">
        <v>128</v>
      </c>
      <c r="G1000" s="42">
        <v>99.020800000000008</v>
      </c>
      <c r="H1000" s="42">
        <v>1.2926577042399174</v>
      </c>
      <c r="I1000" s="42">
        <v>1</v>
      </c>
      <c r="J1000" s="42">
        <v>1.2926577042399174</v>
      </c>
      <c r="K1000" s="42">
        <v>1</v>
      </c>
      <c r="L1000" s="42">
        <v>0.77359999999999995</v>
      </c>
      <c r="M1000">
        <v>1</v>
      </c>
    </row>
    <row r="1001" spans="3:13" x14ac:dyDescent="0.15">
      <c r="C1001" s="43">
        <v>968</v>
      </c>
      <c r="D1001" s="42">
        <v>968</v>
      </c>
      <c r="E1001" s="42">
        <v>0.77439999999999998</v>
      </c>
      <c r="F1001" s="42">
        <v>128</v>
      </c>
      <c r="G1001" s="42">
        <v>99.123200000000011</v>
      </c>
      <c r="H1001" s="42">
        <v>1.2913223140495869</v>
      </c>
      <c r="I1001" s="42">
        <v>1</v>
      </c>
      <c r="J1001" s="42">
        <v>1.2913223140495869</v>
      </c>
      <c r="K1001" s="42">
        <v>1</v>
      </c>
      <c r="L1001" s="42">
        <v>0.77439999999999998</v>
      </c>
      <c r="M1001">
        <v>1</v>
      </c>
    </row>
    <row r="1002" spans="3:13" x14ac:dyDescent="0.15">
      <c r="C1002" s="43">
        <v>969</v>
      </c>
      <c r="D1002" s="42">
        <v>969</v>
      </c>
      <c r="E1002" s="42">
        <v>0.7752</v>
      </c>
      <c r="F1002" s="42">
        <v>128</v>
      </c>
      <c r="G1002" s="42">
        <v>99.2256</v>
      </c>
      <c r="H1002" s="42">
        <v>1.2899896800825594</v>
      </c>
      <c r="I1002" s="42">
        <v>1</v>
      </c>
      <c r="J1002" s="42">
        <v>1.2899896800825594</v>
      </c>
      <c r="K1002" s="42">
        <v>1</v>
      </c>
      <c r="L1002" s="42">
        <v>0.7752</v>
      </c>
      <c r="M1002">
        <v>1</v>
      </c>
    </row>
    <row r="1003" spans="3:13" x14ac:dyDescent="0.15">
      <c r="C1003" s="43">
        <v>970</v>
      </c>
      <c r="D1003" s="42">
        <v>970</v>
      </c>
      <c r="E1003" s="42">
        <v>0.77600000000000002</v>
      </c>
      <c r="F1003" s="42">
        <v>128</v>
      </c>
      <c r="G1003" s="42">
        <v>99.328000000000003</v>
      </c>
      <c r="H1003" s="42">
        <v>1.2886597938144329</v>
      </c>
      <c r="I1003" s="42">
        <v>1</v>
      </c>
      <c r="J1003" s="42">
        <v>1.2886597938144329</v>
      </c>
      <c r="K1003" s="42">
        <v>1</v>
      </c>
      <c r="L1003" s="42">
        <v>0.77600000000000002</v>
      </c>
      <c r="M1003">
        <v>1</v>
      </c>
    </row>
    <row r="1004" spans="3:13" x14ac:dyDescent="0.15">
      <c r="C1004" s="43">
        <v>971</v>
      </c>
      <c r="D1004" s="42">
        <v>971</v>
      </c>
      <c r="E1004" s="42">
        <v>0.77680000000000005</v>
      </c>
      <c r="F1004" s="42">
        <v>128</v>
      </c>
      <c r="G1004" s="42">
        <v>99.430400000000006</v>
      </c>
      <c r="H1004" s="42">
        <v>1.2873326467559216</v>
      </c>
      <c r="I1004" s="42">
        <v>1</v>
      </c>
      <c r="J1004" s="42">
        <v>1.2873326467559216</v>
      </c>
      <c r="K1004" s="42">
        <v>1</v>
      </c>
      <c r="L1004" s="42">
        <v>0.77680000000000005</v>
      </c>
      <c r="M1004">
        <v>1</v>
      </c>
    </row>
    <row r="1005" spans="3:13" x14ac:dyDescent="0.15">
      <c r="C1005" s="43">
        <v>972</v>
      </c>
      <c r="D1005" s="42">
        <v>972</v>
      </c>
      <c r="E1005" s="42">
        <v>0.77759999999999996</v>
      </c>
      <c r="F1005" s="42">
        <v>128</v>
      </c>
      <c r="G1005" s="42">
        <v>99.532800000000009</v>
      </c>
      <c r="H1005" s="42">
        <v>1.286008230452675</v>
      </c>
      <c r="I1005" s="42">
        <v>1</v>
      </c>
      <c r="J1005" s="42">
        <v>1.286008230452675</v>
      </c>
      <c r="K1005" s="42">
        <v>1</v>
      </c>
      <c r="L1005" s="42">
        <v>0.77759999999999996</v>
      </c>
      <c r="M1005">
        <v>1</v>
      </c>
    </row>
    <row r="1006" spans="3:13" x14ac:dyDescent="0.15">
      <c r="C1006" s="43">
        <v>973</v>
      </c>
      <c r="D1006" s="42">
        <v>973</v>
      </c>
      <c r="E1006" s="42">
        <v>0.77839999999999998</v>
      </c>
      <c r="F1006" s="42">
        <v>128</v>
      </c>
      <c r="G1006" s="42">
        <v>99.635200000000012</v>
      </c>
      <c r="H1006" s="42">
        <v>1.2846865364850977</v>
      </c>
      <c r="I1006" s="42">
        <v>1</v>
      </c>
      <c r="J1006" s="42">
        <v>1.2846865364850977</v>
      </c>
      <c r="K1006" s="42">
        <v>1</v>
      </c>
      <c r="L1006" s="42">
        <v>0.77839999999999998</v>
      </c>
      <c r="M1006">
        <v>1</v>
      </c>
    </row>
    <row r="1007" spans="3:13" x14ac:dyDescent="0.15">
      <c r="C1007" s="43">
        <v>974</v>
      </c>
      <c r="D1007" s="42">
        <v>974</v>
      </c>
      <c r="E1007" s="42">
        <v>0.7792</v>
      </c>
      <c r="F1007" s="42">
        <v>128</v>
      </c>
      <c r="G1007" s="42">
        <v>99.7376</v>
      </c>
      <c r="H1007" s="42">
        <v>1.2833675564681726</v>
      </c>
      <c r="I1007" s="42">
        <v>1</v>
      </c>
      <c r="J1007" s="42">
        <v>1.2833675564681726</v>
      </c>
      <c r="K1007" s="42">
        <v>1</v>
      </c>
      <c r="L1007" s="42">
        <v>0.7792</v>
      </c>
      <c r="M1007">
        <v>1</v>
      </c>
    </row>
    <row r="1008" spans="3:13" x14ac:dyDescent="0.15">
      <c r="C1008" s="43">
        <v>975</v>
      </c>
      <c r="D1008" s="42">
        <v>975</v>
      </c>
      <c r="E1008" s="42">
        <v>0.78</v>
      </c>
      <c r="F1008" s="42">
        <v>128</v>
      </c>
      <c r="G1008" s="42">
        <v>99.84</v>
      </c>
      <c r="H1008" s="42">
        <v>1.2820512820512819</v>
      </c>
      <c r="I1008" s="42">
        <v>1</v>
      </c>
      <c r="J1008" s="42">
        <v>1.2820512820512819</v>
      </c>
      <c r="K1008" s="42">
        <v>1</v>
      </c>
      <c r="L1008" s="42">
        <v>0.78</v>
      </c>
      <c r="M1008">
        <v>1</v>
      </c>
    </row>
    <row r="1009" spans="3:13" x14ac:dyDescent="0.15">
      <c r="C1009" s="43">
        <v>976</v>
      </c>
      <c r="D1009" s="42">
        <v>976</v>
      </c>
      <c r="E1009" s="42">
        <v>0.78080000000000005</v>
      </c>
      <c r="F1009" s="42">
        <v>128</v>
      </c>
      <c r="G1009" s="42">
        <v>99.942400000000006</v>
      </c>
      <c r="H1009" s="42">
        <v>1.2807377049180326</v>
      </c>
      <c r="I1009" s="42">
        <v>1</v>
      </c>
      <c r="J1009" s="42">
        <v>1.2807377049180326</v>
      </c>
      <c r="K1009" s="42">
        <v>1</v>
      </c>
      <c r="L1009" s="42">
        <v>0.78080000000000005</v>
      </c>
      <c r="M1009">
        <v>1</v>
      </c>
    </row>
    <row r="1010" spans="3:13" x14ac:dyDescent="0.15">
      <c r="C1010" s="43">
        <v>977</v>
      </c>
      <c r="D1010" s="42">
        <v>977</v>
      </c>
      <c r="E1010" s="42">
        <v>0.78159999999999996</v>
      </c>
      <c r="F1010" s="42">
        <v>128</v>
      </c>
      <c r="G1010" s="42">
        <v>100.04480000000001</v>
      </c>
      <c r="H1010" s="42">
        <v>1.2794268167860798</v>
      </c>
      <c r="I1010" s="42">
        <v>1</v>
      </c>
      <c r="J1010" s="42">
        <v>1.2794268167860798</v>
      </c>
      <c r="K1010" s="42">
        <v>1</v>
      </c>
      <c r="L1010" s="42">
        <v>0.78159999999999996</v>
      </c>
      <c r="M1010">
        <v>1</v>
      </c>
    </row>
    <row r="1011" spans="3:13" x14ac:dyDescent="0.15">
      <c r="C1011" s="43">
        <v>978</v>
      </c>
      <c r="D1011" s="42">
        <v>978</v>
      </c>
      <c r="E1011" s="42">
        <v>0.78239999999999998</v>
      </c>
      <c r="F1011" s="42">
        <v>128</v>
      </c>
      <c r="G1011" s="42">
        <v>100.1472</v>
      </c>
      <c r="H1011" s="42">
        <v>1.278118609406953</v>
      </c>
      <c r="I1011" s="42">
        <v>1</v>
      </c>
      <c r="J1011" s="42">
        <v>1.278118609406953</v>
      </c>
      <c r="K1011" s="42">
        <v>1</v>
      </c>
      <c r="L1011" s="42">
        <v>0.78239999999999998</v>
      </c>
      <c r="M1011">
        <v>1</v>
      </c>
    </row>
    <row r="1012" spans="3:13" x14ac:dyDescent="0.15">
      <c r="C1012" s="43">
        <v>979</v>
      </c>
      <c r="D1012" s="42">
        <v>979</v>
      </c>
      <c r="E1012" s="42">
        <v>0.78320000000000001</v>
      </c>
      <c r="F1012" s="42">
        <v>128</v>
      </c>
      <c r="G1012" s="42">
        <v>100.2496</v>
      </c>
      <c r="H1012" s="42">
        <v>1.2768130745658834</v>
      </c>
      <c r="I1012" s="42">
        <v>1</v>
      </c>
      <c r="J1012" s="42">
        <v>1.2768130745658834</v>
      </c>
      <c r="K1012" s="42">
        <v>1</v>
      </c>
      <c r="L1012" s="42">
        <v>0.78320000000000001</v>
      </c>
      <c r="M1012">
        <v>1</v>
      </c>
    </row>
    <row r="1013" spans="3:13" x14ac:dyDescent="0.15">
      <c r="C1013" s="43">
        <v>980</v>
      </c>
      <c r="D1013" s="42">
        <v>980</v>
      </c>
      <c r="E1013" s="42">
        <v>0.78400000000000003</v>
      </c>
      <c r="F1013" s="42">
        <v>128</v>
      </c>
      <c r="G1013" s="42">
        <v>100.352</v>
      </c>
      <c r="H1013" s="42">
        <v>1.2755102040816326</v>
      </c>
      <c r="I1013" s="42">
        <v>1</v>
      </c>
      <c r="J1013" s="42">
        <v>1.2755102040816326</v>
      </c>
      <c r="K1013" s="42">
        <v>1</v>
      </c>
      <c r="L1013" s="42">
        <v>0.78400000000000003</v>
      </c>
      <c r="M1013">
        <v>1</v>
      </c>
    </row>
    <row r="1014" spans="3:13" x14ac:dyDescent="0.15">
      <c r="C1014" s="43">
        <v>981</v>
      </c>
      <c r="D1014" s="42">
        <v>981</v>
      </c>
      <c r="E1014" s="42">
        <v>0.78480000000000005</v>
      </c>
      <c r="F1014" s="42">
        <v>128</v>
      </c>
      <c r="G1014" s="42">
        <v>100.45440000000001</v>
      </c>
      <c r="H1014" s="42">
        <v>1.2742099898063199</v>
      </c>
      <c r="I1014" s="42">
        <v>1</v>
      </c>
      <c r="J1014" s="42">
        <v>1.2742099898063199</v>
      </c>
      <c r="K1014" s="42">
        <v>1</v>
      </c>
      <c r="L1014" s="42">
        <v>0.78480000000000005</v>
      </c>
      <c r="M1014">
        <v>1</v>
      </c>
    </row>
    <row r="1015" spans="3:13" x14ac:dyDescent="0.15">
      <c r="C1015" s="43">
        <v>982</v>
      </c>
      <c r="D1015" s="42">
        <v>982</v>
      </c>
      <c r="E1015" s="42">
        <v>0.78559999999999997</v>
      </c>
      <c r="F1015" s="42">
        <v>128</v>
      </c>
      <c r="G1015" s="42">
        <v>100.55680000000001</v>
      </c>
      <c r="H1015" s="42">
        <v>1.2729124236252547</v>
      </c>
      <c r="I1015" s="42">
        <v>1</v>
      </c>
      <c r="J1015" s="42">
        <v>1.2729124236252547</v>
      </c>
      <c r="K1015" s="42">
        <v>1</v>
      </c>
      <c r="L1015" s="42">
        <v>0.78559999999999997</v>
      </c>
      <c r="M1015">
        <v>1</v>
      </c>
    </row>
    <row r="1016" spans="3:13" x14ac:dyDescent="0.15">
      <c r="C1016" s="43">
        <v>983</v>
      </c>
      <c r="D1016" s="42">
        <v>983</v>
      </c>
      <c r="E1016" s="42">
        <v>0.78639999999999999</v>
      </c>
      <c r="F1016" s="42">
        <v>128</v>
      </c>
      <c r="G1016" s="42">
        <v>100.6592</v>
      </c>
      <c r="H1016" s="42">
        <v>1.2716174974567651</v>
      </c>
      <c r="I1016" s="42">
        <v>1</v>
      </c>
      <c r="J1016" s="42">
        <v>1.2716174974567651</v>
      </c>
      <c r="K1016" s="42">
        <v>1</v>
      </c>
      <c r="L1016" s="42">
        <v>0.78639999999999999</v>
      </c>
      <c r="M1016">
        <v>1</v>
      </c>
    </row>
    <row r="1017" spans="3:13" x14ac:dyDescent="0.15">
      <c r="C1017" s="43">
        <v>984</v>
      </c>
      <c r="D1017" s="42">
        <v>984</v>
      </c>
      <c r="E1017" s="42">
        <v>0.78720000000000001</v>
      </c>
      <c r="F1017" s="42">
        <v>128</v>
      </c>
      <c r="G1017" s="42">
        <v>100.7616</v>
      </c>
      <c r="H1017" s="42">
        <v>1.2703252032520325</v>
      </c>
      <c r="I1017" s="42">
        <v>1</v>
      </c>
      <c r="J1017" s="42">
        <v>1.2703252032520325</v>
      </c>
      <c r="K1017" s="42">
        <v>1</v>
      </c>
      <c r="L1017" s="42">
        <v>0.78720000000000001</v>
      </c>
      <c r="M1017">
        <v>1</v>
      </c>
    </row>
    <row r="1018" spans="3:13" x14ac:dyDescent="0.15">
      <c r="C1018" s="43">
        <v>985</v>
      </c>
      <c r="D1018" s="42">
        <v>985</v>
      </c>
      <c r="E1018" s="42">
        <v>0.78800000000000003</v>
      </c>
      <c r="F1018" s="42">
        <v>128</v>
      </c>
      <c r="G1018" s="42">
        <v>100.864</v>
      </c>
      <c r="H1018" s="42">
        <v>1.2690355329949239</v>
      </c>
      <c r="I1018" s="42">
        <v>1</v>
      </c>
      <c r="J1018" s="42">
        <v>1.2690355329949239</v>
      </c>
      <c r="K1018" s="42">
        <v>1</v>
      </c>
      <c r="L1018" s="42">
        <v>0.78800000000000003</v>
      </c>
      <c r="M1018">
        <v>1</v>
      </c>
    </row>
    <row r="1019" spans="3:13" x14ac:dyDescent="0.15">
      <c r="C1019" s="43">
        <v>986</v>
      </c>
      <c r="D1019" s="42">
        <v>986</v>
      </c>
      <c r="E1019" s="42">
        <v>0.78879999999999995</v>
      </c>
      <c r="F1019" s="42">
        <v>128</v>
      </c>
      <c r="G1019" s="42">
        <v>100.96640000000001</v>
      </c>
      <c r="H1019" s="42">
        <v>1.2677484787018256</v>
      </c>
      <c r="I1019" s="42">
        <v>1</v>
      </c>
      <c r="J1019" s="42">
        <v>1.2677484787018256</v>
      </c>
      <c r="K1019" s="42">
        <v>1</v>
      </c>
      <c r="L1019" s="42">
        <v>0.78879999999999995</v>
      </c>
      <c r="M1019">
        <v>1</v>
      </c>
    </row>
    <row r="1020" spans="3:13" x14ac:dyDescent="0.15">
      <c r="C1020" s="43">
        <v>987</v>
      </c>
      <c r="D1020" s="42">
        <v>987</v>
      </c>
      <c r="E1020" s="42">
        <v>0.78959999999999997</v>
      </c>
      <c r="F1020" s="42">
        <v>128</v>
      </c>
      <c r="G1020" s="42">
        <v>101.06880000000001</v>
      </c>
      <c r="H1020" s="42">
        <v>1.2664640324214793</v>
      </c>
      <c r="I1020" s="42">
        <v>1</v>
      </c>
      <c r="J1020" s="42">
        <v>1.2664640324214793</v>
      </c>
      <c r="K1020" s="42">
        <v>1</v>
      </c>
      <c r="L1020" s="42">
        <v>0.78959999999999997</v>
      </c>
      <c r="M1020">
        <v>1</v>
      </c>
    </row>
    <row r="1021" spans="3:13" x14ac:dyDescent="0.15">
      <c r="C1021" s="43">
        <v>988</v>
      </c>
      <c r="D1021" s="42">
        <v>988</v>
      </c>
      <c r="E1021" s="42">
        <v>0.79039999999999999</v>
      </c>
      <c r="F1021" s="42">
        <v>128</v>
      </c>
      <c r="G1021" s="42">
        <v>101.1712</v>
      </c>
      <c r="H1021" s="42">
        <v>1.2651821862348178</v>
      </c>
      <c r="I1021" s="42">
        <v>1</v>
      </c>
      <c r="J1021" s="42">
        <v>1.2651821862348178</v>
      </c>
      <c r="K1021" s="42">
        <v>1</v>
      </c>
      <c r="L1021" s="42">
        <v>0.79039999999999999</v>
      </c>
      <c r="M1021">
        <v>1</v>
      </c>
    </row>
    <row r="1022" spans="3:13" x14ac:dyDescent="0.15">
      <c r="C1022" s="43">
        <v>989</v>
      </c>
      <c r="D1022" s="42">
        <v>989</v>
      </c>
      <c r="E1022" s="42">
        <v>0.79120000000000001</v>
      </c>
      <c r="F1022" s="42">
        <v>128</v>
      </c>
      <c r="G1022" s="42">
        <v>101.2736</v>
      </c>
      <c r="H1022" s="42">
        <v>1.2639029322548028</v>
      </c>
      <c r="I1022" s="42">
        <v>1</v>
      </c>
      <c r="J1022" s="42">
        <v>1.2639029322548028</v>
      </c>
      <c r="K1022" s="42">
        <v>1</v>
      </c>
      <c r="L1022" s="42">
        <v>0.79120000000000001</v>
      </c>
      <c r="M1022">
        <v>1</v>
      </c>
    </row>
    <row r="1023" spans="3:13" x14ac:dyDescent="0.15">
      <c r="C1023" s="43">
        <v>990</v>
      </c>
      <c r="D1023" s="42">
        <v>990</v>
      </c>
      <c r="E1023" s="42">
        <v>0.79200000000000004</v>
      </c>
      <c r="F1023" s="42">
        <v>128</v>
      </c>
      <c r="G1023" s="42">
        <v>101.376</v>
      </c>
      <c r="H1023" s="42">
        <v>1.2626262626262625</v>
      </c>
      <c r="I1023" s="42">
        <v>1</v>
      </c>
      <c r="J1023" s="42">
        <v>1.2626262626262625</v>
      </c>
      <c r="K1023" s="42">
        <v>1</v>
      </c>
      <c r="L1023" s="42">
        <v>0.79200000000000004</v>
      </c>
      <c r="M1023">
        <v>1</v>
      </c>
    </row>
    <row r="1024" spans="3:13" x14ac:dyDescent="0.15">
      <c r="C1024" s="43">
        <v>991</v>
      </c>
      <c r="D1024" s="42">
        <v>991</v>
      </c>
      <c r="E1024" s="42">
        <v>0.79279999999999995</v>
      </c>
      <c r="F1024" s="42">
        <v>128</v>
      </c>
      <c r="G1024" s="42">
        <v>101.47840000000001</v>
      </c>
      <c r="H1024" s="42">
        <v>1.2613521695257317</v>
      </c>
      <c r="I1024" s="42">
        <v>1</v>
      </c>
      <c r="J1024" s="42">
        <v>1.2613521695257317</v>
      </c>
      <c r="K1024" s="42">
        <v>1</v>
      </c>
      <c r="L1024" s="42">
        <v>0.79279999999999995</v>
      </c>
      <c r="M1024">
        <v>1</v>
      </c>
    </row>
    <row r="1025" spans="3:13" x14ac:dyDescent="0.15">
      <c r="C1025" s="43">
        <v>992</v>
      </c>
      <c r="D1025" s="42">
        <v>992</v>
      </c>
      <c r="E1025" s="42">
        <v>0.79359999999999997</v>
      </c>
      <c r="F1025" s="42">
        <v>128</v>
      </c>
      <c r="G1025" s="42">
        <v>101.58080000000001</v>
      </c>
      <c r="H1025" s="42">
        <v>1.2600806451612903</v>
      </c>
      <c r="I1025" s="42">
        <v>1</v>
      </c>
      <c r="J1025" s="42">
        <v>1.2600806451612903</v>
      </c>
      <c r="K1025" s="42">
        <v>1</v>
      </c>
      <c r="L1025" s="42">
        <v>0.79359999999999997</v>
      </c>
      <c r="M1025">
        <v>1</v>
      </c>
    </row>
    <row r="1026" spans="3:13" x14ac:dyDescent="0.15">
      <c r="C1026" s="43">
        <v>993</v>
      </c>
      <c r="D1026" s="42">
        <v>993</v>
      </c>
      <c r="E1026" s="42">
        <v>0.7944</v>
      </c>
      <c r="F1026" s="42">
        <v>128</v>
      </c>
      <c r="G1026" s="42">
        <v>101.6832</v>
      </c>
      <c r="H1026" s="42">
        <v>1.2588116817724069</v>
      </c>
      <c r="I1026" s="42">
        <v>1</v>
      </c>
      <c r="J1026" s="42">
        <v>1.2588116817724069</v>
      </c>
      <c r="K1026" s="42">
        <v>1</v>
      </c>
      <c r="L1026" s="42">
        <v>0.7944</v>
      </c>
      <c r="M1026">
        <v>1</v>
      </c>
    </row>
    <row r="1027" spans="3:13" x14ac:dyDescent="0.15">
      <c r="C1027" s="43">
        <v>994</v>
      </c>
      <c r="D1027" s="42">
        <v>994</v>
      </c>
      <c r="E1027" s="42">
        <v>0.79520000000000002</v>
      </c>
      <c r="F1027" s="42">
        <v>128</v>
      </c>
      <c r="G1027" s="42">
        <v>101.7856</v>
      </c>
      <c r="H1027" s="42">
        <v>1.2575452716297786</v>
      </c>
      <c r="I1027" s="42">
        <v>1</v>
      </c>
      <c r="J1027" s="42">
        <v>1.2575452716297786</v>
      </c>
      <c r="K1027" s="42">
        <v>1</v>
      </c>
      <c r="L1027" s="42">
        <v>0.79520000000000002</v>
      </c>
      <c r="M1027">
        <v>1</v>
      </c>
    </row>
    <row r="1028" spans="3:13" x14ac:dyDescent="0.15">
      <c r="C1028" s="43">
        <v>995</v>
      </c>
      <c r="D1028" s="42">
        <v>995</v>
      </c>
      <c r="E1028" s="42">
        <v>0.79600000000000004</v>
      </c>
      <c r="F1028" s="42">
        <v>128</v>
      </c>
      <c r="G1028" s="42">
        <v>101.88800000000001</v>
      </c>
      <c r="H1028" s="42">
        <v>1.2562814070351758</v>
      </c>
      <c r="I1028" s="42">
        <v>1</v>
      </c>
      <c r="J1028" s="42">
        <v>1.2562814070351758</v>
      </c>
      <c r="K1028" s="42">
        <v>1</v>
      </c>
      <c r="L1028" s="42">
        <v>0.79600000000000004</v>
      </c>
      <c r="M1028">
        <v>1</v>
      </c>
    </row>
    <row r="1029" spans="3:13" x14ac:dyDescent="0.15">
      <c r="C1029" s="43">
        <v>996</v>
      </c>
      <c r="D1029" s="42">
        <v>996</v>
      </c>
      <c r="E1029" s="42">
        <v>0.79679999999999995</v>
      </c>
      <c r="F1029" s="42">
        <v>128</v>
      </c>
      <c r="G1029" s="42">
        <v>101.99040000000001</v>
      </c>
      <c r="H1029" s="42">
        <v>1.2550200803212852</v>
      </c>
      <c r="I1029" s="42">
        <v>1</v>
      </c>
      <c r="J1029" s="42">
        <v>1.2550200803212852</v>
      </c>
      <c r="K1029" s="42">
        <v>1</v>
      </c>
      <c r="L1029" s="42">
        <v>0.79679999999999995</v>
      </c>
      <c r="M1029">
        <v>1</v>
      </c>
    </row>
    <row r="1030" spans="3:13" x14ac:dyDescent="0.15">
      <c r="C1030" s="43">
        <v>997</v>
      </c>
      <c r="D1030" s="42">
        <v>997</v>
      </c>
      <c r="E1030" s="42">
        <v>0.79759999999999998</v>
      </c>
      <c r="F1030" s="42">
        <v>128</v>
      </c>
      <c r="G1030" s="42">
        <v>102.09280000000001</v>
      </c>
      <c r="H1030" s="42">
        <v>1.2537612838515546</v>
      </c>
      <c r="I1030" s="42">
        <v>1</v>
      </c>
      <c r="J1030" s="42">
        <v>1.2537612838515546</v>
      </c>
      <c r="K1030" s="42">
        <v>1</v>
      </c>
      <c r="L1030" s="42">
        <v>0.79759999999999998</v>
      </c>
      <c r="M1030">
        <v>1</v>
      </c>
    </row>
    <row r="1031" spans="3:13" x14ac:dyDescent="0.15">
      <c r="C1031" s="43">
        <v>998</v>
      </c>
      <c r="D1031" s="42">
        <v>998</v>
      </c>
      <c r="E1031" s="42">
        <v>0.7984</v>
      </c>
      <c r="F1031" s="42">
        <v>128</v>
      </c>
      <c r="G1031" s="42">
        <v>102.1952</v>
      </c>
      <c r="H1031" s="42">
        <v>1.2525050100200401</v>
      </c>
      <c r="I1031" s="42">
        <v>1</v>
      </c>
      <c r="J1031" s="42">
        <v>1.2525050100200401</v>
      </c>
      <c r="K1031" s="42">
        <v>1</v>
      </c>
      <c r="L1031" s="42">
        <v>0.7984</v>
      </c>
      <c r="M1031">
        <v>1</v>
      </c>
    </row>
    <row r="1032" spans="3:13" x14ac:dyDescent="0.15">
      <c r="C1032" s="43">
        <v>999</v>
      </c>
      <c r="D1032" s="42">
        <v>999</v>
      </c>
      <c r="E1032" s="42">
        <v>0.79920000000000002</v>
      </c>
      <c r="F1032" s="42">
        <v>128</v>
      </c>
      <c r="G1032" s="42">
        <v>102.2976</v>
      </c>
      <c r="H1032" s="42">
        <v>1.2512512512512513</v>
      </c>
      <c r="I1032" s="42">
        <v>1</v>
      </c>
      <c r="J1032" s="42">
        <v>1.2512512512512513</v>
      </c>
      <c r="K1032" s="42">
        <v>1</v>
      </c>
      <c r="L1032" s="42">
        <v>0.79920000000000002</v>
      </c>
      <c r="M1032">
        <v>1</v>
      </c>
    </row>
    <row r="1033" spans="3:13" x14ac:dyDescent="0.15">
      <c r="C1033" s="43">
        <v>1000</v>
      </c>
      <c r="D1033" s="42">
        <v>1000</v>
      </c>
      <c r="E1033" s="42">
        <v>0.8</v>
      </c>
      <c r="F1033" s="42">
        <v>128</v>
      </c>
      <c r="G1033" s="42">
        <v>102.4</v>
      </c>
      <c r="H1033" s="42">
        <v>1.25</v>
      </c>
      <c r="I1033" s="42">
        <v>1</v>
      </c>
      <c r="J1033" s="42">
        <v>1.25</v>
      </c>
      <c r="K1033" s="42">
        <v>1</v>
      </c>
      <c r="L1033" s="42">
        <v>0.8</v>
      </c>
      <c r="M1033">
        <v>1</v>
      </c>
    </row>
    <row r="1034" spans="3:13" x14ac:dyDescent="0.15">
      <c r="C1034" s="43">
        <v>1001</v>
      </c>
      <c r="D1034" s="42">
        <v>1001</v>
      </c>
      <c r="E1034" s="42">
        <v>0.80079999999999996</v>
      </c>
      <c r="F1034" s="42">
        <v>128</v>
      </c>
      <c r="G1034" s="42">
        <v>102.50240000000001</v>
      </c>
      <c r="H1034" s="42">
        <v>1.2487512487512489</v>
      </c>
      <c r="I1034" s="42">
        <v>1</v>
      </c>
      <c r="J1034" s="42">
        <v>1.2487512487512489</v>
      </c>
      <c r="K1034" s="42">
        <v>1</v>
      </c>
      <c r="L1034" s="42">
        <v>0.80079999999999996</v>
      </c>
      <c r="M1034">
        <v>1</v>
      </c>
    </row>
    <row r="1035" spans="3:13" x14ac:dyDescent="0.15">
      <c r="C1035" s="43">
        <v>1002</v>
      </c>
      <c r="D1035" s="42">
        <v>1002</v>
      </c>
      <c r="E1035" s="42">
        <v>0.80159999999999998</v>
      </c>
      <c r="F1035" s="42">
        <v>128</v>
      </c>
      <c r="G1035" s="42">
        <v>102.60480000000001</v>
      </c>
      <c r="H1035" s="42">
        <v>1.2475049900199602</v>
      </c>
      <c r="I1035" s="42">
        <v>1</v>
      </c>
      <c r="J1035" s="42">
        <v>1.2475049900199602</v>
      </c>
      <c r="K1035" s="42">
        <v>1</v>
      </c>
      <c r="L1035" s="42">
        <v>0.80159999999999998</v>
      </c>
      <c r="M1035">
        <v>1</v>
      </c>
    </row>
    <row r="1036" spans="3:13" x14ac:dyDescent="0.15">
      <c r="C1036" s="43">
        <v>1003</v>
      </c>
      <c r="D1036" s="42">
        <v>1003</v>
      </c>
      <c r="E1036" s="42">
        <v>0.8024</v>
      </c>
      <c r="F1036" s="42">
        <v>128</v>
      </c>
      <c r="G1036" s="42">
        <v>102.7072</v>
      </c>
      <c r="H1036" s="42">
        <v>1.2462612163509472</v>
      </c>
      <c r="I1036" s="42">
        <v>1</v>
      </c>
      <c r="J1036" s="42">
        <v>1.2462612163509472</v>
      </c>
      <c r="K1036" s="42">
        <v>1</v>
      </c>
      <c r="L1036" s="42">
        <v>0.8024</v>
      </c>
      <c r="M1036">
        <v>1</v>
      </c>
    </row>
    <row r="1037" spans="3:13" x14ac:dyDescent="0.15">
      <c r="C1037" s="43">
        <v>1004</v>
      </c>
      <c r="D1037" s="42">
        <v>1004</v>
      </c>
      <c r="E1037" s="42">
        <v>0.80320000000000003</v>
      </c>
      <c r="F1037" s="42">
        <v>128</v>
      </c>
      <c r="G1037" s="42">
        <v>102.8096</v>
      </c>
      <c r="H1037" s="42">
        <v>1.2450199203187251</v>
      </c>
      <c r="I1037" s="42">
        <v>1</v>
      </c>
      <c r="J1037" s="42">
        <v>1.2450199203187251</v>
      </c>
      <c r="K1037" s="42">
        <v>1</v>
      </c>
      <c r="L1037" s="42">
        <v>0.80320000000000003</v>
      </c>
      <c r="M1037">
        <v>1</v>
      </c>
    </row>
    <row r="1038" spans="3:13" x14ac:dyDescent="0.15">
      <c r="C1038" s="43">
        <v>1005</v>
      </c>
      <c r="D1038" s="42">
        <v>1005</v>
      </c>
      <c r="E1038" s="42">
        <v>0.80400000000000005</v>
      </c>
      <c r="F1038" s="42">
        <v>128</v>
      </c>
      <c r="G1038" s="42">
        <v>102.91200000000001</v>
      </c>
      <c r="H1038" s="42">
        <v>1.2437810945273631</v>
      </c>
      <c r="I1038" s="42">
        <v>1</v>
      </c>
      <c r="J1038" s="42">
        <v>1.2437810945273631</v>
      </c>
      <c r="K1038" s="42">
        <v>1</v>
      </c>
      <c r="L1038" s="42">
        <v>0.80400000000000005</v>
      </c>
      <c r="M1038">
        <v>1</v>
      </c>
    </row>
    <row r="1039" spans="3:13" x14ac:dyDescent="0.15">
      <c r="C1039" s="43">
        <v>1006</v>
      </c>
      <c r="D1039" s="42">
        <v>1006</v>
      </c>
      <c r="E1039" s="42">
        <v>0.80479999999999996</v>
      </c>
      <c r="F1039" s="42">
        <v>128</v>
      </c>
      <c r="G1039" s="42">
        <v>103.01440000000001</v>
      </c>
      <c r="H1039" s="42">
        <v>1.242544731610338</v>
      </c>
      <c r="I1039" s="42">
        <v>1</v>
      </c>
      <c r="J1039" s="42">
        <v>1.242544731610338</v>
      </c>
      <c r="K1039" s="42">
        <v>1</v>
      </c>
      <c r="L1039" s="42">
        <v>0.80479999999999996</v>
      </c>
      <c r="M1039">
        <v>1</v>
      </c>
    </row>
    <row r="1040" spans="3:13" x14ac:dyDescent="0.15">
      <c r="C1040" s="43">
        <v>1007</v>
      </c>
      <c r="D1040" s="42">
        <v>1007</v>
      </c>
      <c r="E1040" s="42">
        <v>0.80559999999999998</v>
      </c>
      <c r="F1040" s="42">
        <v>128</v>
      </c>
      <c r="G1040" s="42">
        <v>103.11680000000001</v>
      </c>
      <c r="H1040" s="42">
        <v>1.2413108242303874</v>
      </c>
      <c r="I1040" s="42">
        <v>1</v>
      </c>
      <c r="J1040" s="42">
        <v>1.2413108242303874</v>
      </c>
      <c r="K1040" s="42">
        <v>1</v>
      </c>
      <c r="L1040" s="42">
        <v>0.80559999999999998</v>
      </c>
      <c r="M1040">
        <v>1</v>
      </c>
    </row>
    <row r="1041" spans="3:13" x14ac:dyDescent="0.15">
      <c r="C1041" s="43">
        <v>1008</v>
      </c>
      <c r="D1041" s="42">
        <v>1008</v>
      </c>
      <c r="E1041" s="42">
        <v>0.80640000000000001</v>
      </c>
      <c r="F1041" s="42">
        <v>128</v>
      </c>
      <c r="G1041" s="42">
        <v>103.2192</v>
      </c>
      <c r="H1041" s="42">
        <v>1.2400793650793651</v>
      </c>
      <c r="I1041" s="42">
        <v>1</v>
      </c>
      <c r="J1041" s="42">
        <v>1.2400793650793651</v>
      </c>
      <c r="K1041" s="42">
        <v>1</v>
      </c>
      <c r="L1041" s="42">
        <v>0.80640000000000001</v>
      </c>
      <c r="M1041">
        <v>1</v>
      </c>
    </row>
    <row r="1042" spans="3:13" x14ac:dyDescent="0.15">
      <c r="C1042" s="43">
        <v>1009</v>
      </c>
      <c r="D1042" s="42">
        <v>1009</v>
      </c>
      <c r="E1042" s="42">
        <v>0.80720000000000003</v>
      </c>
      <c r="F1042" s="42">
        <v>128</v>
      </c>
      <c r="G1042" s="42">
        <v>103.3216</v>
      </c>
      <c r="H1042" s="42">
        <v>1.2388503468780971</v>
      </c>
      <c r="I1042" s="42">
        <v>1</v>
      </c>
      <c r="J1042" s="42">
        <v>1.2388503468780971</v>
      </c>
      <c r="K1042" s="42">
        <v>1</v>
      </c>
      <c r="L1042" s="42">
        <v>0.80720000000000003</v>
      </c>
      <c r="M1042">
        <v>1</v>
      </c>
    </row>
    <row r="1043" spans="3:13" x14ac:dyDescent="0.15">
      <c r="C1043" s="43">
        <v>1010</v>
      </c>
      <c r="D1043" s="42">
        <v>1010</v>
      </c>
      <c r="E1043" s="42">
        <v>0.80800000000000005</v>
      </c>
      <c r="F1043" s="42">
        <v>128</v>
      </c>
      <c r="G1043" s="42">
        <v>103.42400000000001</v>
      </c>
      <c r="H1043" s="42">
        <v>1.2376237623762376</v>
      </c>
      <c r="I1043" s="42">
        <v>1</v>
      </c>
      <c r="J1043" s="42">
        <v>1.2376237623762376</v>
      </c>
      <c r="K1043" s="42">
        <v>1</v>
      </c>
      <c r="L1043" s="42">
        <v>0.80800000000000005</v>
      </c>
      <c r="M1043">
        <v>1</v>
      </c>
    </row>
    <row r="1044" spans="3:13" x14ac:dyDescent="0.15">
      <c r="C1044" s="43">
        <v>1011</v>
      </c>
      <c r="D1044" s="42">
        <v>1011</v>
      </c>
      <c r="E1044" s="42">
        <v>0.80879999999999996</v>
      </c>
      <c r="F1044" s="42">
        <v>128</v>
      </c>
      <c r="G1044" s="42">
        <v>103.52640000000001</v>
      </c>
      <c r="H1044" s="42">
        <v>1.2363996043521266</v>
      </c>
      <c r="I1044" s="42">
        <v>1</v>
      </c>
      <c r="J1044" s="42">
        <v>1.2363996043521266</v>
      </c>
      <c r="K1044" s="42">
        <v>1</v>
      </c>
      <c r="L1044" s="42">
        <v>0.80879999999999996</v>
      </c>
      <c r="M1044">
        <v>1</v>
      </c>
    </row>
    <row r="1045" spans="3:13" x14ac:dyDescent="0.15">
      <c r="C1045" s="43">
        <v>1012</v>
      </c>
      <c r="D1045" s="42">
        <v>1012</v>
      </c>
      <c r="E1045" s="42">
        <v>0.80959999999999999</v>
      </c>
      <c r="F1045" s="42">
        <v>128</v>
      </c>
      <c r="G1045" s="42">
        <v>103.6288</v>
      </c>
      <c r="H1045" s="42">
        <v>1.2351778656126482</v>
      </c>
      <c r="I1045" s="42">
        <v>1</v>
      </c>
      <c r="J1045" s="42">
        <v>1.2351778656126482</v>
      </c>
      <c r="K1045" s="42">
        <v>1</v>
      </c>
      <c r="L1045" s="42">
        <v>0.80959999999999999</v>
      </c>
      <c r="M1045">
        <v>1</v>
      </c>
    </row>
    <row r="1046" spans="3:13" x14ac:dyDescent="0.15">
      <c r="C1046" s="43">
        <v>1013</v>
      </c>
      <c r="D1046" s="42">
        <v>1013</v>
      </c>
      <c r="E1046" s="42">
        <v>0.81040000000000001</v>
      </c>
      <c r="F1046" s="42">
        <v>128</v>
      </c>
      <c r="G1046" s="42">
        <v>103.7312</v>
      </c>
      <c r="H1046" s="42">
        <v>1.2339585389930898</v>
      </c>
      <c r="I1046" s="42">
        <v>1</v>
      </c>
      <c r="J1046" s="42">
        <v>1.2339585389930898</v>
      </c>
      <c r="K1046" s="42">
        <v>1</v>
      </c>
      <c r="L1046" s="42">
        <v>0.81040000000000001</v>
      </c>
      <c r="M1046">
        <v>1</v>
      </c>
    </row>
    <row r="1047" spans="3:13" x14ac:dyDescent="0.15">
      <c r="C1047" s="43">
        <v>1014</v>
      </c>
      <c r="D1047" s="42">
        <v>1014</v>
      </c>
      <c r="E1047" s="42">
        <v>0.81120000000000003</v>
      </c>
      <c r="F1047" s="42">
        <v>128</v>
      </c>
      <c r="G1047" s="42">
        <v>103.8336</v>
      </c>
      <c r="H1047" s="42">
        <v>1.2327416173570018</v>
      </c>
      <c r="I1047" s="42">
        <v>1</v>
      </c>
      <c r="J1047" s="42">
        <v>1.2327416173570018</v>
      </c>
      <c r="K1047" s="42">
        <v>1</v>
      </c>
      <c r="L1047" s="42">
        <v>0.81120000000000003</v>
      </c>
      <c r="M1047">
        <v>1</v>
      </c>
    </row>
    <row r="1048" spans="3:13" x14ac:dyDescent="0.15">
      <c r="C1048" s="43">
        <v>1015</v>
      </c>
      <c r="D1048" s="42">
        <v>1015</v>
      </c>
      <c r="E1048" s="42">
        <v>0.81200000000000006</v>
      </c>
      <c r="F1048" s="42">
        <v>128</v>
      </c>
      <c r="G1048" s="42">
        <v>103.93600000000001</v>
      </c>
      <c r="H1048" s="42">
        <v>1.2315270935960589</v>
      </c>
      <c r="I1048" s="42">
        <v>1</v>
      </c>
      <c r="J1048" s="42">
        <v>1.2315270935960589</v>
      </c>
      <c r="K1048" s="42">
        <v>1</v>
      </c>
      <c r="L1048" s="42">
        <v>0.81200000000000006</v>
      </c>
      <c r="M1048">
        <v>1</v>
      </c>
    </row>
    <row r="1049" spans="3:13" x14ac:dyDescent="0.15">
      <c r="C1049" s="43">
        <v>1016</v>
      </c>
      <c r="D1049" s="42">
        <v>1016</v>
      </c>
      <c r="E1049" s="42">
        <v>0.81279999999999997</v>
      </c>
      <c r="F1049" s="42">
        <v>128</v>
      </c>
      <c r="G1049" s="42">
        <v>104.03840000000001</v>
      </c>
      <c r="H1049" s="42">
        <v>1.2303149606299213</v>
      </c>
      <c r="I1049" s="42">
        <v>1</v>
      </c>
      <c r="J1049" s="42">
        <v>1.2303149606299213</v>
      </c>
      <c r="K1049" s="42">
        <v>1</v>
      </c>
      <c r="L1049" s="42">
        <v>0.81279999999999997</v>
      </c>
      <c r="M1049">
        <v>1</v>
      </c>
    </row>
    <row r="1050" spans="3:13" x14ac:dyDescent="0.15">
      <c r="C1050" s="43">
        <v>1017</v>
      </c>
      <c r="D1050" s="42">
        <v>1017</v>
      </c>
      <c r="E1050" s="42">
        <v>0.81359999999999999</v>
      </c>
      <c r="F1050" s="42">
        <v>128</v>
      </c>
      <c r="G1050" s="42">
        <v>104.1408</v>
      </c>
      <c r="H1050" s="42">
        <v>1.2291052114060963</v>
      </c>
      <c r="I1050" s="42">
        <v>1</v>
      </c>
      <c r="J1050" s="42">
        <v>1.2291052114060963</v>
      </c>
      <c r="K1050" s="42">
        <v>1</v>
      </c>
      <c r="L1050" s="42">
        <v>0.81359999999999999</v>
      </c>
      <c r="M1050">
        <v>1</v>
      </c>
    </row>
    <row r="1051" spans="3:13" x14ac:dyDescent="0.15">
      <c r="C1051" s="43">
        <v>1018</v>
      </c>
      <c r="D1051" s="42">
        <v>1018</v>
      </c>
      <c r="E1051" s="42">
        <v>0.81440000000000001</v>
      </c>
      <c r="F1051" s="42">
        <v>128</v>
      </c>
      <c r="G1051" s="42">
        <v>104.2432</v>
      </c>
      <c r="H1051" s="42">
        <v>1.2278978388998034</v>
      </c>
      <c r="I1051" s="42">
        <v>1</v>
      </c>
      <c r="J1051" s="42">
        <v>1.2278978388998034</v>
      </c>
      <c r="K1051" s="42">
        <v>1</v>
      </c>
      <c r="L1051" s="42">
        <v>0.81440000000000001</v>
      </c>
      <c r="M1051">
        <v>1</v>
      </c>
    </row>
    <row r="1052" spans="3:13" x14ac:dyDescent="0.15">
      <c r="C1052" s="43">
        <v>1019</v>
      </c>
      <c r="D1052" s="42">
        <v>1019</v>
      </c>
      <c r="E1052" s="42">
        <v>0.81520000000000004</v>
      </c>
      <c r="F1052" s="42">
        <v>128</v>
      </c>
      <c r="G1052" s="42">
        <v>104.3456</v>
      </c>
      <c r="H1052" s="42">
        <v>1.2266928361138369</v>
      </c>
      <c r="I1052" s="42">
        <v>1</v>
      </c>
      <c r="J1052" s="42">
        <v>1.2266928361138369</v>
      </c>
      <c r="K1052" s="42">
        <v>1</v>
      </c>
      <c r="L1052" s="42">
        <v>0.81520000000000004</v>
      </c>
      <c r="M1052">
        <v>1</v>
      </c>
    </row>
    <row r="1053" spans="3:13" x14ac:dyDescent="0.15">
      <c r="C1053" s="43">
        <v>1020</v>
      </c>
      <c r="D1053" s="42">
        <v>1020</v>
      </c>
      <c r="E1053" s="42">
        <v>0.81599999999999995</v>
      </c>
      <c r="F1053" s="42">
        <v>128</v>
      </c>
      <c r="G1053" s="42">
        <v>104.44800000000001</v>
      </c>
      <c r="H1053" s="42">
        <v>1.2254901960784315</v>
      </c>
      <c r="I1053" s="42">
        <v>1</v>
      </c>
      <c r="J1053" s="42">
        <v>1.2254901960784315</v>
      </c>
      <c r="K1053" s="42">
        <v>1</v>
      </c>
      <c r="L1053" s="42">
        <v>0.81599999999999995</v>
      </c>
      <c r="M1053">
        <v>1</v>
      </c>
    </row>
    <row r="1054" spans="3:13" x14ac:dyDescent="0.15">
      <c r="C1054" s="43">
        <v>1021</v>
      </c>
      <c r="D1054" s="42">
        <v>1021</v>
      </c>
      <c r="E1054" s="42">
        <v>0.81679999999999997</v>
      </c>
      <c r="F1054" s="42">
        <v>128</v>
      </c>
      <c r="G1054" s="42">
        <v>104.55040000000001</v>
      </c>
      <c r="H1054" s="42">
        <v>1.2242899118511263</v>
      </c>
      <c r="I1054" s="42">
        <v>1</v>
      </c>
      <c r="J1054" s="42">
        <v>1.2242899118511263</v>
      </c>
      <c r="K1054" s="42">
        <v>1</v>
      </c>
      <c r="L1054" s="42">
        <v>0.81679999999999997</v>
      </c>
      <c r="M1054">
        <v>1</v>
      </c>
    </row>
    <row r="1055" spans="3:13" x14ac:dyDescent="0.15">
      <c r="C1055" s="43">
        <v>1022</v>
      </c>
      <c r="D1055" s="42">
        <v>1022</v>
      </c>
      <c r="E1055" s="42">
        <v>0.81759999999999999</v>
      </c>
      <c r="F1055" s="42">
        <v>128</v>
      </c>
      <c r="G1055" s="42">
        <v>104.6528</v>
      </c>
      <c r="H1055" s="42">
        <v>1.2230919765166341</v>
      </c>
      <c r="I1055" s="42">
        <v>1</v>
      </c>
      <c r="J1055" s="42">
        <v>1.2230919765166341</v>
      </c>
      <c r="K1055" s="42">
        <v>1</v>
      </c>
      <c r="L1055" s="42">
        <v>0.81759999999999999</v>
      </c>
      <c r="M1055">
        <v>1</v>
      </c>
    </row>
    <row r="1056" spans="3:13" x14ac:dyDescent="0.15">
      <c r="C1056" s="43">
        <v>1023</v>
      </c>
      <c r="D1056" s="42">
        <v>1023</v>
      </c>
      <c r="E1056" s="42">
        <v>0.81840000000000002</v>
      </c>
      <c r="F1056" s="42">
        <v>128</v>
      </c>
      <c r="G1056" s="42">
        <v>104.7552</v>
      </c>
      <c r="H1056" s="42">
        <v>1.2218963831867058</v>
      </c>
      <c r="I1056" s="42">
        <v>1</v>
      </c>
      <c r="J1056" s="42">
        <v>1.2218963831867058</v>
      </c>
      <c r="K1056" s="42">
        <v>1</v>
      </c>
      <c r="L1056" s="42">
        <v>0.81840000000000002</v>
      </c>
      <c r="M1056">
        <v>1</v>
      </c>
    </row>
    <row r="1057" spans="3:13" x14ac:dyDescent="0.15">
      <c r="C1057" s="43">
        <v>1024</v>
      </c>
      <c r="D1057" s="42">
        <v>1024</v>
      </c>
      <c r="E1057" s="42">
        <v>0.81920000000000004</v>
      </c>
      <c r="F1057" s="42">
        <v>128</v>
      </c>
      <c r="G1057" s="42">
        <v>104.85760000000001</v>
      </c>
      <c r="H1057" s="42">
        <v>1.220703125</v>
      </c>
      <c r="I1057" s="42">
        <v>1</v>
      </c>
      <c r="J1057" s="42">
        <v>1.220703125</v>
      </c>
      <c r="K1057" s="42">
        <v>1</v>
      </c>
      <c r="L1057" s="42">
        <v>0.81920000000000004</v>
      </c>
      <c r="M1057">
        <v>1</v>
      </c>
    </row>
    <row r="1058" spans="3:13" x14ac:dyDescent="0.15">
      <c r="C1058" s="43">
        <v>1025</v>
      </c>
      <c r="D1058" s="42">
        <v>1025</v>
      </c>
      <c r="E1058" s="42">
        <v>0.82</v>
      </c>
      <c r="F1058" s="42">
        <v>128</v>
      </c>
      <c r="G1058" s="42">
        <v>104.96000000000001</v>
      </c>
      <c r="H1058" s="42">
        <v>1.2195121951219512</v>
      </c>
      <c r="I1058" s="42">
        <v>1</v>
      </c>
      <c r="J1058" s="42">
        <v>1.2195121951219512</v>
      </c>
      <c r="K1058" s="42">
        <v>1</v>
      </c>
      <c r="L1058" s="42">
        <v>0.82</v>
      </c>
      <c r="M1058">
        <v>1</v>
      </c>
    </row>
    <row r="1059" spans="3:13" x14ac:dyDescent="0.15">
      <c r="C1059" s="43">
        <v>1026</v>
      </c>
      <c r="D1059" s="42">
        <v>1026</v>
      </c>
      <c r="E1059" s="42">
        <v>0.82079999999999997</v>
      </c>
      <c r="F1059" s="42">
        <v>128</v>
      </c>
      <c r="G1059" s="42">
        <v>105.06240000000001</v>
      </c>
      <c r="H1059" s="42">
        <v>1.2183235867446394</v>
      </c>
      <c r="I1059" s="42">
        <v>1</v>
      </c>
      <c r="J1059" s="42">
        <v>1.2183235867446394</v>
      </c>
      <c r="K1059" s="42">
        <v>1</v>
      </c>
      <c r="L1059" s="42">
        <v>0.82079999999999997</v>
      </c>
      <c r="M1059">
        <v>1</v>
      </c>
    </row>
    <row r="1060" spans="3:13" x14ac:dyDescent="0.15">
      <c r="C1060" s="43">
        <v>1027</v>
      </c>
      <c r="D1060" s="42">
        <v>1027</v>
      </c>
      <c r="E1060" s="42">
        <v>0.8216</v>
      </c>
      <c r="F1060" s="42">
        <v>128</v>
      </c>
      <c r="G1060" s="42">
        <v>105.1648</v>
      </c>
      <c r="H1060" s="42">
        <v>1.2171372930866602</v>
      </c>
      <c r="I1060" s="42">
        <v>1</v>
      </c>
      <c r="J1060" s="42">
        <v>1.2171372930866602</v>
      </c>
      <c r="K1060" s="42">
        <v>1</v>
      </c>
      <c r="L1060" s="42">
        <v>0.8216</v>
      </c>
      <c r="M1060">
        <v>1</v>
      </c>
    </row>
    <row r="1061" spans="3:13" x14ac:dyDescent="0.15">
      <c r="C1061" s="43">
        <v>1028</v>
      </c>
      <c r="D1061" s="42">
        <v>1028</v>
      </c>
      <c r="E1061" s="42">
        <v>0.82240000000000002</v>
      </c>
      <c r="F1061" s="42">
        <v>128</v>
      </c>
      <c r="G1061" s="42">
        <v>105.2672</v>
      </c>
      <c r="H1061" s="42">
        <v>1.215953307392996</v>
      </c>
      <c r="I1061" s="42">
        <v>1</v>
      </c>
      <c r="J1061" s="42">
        <v>1.215953307392996</v>
      </c>
      <c r="K1061" s="42">
        <v>1</v>
      </c>
      <c r="L1061" s="42">
        <v>0.82240000000000002</v>
      </c>
      <c r="M1061">
        <v>1</v>
      </c>
    </row>
    <row r="1062" spans="3:13" x14ac:dyDescent="0.15">
      <c r="C1062" s="43">
        <v>1029</v>
      </c>
      <c r="D1062" s="42">
        <v>1029</v>
      </c>
      <c r="E1062" s="42">
        <v>0.82320000000000004</v>
      </c>
      <c r="F1062" s="42">
        <v>128</v>
      </c>
      <c r="G1062" s="42">
        <v>105.36960000000001</v>
      </c>
      <c r="H1062" s="42">
        <v>1.2147716229348882</v>
      </c>
      <c r="I1062" s="42">
        <v>1</v>
      </c>
      <c r="J1062" s="42">
        <v>1.2147716229348882</v>
      </c>
      <c r="K1062" s="42">
        <v>1</v>
      </c>
      <c r="L1062" s="42">
        <v>0.82320000000000004</v>
      </c>
      <c r="M1062">
        <v>1</v>
      </c>
    </row>
    <row r="1063" spans="3:13" x14ac:dyDescent="0.15">
      <c r="C1063" s="43">
        <v>1030</v>
      </c>
      <c r="D1063" s="42">
        <v>1030</v>
      </c>
      <c r="E1063" s="42">
        <v>0.82399999999999995</v>
      </c>
      <c r="F1063" s="42">
        <v>128</v>
      </c>
      <c r="G1063" s="42">
        <v>105.47200000000001</v>
      </c>
      <c r="H1063" s="42">
        <v>1.2135922330097089</v>
      </c>
      <c r="I1063" s="42">
        <v>1</v>
      </c>
      <c r="J1063" s="42">
        <v>1.2135922330097089</v>
      </c>
      <c r="K1063" s="42">
        <v>1</v>
      </c>
      <c r="L1063" s="42">
        <v>0.82399999999999995</v>
      </c>
      <c r="M1063">
        <v>1</v>
      </c>
    </row>
    <row r="1064" spans="3:13" x14ac:dyDescent="0.15">
      <c r="C1064" s="43">
        <v>1031</v>
      </c>
      <c r="D1064" s="42">
        <v>1031</v>
      </c>
      <c r="E1064" s="42">
        <v>0.82479999999999998</v>
      </c>
      <c r="F1064" s="42">
        <v>128</v>
      </c>
      <c r="G1064" s="42">
        <v>105.57440000000001</v>
      </c>
      <c r="H1064" s="42">
        <v>1.2124151309408342</v>
      </c>
      <c r="I1064" s="42">
        <v>1</v>
      </c>
      <c r="J1064" s="42">
        <v>1.2124151309408342</v>
      </c>
      <c r="K1064" s="42">
        <v>1</v>
      </c>
      <c r="L1064" s="42">
        <v>0.82479999999999998</v>
      </c>
      <c r="M1064">
        <v>1</v>
      </c>
    </row>
    <row r="1065" spans="3:13" x14ac:dyDescent="0.15">
      <c r="C1065" s="43">
        <v>1032</v>
      </c>
      <c r="D1065" s="42">
        <v>1032</v>
      </c>
      <c r="E1065" s="42">
        <v>0.8256</v>
      </c>
      <c r="F1065" s="42">
        <v>128</v>
      </c>
      <c r="G1065" s="42">
        <v>105.6768</v>
      </c>
      <c r="H1065" s="42">
        <v>1.2112403100775193</v>
      </c>
      <c r="I1065" s="42">
        <v>1</v>
      </c>
      <c r="J1065" s="42">
        <v>1.2112403100775193</v>
      </c>
      <c r="K1065" s="42">
        <v>1</v>
      </c>
      <c r="L1065" s="42">
        <v>0.8256</v>
      </c>
      <c r="M1065">
        <v>1</v>
      </c>
    </row>
    <row r="1066" spans="3:13" x14ac:dyDescent="0.15">
      <c r="C1066" s="43">
        <v>1033</v>
      </c>
      <c r="D1066" s="42">
        <v>1033</v>
      </c>
      <c r="E1066" s="42">
        <v>0.82640000000000002</v>
      </c>
      <c r="F1066" s="42">
        <v>128</v>
      </c>
      <c r="G1066" s="42">
        <v>105.7792</v>
      </c>
      <c r="H1066" s="42">
        <v>1.2100677637947725</v>
      </c>
      <c r="I1066" s="42">
        <v>1</v>
      </c>
      <c r="J1066" s="42">
        <v>1.2100677637947725</v>
      </c>
      <c r="K1066" s="42">
        <v>1</v>
      </c>
      <c r="L1066" s="42">
        <v>0.82640000000000002</v>
      </c>
      <c r="M1066">
        <v>1</v>
      </c>
    </row>
    <row r="1067" spans="3:13" x14ac:dyDescent="0.15">
      <c r="C1067" s="43">
        <v>1034</v>
      </c>
      <c r="D1067" s="42">
        <v>1034</v>
      </c>
      <c r="E1067" s="42">
        <v>0.82720000000000005</v>
      </c>
      <c r="F1067" s="42">
        <v>128</v>
      </c>
      <c r="G1067" s="42">
        <v>105.88160000000001</v>
      </c>
      <c r="H1067" s="42">
        <v>1.2088974854932302</v>
      </c>
      <c r="I1067" s="42">
        <v>1</v>
      </c>
      <c r="J1067" s="42">
        <v>1.2088974854932302</v>
      </c>
      <c r="K1067" s="42">
        <v>1</v>
      </c>
      <c r="L1067" s="42">
        <v>0.82720000000000005</v>
      </c>
      <c r="M1067">
        <v>1</v>
      </c>
    </row>
    <row r="1068" spans="3:13" x14ac:dyDescent="0.15">
      <c r="C1068" s="43">
        <v>1035</v>
      </c>
      <c r="D1068" s="42">
        <v>1035</v>
      </c>
      <c r="E1068" s="42">
        <v>0.82799999999999996</v>
      </c>
      <c r="F1068" s="42">
        <v>128</v>
      </c>
      <c r="G1068" s="42">
        <v>105.98400000000001</v>
      </c>
      <c r="H1068" s="42">
        <v>1.2077294685990339</v>
      </c>
      <c r="I1068" s="42">
        <v>1</v>
      </c>
      <c r="J1068" s="42">
        <v>1.2077294685990339</v>
      </c>
      <c r="K1068" s="42">
        <v>1</v>
      </c>
      <c r="L1068" s="42">
        <v>0.82799999999999996</v>
      </c>
      <c r="M1068">
        <v>1</v>
      </c>
    </row>
    <row r="1069" spans="3:13" x14ac:dyDescent="0.15">
      <c r="C1069" s="43">
        <v>1036</v>
      </c>
      <c r="D1069" s="42">
        <v>1036</v>
      </c>
      <c r="E1069" s="42">
        <v>0.82879999999999998</v>
      </c>
      <c r="F1069" s="42">
        <v>128</v>
      </c>
      <c r="G1069" s="42">
        <v>106.08640000000001</v>
      </c>
      <c r="H1069" s="42">
        <v>1.2065637065637065</v>
      </c>
      <c r="I1069" s="42">
        <v>1</v>
      </c>
      <c r="J1069" s="42">
        <v>1.2065637065637065</v>
      </c>
      <c r="K1069" s="42">
        <v>1</v>
      </c>
      <c r="L1069" s="42">
        <v>0.82879999999999998</v>
      </c>
      <c r="M1069">
        <v>1</v>
      </c>
    </row>
    <row r="1070" spans="3:13" x14ac:dyDescent="0.15">
      <c r="C1070" s="43">
        <v>1037</v>
      </c>
      <c r="D1070" s="42">
        <v>1037</v>
      </c>
      <c r="E1070" s="42">
        <v>0.8296</v>
      </c>
      <c r="F1070" s="42">
        <v>128</v>
      </c>
      <c r="G1070" s="42">
        <v>106.1888</v>
      </c>
      <c r="H1070" s="42">
        <v>1.2054001928640308</v>
      </c>
      <c r="I1070" s="42">
        <v>1</v>
      </c>
      <c r="J1070" s="42">
        <v>1.2054001928640308</v>
      </c>
      <c r="K1070" s="42">
        <v>1</v>
      </c>
      <c r="L1070" s="42">
        <v>0.8296</v>
      </c>
      <c r="M1070">
        <v>1</v>
      </c>
    </row>
    <row r="1071" spans="3:13" x14ac:dyDescent="0.15">
      <c r="C1071" s="43">
        <v>1038</v>
      </c>
      <c r="D1071" s="42">
        <v>1038</v>
      </c>
      <c r="E1071" s="42">
        <v>0.83040000000000003</v>
      </c>
      <c r="F1071" s="42">
        <v>128</v>
      </c>
      <c r="G1071" s="42">
        <v>106.2912</v>
      </c>
      <c r="H1071" s="42">
        <v>1.2042389210019266</v>
      </c>
      <c r="I1071" s="42">
        <v>1</v>
      </c>
      <c r="J1071" s="42">
        <v>1.2042389210019266</v>
      </c>
      <c r="K1071" s="42">
        <v>1</v>
      </c>
      <c r="L1071" s="42">
        <v>0.83040000000000003</v>
      </c>
      <c r="M1071">
        <v>1</v>
      </c>
    </row>
    <row r="1072" spans="3:13" x14ac:dyDescent="0.15">
      <c r="C1072" s="43">
        <v>1039</v>
      </c>
      <c r="D1072" s="42">
        <v>1039</v>
      </c>
      <c r="E1072" s="42">
        <v>0.83120000000000005</v>
      </c>
      <c r="F1072" s="42">
        <v>128</v>
      </c>
      <c r="G1072" s="42">
        <v>106.39360000000001</v>
      </c>
      <c r="H1072" s="42">
        <v>1.2030798845043311</v>
      </c>
      <c r="I1072" s="42">
        <v>1</v>
      </c>
      <c r="J1072" s="42">
        <v>1.2030798845043311</v>
      </c>
      <c r="K1072" s="42">
        <v>1</v>
      </c>
      <c r="L1072" s="42">
        <v>0.83120000000000005</v>
      </c>
      <c r="M1072">
        <v>1</v>
      </c>
    </row>
    <row r="1073" spans="3:13" x14ac:dyDescent="0.15">
      <c r="C1073" s="43">
        <v>1040</v>
      </c>
      <c r="D1073" s="42">
        <v>1040</v>
      </c>
      <c r="E1073" s="42">
        <v>0.83199999999999996</v>
      </c>
      <c r="F1073" s="42">
        <v>128</v>
      </c>
      <c r="G1073" s="42">
        <v>106.49600000000001</v>
      </c>
      <c r="H1073" s="42">
        <v>1.2019230769230769</v>
      </c>
      <c r="I1073" s="42">
        <v>1</v>
      </c>
      <c r="J1073" s="42">
        <v>1.2019230769230769</v>
      </c>
      <c r="K1073" s="42">
        <v>1</v>
      </c>
      <c r="L1073" s="42">
        <v>0.83199999999999996</v>
      </c>
      <c r="M1073">
        <v>1</v>
      </c>
    </row>
    <row r="1074" spans="3:13" x14ac:dyDescent="0.15">
      <c r="C1074" s="43">
        <v>1041</v>
      </c>
      <c r="D1074" s="42">
        <v>1041</v>
      </c>
      <c r="E1074" s="42">
        <v>0.83279999999999998</v>
      </c>
      <c r="F1074" s="42">
        <v>128</v>
      </c>
      <c r="G1074" s="42">
        <v>106.5984</v>
      </c>
      <c r="H1074" s="42">
        <v>1.2007684918347743</v>
      </c>
      <c r="I1074" s="42">
        <v>1</v>
      </c>
      <c r="J1074" s="42">
        <v>1.2007684918347743</v>
      </c>
      <c r="K1074" s="42">
        <v>1</v>
      </c>
      <c r="L1074" s="42">
        <v>0.83279999999999998</v>
      </c>
      <c r="M1074">
        <v>1</v>
      </c>
    </row>
    <row r="1075" spans="3:13" x14ac:dyDescent="0.15">
      <c r="C1075" s="43">
        <v>1042</v>
      </c>
      <c r="D1075" s="42">
        <v>1042</v>
      </c>
      <c r="E1075" s="42">
        <v>0.83360000000000001</v>
      </c>
      <c r="F1075" s="42">
        <v>128</v>
      </c>
      <c r="G1075" s="42">
        <v>106.7008</v>
      </c>
      <c r="H1075" s="42">
        <v>1.199616122840691</v>
      </c>
      <c r="I1075" s="42">
        <v>1</v>
      </c>
      <c r="J1075" s="42">
        <v>1.199616122840691</v>
      </c>
      <c r="K1075" s="42">
        <v>1</v>
      </c>
      <c r="L1075" s="42">
        <v>0.83360000000000001</v>
      </c>
      <c r="M1075">
        <v>1</v>
      </c>
    </row>
    <row r="1076" spans="3:13" x14ac:dyDescent="0.15">
      <c r="C1076" s="43">
        <v>1043</v>
      </c>
      <c r="D1076" s="42">
        <v>1043</v>
      </c>
      <c r="E1076" s="42">
        <v>0.83440000000000003</v>
      </c>
      <c r="F1076" s="42">
        <v>128</v>
      </c>
      <c r="G1076" s="42">
        <v>106.8032</v>
      </c>
      <c r="H1076" s="42">
        <v>1.1984659635666346</v>
      </c>
      <c r="I1076" s="42">
        <v>1</v>
      </c>
      <c r="J1076" s="42">
        <v>1.1984659635666346</v>
      </c>
      <c r="K1076" s="42">
        <v>1</v>
      </c>
      <c r="L1076" s="42">
        <v>0.83440000000000003</v>
      </c>
      <c r="M1076">
        <v>1</v>
      </c>
    </row>
    <row r="1077" spans="3:13" x14ac:dyDescent="0.15">
      <c r="C1077" s="43">
        <v>1044</v>
      </c>
      <c r="D1077" s="42">
        <v>1044</v>
      </c>
      <c r="E1077" s="42">
        <v>0.83520000000000005</v>
      </c>
      <c r="F1077" s="42">
        <v>128</v>
      </c>
      <c r="G1077" s="42">
        <v>106.90560000000001</v>
      </c>
      <c r="H1077" s="42">
        <v>1.1973180076628351</v>
      </c>
      <c r="I1077" s="42">
        <v>1</v>
      </c>
      <c r="J1077" s="42">
        <v>1.1973180076628351</v>
      </c>
      <c r="K1077" s="42">
        <v>1</v>
      </c>
      <c r="L1077" s="42">
        <v>0.83520000000000005</v>
      </c>
      <c r="M1077">
        <v>1</v>
      </c>
    </row>
    <row r="1078" spans="3:13" x14ac:dyDescent="0.15">
      <c r="C1078" s="43">
        <v>1045</v>
      </c>
      <c r="D1078" s="42">
        <v>1045</v>
      </c>
      <c r="E1078" s="42">
        <v>0.83599999999999997</v>
      </c>
      <c r="F1078" s="42">
        <v>128</v>
      </c>
      <c r="G1078" s="42">
        <v>107.00800000000001</v>
      </c>
      <c r="H1078" s="42">
        <v>1.1961722488038278</v>
      </c>
      <c r="I1078" s="42">
        <v>1</v>
      </c>
      <c r="J1078" s="42">
        <v>1.1961722488038278</v>
      </c>
      <c r="K1078" s="42">
        <v>1</v>
      </c>
      <c r="L1078" s="42">
        <v>0.83599999999999997</v>
      </c>
      <c r="M1078">
        <v>1</v>
      </c>
    </row>
    <row r="1079" spans="3:13" x14ac:dyDescent="0.15">
      <c r="C1079" s="43">
        <v>1046</v>
      </c>
      <c r="D1079" s="42">
        <v>1046</v>
      </c>
      <c r="E1079" s="42">
        <v>0.83679999999999999</v>
      </c>
      <c r="F1079" s="42">
        <v>128</v>
      </c>
      <c r="G1079" s="42">
        <v>107.1104</v>
      </c>
      <c r="H1079" s="42">
        <v>1.1950286806883366</v>
      </c>
      <c r="I1079" s="42">
        <v>1</v>
      </c>
      <c r="J1079" s="42">
        <v>1.1950286806883366</v>
      </c>
      <c r="K1079" s="42">
        <v>1</v>
      </c>
      <c r="L1079" s="42">
        <v>0.83679999999999999</v>
      </c>
      <c r="M1079">
        <v>1</v>
      </c>
    </row>
    <row r="1080" spans="3:13" x14ac:dyDescent="0.15">
      <c r="C1080" s="43">
        <v>1047</v>
      </c>
      <c r="D1080" s="42">
        <v>1047</v>
      </c>
      <c r="E1080" s="42">
        <v>0.83760000000000001</v>
      </c>
      <c r="F1080" s="42">
        <v>128</v>
      </c>
      <c r="G1080" s="42">
        <v>107.2128</v>
      </c>
      <c r="H1080" s="42">
        <v>1.1938872970391594</v>
      </c>
      <c r="I1080" s="42">
        <v>1</v>
      </c>
      <c r="J1080" s="42">
        <v>1.1938872970391594</v>
      </c>
      <c r="K1080" s="42">
        <v>1</v>
      </c>
      <c r="L1080" s="42">
        <v>0.83760000000000001</v>
      </c>
      <c r="M1080">
        <v>1</v>
      </c>
    </row>
    <row r="1081" spans="3:13" x14ac:dyDescent="0.15">
      <c r="C1081" s="43">
        <v>1048</v>
      </c>
      <c r="D1081" s="42">
        <v>1048</v>
      </c>
      <c r="E1081" s="42">
        <v>0.83840000000000003</v>
      </c>
      <c r="F1081" s="42">
        <v>128</v>
      </c>
      <c r="G1081" s="42">
        <v>107.3152</v>
      </c>
      <c r="H1081" s="42">
        <v>1.1927480916030533</v>
      </c>
      <c r="I1081" s="42">
        <v>1</v>
      </c>
      <c r="J1081" s="42">
        <v>1.1927480916030533</v>
      </c>
      <c r="K1081" s="42">
        <v>1</v>
      </c>
      <c r="L1081" s="42">
        <v>0.83840000000000003</v>
      </c>
      <c r="M1081">
        <v>1</v>
      </c>
    </row>
    <row r="1082" spans="3:13" x14ac:dyDescent="0.15">
      <c r="C1082" s="43">
        <v>1049</v>
      </c>
      <c r="D1082" s="42">
        <v>1049</v>
      </c>
      <c r="E1082" s="42">
        <v>0.83919999999999995</v>
      </c>
      <c r="F1082" s="42">
        <v>128</v>
      </c>
      <c r="G1082" s="42">
        <v>107.41760000000001</v>
      </c>
      <c r="H1082" s="42">
        <v>1.1916110581506196</v>
      </c>
      <c r="I1082" s="42">
        <v>1</v>
      </c>
      <c r="J1082" s="42">
        <v>1.1916110581506196</v>
      </c>
      <c r="K1082" s="42">
        <v>1</v>
      </c>
      <c r="L1082" s="42">
        <v>0.83919999999999995</v>
      </c>
      <c r="M1082">
        <v>1</v>
      </c>
    </row>
    <row r="1083" spans="3:13" x14ac:dyDescent="0.15">
      <c r="C1083" s="43">
        <v>1050</v>
      </c>
      <c r="D1083" s="42">
        <v>1050</v>
      </c>
      <c r="E1083" s="42">
        <v>0.84</v>
      </c>
      <c r="F1083" s="42">
        <v>128</v>
      </c>
      <c r="G1083" s="42">
        <v>107.52000000000001</v>
      </c>
      <c r="H1083" s="42">
        <v>1.1904761904761905</v>
      </c>
      <c r="I1083" s="42">
        <v>1</v>
      </c>
      <c r="J1083" s="42">
        <v>1.1904761904761905</v>
      </c>
      <c r="K1083" s="42">
        <v>1</v>
      </c>
      <c r="L1083" s="42">
        <v>0.84</v>
      </c>
      <c r="M1083">
        <v>1</v>
      </c>
    </row>
    <row r="1084" spans="3:13" x14ac:dyDescent="0.15">
      <c r="C1084" s="43">
        <v>1051</v>
      </c>
      <c r="D1084" s="42">
        <v>1051</v>
      </c>
      <c r="E1084" s="42">
        <v>0.84079999999999999</v>
      </c>
      <c r="F1084" s="42">
        <v>128</v>
      </c>
      <c r="G1084" s="42">
        <v>107.6224</v>
      </c>
      <c r="H1084" s="42">
        <v>1.1893434823977165</v>
      </c>
      <c r="I1084" s="42">
        <v>1</v>
      </c>
      <c r="J1084" s="42">
        <v>1.1893434823977165</v>
      </c>
      <c r="K1084" s="42">
        <v>1</v>
      </c>
      <c r="L1084" s="42">
        <v>0.84079999999999999</v>
      </c>
      <c r="M1084">
        <v>1</v>
      </c>
    </row>
    <row r="1085" spans="3:13" x14ac:dyDescent="0.15">
      <c r="C1085" s="43">
        <v>1052</v>
      </c>
      <c r="D1085" s="42">
        <v>1052</v>
      </c>
      <c r="E1085" s="42">
        <v>0.84160000000000001</v>
      </c>
      <c r="F1085" s="42">
        <v>128</v>
      </c>
      <c r="G1085" s="42">
        <v>107.7248</v>
      </c>
      <c r="H1085" s="42">
        <v>1.188212927756654</v>
      </c>
      <c r="I1085" s="42">
        <v>1</v>
      </c>
      <c r="J1085" s="42">
        <v>1.188212927756654</v>
      </c>
      <c r="K1085" s="42">
        <v>1</v>
      </c>
      <c r="L1085" s="42">
        <v>0.84160000000000001</v>
      </c>
      <c r="M1085">
        <v>1</v>
      </c>
    </row>
    <row r="1086" spans="3:13" x14ac:dyDescent="0.15">
      <c r="C1086" s="43">
        <v>1053</v>
      </c>
      <c r="D1086" s="42">
        <v>1053</v>
      </c>
      <c r="E1086" s="42">
        <v>0.84240000000000004</v>
      </c>
      <c r="F1086" s="42">
        <v>128</v>
      </c>
      <c r="G1086" s="42">
        <v>107.8272</v>
      </c>
      <c r="H1086" s="42">
        <v>1.1870845204178537</v>
      </c>
      <c r="I1086" s="42">
        <v>1</v>
      </c>
      <c r="J1086" s="42">
        <v>1.1870845204178537</v>
      </c>
      <c r="K1086" s="42">
        <v>1</v>
      </c>
      <c r="L1086" s="42">
        <v>0.84240000000000004</v>
      </c>
      <c r="M1086">
        <v>1</v>
      </c>
    </row>
    <row r="1087" spans="3:13" x14ac:dyDescent="0.15">
      <c r="C1087" s="43">
        <v>1054</v>
      </c>
      <c r="D1087" s="42">
        <v>1054</v>
      </c>
      <c r="E1087" s="42">
        <v>0.84319999999999995</v>
      </c>
      <c r="F1087" s="42">
        <v>128</v>
      </c>
      <c r="G1087" s="42">
        <v>107.92960000000001</v>
      </c>
      <c r="H1087" s="42">
        <v>1.1859582542694498</v>
      </c>
      <c r="I1087" s="42">
        <v>1</v>
      </c>
      <c r="J1087" s="42">
        <v>1.1859582542694498</v>
      </c>
      <c r="K1087" s="42">
        <v>1</v>
      </c>
      <c r="L1087" s="42">
        <v>0.84319999999999995</v>
      </c>
      <c r="M1087">
        <v>1</v>
      </c>
    </row>
    <row r="1088" spans="3:13" x14ac:dyDescent="0.15">
      <c r="C1088" s="43">
        <v>1055</v>
      </c>
      <c r="D1088" s="42">
        <v>1055</v>
      </c>
      <c r="E1088" s="42">
        <v>0.84399999999999997</v>
      </c>
      <c r="F1088" s="42">
        <v>128</v>
      </c>
      <c r="G1088" s="42">
        <v>108.03200000000001</v>
      </c>
      <c r="H1088" s="42">
        <v>1.1848341232227488</v>
      </c>
      <c r="I1088" s="42">
        <v>1</v>
      </c>
      <c r="J1088" s="42">
        <v>1.1848341232227488</v>
      </c>
      <c r="K1088" s="42">
        <v>1</v>
      </c>
      <c r="L1088" s="42">
        <v>0.84399999999999997</v>
      </c>
      <c r="M1088">
        <v>1</v>
      </c>
    </row>
    <row r="1089" spans="3:13" x14ac:dyDescent="0.15">
      <c r="C1089" s="43">
        <v>1056</v>
      </c>
      <c r="D1089" s="42">
        <v>1056</v>
      </c>
      <c r="E1089" s="42">
        <v>0.8448</v>
      </c>
      <c r="F1089" s="42">
        <v>128</v>
      </c>
      <c r="G1089" s="42">
        <v>108.1344</v>
      </c>
      <c r="H1089" s="42">
        <v>1.1837121212121213</v>
      </c>
      <c r="I1089" s="42">
        <v>1</v>
      </c>
      <c r="J1089" s="42">
        <v>1.1837121212121213</v>
      </c>
      <c r="K1089" s="42">
        <v>1</v>
      </c>
      <c r="L1089" s="42">
        <v>0.8448</v>
      </c>
      <c r="M1089">
        <v>1</v>
      </c>
    </row>
    <row r="1090" spans="3:13" x14ac:dyDescent="0.15">
      <c r="C1090" s="43">
        <v>1057</v>
      </c>
      <c r="D1090" s="42">
        <v>1057</v>
      </c>
      <c r="E1090" s="42">
        <v>0.84560000000000002</v>
      </c>
      <c r="F1090" s="42">
        <v>128</v>
      </c>
      <c r="G1090" s="42">
        <v>108.2368</v>
      </c>
      <c r="H1090" s="42">
        <v>1.1825922421948911</v>
      </c>
      <c r="I1090" s="42">
        <v>1</v>
      </c>
      <c r="J1090" s="42">
        <v>1.1825922421948911</v>
      </c>
      <c r="K1090" s="42">
        <v>1</v>
      </c>
      <c r="L1090" s="42">
        <v>0.84560000000000002</v>
      </c>
      <c r="M1090">
        <v>1</v>
      </c>
    </row>
    <row r="1091" spans="3:13" x14ac:dyDescent="0.15">
      <c r="C1091" s="43">
        <v>1058</v>
      </c>
      <c r="D1091" s="42">
        <v>1058</v>
      </c>
      <c r="E1091" s="42">
        <v>0.84640000000000004</v>
      </c>
      <c r="F1091" s="42">
        <v>128</v>
      </c>
      <c r="G1091" s="42">
        <v>108.33920000000001</v>
      </c>
      <c r="H1091" s="42">
        <v>1.1814744801512287</v>
      </c>
      <c r="I1091" s="42">
        <v>1</v>
      </c>
      <c r="J1091" s="42">
        <v>1.1814744801512287</v>
      </c>
      <c r="K1091" s="42">
        <v>1</v>
      </c>
      <c r="L1091" s="42">
        <v>0.84640000000000004</v>
      </c>
      <c r="M1091">
        <v>1</v>
      </c>
    </row>
    <row r="1092" spans="3:13" x14ac:dyDescent="0.15">
      <c r="C1092" s="43">
        <v>1059</v>
      </c>
      <c r="D1092" s="42">
        <v>1059</v>
      </c>
      <c r="E1092" s="42">
        <v>0.84719999999999995</v>
      </c>
      <c r="F1092" s="42">
        <v>128</v>
      </c>
      <c r="G1092" s="42">
        <v>108.44160000000001</v>
      </c>
      <c r="H1092" s="42">
        <v>1.1803588290840417</v>
      </c>
      <c r="I1092" s="42">
        <v>1</v>
      </c>
      <c r="J1092" s="42">
        <v>1.1803588290840417</v>
      </c>
      <c r="K1092" s="42">
        <v>1</v>
      </c>
      <c r="L1092" s="42">
        <v>0.84719999999999995</v>
      </c>
      <c r="M1092">
        <v>1</v>
      </c>
    </row>
    <row r="1093" spans="3:13" x14ac:dyDescent="0.15">
      <c r="C1093" s="43">
        <v>1060</v>
      </c>
      <c r="D1093" s="42">
        <v>1060</v>
      </c>
      <c r="E1093" s="42">
        <v>0.84799999999999998</v>
      </c>
      <c r="F1093" s="42">
        <v>128</v>
      </c>
      <c r="G1093" s="42">
        <v>108.54400000000001</v>
      </c>
      <c r="H1093" s="42">
        <v>1.179245283018868</v>
      </c>
      <c r="I1093" s="42">
        <v>1</v>
      </c>
      <c r="J1093" s="42">
        <v>1.179245283018868</v>
      </c>
      <c r="K1093" s="42">
        <v>1</v>
      </c>
      <c r="L1093" s="42">
        <v>0.84799999999999998</v>
      </c>
      <c r="M1093">
        <v>1</v>
      </c>
    </row>
    <row r="1094" spans="3:13" x14ac:dyDescent="0.15">
      <c r="C1094" s="43">
        <v>1061</v>
      </c>
      <c r="D1094" s="42">
        <v>1061</v>
      </c>
      <c r="E1094" s="42">
        <v>0.8488</v>
      </c>
      <c r="F1094" s="42">
        <v>128</v>
      </c>
      <c r="G1094" s="42">
        <v>108.6464</v>
      </c>
      <c r="H1094" s="42">
        <v>1.1781338360037701</v>
      </c>
      <c r="I1094" s="42">
        <v>1</v>
      </c>
      <c r="J1094" s="42">
        <v>1.1781338360037701</v>
      </c>
      <c r="K1094" s="42">
        <v>1</v>
      </c>
      <c r="L1094" s="42">
        <v>0.8488</v>
      </c>
      <c r="M1094">
        <v>1</v>
      </c>
    </row>
    <row r="1095" spans="3:13" x14ac:dyDescent="0.15">
      <c r="C1095" s="43">
        <v>1062</v>
      </c>
      <c r="D1095" s="42">
        <v>1062</v>
      </c>
      <c r="E1095" s="42">
        <v>0.84960000000000002</v>
      </c>
      <c r="F1095" s="42">
        <v>128</v>
      </c>
      <c r="G1095" s="42">
        <v>108.7488</v>
      </c>
      <c r="H1095" s="42">
        <v>1.1770244821092279</v>
      </c>
      <c r="I1095" s="42">
        <v>1</v>
      </c>
      <c r="J1095" s="42">
        <v>1.1770244821092279</v>
      </c>
      <c r="K1095" s="42">
        <v>1</v>
      </c>
      <c r="L1095" s="42">
        <v>0.84960000000000002</v>
      </c>
      <c r="M1095">
        <v>1</v>
      </c>
    </row>
    <row r="1096" spans="3:13" x14ac:dyDescent="0.15">
      <c r="C1096" s="43">
        <v>1063</v>
      </c>
      <c r="D1096" s="42">
        <v>1063</v>
      </c>
      <c r="E1096" s="42">
        <v>0.85040000000000004</v>
      </c>
      <c r="F1096" s="42">
        <v>128</v>
      </c>
      <c r="G1096" s="42">
        <v>108.85120000000001</v>
      </c>
      <c r="H1096" s="42">
        <v>1.1759172154280337</v>
      </c>
      <c r="I1096" s="42">
        <v>1</v>
      </c>
      <c r="J1096" s="42">
        <v>1.1759172154280337</v>
      </c>
      <c r="K1096" s="42">
        <v>1</v>
      </c>
      <c r="L1096" s="42">
        <v>0.85040000000000004</v>
      </c>
      <c r="M1096">
        <v>1</v>
      </c>
    </row>
    <row r="1097" spans="3:13" x14ac:dyDescent="0.15">
      <c r="C1097" s="43">
        <v>1064</v>
      </c>
      <c r="D1097" s="42">
        <v>1064</v>
      </c>
      <c r="E1097" s="42">
        <v>0.85119999999999996</v>
      </c>
      <c r="F1097" s="42">
        <v>128</v>
      </c>
      <c r="G1097" s="42">
        <v>108.95360000000001</v>
      </c>
      <c r="H1097" s="42">
        <v>1.1748120300751881</v>
      </c>
      <c r="I1097" s="42">
        <v>1</v>
      </c>
      <c r="J1097" s="42">
        <v>1.1748120300751881</v>
      </c>
      <c r="K1097" s="42">
        <v>1</v>
      </c>
      <c r="L1097" s="42">
        <v>0.85119999999999996</v>
      </c>
      <c r="M1097">
        <v>1</v>
      </c>
    </row>
    <row r="1098" spans="3:13" x14ac:dyDescent="0.15">
      <c r="C1098" s="43">
        <v>1065</v>
      </c>
      <c r="D1098" s="42">
        <v>1065</v>
      </c>
      <c r="E1098" s="42">
        <v>0.85199999999999998</v>
      </c>
      <c r="F1098" s="42">
        <v>128</v>
      </c>
      <c r="G1098" s="42">
        <v>109.05600000000001</v>
      </c>
      <c r="H1098" s="42">
        <v>1.1737089201877935</v>
      </c>
      <c r="I1098" s="42">
        <v>1</v>
      </c>
      <c r="J1098" s="42">
        <v>1.1737089201877935</v>
      </c>
      <c r="K1098" s="42">
        <v>1</v>
      </c>
      <c r="L1098" s="42">
        <v>0.85199999999999998</v>
      </c>
      <c r="M1098">
        <v>1</v>
      </c>
    </row>
    <row r="1099" spans="3:13" x14ac:dyDescent="0.15">
      <c r="C1099" s="43">
        <v>1066</v>
      </c>
      <c r="D1099" s="42">
        <v>1066</v>
      </c>
      <c r="E1099" s="42">
        <v>0.8528</v>
      </c>
      <c r="F1099" s="42">
        <v>128</v>
      </c>
      <c r="G1099" s="42">
        <v>109.1584</v>
      </c>
      <c r="H1099" s="42">
        <v>1.1726078799249531</v>
      </c>
      <c r="I1099" s="42">
        <v>1</v>
      </c>
      <c r="J1099" s="42">
        <v>1.1726078799249531</v>
      </c>
      <c r="K1099" s="42">
        <v>1</v>
      </c>
      <c r="L1099" s="42">
        <v>0.8528</v>
      </c>
      <c r="M1099">
        <v>1</v>
      </c>
    </row>
    <row r="1100" spans="3:13" x14ac:dyDescent="0.15">
      <c r="C1100" s="43">
        <v>1067</v>
      </c>
      <c r="D1100" s="42">
        <v>1067</v>
      </c>
      <c r="E1100" s="42">
        <v>0.85360000000000003</v>
      </c>
      <c r="F1100" s="42">
        <v>128</v>
      </c>
      <c r="G1100" s="42">
        <v>109.2608</v>
      </c>
      <c r="H1100" s="42">
        <v>1.1715089034676662</v>
      </c>
      <c r="I1100" s="42">
        <v>1</v>
      </c>
      <c r="J1100" s="42">
        <v>1.1715089034676662</v>
      </c>
      <c r="K1100" s="42">
        <v>1</v>
      </c>
      <c r="L1100" s="42">
        <v>0.85360000000000003</v>
      </c>
      <c r="M1100">
        <v>1</v>
      </c>
    </row>
    <row r="1101" spans="3:13" x14ac:dyDescent="0.15">
      <c r="C1101" s="43">
        <v>1068</v>
      </c>
      <c r="D1101" s="42">
        <v>1068</v>
      </c>
      <c r="E1101" s="42">
        <v>0.85440000000000005</v>
      </c>
      <c r="F1101" s="42">
        <v>128</v>
      </c>
      <c r="G1101" s="42">
        <v>109.36320000000001</v>
      </c>
      <c r="H1101" s="42">
        <v>1.1704119850187265</v>
      </c>
      <c r="I1101" s="42">
        <v>1</v>
      </c>
      <c r="J1101" s="42">
        <v>1.1704119850187265</v>
      </c>
      <c r="K1101" s="42">
        <v>1</v>
      </c>
      <c r="L1101" s="42">
        <v>0.85440000000000005</v>
      </c>
      <c r="M1101">
        <v>1</v>
      </c>
    </row>
    <row r="1102" spans="3:13" x14ac:dyDescent="0.15">
      <c r="C1102" s="43">
        <v>1069</v>
      </c>
      <c r="D1102" s="42">
        <v>1069</v>
      </c>
      <c r="E1102" s="42">
        <v>0.85519999999999996</v>
      </c>
      <c r="F1102" s="42">
        <v>128</v>
      </c>
      <c r="G1102" s="42">
        <v>109.46560000000001</v>
      </c>
      <c r="H1102" s="42">
        <v>1.1693171188026192</v>
      </c>
      <c r="I1102" s="42">
        <v>1</v>
      </c>
      <c r="J1102" s="42">
        <v>1.1693171188026192</v>
      </c>
      <c r="K1102" s="42">
        <v>1</v>
      </c>
      <c r="L1102" s="42">
        <v>0.85519999999999996</v>
      </c>
      <c r="M1102">
        <v>1</v>
      </c>
    </row>
    <row r="1103" spans="3:13" x14ac:dyDescent="0.15">
      <c r="C1103" s="43">
        <v>1070</v>
      </c>
      <c r="D1103" s="42">
        <v>1070</v>
      </c>
      <c r="E1103" s="42">
        <v>0.85599999999999998</v>
      </c>
      <c r="F1103" s="42">
        <v>128</v>
      </c>
      <c r="G1103" s="42">
        <v>109.56800000000001</v>
      </c>
      <c r="H1103" s="42">
        <v>1.1682242990654206</v>
      </c>
      <c r="I1103" s="42">
        <v>1</v>
      </c>
      <c r="J1103" s="42">
        <v>1.1682242990654206</v>
      </c>
      <c r="K1103" s="42">
        <v>1</v>
      </c>
      <c r="L1103" s="42">
        <v>0.85599999999999998</v>
      </c>
      <c r="M1103">
        <v>1</v>
      </c>
    </row>
    <row r="1104" spans="3:13" x14ac:dyDescent="0.15">
      <c r="C1104" s="43">
        <v>1071</v>
      </c>
      <c r="D1104" s="42">
        <v>1071</v>
      </c>
      <c r="E1104" s="42">
        <v>0.85680000000000001</v>
      </c>
      <c r="F1104" s="42">
        <v>128</v>
      </c>
      <c r="G1104" s="42">
        <v>109.6704</v>
      </c>
      <c r="H1104" s="42">
        <v>1.1671335200746966</v>
      </c>
      <c r="I1104" s="42">
        <v>1</v>
      </c>
      <c r="J1104" s="42">
        <v>1.1671335200746966</v>
      </c>
      <c r="K1104" s="42">
        <v>1</v>
      </c>
      <c r="L1104" s="42">
        <v>0.85680000000000001</v>
      </c>
      <c r="M1104">
        <v>1</v>
      </c>
    </row>
    <row r="1105" spans="3:13" x14ac:dyDescent="0.15">
      <c r="C1105" s="43">
        <v>1072</v>
      </c>
      <c r="D1105" s="42">
        <v>1072</v>
      </c>
      <c r="E1105" s="42">
        <v>0.85760000000000003</v>
      </c>
      <c r="F1105" s="42">
        <v>128</v>
      </c>
      <c r="G1105" s="42">
        <v>109.7728</v>
      </c>
      <c r="H1105" s="42">
        <v>1.166044776119403</v>
      </c>
      <c r="I1105" s="42">
        <v>1</v>
      </c>
      <c r="J1105" s="42">
        <v>1.166044776119403</v>
      </c>
      <c r="K1105" s="42">
        <v>1</v>
      </c>
      <c r="L1105" s="42">
        <v>0.85760000000000003</v>
      </c>
      <c r="M1105">
        <v>1</v>
      </c>
    </row>
    <row r="1106" spans="3:13" x14ac:dyDescent="0.15">
      <c r="C1106" s="43">
        <v>1073</v>
      </c>
      <c r="D1106" s="42">
        <v>1073</v>
      </c>
      <c r="E1106" s="42">
        <v>0.85840000000000005</v>
      </c>
      <c r="F1106" s="42">
        <v>128</v>
      </c>
      <c r="G1106" s="42">
        <v>109.87520000000001</v>
      </c>
      <c r="H1106" s="42">
        <v>1.1649580615097856</v>
      </c>
      <c r="I1106" s="42">
        <v>1</v>
      </c>
      <c r="J1106" s="42">
        <v>1.1649580615097856</v>
      </c>
      <c r="K1106" s="42">
        <v>1</v>
      </c>
      <c r="L1106" s="42">
        <v>0.85840000000000005</v>
      </c>
      <c r="M1106">
        <v>1</v>
      </c>
    </row>
    <row r="1107" spans="3:13" x14ac:dyDescent="0.15">
      <c r="C1107" s="43">
        <v>1074</v>
      </c>
      <c r="D1107" s="42">
        <v>1074</v>
      </c>
      <c r="E1107" s="42">
        <v>0.85919999999999996</v>
      </c>
      <c r="F1107" s="42">
        <v>128</v>
      </c>
      <c r="G1107" s="42">
        <v>109.97760000000001</v>
      </c>
      <c r="H1107" s="42">
        <v>1.1638733705772812</v>
      </c>
      <c r="I1107" s="42">
        <v>1</v>
      </c>
      <c r="J1107" s="42">
        <v>1.1638733705772812</v>
      </c>
      <c r="K1107" s="42">
        <v>1</v>
      </c>
      <c r="L1107" s="42">
        <v>0.85919999999999996</v>
      </c>
      <c r="M1107">
        <v>1</v>
      </c>
    </row>
    <row r="1108" spans="3:13" x14ac:dyDescent="0.15">
      <c r="C1108" s="43">
        <v>1075</v>
      </c>
      <c r="D1108" s="42">
        <v>1075</v>
      </c>
      <c r="E1108" s="42">
        <v>0.86</v>
      </c>
      <c r="F1108" s="42">
        <v>128</v>
      </c>
      <c r="G1108" s="42">
        <v>110.08</v>
      </c>
      <c r="H1108" s="42">
        <v>1.1627906976744187</v>
      </c>
      <c r="I1108" s="42">
        <v>1</v>
      </c>
      <c r="J1108" s="42">
        <v>1.1627906976744187</v>
      </c>
      <c r="K1108" s="42">
        <v>1</v>
      </c>
      <c r="L1108" s="42">
        <v>0.86</v>
      </c>
      <c r="M1108">
        <v>1</v>
      </c>
    </row>
    <row r="1109" spans="3:13" x14ac:dyDescent="0.15">
      <c r="C1109" s="43">
        <v>1076</v>
      </c>
      <c r="D1109" s="42">
        <v>1076</v>
      </c>
      <c r="E1109" s="42">
        <v>0.86080000000000001</v>
      </c>
      <c r="F1109" s="42">
        <v>128</v>
      </c>
      <c r="G1109" s="42">
        <v>110.1824</v>
      </c>
      <c r="H1109" s="42">
        <v>1.1617100371747211</v>
      </c>
      <c r="I1109" s="42">
        <v>1</v>
      </c>
      <c r="J1109" s="42">
        <v>1.1617100371747211</v>
      </c>
      <c r="K1109" s="42">
        <v>1</v>
      </c>
      <c r="L1109" s="42">
        <v>0.86080000000000001</v>
      </c>
      <c r="M1109">
        <v>1</v>
      </c>
    </row>
    <row r="1110" spans="3:13" x14ac:dyDescent="0.15">
      <c r="C1110" s="43">
        <v>1077</v>
      </c>
      <c r="D1110" s="42">
        <v>1077</v>
      </c>
      <c r="E1110" s="42">
        <v>0.86160000000000003</v>
      </c>
      <c r="F1110" s="42">
        <v>128</v>
      </c>
      <c r="G1110" s="42">
        <v>110.2848</v>
      </c>
      <c r="H1110" s="42">
        <v>1.160631383472609</v>
      </c>
      <c r="I1110" s="42">
        <v>1</v>
      </c>
      <c r="J1110" s="42">
        <v>1.160631383472609</v>
      </c>
      <c r="K1110" s="42">
        <v>1</v>
      </c>
      <c r="L1110" s="42">
        <v>0.86160000000000003</v>
      </c>
      <c r="M1110">
        <v>1</v>
      </c>
    </row>
    <row r="1111" spans="3:13" x14ac:dyDescent="0.15">
      <c r="C1111" s="43">
        <v>1078</v>
      </c>
      <c r="D1111" s="42">
        <v>1078</v>
      </c>
      <c r="E1111" s="42">
        <v>0.86240000000000006</v>
      </c>
      <c r="F1111" s="42">
        <v>128</v>
      </c>
      <c r="G1111" s="42">
        <v>110.38720000000001</v>
      </c>
      <c r="H1111" s="42">
        <v>1.1595547309833023</v>
      </c>
      <c r="I1111" s="42">
        <v>1</v>
      </c>
      <c r="J1111" s="42">
        <v>1.1595547309833023</v>
      </c>
      <c r="K1111" s="42">
        <v>1</v>
      </c>
      <c r="L1111" s="42">
        <v>0.86240000000000006</v>
      </c>
      <c r="M1111">
        <v>1</v>
      </c>
    </row>
    <row r="1112" spans="3:13" x14ac:dyDescent="0.15">
      <c r="C1112" s="43">
        <v>1079</v>
      </c>
      <c r="D1112" s="42">
        <v>1079</v>
      </c>
      <c r="E1112" s="42">
        <v>0.86319999999999997</v>
      </c>
      <c r="F1112" s="42">
        <v>128</v>
      </c>
      <c r="G1112" s="42">
        <v>110.48960000000001</v>
      </c>
      <c r="H1112" s="42">
        <v>1.1584800741427248</v>
      </c>
      <c r="I1112" s="42">
        <v>1</v>
      </c>
      <c r="J1112" s="42">
        <v>1.1584800741427248</v>
      </c>
      <c r="K1112" s="42">
        <v>1</v>
      </c>
      <c r="L1112" s="42">
        <v>0.86319999999999997</v>
      </c>
      <c r="M1112">
        <v>1</v>
      </c>
    </row>
    <row r="1113" spans="3:13" x14ac:dyDescent="0.15">
      <c r="C1113" s="43">
        <v>1080</v>
      </c>
      <c r="D1113" s="42">
        <v>1080</v>
      </c>
      <c r="E1113" s="42">
        <v>0.86399999999999999</v>
      </c>
      <c r="F1113" s="42">
        <v>128</v>
      </c>
      <c r="G1113" s="42">
        <v>110.592</v>
      </c>
      <c r="H1113" s="42">
        <v>1.1574074074074074</v>
      </c>
      <c r="I1113" s="42">
        <v>1</v>
      </c>
      <c r="J1113" s="42">
        <v>1.1574074074074074</v>
      </c>
      <c r="K1113" s="42">
        <v>1</v>
      </c>
      <c r="L1113" s="42">
        <v>0.86399999999999999</v>
      </c>
      <c r="M1113">
        <v>1</v>
      </c>
    </row>
    <row r="1114" spans="3:13" x14ac:dyDescent="0.15">
      <c r="C1114" s="43">
        <v>1081</v>
      </c>
      <c r="D1114" s="42">
        <v>1081</v>
      </c>
      <c r="E1114" s="42">
        <v>0.86480000000000001</v>
      </c>
      <c r="F1114" s="42">
        <v>128</v>
      </c>
      <c r="G1114" s="42">
        <v>110.6944</v>
      </c>
      <c r="H1114" s="42">
        <v>1.1563367252543941</v>
      </c>
      <c r="I1114" s="42">
        <v>1</v>
      </c>
      <c r="J1114" s="42">
        <v>1.1563367252543941</v>
      </c>
      <c r="K1114" s="42">
        <v>1</v>
      </c>
      <c r="L1114" s="42">
        <v>0.86480000000000001</v>
      </c>
      <c r="M1114">
        <v>1</v>
      </c>
    </row>
    <row r="1115" spans="3:13" x14ac:dyDescent="0.15">
      <c r="C1115" s="43">
        <v>1082</v>
      </c>
      <c r="D1115" s="42">
        <v>1082</v>
      </c>
      <c r="E1115" s="42">
        <v>0.86560000000000004</v>
      </c>
      <c r="F1115" s="42">
        <v>128</v>
      </c>
      <c r="G1115" s="42">
        <v>110.7968</v>
      </c>
      <c r="H1115" s="42">
        <v>1.155268022181146</v>
      </c>
      <c r="I1115" s="42">
        <v>1</v>
      </c>
      <c r="J1115" s="42">
        <v>1.155268022181146</v>
      </c>
      <c r="K1115" s="42">
        <v>1</v>
      </c>
      <c r="L1115" s="42">
        <v>0.86560000000000004</v>
      </c>
      <c r="M1115">
        <v>1</v>
      </c>
    </row>
    <row r="1116" spans="3:13" x14ac:dyDescent="0.15">
      <c r="C1116" s="43">
        <v>1083</v>
      </c>
      <c r="D1116" s="42">
        <v>1083</v>
      </c>
      <c r="E1116" s="42">
        <v>0.86639999999999995</v>
      </c>
      <c r="F1116" s="42">
        <v>128</v>
      </c>
      <c r="G1116" s="42">
        <v>110.89920000000001</v>
      </c>
      <c r="H1116" s="42">
        <v>1.1542012927054479</v>
      </c>
      <c r="I1116" s="42">
        <v>1</v>
      </c>
      <c r="J1116" s="42">
        <v>1.1542012927054479</v>
      </c>
      <c r="K1116" s="42">
        <v>1</v>
      </c>
      <c r="L1116" s="42">
        <v>0.86639999999999995</v>
      </c>
      <c r="M1116">
        <v>1</v>
      </c>
    </row>
    <row r="1117" spans="3:13" x14ac:dyDescent="0.15">
      <c r="C1117" s="43">
        <v>1084</v>
      </c>
      <c r="D1117" s="42">
        <v>1084</v>
      </c>
      <c r="E1117" s="42">
        <v>0.86719999999999997</v>
      </c>
      <c r="F1117" s="42">
        <v>128</v>
      </c>
      <c r="G1117" s="42">
        <v>111.00160000000001</v>
      </c>
      <c r="H1117" s="42">
        <v>1.1531365313653137</v>
      </c>
      <c r="I1117" s="42">
        <v>1</v>
      </c>
      <c r="J1117" s="42">
        <v>1.1531365313653137</v>
      </c>
      <c r="K1117" s="42">
        <v>1</v>
      </c>
      <c r="L1117" s="42">
        <v>0.86719999999999997</v>
      </c>
      <c r="M1117">
        <v>1</v>
      </c>
    </row>
    <row r="1118" spans="3:13" x14ac:dyDescent="0.15">
      <c r="C1118" s="43">
        <v>1085</v>
      </c>
      <c r="D1118" s="42">
        <v>1085</v>
      </c>
      <c r="E1118" s="42">
        <v>0.86799999999999999</v>
      </c>
      <c r="F1118" s="42">
        <v>128</v>
      </c>
      <c r="G1118" s="42">
        <v>111.104</v>
      </c>
      <c r="H1118" s="42">
        <v>1.1520737327188941</v>
      </c>
      <c r="I1118" s="42">
        <v>1</v>
      </c>
      <c r="J1118" s="42">
        <v>1.1520737327188941</v>
      </c>
      <c r="K1118" s="42">
        <v>1</v>
      </c>
      <c r="L1118" s="42">
        <v>0.86799999999999999</v>
      </c>
      <c r="M1118">
        <v>1</v>
      </c>
    </row>
    <row r="1119" spans="3:13" x14ac:dyDescent="0.15">
      <c r="C1119" s="43">
        <v>1086</v>
      </c>
      <c r="D1119" s="42">
        <v>1086</v>
      </c>
      <c r="E1119" s="42">
        <v>0.86880000000000002</v>
      </c>
      <c r="F1119" s="42">
        <v>128</v>
      </c>
      <c r="G1119" s="42">
        <v>111.2064</v>
      </c>
      <c r="H1119" s="42">
        <v>1.1510128913443831</v>
      </c>
      <c r="I1119" s="42">
        <v>1</v>
      </c>
      <c r="J1119" s="42">
        <v>1.1510128913443831</v>
      </c>
      <c r="K1119" s="42">
        <v>1</v>
      </c>
      <c r="L1119" s="42">
        <v>0.86880000000000002</v>
      </c>
      <c r="M1119">
        <v>1</v>
      </c>
    </row>
    <row r="1120" spans="3:13" x14ac:dyDescent="0.15">
      <c r="C1120" s="43">
        <v>1087</v>
      </c>
      <c r="D1120" s="42">
        <v>1087</v>
      </c>
      <c r="E1120" s="42">
        <v>0.86960000000000004</v>
      </c>
      <c r="F1120" s="42">
        <v>128</v>
      </c>
      <c r="G1120" s="42">
        <v>111.30880000000001</v>
      </c>
      <c r="H1120" s="42">
        <v>1.1499540018399264</v>
      </c>
      <c r="I1120" s="42">
        <v>1</v>
      </c>
      <c r="J1120" s="42">
        <v>1.1499540018399264</v>
      </c>
      <c r="K1120" s="42">
        <v>1</v>
      </c>
      <c r="L1120" s="42">
        <v>0.86960000000000004</v>
      </c>
      <c r="M1120">
        <v>1</v>
      </c>
    </row>
    <row r="1121" spans="3:13" x14ac:dyDescent="0.15">
      <c r="C1121" s="43">
        <v>1088</v>
      </c>
      <c r="D1121" s="42">
        <v>1088</v>
      </c>
      <c r="E1121" s="42">
        <v>0.87039999999999995</v>
      </c>
      <c r="F1121" s="42">
        <v>128</v>
      </c>
      <c r="G1121" s="42">
        <v>111.41120000000001</v>
      </c>
      <c r="H1121" s="42">
        <v>1.1488970588235294</v>
      </c>
      <c r="I1121" s="42">
        <v>1</v>
      </c>
      <c r="J1121" s="42">
        <v>1.1488970588235294</v>
      </c>
      <c r="K1121" s="42">
        <v>1</v>
      </c>
      <c r="L1121" s="42">
        <v>0.87039999999999995</v>
      </c>
      <c r="M1121">
        <v>1</v>
      </c>
    </row>
    <row r="1122" spans="3:13" x14ac:dyDescent="0.15">
      <c r="C1122" s="43">
        <v>1089</v>
      </c>
      <c r="D1122" s="42">
        <v>1089</v>
      </c>
      <c r="E1122" s="42">
        <v>0.87119999999999997</v>
      </c>
      <c r="F1122" s="42">
        <v>128</v>
      </c>
      <c r="G1122" s="42">
        <v>111.51360000000001</v>
      </c>
      <c r="H1122" s="42">
        <v>1.1478420569329661</v>
      </c>
      <c r="I1122" s="42">
        <v>1</v>
      </c>
      <c r="J1122" s="42">
        <v>1.1478420569329661</v>
      </c>
      <c r="K1122" s="42">
        <v>1</v>
      </c>
      <c r="L1122" s="42">
        <v>0.87119999999999997</v>
      </c>
      <c r="M1122">
        <v>1</v>
      </c>
    </row>
    <row r="1123" spans="3:13" x14ac:dyDescent="0.15">
      <c r="C1123" s="43">
        <v>1090</v>
      </c>
      <c r="D1123" s="42">
        <v>1090</v>
      </c>
      <c r="E1123" s="42">
        <v>0.872</v>
      </c>
      <c r="F1123" s="42">
        <v>128</v>
      </c>
      <c r="G1123" s="42">
        <v>111.616</v>
      </c>
      <c r="H1123" s="42">
        <v>1.1467889908256881</v>
      </c>
      <c r="I1123" s="42">
        <v>1</v>
      </c>
      <c r="J1123" s="42">
        <v>1.1467889908256881</v>
      </c>
      <c r="K1123" s="42">
        <v>1</v>
      </c>
      <c r="L1123" s="42">
        <v>0.872</v>
      </c>
      <c r="M1123">
        <v>1</v>
      </c>
    </row>
    <row r="1124" spans="3:13" x14ac:dyDescent="0.15">
      <c r="C1124" s="43">
        <v>1091</v>
      </c>
      <c r="D1124" s="42">
        <v>1091</v>
      </c>
      <c r="E1124" s="42">
        <v>0.87280000000000002</v>
      </c>
      <c r="F1124" s="42">
        <v>128</v>
      </c>
      <c r="G1124" s="42">
        <v>111.7184</v>
      </c>
      <c r="H1124" s="42">
        <v>1.1457378551787352</v>
      </c>
      <c r="I1124" s="42">
        <v>1</v>
      </c>
      <c r="J1124" s="42">
        <v>1.1457378551787352</v>
      </c>
      <c r="K1124" s="42">
        <v>1</v>
      </c>
      <c r="L1124" s="42">
        <v>0.87280000000000002</v>
      </c>
      <c r="M1124">
        <v>1</v>
      </c>
    </row>
    <row r="1125" spans="3:13" x14ac:dyDescent="0.15">
      <c r="C1125" s="43">
        <v>1092</v>
      </c>
      <c r="D1125" s="42">
        <v>1092</v>
      </c>
      <c r="E1125" s="42">
        <v>0.87360000000000004</v>
      </c>
      <c r="F1125" s="42">
        <v>128</v>
      </c>
      <c r="G1125" s="42">
        <v>111.82080000000001</v>
      </c>
      <c r="H1125" s="42">
        <v>1.1446886446886446</v>
      </c>
      <c r="I1125" s="42">
        <v>1</v>
      </c>
      <c r="J1125" s="42">
        <v>1.1446886446886446</v>
      </c>
      <c r="K1125" s="42">
        <v>1</v>
      </c>
      <c r="L1125" s="42">
        <v>0.87360000000000004</v>
      </c>
      <c r="M1125">
        <v>1</v>
      </c>
    </row>
    <row r="1126" spans="3:13" x14ac:dyDescent="0.15">
      <c r="C1126" s="43">
        <v>1093</v>
      </c>
      <c r="D1126" s="42">
        <v>1093</v>
      </c>
      <c r="E1126" s="42">
        <v>0.87439999999999996</v>
      </c>
      <c r="F1126" s="42">
        <v>128</v>
      </c>
      <c r="G1126" s="42">
        <v>111.92320000000001</v>
      </c>
      <c r="H1126" s="42">
        <v>1.1436413540713632</v>
      </c>
      <c r="I1126" s="42">
        <v>1</v>
      </c>
      <c r="J1126" s="42">
        <v>1.1436413540713632</v>
      </c>
      <c r="K1126" s="42">
        <v>1</v>
      </c>
      <c r="L1126" s="42">
        <v>0.87439999999999996</v>
      </c>
      <c r="M1126">
        <v>1</v>
      </c>
    </row>
    <row r="1127" spans="3:13" x14ac:dyDescent="0.15">
      <c r="C1127" s="43">
        <v>1094</v>
      </c>
      <c r="D1127" s="42">
        <v>1094</v>
      </c>
      <c r="E1127" s="42">
        <v>0.87519999999999998</v>
      </c>
      <c r="F1127" s="42">
        <v>128</v>
      </c>
      <c r="G1127" s="42">
        <v>112.02560000000001</v>
      </c>
      <c r="H1127" s="42">
        <v>1.1425959780621573</v>
      </c>
      <c r="I1127" s="42">
        <v>1</v>
      </c>
      <c r="J1127" s="42">
        <v>1.1425959780621573</v>
      </c>
      <c r="K1127" s="42">
        <v>1</v>
      </c>
      <c r="L1127" s="42">
        <v>0.87519999999999998</v>
      </c>
      <c r="M1127">
        <v>1</v>
      </c>
    </row>
    <row r="1128" spans="3:13" x14ac:dyDescent="0.15">
      <c r="C1128" s="43">
        <v>1095</v>
      </c>
      <c r="D1128" s="42">
        <v>1095</v>
      </c>
      <c r="E1128" s="42">
        <v>0.876</v>
      </c>
      <c r="F1128" s="42">
        <v>128</v>
      </c>
      <c r="G1128" s="42">
        <v>112.128</v>
      </c>
      <c r="H1128" s="42">
        <v>1.1415525114155252</v>
      </c>
      <c r="I1128" s="42">
        <v>1</v>
      </c>
      <c r="J1128" s="42">
        <v>1.1415525114155252</v>
      </c>
      <c r="K1128" s="42">
        <v>1</v>
      </c>
      <c r="L1128" s="42">
        <v>0.876</v>
      </c>
      <c r="M1128">
        <v>1</v>
      </c>
    </row>
    <row r="1129" spans="3:13" x14ac:dyDescent="0.15">
      <c r="C1129" s="43">
        <v>1096</v>
      </c>
      <c r="D1129" s="42">
        <v>1096</v>
      </c>
      <c r="E1129" s="42">
        <v>0.87680000000000002</v>
      </c>
      <c r="F1129" s="42">
        <v>128</v>
      </c>
      <c r="G1129" s="42">
        <v>112.2304</v>
      </c>
      <c r="H1129" s="42">
        <v>1.1405109489051095</v>
      </c>
      <c r="I1129" s="42">
        <v>1</v>
      </c>
      <c r="J1129" s="42">
        <v>1.1405109489051095</v>
      </c>
      <c r="K1129" s="42">
        <v>1</v>
      </c>
      <c r="L1129" s="42">
        <v>0.87680000000000002</v>
      </c>
      <c r="M1129">
        <v>1</v>
      </c>
    </row>
    <row r="1130" spans="3:13" x14ac:dyDescent="0.15">
      <c r="C1130" s="43">
        <v>1097</v>
      </c>
      <c r="D1130" s="42">
        <v>1097</v>
      </c>
      <c r="E1130" s="42">
        <v>0.87760000000000005</v>
      </c>
      <c r="F1130" s="42">
        <v>128</v>
      </c>
      <c r="G1130" s="42">
        <v>112.33280000000001</v>
      </c>
      <c r="H1130" s="42">
        <v>1.1394712853236098</v>
      </c>
      <c r="I1130" s="42">
        <v>1</v>
      </c>
      <c r="J1130" s="42">
        <v>1.1394712853236098</v>
      </c>
      <c r="K1130" s="42">
        <v>1</v>
      </c>
      <c r="L1130" s="42">
        <v>0.87760000000000005</v>
      </c>
      <c r="M1130">
        <v>1</v>
      </c>
    </row>
    <row r="1131" spans="3:13" x14ac:dyDescent="0.15">
      <c r="C1131" s="43">
        <v>1098</v>
      </c>
      <c r="D1131" s="42">
        <v>1098</v>
      </c>
      <c r="E1131" s="42">
        <v>0.87839999999999996</v>
      </c>
      <c r="F1131" s="42">
        <v>128</v>
      </c>
      <c r="G1131" s="42">
        <v>112.43520000000001</v>
      </c>
      <c r="H1131" s="42">
        <v>1.1384335154826959</v>
      </c>
      <c r="I1131" s="42">
        <v>1</v>
      </c>
      <c r="J1131" s="42">
        <v>1.1384335154826959</v>
      </c>
      <c r="K1131" s="42">
        <v>1</v>
      </c>
      <c r="L1131" s="42">
        <v>0.87839999999999996</v>
      </c>
      <c r="M1131">
        <v>1</v>
      </c>
    </row>
    <row r="1132" spans="3:13" x14ac:dyDescent="0.15">
      <c r="C1132" s="43">
        <v>1099</v>
      </c>
      <c r="D1132" s="42">
        <v>1099</v>
      </c>
      <c r="E1132" s="42">
        <v>0.87919999999999998</v>
      </c>
      <c r="F1132" s="42">
        <v>128</v>
      </c>
      <c r="G1132" s="42">
        <v>112.53760000000001</v>
      </c>
      <c r="H1132" s="42">
        <v>1.1373976342129208</v>
      </c>
      <c r="I1132" s="42">
        <v>1</v>
      </c>
      <c r="J1132" s="42">
        <v>1.1373976342129208</v>
      </c>
      <c r="K1132" s="42">
        <v>1</v>
      </c>
      <c r="L1132" s="42">
        <v>0.87919999999999998</v>
      </c>
      <c r="M1132">
        <v>1</v>
      </c>
    </row>
    <row r="1133" spans="3:13" x14ac:dyDescent="0.15">
      <c r="C1133" s="43">
        <v>1100</v>
      </c>
      <c r="D1133" s="42">
        <v>1100</v>
      </c>
      <c r="E1133" s="42">
        <v>0.88</v>
      </c>
      <c r="F1133" s="42">
        <v>128</v>
      </c>
      <c r="G1133" s="42">
        <v>112.64</v>
      </c>
      <c r="H1133" s="42">
        <v>1.1363636363636365</v>
      </c>
      <c r="I1133" s="42">
        <v>1</v>
      </c>
      <c r="J1133" s="42">
        <v>1.1363636363636365</v>
      </c>
      <c r="K1133" s="42">
        <v>1</v>
      </c>
      <c r="L1133" s="42">
        <v>0.88</v>
      </c>
      <c r="M1133">
        <v>1</v>
      </c>
    </row>
    <row r="1134" spans="3:13" x14ac:dyDescent="0.15">
      <c r="C1134" s="43">
        <v>1101</v>
      </c>
      <c r="D1134" s="42">
        <v>1101</v>
      </c>
      <c r="E1134" s="42">
        <v>0.88080000000000003</v>
      </c>
      <c r="F1134" s="42">
        <v>128</v>
      </c>
      <c r="G1134" s="42">
        <v>112.7424</v>
      </c>
      <c r="H1134" s="42">
        <v>1.1353315168029063</v>
      </c>
      <c r="I1134" s="42">
        <v>1</v>
      </c>
      <c r="J1134" s="42">
        <v>1.1353315168029063</v>
      </c>
      <c r="K1134" s="42">
        <v>1</v>
      </c>
      <c r="L1134" s="42">
        <v>0.88080000000000003</v>
      </c>
      <c r="M1134">
        <v>1</v>
      </c>
    </row>
    <row r="1135" spans="3:13" x14ac:dyDescent="0.15">
      <c r="C1135" s="43">
        <v>1102</v>
      </c>
      <c r="D1135" s="42">
        <v>1102</v>
      </c>
      <c r="E1135" s="42">
        <v>0.88160000000000005</v>
      </c>
      <c r="F1135" s="42">
        <v>128</v>
      </c>
      <c r="G1135" s="42">
        <v>112.84480000000001</v>
      </c>
      <c r="H1135" s="42">
        <v>1.1343012704174229</v>
      </c>
      <c r="I1135" s="42">
        <v>1</v>
      </c>
      <c r="J1135" s="42">
        <v>1.1343012704174229</v>
      </c>
      <c r="K1135" s="42">
        <v>1</v>
      </c>
      <c r="L1135" s="42">
        <v>0.88160000000000005</v>
      </c>
      <c r="M1135">
        <v>1</v>
      </c>
    </row>
    <row r="1136" spans="3:13" x14ac:dyDescent="0.15">
      <c r="C1136" s="43">
        <v>1103</v>
      </c>
      <c r="D1136" s="42">
        <v>1103</v>
      </c>
      <c r="E1136" s="42">
        <v>0.88239999999999996</v>
      </c>
      <c r="F1136" s="42">
        <v>128</v>
      </c>
      <c r="G1136" s="42">
        <v>112.94720000000001</v>
      </c>
      <c r="H1136" s="42">
        <v>1.1332728921124207</v>
      </c>
      <c r="I1136" s="42">
        <v>1</v>
      </c>
      <c r="J1136" s="42">
        <v>1.1332728921124207</v>
      </c>
      <c r="K1136" s="42">
        <v>1</v>
      </c>
      <c r="L1136" s="42">
        <v>0.88239999999999996</v>
      </c>
      <c r="M1136">
        <v>1</v>
      </c>
    </row>
    <row r="1137" spans="3:13" x14ac:dyDescent="0.15">
      <c r="C1137" s="43">
        <v>1104</v>
      </c>
      <c r="D1137" s="42">
        <v>1104</v>
      </c>
      <c r="E1137" s="42">
        <v>0.88319999999999999</v>
      </c>
      <c r="F1137" s="42">
        <v>128</v>
      </c>
      <c r="G1137" s="42">
        <v>113.04960000000001</v>
      </c>
      <c r="H1137" s="42">
        <v>1.1322463768115942</v>
      </c>
      <c r="I1137" s="42">
        <v>1</v>
      </c>
      <c r="J1137" s="42">
        <v>1.1322463768115942</v>
      </c>
      <c r="K1137" s="42">
        <v>1</v>
      </c>
      <c r="L1137" s="42">
        <v>0.88319999999999999</v>
      </c>
      <c r="M1137">
        <v>1</v>
      </c>
    </row>
    <row r="1138" spans="3:13" x14ac:dyDescent="0.15">
      <c r="C1138" s="43">
        <v>1105</v>
      </c>
      <c r="D1138" s="42">
        <v>1105</v>
      </c>
      <c r="E1138" s="42">
        <v>0.88400000000000001</v>
      </c>
      <c r="F1138" s="42">
        <v>128</v>
      </c>
      <c r="G1138" s="42">
        <v>113.152</v>
      </c>
      <c r="H1138" s="42">
        <v>1.1312217194570136</v>
      </c>
      <c r="I1138" s="42">
        <v>1</v>
      </c>
      <c r="J1138" s="42">
        <v>1.1312217194570136</v>
      </c>
      <c r="K1138" s="42">
        <v>1</v>
      </c>
      <c r="L1138" s="42">
        <v>0.88400000000000001</v>
      </c>
      <c r="M1138">
        <v>1</v>
      </c>
    </row>
    <row r="1139" spans="3:13" x14ac:dyDescent="0.15">
      <c r="C1139" s="43">
        <v>1106</v>
      </c>
      <c r="D1139" s="42">
        <v>1106</v>
      </c>
      <c r="E1139" s="42">
        <v>0.88480000000000003</v>
      </c>
      <c r="F1139" s="42">
        <v>128</v>
      </c>
      <c r="G1139" s="42">
        <v>113.2544</v>
      </c>
      <c r="H1139" s="42">
        <v>1.1301989150090415</v>
      </c>
      <c r="I1139" s="42">
        <v>1</v>
      </c>
      <c r="J1139" s="42">
        <v>1.1301989150090415</v>
      </c>
      <c r="K1139" s="42">
        <v>1</v>
      </c>
      <c r="L1139" s="42">
        <v>0.88480000000000003</v>
      </c>
      <c r="M1139">
        <v>1</v>
      </c>
    </row>
    <row r="1140" spans="3:13" x14ac:dyDescent="0.15">
      <c r="C1140" s="43">
        <v>1107</v>
      </c>
      <c r="D1140" s="42">
        <v>1107</v>
      </c>
      <c r="E1140" s="42">
        <v>0.88560000000000005</v>
      </c>
      <c r="F1140" s="42">
        <v>128</v>
      </c>
      <c r="G1140" s="42">
        <v>113.35680000000001</v>
      </c>
      <c r="H1140" s="42">
        <v>1.1291779584462511</v>
      </c>
      <c r="I1140" s="42">
        <v>1</v>
      </c>
      <c r="J1140" s="42">
        <v>1.1291779584462511</v>
      </c>
      <c r="K1140" s="42">
        <v>1</v>
      </c>
      <c r="L1140" s="42">
        <v>0.88560000000000005</v>
      </c>
      <c r="M1140">
        <v>1</v>
      </c>
    </row>
    <row r="1141" spans="3:13" x14ac:dyDescent="0.15">
      <c r="C1141" s="43">
        <v>1108</v>
      </c>
      <c r="D1141" s="42">
        <v>1108</v>
      </c>
      <c r="E1141" s="42">
        <v>0.88639999999999997</v>
      </c>
      <c r="F1141" s="42">
        <v>128</v>
      </c>
      <c r="G1141" s="42">
        <v>113.45920000000001</v>
      </c>
      <c r="H1141" s="42">
        <v>1.128158844765343</v>
      </c>
      <c r="I1141" s="42">
        <v>1</v>
      </c>
      <c r="J1141" s="42">
        <v>1.128158844765343</v>
      </c>
      <c r="K1141" s="42">
        <v>1</v>
      </c>
      <c r="L1141" s="42">
        <v>0.88639999999999997</v>
      </c>
      <c r="M1141">
        <v>1</v>
      </c>
    </row>
    <row r="1142" spans="3:13" x14ac:dyDescent="0.15">
      <c r="C1142" s="43">
        <v>1109</v>
      </c>
      <c r="D1142" s="42">
        <v>1109</v>
      </c>
      <c r="E1142" s="42">
        <v>0.88719999999999999</v>
      </c>
      <c r="F1142" s="42">
        <v>128</v>
      </c>
      <c r="G1142" s="42">
        <v>113.5616</v>
      </c>
      <c r="H1142" s="42">
        <v>1.127141568981064</v>
      </c>
      <c r="I1142" s="42">
        <v>1</v>
      </c>
      <c r="J1142" s="42">
        <v>1.127141568981064</v>
      </c>
      <c r="K1142" s="42">
        <v>1</v>
      </c>
      <c r="L1142" s="42">
        <v>0.88719999999999999</v>
      </c>
      <c r="M1142">
        <v>1</v>
      </c>
    </row>
    <row r="1143" spans="3:13" x14ac:dyDescent="0.15">
      <c r="C1143" s="43">
        <v>1110</v>
      </c>
      <c r="D1143" s="42">
        <v>1110</v>
      </c>
      <c r="E1143" s="42">
        <v>0.88800000000000001</v>
      </c>
      <c r="F1143" s="42">
        <v>128</v>
      </c>
      <c r="G1143" s="42">
        <v>113.664</v>
      </c>
      <c r="H1143" s="42">
        <v>1.1261261261261262</v>
      </c>
      <c r="I1143" s="42">
        <v>1</v>
      </c>
      <c r="J1143" s="42">
        <v>1.1261261261261262</v>
      </c>
      <c r="K1143" s="42">
        <v>1</v>
      </c>
      <c r="L1143" s="42">
        <v>0.88800000000000001</v>
      </c>
      <c r="M1143">
        <v>1</v>
      </c>
    </row>
    <row r="1144" spans="3:13" x14ac:dyDescent="0.15">
      <c r="C1144" s="43">
        <v>1111</v>
      </c>
      <c r="D1144" s="42">
        <v>1111</v>
      </c>
      <c r="E1144" s="42">
        <v>0.88880000000000003</v>
      </c>
      <c r="F1144" s="42">
        <v>128</v>
      </c>
      <c r="G1144" s="42">
        <v>113.7664</v>
      </c>
      <c r="H1144" s="42">
        <v>1.1251125112511251</v>
      </c>
      <c r="I1144" s="42">
        <v>1</v>
      </c>
      <c r="J1144" s="42">
        <v>1.1251125112511251</v>
      </c>
      <c r="K1144" s="42">
        <v>1</v>
      </c>
      <c r="L1144" s="42">
        <v>0.88880000000000003</v>
      </c>
      <c r="M1144">
        <v>1</v>
      </c>
    </row>
    <row r="1145" spans="3:13" x14ac:dyDescent="0.15">
      <c r="C1145" s="43">
        <v>1112</v>
      </c>
      <c r="D1145" s="42">
        <v>1112</v>
      </c>
      <c r="E1145" s="42">
        <v>0.88959999999999995</v>
      </c>
      <c r="F1145" s="42">
        <v>128</v>
      </c>
      <c r="G1145" s="42">
        <v>113.86880000000001</v>
      </c>
      <c r="H1145" s="42">
        <v>1.1241007194244605</v>
      </c>
      <c r="I1145" s="42">
        <v>1</v>
      </c>
      <c r="J1145" s="42">
        <v>1.1241007194244605</v>
      </c>
      <c r="K1145" s="42">
        <v>1</v>
      </c>
      <c r="L1145" s="42">
        <v>0.88959999999999995</v>
      </c>
      <c r="M1145">
        <v>1</v>
      </c>
    </row>
    <row r="1146" spans="3:13" x14ac:dyDescent="0.15">
      <c r="C1146" s="43">
        <v>1113</v>
      </c>
      <c r="D1146" s="42">
        <v>1113</v>
      </c>
      <c r="E1146" s="42">
        <v>0.89039999999999997</v>
      </c>
      <c r="F1146" s="42">
        <v>128</v>
      </c>
      <c r="G1146" s="42">
        <v>113.97120000000001</v>
      </c>
      <c r="H1146" s="42">
        <v>1.1230907457322552</v>
      </c>
      <c r="I1146" s="42">
        <v>1</v>
      </c>
      <c r="J1146" s="42">
        <v>1.1230907457322552</v>
      </c>
      <c r="K1146" s="42">
        <v>1</v>
      </c>
      <c r="L1146" s="42">
        <v>0.89039999999999997</v>
      </c>
      <c r="M1146">
        <v>1</v>
      </c>
    </row>
    <row r="1147" spans="3:13" x14ac:dyDescent="0.15">
      <c r="C1147" s="43">
        <v>1114</v>
      </c>
      <c r="D1147" s="42">
        <v>1114</v>
      </c>
      <c r="E1147" s="42">
        <v>0.89119999999999999</v>
      </c>
      <c r="F1147" s="42">
        <v>128</v>
      </c>
      <c r="G1147" s="42">
        <v>114.0736</v>
      </c>
      <c r="H1147" s="42">
        <v>1.1220825852782765</v>
      </c>
      <c r="I1147" s="42">
        <v>1</v>
      </c>
      <c r="J1147" s="42">
        <v>1.1220825852782765</v>
      </c>
      <c r="K1147" s="42">
        <v>1</v>
      </c>
      <c r="L1147" s="42">
        <v>0.89119999999999999</v>
      </c>
      <c r="M1147">
        <v>1</v>
      </c>
    </row>
    <row r="1148" spans="3:13" x14ac:dyDescent="0.15">
      <c r="C1148" s="43">
        <v>1115</v>
      </c>
      <c r="D1148" s="42">
        <v>1115</v>
      </c>
      <c r="E1148" s="42">
        <v>0.89200000000000002</v>
      </c>
      <c r="F1148" s="42">
        <v>128</v>
      </c>
      <c r="G1148" s="42">
        <v>114.176</v>
      </c>
      <c r="H1148" s="42">
        <v>1.1210762331838564</v>
      </c>
      <c r="I1148" s="42">
        <v>1</v>
      </c>
      <c r="J1148" s="42">
        <v>1.1210762331838564</v>
      </c>
      <c r="K1148" s="42">
        <v>1</v>
      </c>
      <c r="L1148" s="42">
        <v>0.89200000000000002</v>
      </c>
      <c r="M1148">
        <v>1</v>
      </c>
    </row>
    <row r="1149" spans="3:13" x14ac:dyDescent="0.15">
      <c r="C1149" s="43">
        <v>1116</v>
      </c>
      <c r="D1149" s="42">
        <v>1116</v>
      </c>
      <c r="E1149" s="42">
        <v>0.89280000000000004</v>
      </c>
      <c r="F1149" s="42">
        <v>128</v>
      </c>
      <c r="G1149" s="42">
        <v>114.2784</v>
      </c>
      <c r="H1149" s="42">
        <v>1.1200716845878136</v>
      </c>
      <c r="I1149" s="42">
        <v>1</v>
      </c>
      <c r="J1149" s="42">
        <v>1.1200716845878136</v>
      </c>
      <c r="K1149" s="42">
        <v>1</v>
      </c>
      <c r="L1149" s="42">
        <v>0.89280000000000004</v>
      </c>
      <c r="M1149">
        <v>1</v>
      </c>
    </row>
    <row r="1150" spans="3:13" x14ac:dyDescent="0.15">
      <c r="C1150" s="43">
        <v>1117</v>
      </c>
      <c r="D1150" s="42">
        <v>1117</v>
      </c>
      <c r="E1150" s="42">
        <v>0.89359999999999995</v>
      </c>
      <c r="F1150" s="42">
        <v>128</v>
      </c>
      <c r="G1150" s="42">
        <v>114.38080000000001</v>
      </c>
      <c r="H1150" s="42">
        <v>1.1190689346463742</v>
      </c>
      <c r="I1150" s="42">
        <v>1</v>
      </c>
      <c r="J1150" s="42">
        <v>1.1190689346463742</v>
      </c>
      <c r="K1150" s="42">
        <v>1</v>
      </c>
      <c r="L1150" s="42">
        <v>0.89359999999999995</v>
      </c>
      <c r="M1150">
        <v>1</v>
      </c>
    </row>
    <row r="1151" spans="3:13" x14ac:dyDescent="0.15">
      <c r="C1151" s="43">
        <v>1118</v>
      </c>
      <c r="D1151" s="42">
        <v>1118</v>
      </c>
      <c r="E1151" s="42">
        <v>0.89439999999999997</v>
      </c>
      <c r="F1151" s="42">
        <v>128</v>
      </c>
      <c r="G1151" s="42">
        <v>114.48320000000001</v>
      </c>
      <c r="H1151" s="42">
        <v>1.1180679785330949</v>
      </c>
      <c r="I1151" s="42">
        <v>1</v>
      </c>
      <c r="J1151" s="42">
        <v>1.1180679785330949</v>
      </c>
      <c r="K1151" s="42">
        <v>1</v>
      </c>
      <c r="L1151" s="42">
        <v>0.89439999999999997</v>
      </c>
      <c r="M1151">
        <v>1</v>
      </c>
    </row>
    <row r="1152" spans="3:13" x14ac:dyDescent="0.15">
      <c r="C1152" s="43">
        <v>1119</v>
      </c>
      <c r="D1152" s="42">
        <v>1119</v>
      </c>
      <c r="E1152" s="42">
        <v>0.8952</v>
      </c>
      <c r="F1152" s="42">
        <v>128</v>
      </c>
      <c r="G1152" s="42">
        <v>114.5856</v>
      </c>
      <c r="H1152" s="42">
        <v>1.1170688114387846</v>
      </c>
      <c r="I1152" s="42">
        <v>1</v>
      </c>
      <c r="J1152" s="42">
        <v>1.1170688114387846</v>
      </c>
      <c r="K1152" s="42">
        <v>1</v>
      </c>
      <c r="L1152" s="42">
        <v>0.8952</v>
      </c>
      <c r="M1152">
        <v>1</v>
      </c>
    </row>
    <row r="1153" spans="3:13" x14ac:dyDescent="0.15">
      <c r="C1153" s="43">
        <v>1120</v>
      </c>
      <c r="D1153" s="42">
        <v>1120</v>
      </c>
      <c r="E1153" s="42">
        <v>0.89600000000000002</v>
      </c>
      <c r="F1153" s="42">
        <v>128</v>
      </c>
      <c r="G1153" s="42">
        <v>114.688</v>
      </c>
      <c r="H1153" s="42">
        <v>1.1160714285714286</v>
      </c>
      <c r="I1153" s="42">
        <v>1</v>
      </c>
      <c r="J1153" s="42">
        <v>1.1160714285714286</v>
      </c>
      <c r="K1153" s="42">
        <v>1</v>
      </c>
      <c r="L1153" s="42">
        <v>0.89600000000000002</v>
      </c>
      <c r="M1153">
        <v>1</v>
      </c>
    </row>
    <row r="1154" spans="3:13" x14ac:dyDescent="0.15">
      <c r="C1154" s="43">
        <v>1121</v>
      </c>
      <c r="D1154" s="42">
        <v>1121</v>
      </c>
      <c r="E1154" s="42">
        <v>0.89680000000000004</v>
      </c>
      <c r="F1154" s="42">
        <v>128</v>
      </c>
      <c r="G1154" s="42">
        <v>114.79040000000001</v>
      </c>
      <c r="H1154" s="42">
        <v>1.1150758251561106</v>
      </c>
      <c r="I1154" s="42">
        <v>1</v>
      </c>
      <c r="J1154" s="42">
        <v>1.1150758251561106</v>
      </c>
      <c r="K1154" s="42">
        <v>1</v>
      </c>
      <c r="L1154" s="42">
        <v>0.89680000000000004</v>
      </c>
      <c r="M1154">
        <v>1</v>
      </c>
    </row>
    <row r="1155" spans="3:13" x14ac:dyDescent="0.15">
      <c r="C1155" s="43">
        <v>1122</v>
      </c>
      <c r="D1155" s="42">
        <v>1122</v>
      </c>
      <c r="E1155" s="42">
        <v>0.89759999999999995</v>
      </c>
      <c r="F1155" s="42">
        <v>128</v>
      </c>
      <c r="G1155" s="42">
        <v>114.89280000000001</v>
      </c>
      <c r="H1155" s="42">
        <v>1.1140819964349378</v>
      </c>
      <c r="I1155" s="42">
        <v>1</v>
      </c>
      <c r="J1155" s="42">
        <v>1.1140819964349378</v>
      </c>
      <c r="K1155" s="42">
        <v>1</v>
      </c>
      <c r="L1155" s="42">
        <v>0.89759999999999995</v>
      </c>
      <c r="M1155">
        <v>1</v>
      </c>
    </row>
    <row r="1156" spans="3:13" x14ac:dyDescent="0.15">
      <c r="C1156" s="43">
        <v>1123</v>
      </c>
      <c r="D1156" s="42">
        <v>1123</v>
      </c>
      <c r="E1156" s="42">
        <v>0.89839999999999998</v>
      </c>
      <c r="F1156" s="42">
        <v>128</v>
      </c>
      <c r="G1156" s="42">
        <v>114.99520000000001</v>
      </c>
      <c r="H1156" s="42">
        <v>1.1130899376669636</v>
      </c>
      <c r="I1156" s="42">
        <v>1</v>
      </c>
      <c r="J1156" s="42">
        <v>1.1130899376669636</v>
      </c>
      <c r="K1156" s="42">
        <v>1</v>
      </c>
      <c r="L1156" s="42">
        <v>0.89839999999999998</v>
      </c>
      <c r="M1156">
        <v>1</v>
      </c>
    </row>
    <row r="1157" spans="3:13" x14ac:dyDescent="0.15">
      <c r="C1157" s="43">
        <v>1124</v>
      </c>
      <c r="D1157" s="42">
        <v>1124</v>
      </c>
      <c r="E1157" s="42">
        <v>0.8992</v>
      </c>
      <c r="F1157" s="42">
        <v>128</v>
      </c>
      <c r="G1157" s="42">
        <v>115.0976</v>
      </c>
      <c r="H1157" s="42">
        <v>1.1120996441281139</v>
      </c>
      <c r="I1157" s="42">
        <v>1</v>
      </c>
      <c r="J1157" s="42">
        <v>1.1120996441281139</v>
      </c>
      <c r="K1157" s="42">
        <v>1</v>
      </c>
      <c r="L1157" s="42">
        <v>0.8992</v>
      </c>
      <c r="M1157">
        <v>1</v>
      </c>
    </row>
    <row r="1158" spans="3:13" x14ac:dyDescent="0.15">
      <c r="C1158" s="43">
        <v>1125</v>
      </c>
      <c r="D1158" s="42">
        <v>1125</v>
      </c>
      <c r="E1158" s="42">
        <v>0.9</v>
      </c>
      <c r="F1158" s="42">
        <v>128</v>
      </c>
      <c r="G1158" s="42">
        <v>115.2</v>
      </c>
      <c r="H1158" s="42">
        <v>1.1111111111111112</v>
      </c>
      <c r="I1158" s="42">
        <v>1</v>
      </c>
      <c r="J1158" s="42">
        <v>1.1111111111111112</v>
      </c>
      <c r="K1158" s="42">
        <v>1</v>
      </c>
      <c r="L1158" s="42">
        <v>0.9</v>
      </c>
      <c r="M1158">
        <v>1</v>
      </c>
    </row>
    <row r="1159" spans="3:13" x14ac:dyDescent="0.15">
      <c r="C1159" s="43">
        <v>1126</v>
      </c>
      <c r="D1159" s="42">
        <v>1126</v>
      </c>
      <c r="E1159" s="42">
        <v>0.90080000000000005</v>
      </c>
      <c r="F1159" s="42">
        <v>128</v>
      </c>
      <c r="G1159" s="42">
        <v>115.30240000000001</v>
      </c>
      <c r="H1159" s="42">
        <v>1.1101243339253997</v>
      </c>
      <c r="I1159" s="42">
        <v>1</v>
      </c>
      <c r="J1159" s="42">
        <v>1.1101243339253997</v>
      </c>
      <c r="K1159" s="42">
        <v>1</v>
      </c>
      <c r="L1159" s="42">
        <v>0.90080000000000005</v>
      </c>
      <c r="M1159">
        <v>1</v>
      </c>
    </row>
    <row r="1160" spans="3:13" x14ac:dyDescent="0.15">
      <c r="C1160" s="43">
        <v>1127</v>
      </c>
      <c r="D1160" s="42">
        <v>1127</v>
      </c>
      <c r="E1160" s="42">
        <v>0.90159999999999996</v>
      </c>
      <c r="F1160" s="42">
        <v>128</v>
      </c>
      <c r="G1160" s="42">
        <v>115.40480000000001</v>
      </c>
      <c r="H1160" s="42">
        <v>1.1091393078970719</v>
      </c>
      <c r="I1160" s="42">
        <v>1</v>
      </c>
      <c r="J1160" s="42">
        <v>1.1091393078970719</v>
      </c>
      <c r="K1160" s="42">
        <v>1</v>
      </c>
      <c r="L1160" s="42">
        <v>0.90159999999999996</v>
      </c>
      <c r="M1160">
        <v>1</v>
      </c>
    </row>
    <row r="1161" spans="3:13" x14ac:dyDescent="0.15">
      <c r="C1161" s="43">
        <v>1128</v>
      </c>
      <c r="D1161" s="42">
        <v>1128</v>
      </c>
      <c r="E1161" s="42">
        <v>0.90239999999999998</v>
      </c>
      <c r="F1161" s="42">
        <v>128</v>
      </c>
      <c r="G1161" s="42">
        <v>115.50720000000001</v>
      </c>
      <c r="H1161" s="42">
        <v>1.1081560283687943</v>
      </c>
      <c r="I1161" s="42">
        <v>1</v>
      </c>
      <c r="J1161" s="42">
        <v>1.1081560283687943</v>
      </c>
      <c r="K1161" s="42">
        <v>1</v>
      </c>
      <c r="L1161" s="42">
        <v>0.90239999999999998</v>
      </c>
      <c r="M1161">
        <v>1</v>
      </c>
    </row>
    <row r="1162" spans="3:13" x14ac:dyDescent="0.15">
      <c r="C1162" s="43">
        <v>1129</v>
      </c>
      <c r="D1162" s="42">
        <v>1129</v>
      </c>
      <c r="E1162" s="42">
        <v>0.9032</v>
      </c>
      <c r="F1162" s="42">
        <v>128</v>
      </c>
      <c r="G1162" s="42">
        <v>115.6096</v>
      </c>
      <c r="H1162" s="42">
        <v>1.1071744906997343</v>
      </c>
      <c r="I1162" s="42">
        <v>1</v>
      </c>
      <c r="J1162" s="42">
        <v>1.1071744906997343</v>
      </c>
      <c r="K1162" s="42">
        <v>1</v>
      </c>
      <c r="L1162" s="42">
        <v>0.9032</v>
      </c>
      <c r="M1162">
        <v>1</v>
      </c>
    </row>
    <row r="1163" spans="3:13" x14ac:dyDescent="0.15">
      <c r="C1163" s="43">
        <v>1130</v>
      </c>
      <c r="D1163" s="42">
        <v>1130</v>
      </c>
      <c r="E1163" s="42">
        <v>0.90400000000000003</v>
      </c>
      <c r="F1163" s="42">
        <v>128</v>
      </c>
      <c r="G1163" s="42">
        <v>115.712</v>
      </c>
      <c r="H1163" s="42">
        <v>1.1061946902654867</v>
      </c>
      <c r="I1163" s="42">
        <v>1</v>
      </c>
      <c r="J1163" s="42">
        <v>1.1061946902654867</v>
      </c>
      <c r="K1163" s="42">
        <v>1</v>
      </c>
      <c r="L1163" s="42">
        <v>0.90400000000000003</v>
      </c>
      <c r="M1163">
        <v>1</v>
      </c>
    </row>
    <row r="1164" spans="3:13" x14ac:dyDescent="0.15">
      <c r="C1164" s="43">
        <v>1131</v>
      </c>
      <c r="D1164" s="42">
        <v>1131</v>
      </c>
      <c r="E1164" s="42">
        <v>0.90480000000000005</v>
      </c>
      <c r="F1164" s="42">
        <v>128</v>
      </c>
      <c r="G1164" s="42">
        <v>115.81440000000001</v>
      </c>
      <c r="H1164" s="42">
        <v>1.1052166224580018</v>
      </c>
      <c r="I1164" s="42">
        <v>1</v>
      </c>
      <c r="J1164" s="42">
        <v>1.1052166224580018</v>
      </c>
      <c r="K1164" s="42">
        <v>1</v>
      </c>
      <c r="L1164" s="42">
        <v>0.90480000000000005</v>
      </c>
      <c r="M1164">
        <v>1</v>
      </c>
    </row>
    <row r="1165" spans="3:13" x14ac:dyDescent="0.15">
      <c r="C1165" s="43">
        <v>1132</v>
      </c>
      <c r="D1165" s="42">
        <v>1132</v>
      </c>
      <c r="E1165" s="42">
        <v>0.90559999999999996</v>
      </c>
      <c r="F1165" s="42">
        <v>128</v>
      </c>
      <c r="G1165" s="42">
        <v>115.91680000000001</v>
      </c>
      <c r="H1165" s="42">
        <v>1.1042402826855124</v>
      </c>
      <c r="I1165" s="42">
        <v>1</v>
      </c>
      <c r="J1165" s="42">
        <v>1.1042402826855124</v>
      </c>
      <c r="K1165" s="42">
        <v>1</v>
      </c>
      <c r="L1165" s="42">
        <v>0.90559999999999996</v>
      </c>
      <c r="M1165">
        <v>1</v>
      </c>
    </row>
    <row r="1166" spans="3:13" x14ac:dyDescent="0.15">
      <c r="C1166" s="43">
        <v>1133</v>
      </c>
      <c r="D1166" s="42">
        <v>1133</v>
      </c>
      <c r="E1166" s="42">
        <v>0.90639999999999998</v>
      </c>
      <c r="F1166" s="42">
        <v>128</v>
      </c>
      <c r="G1166" s="42">
        <v>116.01920000000001</v>
      </c>
      <c r="H1166" s="42">
        <v>1.1032656663724625</v>
      </c>
      <c r="I1166" s="42">
        <v>1</v>
      </c>
      <c r="J1166" s="42">
        <v>1.1032656663724625</v>
      </c>
      <c r="K1166" s="42">
        <v>1</v>
      </c>
      <c r="L1166" s="42">
        <v>0.90639999999999998</v>
      </c>
      <c r="M1166">
        <v>1</v>
      </c>
    </row>
    <row r="1167" spans="3:13" x14ac:dyDescent="0.15">
      <c r="C1167" s="43">
        <v>1134</v>
      </c>
      <c r="D1167" s="42">
        <v>1134</v>
      </c>
      <c r="E1167" s="42">
        <v>0.90720000000000001</v>
      </c>
      <c r="F1167" s="42">
        <v>128</v>
      </c>
      <c r="G1167" s="42">
        <v>116.1216</v>
      </c>
      <c r="H1167" s="42">
        <v>1.1022927689594355</v>
      </c>
      <c r="I1167" s="42">
        <v>1</v>
      </c>
      <c r="J1167" s="42">
        <v>1.1022927689594355</v>
      </c>
      <c r="K1167" s="42">
        <v>1</v>
      </c>
      <c r="L1167" s="42">
        <v>0.90720000000000001</v>
      </c>
      <c r="M1167">
        <v>1</v>
      </c>
    </row>
    <row r="1168" spans="3:13" x14ac:dyDescent="0.15">
      <c r="C1168" s="43">
        <v>1135</v>
      </c>
      <c r="D1168" s="42">
        <v>1135</v>
      </c>
      <c r="E1168" s="42">
        <v>0.90800000000000003</v>
      </c>
      <c r="F1168" s="42">
        <v>128</v>
      </c>
      <c r="G1168" s="42">
        <v>116.224</v>
      </c>
      <c r="H1168" s="42">
        <v>1.1013215859030836</v>
      </c>
      <c r="I1168" s="42">
        <v>1</v>
      </c>
      <c r="J1168" s="42">
        <v>1.1013215859030836</v>
      </c>
      <c r="K1168" s="42">
        <v>1</v>
      </c>
      <c r="L1168" s="42">
        <v>0.90800000000000003</v>
      </c>
      <c r="M1168">
        <v>1</v>
      </c>
    </row>
    <row r="1169" spans="3:13" x14ac:dyDescent="0.15">
      <c r="C1169" s="43">
        <v>1136</v>
      </c>
      <c r="D1169" s="42">
        <v>1136</v>
      </c>
      <c r="E1169" s="42">
        <v>0.90880000000000005</v>
      </c>
      <c r="F1169" s="42">
        <v>128</v>
      </c>
      <c r="G1169" s="42">
        <v>116.32640000000001</v>
      </c>
      <c r="H1169" s="42">
        <v>1.1003521126760563</v>
      </c>
      <c r="I1169" s="42">
        <v>1</v>
      </c>
      <c r="J1169" s="42">
        <v>1.1003521126760563</v>
      </c>
      <c r="K1169" s="42">
        <v>1</v>
      </c>
      <c r="L1169" s="42">
        <v>0.90880000000000005</v>
      </c>
      <c r="M1169">
        <v>1</v>
      </c>
    </row>
    <row r="1170" spans="3:13" x14ac:dyDescent="0.15">
      <c r="C1170" s="43">
        <v>1137</v>
      </c>
      <c r="D1170" s="42">
        <v>1137</v>
      </c>
      <c r="E1170" s="42">
        <v>0.90959999999999996</v>
      </c>
      <c r="F1170" s="42">
        <v>128</v>
      </c>
      <c r="G1170" s="42">
        <v>116.42880000000001</v>
      </c>
      <c r="H1170" s="42">
        <v>1.0993843447669305</v>
      </c>
      <c r="I1170" s="42">
        <v>1</v>
      </c>
      <c r="J1170" s="42">
        <v>1.0993843447669305</v>
      </c>
      <c r="K1170" s="42">
        <v>1</v>
      </c>
      <c r="L1170" s="42">
        <v>0.90959999999999996</v>
      </c>
      <c r="M1170">
        <v>1</v>
      </c>
    </row>
    <row r="1171" spans="3:13" x14ac:dyDescent="0.15">
      <c r="C1171" s="43">
        <v>1138</v>
      </c>
      <c r="D1171" s="42">
        <v>1138</v>
      </c>
      <c r="E1171" s="42">
        <v>0.91039999999999999</v>
      </c>
      <c r="F1171" s="42">
        <v>128</v>
      </c>
      <c r="G1171" s="42">
        <v>116.53120000000001</v>
      </c>
      <c r="H1171" s="42">
        <v>1.0984182776801406</v>
      </c>
      <c r="I1171" s="42">
        <v>1</v>
      </c>
      <c r="J1171" s="42">
        <v>1.0984182776801406</v>
      </c>
      <c r="K1171" s="42">
        <v>1</v>
      </c>
      <c r="L1171" s="42">
        <v>0.91039999999999999</v>
      </c>
      <c r="M1171">
        <v>1</v>
      </c>
    </row>
    <row r="1172" spans="3:13" x14ac:dyDescent="0.15">
      <c r="C1172" s="43">
        <v>1139</v>
      </c>
      <c r="D1172" s="42">
        <v>1139</v>
      </c>
      <c r="E1172" s="42">
        <v>0.91120000000000001</v>
      </c>
      <c r="F1172" s="42">
        <v>128</v>
      </c>
      <c r="G1172" s="42">
        <v>116.6336</v>
      </c>
      <c r="H1172" s="42">
        <v>1.0974539069359086</v>
      </c>
      <c r="I1172" s="42">
        <v>1</v>
      </c>
      <c r="J1172" s="42">
        <v>1.0974539069359086</v>
      </c>
      <c r="K1172" s="42">
        <v>1</v>
      </c>
      <c r="L1172" s="42">
        <v>0.91120000000000001</v>
      </c>
      <c r="M1172">
        <v>1</v>
      </c>
    </row>
    <row r="1173" spans="3:13" x14ac:dyDescent="0.15">
      <c r="C1173" s="43">
        <v>1140</v>
      </c>
      <c r="D1173" s="42">
        <v>1140</v>
      </c>
      <c r="E1173" s="42">
        <v>0.91200000000000003</v>
      </c>
      <c r="F1173" s="42">
        <v>128</v>
      </c>
      <c r="G1173" s="42">
        <v>116.736</v>
      </c>
      <c r="H1173" s="42">
        <v>1.0964912280701753</v>
      </c>
      <c r="I1173" s="42">
        <v>1</v>
      </c>
      <c r="J1173" s="42">
        <v>1.0964912280701753</v>
      </c>
      <c r="K1173" s="42">
        <v>1</v>
      </c>
      <c r="L1173" s="42">
        <v>0.91200000000000003</v>
      </c>
      <c r="M1173">
        <v>1</v>
      </c>
    </row>
    <row r="1174" spans="3:13" x14ac:dyDescent="0.15">
      <c r="C1174" s="43">
        <v>1141</v>
      </c>
      <c r="D1174" s="42">
        <v>1141</v>
      </c>
      <c r="E1174" s="42">
        <v>0.91279999999999994</v>
      </c>
      <c r="F1174" s="42">
        <v>128</v>
      </c>
      <c r="G1174" s="42">
        <v>116.83839999999999</v>
      </c>
      <c r="H1174" s="42">
        <v>1.0955302366345312</v>
      </c>
      <c r="I1174" s="42">
        <v>1</v>
      </c>
      <c r="J1174" s="42">
        <v>1.0955302366345312</v>
      </c>
      <c r="K1174" s="42">
        <v>1</v>
      </c>
      <c r="L1174" s="42">
        <v>0.91279999999999994</v>
      </c>
      <c r="M1174">
        <v>1</v>
      </c>
    </row>
    <row r="1175" spans="3:13" x14ac:dyDescent="0.15">
      <c r="C1175" s="43">
        <v>1142</v>
      </c>
      <c r="D1175" s="42">
        <v>1142</v>
      </c>
      <c r="E1175" s="42">
        <v>0.91359999999999997</v>
      </c>
      <c r="F1175" s="42">
        <v>128</v>
      </c>
      <c r="G1175" s="42">
        <v>116.94080000000001</v>
      </c>
      <c r="H1175" s="42">
        <v>1.0945709281961471</v>
      </c>
      <c r="I1175" s="42">
        <v>1</v>
      </c>
      <c r="J1175" s="42">
        <v>1.0945709281961471</v>
      </c>
      <c r="K1175" s="42">
        <v>1</v>
      </c>
      <c r="L1175" s="42">
        <v>0.91359999999999997</v>
      </c>
      <c r="M1175">
        <v>1</v>
      </c>
    </row>
    <row r="1176" spans="3:13" x14ac:dyDescent="0.15">
      <c r="C1176" s="43">
        <v>1143</v>
      </c>
      <c r="D1176" s="42">
        <v>1143</v>
      </c>
      <c r="E1176" s="42">
        <v>0.91439999999999999</v>
      </c>
      <c r="F1176" s="42">
        <v>128</v>
      </c>
      <c r="G1176" s="42">
        <v>117.0432</v>
      </c>
      <c r="H1176" s="42">
        <v>1.0936132983377078</v>
      </c>
      <c r="I1176" s="42">
        <v>1</v>
      </c>
      <c r="J1176" s="42">
        <v>1.0936132983377078</v>
      </c>
      <c r="K1176" s="42">
        <v>1</v>
      </c>
      <c r="L1176" s="42">
        <v>0.91439999999999999</v>
      </c>
      <c r="M1176">
        <v>1</v>
      </c>
    </row>
    <row r="1177" spans="3:13" x14ac:dyDescent="0.15">
      <c r="C1177" s="43">
        <v>1144</v>
      </c>
      <c r="D1177" s="42">
        <v>1144</v>
      </c>
      <c r="E1177" s="42">
        <v>0.91520000000000001</v>
      </c>
      <c r="F1177" s="42">
        <v>128</v>
      </c>
      <c r="G1177" s="42">
        <v>117.1456</v>
      </c>
      <c r="H1177" s="42">
        <v>1.0926573426573427</v>
      </c>
      <c r="I1177" s="42">
        <v>1</v>
      </c>
      <c r="J1177" s="42">
        <v>1.0926573426573427</v>
      </c>
      <c r="K1177" s="42">
        <v>1</v>
      </c>
      <c r="L1177" s="42">
        <v>0.91520000000000001</v>
      </c>
      <c r="M1177">
        <v>1</v>
      </c>
    </row>
    <row r="1178" spans="3:13" x14ac:dyDescent="0.15">
      <c r="C1178" s="43">
        <v>1145</v>
      </c>
      <c r="D1178" s="42">
        <v>1145</v>
      </c>
      <c r="E1178" s="42">
        <v>0.91600000000000004</v>
      </c>
      <c r="F1178" s="42">
        <v>128</v>
      </c>
      <c r="G1178" s="42">
        <v>117.248</v>
      </c>
      <c r="H1178" s="42">
        <v>1.0917030567685588</v>
      </c>
      <c r="I1178" s="42">
        <v>1</v>
      </c>
      <c r="J1178" s="42">
        <v>1.0917030567685588</v>
      </c>
      <c r="K1178" s="42">
        <v>1</v>
      </c>
      <c r="L1178" s="42">
        <v>0.91600000000000004</v>
      </c>
      <c r="M1178">
        <v>1</v>
      </c>
    </row>
    <row r="1179" spans="3:13" x14ac:dyDescent="0.15">
      <c r="C1179" s="43">
        <v>1146</v>
      </c>
      <c r="D1179" s="42">
        <v>1146</v>
      </c>
      <c r="E1179" s="42">
        <v>0.91679999999999995</v>
      </c>
      <c r="F1179" s="42">
        <v>128</v>
      </c>
      <c r="G1179" s="42">
        <v>117.35040000000001</v>
      </c>
      <c r="H1179" s="42">
        <v>1.0907504363001745</v>
      </c>
      <c r="I1179" s="42">
        <v>1</v>
      </c>
      <c r="J1179" s="42">
        <v>1.0907504363001745</v>
      </c>
      <c r="K1179" s="42">
        <v>1</v>
      </c>
      <c r="L1179" s="42">
        <v>0.91679999999999995</v>
      </c>
      <c r="M1179">
        <v>1</v>
      </c>
    </row>
    <row r="1180" spans="3:13" x14ac:dyDescent="0.15">
      <c r="C1180" s="43">
        <v>1147</v>
      </c>
      <c r="D1180" s="42">
        <v>1147</v>
      </c>
      <c r="E1180" s="42">
        <v>0.91759999999999997</v>
      </c>
      <c r="F1180" s="42">
        <v>128</v>
      </c>
      <c r="G1180" s="42">
        <v>117.45280000000001</v>
      </c>
      <c r="H1180" s="42">
        <v>1.0897994768962511</v>
      </c>
      <c r="I1180" s="42">
        <v>1</v>
      </c>
      <c r="J1180" s="42">
        <v>1.0897994768962511</v>
      </c>
      <c r="K1180" s="42">
        <v>1</v>
      </c>
      <c r="L1180" s="42">
        <v>0.91759999999999997</v>
      </c>
      <c r="M1180">
        <v>1</v>
      </c>
    </row>
    <row r="1181" spans="3:13" x14ac:dyDescent="0.15">
      <c r="C1181" s="43">
        <v>1148</v>
      </c>
      <c r="D1181" s="42">
        <v>1148</v>
      </c>
      <c r="E1181" s="42">
        <v>0.91839999999999999</v>
      </c>
      <c r="F1181" s="42">
        <v>128</v>
      </c>
      <c r="G1181" s="42">
        <v>117.5552</v>
      </c>
      <c r="H1181" s="42">
        <v>1.0888501742160279</v>
      </c>
      <c r="I1181" s="42">
        <v>1</v>
      </c>
      <c r="J1181" s="42">
        <v>1.0888501742160279</v>
      </c>
      <c r="K1181" s="42">
        <v>1</v>
      </c>
      <c r="L1181" s="42">
        <v>0.91839999999999999</v>
      </c>
      <c r="M1181">
        <v>1</v>
      </c>
    </row>
    <row r="1182" spans="3:13" x14ac:dyDescent="0.15">
      <c r="C1182" s="43">
        <v>1149</v>
      </c>
      <c r="D1182" s="42">
        <v>1149</v>
      </c>
      <c r="E1182" s="42">
        <v>0.91920000000000002</v>
      </c>
      <c r="F1182" s="42">
        <v>128</v>
      </c>
      <c r="G1182" s="42">
        <v>117.6576</v>
      </c>
      <c r="H1182" s="42">
        <v>1.0879025239338556</v>
      </c>
      <c r="I1182" s="42">
        <v>1</v>
      </c>
      <c r="J1182" s="42">
        <v>1.0879025239338556</v>
      </c>
      <c r="K1182" s="42">
        <v>1</v>
      </c>
      <c r="L1182" s="42">
        <v>0.91920000000000002</v>
      </c>
      <c r="M1182">
        <v>1</v>
      </c>
    </row>
    <row r="1183" spans="3:13" x14ac:dyDescent="0.15">
      <c r="C1183" s="43">
        <v>1150</v>
      </c>
      <c r="D1183" s="42">
        <v>1150</v>
      </c>
      <c r="E1183" s="42">
        <v>0.92</v>
      </c>
      <c r="F1183" s="42">
        <v>128</v>
      </c>
      <c r="G1183" s="42">
        <v>117.76</v>
      </c>
      <c r="H1183" s="42">
        <v>1.0869565217391304</v>
      </c>
      <c r="I1183" s="42">
        <v>1</v>
      </c>
      <c r="J1183" s="42">
        <v>1.0869565217391304</v>
      </c>
      <c r="K1183" s="42">
        <v>1</v>
      </c>
      <c r="L1183" s="42">
        <v>0.92</v>
      </c>
      <c r="M1183">
        <v>1</v>
      </c>
    </row>
    <row r="1184" spans="3:13" x14ac:dyDescent="0.15">
      <c r="C1184" s="43">
        <v>1151</v>
      </c>
      <c r="D1184" s="42">
        <v>1151</v>
      </c>
      <c r="E1184" s="42">
        <v>0.92079999999999995</v>
      </c>
      <c r="F1184" s="42">
        <v>128</v>
      </c>
      <c r="G1184" s="42">
        <v>117.86240000000001</v>
      </c>
      <c r="H1184" s="42">
        <v>1.0860121633362294</v>
      </c>
      <c r="I1184" s="42">
        <v>1</v>
      </c>
      <c r="J1184" s="42">
        <v>1.0860121633362294</v>
      </c>
      <c r="K1184" s="42">
        <v>1</v>
      </c>
      <c r="L1184" s="42">
        <v>0.92079999999999995</v>
      </c>
      <c r="M1184">
        <v>1</v>
      </c>
    </row>
    <row r="1185" spans="3:13" x14ac:dyDescent="0.15">
      <c r="C1185" s="43">
        <v>1152</v>
      </c>
      <c r="D1185" s="42">
        <v>1152</v>
      </c>
      <c r="E1185" s="42">
        <v>0.92159999999999997</v>
      </c>
      <c r="F1185" s="42">
        <v>128</v>
      </c>
      <c r="G1185" s="42">
        <v>117.96480000000001</v>
      </c>
      <c r="H1185" s="42">
        <v>1.0850694444444444</v>
      </c>
      <c r="I1185" s="42">
        <v>1</v>
      </c>
      <c r="J1185" s="42">
        <v>1.0850694444444444</v>
      </c>
      <c r="K1185" s="42">
        <v>1</v>
      </c>
      <c r="L1185" s="42">
        <v>0.92159999999999997</v>
      </c>
      <c r="M1185">
        <v>1</v>
      </c>
    </row>
    <row r="1186" spans="3:13" x14ac:dyDescent="0.15">
      <c r="C1186" s="43">
        <v>1153</v>
      </c>
      <c r="D1186" s="42">
        <v>1153</v>
      </c>
      <c r="E1186" s="42">
        <v>0.9224</v>
      </c>
      <c r="F1186" s="42">
        <v>128</v>
      </c>
      <c r="G1186" s="42">
        <v>118.0672</v>
      </c>
      <c r="H1186" s="42">
        <v>1.0841283607979184</v>
      </c>
      <c r="I1186" s="42">
        <v>1</v>
      </c>
      <c r="J1186" s="42">
        <v>1.0841283607979184</v>
      </c>
      <c r="K1186" s="42">
        <v>1</v>
      </c>
      <c r="L1186" s="42">
        <v>0.9224</v>
      </c>
      <c r="M1186">
        <v>1</v>
      </c>
    </row>
    <row r="1187" spans="3:13" x14ac:dyDescent="0.15">
      <c r="C1187" s="43">
        <v>1154</v>
      </c>
      <c r="D1187" s="42">
        <v>1154</v>
      </c>
      <c r="E1187" s="42">
        <v>0.92320000000000002</v>
      </c>
      <c r="F1187" s="42">
        <v>128</v>
      </c>
      <c r="G1187" s="42">
        <v>118.1696</v>
      </c>
      <c r="H1187" s="42">
        <v>1.0831889081455806</v>
      </c>
      <c r="I1187" s="42">
        <v>1</v>
      </c>
      <c r="J1187" s="42">
        <v>1.0831889081455806</v>
      </c>
      <c r="K1187" s="42">
        <v>1</v>
      </c>
      <c r="L1187" s="42">
        <v>0.92320000000000002</v>
      </c>
      <c r="M1187">
        <v>1</v>
      </c>
    </row>
    <row r="1188" spans="3:13" x14ac:dyDescent="0.15">
      <c r="C1188" s="43">
        <v>1155</v>
      </c>
      <c r="D1188" s="42">
        <v>1155</v>
      </c>
      <c r="E1188" s="42">
        <v>0.92400000000000004</v>
      </c>
      <c r="F1188" s="42">
        <v>128</v>
      </c>
      <c r="G1188" s="42">
        <v>118.27200000000001</v>
      </c>
      <c r="H1188" s="42">
        <v>1.0822510822510822</v>
      </c>
      <c r="I1188" s="42">
        <v>1</v>
      </c>
      <c r="J1188" s="42">
        <v>1.0822510822510822</v>
      </c>
      <c r="K1188" s="42">
        <v>1</v>
      </c>
      <c r="L1188" s="42">
        <v>0.92400000000000004</v>
      </c>
      <c r="M1188">
        <v>1</v>
      </c>
    </row>
    <row r="1189" spans="3:13" x14ac:dyDescent="0.15">
      <c r="C1189" s="43">
        <v>1156</v>
      </c>
      <c r="D1189" s="42">
        <v>1156</v>
      </c>
      <c r="E1189" s="42">
        <v>0.92479999999999996</v>
      </c>
      <c r="F1189" s="42">
        <v>128</v>
      </c>
      <c r="G1189" s="42">
        <v>118.37440000000001</v>
      </c>
      <c r="H1189" s="42">
        <v>1.0813148788927336</v>
      </c>
      <c r="I1189" s="42">
        <v>1</v>
      </c>
      <c r="J1189" s="42">
        <v>1.0813148788927336</v>
      </c>
      <c r="K1189" s="42">
        <v>1</v>
      </c>
      <c r="L1189" s="42">
        <v>0.92479999999999996</v>
      </c>
      <c r="M1189">
        <v>1</v>
      </c>
    </row>
    <row r="1190" spans="3:13" x14ac:dyDescent="0.15">
      <c r="C1190" s="43">
        <v>1157</v>
      </c>
      <c r="D1190" s="42">
        <v>1157</v>
      </c>
      <c r="E1190" s="42">
        <v>0.92559999999999998</v>
      </c>
      <c r="F1190" s="42">
        <v>128</v>
      </c>
      <c r="G1190" s="42">
        <v>118.47680000000001</v>
      </c>
      <c r="H1190" s="42">
        <v>1.0803802938634399</v>
      </c>
      <c r="I1190" s="42">
        <v>1</v>
      </c>
      <c r="J1190" s="42">
        <v>1.0803802938634399</v>
      </c>
      <c r="K1190" s="42">
        <v>1</v>
      </c>
      <c r="L1190" s="42">
        <v>0.92559999999999998</v>
      </c>
      <c r="M1190">
        <v>1</v>
      </c>
    </row>
    <row r="1191" spans="3:13" x14ac:dyDescent="0.15">
      <c r="C1191" s="43">
        <v>1158</v>
      </c>
      <c r="D1191" s="42">
        <v>1158</v>
      </c>
      <c r="E1191" s="42">
        <v>0.9264</v>
      </c>
      <c r="F1191" s="42">
        <v>128</v>
      </c>
      <c r="G1191" s="42">
        <v>118.5792</v>
      </c>
      <c r="H1191" s="42">
        <v>1.0794473229706389</v>
      </c>
      <c r="I1191" s="42">
        <v>1</v>
      </c>
      <c r="J1191" s="42">
        <v>1.0794473229706389</v>
      </c>
      <c r="K1191" s="42">
        <v>1</v>
      </c>
      <c r="L1191" s="42">
        <v>0.9264</v>
      </c>
      <c r="M1191">
        <v>1</v>
      </c>
    </row>
    <row r="1192" spans="3:13" x14ac:dyDescent="0.15">
      <c r="C1192" s="43">
        <v>1159</v>
      </c>
      <c r="D1192" s="42">
        <v>1159</v>
      </c>
      <c r="E1192" s="42">
        <v>0.92720000000000002</v>
      </c>
      <c r="F1192" s="42">
        <v>128</v>
      </c>
      <c r="G1192" s="42">
        <v>118.6816</v>
      </c>
      <c r="H1192" s="42">
        <v>1.0785159620362381</v>
      </c>
      <c r="I1192" s="42">
        <v>1</v>
      </c>
      <c r="J1192" s="42">
        <v>1.0785159620362381</v>
      </c>
      <c r="K1192" s="42">
        <v>1</v>
      </c>
      <c r="L1192" s="42">
        <v>0.92720000000000002</v>
      </c>
      <c r="M1192">
        <v>1</v>
      </c>
    </row>
    <row r="1193" spans="3:13" x14ac:dyDescent="0.15">
      <c r="C1193" s="43">
        <v>1160</v>
      </c>
      <c r="D1193" s="42">
        <v>1160</v>
      </c>
      <c r="E1193" s="42">
        <v>0.92800000000000005</v>
      </c>
      <c r="F1193" s="42">
        <v>128</v>
      </c>
      <c r="G1193" s="42">
        <v>118.78400000000001</v>
      </c>
      <c r="H1193" s="42">
        <v>1.0775862068965516</v>
      </c>
      <c r="I1193" s="42">
        <v>1</v>
      </c>
      <c r="J1193" s="42">
        <v>1.0775862068965516</v>
      </c>
      <c r="K1193" s="42">
        <v>1</v>
      </c>
      <c r="L1193" s="42">
        <v>0.92800000000000005</v>
      </c>
      <c r="M1193">
        <v>1</v>
      </c>
    </row>
    <row r="1194" spans="3:13" x14ac:dyDescent="0.15">
      <c r="C1194" s="43">
        <v>1161</v>
      </c>
      <c r="D1194" s="42">
        <v>1161</v>
      </c>
      <c r="E1194" s="42">
        <v>0.92879999999999996</v>
      </c>
      <c r="F1194" s="42">
        <v>128</v>
      </c>
      <c r="G1194" s="42">
        <v>118.88640000000001</v>
      </c>
      <c r="H1194" s="42">
        <v>1.0766580534022394</v>
      </c>
      <c r="I1194" s="42">
        <v>1</v>
      </c>
      <c r="J1194" s="42">
        <v>1.0766580534022394</v>
      </c>
      <c r="K1194" s="42">
        <v>1</v>
      </c>
      <c r="L1194" s="42">
        <v>0.92879999999999996</v>
      </c>
      <c r="M1194">
        <v>1</v>
      </c>
    </row>
    <row r="1195" spans="3:13" x14ac:dyDescent="0.15">
      <c r="C1195" s="43">
        <v>1162</v>
      </c>
      <c r="D1195" s="42">
        <v>1162</v>
      </c>
      <c r="E1195" s="42">
        <v>0.92959999999999998</v>
      </c>
      <c r="F1195" s="42">
        <v>128</v>
      </c>
      <c r="G1195" s="42">
        <v>118.98880000000001</v>
      </c>
      <c r="H1195" s="42">
        <v>1.0757314974182444</v>
      </c>
      <c r="I1195" s="42">
        <v>1</v>
      </c>
      <c r="J1195" s="42">
        <v>1.0757314974182444</v>
      </c>
      <c r="K1195" s="42">
        <v>1</v>
      </c>
      <c r="L1195" s="42">
        <v>0.92959999999999998</v>
      </c>
      <c r="M1195">
        <v>1</v>
      </c>
    </row>
    <row r="1196" spans="3:13" x14ac:dyDescent="0.15">
      <c r="C1196" s="43">
        <v>1163</v>
      </c>
      <c r="D1196" s="42">
        <v>1163</v>
      </c>
      <c r="E1196" s="42">
        <v>0.9304</v>
      </c>
      <c r="F1196" s="42">
        <v>128</v>
      </c>
      <c r="G1196" s="42">
        <v>119.0912</v>
      </c>
      <c r="H1196" s="42">
        <v>1.0748065348237317</v>
      </c>
      <c r="I1196" s="42">
        <v>1</v>
      </c>
      <c r="J1196" s="42">
        <v>1.0748065348237317</v>
      </c>
      <c r="K1196" s="42">
        <v>1</v>
      </c>
      <c r="L1196" s="42">
        <v>0.9304</v>
      </c>
      <c r="M1196">
        <v>1</v>
      </c>
    </row>
    <row r="1197" spans="3:13" x14ac:dyDescent="0.15">
      <c r="C1197" s="43">
        <v>1164</v>
      </c>
      <c r="D1197" s="42">
        <v>1164</v>
      </c>
      <c r="E1197" s="42">
        <v>0.93120000000000003</v>
      </c>
      <c r="F1197" s="42">
        <v>128</v>
      </c>
      <c r="G1197" s="42">
        <v>119.1936</v>
      </c>
      <c r="H1197" s="42">
        <v>1.0738831615120275</v>
      </c>
      <c r="I1197" s="42">
        <v>1</v>
      </c>
      <c r="J1197" s="42">
        <v>1.0738831615120275</v>
      </c>
      <c r="K1197" s="42">
        <v>1</v>
      </c>
      <c r="L1197" s="42">
        <v>0.93120000000000003</v>
      </c>
      <c r="M1197">
        <v>1</v>
      </c>
    </row>
    <row r="1198" spans="3:13" x14ac:dyDescent="0.15">
      <c r="C1198" s="43">
        <v>1165</v>
      </c>
      <c r="D1198" s="42">
        <v>1165</v>
      </c>
      <c r="E1198" s="42">
        <v>0.93200000000000005</v>
      </c>
      <c r="F1198" s="42">
        <v>128</v>
      </c>
      <c r="G1198" s="42">
        <v>119.29600000000001</v>
      </c>
      <c r="H1198" s="42">
        <v>1.0729613733905579</v>
      </c>
      <c r="I1198" s="42">
        <v>1</v>
      </c>
      <c r="J1198" s="42">
        <v>1.0729613733905579</v>
      </c>
      <c r="K1198" s="42">
        <v>1</v>
      </c>
      <c r="L1198" s="42">
        <v>0.93200000000000005</v>
      </c>
      <c r="M1198">
        <v>1</v>
      </c>
    </row>
    <row r="1199" spans="3:13" x14ac:dyDescent="0.15">
      <c r="C1199" s="43">
        <v>1166</v>
      </c>
      <c r="D1199" s="42">
        <v>1166</v>
      </c>
      <c r="E1199" s="42">
        <v>0.93279999999999996</v>
      </c>
      <c r="F1199" s="42">
        <v>128</v>
      </c>
      <c r="G1199" s="42">
        <v>119.39840000000001</v>
      </c>
      <c r="H1199" s="42">
        <v>1.0720411663807892</v>
      </c>
      <c r="I1199" s="42">
        <v>1</v>
      </c>
      <c r="J1199" s="42">
        <v>1.0720411663807892</v>
      </c>
      <c r="K1199" s="42">
        <v>1</v>
      </c>
      <c r="L1199" s="42">
        <v>0.93279999999999996</v>
      </c>
      <c r="M1199">
        <v>1</v>
      </c>
    </row>
    <row r="1200" spans="3:13" x14ac:dyDescent="0.15">
      <c r="C1200" s="43">
        <v>1167</v>
      </c>
      <c r="D1200" s="42">
        <v>1167</v>
      </c>
      <c r="E1200" s="42">
        <v>0.93359999999999999</v>
      </c>
      <c r="F1200" s="42">
        <v>128</v>
      </c>
      <c r="G1200" s="42">
        <v>119.50080000000001</v>
      </c>
      <c r="H1200" s="42">
        <v>1.0711225364181662</v>
      </c>
      <c r="I1200" s="42">
        <v>1</v>
      </c>
      <c r="J1200" s="42">
        <v>1.0711225364181662</v>
      </c>
      <c r="K1200" s="42">
        <v>1</v>
      </c>
      <c r="L1200" s="42">
        <v>0.93359999999999999</v>
      </c>
      <c r="M1200">
        <v>1</v>
      </c>
    </row>
    <row r="1201" spans="3:13" x14ac:dyDescent="0.15">
      <c r="C1201" s="43">
        <v>1168</v>
      </c>
      <c r="D1201" s="42">
        <v>1168</v>
      </c>
      <c r="E1201" s="42">
        <v>0.93440000000000001</v>
      </c>
      <c r="F1201" s="42">
        <v>128</v>
      </c>
      <c r="G1201" s="42">
        <v>119.6032</v>
      </c>
      <c r="H1201" s="42">
        <v>1.0702054794520548</v>
      </c>
      <c r="I1201" s="42">
        <v>1</v>
      </c>
      <c r="J1201" s="42">
        <v>1.0702054794520548</v>
      </c>
      <c r="K1201" s="42">
        <v>1</v>
      </c>
      <c r="L1201" s="42">
        <v>0.93440000000000001</v>
      </c>
      <c r="M1201">
        <v>1</v>
      </c>
    </row>
    <row r="1202" spans="3:13" x14ac:dyDescent="0.15">
      <c r="C1202" s="43">
        <v>1169</v>
      </c>
      <c r="D1202" s="42">
        <v>1169</v>
      </c>
      <c r="E1202" s="42">
        <v>0.93520000000000003</v>
      </c>
      <c r="F1202" s="42">
        <v>128</v>
      </c>
      <c r="G1202" s="42">
        <v>119.7056</v>
      </c>
      <c r="H1202" s="42">
        <v>1.0692899914456799</v>
      </c>
      <c r="I1202" s="42">
        <v>1</v>
      </c>
      <c r="J1202" s="42">
        <v>1.0692899914456799</v>
      </c>
      <c r="K1202" s="42">
        <v>1</v>
      </c>
      <c r="L1202" s="42">
        <v>0.93520000000000003</v>
      </c>
      <c r="M1202">
        <v>1</v>
      </c>
    </row>
    <row r="1203" spans="3:13" x14ac:dyDescent="0.15">
      <c r="C1203" s="43">
        <v>1170</v>
      </c>
      <c r="D1203" s="42">
        <v>1170</v>
      </c>
      <c r="E1203" s="42">
        <v>0.93600000000000005</v>
      </c>
      <c r="F1203" s="42">
        <v>128</v>
      </c>
      <c r="G1203" s="42">
        <v>119.80800000000001</v>
      </c>
      <c r="H1203" s="42">
        <v>1.0683760683760684</v>
      </c>
      <c r="I1203" s="42">
        <v>1</v>
      </c>
      <c r="J1203" s="42">
        <v>1.0683760683760684</v>
      </c>
      <c r="K1203" s="42">
        <v>1</v>
      </c>
      <c r="L1203" s="42">
        <v>0.93600000000000005</v>
      </c>
      <c r="M1203">
        <v>1</v>
      </c>
    </row>
    <row r="1204" spans="3:13" x14ac:dyDescent="0.15">
      <c r="C1204" s="43">
        <v>1171</v>
      </c>
      <c r="D1204" s="42">
        <v>1171</v>
      </c>
      <c r="E1204" s="42">
        <v>0.93679999999999997</v>
      </c>
      <c r="F1204" s="42">
        <v>128</v>
      </c>
      <c r="G1204" s="42">
        <v>119.91040000000001</v>
      </c>
      <c r="H1204" s="42">
        <v>1.067463706233988</v>
      </c>
      <c r="I1204" s="42">
        <v>1</v>
      </c>
      <c r="J1204" s="42">
        <v>1.067463706233988</v>
      </c>
      <c r="K1204" s="42">
        <v>1</v>
      </c>
      <c r="L1204" s="42">
        <v>0.93679999999999997</v>
      </c>
      <c r="M1204">
        <v>1</v>
      </c>
    </row>
    <row r="1205" spans="3:13" x14ac:dyDescent="0.15">
      <c r="C1205" s="43">
        <v>1172</v>
      </c>
      <c r="D1205" s="42">
        <v>1172</v>
      </c>
      <c r="E1205" s="42">
        <v>0.93759999999999999</v>
      </c>
      <c r="F1205" s="42">
        <v>128</v>
      </c>
      <c r="G1205" s="42">
        <v>120.01280000000001</v>
      </c>
      <c r="H1205" s="42">
        <v>1.0665529010238908</v>
      </c>
      <c r="I1205" s="42">
        <v>1</v>
      </c>
      <c r="J1205" s="42">
        <v>1.0665529010238908</v>
      </c>
      <c r="K1205" s="42">
        <v>1</v>
      </c>
      <c r="L1205" s="42">
        <v>0.93759999999999999</v>
      </c>
      <c r="M1205">
        <v>1</v>
      </c>
    </row>
    <row r="1206" spans="3:13" x14ac:dyDescent="0.15">
      <c r="C1206" s="43">
        <v>1173</v>
      </c>
      <c r="D1206" s="42">
        <v>1173</v>
      </c>
      <c r="E1206" s="42">
        <v>0.93840000000000001</v>
      </c>
      <c r="F1206" s="42">
        <v>128</v>
      </c>
      <c r="G1206" s="42">
        <v>120.1152</v>
      </c>
      <c r="H1206" s="42">
        <v>1.0656436487638534</v>
      </c>
      <c r="I1206" s="42">
        <v>1</v>
      </c>
      <c r="J1206" s="42">
        <v>1.0656436487638534</v>
      </c>
      <c r="K1206" s="42">
        <v>1</v>
      </c>
      <c r="L1206" s="42">
        <v>0.93840000000000001</v>
      </c>
      <c r="M1206">
        <v>1</v>
      </c>
    </row>
    <row r="1207" spans="3:13" x14ac:dyDescent="0.15">
      <c r="C1207" s="43">
        <v>1174</v>
      </c>
      <c r="D1207" s="42">
        <v>1174</v>
      </c>
      <c r="E1207" s="42">
        <v>0.93920000000000003</v>
      </c>
      <c r="F1207" s="42">
        <v>128</v>
      </c>
      <c r="G1207" s="42">
        <v>120.2176</v>
      </c>
      <c r="H1207" s="42">
        <v>1.0647359454855196</v>
      </c>
      <c r="I1207" s="42">
        <v>1</v>
      </c>
      <c r="J1207" s="42">
        <v>1.0647359454855196</v>
      </c>
      <c r="K1207" s="42">
        <v>1</v>
      </c>
      <c r="L1207" s="42">
        <v>0.93920000000000003</v>
      </c>
      <c r="M1207">
        <v>1</v>
      </c>
    </row>
    <row r="1208" spans="3:13" x14ac:dyDescent="0.15">
      <c r="C1208" s="43">
        <v>1175</v>
      </c>
      <c r="D1208" s="42">
        <v>1175</v>
      </c>
      <c r="E1208" s="42">
        <v>0.94</v>
      </c>
      <c r="F1208" s="42">
        <v>128</v>
      </c>
      <c r="G1208" s="42">
        <v>120.32000000000001</v>
      </c>
      <c r="H1208" s="42">
        <v>1.0638297872340425</v>
      </c>
      <c r="I1208" s="42">
        <v>1</v>
      </c>
      <c r="J1208" s="42">
        <v>1.0638297872340425</v>
      </c>
      <c r="K1208" s="42">
        <v>1</v>
      </c>
      <c r="L1208" s="42">
        <v>0.94</v>
      </c>
      <c r="M1208">
        <v>1</v>
      </c>
    </row>
    <row r="1209" spans="3:13" x14ac:dyDescent="0.15">
      <c r="C1209" s="43">
        <v>1176</v>
      </c>
      <c r="D1209" s="42">
        <v>1176</v>
      </c>
      <c r="E1209" s="42">
        <v>0.94079999999999997</v>
      </c>
      <c r="F1209" s="42">
        <v>128</v>
      </c>
      <c r="G1209" s="42">
        <v>120.42240000000001</v>
      </c>
      <c r="H1209" s="42">
        <v>1.0629251700680273</v>
      </c>
      <c r="I1209" s="42">
        <v>1</v>
      </c>
      <c r="J1209" s="42">
        <v>1.0629251700680273</v>
      </c>
      <c r="K1209" s="42">
        <v>1</v>
      </c>
      <c r="L1209" s="42">
        <v>0.94079999999999997</v>
      </c>
      <c r="M1209">
        <v>1</v>
      </c>
    </row>
    <row r="1210" spans="3:13" x14ac:dyDescent="0.15">
      <c r="C1210" s="43">
        <v>1177</v>
      </c>
      <c r="D1210" s="42">
        <v>1177</v>
      </c>
      <c r="E1210" s="42">
        <v>0.94159999999999999</v>
      </c>
      <c r="F1210" s="42">
        <v>128</v>
      </c>
      <c r="G1210" s="42">
        <v>120.5248</v>
      </c>
      <c r="H1210" s="42">
        <v>1.0620220900594732</v>
      </c>
      <c r="I1210" s="42">
        <v>1</v>
      </c>
      <c r="J1210" s="42">
        <v>1.0620220900594732</v>
      </c>
      <c r="K1210" s="42">
        <v>1</v>
      </c>
      <c r="L1210" s="42">
        <v>0.94159999999999999</v>
      </c>
      <c r="M1210">
        <v>1</v>
      </c>
    </row>
    <row r="1211" spans="3:13" x14ac:dyDescent="0.15">
      <c r="C1211" s="43">
        <v>1178</v>
      </c>
      <c r="D1211" s="42">
        <v>1178</v>
      </c>
      <c r="E1211" s="42">
        <v>0.94240000000000002</v>
      </c>
      <c r="F1211" s="42">
        <v>128</v>
      </c>
      <c r="G1211" s="42">
        <v>120.6272</v>
      </c>
      <c r="H1211" s="42">
        <v>1.0611205432937181</v>
      </c>
      <c r="I1211" s="42">
        <v>1</v>
      </c>
      <c r="J1211" s="42">
        <v>1.0611205432937181</v>
      </c>
      <c r="K1211" s="42">
        <v>1</v>
      </c>
      <c r="L1211" s="42">
        <v>0.94240000000000002</v>
      </c>
      <c r="M1211">
        <v>1</v>
      </c>
    </row>
    <row r="1212" spans="3:13" x14ac:dyDescent="0.15">
      <c r="C1212" s="43">
        <v>1179</v>
      </c>
      <c r="D1212" s="42">
        <v>1179</v>
      </c>
      <c r="E1212" s="42">
        <v>0.94320000000000004</v>
      </c>
      <c r="F1212" s="42">
        <v>128</v>
      </c>
      <c r="G1212" s="42">
        <v>120.7296</v>
      </c>
      <c r="H1212" s="42">
        <v>1.0602205258693809</v>
      </c>
      <c r="I1212" s="42">
        <v>1</v>
      </c>
      <c r="J1212" s="42">
        <v>1.0602205258693809</v>
      </c>
      <c r="K1212" s="42">
        <v>1</v>
      </c>
      <c r="L1212" s="42">
        <v>0.94320000000000004</v>
      </c>
      <c r="M1212">
        <v>1</v>
      </c>
    </row>
    <row r="1213" spans="3:13" x14ac:dyDescent="0.15">
      <c r="C1213" s="43">
        <v>1180</v>
      </c>
      <c r="D1213" s="42">
        <v>1180</v>
      </c>
      <c r="E1213" s="42">
        <v>0.94399999999999995</v>
      </c>
      <c r="F1213" s="42">
        <v>128</v>
      </c>
      <c r="G1213" s="42">
        <v>120.83200000000001</v>
      </c>
      <c r="H1213" s="42">
        <v>1.0593220338983051</v>
      </c>
      <c r="I1213" s="42">
        <v>1</v>
      </c>
      <c r="J1213" s="42">
        <v>1.0593220338983051</v>
      </c>
      <c r="K1213" s="42">
        <v>1</v>
      </c>
      <c r="L1213" s="42">
        <v>0.94399999999999995</v>
      </c>
      <c r="M1213">
        <v>1</v>
      </c>
    </row>
    <row r="1214" spans="3:13" x14ac:dyDescent="0.15">
      <c r="C1214" s="43">
        <v>1181</v>
      </c>
      <c r="D1214" s="42">
        <v>1181</v>
      </c>
      <c r="E1214" s="42">
        <v>0.94479999999999997</v>
      </c>
      <c r="F1214" s="42">
        <v>128</v>
      </c>
      <c r="G1214" s="42">
        <v>120.93440000000001</v>
      </c>
      <c r="H1214" s="42">
        <v>1.0584250635055039</v>
      </c>
      <c r="I1214" s="42">
        <v>1</v>
      </c>
      <c r="J1214" s="42">
        <v>1.0584250635055039</v>
      </c>
      <c r="K1214" s="42">
        <v>1</v>
      </c>
      <c r="L1214" s="42">
        <v>0.94479999999999997</v>
      </c>
      <c r="M1214">
        <v>1</v>
      </c>
    </row>
    <row r="1215" spans="3:13" x14ac:dyDescent="0.15">
      <c r="C1215" s="43">
        <v>1182</v>
      </c>
      <c r="D1215" s="42">
        <v>1182</v>
      </c>
      <c r="E1215" s="42">
        <v>0.9456</v>
      </c>
      <c r="F1215" s="42">
        <v>128</v>
      </c>
      <c r="G1215" s="42">
        <v>121.0368</v>
      </c>
      <c r="H1215" s="42">
        <v>1.0575296108291032</v>
      </c>
      <c r="I1215" s="42">
        <v>1</v>
      </c>
      <c r="J1215" s="42">
        <v>1.0575296108291032</v>
      </c>
      <c r="K1215" s="42">
        <v>1</v>
      </c>
      <c r="L1215" s="42">
        <v>0.9456</v>
      </c>
      <c r="M1215">
        <v>1</v>
      </c>
    </row>
    <row r="1216" spans="3:13" x14ac:dyDescent="0.15">
      <c r="C1216" s="43">
        <v>1183</v>
      </c>
      <c r="D1216" s="42">
        <v>1183</v>
      </c>
      <c r="E1216" s="42">
        <v>0.94640000000000002</v>
      </c>
      <c r="F1216" s="42">
        <v>128</v>
      </c>
      <c r="G1216" s="42">
        <v>121.1392</v>
      </c>
      <c r="H1216" s="42">
        <v>1.0566356720202874</v>
      </c>
      <c r="I1216" s="42">
        <v>1</v>
      </c>
      <c r="J1216" s="42">
        <v>1.0566356720202874</v>
      </c>
      <c r="K1216" s="42">
        <v>1</v>
      </c>
      <c r="L1216" s="42">
        <v>0.94640000000000002</v>
      </c>
      <c r="M1216">
        <v>1</v>
      </c>
    </row>
    <row r="1217" spans="3:13" x14ac:dyDescent="0.15">
      <c r="C1217" s="43">
        <v>1184</v>
      </c>
      <c r="D1217" s="42">
        <v>1184</v>
      </c>
      <c r="E1217" s="42">
        <v>0.94720000000000004</v>
      </c>
      <c r="F1217" s="42">
        <v>128</v>
      </c>
      <c r="G1217" s="42">
        <v>121.24160000000001</v>
      </c>
      <c r="H1217" s="42">
        <v>1.0557432432432432</v>
      </c>
      <c r="I1217" s="42">
        <v>1</v>
      </c>
      <c r="J1217" s="42">
        <v>1.0557432432432432</v>
      </c>
      <c r="K1217" s="42">
        <v>1</v>
      </c>
      <c r="L1217" s="42">
        <v>0.94720000000000004</v>
      </c>
      <c r="M1217">
        <v>1</v>
      </c>
    </row>
    <row r="1218" spans="3:13" x14ac:dyDescent="0.15">
      <c r="C1218" s="43">
        <v>1185</v>
      </c>
      <c r="D1218" s="42">
        <v>1185</v>
      </c>
      <c r="E1218" s="42">
        <v>0.94799999999999995</v>
      </c>
      <c r="F1218" s="42">
        <v>128</v>
      </c>
      <c r="G1218" s="42">
        <v>121.34400000000001</v>
      </c>
      <c r="H1218" s="42">
        <v>1.0548523206751055</v>
      </c>
      <c r="I1218" s="42">
        <v>1</v>
      </c>
      <c r="J1218" s="42">
        <v>1.0548523206751055</v>
      </c>
      <c r="K1218" s="42">
        <v>1</v>
      </c>
      <c r="L1218" s="42">
        <v>0.94799999999999995</v>
      </c>
      <c r="M1218">
        <v>1</v>
      </c>
    </row>
    <row r="1219" spans="3:13" x14ac:dyDescent="0.15">
      <c r="C1219" s="43">
        <v>1186</v>
      </c>
      <c r="D1219" s="42">
        <v>1186</v>
      </c>
      <c r="E1219" s="42">
        <v>0.94879999999999998</v>
      </c>
      <c r="F1219" s="42">
        <v>128</v>
      </c>
      <c r="G1219" s="42">
        <v>121.44640000000001</v>
      </c>
      <c r="H1219" s="42">
        <v>1.0539629005059021</v>
      </c>
      <c r="I1219" s="42">
        <v>1</v>
      </c>
      <c r="J1219" s="42">
        <v>1.0539629005059021</v>
      </c>
      <c r="K1219" s="42">
        <v>1</v>
      </c>
      <c r="L1219" s="42">
        <v>0.94879999999999998</v>
      </c>
      <c r="M1219">
        <v>1</v>
      </c>
    </row>
    <row r="1220" spans="3:13" x14ac:dyDescent="0.15">
      <c r="C1220" s="43">
        <v>1187</v>
      </c>
      <c r="D1220" s="42">
        <v>1187</v>
      </c>
      <c r="E1220" s="42">
        <v>0.9496</v>
      </c>
      <c r="F1220" s="42">
        <v>128</v>
      </c>
      <c r="G1220" s="42">
        <v>121.5488</v>
      </c>
      <c r="H1220" s="42">
        <v>1.0530749789385003</v>
      </c>
      <c r="I1220" s="42">
        <v>1</v>
      </c>
      <c r="J1220" s="42">
        <v>1.0530749789385003</v>
      </c>
      <c r="K1220" s="42">
        <v>1</v>
      </c>
      <c r="L1220" s="42">
        <v>0.9496</v>
      </c>
      <c r="M1220">
        <v>1</v>
      </c>
    </row>
    <row r="1221" spans="3:13" x14ac:dyDescent="0.15">
      <c r="C1221" s="43">
        <v>1188</v>
      </c>
      <c r="D1221" s="42">
        <v>1188</v>
      </c>
      <c r="E1221" s="42">
        <v>0.95040000000000002</v>
      </c>
      <c r="F1221" s="42">
        <v>128</v>
      </c>
      <c r="G1221" s="42">
        <v>121.6512</v>
      </c>
      <c r="H1221" s="42">
        <v>1.0521885521885521</v>
      </c>
      <c r="I1221" s="42">
        <v>1</v>
      </c>
      <c r="J1221" s="42">
        <v>1.0521885521885521</v>
      </c>
      <c r="K1221" s="42">
        <v>1</v>
      </c>
      <c r="L1221" s="42">
        <v>0.95040000000000002</v>
      </c>
      <c r="M1221">
        <v>1</v>
      </c>
    </row>
    <row r="1222" spans="3:13" x14ac:dyDescent="0.15">
      <c r="C1222" s="43">
        <v>1189</v>
      </c>
      <c r="D1222" s="42">
        <v>1189</v>
      </c>
      <c r="E1222" s="42">
        <v>0.95120000000000005</v>
      </c>
      <c r="F1222" s="42">
        <v>128</v>
      </c>
      <c r="G1222" s="42">
        <v>121.75360000000001</v>
      </c>
      <c r="H1222" s="42">
        <v>1.0513036164844407</v>
      </c>
      <c r="I1222" s="42">
        <v>1</v>
      </c>
      <c r="J1222" s="42">
        <v>1.0513036164844407</v>
      </c>
      <c r="K1222" s="42">
        <v>1</v>
      </c>
      <c r="L1222" s="42">
        <v>0.95120000000000005</v>
      </c>
      <c r="M1222">
        <v>1</v>
      </c>
    </row>
    <row r="1223" spans="3:13" x14ac:dyDescent="0.15">
      <c r="C1223" s="43">
        <v>1190</v>
      </c>
      <c r="D1223" s="42">
        <v>1190</v>
      </c>
      <c r="E1223" s="42">
        <v>0.95199999999999996</v>
      </c>
      <c r="F1223" s="42">
        <v>128</v>
      </c>
      <c r="G1223" s="42">
        <v>121.85600000000001</v>
      </c>
      <c r="H1223" s="42">
        <v>1.0504201680672269</v>
      </c>
      <c r="I1223" s="42">
        <v>1</v>
      </c>
      <c r="J1223" s="42">
        <v>1.0504201680672269</v>
      </c>
      <c r="K1223" s="42">
        <v>1</v>
      </c>
      <c r="L1223" s="42">
        <v>0.95199999999999996</v>
      </c>
      <c r="M1223">
        <v>1</v>
      </c>
    </row>
    <row r="1224" spans="3:13" x14ac:dyDescent="0.15">
      <c r="C1224" s="43">
        <v>1191</v>
      </c>
      <c r="D1224" s="42">
        <v>1191</v>
      </c>
      <c r="E1224" s="42">
        <v>0.95279999999999998</v>
      </c>
      <c r="F1224" s="42">
        <v>128</v>
      </c>
      <c r="G1224" s="42">
        <v>121.95840000000001</v>
      </c>
      <c r="H1224" s="42">
        <v>1.0495382031905962</v>
      </c>
      <c r="I1224" s="42">
        <v>1</v>
      </c>
      <c r="J1224" s="42">
        <v>1.0495382031905962</v>
      </c>
      <c r="K1224" s="42">
        <v>1</v>
      </c>
      <c r="L1224" s="42">
        <v>0.95279999999999998</v>
      </c>
      <c r="M1224">
        <v>1</v>
      </c>
    </row>
    <row r="1225" spans="3:13" x14ac:dyDescent="0.15">
      <c r="C1225" s="43">
        <v>1192</v>
      </c>
      <c r="D1225" s="42">
        <v>1192</v>
      </c>
      <c r="E1225" s="42">
        <v>0.9536</v>
      </c>
      <c r="F1225" s="42">
        <v>128</v>
      </c>
      <c r="G1225" s="42">
        <v>122.0608</v>
      </c>
      <c r="H1225" s="42">
        <v>1.0486577181208054</v>
      </c>
      <c r="I1225" s="42">
        <v>1</v>
      </c>
      <c r="J1225" s="42">
        <v>1.0486577181208054</v>
      </c>
      <c r="K1225" s="42">
        <v>1</v>
      </c>
      <c r="L1225" s="42">
        <v>0.9536</v>
      </c>
      <c r="M1225">
        <v>1</v>
      </c>
    </row>
    <row r="1226" spans="3:13" x14ac:dyDescent="0.15">
      <c r="C1226" s="43">
        <v>1193</v>
      </c>
      <c r="D1226" s="42">
        <v>1193</v>
      </c>
      <c r="E1226" s="42">
        <v>0.95440000000000003</v>
      </c>
      <c r="F1226" s="42">
        <v>128</v>
      </c>
      <c r="G1226" s="42">
        <v>122.1632</v>
      </c>
      <c r="H1226" s="42">
        <v>1.0477787091366304</v>
      </c>
      <c r="I1226" s="42">
        <v>1</v>
      </c>
      <c r="J1226" s="42">
        <v>1.0477787091366304</v>
      </c>
      <c r="K1226" s="42">
        <v>1</v>
      </c>
      <c r="L1226" s="42">
        <v>0.95440000000000003</v>
      </c>
      <c r="M1226">
        <v>1</v>
      </c>
    </row>
    <row r="1227" spans="3:13" x14ac:dyDescent="0.15">
      <c r="C1227" s="43">
        <v>1194</v>
      </c>
      <c r="D1227" s="42">
        <v>1194</v>
      </c>
      <c r="E1227" s="42">
        <v>0.95520000000000005</v>
      </c>
      <c r="F1227" s="42">
        <v>128</v>
      </c>
      <c r="G1227" s="42">
        <v>122.26560000000001</v>
      </c>
      <c r="H1227" s="42">
        <v>1.0469011725293131</v>
      </c>
      <c r="I1227" s="42">
        <v>1</v>
      </c>
      <c r="J1227" s="42">
        <v>1.0469011725293131</v>
      </c>
      <c r="K1227" s="42">
        <v>1</v>
      </c>
      <c r="L1227" s="42">
        <v>0.95520000000000005</v>
      </c>
      <c r="M1227">
        <v>1</v>
      </c>
    </row>
    <row r="1228" spans="3:13" x14ac:dyDescent="0.15">
      <c r="C1228" s="43">
        <v>1195</v>
      </c>
      <c r="D1228" s="42">
        <v>1195</v>
      </c>
      <c r="E1228" s="42">
        <v>0.95599999999999996</v>
      </c>
      <c r="F1228" s="42">
        <v>128</v>
      </c>
      <c r="G1228" s="42">
        <v>122.36800000000001</v>
      </c>
      <c r="H1228" s="42">
        <v>1.0460251046025104</v>
      </c>
      <c r="I1228" s="42">
        <v>1</v>
      </c>
      <c r="J1228" s="42">
        <v>1.0460251046025104</v>
      </c>
      <c r="K1228" s="42">
        <v>1</v>
      </c>
      <c r="L1228" s="42">
        <v>0.95599999999999996</v>
      </c>
      <c r="M1228">
        <v>1</v>
      </c>
    </row>
    <row r="1229" spans="3:13" x14ac:dyDescent="0.15">
      <c r="C1229" s="43">
        <v>1196</v>
      </c>
      <c r="D1229" s="42">
        <v>1196</v>
      </c>
      <c r="E1229" s="42">
        <v>0.95679999999999998</v>
      </c>
      <c r="F1229" s="42">
        <v>128</v>
      </c>
      <c r="G1229" s="42">
        <v>122.47040000000001</v>
      </c>
      <c r="H1229" s="42">
        <v>1.0451505016722409</v>
      </c>
      <c r="I1229" s="42">
        <v>1</v>
      </c>
      <c r="J1229" s="42">
        <v>1.0451505016722409</v>
      </c>
      <c r="K1229" s="42">
        <v>1</v>
      </c>
      <c r="L1229" s="42">
        <v>0.95679999999999998</v>
      </c>
      <c r="M1229">
        <v>1</v>
      </c>
    </row>
    <row r="1230" spans="3:13" x14ac:dyDescent="0.15">
      <c r="C1230" s="43">
        <v>1197</v>
      </c>
      <c r="D1230" s="42">
        <v>1197</v>
      </c>
      <c r="E1230" s="42">
        <v>0.95760000000000001</v>
      </c>
      <c r="F1230" s="42">
        <v>128</v>
      </c>
      <c r="G1230" s="42">
        <v>122.5728</v>
      </c>
      <c r="H1230" s="42">
        <v>1.0442773600668338</v>
      </c>
      <c r="I1230" s="42">
        <v>1</v>
      </c>
      <c r="J1230" s="42">
        <v>1.0442773600668338</v>
      </c>
      <c r="K1230" s="42">
        <v>1</v>
      </c>
      <c r="L1230" s="42">
        <v>0.95760000000000001</v>
      </c>
      <c r="M1230">
        <v>1</v>
      </c>
    </row>
    <row r="1231" spans="3:13" x14ac:dyDescent="0.15">
      <c r="C1231" s="43">
        <v>1198</v>
      </c>
      <c r="D1231" s="42">
        <v>1198</v>
      </c>
      <c r="E1231" s="42">
        <v>0.95840000000000003</v>
      </c>
      <c r="F1231" s="42">
        <v>128</v>
      </c>
      <c r="G1231" s="42">
        <v>122.6752</v>
      </c>
      <c r="H1231" s="42">
        <v>1.0434056761268782</v>
      </c>
      <c r="I1231" s="42">
        <v>1</v>
      </c>
      <c r="J1231" s="42">
        <v>1.0434056761268782</v>
      </c>
      <c r="K1231" s="42">
        <v>1</v>
      </c>
      <c r="L1231" s="42">
        <v>0.95840000000000003</v>
      </c>
      <c r="M1231">
        <v>1</v>
      </c>
    </row>
    <row r="1232" spans="3:13" x14ac:dyDescent="0.15">
      <c r="C1232" s="43">
        <v>1199</v>
      </c>
      <c r="D1232" s="42">
        <v>1199</v>
      </c>
      <c r="E1232" s="42">
        <v>0.95920000000000005</v>
      </c>
      <c r="F1232" s="42">
        <v>128</v>
      </c>
      <c r="G1232" s="42">
        <v>122.77760000000001</v>
      </c>
      <c r="H1232" s="42">
        <v>1.042535446205171</v>
      </c>
      <c r="I1232" s="42">
        <v>1</v>
      </c>
      <c r="J1232" s="42">
        <v>1.042535446205171</v>
      </c>
      <c r="K1232" s="42">
        <v>1</v>
      </c>
      <c r="L1232" s="42">
        <v>0.95920000000000005</v>
      </c>
      <c r="M1232">
        <v>1</v>
      </c>
    </row>
    <row r="1233" spans="3:13" x14ac:dyDescent="0.15">
      <c r="C1233" s="43">
        <v>1200</v>
      </c>
      <c r="D1233" s="42">
        <v>1200</v>
      </c>
      <c r="E1233" s="42">
        <v>0.96</v>
      </c>
      <c r="F1233" s="42">
        <v>128</v>
      </c>
      <c r="G1233" s="42">
        <v>122.88000000000001</v>
      </c>
      <c r="H1233" s="42">
        <v>1.0416666666666667</v>
      </c>
      <c r="I1233" s="42">
        <v>1</v>
      </c>
      <c r="J1233" s="42">
        <v>1.0416666666666667</v>
      </c>
      <c r="K1233" s="42">
        <v>1</v>
      </c>
      <c r="L1233" s="42">
        <v>0.96</v>
      </c>
      <c r="M1233">
        <v>1</v>
      </c>
    </row>
    <row r="1234" spans="3:13" x14ac:dyDescent="0.15">
      <c r="C1234" s="43">
        <v>1201</v>
      </c>
      <c r="D1234" s="42">
        <v>1201</v>
      </c>
      <c r="E1234" s="42">
        <v>0.96079999999999999</v>
      </c>
      <c r="F1234" s="42">
        <v>128</v>
      </c>
      <c r="G1234" s="42">
        <v>122.98240000000001</v>
      </c>
      <c r="H1234" s="42">
        <v>1.0407993338884263</v>
      </c>
      <c r="I1234" s="42">
        <v>1</v>
      </c>
      <c r="J1234" s="42">
        <v>1.0407993338884263</v>
      </c>
      <c r="K1234" s="42">
        <v>1</v>
      </c>
      <c r="L1234" s="42">
        <v>0.96079999999999999</v>
      </c>
      <c r="M1234">
        <v>1</v>
      </c>
    </row>
    <row r="1235" spans="3:13" x14ac:dyDescent="0.15">
      <c r="C1235" s="43">
        <v>1202</v>
      </c>
      <c r="D1235" s="42">
        <v>1202</v>
      </c>
      <c r="E1235" s="42">
        <v>0.96160000000000001</v>
      </c>
      <c r="F1235" s="42">
        <v>128</v>
      </c>
      <c r="G1235" s="42">
        <v>123.0848</v>
      </c>
      <c r="H1235" s="42">
        <v>1.0399334442595674</v>
      </c>
      <c r="I1235" s="42">
        <v>1</v>
      </c>
      <c r="J1235" s="42">
        <v>1.0399334442595674</v>
      </c>
      <c r="K1235" s="42">
        <v>1</v>
      </c>
      <c r="L1235" s="42">
        <v>0.96160000000000001</v>
      </c>
      <c r="M1235">
        <v>1</v>
      </c>
    </row>
    <row r="1236" spans="3:13" x14ac:dyDescent="0.15">
      <c r="C1236" s="43">
        <v>1203</v>
      </c>
      <c r="D1236" s="42">
        <v>1203</v>
      </c>
      <c r="E1236" s="42">
        <v>0.96240000000000003</v>
      </c>
      <c r="F1236" s="42">
        <v>128</v>
      </c>
      <c r="G1236" s="42">
        <v>123.1872</v>
      </c>
      <c r="H1236" s="42">
        <v>1.0390689941812137</v>
      </c>
      <c r="I1236" s="42">
        <v>1</v>
      </c>
      <c r="J1236" s="42">
        <v>1.0390689941812137</v>
      </c>
      <c r="K1236" s="42">
        <v>1</v>
      </c>
      <c r="L1236" s="42">
        <v>0.96240000000000003</v>
      </c>
      <c r="M1236">
        <v>1</v>
      </c>
    </row>
    <row r="1237" spans="3:13" x14ac:dyDescent="0.15">
      <c r="C1237" s="43">
        <v>1204</v>
      </c>
      <c r="D1237" s="42">
        <v>1204</v>
      </c>
      <c r="E1237" s="42">
        <v>0.96319999999999995</v>
      </c>
      <c r="F1237" s="42">
        <v>128</v>
      </c>
      <c r="G1237" s="42">
        <v>123.28960000000001</v>
      </c>
      <c r="H1237" s="42">
        <v>1.0382059800664452</v>
      </c>
      <c r="I1237" s="42">
        <v>1</v>
      </c>
      <c r="J1237" s="42">
        <v>1.0382059800664452</v>
      </c>
      <c r="K1237" s="42">
        <v>1</v>
      </c>
      <c r="L1237" s="42">
        <v>0.96319999999999995</v>
      </c>
      <c r="M1237">
        <v>1</v>
      </c>
    </row>
    <row r="1238" spans="3:13" x14ac:dyDescent="0.15">
      <c r="C1238" s="43">
        <v>1205</v>
      </c>
      <c r="D1238" s="42">
        <v>1205</v>
      </c>
      <c r="E1238" s="42">
        <v>0.96399999999999997</v>
      </c>
      <c r="F1238" s="42">
        <v>128</v>
      </c>
      <c r="G1238" s="42">
        <v>123.39200000000001</v>
      </c>
      <c r="H1238" s="42">
        <v>1.0373443983402491</v>
      </c>
      <c r="I1238" s="42">
        <v>1</v>
      </c>
      <c r="J1238" s="42">
        <v>1.0373443983402491</v>
      </c>
      <c r="K1238" s="42">
        <v>1</v>
      </c>
      <c r="L1238" s="42">
        <v>0.96399999999999997</v>
      </c>
      <c r="M1238">
        <v>1</v>
      </c>
    </row>
    <row r="1239" spans="3:13" x14ac:dyDescent="0.15">
      <c r="C1239" s="43">
        <v>1206</v>
      </c>
      <c r="D1239" s="42">
        <v>1206</v>
      </c>
      <c r="E1239" s="42">
        <v>0.96479999999999999</v>
      </c>
      <c r="F1239" s="42">
        <v>128</v>
      </c>
      <c r="G1239" s="42">
        <v>123.4944</v>
      </c>
      <c r="H1239" s="42">
        <v>1.0364842454394694</v>
      </c>
      <c r="I1239" s="42">
        <v>1</v>
      </c>
      <c r="J1239" s="42">
        <v>1.0364842454394694</v>
      </c>
      <c r="K1239" s="42">
        <v>1</v>
      </c>
      <c r="L1239" s="42">
        <v>0.96479999999999999</v>
      </c>
      <c r="M1239">
        <v>1</v>
      </c>
    </row>
    <row r="1240" spans="3:13" x14ac:dyDescent="0.15">
      <c r="C1240" s="43">
        <v>1207</v>
      </c>
      <c r="D1240" s="42">
        <v>1207</v>
      </c>
      <c r="E1240" s="42">
        <v>0.96560000000000001</v>
      </c>
      <c r="F1240" s="42">
        <v>128</v>
      </c>
      <c r="G1240" s="42">
        <v>123.5968</v>
      </c>
      <c r="H1240" s="42">
        <v>1.0356255178127589</v>
      </c>
      <c r="I1240" s="42">
        <v>1</v>
      </c>
      <c r="J1240" s="42">
        <v>1.0356255178127589</v>
      </c>
      <c r="K1240" s="42">
        <v>1</v>
      </c>
      <c r="L1240" s="42">
        <v>0.96560000000000001</v>
      </c>
      <c r="M1240">
        <v>1</v>
      </c>
    </row>
    <row r="1241" spans="3:13" x14ac:dyDescent="0.15">
      <c r="C1241" s="43">
        <v>1208</v>
      </c>
      <c r="D1241" s="42">
        <v>1208</v>
      </c>
      <c r="E1241" s="42">
        <v>0.96640000000000004</v>
      </c>
      <c r="F1241" s="42">
        <v>128</v>
      </c>
      <c r="G1241" s="42">
        <v>123.6992</v>
      </c>
      <c r="H1241" s="42">
        <v>1.0347682119205297</v>
      </c>
      <c r="I1241" s="42">
        <v>1</v>
      </c>
      <c r="J1241" s="42">
        <v>1.0347682119205297</v>
      </c>
      <c r="K1241" s="42">
        <v>1</v>
      </c>
      <c r="L1241" s="42">
        <v>0.96640000000000004</v>
      </c>
      <c r="M1241">
        <v>1</v>
      </c>
    </row>
    <row r="1242" spans="3:13" x14ac:dyDescent="0.15">
      <c r="C1242" s="43">
        <v>1209</v>
      </c>
      <c r="D1242" s="42">
        <v>1209</v>
      </c>
      <c r="E1242" s="42">
        <v>0.96719999999999995</v>
      </c>
      <c r="F1242" s="42">
        <v>128</v>
      </c>
      <c r="G1242" s="42">
        <v>123.80160000000001</v>
      </c>
      <c r="H1242" s="42">
        <v>1.0339123242349049</v>
      </c>
      <c r="I1242" s="42">
        <v>1</v>
      </c>
      <c r="J1242" s="42">
        <v>1.0339123242349049</v>
      </c>
      <c r="K1242" s="42">
        <v>1</v>
      </c>
      <c r="L1242" s="42">
        <v>0.96719999999999995</v>
      </c>
      <c r="M1242">
        <v>1</v>
      </c>
    </row>
    <row r="1243" spans="3:13" x14ac:dyDescent="0.15">
      <c r="C1243" s="43">
        <v>1210</v>
      </c>
      <c r="D1243" s="42">
        <v>1210</v>
      </c>
      <c r="E1243" s="42">
        <v>0.96799999999999997</v>
      </c>
      <c r="F1243" s="42">
        <v>128</v>
      </c>
      <c r="G1243" s="42">
        <v>123.90400000000001</v>
      </c>
      <c r="H1243" s="42">
        <v>1.0330578512396695</v>
      </c>
      <c r="I1243" s="42">
        <v>1</v>
      </c>
      <c r="J1243" s="42">
        <v>1.0330578512396695</v>
      </c>
      <c r="K1243" s="42">
        <v>1</v>
      </c>
      <c r="L1243" s="42">
        <v>0.96799999999999997</v>
      </c>
      <c r="M1243">
        <v>1</v>
      </c>
    </row>
    <row r="1244" spans="3:13" x14ac:dyDescent="0.15">
      <c r="C1244" s="43">
        <v>1211</v>
      </c>
      <c r="D1244" s="42">
        <v>1211</v>
      </c>
      <c r="E1244" s="42">
        <v>0.96879999999999999</v>
      </c>
      <c r="F1244" s="42">
        <v>128</v>
      </c>
      <c r="G1244" s="42">
        <v>124.0064</v>
      </c>
      <c r="H1244" s="42">
        <v>1.0322047894302229</v>
      </c>
      <c r="I1244" s="42">
        <v>1</v>
      </c>
      <c r="J1244" s="42">
        <v>1.0322047894302229</v>
      </c>
      <c r="K1244" s="42">
        <v>1</v>
      </c>
      <c r="L1244" s="42">
        <v>0.96879999999999999</v>
      </c>
      <c r="M1244">
        <v>1</v>
      </c>
    </row>
    <row r="1245" spans="3:13" x14ac:dyDescent="0.15">
      <c r="C1245" s="43">
        <v>1212</v>
      </c>
      <c r="D1245" s="42">
        <v>1212</v>
      </c>
      <c r="E1245" s="42">
        <v>0.96960000000000002</v>
      </c>
      <c r="F1245" s="42">
        <v>128</v>
      </c>
      <c r="G1245" s="42">
        <v>124.1088</v>
      </c>
      <c r="H1245" s="42">
        <v>1.0313531353135312</v>
      </c>
      <c r="I1245" s="42">
        <v>1</v>
      </c>
      <c r="J1245" s="42">
        <v>1.0313531353135312</v>
      </c>
      <c r="K1245" s="42">
        <v>1</v>
      </c>
      <c r="L1245" s="42">
        <v>0.96960000000000002</v>
      </c>
      <c r="M1245">
        <v>1</v>
      </c>
    </row>
    <row r="1246" spans="3:13" x14ac:dyDescent="0.15">
      <c r="C1246" s="43">
        <v>1213</v>
      </c>
      <c r="D1246" s="42">
        <v>1213</v>
      </c>
      <c r="E1246" s="42">
        <v>0.97040000000000004</v>
      </c>
      <c r="F1246" s="42">
        <v>128</v>
      </c>
      <c r="G1246" s="42">
        <v>124.21120000000001</v>
      </c>
      <c r="H1246" s="42">
        <v>1.0305028854080791</v>
      </c>
      <c r="I1246" s="42">
        <v>1</v>
      </c>
      <c r="J1246" s="42">
        <v>1.0305028854080791</v>
      </c>
      <c r="K1246" s="42">
        <v>1</v>
      </c>
      <c r="L1246" s="42">
        <v>0.97040000000000004</v>
      </c>
      <c r="M1246">
        <v>1</v>
      </c>
    </row>
    <row r="1247" spans="3:13" x14ac:dyDescent="0.15">
      <c r="C1247" s="43">
        <v>1214</v>
      </c>
      <c r="D1247" s="42">
        <v>1214</v>
      </c>
      <c r="E1247" s="42">
        <v>0.97119999999999995</v>
      </c>
      <c r="F1247" s="42">
        <v>128</v>
      </c>
      <c r="G1247" s="42">
        <v>124.31360000000001</v>
      </c>
      <c r="H1247" s="42">
        <v>1.0296540362438222</v>
      </c>
      <c r="I1247" s="42">
        <v>1</v>
      </c>
      <c r="J1247" s="42">
        <v>1.0296540362438222</v>
      </c>
      <c r="K1247" s="42">
        <v>1</v>
      </c>
      <c r="L1247" s="42">
        <v>0.97119999999999995</v>
      </c>
      <c r="M1247">
        <v>1</v>
      </c>
    </row>
    <row r="1248" spans="3:13" x14ac:dyDescent="0.15">
      <c r="C1248" s="43">
        <v>1215</v>
      </c>
      <c r="D1248" s="42">
        <v>1215</v>
      </c>
      <c r="E1248" s="42">
        <v>0.97199999999999998</v>
      </c>
      <c r="F1248" s="42">
        <v>128</v>
      </c>
      <c r="G1248" s="42">
        <v>124.41600000000001</v>
      </c>
      <c r="H1248" s="42">
        <v>1.0288065843621399</v>
      </c>
      <c r="I1248" s="42">
        <v>1</v>
      </c>
      <c r="J1248" s="42">
        <v>1.0288065843621399</v>
      </c>
      <c r="K1248" s="42">
        <v>1</v>
      </c>
      <c r="L1248" s="42">
        <v>0.97199999999999998</v>
      </c>
      <c r="M1248">
        <v>1</v>
      </c>
    </row>
    <row r="1249" spans="3:13" x14ac:dyDescent="0.15">
      <c r="C1249" s="43">
        <v>1216</v>
      </c>
      <c r="D1249" s="42">
        <v>1216</v>
      </c>
      <c r="E1249" s="42">
        <v>0.9728</v>
      </c>
      <c r="F1249" s="42">
        <v>128</v>
      </c>
      <c r="G1249" s="42">
        <v>124.5184</v>
      </c>
      <c r="H1249" s="42">
        <v>1.0279605263157894</v>
      </c>
      <c r="I1249" s="42">
        <v>1</v>
      </c>
      <c r="J1249" s="42">
        <v>1.0279605263157894</v>
      </c>
      <c r="K1249" s="42">
        <v>1</v>
      </c>
      <c r="L1249" s="42">
        <v>0.9728</v>
      </c>
      <c r="M1249">
        <v>1</v>
      </c>
    </row>
    <row r="1250" spans="3:13" x14ac:dyDescent="0.15">
      <c r="C1250" s="43">
        <v>1217</v>
      </c>
      <c r="D1250" s="42">
        <v>1217</v>
      </c>
      <c r="E1250" s="42">
        <v>0.97360000000000002</v>
      </c>
      <c r="F1250" s="42">
        <v>128</v>
      </c>
      <c r="G1250" s="42">
        <v>124.6208</v>
      </c>
      <c r="H1250" s="42">
        <v>1.0271158586688578</v>
      </c>
      <c r="I1250" s="42">
        <v>1</v>
      </c>
      <c r="J1250" s="42">
        <v>1.0271158586688578</v>
      </c>
      <c r="K1250" s="42">
        <v>1</v>
      </c>
      <c r="L1250" s="42">
        <v>0.97360000000000002</v>
      </c>
      <c r="M1250">
        <v>1</v>
      </c>
    </row>
    <row r="1251" spans="3:13" x14ac:dyDescent="0.15">
      <c r="C1251" s="43">
        <v>1218</v>
      </c>
      <c r="D1251" s="42">
        <v>1218</v>
      </c>
      <c r="E1251" s="42">
        <v>0.97440000000000004</v>
      </c>
      <c r="F1251" s="42">
        <v>128</v>
      </c>
      <c r="G1251" s="42">
        <v>124.72320000000001</v>
      </c>
      <c r="H1251" s="42">
        <v>1.0262725779967159</v>
      </c>
      <c r="I1251" s="42">
        <v>1</v>
      </c>
      <c r="J1251" s="42">
        <v>1.0262725779967159</v>
      </c>
      <c r="K1251" s="42">
        <v>1</v>
      </c>
      <c r="L1251" s="42">
        <v>0.97440000000000004</v>
      </c>
      <c r="M1251">
        <v>1</v>
      </c>
    </row>
    <row r="1252" spans="3:13" x14ac:dyDescent="0.15">
      <c r="C1252" s="43">
        <v>1219</v>
      </c>
      <c r="D1252" s="42">
        <v>1219</v>
      </c>
      <c r="E1252" s="42">
        <v>0.97519999999999996</v>
      </c>
      <c r="F1252" s="42">
        <v>128</v>
      </c>
      <c r="G1252" s="42">
        <v>124.82560000000001</v>
      </c>
      <c r="H1252" s="42">
        <v>1.0254306808859721</v>
      </c>
      <c r="I1252" s="42">
        <v>1</v>
      </c>
      <c r="J1252" s="42">
        <v>1.0254306808859721</v>
      </c>
      <c r="K1252" s="42">
        <v>1</v>
      </c>
      <c r="L1252" s="42">
        <v>0.97519999999999996</v>
      </c>
      <c r="M1252">
        <v>1</v>
      </c>
    </row>
    <row r="1253" spans="3:13" x14ac:dyDescent="0.15">
      <c r="C1253" s="43">
        <v>1220</v>
      </c>
      <c r="D1253" s="42">
        <v>1220</v>
      </c>
      <c r="E1253" s="42">
        <v>0.97599999999999998</v>
      </c>
      <c r="F1253" s="42">
        <v>128</v>
      </c>
      <c r="G1253" s="42">
        <v>124.92800000000001</v>
      </c>
      <c r="H1253" s="42">
        <v>1.0245901639344261</v>
      </c>
      <c r="I1253" s="42">
        <v>1</v>
      </c>
      <c r="J1253" s="42">
        <v>1.0245901639344261</v>
      </c>
      <c r="K1253" s="42">
        <v>1</v>
      </c>
      <c r="L1253" s="42">
        <v>0.97599999999999998</v>
      </c>
      <c r="M1253">
        <v>1</v>
      </c>
    </row>
    <row r="1254" spans="3:13" x14ac:dyDescent="0.15">
      <c r="C1254" s="43">
        <v>1221</v>
      </c>
      <c r="D1254" s="42">
        <v>1221</v>
      </c>
      <c r="E1254" s="42">
        <v>0.9768</v>
      </c>
      <c r="F1254" s="42">
        <v>128</v>
      </c>
      <c r="G1254" s="42">
        <v>125.0304</v>
      </c>
      <c r="H1254" s="42">
        <v>1.0237510237510237</v>
      </c>
      <c r="I1254" s="42">
        <v>1</v>
      </c>
      <c r="J1254" s="42">
        <v>1.0237510237510237</v>
      </c>
      <c r="K1254" s="42">
        <v>1</v>
      </c>
      <c r="L1254" s="42">
        <v>0.9768</v>
      </c>
      <c r="M1254">
        <v>1</v>
      </c>
    </row>
    <row r="1255" spans="3:13" x14ac:dyDescent="0.15">
      <c r="C1255" s="43">
        <v>1222</v>
      </c>
      <c r="D1255" s="42">
        <v>1222</v>
      </c>
      <c r="E1255" s="42">
        <v>0.97760000000000002</v>
      </c>
      <c r="F1255" s="42">
        <v>128</v>
      </c>
      <c r="G1255" s="42">
        <v>125.1328</v>
      </c>
      <c r="H1255" s="42">
        <v>1.0229132569558101</v>
      </c>
      <c r="I1255" s="42">
        <v>1</v>
      </c>
      <c r="J1255" s="42">
        <v>1.0229132569558101</v>
      </c>
      <c r="K1255" s="42">
        <v>1</v>
      </c>
      <c r="L1255" s="42">
        <v>0.97760000000000002</v>
      </c>
      <c r="M1255">
        <v>1</v>
      </c>
    </row>
    <row r="1256" spans="3:13" x14ac:dyDescent="0.15">
      <c r="C1256" s="43">
        <v>1223</v>
      </c>
      <c r="D1256" s="42">
        <v>1223</v>
      </c>
      <c r="E1256" s="42">
        <v>0.97840000000000005</v>
      </c>
      <c r="F1256" s="42">
        <v>128</v>
      </c>
      <c r="G1256" s="42">
        <v>125.23520000000001</v>
      </c>
      <c r="H1256" s="42">
        <v>1.0220768601798855</v>
      </c>
      <c r="I1256" s="42">
        <v>1</v>
      </c>
      <c r="J1256" s="42">
        <v>1.0220768601798855</v>
      </c>
      <c r="K1256" s="42">
        <v>1</v>
      </c>
      <c r="L1256" s="42">
        <v>0.97840000000000005</v>
      </c>
      <c r="M1256">
        <v>1</v>
      </c>
    </row>
    <row r="1257" spans="3:13" x14ac:dyDescent="0.15">
      <c r="C1257" s="43">
        <v>1224</v>
      </c>
      <c r="D1257" s="42">
        <v>1224</v>
      </c>
      <c r="E1257" s="42">
        <v>0.97919999999999996</v>
      </c>
      <c r="F1257" s="42">
        <v>128</v>
      </c>
      <c r="G1257" s="42">
        <v>125.33760000000001</v>
      </c>
      <c r="H1257" s="42">
        <v>1.0212418300653596</v>
      </c>
      <c r="I1257" s="42">
        <v>1</v>
      </c>
      <c r="J1257" s="42">
        <v>1.0212418300653596</v>
      </c>
      <c r="K1257" s="42">
        <v>1</v>
      </c>
      <c r="L1257" s="42">
        <v>0.97919999999999996</v>
      </c>
      <c r="M1257">
        <v>1</v>
      </c>
    </row>
    <row r="1258" spans="3:13" x14ac:dyDescent="0.15">
      <c r="C1258" s="43">
        <v>1225</v>
      </c>
      <c r="D1258" s="42">
        <v>1225</v>
      </c>
      <c r="E1258" s="42">
        <v>0.98</v>
      </c>
      <c r="F1258" s="42">
        <v>128</v>
      </c>
      <c r="G1258" s="42">
        <v>125.44000000000001</v>
      </c>
      <c r="H1258" s="42">
        <v>1.0204081632653061</v>
      </c>
      <c r="I1258" s="42">
        <v>1</v>
      </c>
      <c r="J1258" s="42">
        <v>1.0204081632653061</v>
      </c>
      <c r="K1258" s="42">
        <v>1</v>
      </c>
      <c r="L1258" s="42">
        <v>0.98</v>
      </c>
      <c r="M1258">
        <v>1</v>
      </c>
    </row>
    <row r="1259" spans="3:13" x14ac:dyDescent="0.15">
      <c r="C1259" s="43">
        <v>1226</v>
      </c>
      <c r="D1259" s="42">
        <v>1226</v>
      </c>
      <c r="E1259" s="42">
        <v>0.98080000000000001</v>
      </c>
      <c r="F1259" s="42">
        <v>128</v>
      </c>
      <c r="G1259" s="42">
        <v>125.5424</v>
      </c>
      <c r="H1259" s="42">
        <v>1.0195758564437194</v>
      </c>
      <c r="I1259" s="42">
        <v>1</v>
      </c>
      <c r="J1259" s="42">
        <v>1.0195758564437194</v>
      </c>
      <c r="K1259" s="42">
        <v>1</v>
      </c>
      <c r="L1259" s="42">
        <v>0.98080000000000001</v>
      </c>
      <c r="M1259">
        <v>1</v>
      </c>
    </row>
    <row r="1260" spans="3:13" x14ac:dyDescent="0.15">
      <c r="C1260" s="43">
        <v>1227</v>
      </c>
      <c r="D1260" s="42">
        <v>1227</v>
      </c>
      <c r="E1260" s="42">
        <v>0.98160000000000003</v>
      </c>
      <c r="F1260" s="42">
        <v>128</v>
      </c>
      <c r="G1260" s="42">
        <v>125.6448</v>
      </c>
      <c r="H1260" s="42">
        <v>1.0187449062754685</v>
      </c>
      <c r="I1260" s="42">
        <v>1</v>
      </c>
      <c r="J1260" s="42">
        <v>1.0187449062754685</v>
      </c>
      <c r="K1260" s="42">
        <v>1</v>
      </c>
      <c r="L1260" s="42">
        <v>0.98160000000000003</v>
      </c>
      <c r="M1260">
        <v>1</v>
      </c>
    </row>
    <row r="1261" spans="3:13" x14ac:dyDescent="0.15">
      <c r="C1261" s="43">
        <v>1228</v>
      </c>
      <c r="D1261" s="42">
        <v>1228</v>
      </c>
      <c r="E1261" s="42">
        <v>0.98240000000000005</v>
      </c>
      <c r="F1261" s="42">
        <v>128</v>
      </c>
      <c r="G1261" s="42">
        <v>125.74720000000001</v>
      </c>
      <c r="H1261" s="42">
        <v>1.0179153094462541</v>
      </c>
      <c r="I1261" s="42">
        <v>1</v>
      </c>
      <c r="J1261" s="42">
        <v>1.0179153094462541</v>
      </c>
      <c r="K1261" s="42">
        <v>1</v>
      </c>
      <c r="L1261" s="42">
        <v>0.98240000000000005</v>
      </c>
      <c r="M1261">
        <v>1</v>
      </c>
    </row>
    <row r="1262" spans="3:13" x14ac:dyDescent="0.15">
      <c r="C1262" s="43">
        <v>1229</v>
      </c>
      <c r="D1262" s="42">
        <v>1229</v>
      </c>
      <c r="E1262" s="42">
        <v>0.98319999999999996</v>
      </c>
      <c r="F1262" s="42">
        <v>128</v>
      </c>
      <c r="G1262" s="42">
        <v>125.84960000000001</v>
      </c>
      <c r="H1262" s="42">
        <v>1.017087062652563</v>
      </c>
      <c r="I1262" s="42">
        <v>1</v>
      </c>
      <c r="J1262" s="42">
        <v>1.017087062652563</v>
      </c>
      <c r="K1262" s="42">
        <v>1</v>
      </c>
      <c r="L1262" s="42">
        <v>0.98319999999999996</v>
      </c>
      <c r="M1262">
        <v>1</v>
      </c>
    </row>
    <row r="1263" spans="3:13" x14ac:dyDescent="0.15">
      <c r="C1263" s="43">
        <v>1230</v>
      </c>
      <c r="D1263" s="42">
        <v>1230</v>
      </c>
      <c r="E1263" s="42">
        <v>0.98399999999999999</v>
      </c>
      <c r="F1263" s="42">
        <v>128</v>
      </c>
      <c r="G1263" s="42">
        <v>125.95200000000001</v>
      </c>
      <c r="H1263" s="42">
        <v>1.0162601626016261</v>
      </c>
      <c r="I1263" s="42">
        <v>1</v>
      </c>
      <c r="J1263" s="42">
        <v>1.0162601626016261</v>
      </c>
      <c r="K1263" s="42">
        <v>1</v>
      </c>
      <c r="L1263" s="42">
        <v>0.98399999999999999</v>
      </c>
      <c r="M1263">
        <v>1</v>
      </c>
    </row>
    <row r="1264" spans="3:13" x14ac:dyDescent="0.15">
      <c r="C1264" s="43">
        <v>1231</v>
      </c>
      <c r="D1264" s="42">
        <v>1231</v>
      </c>
      <c r="E1264" s="42">
        <v>0.98480000000000001</v>
      </c>
      <c r="F1264" s="42">
        <v>128</v>
      </c>
      <c r="G1264" s="42">
        <v>126.0544</v>
      </c>
      <c r="H1264" s="42">
        <v>1.0154346060113728</v>
      </c>
      <c r="I1264" s="42">
        <v>1</v>
      </c>
      <c r="J1264" s="42">
        <v>1.0154346060113728</v>
      </c>
      <c r="K1264" s="42">
        <v>1</v>
      </c>
      <c r="L1264" s="42">
        <v>0.98480000000000001</v>
      </c>
      <c r="M1264">
        <v>1</v>
      </c>
    </row>
    <row r="1265" spans="3:13" x14ac:dyDescent="0.15">
      <c r="C1265" s="43">
        <v>1232</v>
      </c>
      <c r="D1265" s="42">
        <v>1232</v>
      </c>
      <c r="E1265" s="42">
        <v>0.98560000000000003</v>
      </c>
      <c r="F1265" s="42">
        <v>128</v>
      </c>
      <c r="G1265" s="42">
        <v>126.1568</v>
      </c>
      <c r="H1265" s="42">
        <v>1.0146103896103895</v>
      </c>
      <c r="I1265" s="42">
        <v>1</v>
      </c>
      <c r="J1265" s="42">
        <v>1.0146103896103895</v>
      </c>
      <c r="K1265" s="42">
        <v>1</v>
      </c>
      <c r="L1265" s="42">
        <v>0.98560000000000003</v>
      </c>
      <c r="M1265">
        <v>1</v>
      </c>
    </row>
    <row r="1266" spans="3:13" x14ac:dyDescent="0.15">
      <c r="C1266" s="43">
        <v>1233</v>
      </c>
      <c r="D1266" s="42">
        <v>1233</v>
      </c>
      <c r="E1266" s="42">
        <v>0.98640000000000005</v>
      </c>
      <c r="F1266" s="42">
        <v>128</v>
      </c>
      <c r="G1266" s="42">
        <v>126.25920000000001</v>
      </c>
      <c r="H1266" s="42">
        <v>1.013787510137875</v>
      </c>
      <c r="I1266" s="42">
        <v>1</v>
      </c>
      <c r="J1266" s="42">
        <v>1.013787510137875</v>
      </c>
      <c r="K1266" s="42">
        <v>1</v>
      </c>
      <c r="L1266" s="42">
        <v>0.98640000000000005</v>
      </c>
      <c r="M1266">
        <v>1</v>
      </c>
    </row>
    <row r="1267" spans="3:13" x14ac:dyDescent="0.15">
      <c r="C1267" s="43">
        <v>1234</v>
      </c>
      <c r="D1267" s="42">
        <v>1234</v>
      </c>
      <c r="E1267" s="42">
        <v>0.98719999999999997</v>
      </c>
      <c r="F1267" s="42">
        <v>128</v>
      </c>
      <c r="G1267" s="42">
        <v>126.36160000000001</v>
      </c>
      <c r="H1267" s="42">
        <v>1.012965964343598</v>
      </c>
      <c r="I1267" s="42">
        <v>1</v>
      </c>
      <c r="J1267" s="42">
        <v>1.012965964343598</v>
      </c>
      <c r="K1267" s="42">
        <v>1</v>
      </c>
      <c r="L1267" s="42">
        <v>0.98719999999999997</v>
      </c>
      <c r="M1267">
        <v>1</v>
      </c>
    </row>
    <row r="1268" spans="3:13" x14ac:dyDescent="0.15">
      <c r="C1268" s="43">
        <v>1235</v>
      </c>
      <c r="D1268" s="42">
        <v>1235</v>
      </c>
      <c r="E1268" s="42">
        <v>0.98799999999999999</v>
      </c>
      <c r="F1268" s="42">
        <v>128</v>
      </c>
      <c r="G1268" s="42">
        <v>126.46400000000001</v>
      </c>
      <c r="H1268" s="42">
        <v>1.0121457489878543</v>
      </c>
      <c r="I1268" s="42">
        <v>1</v>
      </c>
      <c r="J1268" s="42">
        <v>1.0121457489878543</v>
      </c>
      <c r="K1268" s="42">
        <v>1</v>
      </c>
      <c r="L1268" s="42">
        <v>0.98799999999999999</v>
      </c>
      <c r="M1268">
        <v>1</v>
      </c>
    </row>
    <row r="1269" spans="3:13" x14ac:dyDescent="0.15">
      <c r="C1269" s="43">
        <v>1236</v>
      </c>
      <c r="D1269" s="42">
        <v>1236</v>
      </c>
      <c r="E1269" s="42">
        <v>0.98880000000000001</v>
      </c>
      <c r="F1269" s="42">
        <v>128</v>
      </c>
      <c r="G1269" s="42">
        <v>126.5664</v>
      </c>
      <c r="H1269" s="42">
        <v>1.0113268608414239</v>
      </c>
      <c r="I1269" s="42">
        <v>1</v>
      </c>
      <c r="J1269" s="42">
        <v>1.0113268608414239</v>
      </c>
      <c r="K1269" s="42">
        <v>1</v>
      </c>
      <c r="L1269" s="42">
        <v>0.98880000000000001</v>
      </c>
      <c r="M1269">
        <v>1</v>
      </c>
    </row>
    <row r="1270" spans="3:13" x14ac:dyDescent="0.15">
      <c r="C1270" s="43">
        <v>1237</v>
      </c>
      <c r="D1270" s="42">
        <v>1237</v>
      </c>
      <c r="E1270" s="42">
        <v>0.98960000000000004</v>
      </c>
      <c r="F1270" s="42">
        <v>128</v>
      </c>
      <c r="G1270" s="42">
        <v>126.6688</v>
      </c>
      <c r="H1270" s="42">
        <v>1.0105092966855296</v>
      </c>
      <c r="I1270" s="42">
        <v>1</v>
      </c>
      <c r="J1270" s="42">
        <v>1.0105092966855296</v>
      </c>
      <c r="K1270" s="42">
        <v>1</v>
      </c>
      <c r="L1270" s="42">
        <v>0.98960000000000004</v>
      </c>
      <c r="M1270">
        <v>1</v>
      </c>
    </row>
    <row r="1271" spans="3:13" x14ac:dyDescent="0.15">
      <c r="C1271" s="43">
        <v>1238</v>
      </c>
      <c r="D1271" s="42">
        <v>1238</v>
      </c>
      <c r="E1271" s="42">
        <v>0.99039999999999995</v>
      </c>
      <c r="F1271" s="42">
        <v>128</v>
      </c>
      <c r="G1271" s="42">
        <v>126.77120000000001</v>
      </c>
      <c r="H1271" s="42">
        <v>1.0096930533117934</v>
      </c>
      <c r="I1271" s="42">
        <v>1</v>
      </c>
      <c r="J1271" s="42">
        <v>1.0096930533117934</v>
      </c>
      <c r="K1271" s="42">
        <v>1</v>
      </c>
      <c r="L1271" s="42">
        <v>0.99039999999999995</v>
      </c>
      <c r="M1271">
        <v>1</v>
      </c>
    </row>
    <row r="1272" spans="3:13" x14ac:dyDescent="0.15">
      <c r="C1272" s="43">
        <v>1239</v>
      </c>
      <c r="D1272" s="42">
        <v>1239</v>
      </c>
      <c r="E1272" s="42">
        <v>0.99119999999999997</v>
      </c>
      <c r="F1272" s="42">
        <v>128</v>
      </c>
      <c r="G1272" s="42">
        <v>126.87360000000001</v>
      </c>
      <c r="H1272" s="42">
        <v>1.0088781275221954</v>
      </c>
      <c r="I1272" s="42">
        <v>1</v>
      </c>
      <c r="J1272" s="42">
        <v>1.0088781275221954</v>
      </c>
      <c r="K1272" s="42">
        <v>1</v>
      </c>
      <c r="L1272" s="42">
        <v>0.99119999999999997</v>
      </c>
      <c r="M1272">
        <v>1</v>
      </c>
    </row>
    <row r="1273" spans="3:13" x14ac:dyDescent="0.15">
      <c r="C1273" s="43">
        <v>1240</v>
      </c>
      <c r="D1273" s="42">
        <v>1240</v>
      </c>
      <c r="E1273" s="42">
        <v>0.99199999999999999</v>
      </c>
      <c r="F1273" s="42">
        <v>128</v>
      </c>
      <c r="G1273" s="42">
        <v>126.976</v>
      </c>
      <c r="H1273" s="42">
        <v>1.0080645161290323</v>
      </c>
      <c r="I1273" s="42">
        <v>1</v>
      </c>
      <c r="J1273" s="42">
        <v>1.0080645161290323</v>
      </c>
      <c r="K1273" s="42">
        <v>1</v>
      </c>
      <c r="L1273" s="42">
        <v>0.99199999999999999</v>
      </c>
      <c r="M1273">
        <v>1</v>
      </c>
    </row>
    <row r="1274" spans="3:13" x14ac:dyDescent="0.15">
      <c r="C1274" s="43">
        <v>1241</v>
      </c>
      <c r="D1274" s="42">
        <v>1241</v>
      </c>
      <c r="E1274" s="42">
        <v>0.99280000000000002</v>
      </c>
      <c r="F1274" s="42">
        <v>128</v>
      </c>
      <c r="G1274" s="42">
        <v>127.0784</v>
      </c>
      <c r="H1274" s="42">
        <v>1.0072522159548751</v>
      </c>
      <c r="I1274" s="42">
        <v>1</v>
      </c>
      <c r="J1274" s="42">
        <v>1.0072522159548751</v>
      </c>
      <c r="K1274" s="42">
        <v>1</v>
      </c>
      <c r="L1274" s="42">
        <v>0.99280000000000002</v>
      </c>
      <c r="M1274">
        <v>1</v>
      </c>
    </row>
    <row r="1275" spans="3:13" x14ac:dyDescent="0.15">
      <c r="C1275" s="43">
        <v>1242</v>
      </c>
      <c r="D1275" s="42">
        <v>1242</v>
      </c>
      <c r="E1275" s="42">
        <v>0.99360000000000004</v>
      </c>
      <c r="F1275" s="42">
        <v>128</v>
      </c>
      <c r="G1275" s="42">
        <v>127.1808</v>
      </c>
      <c r="H1275" s="42">
        <v>1.0064412238325282</v>
      </c>
      <c r="I1275" s="42">
        <v>1</v>
      </c>
      <c r="J1275" s="42">
        <v>1.0064412238325282</v>
      </c>
      <c r="K1275" s="42">
        <v>1</v>
      </c>
      <c r="L1275" s="42">
        <v>0.99360000000000004</v>
      </c>
      <c r="M1275">
        <v>1</v>
      </c>
    </row>
    <row r="1276" spans="3:13" x14ac:dyDescent="0.15">
      <c r="C1276" s="43">
        <v>1243</v>
      </c>
      <c r="D1276" s="42">
        <v>1243</v>
      </c>
      <c r="E1276" s="42">
        <v>0.99439999999999995</v>
      </c>
      <c r="F1276" s="42">
        <v>128</v>
      </c>
      <c r="G1276" s="42">
        <v>127.28320000000001</v>
      </c>
      <c r="H1276" s="42">
        <v>1.0056315366049879</v>
      </c>
      <c r="I1276" s="42">
        <v>1</v>
      </c>
      <c r="J1276" s="42">
        <v>1.0056315366049879</v>
      </c>
      <c r="K1276" s="42">
        <v>1</v>
      </c>
      <c r="L1276" s="42">
        <v>0.99439999999999995</v>
      </c>
      <c r="M1276">
        <v>1</v>
      </c>
    </row>
    <row r="1277" spans="3:13" x14ac:dyDescent="0.15">
      <c r="C1277" s="43">
        <v>1244</v>
      </c>
      <c r="D1277" s="42">
        <v>1244</v>
      </c>
      <c r="E1277" s="42">
        <v>0.99519999999999997</v>
      </c>
      <c r="F1277" s="42">
        <v>128</v>
      </c>
      <c r="G1277" s="42">
        <v>127.38560000000001</v>
      </c>
      <c r="H1277" s="42">
        <v>1.004823151125402</v>
      </c>
      <c r="I1277" s="42">
        <v>1</v>
      </c>
      <c r="J1277" s="42">
        <v>1.004823151125402</v>
      </c>
      <c r="K1277" s="42">
        <v>1</v>
      </c>
      <c r="L1277" s="42">
        <v>0.99519999999999997</v>
      </c>
      <c r="M1277">
        <v>1</v>
      </c>
    </row>
    <row r="1278" spans="3:13" x14ac:dyDescent="0.15">
      <c r="C1278" s="43">
        <v>1245</v>
      </c>
      <c r="D1278" s="42">
        <v>1245</v>
      </c>
      <c r="E1278" s="42">
        <v>0.996</v>
      </c>
      <c r="F1278" s="42">
        <v>128</v>
      </c>
      <c r="G1278" s="42">
        <v>127.488</v>
      </c>
      <c r="H1278" s="42">
        <v>1.0040160642570282</v>
      </c>
      <c r="I1278" s="42">
        <v>1</v>
      </c>
      <c r="J1278" s="42">
        <v>1.0040160642570282</v>
      </c>
      <c r="K1278" s="42">
        <v>1</v>
      </c>
      <c r="L1278" s="42">
        <v>0.996</v>
      </c>
      <c r="M1278">
        <v>1</v>
      </c>
    </row>
    <row r="1279" spans="3:13" x14ac:dyDescent="0.15">
      <c r="C1279" s="43">
        <v>1246</v>
      </c>
      <c r="D1279" s="42">
        <v>1246</v>
      </c>
      <c r="E1279" s="42">
        <v>0.99680000000000002</v>
      </c>
      <c r="F1279" s="42">
        <v>128</v>
      </c>
      <c r="G1279" s="42">
        <v>127.5904</v>
      </c>
      <c r="H1279" s="42">
        <v>1.0032102728731942</v>
      </c>
      <c r="I1279" s="42">
        <v>1</v>
      </c>
      <c r="J1279" s="42">
        <v>1.0032102728731942</v>
      </c>
      <c r="K1279" s="42">
        <v>1</v>
      </c>
      <c r="L1279" s="42">
        <v>0.99680000000000002</v>
      </c>
      <c r="M1279">
        <v>1</v>
      </c>
    </row>
    <row r="1280" spans="3:13" x14ac:dyDescent="0.15">
      <c r="C1280" s="43">
        <v>1247</v>
      </c>
      <c r="D1280" s="42">
        <v>1247</v>
      </c>
      <c r="E1280" s="42">
        <v>0.99760000000000004</v>
      </c>
      <c r="F1280" s="42">
        <v>128</v>
      </c>
      <c r="G1280" s="42">
        <v>127.69280000000001</v>
      </c>
      <c r="H1280" s="42">
        <v>1.0024057738572574</v>
      </c>
      <c r="I1280" s="42">
        <v>1</v>
      </c>
      <c r="J1280" s="42">
        <v>1.0024057738572574</v>
      </c>
      <c r="K1280" s="42">
        <v>1</v>
      </c>
      <c r="L1280" s="42">
        <v>0.99760000000000004</v>
      </c>
      <c r="M1280">
        <v>1</v>
      </c>
    </row>
    <row r="1281" spans="2:13" x14ac:dyDescent="0.15">
      <c r="C1281" s="43">
        <v>1248</v>
      </c>
      <c r="D1281" s="42">
        <v>1248</v>
      </c>
      <c r="E1281" s="42">
        <v>0.99839999999999995</v>
      </c>
      <c r="F1281" s="42">
        <v>128</v>
      </c>
      <c r="G1281" s="42">
        <v>127.79520000000001</v>
      </c>
      <c r="H1281" s="42">
        <v>1.0016025641025641</v>
      </c>
      <c r="I1281" s="42">
        <v>1</v>
      </c>
      <c r="J1281" s="42">
        <v>1.0016025641025641</v>
      </c>
      <c r="K1281" s="42">
        <v>1</v>
      </c>
      <c r="L1281" s="42">
        <v>0.99839999999999995</v>
      </c>
      <c r="M1281">
        <v>1</v>
      </c>
    </row>
    <row r="1282" spans="2:13" x14ac:dyDescent="0.15">
      <c r="C1282" s="43">
        <v>1249</v>
      </c>
      <c r="D1282" s="42">
        <v>1249</v>
      </c>
      <c r="E1282" s="42">
        <v>0.99919999999999998</v>
      </c>
      <c r="F1282" s="42">
        <v>128</v>
      </c>
      <c r="G1282" s="42">
        <v>127.89760000000001</v>
      </c>
      <c r="H1282" s="42">
        <v>1.0008006405124099</v>
      </c>
      <c r="I1282" s="42">
        <v>1</v>
      </c>
      <c r="J1282" s="42">
        <v>1.0008006405124099</v>
      </c>
      <c r="K1282" s="42">
        <v>1</v>
      </c>
      <c r="L1282" s="42">
        <v>0.99919999999999998</v>
      </c>
      <c r="M1282">
        <v>1</v>
      </c>
    </row>
    <row r="1283" spans="2:13" x14ac:dyDescent="0.15">
      <c r="C1283" s="43">
        <v>1250</v>
      </c>
      <c r="D1283" s="42">
        <v>1250</v>
      </c>
      <c r="E1283" s="42">
        <v>1</v>
      </c>
      <c r="F1283" s="42">
        <v>128</v>
      </c>
      <c r="G1283" s="42">
        <v>128</v>
      </c>
      <c r="H1283" s="42">
        <v>1</v>
      </c>
      <c r="I1283" s="42">
        <v>1</v>
      </c>
      <c r="J1283" s="42">
        <v>1</v>
      </c>
      <c r="K1283" s="42">
        <v>1</v>
      </c>
      <c r="L1283" s="42">
        <v>1</v>
      </c>
      <c r="M1283">
        <v>1</v>
      </c>
    </row>
    <row r="1285" spans="2:13" ht="19" x14ac:dyDescent="0.25">
      <c r="B1285" s="41" t="s">
        <v>1703</v>
      </c>
    </row>
    <row r="1287" spans="2:13" x14ac:dyDescent="0.15">
      <c r="C1287" s="43" t="s">
        <v>77</v>
      </c>
      <c r="D1287" t="s">
        <v>1693</v>
      </c>
      <c r="E1287" t="s">
        <v>1725</v>
      </c>
      <c r="F1287" t="s">
        <v>1726</v>
      </c>
      <c r="G1287" t="s">
        <v>1727</v>
      </c>
    </row>
    <row r="1288" spans="2:13" x14ac:dyDescent="0.15">
      <c r="C1288" s="43">
        <v>0</v>
      </c>
      <c r="D1288" s="42">
        <v>0</v>
      </c>
      <c r="E1288" s="42">
        <v>0</v>
      </c>
      <c r="F1288" s="42">
        <v>0</v>
      </c>
      <c r="G1288">
        <v>1</v>
      </c>
    </row>
    <row r="1289" spans="2:13" x14ac:dyDescent="0.15">
      <c r="C1289" s="43">
        <v>1</v>
      </c>
      <c r="D1289" s="42">
        <v>0</v>
      </c>
      <c r="E1289" s="42">
        <v>7.8125E-3</v>
      </c>
      <c r="F1289" s="42">
        <v>0</v>
      </c>
      <c r="G1289">
        <v>1</v>
      </c>
    </row>
    <row r="1290" spans="2:13" x14ac:dyDescent="0.15">
      <c r="C1290" s="43">
        <v>2</v>
      </c>
      <c r="D1290" s="42">
        <v>0</v>
      </c>
      <c r="E1290" s="42">
        <v>1.5625E-2</v>
      </c>
      <c r="F1290" s="42">
        <v>0</v>
      </c>
      <c r="G1290">
        <v>1</v>
      </c>
    </row>
    <row r="1291" spans="2:13" x14ac:dyDescent="0.15">
      <c r="C1291" s="43">
        <v>3</v>
      </c>
      <c r="D1291" s="42">
        <v>0</v>
      </c>
      <c r="E1291" s="42">
        <v>2.34375E-2</v>
      </c>
      <c r="F1291" s="42">
        <v>0</v>
      </c>
      <c r="G1291">
        <v>1</v>
      </c>
    </row>
    <row r="1292" spans="2:13" x14ac:dyDescent="0.15">
      <c r="C1292" s="43">
        <v>4</v>
      </c>
      <c r="D1292" s="42">
        <v>0</v>
      </c>
      <c r="E1292" s="42">
        <v>3.125E-2</v>
      </c>
      <c r="F1292" s="42">
        <v>0</v>
      </c>
      <c r="G1292">
        <v>1</v>
      </c>
    </row>
    <row r="1293" spans="2:13" x14ac:dyDescent="0.15">
      <c r="C1293" s="43">
        <v>5</v>
      </c>
      <c r="D1293" s="42">
        <v>0</v>
      </c>
      <c r="E1293" s="42">
        <v>3.90625E-2</v>
      </c>
      <c r="F1293" s="42">
        <v>0</v>
      </c>
      <c r="G1293">
        <v>1</v>
      </c>
    </row>
    <row r="1294" spans="2:13" x14ac:dyDescent="0.15">
      <c r="C1294" s="43">
        <v>6</v>
      </c>
      <c r="D1294" s="42">
        <v>0</v>
      </c>
      <c r="E1294" s="42">
        <v>4.6875E-2</v>
      </c>
      <c r="F1294" s="42">
        <v>0</v>
      </c>
      <c r="G1294">
        <v>1</v>
      </c>
    </row>
    <row r="1295" spans="2:13" x14ac:dyDescent="0.15">
      <c r="C1295" s="43">
        <v>7</v>
      </c>
      <c r="D1295" s="42">
        <v>0</v>
      </c>
      <c r="E1295" s="42">
        <v>5.46875E-2</v>
      </c>
      <c r="F1295" s="42">
        <v>0</v>
      </c>
      <c r="G1295">
        <v>1</v>
      </c>
    </row>
    <row r="1296" spans="2:13" x14ac:dyDescent="0.15">
      <c r="C1296" s="43">
        <v>8</v>
      </c>
      <c r="D1296" s="42">
        <v>0</v>
      </c>
      <c r="E1296" s="42">
        <v>6.25E-2</v>
      </c>
      <c r="F1296" s="42">
        <v>0</v>
      </c>
      <c r="G1296">
        <v>1</v>
      </c>
    </row>
    <row r="1297" spans="3:7" x14ac:dyDescent="0.15">
      <c r="C1297" s="43">
        <v>9</v>
      </c>
      <c r="D1297" s="42">
        <v>0</v>
      </c>
      <c r="E1297" s="42">
        <v>7.03125E-2</v>
      </c>
      <c r="F1297" s="42">
        <v>0</v>
      </c>
      <c r="G1297">
        <v>1</v>
      </c>
    </row>
    <row r="1298" spans="3:7" x14ac:dyDescent="0.15">
      <c r="C1298" s="43">
        <v>10</v>
      </c>
      <c r="D1298" s="42">
        <v>0</v>
      </c>
      <c r="E1298" s="42">
        <v>7.8125E-2</v>
      </c>
      <c r="F1298" s="42">
        <v>0</v>
      </c>
      <c r="G1298">
        <v>1</v>
      </c>
    </row>
    <row r="1299" spans="3:7" x14ac:dyDescent="0.15">
      <c r="C1299" s="43">
        <v>11</v>
      </c>
      <c r="D1299" s="42">
        <v>0</v>
      </c>
      <c r="E1299" s="42">
        <v>8.59375E-2</v>
      </c>
      <c r="F1299" s="42">
        <v>0</v>
      </c>
      <c r="G1299">
        <v>1</v>
      </c>
    </row>
    <row r="1300" spans="3:7" x14ac:dyDescent="0.15">
      <c r="C1300" s="43">
        <v>12</v>
      </c>
      <c r="D1300" s="42">
        <v>0</v>
      </c>
      <c r="E1300" s="42">
        <v>9.375E-2</v>
      </c>
      <c r="F1300" s="42">
        <v>0</v>
      </c>
      <c r="G1300">
        <v>1</v>
      </c>
    </row>
    <row r="1301" spans="3:7" x14ac:dyDescent="0.15">
      <c r="C1301" s="43">
        <v>13</v>
      </c>
      <c r="D1301" s="42">
        <v>0</v>
      </c>
      <c r="E1301" s="42">
        <v>0.1015625</v>
      </c>
      <c r="F1301" s="42">
        <v>0</v>
      </c>
      <c r="G1301">
        <v>1</v>
      </c>
    </row>
    <row r="1302" spans="3:7" x14ac:dyDescent="0.15">
      <c r="C1302" s="43">
        <v>14</v>
      </c>
      <c r="D1302" s="42">
        <v>0</v>
      </c>
      <c r="E1302" s="42">
        <v>0.109375</v>
      </c>
      <c r="F1302" s="42">
        <v>0</v>
      </c>
      <c r="G1302">
        <v>1</v>
      </c>
    </row>
    <row r="1303" spans="3:7" x14ac:dyDescent="0.15">
      <c r="C1303" s="43">
        <v>15</v>
      </c>
      <c r="D1303" s="42">
        <v>0</v>
      </c>
      <c r="E1303" s="42">
        <v>0.1171875</v>
      </c>
      <c r="F1303" s="42">
        <v>0</v>
      </c>
      <c r="G1303">
        <v>1</v>
      </c>
    </row>
    <row r="1304" spans="3:7" x14ac:dyDescent="0.15">
      <c r="C1304" s="43">
        <v>16</v>
      </c>
      <c r="D1304" s="42">
        <v>0</v>
      </c>
      <c r="E1304" s="42">
        <v>0.125</v>
      </c>
      <c r="F1304" s="42">
        <v>0</v>
      </c>
      <c r="G1304">
        <v>1</v>
      </c>
    </row>
    <row r="1305" spans="3:7" x14ac:dyDescent="0.15">
      <c r="C1305" s="43">
        <v>17</v>
      </c>
      <c r="D1305" s="42">
        <v>0</v>
      </c>
      <c r="E1305" s="42">
        <v>0.1328125</v>
      </c>
      <c r="F1305" s="42">
        <v>0</v>
      </c>
      <c r="G1305">
        <v>1</v>
      </c>
    </row>
    <row r="1306" spans="3:7" x14ac:dyDescent="0.15">
      <c r="C1306" s="43">
        <v>18</v>
      </c>
      <c r="D1306" s="42">
        <v>0</v>
      </c>
      <c r="E1306" s="42">
        <v>0.140625</v>
      </c>
      <c r="F1306" s="42">
        <v>0</v>
      </c>
      <c r="G1306">
        <v>1</v>
      </c>
    </row>
    <row r="1307" spans="3:7" x14ac:dyDescent="0.15">
      <c r="C1307" s="43">
        <v>19</v>
      </c>
      <c r="D1307" s="42">
        <v>0</v>
      </c>
      <c r="E1307" s="42">
        <v>0.1484375</v>
      </c>
      <c r="F1307" s="42">
        <v>0</v>
      </c>
      <c r="G1307">
        <v>1</v>
      </c>
    </row>
    <row r="1308" spans="3:7" x14ac:dyDescent="0.15">
      <c r="C1308" s="43">
        <v>20</v>
      </c>
      <c r="D1308" s="42">
        <v>0</v>
      </c>
      <c r="E1308" s="42">
        <v>0.15625</v>
      </c>
      <c r="F1308" s="42">
        <v>0</v>
      </c>
      <c r="G1308">
        <v>1</v>
      </c>
    </row>
    <row r="1309" spans="3:7" x14ac:dyDescent="0.15">
      <c r="C1309" s="43">
        <v>21</v>
      </c>
      <c r="D1309" s="42">
        <v>0</v>
      </c>
      <c r="E1309" s="42">
        <v>0.1640625</v>
      </c>
      <c r="F1309" s="42">
        <v>0</v>
      </c>
      <c r="G1309">
        <v>1</v>
      </c>
    </row>
    <row r="1310" spans="3:7" x14ac:dyDescent="0.15">
      <c r="C1310" s="43">
        <v>22</v>
      </c>
      <c r="D1310" s="42">
        <v>0</v>
      </c>
      <c r="E1310" s="42">
        <v>0.171875</v>
      </c>
      <c r="F1310" s="42">
        <v>0</v>
      </c>
      <c r="G1310">
        <v>1</v>
      </c>
    </row>
    <row r="1311" spans="3:7" x14ac:dyDescent="0.15">
      <c r="C1311" s="43">
        <v>23</v>
      </c>
      <c r="D1311" s="42">
        <v>0</v>
      </c>
      <c r="E1311" s="42">
        <v>0.1796875</v>
      </c>
      <c r="F1311" s="42">
        <v>0</v>
      </c>
      <c r="G1311">
        <v>1</v>
      </c>
    </row>
    <row r="1312" spans="3:7" x14ac:dyDescent="0.15">
      <c r="C1312" s="43">
        <v>24</v>
      </c>
      <c r="D1312" s="42">
        <v>0</v>
      </c>
      <c r="E1312" s="42">
        <v>0.1875</v>
      </c>
      <c r="F1312" s="42">
        <v>0</v>
      </c>
      <c r="G1312">
        <v>1</v>
      </c>
    </row>
    <row r="1313" spans="3:7" x14ac:dyDescent="0.15">
      <c r="C1313" s="43">
        <v>25</v>
      </c>
      <c r="D1313" s="42">
        <v>0</v>
      </c>
      <c r="E1313" s="42">
        <v>0.1953125</v>
      </c>
      <c r="F1313" s="42">
        <v>0</v>
      </c>
      <c r="G1313">
        <v>1</v>
      </c>
    </row>
    <row r="1314" spans="3:7" x14ac:dyDescent="0.15">
      <c r="C1314" s="43">
        <v>26</v>
      </c>
      <c r="D1314" s="42">
        <v>0</v>
      </c>
      <c r="E1314" s="42">
        <v>0.203125</v>
      </c>
      <c r="F1314" s="42">
        <v>0</v>
      </c>
      <c r="G1314">
        <v>1</v>
      </c>
    </row>
    <row r="1315" spans="3:7" x14ac:dyDescent="0.15">
      <c r="C1315" s="43">
        <v>27</v>
      </c>
      <c r="D1315" s="42">
        <v>0</v>
      </c>
      <c r="E1315" s="42">
        <v>0.2109375</v>
      </c>
      <c r="F1315" s="42">
        <v>0</v>
      </c>
      <c r="G1315">
        <v>1</v>
      </c>
    </row>
    <row r="1316" spans="3:7" x14ac:dyDescent="0.15">
      <c r="C1316" s="43">
        <v>28</v>
      </c>
      <c r="D1316" s="42">
        <v>0</v>
      </c>
      <c r="E1316" s="42">
        <v>0.21875</v>
      </c>
      <c r="F1316" s="42">
        <v>0</v>
      </c>
      <c r="G1316">
        <v>1</v>
      </c>
    </row>
    <row r="1317" spans="3:7" x14ac:dyDescent="0.15">
      <c r="C1317" s="43">
        <v>29</v>
      </c>
      <c r="D1317" s="42">
        <v>0</v>
      </c>
      <c r="E1317" s="42">
        <v>0.2265625</v>
      </c>
      <c r="F1317" s="42">
        <v>0</v>
      </c>
      <c r="G1317">
        <v>1</v>
      </c>
    </row>
    <row r="1318" spans="3:7" x14ac:dyDescent="0.15">
      <c r="C1318" s="43">
        <v>30</v>
      </c>
      <c r="D1318" s="42">
        <v>0</v>
      </c>
      <c r="E1318" s="42">
        <v>0.234375</v>
      </c>
      <c r="F1318" s="42">
        <v>0</v>
      </c>
      <c r="G1318">
        <v>1</v>
      </c>
    </row>
    <row r="1319" spans="3:7" x14ac:dyDescent="0.15">
      <c r="C1319" s="43">
        <v>31</v>
      </c>
      <c r="D1319" s="42">
        <v>0</v>
      </c>
      <c r="E1319" s="42">
        <v>0.2421875</v>
      </c>
      <c r="F1319" s="42">
        <v>0</v>
      </c>
      <c r="G1319">
        <v>1</v>
      </c>
    </row>
    <row r="1320" spans="3:7" x14ac:dyDescent="0.15">
      <c r="C1320" s="43">
        <v>32</v>
      </c>
      <c r="D1320" s="42">
        <v>0</v>
      </c>
      <c r="E1320" s="42">
        <v>0.25</v>
      </c>
      <c r="F1320" s="42">
        <v>0</v>
      </c>
      <c r="G1320">
        <v>1</v>
      </c>
    </row>
    <row r="1321" spans="3:7" x14ac:dyDescent="0.15">
      <c r="C1321" s="43">
        <v>33</v>
      </c>
      <c r="D1321" s="42">
        <v>0</v>
      </c>
      <c r="E1321" s="42">
        <v>0.2578125</v>
      </c>
      <c r="F1321" s="42">
        <v>0</v>
      </c>
      <c r="G1321">
        <v>1</v>
      </c>
    </row>
    <row r="1322" spans="3:7" x14ac:dyDescent="0.15">
      <c r="C1322" s="43">
        <v>34</v>
      </c>
      <c r="D1322" s="42">
        <v>0</v>
      </c>
      <c r="E1322" s="42">
        <v>0.265625</v>
      </c>
      <c r="F1322" s="42">
        <v>0</v>
      </c>
      <c r="G1322">
        <v>1</v>
      </c>
    </row>
    <row r="1323" spans="3:7" x14ac:dyDescent="0.15">
      <c r="C1323" s="43">
        <v>35</v>
      </c>
      <c r="D1323" s="42">
        <v>0</v>
      </c>
      <c r="E1323" s="42">
        <v>0.2734375</v>
      </c>
      <c r="F1323" s="42">
        <v>0</v>
      </c>
      <c r="G1323">
        <v>1</v>
      </c>
    </row>
    <row r="1324" spans="3:7" x14ac:dyDescent="0.15">
      <c r="C1324" s="43">
        <v>36</v>
      </c>
      <c r="D1324" s="42">
        <v>8.9126559714795004E-4</v>
      </c>
      <c r="E1324" s="42">
        <v>0.2734375</v>
      </c>
      <c r="F1324" s="42">
        <v>8.9126559714795004E-4</v>
      </c>
      <c r="G1324">
        <v>1</v>
      </c>
    </row>
    <row r="1325" spans="3:7" x14ac:dyDescent="0.15">
      <c r="C1325" s="43">
        <v>37</v>
      </c>
      <c r="D1325" s="42">
        <v>8.9126559714795004E-4</v>
      </c>
      <c r="E1325" s="42">
        <v>0.28125</v>
      </c>
      <c r="F1325" s="42">
        <v>8.9126559714795004E-4</v>
      </c>
      <c r="G1325">
        <v>1</v>
      </c>
    </row>
    <row r="1326" spans="3:7" x14ac:dyDescent="0.15">
      <c r="C1326" s="43">
        <v>38</v>
      </c>
      <c r="D1326" s="42">
        <v>8.9126559714795004E-4</v>
      </c>
      <c r="E1326" s="42">
        <v>0.2890625</v>
      </c>
      <c r="F1326" s="42">
        <v>8.9126559714795004E-4</v>
      </c>
      <c r="G1326">
        <v>1</v>
      </c>
    </row>
    <row r="1327" spans="3:7" x14ac:dyDescent="0.15">
      <c r="C1327" s="43">
        <v>39</v>
      </c>
      <c r="D1327" s="42">
        <v>8.9126559714795004E-4</v>
      </c>
      <c r="E1327" s="42">
        <v>0.296875</v>
      </c>
      <c r="F1327" s="42">
        <v>8.9126559714795004E-4</v>
      </c>
      <c r="G1327">
        <v>1</v>
      </c>
    </row>
    <row r="1328" spans="3:7" x14ac:dyDescent="0.15">
      <c r="C1328" s="43">
        <v>40</v>
      </c>
      <c r="D1328" s="42">
        <v>8.9126559714795004E-4</v>
      </c>
      <c r="E1328" s="42">
        <v>0.3046875</v>
      </c>
      <c r="F1328" s="42">
        <v>8.9126559714795004E-4</v>
      </c>
      <c r="G1328">
        <v>1</v>
      </c>
    </row>
    <row r="1329" spans="3:7" x14ac:dyDescent="0.15">
      <c r="C1329" s="43">
        <v>41</v>
      </c>
      <c r="D1329" s="42">
        <v>8.9126559714795004E-4</v>
      </c>
      <c r="E1329" s="42">
        <v>0.3125</v>
      </c>
      <c r="F1329" s="42">
        <v>8.9126559714795004E-4</v>
      </c>
      <c r="G1329">
        <v>1</v>
      </c>
    </row>
    <row r="1330" spans="3:7" x14ac:dyDescent="0.15">
      <c r="C1330" s="43">
        <v>42</v>
      </c>
      <c r="D1330" s="42">
        <v>8.9126559714795004E-4</v>
      </c>
      <c r="E1330" s="42">
        <v>0.3203125</v>
      </c>
      <c r="F1330" s="42">
        <v>8.9126559714795004E-4</v>
      </c>
      <c r="G1330">
        <v>1</v>
      </c>
    </row>
    <row r="1331" spans="3:7" x14ac:dyDescent="0.15">
      <c r="C1331" s="43">
        <v>43</v>
      </c>
      <c r="D1331" s="42">
        <v>8.9126559714795004E-4</v>
      </c>
      <c r="E1331" s="42">
        <v>0.328125</v>
      </c>
      <c r="F1331" s="42">
        <v>8.9126559714795004E-4</v>
      </c>
      <c r="G1331">
        <v>1</v>
      </c>
    </row>
    <row r="1332" spans="3:7" x14ac:dyDescent="0.15">
      <c r="C1332" s="43">
        <v>44</v>
      </c>
      <c r="D1332" s="42">
        <v>8.9126559714795004E-4</v>
      </c>
      <c r="E1332" s="42">
        <v>0.3359375</v>
      </c>
      <c r="F1332" s="42">
        <v>8.9126559714795004E-4</v>
      </c>
      <c r="G1332">
        <v>1</v>
      </c>
    </row>
    <row r="1333" spans="3:7" x14ac:dyDescent="0.15">
      <c r="C1333" s="43">
        <v>45</v>
      </c>
      <c r="D1333" s="42">
        <v>8.9126559714795004E-4</v>
      </c>
      <c r="E1333" s="42">
        <v>0.34375</v>
      </c>
      <c r="F1333" s="42">
        <v>8.9126559714795004E-4</v>
      </c>
      <c r="G1333">
        <v>1</v>
      </c>
    </row>
    <row r="1334" spans="3:7" x14ac:dyDescent="0.15">
      <c r="C1334" s="43">
        <v>46</v>
      </c>
      <c r="D1334" s="42">
        <v>8.9126559714795004E-4</v>
      </c>
      <c r="E1334" s="42">
        <v>0.3515625</v>
      </c>
      <c r="F1334" s="42">
        <v>8.9126559714795004E-4</v>
      </c>
      <c r="G1334">
        <v>1</v>
      </c>
    </row>
    <row r="1335" spans="3:7" x14ac:dyDescent="0.15">
      <c r="C1335" s="43">
        <v>47</v>
      </c>
      <c r="D1335" s="42">
        <v>8.9126559714795004E-4</v>
      </c>
      <c r="E1335" s="42">
        <v>0.359375</v>
      </c>
      <c r="F1335" s="42">
        <v>8.9126559714795004E-4</v>
      </c>
      <c r="G1335">
        <v>1</v>
      </c>
    </row>
    <row r="1336" spans="3:7" x14ac:dyDescent="0.15">
      <c r="C1336" s="43">
        <v>48</v>
      </c>
      <c r="D1336" s="42">
        <v>1.7825311942959001E-3</v>
      </c>
      <c r="E1336" s="42">
        <v>0.359375</v>
      </c>
      <c r="F1336" s="42">
        <v>1.7825311942959001E-3</v>
      </c>
      <c r="G1336">
        <v>1</v>
      </c>
    </row>
    <row r="1337" spans="3:7" x14ac:dyDescent="0.15">
      <c r="C1337" s="43">
        <v>49</v>
      </c>
      <c r="D1337" s="42">
        <v>1.7825311942959001E-3</v>
      </c>
      <c r="E1337" s="42">
        <v>0.3671875</v>
      </c>
      <c r="F1337" s="42">
        <v>1.7825311942959001E-3</v>
      </c>
      <c r="G1337">
        <v>1</v>
      </c>
    </row>
    <row r="1338" spans="3:7" x14ac:dyDescent="0.15">
      <c r="C1338" s="43">
        <v>50</v>
      </c>
      <c r="D1338" s="42">
        <v>1.7825311942959001E-3</v>
      </c>
      <c r="E1338" s="42">
        <v>0.375</v>
      </c>
      <c r="F1338" s="42">
        <v>1.7825311942959001E-3</v>
      </c>
      <c r="G1338">
        <v>1</v>
      </c>
    </row>
    <row r="1339" spans="3:7" x14ac:dyDescent="0.15">
      <c r="C1339" s="43">
        <v>51</v>
      </c>
      <c r="D1339" s="42">
        <v>2.6737967914438501E-3</v>
      </c>
      <c r="E1339" s="42">
        <v>0.375</v>
      </c>
      <c r="F1339" s="42">
        <v>2.6737967914438501E-3</v>
      </c>
      <c r="G1339">
        <v>1</v>
      </c>
    </row>
    <row r="1340" spans="3:7" x14ac:dyDescent="0.15">
      <c r="C1340" s="43">
        <v>52</v>
      </c>
      <c r="D1340" s="42">
        <v>3.5650623885918001E-3</v>
      </c>
      <c r="E1340" s="42">
        <v>0.375</v>
      </c>
      <c r="F1340" s="42">
        <v>3.5650623885918001E-3</v>
      </c>
      <c r="G1340">
        <v>1</v>
      </c>
    </row>
    <row r="1341" spans="3:7" x14ac:dyDescent="0.15">
      <c r="C1341" s="43">
        <v>53</v>
      </c>
      <c r="D1341" s="42">
        <v>3.5650623885918001E-3</v>
      </c>
      <c r="E1341" s="42">
        <v>0.3828125</v>
      </c>
      <c r="F1341" s="42">
        <v>3.5650623885918001E-3</v>
      </c>
      <c r="G1341">
        <v>1</v>
      </c>
    </row>
    <row r="1342" spans="3:7" x14ac:dyDescent="0.15">
      <c r="C1342" s="43">
        <v>54</v>
      </c>
      <c r="D1342" s="42">
        <v>3.5650623885918001E-3</v>
      </c>
      <c r="E1342" s="42">
        <v>0.390625</v>
      </c>
      <c r="F1342" s="42">
        <v>3.5650623885918001E-3</v>
      </c>
      <c r="G1342">
        <v>1</v>
      </c>
    </row>
    <row r="1343" spans="3:7" x14ac:dyDescent="0.15">
      <c r="C1343" s="43">
        <v>55</v>
      </c>
      <c r="D1343" s="42">
        <v>4.4563279857397506E-3</v>
      </c>
      <c r="E1343" s="42">
        <v>0.390625</v>
      </c>
      <c r="F1343" s="42">
        <v>4.4563279857397506E-3</v>
      </c>
      <c r="G1343">
        <v>1</v>
      </c>
    </row>
    <row r="1344" spans="3:7" x14ac:dyDescent="0.15">
      <c r="C1344" s="43">
        <v>56</v>
      </c>
      <c r="D1344" s="42">
        <v>4.4563279857397506E-3</v>
      </c>
      <c r="E1344" s="42">
        <v>0.3984375</v>
      </c>
      <c r="F1344" s="42">
        <v>4.4563279857397506E-3</v>
      </c>
      <c r="G1344">
        <v>1</v>
      </c>
    </row>
    <row r="1345" spans="3:7" x14ac:dyDescent="0.15">
      <c r="C1345" s="43">
        <v>57</v>
      </c>
      <c r="D1345" s="42">
        <v>4.4563279857397506E-3</v>
      </c>
      <c r="E1345" s="42">
        <v>0.40625</v>
      </c>
      <c r="F1345" s="42">
        <v>4.4563279857397506E-3</v>
      </c>
      <c r="G1345">
        <v>1</v>
      </c>
    </row>
    <row r="1346" spans="3:7" x14ac:dyDescent="0.15">
      <c r="C1346" s="43">
        <v>58</v>
      </c>
      <c r="D1346" s="42">
        <v>5.3475935828877002E-3</v>
      </c>
      <c r="E1346" s="42">
        <v>0.40625</v>
      </c>
      <c r="F1346" s="42">
        <v>5.3475935828877002E-3</v>
      </c>
      <c r="G1346">
        <v>1</v>
      </c>
    </row>
    <row r="1347" spans="3:7" x14ac:dyDescent="0.15">
      <c r="C1347" s="43">
        <v>59</v>
      </c>
      <c r="D1347" s="42">
        <v>5.3475935828877002E-3</v>
      </c>
      <c r="E1347" s="42">
        <v>0.4140625</v>
      </c>
      <c r="F1347" s="42">
        <v>5.3475935828877002E-3</v>
      </c>
      <c r="G1347">
        <v>1</v>
      </c>
    </row>
    <row r="1348" spans="3:7" x14ac:dyDescent="0.15">
      <c r="C1348" s="43">
        <v>60</v>
      </c>
      <c r="D1348" s="42">
        <v>5.3475935828877002E-3</v>
      </c>
      <c r="E1348" s="42">
        <v>0.421875</v>
      </c>
      <c r="F1348" s="42">
        <v>5.3475935828877002E-3</v>
      </c>
      <c r="G1348">
        <v>1</v>
      </c>
    </row>
    <row r="1349" spans="3:7" x14ac:dyDescent="0.15">
      <c r="C1349" s="43">
        <v>61</v>
      </c>
      <c r="D1349" s="42">
        <v>6.2388591800356507E-3</v>
      </c>
      <c r="E1349" s="42">
        <v>0.421875</v>
      </c>
      <c r="F1349" s="42">
        <v>6.2388591800356507E-3</v>
      </c>
      <c r="G1349">
        <v>1</v>
      </c>
    </row>
    <row r="1350" spans="3:7" x14ac:dyDescent="0.15">
      <c r="C1350" s="43">
        <v>62</v>
      </c>
      <c r="D1350" s="42">
        <v>7.1301247771836003E-3</v>
      </c>
      <c r="E1350" s="42">
        <v>0.421875</v>
      </c>
      <c r="F1350" s="42">
        <v>7.1301247771836003E-3</v>
      </c>
      <c r="G1350">
        <v>1</v>
      </c>
    </row>
    <row r="1351" spans="3:7" x14ac:dyDescent="0.15">
      <c r="C1351" s="43">
        <v>63</v>
      </c>
      <c r="D1351" s="42">
        <v>7.1301247771836003E-3</v>
      </c>
      <c r="E1351" s="42">
        <v>0.4296875</v>
      </c>
      <c r="F1351" s="42">
        <v>7.1301247771836003E-3</v>
      </c>
      <c r="G1351">
        <v>1</v>
      </c>
    </row>
    <row r="1352" spans="3:7" x14ac:dyDescent="0.15">
      <c r="C1352" s="43">
        <v>64</v>
      </c>
      <c r="D1352" s="42">
        <v>7.1301247771836003E-3</v>
      </c>
      <c r="E1352" s="42">
        <v>0.4375</v>
      </c>
      <c r="F1352" s="42">
        <v>7.1301247771836003E-3</v>
      </c>
      <c r="G1352">
        <v>1</v>
      </c>
    </row>
    <row r="1353" spans="3:7" x14ac:dyDescent="0.15">
      <c r="C1353" s="43">
        <v>65</v>
      </c>
      <c r="D1353" s="42">
        <v>7.1301247771836003E-3</v>
      </c>
      <c r="E1353" s="42">
        <v>0.4453125</v>
      </c>
      <c r="F1353" s="42">
        <v>7.1301247771836003E-3</v>
      </c>
      <c r="G1353">
        <v>1</v>
      </c>
    </row>
    <row r="1354" spans="3:7" x14ac:dyDescent="0.15">
      <c r="C1354" s="43">
        <v>66</v>
      </c>
      <c r="D1354" s="42">
        <v>8.0213903743315516E-3</v>
      </c>
      <c r="E1354" s="42">
        <v>0.4453125</v>
      </c>
      <c r="F1354" s="42">
        <v>8.0213903743315516E-3</v>
      </c>
      <c r="G1354">
        <v>1</v>
      </c>
    </row>
    <row r="1355" spans="3:7" x14ac:dyDescent="0.15">
      <c r="C1355" s="43">
        <v>67</v>
      </c>
      <c r="D1355" s="42">
        <v>8.0213903743315516E-3</v>
      </c>
      <c r="E1355" s="42">
        <v>0.453125</v>
      </c>
      <c r="F1355" s="42">
        <v>8.0213903743315516E-3</v>
      </c>
      <c r="G1355">
        <v>1</v>
      </c>
    </row>
    <row r="1356" spans="3:7" x14ac:dyDescent="0.15">
      <c r="C1356" s="43">
        <v>68</v>
      </c>
      <c r="D1356" s="42">
        <v>8.0213903743315516E-3</v>
      </c>
      <c r="E1356" s="42">
        <v>0.4609375</v>
      </c>
      <c r="F1356" s="42">
        <v>8.0213903743315516E-3</v>
      </c>
      <c r="G1356">
        <v>1</v>
      </c>
    </row>
    <row r="1357" spans="3:7" x14ac:dyDescent="0.15">
      <c r="C1357" s="43">
        <v>69</v>
      </c>
      <c r="D1357" s="42">
        <v>8.0213903743315516E-3</v>
      </c>
      <c r="E1357" s="42">
        <v>0.46875</v>
      </c>
      <c r="F1357" s="42">
        <v>8.0213903743315516E-3</v>
      </c>
      <c r="G1357">
        <v>1</v>
      </c>
    </row>
    <row r="1358" spans="3:7" x14ac:dyDescent="0.15">
      <c r="C1358" s="43">
        <v>70</v>
      </c>
      <c r="D1358" s="42">
        <v>8.0213903743315516E-3</v>
      </c>
      <c r="E1358" s="42">
        <v>0.4765625</v>
      </c>
      <c r="F1358" s="42">
        <v>8.0213903743315516E-3</v>
      </c>
      <c r="G1358">
        <v>1</v>
      </c>
    </row>
    <row r="1359" spans="3:7" x14ac:dyDescent="0.15">
      <c r="C1359" s="43">
        <v>71</v>
      </c>
      <c r="D1359" s="42">
        <v>8.0213903743315516E-3</v>
      </c>
      <c r="E1359" s="42">
        <v>0.484375</v>
      </c>
      <c r="F1359" s="42">
        <v>8.0213903743315516E-3</v>
      </c>
      <c r="G1359">
        <v>1</v>
      </c>
    </row>
    <row r="1360" spans="3:7" x14ac:dyDescent="0.15">
      <c r="C1360" s="43">
        <v>72</v>
      </c>
      <c r="D1360" s="42">
        <v>8.0213903743315516E-3</v>
      </c>
      <c r="E1360" s="42">
        <v>0.4921875</v>
      </c>
      <c r="F1360" s="42">
        <v>8.0213903743315516E-3</v>
      </c>
      <c r="G1360">
        <v>1</v>
      </c>
    </row>
    <row r="1361" spans="3:7" x14ac:dyDescent="0.15">
      <c r="C1361" s="43">
        <v>73</v>
      </c>
      <c r="D1361" s="42">
        <v>8.9126559714795012E-3</v>
      </c>
      <c r="E1361" s="42">
        <v>0.4921875</v>
      </c>
      <c r="F1361" s="42">
        <v>8.9126559714795012E-3</v>
      </c>
      <c r="G1361">
        <v>1</v>
      </c>
    </row>
    <row r="1362" spans="3:7" x14ac:dyDescent="0.15">
      <c r="C1362" s="43">
        <v>74</v>
      </c>
      <c r="D1362" s="42">
        <v>8.9126559714795012E-3</v>
      </c>
      <c r="E1362" s="42">
        <v>0.5</v>
      </c>
      <c r="F1362" s="42">
        <v>8.9126559714795012E-3</v>
      </c>
      <c r="G1362">
        <v>1</v>
      </c>
    </row>
    <row r="1363" spans="3:7" x14ac:dyDescent="0.15">
      <c r="C1363" s="43">
        <v>75</v>
      </c>
      <c r="D1363" s="42">
        <v>9.8039215686274508E-3</v>
      </c>
      <c r="E1363" s="42">
        <v>0.5</v>
      </c>
      <c r="F1363" s="42">
        <v>9.8039215686274508E-3</v>
      </c>
      <c r="G1363">
        <v>1</v>
      </c>
    </row>
    <row r="1364" spans="3:7" x14ac:dyDescent="0.15">
      <c r="C1364" s="43">
        <v>76</v>
      </c>
      <c r="D1364" s="42">
        <v>9.8039215686274508E-3</v>
      </c>
      <c r="E1364" s="42">
        <v>0.5078125</v>
      </c>
      <c r="F1364" s="42">
        <v>9.8039215686274508E-3</v>
      </c>
      <c r="G1364">
        <v>1</v>
      </c>
    </row>
    <row r="1365" spans="3:7" x14ac:dyDescent="0.15">
      <c r="C1365" s="43">
        <v>77</v>
      </c>
      <c r="D1365" s="42">
        <v>9.8039215686274508E-3</v>
      </c>
      <c r="E1365" s="42">
        <v>0.515625</v>
      </c>
      <c r="F1365" s="42">
        <v>9.8039215686274508E-3</v>
      </c>
      <c r="G1365">
        <v>1</v>
      </c>
    </row>
    <row r="1366" spans="3:7" x14ac:dyDescent="0.15">
      <c r="C1366" s="43">
        <v>78</v>
      </c>
      <c r="D1366" s="42">
        <v>1.06951871657754E-2</v>
      </c>
      <c r="E1366" s="42">
        <v>0.515625</v>
      </c>
      <c r="F1366" s="42">
        <v>1.06951871657754E-2</v>
      </c>
      <c r="G1366">
        <v>1</v>
      </c>
    </row>
    <row r="1367" spans="3:7" x14ac:dyDescent="0.15">
      <c r="C1367" s="43">
        <v>79</v>
      </c>
      <c r="D1367" s="42">
        <v>1.1586452762923352E-2</v>
      </c>
      <c r="E1367" s="42">
        <v>0.515625</v>
      </c>
      <c r="F1367" s="42">
        <v>1.1586452762923352E-2</v>
      </c>
      <c r="G1367">
        <v>1</v>
      </c>
    </row>
    <row r="1368" spans="3:7" x14ac:dyDescent="0.15">
      <c r="C1368" s="43">
        <v>80</v>
      </c>
      <c r="D1368" s="42">
        <v>1.2477718360071301E-2</v>
      </c>
      <c r="E1368" s="42">
        <v>0.515625</v>
      </c>
      <c r="F1368" s="42">
        <v>1.2477718360071301E-2</v>
      </c>
      <c r="G1368">
        <v>1</v>
      </c>
    </row>
    <row r="1369" spans="3:7" x14ac:dyDescent="0.15">
      <c r="C1369" s="43">
        <v>81</v>
      </c>
      <c r="D1369" s="42">
        <v>1.3368983957219251E-2</v>
      </c>
      <c r="E1369" s="42">
        <v>0.515625</v>
      </c>
      <c r="F1369" s="42">
        <v>1.3368983957219251E-2</v>
      </c>
      <c r="G1369">
        <v>1</v>
      </c>
    </row>
    <row r="1370" spans="3:7" x14ac:dyDescent="0.15">
      <c r="C1370" s="43">
        <v>82</v>
      </c>
      <c r="D1370" s="42">
        <v>1.4260249554367201E-2</v>
      </c>
      <c r="E1370" s="42">
        <v>0.515625</v>
      </c>
      <c r="F1370" s="42">
        <v>1.4260249554367201E-2</v>
      </c>
      <c r="G1370">
        <v>1</v>
      </c>
    </row>
    <row r="1371" spans="3:7" x14ac:dyDescent="0.15">
      <c r="C1371" s="43">
        <v>83</v>
      </c>
      <c r="D1371" s="42">
        <v>1.4260249554367201E-2</v>
      </c>
      <c r="E1371" s="42">
        <v>0.5234375</v>
      </c>
      <c r="F1371" s="42">
        <v>1.4260249554367201E-2</v>
      </c>
      <c r="G1371">
        <v>1</v>
      </c>
    </row>
    <row r="1372" spans="3:7" x14ac:dyDescent="0.15">
      <c r="C1372" s="43">
        <v>84</v>
      </c>
      <c r="D1372" s="42">
        <v>1.5151515151515152E-2</v>
      </c>
      <c r="E1372" s="42">
        <v>0.5234375</v>
      </c>
      <c r="F1372" s="42">
        <v>1.5151515151515152E-2</v>
      </c>
      <c r="G1372">
        <v>1</v>
      </c>
    </row>
    <row r="1373" spans="3:7" x14ac:dyDescent="0.15">
      <c r="C1373" s="43">
        <v>85</v>
      </c>
      <c r="D1373" s="42">
        <v>1.5151515151515152E-2</v>
      </c>
      <c r="E1373" s="42">
        <v>0.53125</v>
      </c>
      <c r="F1373" s="42">
        <v>1.5151515151515152E-2</v>
      </c>
      <c r="G1373">
        <v>1</v>
      </c>
    </row>
    <row r="1374" spans="3:7" x14ac:dyDescent="0.15">
      <c r="C1374" s="43">
        <v>86</v>
      </c>
      <c r="D1374" s="42">
        <v>1.5151515151515152E-2</v>
      </c>
      <c r="E1374" s="42">
        <v>0.5390625</v>
      </c>
      <c r="F1374" s="42">
        <v>1.5151515151515152E-2</v>
      </c>
      <c r="G1374">
        <v>1</v>
      </c>
    </row>
    <row r="1375" spans="3:7" x14ac:dyDescent="0.15">
      <c r="C1375" s="43">
        <v>87</v>
      </c>
      <c r="D1375" s="42">
        <v>1.6042780748663103E-2</v>
      </c>
      <c r="E1375" s="42">
        <v>0.5390625</v>
      </c>
      <c r="F1375" s="42">
        <v>1.6042780748663103E-2</v>
      </c>
      <c r="G1375">
        <v>1</v>
      </c>
    </row>
    <row r="1376" spans="3:7" x14ac:dyDescent="0.15">
      <c r="C1376" s="43">
        <v>88</v>
      </c>
      <c r="D1376" s="42">
        <v>1.6042780748663103E-2</v>
      </c>
      <c r="E1376" s="42">
        <v>0.546875</v>
      </c>
      <c r="F1376" s="42">
        <v>1.6042780748663103E-2</v>
      </c>
      <c r="G1376">
        <v>1</v>
      </c>
    </row>
    <row r="1377" spans="3:7" x14ac:dyDescent="0.15">
      <c r="C1377" s="43">
        <v>89</v>
      </c>
      <c r="D1377" s="42">
        <v>1.6934046345811051E-2</v>
      </c>
      <c r="E1377" s="42">
        <v>0.546875</v>
      </c>
      <c r="F1377" s="42">
        <v>1.6934046345811051E-2</v>
      </c>
      <c r="G1377">
        <v>1</v>
      </c>
    </row>
    <row r="1378" spans="3:7" x14ac:dyDescent="0.15">
      <c r="C1378" s="43">
        <v>90</v>
      </c>
      <c r="D1378" s="42">
        <v>1.6934046345811051E-2</v>
      </c>
      <c r="E1378" s="42">
        <v>0.5546875</v>
      </c>
      <c r="F1378" s="42">
        <v>1.6934046345811051E-2</v>
      </c>
      <c r="G1378">
        <v>1</v>
      </c>
    </row>
    <row r="1379" spans="3:7" x14ac:dyDescent="0.15">
      <c r="C1379" s="43">
        <v>91</v>
      </c>
      <c r="D1379" s="42">
        <v>1.6934046345811051E-2</v>
      </c>
      <c r="E1379" s="42">
        <v>0.5625</v>
      </c>
      <c r="F1379" s="42">
        <v>1.6934046345811051E-2</v>
      </c>
      <c r="G1379">
        <v>1</v>
      </c>
    </row>
    <row r="1380" spans="3:7" x14ac:dyDescent="0.15">
      <c r="C1380" s="43">
        <v>92</v>
      </c>
      <c r="D1380" s="42">
        <v>1.7825311942959002E-2</v>
      </c>
      <c r="E1380" s="42">
        <v>0.5625</v>
      </c>
      <c r="F1380" s="42">
        <v>1.7825311942959002E-2</v>
      </c>
      <c r="G1380">
        <v>1</v>
      </c>
    </row>
    <row r="1381" spans="3:7" x14ac:dyDescent="0.15">
      <c r="C1381" s="43">
        <v>93</v>
      </c>
      <c r="D1381" s="42">
        <v>1.871657754010695E-2</v>
      </c>
      <c r="E1381" s="42">
        <v>0.5625</v>
      </c>
      <c r="F1381" s="42">
        <v>1.871657754010695E-2</v>
      </c>
      <c r="G1381">
        <v>1</v>
      </c>
    </row>
    <row r="1382" spans="3:7" x14ac:dyDescent="0.15">
      <c r="C1382" s="43">
        <v>94</v>
      </c>
      <c r="D1382" s="42">
        <v>1.871657754010695E-2</v>
      </c>
      <c r="E1382" s="42">
        <v>0.5703125</v>
      </c>
      <c r="F1382" s="42">
        <v>1.871657754010695E-2</v>
      </c>
      <c r="G1382">
        <v>1</v>
      </c>
    </row>
    <row r="1383" spans="3:7" x14ac:dyDescent="0.15">
      <c r="C1383" s="43">
        <v>95</v>
      </c>
      <c r="D1383" s="42">
        <v>1.9607843137254902E-2</v>
      </c>
      <c r="E1383" s="42">
        <v>0.5703125</v>
      </c>
      <c r="F1383" s="42">
        <v>1.9607843137254902E-2</v>
      </c>
      <c r="G1383">
        <v>1</v>
      </c>
    </row>
    <row r="1384" spans="3:7" x14ac:dyDescent="0.15">
      <c r="C1384" s="43">
        <v>96</v>
      </c>
      <c r="D1384" s="42">
        <v>1.9607843137254902E-2</v>
      </c>
      <c r="E1384" s="42">
        <v>0.578125</v>
      </c>
      <c r="F1384" s="42">
        <v>1.9607843137254902E-2</v>
      </c>
      <c r="G1384">
        <v>1</v>
      </c>
    </row>
    <row r="1385" spans="3:7" x14ac:dyDescent="0.15">
      <c r="C1385" s="43">
        <v>97</v>
      </c>
      <c r="D1385" s="42">
        <v>2.0499108734402853E-2</v>
      </c>
      <c r="E1385" s="42">
        <v>0.578125</v>
      </c>
      <c r="F1385" s="42">
        <v>2.0499108734402853E-2</v>
      </c>
      <c r="G1385">
        <v>1</v>
      </c>
    </row>
    <row r="1386" spans="3:7" x14ac:dyDescent="0.15">
      <c r="C1386" s="43">
        <v>98</v>
      </c>
      <c r="D1386" s="42">
        <v>2.0499108734402853E-2</v>
      </c>
      <c r="E1386" s="42">
        <v>0.5859375</v>
      </c>
      <c r="F1386" s="42">
        <v>2.0499108734402853E-2</v>
      </c>
      <c r="G1386">
        <v>1</v>
      </c>
    </row>
    <row r="1387" spans="3:7" x14ac:dyDescent="0.15">
      <c r="C1387" s="43">
        <v>99</v>
      </c>
      <c r="D1387" s="42">
        <v>2.1390374331550801E-2</v>
      </c>
      <c r="E1387" s="42">
        <v>0.5859375</v>
      </c>
      <c r="F1387" s="42">
        <v>2.1390374331550801E-2</v>
      </c>
      <c r="G1387">
        <v>1</v>
      </c>
    </row>
    <row r="1388" spans="3:7" x14ac:dyDescent="0.15">
      <c r="C1388" s="43">
        <v>100</v>
      </c>
      <c r="D1388" s="42">
        <v>2.2281639928698752E-2</v>
      </c>
      <c r="E1388" s="42">
        <v>0.5859375</v>
      </c>
      <c r="F1388" s="42">
        <v>2.2281639928698752E-2</v>
      </c>
      <c r="G1388">
        <v>1</v>
      </c>
    </row>
    <row r="1389" spans="3:7" x14ac:dyDescent="0.15">
      <c r="C1389" s="43">
        <v>101</v>
      </c>
      <c r="D1389" s="42">
        <v>2.3172905525846704E-2</v>
      </c>
      <c r="E1389" s="42">
        <v>0.5859375</v>
      </c>
      <c r="F1389" s="42">
        <v>2.3172905525846704E-2</v>
      </c>
      <c r="G1389">
        <v>1</v>
      </c>
    </row>
    <row r="1390" spans="3:7" x14ac:dyDescent="0.15">
      <c r="C1390" s="43">
        <v>102</v>
      </c>
      <c r="D1390" s="42">
        <v>2.4064171122994651E-2</v>
      </c>
      <c r="E1390" s="42">
        <v>0.5859375</v>
      </c>
      <c r="F1390" s="42">
        <v>2.4064171122994651E-2</v>
      </c>
      <c r="G1390">
        <v>1</v>
      </c>
    </row>
    <row r="1391" spans="3:7" x14ac:dyDescent="0.15">
      <c r="C1391" s="43">
        <v>103</v>
      </c>
      <c r="D1391" s="42">
        <v>2.4955436720142603E-2</v>
      </c>
      <c r="E1391" s="42">
        <v>0.5859375</v>
      </c>
      <c r="F1391" s="42">
        <v>2.4955436720142603E-2</v>
      </c>
      <c r="G1391">
        <v>1</v>
      </c>
    </row>
    <row r="1392" spans="3:7" x14ac:dyDescent="0.15">
      <c r="C1392" s="43">
        <v>104</v>
      </c>
      <c r="D1392" s="42">
        <v>2.4955436720142603E-2</v>
      </c>
      <c r="E1392" s="42">
        <v>0.59375</v>
      </c>
      <c r="F1392" s="42">
        <v>2.4955436720142603E-2</v>
      </c>
      <c r="G1392">
        <v>1</v>
      </c>
    </row>
    <row r="1393" spans="3:7" x14ac:dyDescent="0.15">
      <c r="C1393" s="43">
        <v>105</v>
      </c>
      <c r="D1393" s="42">
        <v>2.5846702317290554E-2</v>
      </c>
      <c r="E1393" s="42">
        <v>0.59375</v>
      </c>
      <c r="F1393" s="42">
        <v>2.5846702317290554E-2</v>
      </c>
      <c r="G1393">
        <v>1</v>
      </c>
    </row>
    <row r="1394" spans="3:7" x14ac:dyDescent="0.15">
      <c r="C1394" s="43">
        <v>106</v>
      </c>
      <c r="D1394" s="42">
        <v>2.6737967914438502E-2</v>
      </c>
      <c r="E1394" s="42">
        <v>0.59375</v>
      </c>
      <c r="F1394" s="42">
        <v>2.6737967914438502E-2</v>
      </c>
      <c r="G1394">
        <v>1</v>
      </c>
    </row>
    <row r="1395" spans="3:7" x14ac:dyDescent="0.15">
      <c r="C1395" s="43">
        <v>107</v>
      </c>
      <c r="D1395" s="42">
        <v>2.7629233511586453E-2</v>
      </c>
      <c r="E1395" s="42">
        <v>0.59375</v>
      </c>
      <c r="F1395" s="42">
        <v>2.7629233511586453E-2</v>
      </c>
      <c r="G1395">
        <v>1</v>
      </c>
    </row>
    <row r="1396" spans="3:7" x14ac:dyDescent="0.15">
      <c r="C1396" s="43">
        <v>108</v>
      </c>
      <c r="D1396" s="42">
        <v>2.8520499108734401E-2</v>
      </c>
      <c r="E1396" s="42">
        <v>0.59375</v>
      </c>
      <c r="F1396" s="42">
        <v>2.8520499108734401E-2</v>
      </c>
      <c r="G1396">
        <v>1</v>
      </c>
    </row>
    <row r="1397" spans="3:7" x14ac:dyDescent="0.15">
      <c r="C1397" s="43">
        <v>109</v>
      </c>
      <c r="D1397" s="42">
        <v>2.8520499108734401E-2</v>
      </c>
      <c r="E1397" s="42">
        <v>0.6015625</v>
      </c>
      <c r="F1397" s="42">
        <v>2.8520499108734401E-2</v>
      </c>
      <c r="G1397">
        <v>1</v>
      </c>
    </row>
    <row r="1398" spans="3:7" x14ac:dyDescent="0.15">
      <c r="C1398" s="43">
        <v>110</v>
      </c>
      <c r="D1398" s="42">
        <v>2.8520499108734401E-2</v>
      </c>
      <c r="E1398" s="42">
        <v>0.609375</v>
      </c>
      <c r="F1398" s="42">
        <v>2.8520499108734401E-2</v>
      </c>
      <c r="G1398">
        <v>1</v>
      </c>
    </row>
    <row r="1399" spans="3:7" x14ac:dyDescent="0.15">
      <c r="C1399" s="43">
        <v>111</v>
      </c>
      <c r="D1399" s="42">
        <v>2.8520499108734401E-2</v>
      </c>
      <c r="E1399" s="42">
        <v>0.6171875</v>
      </c>
      <c r="F1399" s="42">
        <v>2.8520499108734401E-2</v>
      </c>
      <c r="G1399">
        <v>1</v>
      </c>
    </row>
    <row r="1400" spans="3:7" x14ac:dyDescent="0.15">
      <c r="C1400" s="43">
        <v>112</v>
      </c>
      <c r="D1400" s="42">
        <v>2.8520499108734401E-2</v>
      </c>
      <c r="E1400" s="42">
        <v>0.625</v>
      </c>
      <c r="F1400" s="42">
        <v>2.8520499108734401E-2</v>
      </c>
      <c r="G1400">
        <v>1</v>
      </c>
    </row>
    <row r="1401" spans="3:7" x14ac:dyDescent="0.15">
      <c r="C1401" s="43">
        <v>113</v>
      </c>
      <c r="D1401" s="42">
        <v>2.8520499108734401E-2</v>
      </c>
      <c r="E1401" s="42">
        <v>0.6328125</v>
      </c>
      <c r="F1401" s="42">
        <v>2.8520499108734401E-2</v>
      </c>
      <c r="G1401">
        <v>1</v>
      </c>
    </row>
    <row r="1402" spans="3:7" x14ac:dyDescent="0.15">
      <c r="C1402" s="43">
        <v>114</v>
      </c>
      <c r="D1402" s="42">
        <v>2.9411764705882353E-2</v>
      </c>
      <c r="E1402" s="42">
        <v>0.6328125</v>
      </c>
      <c r="F1402" s="42">
        <v>2.9411764705882353E-2</v>
      </c>
      <c r="G1402">
        <v>1</v>
      </c>
    </row>
    <row r="1403" spans="3:7" x14ac:dyDescent="0.15">
      <c r="C1403" s="43">
        <v>115</v>
      </c>
      <c r="D1403" s="42">
        <v>3.0303030303030304E-2</v>
      </c>
      <c r="E1403" s="42">
        <v>0.6328125</v>
      </c>
      <c r="F1403" s="42">
        <v>3.0303030303030304E-2</v>
      </c>
      <c r="G1403">
        <v>1</v>
      </c>
    </row>
    <row r="1404" spans="3:7" x14ac:dyDescent="0.15">
      <c r="C1404" s="43">
        <v>116</v>
      </c>
      <c r="D1404" s="42">
        <v>3.1194295900178252E-2</v>
      </c>
      <c r="E1404" s="42">
        <v>0.6328125</v>
      </c>
      <c r="F1404" s="42">
        <v>3.1194295900178252E-2</v>
      </c>
      <c r="G1404">
        <v>1</v>
      </c>
    </row>
    <row r="1405" spans="3:7" x14ac:dyDescent="0.15">
      <c r="C1405" s="43">
        <v>117</v>
      </c>
      <c r="D1405" s="42">
        <v>3.2085561497326207E-2</v>
      </c>
      <c r="E1405" s="42">
        <v>0.6328125</v>
      </c>
      <c r="F1405" s="42">
        <v>3.2085561497326207E-2</v>
      </c>
      <c r="G1405">
        <v>1</v>
      </c>
    </row>
    <row r="1406" spans="3:7" x14ac:dyDescent="0.15">
      <c r="C1406" s="43">
        <v>118</v>
      </c>
      <c r="D1406" s="42">
        <v>3.2085561497326207E-2</v>
      </c>
      <c r="E1406" s="42">
        <v>0.640625</v>
      </c>
      <c r="F1406" s="42">
        <v>3.2085561497326207E-2</v>
      </c>
      <c r="G1406">
        <v>1</v>
      </c>
    </row>
    <row r="1407" spans="3:7" x14ac:dyDescent="0.15">
      <c r="C1407" s="43">
        <v>119</v>
      </c>
      <c r="D1407" s="42">
        <v>3.2085561497326207E-2</v>
      </c>
      <c r="E1407" s="42">
        <v>0.6484375</v>
      </c>
      <c r="F1407" s="42">
        <v>3.2085561497326207E-2</v>
      </c>
      <c r="G1407">
        <v>1</v>
      </c>
    </row>
    <row r="1408" spans="3:7" x14ac:dyDescent="0.15">
      <c r="C1408" s="43">
        <v>120</v>
      </c>
      <c r="D1408" s="42">
        <v>3.2976827094474151E-2</v>
      </c>
      <c r="E1408" s="42">
        <v>0.6484375</v>
      </c>
      <c r="F1408" s="42">
        <v>3.2976827094474151E-2</v>
      </c>
      <c r="G1408">
        <v>1</v>
      </c>
    </row>
    <row r="1409" spans="3:7" x14ac:dyDescent="0.15">
      <c r="C1409" s="43">
        <v>121</v>
      </c>
      <c r="D1409" s="42">
        <v>3.3868092691622102E-2</v>
      </c>
      <c r="E1409" s="42">
        <v>0.6484375</v>
      </c>
      <c r="F1409" s="42">
        <v>3.3868092691622102E-2</v>
      </c>
      <c r="G1409">
        <v>1</v>
      </c>
    </row>
    <row r="1410" spans="3:7" x14ac:dyDescent="0.15">
      <c r="C1410" s="43">
        <v>122</v>
      </c>
      <c r="D1410" s="42">
        <v>3.4759358288770054E-2</v>
      </c>
      <c r="E1410" s="42">
        <v>0.6484375</v>
      </c>
      <c r="F1410" s="42">
        <v>3.4759358288770054E-2</v>
      </c>
      <c r="G1410">
        <v>1</v>
      </c>
    </row>
    <row r="1411" spans="3:7" x14ac:dyDescent="0.15">
      <c r="C1411" s="43">
        <v>123</v>
      </c>
      <c r="D1411" s="42">
        <v>3.4759358288770054E-2</v>
      </c>
      <c r="E1411" s="42">
        <v>0.65625</v>
      </c>
      <c r="F1411" s="42">
        <v>3.4759358288770054E-2</v>
      </c>
      <c r="G1411">
        <v>1</v>
      </c>
    </row>
    <row r="1412" spans="3:7" x14ac:dyDescent="0.15">
      <c r="C1412" s="43">
        <v>124</v>
      </c>
      <c r="D1412" s="42">
        <v>3.5650623885918005E-2</v>
      </c>
      <c r="E1412" s="42">
        <v>0.65625</v>
      </c>
      <c r="F1412" s="42">
        <v>3.5650623885918005E-2</v>
      </c>
      <c r="G1412">
        <v>1</v>
      </c>
    </row>
    <row r="1413" spans="3:7" x14ac:dyDescent="0.15">
      <c r="C1413" s="43">
        <v>125</v>
      </c>
      <c r="D1413" s="42">
        <v>3.6541889483065956E-2</v>
      </c>
      <c r="E1413" s="42">
        <v>0.65625</v>
      </c>
      <c r="F1413" s="42">
        <v>3.6541889483065956E-2</v>
      </c>
      <c r="G1413">
        <v>1</v>
      </c>
    </row>
    <row r="1414" spans="3:7" x14ac:dyDescent="0.15">
      <c r="C1414" s="43">
        <v>126</v>
      </c>
      <c r="D1414" s="42">
        <v>3.7433155080213901E-2</v>
      </c>
      <c r="E1414" s="42">
        <v>0.65625</v>
      </c>
      <c r="F1414" s="42">
        <v>3.7433155080213901E-2</v>
      </c>
      <c r="G1414">
        <v>1</v>
      </c>
    </row>
    <row r="1415" spans="3:7" x14ac:dyDescent="0.15">
      <c r="C1415" s="43">
        <v>127</v>
      </c>
      <c r="D1415" s="42">
        <v>3.8324420677361852E-2</v>
      </c>
      <c r="E1415" s="42">
        <v>0.65625</v>
      </c>
      <c r="F1415" s="42">
        <v>3.8324420677361852E-2</v>
      </c>
      <c r="G1415">
        <v>1</v>
      </c>
    </row>
    <row r="1416" spans="3:7" x14ac:dyDescent="0.15">
      <c r="C1416" s="43">
        <v>128</v>
      </c>
      <c r="D1416" s="42">
        <v>3.8324420677361852E-2</v>
      </c>
      <c r="E1416" s="42">
        <v>0.6640625</v>
      </c>
      <c r="F1416" s="42">
        <v>3.8324420677361852E-2</v>
      </c>
      <c r="G1416">
        <v>1</v>
      </c>
    </row>
    <row r="1417" spans="3:7" x14ac:dyDescent="0.15">
      <c r="C1417" s="43">
        <v>129</v>
      </c>
      <c r="D1417" s="42">
        <v>3.8324420677361852E-2</v>
      </c>
      <c r="E1417" s="42">
        <v>0.671875</v>
      </c>
      <c r="F1417" s="42">
        <v>3.8324420677361852E-2</v>
      </c>
      <c r="G1417">
        <v>1</v>
      </c>
    </row>
    <row r="1418" spans="3:7" x14ac:dyDescent="0.15">
      <c r="C1418" s="43">
        <v>130</v>
      </c>
      <c r="D1418" s="42">
        <v>3.9215686274509803E-2</v>
      </c>
      <c r="E1418" s="42">
        <v>0.671875</v>
      </c>
      <c r="F1418" s="42">
        <v>3.9215686274509803E-2</v>
      </c>
      <c r="G1418">
        <v>1</v>
      </c>
    </row>
    <row r="1419" spans="3:7" x14ac:dyDescent="0.15">
      <c r="C1419" s="43">
        <v>131</v>
      </c>
      <c r="D1419" s="42">
        <v>3.9215686274509803E-2</v>
      </c>
      <c r="E1419" s="42">
        <v>0.6796875</v>
      </c>
      <c r="F1419" s="42">
        <v>3.9215686274509803E-2</v>
      </c>
      <c r="G1419">
        <v>1</v>
      </c>
    </row>
    <row r="1420" spans="3:7" x14ac:dyDescent="0.15">
      <c r="C1420" s="43">
        <v>132</v>
      </c>
      <c r="D1420" s="42">
        <v>4.0106951871657755E-2</v>
      </c>
      <c r="E1420" s="42">
        <v>0.6796875</v>
      </c>
      <c r="F1420" s="42">
        <v>4.0106951871657755E-2</v>
      </c>
      <c r="G1420">
        <v>1</v>
      </c>
    </row>
    <row r="1421" spans="3:7" x14ac:dyDescent="0.15">
      <c r="C1421" s="43">
        <v>133</v>
      </c>
      <c r="D1421" s="42">
        <v>4.0998217468805706E-2</v>
      </c>
      <c r="E1421" s="42">
        <v>0.6796875</v>
      </c>
      <c r="F1421" s="42">
        <v>4.0998217468805706E-2</v>
      </c>
      <c r="G1421">
        <v>1</v>
      </c>
    </row>
    <row r="1422" spans="3:7" x14ac:dyDescent="0.15">
      <c r="C1422" s="43">
        <v>134</v>
      </c>
      <c r="D1422" s="42">
        <v>4.0998217468805706E-2</v>
      </c>
      <c r="E1422" s="42">
        <v>0.6875</v>
      </c>
      <c r="F1422" s="42">
        <v>4.0998217468805706E-2</v>
      </c>
      <c r="G1422">
        <v>1</v>
      </c>
    </row>
    <row r="1423" spans="3:7" x14ac:dyDescent="0.15">
      <c r="C1423" s="43">
        <v>135</v>
      </c>
      <c r="D1423" s="42">
        <v>4.1889483065953657E-2</v>
      </c>
      <c r="E1423" s="42">
        <v>0.6875</v>
      </c>
      <c r="F1423" s="42">
        <v>4.1889483065953657E-2</v>
      </c>
      <c r="G1423">
        <v>1</v>
      </c>
    </row>
    <row r="1424" spans="3:7" x14ac:dyDescent="0.15">
      <c r="C1424" s="43">
        <v>136</v>
      </c>
      <c r="D1424" s="42">
        <v>4.1889483065953657E-2</v>
      </c>
      <c r="E1424" s="42">
        <v>0.6953125</v>
      </c>
      <c r="F1424" s="42">
        <v>4.1889483065953657E-2</v>
      </c>
      <c r="G1424">
        <v>1</v>
      </c>
    </row>
    <row r="1425" spans="3:7" x14ac:dyDescent="0.15">
      <c r="C1425" s="43">
        <v>137</v>
      </c>
      <c r="D1425" s="42">
        <v>4.2780748663101602E-2</v>
      </c>
      <c r="E1425" s="42">
        <v>0.6953125</v>
      </c>
      <c r="F1425" s="42">
        <v>4.2780748663101602E-2</v>
      </c>
      <c r="G1425">
        <v>1</v>
      </c>
    </row>
    <row r="1426" spans="3:7" x14ac:dyDescent="0.15">
      <c r="C1426" s="43">
        <v>138</v>
      </c>
      <c r="D1426" s="42">
        <v>4.3672014260249553E-2</v>
      </c>
      <c r="E1426" s="42">
        <v>0.6953125</v>
      </c>
      <c r="F1426" s="42">
        <v>4.3672014260249553E-2</v>
      </c>
      <c r="G1426">
        <v>1</v>
      </c>
    </row>
    <row r="1427" spans="3:7" x14ac:dyDescent="0.15">
      <c r="C1427" s="43">
        <v>139</v>
      </c>
      <c r="D1427" s="42">
        <v>4.3672014260249553E-2</v>
      </c>
      <c r="E1427" s="42">
        <v>0.703125</v>
      </c>
      <c r="F1427" s="42">
        <v>4.3672014260249553E-2</v>
      </c>
      <c r="G1427">
        <v>1</v>
      </c>
    </row>
    <row r="1428" spans="3:7" x14ac:dyDescent="0.15">
      <c r="C1428" s="43">
        <v>140</v>
      </c>
      <c r="D1428" s="42">
        <v>4.3672014260249553E-2</v>
      </c>
      <c r="E1428" s="42">
        <v>0.7109375</v>
      </c>
      <c r="F1428" s="42">
        <v>4.3672014260249553E-2</v>
      </c>
      <c r="G1428">
        <v>1</v>
      </c>
    </row>
    <row r="1429" spans="3:7" x14ac:dyDescent="0.15">
      <c r="C1429" s="43">
        <v>141</v>
      </c>
      <c r="D1429" s="42">
        <v>4.4563279857397504E-2</v>
      </c>
      <c r="E1429" s="42">
        <v>0.7109375</v>
      </c>
      <c r="F1429" s="42">
        <v>4.4563279857397504E-2</v>
      </c>
      <c r="G1429">
        <v>1</v>
      </c>
    </row>
    <row r="1430" spans="3:7" x14ac:dyDescent="0.15">
      <c r="C1430" s="43">
        <v>142</v>
      </c>
      <c r="D1430" s="42">
        <v>4.5454545454545456E-2</v>
      </c>
      <c r="E1430" s="42">
        <v>0.7109375</v>
      </c>
      <c r="F1430" s="42">
        <v>4.5454545454545456E-2</v>
      </c>
      <c r="G1430">
        <v>1</v>
      </c>
    </row>
    <row r="1431" spans="3:7" x14ac:dyDescent="0.15">
      <c r="C1431" s="43">
        <v>143</v>
      </c>
      <c r="D1431" s="42">
        <v>4.6345811051693407E-2</v>
      </c>
      <c r="E1431" s="42">
        <v>0.7109375</v>
      </c>
      <c r="F1431" s="42">
        <v>4.6345811051693407E-2</v>
      </c>
      <c r="G1431">
        <v>1</v>
      </c>
    </row>
    <row r="1432" spans="3:7" x14ac:dyDescent="0.15">
      <c r="C1432" s="43">
        <v>144</v>
      </c>
      <c r="D1432" s="42">
        <v>4.7237076648841352E-2</v>
      </c>
      <c r="E1432" s="42">
        <v>0.7109375</v>
      </c>
      <c r="F1432" s="42">
        <v>4.7237076648841352E-2</v>
      </c>
      <c r="G1432">
        <v>1</v>
      </c>
    </row>
    <row r="1433" spans="3:7" x14ac:dyDescent="0.15">
      <c r="C1433" s="43">
        <v>145</v>
      </c>
      <c r="D1433" s="42">
        <v>4.8128342245989303E-2</v>
      </c>
      <c r="E1433" s="42">
        <v>0.7109375</v>
      </c>
      <c r="F1433" s="42">
        <v>4.8128342245989303E-2</v>
      </c>
      <c r="G1433">
        <v>1</v>
      </c>
    </row>
    <row r="1434" spans="3:7" x14ac:dyDescent="0.15">
      <c r="C1434" s="43">
        <v>146</v>
      </c>
      <c r="D1434" s="42">
        <v>4.8128342245989303E-2</v>
      </c>
      <c r="E1434" s="42">
        <v>0.71875</v>
      </c>
      <c r="F1434" s="42">
        <v>4.8128342245989303E-2</v>
      </c>
      <c r="G1434">
        <v>1</v>
      </c>
    </row>
    <row r="1435" spans="3:7" x14ac:dyDescent="0.15">
      <c r="C1435" s="43">
        <v>147</v>
      </c>
      <c r="D1435" s="42">
        <v>4.9019607843137254E-2</v>
      </c>
      <c r="E1435" s="42">
        <v>0.71875</v>
      </c>
      <c r="F1435" s="42">
        <v>4.9019607843137254E-2</v>
      </c>
      <c r="G1435">
        <v>1</v>
      </c>
    </row>
    <row r="1436" spans="3:7" x14ac:dyDescent="0.15">
      <c r="C1436" s="43">
        <v>148</v>
      </c>
      <c r="D1436" s="42">
        <v>4.9910873440285206E-2</v>
      </c>
      <c r="E1436" s="42">
        <v>0.71875</v>
      </c>
      <c r="F1436" s="42">
        <v>4.9910873440285206E-2</v>
      </c>
      <c r="G1436">
        <v>1</v>
      </c>
    </row>
    <row r="1437" spans="3:7" x14ac:dyDescent="0.15">
      <c r="C1437" s="43">
        <v>149</v>
      </c>
      <c r="D1437" s="42">
        <v>4.9910873440285206E-2</v>
      </c>
      <c r="E1437" s="42">
        <v>0.7265625</v>
      </c>
      <c r="F1437" s="42">
        <v>4.9910873440285206E-2</v>
      </c>
      <c r="G1437">
        <v>1</v>
      </c>
    </row>
    <row r="1438" spans="3:7" x14ac:dyDescent="0.15">
      <c r="C1438" s="43">
        <v>150</v>
      </c>
      <c r="D1438" s="42">
        <v>5.0802139037433157E-2</v>
      </c>
      <c r="E1438" s="42">
        <v>0.7265625</v>
      </c>
      <c r="F1438" s="42">
        <v>5.0802139037433157E-2</v>
      </c>
      <c r="G1438">
        <v>1</v>
      </c>
    </row>
    <row r="1439" spans="3:7" x14ac:dyDescent="0.15">
      <c r="C1439" s="43">
        <v>151</v>
      </c>
      <c r="D1439" s="42">
        <v>5.1693404634581108E-2</v>
      </c>
      <c r="E1439" s="42">
        <v>0.7265625</v>
      </c>
      <c r="F1439" s="42">
        <v>5.1693404634581108E-2</v>
      </c>
      <c r="G1439">
        <v>1</v>
      </c>
    </row>
    <row r="1440" spans="3:7" x14ac:dyDescent="0.15">
      <c r="C1440" s="43">
        <v>152</v>
      </c>
      <c r="D1440" s="42">
        <v>5.2584670231729053E-2</v>
      </c>
      <c r="E1440" s="42">
        <v>0.7265625</v>
      </c>
      <c r="F1440" s="42">
        <v>5.2584670231729053E-2</v>
      </c>
      <c r="G1440">
        <v>1</v>
      </c>
    </row>
    <row r="1441" spans="3:7" x14ac:dyDescent="0.15">
      <c r="C1441" s="43">
        <v>153</v>
      </c>
      <c r="D1441" s="42">
        <v>5.2584670231729053E-2</v>
      </c>
      <c r="E1441" s="42">
        <v>0.734375</v>
      </c>
      <c r="F1441" s="42">
        <v>5.2584670231729053E-2</v>
      </c>
      <c r="G1441">
        <v>1</v>
      </c>
    </row>
    <row r="1442" spans="3:7" x14ac:dyDescent="0.15">
      <c r="C1442" s="43">
        <v>154</v>
      </c>
      <c r="D1442" s="42">
        <v>5.3475935828877004E-2</v>
      </c>
      <c r="E1442" s="42">
        <v>0.734375</v>
      </c>
      <c r="F1442" s="42">
        <v>5.3475935828877004E-2</v>
      </c>
      <c r="G1442">
        <v>1</v>
      </c>
    </row>
    <row r="1443" spans="3:7" x14ac:dyDescent="0.15">
      <c r="C1443" s="43">
        <v>155</v>
      </c>
      <c r="D1443" s="42">
        <v>5.4367201426024955E-2</v>
      </c>
      <c r="E1443" s="42">
        <v>0.734375</v>
      </c>
      <c r="F1443" s="42">
        <v>5.4367201426024955E-2</v>
      </c>
      <c r="G1443">
        <v>1</v>
      </c>
    </row>
    <row r="1444" spans="3:7" x14ac:dyDescent="0.15">
      <c r="C1444" s="43">
        <v>156</v>
      </c>
      <c r="D1444" s="42">
        <v>5.4367201426024955E-2</v>
      </c>
      <c r="E1444" s="42">
        <v>0.7421875</v>
      </c>
      <c r="F1444" s="42">
        <v>5.4367201426024955E-2</v>
      </c>
      <c r="G1444">
        <v>1</v>
      </c>
    </row>
    <row r="1445" spans="3:7" x14ac:dyDescent="0.15">
      <c r="C1445" s="43">
        <v>157</v>
      </c>
      <c r="D1445" s="42">
        <v>5.5258467023172907E-2</v>
      </c>
      <c r="E1445" s="42">
        <v>0.7421875</v>
      </c>
      <c r="F1445" s="42">
        <v>5.5258467023172907E-2</v>
      </c>
      <c r="G1445">
        <v>1</v>
      </c>
    </row>
    <row r="1446" spans="3:7" x14ac:dyDescent="0.15">
      <c r="C1446" s="43">
        <v>158</v>
      </c>
      <c r="D1446" s="42">
        <v>5.5258467023172907E-2</v>
      </c>
      <c r="E1446" s="42">
        <v>0.75</v>
      </c>
      <c r="F1446" s="42">
        <v>5.5258467023172907E-2</v>
      </c>
      <c r="G1446">
        <v>1</v>
      </c>
    </row>
    <row r="1447" spans="3:7" x14ac:dyDescent="0.15">
      <c r="C1447" s="43">
        <v>159</v>
      </c>
      <c r="D1447" s="42">
        <v>5.6149732620320858E-2</v>
      </c>
      <c r="E1447" s="42">
        <v>0.75</v>
      </c>
      <c r="F1447" s="42">
        <v>5.6149732620320858E-2</v>
      </c>
      <c r="G1447">
        <v>1</v>
      </c>
    </row>
    <row r="1448" spans="3:7" x14ac:dyDescent="0.15">
      <c r="C1448" s="43">
        <v>160</v>
      </c>
      <c r="D1448" s="42">
        <v>5.7040998217468802E-2</v>
      </c>
      <c r="E1448" s="42">
        <v>0.75</v>
      </c>
      <c r="F1448" s="42">
        <v>5.7040998217468802E-2</v>
      </c>
      <c r="G1448">
        <v>1</v>
      </c>
    </row>
    <row r="1449" spans="3:7" x14ac:dyDescent="0.15">
      <c r="C1449" s="43">
        <v>161</v>
      </c>
      <c r="D1449" s="42">
        <v>5.7932263814616754E-2</v>
      </c>
      <c r="E1449" s="42">
        <v>0.75</v>
      </c>
      <c r="F1449" s="42">
        <v>5.7932263814616754E-2</v>
      </c>
      <c r="G1449">
        <v>1</v>
      </c>
    </row>
    <row r="1450" spans="3:7" x14ac:dyDescent="0.15">
      <c r="C1450" s="43">
        <v>162</v>
      </c>
      <c r="D1450" s="42">
        <v>5.7932263814616754E-2</v>
      </c>
      <c r="E1450" s="42">
        <v>0.7578125</v>
      </c>
      <c r="F1450" s="42">
        <v>5.7932263814616754E-2</v>
      </c>
      <c r="G1450">
        <v>1</v>
      </c>
    </row>
    <row r="1451" spans="3:7" x14ac:dyDescent="0.15">
      <c r="C1451" s="43">
        <v>163</v>
      </c>
      <c r="D1451" s="42">
        <v>5.8823529411764705E-2</v>
      </c>
      <c r="E1451" s="42">
        <v>0.7578125</v>
      </c>
      <c r="F1451" s="42">
        <v>5.8823529411764705E-2</v>
      </c>
      <c r="G1451">
        <v>1</v>
      </c>
    </row>
    <row r="1452" spans="3:7" x14ac:dyDescent="0.15">
      <c r="C1452" s="43">
        <v>164</v>
      </c>
      <c r="D1452" s="42">
        <v>5.9714795008912656E-2</v>
      </c>
      <c r="E1452" s="42">
        <v>0.7578125</v>
      </c>
      <c r="F1452" s="42">
        <v>5.9714795008912656E-2</v>
      </c>
      <c r="G1452">
        <v>1</v>
      </c>
    </row>
    <row r="1453" spans="3:7" x14ac:dyDescent="0.15">
      <c r="C1453" s="43">
        <v>165</v>
      </c>
      <c r="D1453" s="42">
        <v>6.0606060606060608E-2</v>
      </c>
      <c r="E1453" s="42">
        <v>0.7578125</v>
      </c>
      <c r="F1453" s="42">
        <v>6.0606060606060608E-2</v>
      </c>
      <c r="G1453">
        <v>1</v>
      </c>
    </row>
    <row r="1454" spans="3:7" x14ac:dyDescent="0.15">
      <c r="C1454" s="43">
        <v>166</v>
      </c>
      <c r="D1454" s="42">
        <v>6.1497326203208559E-2</v>
      </c>
      <c r="E1454" s="42">
        <v>0.7578125</v>
      </c>
      <c r="F1454" s="42">
        <v>6.1497326203208559E-2</v>
      </c>
      <c r="G1454">
        <v>1</v>
      </c>
    </row>
    <row r="1455" spans="3:7" x14ac:dyDescent="0.15">
      <c r="C1455" s="43">
        <v>167</v>
      </c>
      <c r="D1455" s="42">
        <v>6.2388591800356503E-2</v>
      </c>
      <c r="E1455" s="42">
        <v>0.7578125</v>
      </c>
      <c r="F1455" s="42">
        <v>6.2388591800356503E-2</v>
      </c>
      <c r="G1455">
        <v>1</v>
      </c>
    </row>
    <row r="1456" spans="3:7" x14ac:dyDescent="0.15">
      <c r="C1456" s="43">
        <v>168</v>
      </c>
      <c r="D1456" s="42">
        <v>6.2388591800356503E-2</v>
      </c>
      <c r="E1456" s="42">
        <v>0.765625</v>
      </c>
      <c r="F1456" s="42">
        <v>6.2388591800356503E-2</v>
      </c>
      <c r="G1456">
        <v>1</v>
      </c>
    </row>
    <row r="1457" spans="3:7" x14ac:dyDescent="0.15">
      <c r="C1457" s="43">
        <v>169</v>
      </c>
      <c r="D1457" s="42">
        <v>6.3279857397504455E-2</v>
      </c>
      <c r="E1457" s="42">
        <v>0.765625</v>
      </c>
      <c r="F1457" s="42">
        <v>6.3279857397504455E-2</v>
      </c>
      <c r="G1457">
        <v>1</v>
      </c>
    </row>
    <row r="1458" spans="3:7" x14ac:dyDescent="0.15">
      <c r="C1458" s="43">
        <v>170</v>
      </c>
      <c r="D1458" s="42">
        <v>6.3279857397504455E-2</v>
      </c>
      <c r="E1458" s="42">
        <v>0.7734375</v>
      </c>
      <c r="F1458" s="42">
        <v>6.3279857397504455E-2</v>
      </c>
      <c r="G1458">
        <v>1</v>
      </c>
    </row>
    <row r="1459" spans="3:7" x14ac:dyDescent="0.15">
      <c r="C1459" s="43">
        <v>171</v>
      </c>
      <c r="D1459" s="42">
        <v>6.3279857397504455E-2</v>
      </c>
      <c r="E1459" s="42">
        <v>0.78125</v>
      </c>
      <c r="F1459" s="42">
        <v>6.3279857397504455E-2</v>
      </c>
      <c r="G1459">
        <v>1</v>
      </c>
    </row>
    <row r="1460" spans="3:7" x14ac:dyDescent="0.15">
      <c r="C1460" s="43">
        <v>172</v>
      </c>
      <c r="D1460" s="42">
        <v>6.3279857397504455E-2</v>
      </c>
      <c r="E1460" s="42">
        <v>0.7890625</v>
      </c>
      <c r="F1460" s="42">
        <v>6.3279857397504455E-2</v>
      </c>
      <c r="G1460">
        <v>1</v>
      </c>
    </row>
    <row r="1461" spans="3:7" x14ac:dyDescent="0.15">
      <c r="C1461" s="43">
        <v>173</v>
      </c>
      <c r="D1461" s="42">
        <v>6.4171122994652413E-2</v>
      </c>
      <c r="E1461" s="42">
        <v>0.7890625</v>
      </c>
      <c r="F1461" s="42">
        <v>6.4171122994652413E-2</v>
      </c>
      <c r="G1461">
        <v>1</v>
      </c>
    </row>
    <row r="1462" spans="3:7" x14ac:dyDescent="0.15">
      <c r="C1462" s="43">
        <v>174</v>
      </c>
      <c r="D1462" s="42">
        <v>6.5062388591800357E-2</v>
      </c>
      <c r="E1462" s="42">
        <v>0.7890625</v>
      </c>
      <c r="F1462" s="42">
        <v>6.5062388591800357E-2</v>
      </c>
      <c r="G1462">
        <v>1</v>
      </c>
    </row>
    <row r="1463" spans="3:7" x14ac:dyDescent="0.15">
      <c r="C1463" s="43">
        <v>175</v>
      </c>
      <c r="D1463" s="42">
        <v>6.5953654188948302E-2</v>
      </c>
      <c r="E1463" s="42">
        <v>0.7890625</v>
      </c>
      <c r="F1463" s="42">
        <v>6.5953654188948302E-2</v>
      </c>
      <c r="G1463">
        <v>1</v>
      </c>
    </row>
    <row r="1464" spans="3:7" x14ac:dyDescent="0.15">
      <c r="C1464" s="43">
        <v>176</v>
      </c>
      <c r="D1464" s="42">
        <v>6.684491978609626E-2</v>
      </c>
      <c r="E1464" s="42">
        <v>0.7890625</v>
      </c>
      <c r="F1464" s="42">
        <v>6.684491978609626E-2</v>
      </c>
      <c r="G1464">
        <v>1</v>
      </c>
    </row>
    <row r="1465" spans="3:7" x14ac:dyDescent="0.15">
      <c r="C1465" s="43">
        <v>177</v>
      </c>
      <c r="D1465" s="42">
        <v>6.7736185383244205E-2</v>
      </c>
      <c r="E1465" s="42">
        <v>0.7890625</v>
      </c>
      <c r="F1465" s="42">
        <v>6.7736185383244205E-2</v>
      </c>
      <c r="G1465">
        <v>1</v>
      </c>
    </row>
    <row r="1466" spans="3:7" x14ac:dyDescent="0.15">
      <c r="C1466" s="43">
        <v>178</v>
      </c>
      <c r="D1466" s="42">
        <v>6.8627450980392163E-2</v>
      </c>
      <c r="E1466" s="42">
        <v>0.7890625</v>
      </c>
      <c r="F1466" s="42">
        <v>6.8627450980392163E-2</v>
      </c>
      <c r="G1466">
        <v>1</v>
      </c>
    </row>
    <row r="1467" spans="3:7" x14ac:dyDescent="0.15">
      <c r="C1467" s="43">
        <v>179</v>
      </c>
      <c r="D1467" s="42">
        <v>6.9518716577540107E-2</v>
      </c>
      <c r="E1467" s="42">
        <v>0.7890625</v>
      </c>
      <c r="F1467" s="42">
        <v>6.9518716577540107E-2</v>
      </c>
      <c r="G1467">
        <v>1</v>
      </c>
    </row>
    <row r="1468" spans="3:7" x14ac:dyDescent="0.15">
      <c r="C1468" s="43">
        <v>180</v>
      </c>
      <c r="D1468" s="42">
        <v>6.9518716577540107E-2</v>
      </c>
      <c r="E1468" s="42">
        <v>0.796875</v>
      </c>
      <c r="F1468" s="42">
        <v>6.9518716577540107E-2</v>
      </c>
      <c r="G1468">
        <v>1</v>
      </c>
    </row>
    <row r="1469" spans="3:7" x14ac:dyDescent="0.15">
      <c r="C1469" s="43">
        <v>181</v>
      </c>
      <c r="D1469" s="42">
        <v>7.0409982174688052E-2</v>
      </c>
      <c r="E1469" s="42">
        <v>0.796875</v>
      </c>
      <c r="F1469" s="42">
        <v>7.0409982174688052E-2</v>
      </c>
      <c r="G1469">
        <v>1</v>
      </c>
    </row>
    <row r="1470" spans="3:7" x14ac:dyDescent="0.15">
      <c r="C1470" s="43">
        <v>182</v>
      </c>
      <c r="D1470" s="42">
        <v>7.0409982174688052E-2</v>
      </c>
      <c r="E1470" s="42">
        <v>0.8046875</v>
      </c>
      <c r="F1470" s="42">
        <v>7.0409982174688052E-2</v>
      </c>
      <c r="G1470">
        <v>1</v>
      </c>
    </row>
    <row r="1471" spans="3:7" x14ac:dyDescent="0.15">
      <c r="C1471" s="43">
        <v>183</v>
      </c>
      <c r="D1471" s="42">
        <v>7.130124777183601E-2</v>
      </c>
      <c r="E1471" s="42">
        <v>0.8046875</v>
      </c>
      <c r="F1471" s="42">
        <v>7.130124777183601E-2</v>
      </c>
      <c r="G1471">
        <v>1</v>
      </c>
    </row>
    <row r="1472" spans="3:7" x14ac:dyDescent="0.15">
      <c r="C1472" s="43">
        <v>184</v>
      </c>
      <c r="D1472" s="42">
        <v>7.2192513368983954E-2</v>
      </c>
      <c r="E1472" s="42">
        <v>0.8046875</v>
      </c>
      <c r="F1472" s="42">
        <v>7.2192513368983954E-2</v>
      </c>
      <c r="G1472">
        <v>1</v>
      </c>
    </row>
    <row r="1473" spans="3:7" x14ac:dyDescent="0.15">
      <c r="C1473" s="43">
        <v>185</v>
      </c>
      <c r="D1473" s="42">
        <v>7.3083778966131913E-2</v>
      </c>
      <c r="E1473" s="42">
        <v>0.8046875</v>
      </c>
      <c r="F1473" s="42">
        <v>7.3083778966131913E-2</v>
      </c>
      <c r="G1473">
        <v>1</v>
      </c>
    </row>
    <row r="1474" spans="3:7" x14ac:dyDescent="0.15">
      <c r="C1474" s="43">
        <v>186</v>
      </c>
      <c r="D1474" s="42">
        <v>7.3975044563279857E-2</v>
      </c>
      <c r="E1474" s="42">
        <v>0.8046875</v>
      </c>
      <c r="F1474" s="42">
        <v>7.3975044563279857E-2</v>
      </c>
      <c r="G1474">
        <v>1</v>
      </c>
    </row>
    <row r="1475" spans="3:7" x14ac:dyDescent="0.15">
      <c r="C1475" s="43">
        <v>187</v>
      </c>
      <c r="D1475" s="42">
        <v>7.3975044563279857E-2</v>
      </c>
      <c r="E1475" s="42">
        <v>0.8125</v>
      </c>
      <c r="F1475" s="42">
        <v>7.3975044563279857E-2</v>
      </c>
      <c r="G1475">
        <v>1</v>
      </c>
    </row>
    <row r="1476" spans="3:7" x14ac:dyDescent="0.15">
      <c r="C1476" s="43">
        <v>188</v>
      </c>
      <c r="D1476" s="42">
        <v>7.4866310160427801E-2</v>
      </c>
      <c r="E1476" s="42">
        <v>0.8125</v>
      </c>
      <c r="F1476" s="42">
        <v>7.4866310160427801E-2</v>
      </c>
      <c r="G1476">
        <v>1</v>
      </c>
    </row>
    <row r="1477" spans="3:7" x14ac:dyDescent="0.15">
      <c r="C1477" s="43">
        <v>189</v>
      </c>
      <c r="D1477" s="42">
        <v>7.575757575757576E-2</v>
      </c>
      <c r="E1477" s="42">
        <v>0.8125</v>
      </c>
      <c r="F1477" s="42">
        <v>7.575757575757576E-2</v>
      </c>
      <c r="G1477">
        <v>1</v>
      </c>
    </row>
    <row r="1478" spans="3:7" x14ac:dyDescent="0.15">
      <c r="C1478" s="43">
        <v>190</v>
      </c>
      <c r="D1478" s="42">
        <v>7.6648841354723704E-2</v>
      </c>
      <c r="E1478" s="42">
        <v>0.8125</v>
      </c>
      <c r="F1478" s="42">
        <v>7.6648841354723704E-2</v>
      </c>
      <c r="G1478">
        <v>1</v>
      </c>
    </row>
    <row r="1479" spans="3:7" x14ac:dyDescent="0.15">
      <c r="C1479" s="43">
        <v>191</v>
      </c>
      <c r="D1479" s="42">
        <v>7.7540106951871662E-2</v>
      </c>
      <c r="E1479" s="42">
        <v>0.8125</v>
      </c>
      <c r="F1479" s="42">
        <v>7.7540106951871662E-2</v>
      </c>
      <c r="G1479">
        <v>1</v>
      </c>
    </row>
    <row r="1480" spans="3:7" x14ac:dyDescent="0.15">
      <c r="C1480" s="43">
        <v>192</v>
      </c>
      <c r="D1480" s="42">
        <v>7.7540106951871662E-2</v>
      </c>
      <c r="E1480" s="42">
        <v>0.8203125</v>
      </c>
      <c r="F1480" s="42">
        <v>7.7540106951871662E-2</v>
      </c>
      <c r="G1480">
        <v>1</v>
      </c>
    </row>
    <row r="1481" spans="3:7" x14ac:dyDescent="0.15">
      <c r="C1481" s="43">
        <v>193</v>
      </c>
      <c r="D1481" s="42">
        <v>7.8431372549019607E-2</v>
      </c>
      <c r="E1481" s="42">
        <v>0.8203125</v>
      </c>
      <c r="F1481" s="42">
        <v>7.8431372549019607E-2</v>
      </c>
      <c r="G1481">
        <v>1</v>
      </c>
    </row>
    <row r="1482" spans="3:7" x14ac:dyDescent="0.15">
      <c r="C1482" s="43">
        <v>194</v>
      </c>
      <c r="D1482" s="42">
        <v>7.9322638146167551E-2</v>
      </c>
      <c r="E1482" s="42">
        <v>0.8203125</v>
      </c>
      <c r="F1482" s="42">
        <v>7.9322638146167551E-2</v>
      </c>
      <c r="G1482">
        <v>1</v>
      </c>
    </row>
    <row r="1483" spans="3:7" x14ac:dyDescent="0.15">
      <c r="C1483" s="43">
        <v>195</v>
      </c>
      <c r="D1483" s="42">
        <v>8.0213903743315509E-2</v>
      </c>
      <c r="E1483" s="42">
        <v>0.8203125</v>
      </c>
      <c r="F1483" s="42">
        <v>8.0213903743315509E-2</v>
      </c>
      <c r="G1483">
        <v>1</v>
      </c>
    </row>
    <row r="1484" spans="3:7" x14ac:dyDescent="0.15">
      <c r="C1484" s="43">
        <v>196</v>
      </c>
      <c r="D1484" s="42">
        <v>8.1105169340463454E-2</v>
      </c>
      <c r="E1484" s="42">
        <v>0.8203125</v>
      </c>
      <c r="F1484" s="42">
        <v>8.1105169340463454E-2</v>
      </c>
      <c r="G1484">
        <v>1</v>
      </c>
    </row>
    <row r="1485" spans="3:7" x14ac:dyDescent="0.15">
      <c r="C1485" s="43">
        <v>197</v>
      </c>
      <c r="D1485" s="42">
        <v>8.1996434937611412E-2</v>
      </c>
      <c r="E1485" s="42">
        <v>0.8203125</v>
      </c>
      <c r="F1485" s="42">
        <v>8.1996434937611412E-2</v>
      </c>
      <c r="G1485">
        <v>1</v>
      </c>
    </row>
    <row r="1486" spans="3:7" x14ac:dyDescent="0.15">
      <c r="C1486" s="43">
        <v>198</v>
      </c>
      <c r="D1486" s="42">
        <v>8.2887700534759357E-2</v>
      </c>
      <c r="E1486" s="42">
        <v>0.8203125</v>
      </c>
      <c r="F1486" s="42">
        <v>8.2887700534759357E-2</v>
      </c>
      <c r="G1486">
        <v>1</v>
      </c>
    </row>
    <row r="1487" spans="3:7" x14ac:dyDescent="0.15">
      <c r="C1487" s="43">
        <v>199</v>
      </c>
      <c r="D1487" s="42">
        <v>8.2887700534759357E-2</v>
      </c>
      <c r="E1487" s="42">
        <v>0.828125</v>
      </c>
      <c r="F1487" s="42">
        <v>8.2887700534759357E-2</v>
      </c>
      <c r="G1487">
        <v>1</v>
      </c>
    </row>
    <row r="1488" spans="3:7" x14ac:dyDescent="0.15">
      <c r="C1488" s="43">
        <v>200</v>
      </c>
      <c r="D1488" s="42">
        <v>8.3778966131907315E-2</v>
      </c>
      <c r="E1488" s="42">
        <v>0.828125</v>
      </c>
      <c r="F1488" s="42">
        <v>8.3778966131907315E-2</v>
      </c>
      <c r="G1488">
        <v>1</v>
      </c>
    </row>
    <row r="1489" spans="3:7" x14ac:dyDescent="0.15">
      <c r="C1489" s="43">
        <v>201</v>
      </c>
      <c r="D1489" s="42">
        <v>8.4670231729055259E-2</v>
      </c>
      <c r="E1489" s="42">
        <v>0.828125</v>
      </c>
      <c r="F1489" s="42">
        <v>8.4670231729055259E-2</v>
      </c>
      <c r="G1489">
        <v>1</v>
      </c>
    </row>
    <row r="1490" spans="3:7" x14ac:dyDescent="0.15">
      <c r="C1490" s="43">
        <v>202</v>
      </c>
      <c r="D1490" s="42">
        <v>8.5561497326203204E-2</v>
      </c>
      <c r="E1490" s="42">
        <v>0.828125</v>
      </c>
      <c r="F1490" s="42">
        <v>8.5561497326203204E-2</v>
      </c>
      <c r="G1490">
        <v>1</v>
      </c>
    </row>
    <row r="1491" spans="3:7" x14ac:dyDescent="0.15">
      <c r="C1491" s="43">
        <v>203</v>
      </c>
      <c r="D1491" s="42">
        <v>8.6452762923351162E-2</v>
      </c>
      <c r="E1491" s="42">
        <v>0.828125</v>
      </c>
      <c r="F1491" s="42">
        <v>8.6452762923351162E-2</v>
      </c>
      <c r="G1491">
        <v>1</v>
      </c>
    </row>
    <row r="1492" spans="3:7" x14ac:dyDescent="0.15">
      <c r="C1492" s="43">
        <v>204</v>
      </c>
      <c r="D1492" s="42">
        <v>8.7344028520499106E-2</v>
      </c>
      <c r="E1492" s="42">
        <v>0.828125</v>
      </c>
      <c r="F1492" s="42">
        <v>8.7344028520499106E-2</v>
      </c>
      <c r="G1492">
        <v>1</v>
      </c>
    </row>
    <row r="1493" spans="3:7" x14ac:dyDescent="0.15">
      <c r="C1493" s="43">
        <v>205</v>
      </c>
      <c r="D1493" s="42">
        <v>8.8235294117647065E-2</v>
      </c>
      <c r="E1493" s="42">
        <v>0.828125</v>
      </c>
      <c r="F1493" s="42">
        <v>8.8235294117647065E-2</v>
      </c>
      <c r="G1493">
        <v>1</v>
      </c>
    </row>
    <row r="1494" spans="3:7" x14ac:dyDescent="0.15">
      <c r="C1494" s="43">
        <v>206</v>
      </c>
      <c r="D1494" s="42">
        <v>8.9126559714795009E-2</v>
      </c>
      <c r="E1494" s="42">
        <v>0.828125</v>
      </c>
      <c r="F1494" s="42">
        <v>8.9126559714795009E-2</v>
      </c>
      <c r="G1494">
        <v>1</v>
      </c>
    </row>
    <row r="1495" spans="3:7" x14ac:dyDescent="0.15">
      <c r="C1495" s="43">
        <v>207</v>
      </c>
      <c r="D1495" s="42">
        <v>9.0017825311942953E-2</v>
      </c>
      <c r="E1495" s="42">
        <v>0.828125</v>
      </c>
      <c r="F1495" s="42">
        <v>9.0017825311942953E-2</v>
      </c>
      <c r="G1495">
        <v>1</v>
      </c>
    </row>
    <row r="1496" spans="3:7" x14ac:dyDescent="0.15">
      <c r="C1496" s="43">
        <v>208</v>
      </c>
      <c r="D1496" s="42">
        <v>9.0909090909090912E-2</v>
      </c>
      <c r="E1496" s="42">
        <v>0.828125</v>
      </c>
      <c r="F1496" s="42">
        <v>9.0909090909090912E-2</v>
      </c>
      <c r="G1496">
        <v>1</v>
      </c>
    </row>
    <row r="1497" spans="3:7" x14ac:dyDescent="0.15">
      <c r="C1497" s="43">
        <v>209</v>
      </c>
      <c r="D1497" s="42">
        <v>9.1800356506238856E-2</v>
      </c>
      <c r="E1497" s="42">
        <v>0.828125</v>
      </c>
      <c r="F1497" s="42">
        <v>9.1800356506238856E-2</v>
      </c>
      <c r="G1497">
        <v>1</v>
      </c>
    </row>
    <row r="1498" spans="3:7" x14ac:dyDescent="0.15">
      <c r="C1498" s="43">
        <v>210</v>
      </c>
      <c r="D1498" s="42">
        <v>9.2691622103386814E-2</v>
      </c>
      <c r="E1498" s="42">
        <v>0.828125</v>
      </c>
      <c r="F1498" s="42">
        <v>9.2691622103386814E-2</v>
      </c>
      <c r="G1498">
        <v>1</v>
      </c>
    </row>
    <row r="1499" spans="3:7" x14ac:dyDescent="0.15">
      <c r="C1499" s="43">
        <v>211</v>
      </c>
      <c r="D1499" s="42">
        <v>9.3582887700534759E-2</v>
      </c>
      <c r="E1499" s="42">
        <v>0.828125</v>
      </c>
      <c r="F1499" s="42">
        <v>9.3582887700534759E-2</v>
      </c>
      <c r="G1499">
        <v>1</v>
      </c>
    </row>
    <row r="1500" spans="3:7" x14ac:dyDescent="0.15">
      <c r="C1500" s="43">
        <v>212</v>
      </c>
      <c r="D1500" s="42">
        <v>9.4474153297682703E-2</v>
      </c>
      <c r="E1500" s="42">
        <v>0.828125</v>
      </c>
      <c r="F1500" s="42">
        <v>9.4474153297682703E-2</v>
      </c>
      <c r="G1500">
        <v>1</v>
      </c>
    </row>
    <row r="1501" spans="3:7" x14ac:dyDescent="0.15">
      <c r="C1501" s="43">
        <v>213</v>
      </c>
      <c r="D1501" s="42">
        <v>9.5365418894830661E-2</v>
      </c>
      <c r="E1501" s="42">
        <v>0.828125</v>
      </c>
      <c r="F1501" s="42">
        <v>9.5365418894830661E-2</v>
      </c>
      <c r="G1501">
        <v>1</v>
      </c>
    </row>
    <row r="1502" spans="3:7" x14ac:dyDescent="0.15">
      <c r="C1502" s="43">
        <v>214</v>
      </c>
      <c r="D1502" s="42">
        <v>9.6256684491978606E-2</v>
      </c>
      <c r="E1502" s="42">
        <v>0.828125</v>
      </c>
      <c r="F1502" s="42">
        <v>9.6256684491978606E-2</v>
      </c>
      <c r="G1502">
        <v>1</v>
      </c>
    </row>
    <row r="1503" spans="3:7" x14ac:dyDescent="0.15">
      <c r="C1503" s="43">
        <v>215</v>
      </c>
      <c r="D1503" s="42">
        <v>9.7147950089126564E-2</v>
      </c>
      <c r="E1503" s="42">
        <v>0.828125</v>
      </c>
      <c r="F1503" s="42">
        <v>9.7147950089126564E-2</v>
      </c>
      <c r="G1503">
        <v>1</v>
      </c>
    </row>
    <row r="1504" spans="3:7" x14ac:dyDescent="0.15">
      <c r="C1504" s="43">
        <v>216</v>
      </c>
      <c r="D1504" s="42">
        <v>9.8039215686274508E-2</v>
      </c>
      <c r="E1504" s="42">
        <v>0.828125</v>
      </c>
      <c r="F1504" s="42">
        <v>9.8039215686274508E-2</v>
      </c>
      <c r="G1504">
        <v>1</v>
      </c>
    </row>
    <row r="1505" spans="3:7" x14ac:dyDescent="0.15">
      <c r="C1505" s="43">
        <v>217</v>
      </c>
      <c r="D1505" s="42">
        <v>9.8930481283422467E-2</v>
      </c>
      <c r="E1505" s="42">
        <v>0.828125</v>
      </c>
      <c r="F1505" s="42">
        <v>9.8930481283422467E-2</v>
      </c>
      <c r="G1505">
        <v>1</v>
      </c>
    </row>
    <row r="1506" spans="3:7" x14ac:dyDescent="0.15">
      <c r="C1506" s="43">
        <v>218</v>
      </c>
      <c r="D1506" s="42">
        <v>9.9821746880570411E-2</v>
      </c>
      <c r="E1506" s="42">
        <v>0.828125</v>
      </c>
      <c r="F1506" s="42">
        <v>9.9821746880570411E-2</v>
      </c>
      <c r="G1506">
        <v>1</v>
      </c>
    </row>
    <row r="1507" spans="3:7" x14ac:dyDescent="0.15">
      <c r="C1507" s="43">
        <v>219</v>
      </c>
      <c r="D1507" s="42">
        <v>0.10071301247771836</v>
      </c>
      <c r="E1507" s="42">
        <v>0.828125</v>
      </c>
      <c r="F1507" s="42">
        <v>0.10071301247771836</v>
      </c>
      <c r="G1507">
        <v>1</v>
      </c>
    </row>
    <row r="1508" spans="3:7" x14ac:dyDescent="0.15">
      <c r="C1508" s="43">
        <v>220</v>
      </c>
      <c r="D1508" s="42">
        <v>0.10160427807486631</v>
      </c>
      <c r="E1508" s="42">
        <v>0.828125</v>
      </c>
      <c r="F1508" s="42">
        <v>0.10160427807486631</v>
      </c>
      <c r="G1508">
        <v>1</v>
      </c>
    </row>
    <row r="1509" spans="3:7" x14ac:dyDescent="0.15">
      <c r="C1509" s="43">
        <v>221</v>
      </c>
      <c r="D1509" s="42">
        <v>0.10249554367201426</v>
      </c>
      <c r="E1509" s="42">
        <v>0.828125</v>
      </c>
      <c r="F1509" s="42">
        <v>0.10249554367201426</v>
      </c>
      <c r="G1509">
        <v>1</v>
      </c>
    </row>
    <row r="1510" spans="3:7" x14ac:dyDescent="0.15">
      <c r="C1510" s="43">
        <v>222</v>
      </c>
      <c r="D1510" s="42">
        <v>0.10249554367201426</v>
      </c>
      <c r="E1510" s="42">
        <v>0.8359375</v>
      </c>
      <c r="F1510" s="42">
        <v>0.10249554367201426</v>
      </c>
      <c r="G1510">
        <v>1</v>
      </c>
    </row>
    <row r="1511" spans="3:7" x14ac:dyDescent="0.15">
      <c r="C1511" s="43">
        <v>223</v>
      </c>
      <c r="D1511" s="42">
        <v>0.10338680926916222</v>
      </c>
      <c r="E1511" s="42">
        <v>0.8359375</v>
      </c>
      <c r="F1511" s="42">
        <v>0.10338680926916222</v>
      </c>
      <c r="G1511">
        <v>1</v>
      </c>
    </row>
    <row r="1512" spans="3:7" x14ac:dyDescent="0.15">
      <c r="C1512" s="43">
        <v>224</v>
      </c>
      <c r="D1512" s="42">
        <v>0.10427807486631016</v>
      </c>
      <c r="E1512" s="42">
        <v>0.8359375</v>
      </c>
      <c r="F1512" s="42">
        <v>0.10427807486631016</v>
      </c>
      <c r="G1512">
        <v>1</v>
      </c>
    </row>
    <row r="1513" spans="3:7" x14ac:dyDescent="0.15">
      <c r="C1513" s="43">
        <v>225</v>
      </c>
      <c r="D1513" s="42">
        <v>0.10516934046345811</v>
      </c>
      <c r="E1513" s="42">
        <v>0.8359375</v>
      </c>
      <c r="F1513" s="42">
        <v>0.10516934046345811</v>
      </c>
      <c r="G1513">
        <v>1</v>
      </c>
    </row>
    <row r="1514" spans="3:7" x14ac:dyDescent="0.15">
      <c r="C1514" s="43">
        <v>226</v>
      </c>
      <c r="D1514" s="42">
        <v>0.10516934046345811</v>
      </c>
      <c r="E1514" s="42">
        <v>0.84375</v>
      </c>
      <c r="F1514" s="42">
        <v>0.10516934046345811</v>
      </c>
      <c r="G1514">
        <v>1</v>
      </c>
    </row>
    <row r="1515" spans="3:7" x14ac:dyDescent="0.15">
      <c r="C1515" s="43">
        <v>227</v>
      </c>
      <c r="D1515" s="42">
        <v>0.10606060606060606</v>
      </c>
      <c r="E1515" s="42">
        <v>0.84375</v>
      </c>
      <c r="F1515" s="42">
        <v>0.10606060606060606</v>
      </c>
      <c r="G1515">
        <v>1</v>
      </c>
    </row>
    <row r="1516" spans="3:7" x14ac:dyDescent="0.15">
      <c r="C1516" s="43">
        <v>228</v>
      </c>
      <c r="D1516" s="42">
        <v>0.10695187165775401</v>
      </c>
      <c r="E1516" s="42">
        <v>0.84375</v>
      </c>
      <c r="F1516" s="42">
        <v>0.10695187165775401</v>
      </c>
      <c r="G1516">
        <v>1</v>
      </c>
    </row>
    <row r="1517" spans="3:7" x14ac:dyDescent="0.15">
      <c r="C1517" s="43">
        <v>229</v>
      </c>
      <c r="D1517" s="42">
        <v>0.10784313725490197</v>
      </c>
      <c r="E1517" s="42">
        <v>0.84375</v>
      </c>
      <c r="F1517" s="42">
        <v>0.10784313725490197</v>
      </c>
      <c r="G1517">
        <v>1</v>
      </c>
    </row>
    <row r="1518" spans="3:7" x14ac:dyDescent="0.15">
      <c r="C1518" s="43">
        <v>230</v>
      </c>
      <c r="D1518" s="42">
        <v>0.10784313725490197</v>
      </c>
      <c r="E1518" s="42">
        <v>0.8515625</v>
      </c>
      <c r="F1518" s="42">
        <v>0.10784313725490197</v>
      </c>
      <c r="G1518">
        <v>1</v>
      </c>
    </row>
    <row r="1519" spans="3:7" x14ac:dyDescent="0.15">
      <c r="C1519" s="43">
        <v>231</v>
      </c>
      <c r="D1519" s="42">
        <v>0.10784313725490197</v>
      </c>
      <c r="E1519" s="42">
        <v>0.859375</v>
      </c>
      <c r="F1519" s="42">
        <v>0.10784313725490197</v>
      </c>
      <c r="G1519">
        <v>1</v>
      </c>
    </row>
    <row r="1520" spans="3:7" x14ac:dyDescent="0.15">
      <c r="C1520" s="43">
        <v>232</v>
      </c>
      <c r="D1520" s="42">
        <v>0.10873440285204991</v>
      </c>
      <c r="E1520" s="42">
        <v>0.859375</v>
      </c>
      <c r="F1520" s="42">
        <v>0.10873440285204991</v>
      </c>
      <c r="G1520">
        <v>1</v>
      </c>
    </row>
    <row r="1521" spans="3:7" x14ac:dyDescent="0.15">
      <c r="C1521" s="43">
        <v>233</v>
      </c>
      <c r="D1521" s="42">
        <v>0.10962566844919786</v>
      </c>
      <c r="E1521" s="42">
        <v>0.859375</v>
      </c>
      <c r="F1521" s="42">
        <v>0.10962566844919786</v>
      </c>
      <c r="G1521">
        <v>1</v>
      </c>
    </row>
    <row r="1522" spans="3:7" x14ac:dyDescent="0.15">
      <c r="C1522" s="43">
        <v>234</v>
      </c>
      <c r="D1522" s="42">
        <v>0.11051693404634581</v>
      </c>
      <c r="E1522" s="42">
        <v>0.859375</v>
      </c>
      <c r="F1522" s="42">
        <v>0.11051693404634581</v>
      </c>
      <c r="G1522">
        <v>1</v>
      </c>
    </row>
    <row r="1523" spans="3:7" x14ac:dyDescent="0.15">
      <c r="C1523" s="43">
        <v>235</v>
      </c>
      <c r="D1523" s="42">
        <v>0.11140819964349376</v>
      </c>
      <c r="E1523" s="42">
        <v>0.859375</v>
      </c>
      <c r="F1523" s="42">
        <v>0.11140819964349376</v>
      </c>
      <c r="G1523">
        <v>1</v>
      </c>
    </row>
    <row r="1524" spans="3:7" x14ac:dyDescent="0.15">
      <c r="C1524" s="43">
        <v>236</v>
      </c>
      <c r="D1524" s="42">
        <v>0.11229946524064172</v>
      </c>
      <c r="E1524" s="42">
        <v>0.859375</v>
      </c>
      <c r="F1524" s="42">
        <v>0.11229946524064172</v>
      </c>
      <c r="G1524">
        <v>1</v>
      </c>
    </row>
    <row r="1525" spans="3:7" x14ac:dyDescent="0.15">
      <c r="C1525" s="43">
        <v>237</v>
      </c>
      <c r="D1525" s="42">
        <v>0.11229946524064172</v>
      </c>
      <c r="E1525" s="42">
        <v>0.8671875</v>
      </c>
      <c r="F1525" s="42">
        <v>0.11229946524064172</v>
      </c>
      <c r="G1525">
        <v>1</v>
      </c>
    </row>
    <row r="1526" spans="3:7" x14ac:dyDescent="0.15">
      <c r="C1526" s="43">
        <v>238</v>
      </c>
      <c r="D1526" s="42">
        <v>0.11319073083778966</v>
      </c>
      <c r="E1526" s="42">
        <v>0.8671875</v>
      </c>
      <c r="F1526" s="42">
        <v>0.11319073083778966</v>
      </c>
      <c r="G1526">
        <v>1</v>
      </c>
    </row>
    <row r="1527" spans="3:7" x14ac:dyDescent="0.15">
      <c r="C1527" s="43">
        <v>239</v>
      </c>
      <c r="D1527" s="42">
        <v>0.1140819964349376</v>
      </c>
      <c r="E1527" s="42">
        <v>0.8671875</v>
      </c>
      <c r="F1527" s="42">
        <v>0.1140819964349376</v>
      </c>
      <c r="G1527">
        <v>1</v>
      </c>
    </row>
    <row r="1528" spans="3:7" x14ac:dyDescent="0.15">
      <c r="C1528" s="43">
        <v>240</v>
      </c>
      <c r="D1528" s="42">
        <v>0.11497326203208556</v>
      </c>
      <c r="E1528" s="42">
        <v>0.8671875</v>
      </c>
      <c r="F1528" s="42">
        <v>0.11497326203208556</v>
      </c>
      <c r="G1528">
        <v>1</v>
      </c>
    </row>
    <row r="1529" spans="3:7" x14ac:dyDescent="0.15">
      <c r="C1529" s="43">
        <v>241</v>
      </c>
      <c r="D1529" s="42">
        <v>0.11586452762923351</v>
      </c>
      <c r="E1529" s="42">
        <v>0.8671875</v>
      </c>
      <c r="F1529" s="42">
        <v>0.11586452762923351</v>
      </c>
      <c r="G1529">
        <v>1</v>
      </c>
    </row>
    <row r="1530" spans="3:7" x14ac:dyDescent="0.15">
      <c r="C1530" s="43">
        <v>242</v>
      </c>
      <c r="D1530" s="42">
        <v>0.11675579322638147</v>
      </c>
      <c r="E1530" s="42">
        <v>0.8671875</v>
      </c>
      <c r="F1530" s="42">
        <v>0.11675579322638147</v>
      </c>
      <c r="G1530">
        <v>1</v>
      </c>
    </row>
    <row r="1531" spans="3:7" x14ac:dyDescent="0.15">
      <c r="C1531" s="43">
        <v>243</v>
      </c>
      <c r="D1531" s="42">
        <v>0.11675579322638147</v>
      </c>
      <c r="E1531" s="42">
        <v>0.875</v>
      </c>
      <c r="F1531" s="42">
        <v>0.11675579322638147</v>
      </c>
      <c r="G1531">
        <v>1</v>
      </c>
    </row>
    <row r="1532" spans="3:7" x14ac:dyDescent="0.15">
      <c r="C1532" s="43">
        <v>244</v>
      </c>
      <c r="D1532" s="42">
        <v>0.11675579322638147</v>
      </c>
      <c r="E1532" s="42">
        <v>0.8828125</v>
      </c>
      <c r="F1532" s="42">
        <v>0.11675579322638147</v>
      </c>
      <c r="G1532">
        <v>1</v>
      </c>
    </row>
    <row r="1533" spans="3:7" x14ac:dyDescent="0.15">
      <c r="C1533" s="43">
        <v>245</v>
      </c>
      <c r="D1533" s="42">
        <v>0.11764705882352941</v>
      </c>
      <c r="E1533" s="42">
        <v>0.8828125</v>
      </c>
      <c r="F1533" s="42">
        <v>0.11764705882352941</v>
      </c>
      <c r="G1533">
        <v>1</v>
      </c>
    </row>
    <row r="1534" spans="3:7" x14ac:dyDescent="0.15">
      <c r="C1534" s="43">
        <v>246</v>
      </c>
      <c r="D1534" s="42">
        <v>0.11764705882352941</v>
      </c>
      <c r="E1534" s="42">
        <v>0.890625</v>
      </c>
      <c r="F1534" s="42">
        <v>0.11764705882352941</v>
      </c>
      <c r="G1534">
        <v>1</v>
      </c>
    </row>
    <row r="1535" spans="3:7" x14ac:dyDescent="0.15">
      <c r="C1535" s="43">
        <v>247</v>
      </c>
      <c r="D1535" s="42">
        <v>0.11853832442067737</v>
      </c>
      <c r="E1535" s="42">
        <v>0.890625</v>
      </c>
      <c r="F1535" s="42">
        <v>0.11853832442067737</v>
      </c>
      <c r="G1535">
        <v>1</v>
      </c>
    </row>
    <row r="1536" spans="3:7" x14ac:dyDescent="0.15">
      <c r="C1536" s="43">
        <v>248</v>
      </c>
      <c r="D1536" s="42">
        <v>0.11942959001782531</v>
      </c>
      <c r="E1536" s="42">
        <v>0.890625</v>
      </c>
      <c r="F1536" s="42">
        <v>0.11942959001782531</v>
      </c>
      <c r="G1536">
        <v>1</v>
      </c>
    </row>
    <row r="1537" spans="3:7" x14ac:dyDescent="0.15">
      <c r="C1537" s="43">
        <v>249</v>
      </c>
      <c r="D1537" s="42">
        <v>0.11942959001782531</v>
      </c>
      <c r="E1537" s="42">
        <v>0.8984375</v>
      </c>
      <c r="F1537" s="42">
        <v>0.11942959001782531</v>
      </c>
      <c r="G1537">
        <v>1</v>
      </c>
    </row>
    <row r="1538" spans="3:7" x14ac:dyDescent="0.15">
      <c r="C1538" s="43">
        <v>250</v>
      </c>
      <c r="D1538" s="42">
        <v>0.12032085561497326</v>
      </c>
      <c r="E1538" s="42">
        <v>0.8984375</v>
      </c>
      <c r="F1538" s="42">
        <v>0.12032085561497326</v>
      </c>
      <c r="G1538">
        <v>1</v>
      </c>
    </row>
    <row r="1539" spans="3:7" x14ac:dyDescent="0.15">
      <c r="C1539" s="43">
        <v>251</v>
      </c>
      <c r="D1539" s="42">
        <v>0.12121212121212122</v>
      </c>
      <c r="E1539" s="42">
        <v>0.8984375</v>
      </c>
      <c r="F1539" s="42">
        <v>0.12121212121212122</v>
      </c>
      <c r="G1539">
        <v>1</v>
      </c>
    </row>
    <row r="1540" spans="3:7" x14ac:dyDescent="0.15">
      <c r="C1540" s="43">
        <v>252</v>
      </c>
      <c r="D1540" s="42">
        <v>0.12210338680926916</v>
      </c>
      <c r="E1540" s="42">
        <v>0.8984375</v>
      </c>
      <c r="F1540" s="42">
        <v>0.12210338680926916</v>
      </c>
      <c r="G1540">
        <v>1</v>
      </c>
    </row>
    <row r="1541" spans="3:7" x14ac:dyDescent="0.15">
      <c r="C1541" s="43">
        <v>253</v>
      </c>
      <c r="D1541" s="42">
        <v>0.12299465240641712</v>
      </c>
      <c r="E1541" s="42">
        <v>0.8984375</v>
      </c>
      <c r="F1541" s="42">
        <v>0.12299465240641712</v>
      </c>
      <c r="G1541">
        <v>1</v>
      </c>
    </row>
    <row r="1542" spans="3:7" x14ac:dyDescent="0.15">
      <c r="C1542" s="43">
        <v>254</v>
      </c>
      <c r="D1542" s="42">
        <v>0.12388591800356506</v>
      </c>
      <c r="E1542" s="42">
        <v>0.8984375</v>
      </c>
      <c r="F1542" s="42">
        <v>0.12388591800356506</v>
      </c>
      <c r="G1542">
        <v>1</v>
      </c>
    </row>
    <row r="1543" spans="3:7" x14ac:dyDescent="0.15">
      <c r="C1543" s="43">
        <v>255</v>
      </c>
      <c r="D1543" s="42">
        <v>0.12477718360071301</v>
      </c>
      <c r="E1543" s="42">
        <v>0.8984375</v>
      </c>
      <c r="F1543" s="42">
        <v>0.12477718360071301</v>
      </c>
      <c r="G1543">
        <v>1</v>
      </c>
    </row>
    <row r="1544" spans="3:7" x14ac:dyDescent="0.15">
      <c r="C1544" s="43">
        <v>256</v>
      </c>
      <c r="D1544" s="42">
        <v>0.12566844919786097</v>
      </c>
      <c r="E1544" s="42">
        <v>0.8984375</v>
      </c>
      <c r="F1544" s="42">
        <v>0.12566844919786097</v>
      </c>
      <c r="G1544">
        <v>1</v>
      </c>
    </row>
    <row r="1545" spans="3:7" x14ac:dyDescent="0.15">
      <c r="C1545" s="43">
        <v>257</v>
      </c>
      <c r="D1545" s="42">
        <v>0.12655971479500891</v>
      </c>
      <c r="E1545" s="42">
        <v>0.8984375</v>
      </c>
      <c r="F1545" s="42">
        <v>0.12655971479500891</v>
      </c>
      <c r="G1545">
        <v>1</v>
      </c>
    </row>
    <row r="1546" spans="3:7" x14ac:dyDescent="0.15">
      <c r="C1546" s="43">
        <v>258</v>
      </c>
      <c r="D1546" s="42">
        <v>0.12745098039215685</v>
      </c>
      <c r="E1546" s="42">
        <v>0.8984375</v>
      </c>
      <c r="F1546" s="42">
        <v>0.12745098039215685</v>
      </c>
      <c r="G1546">
        <v>1</v>
      </c>
    </row>
    <row r="1547" spans="3:7" x14ac:dyDescent="0.15">
      <c r="C1547" s="43">
        <v>259</v>
      </c>
      <c r="D1547" s="42">
        <v>0.12834224598930483</v>
      </c>
      <c r="E1547" s="42">
        <v>0.8984375</v>
      </c>
      <c r="F1547" s="42">
        <v>0.12834224598930483</v>
      </c>
      <c r="G1547">
        <v>1</v>
      </c>
    </row>
    <row r="1548" spans="3:7" x14ac:dyDescent="0.15">
      <c r="C1548" s="43">
        <v>260</v>
      </c>
      <c r="D1548" s="42">
        <v>0.12923351158645277</v>
      </c>
      <c r="E1548" s="42">
        <v>0.8984375</v>
      </c>
      <c r="F1548" s="42">
        <v>0.12923351158645277</v>
      </c>
      <c r="G1548">
        <v>1</v>
      </c>
    </row>
    <row r="1549" spans="3:7" x14ac:dyDescent="0.15">
      <c r="C1549" s="43">
        <v>261</v>
      </c>
      <c r="D1549" s="42">
        <v>0.13012477718360071</v>
      </c>
      <c r="E1549" s="42">
        <v>0.8984375</v>
      </c>
      <c r="F1549" s="42">
        <v>0.13012477718360071</v>
      </c>
      <c r="G1549">
        <v>1</v>
      </c>
    </row>
    <row r="1550" spans="3:7" x14ac:dyDescent="0.15">
      <c r="C1550" s="43">
        <v>262</v>
      </c>
      <c r="D1550" s="42">
        <v>0.13101604278074866</v>
      </c>
      <c r="E1550" s="42">
        <v>0.8984375</v>
      </c>
      <c r="F1550" s="42">
        <v>0.13101604278074866</v>
      </c>
      <c r="G1550">
        <v>1</v>
      </c>
    </row>
    <row r="1551" spans="3:7" x14ac:dyDescent="0.15">
      <c r="C1551" s="43">
        <v>263</v>
      </c>
      <c r="D1551" s="42">
        <v>0.1319073083778966</v>
      </c>
      <c r="E1551" s="42">
        <v>0.8984375</v>
      </c>
      <c r="F1551" s="42">
        <v>0.1319073083778966</v>
      </c>
      <c r="G1551">
        <v>1</v>
      </c>
    </row>
    <row r="1552" spans="3:7" x14ac:dyDescent="0.15">
      <c r="C1552" s="43">
        <v>264</v>
      </c>
      <c r="D1552" s="42">
        <v>0.13279857397504458</v>
      </c>
      <c r="E1552" s="42">
        <v>0.8984375</v>
      </c>
      <c r="F1552" s="42">
        <v>0.13279857397504458</v>
      </c>
      <c r="G1552">
        <v>1</v>
      </c>
    </row>
    <row r="1553" spans="3:7" x14ac:dyDescent="0.15">
      <c r="C1553" s="43">
        <v>265</v>
      </c>
      <c r="D1553" s="42">
        <v>0.13368983957219252</v>
      </c>
      <c r="E1553" s="42">
        <v>0.8984375</v>
      </c>
      <c r="F1553" s="42">
        <v>0.13368983957219252</v>
      </c>
      <c r="G1553">
        <v>1</v>
      </c>
    </row>
    <row r="1554" spans="3:7" x14ac:dyDescent="0.15">
      <c r="C1554" s="43">
        <v>266</v>
      </c>
      <c r="D1554" s="42">
        <v>0.13458110516934046</v>
      </c>
      <c r="E1554" s="42">
        <v>0.8984375</v>
      </c>
      <c r="F1554" s="42">
        <v>0.13458110516934046</v>
      </c>
      <c r="G1554">
        <v>1</v>
      </c>
    </row>
    <row r="1555" spans="3:7" x14ac:dyDescent="0.15">
      <c r="C1555" s="43">
        <v>267</v>
      </c>
      <c r="D1555" s="42">
        <v>0.13547237076648841</v>
      </c>
      <c r="E1555" s="42">
        <v>0.8984375</v>
      </c>
      <c r="F1555" s="42">
        <v>0.13547237076648841</v>
      </c>
      <c r="G1555">
        <v>1</v>
      </c>
    </row>
    <row r="1556" spans="3:7" x14ac:dyDescent="0.15">
      <c r="C1556" s="43">
        <v>268</v>
      </c>
      <c r="D1556" s="42">
        <v>0.13636363636363635</v>
      </c>
      <c r="E1556" s="42">
        <v>0.8984375</v>
      </c>
      <c r="F1556" s="42">
        <v>0.13636363636363635</v>
      </c>
      <c r="G1556">
        <v>1</v>
      </c>
    </row>
    <row r="1557" spans="3:7" x14ac:dyDescent="0.15">
      <c r="C1557" s="43">
        <v>269</v>
      </c>
      <c r="D1557" s="42">
        <v>0.13725490196078433</v>
      </c>
      <c r="E1557" s="42">
        <v>0.8984375</v>
      </c>
      <c r="F1557" s="42">
        <v>0.13725490196078433</v>
      </c>
      <c r="G1557">
        <v>1</v>
      </c>
    </row>
    <row r="1558" spans="3:7" x14ac:dyDescent="0.15">
      <c r="C1558" s="43">
        <v>270</v>
      </c>
      <c r="D1558" s="42">
        <v>0.13814616755793227</v>
      </c>
      <c r="E1558" s="42">
        <v>0.8984375</v>
      </c>
      <c r="F1558" s="42">
        <v>0.13814616755793227</v>
      </c>
      <c r="G1558">
        <v>1</v>
      </c>
    </row>
    <row r="1559" spans="3:7" x14ac:dyDescent="0.15">
      <c r="C1559" s="43">
        <v>271</v>
      </c>
      <c r="D1559" s="42">
        <v>0.13903743315508021</v>
      </c>
      <c r="E1559" s="42">
        <v>0.8984375</v>
      </c>
      <c r="F1559" s="42">
        <v>0.13903743315508021</v>
      </c>
      <c r="G1559">
        <v>1</v>
      </c>
    </row>
    <row r="1560" spans="3:7" x14ac:dyDescent="0.15">
      <c r="C1560" s="43">
        <v>272</v>
      </c>
      <c r="D1560" s="42">
        <v>0.13992869875222816</v>
      </c>
      <c r="E1560" s="42">
        <v>0.8984375</v>
      </c>
      <c r="F1560" s="42">
        <v>0.13992869875222816</v>
      </c>
      <c r="G1560">
        <v>1</v>
      </c>
    </row>
    <row r="1561" spans="3:7" x14ac:dyDescent="0.15">
      <c r="C1561" s="43">
        <v>273</v>
      </c>
      <c r="D1561" s="42">
        <v>0.13992869875222816</v>
      </c>
      <c r="E1561" s="42">
        <v>0.90625</v>
      </c>
      <c r="F1561" s="42">
        <v>0.13992869875222816</v>
      </c>
      <c r="G1561">
        <v>1</v>
      </c>
    </row>
    <row r="1562" spans="3:7" x14ac:dyDescent="0.15">
      <c r="C1562" s="43">
        <v>274</v>
      </c>
      <c r="D1562" s="42">
        <v>0.1408199643493761</v>
      </c>
      <c r="E1562" s="42">
        <v>0.90625</v>
      </c>
      <c r="F1562" s="42">
        <v>0.1408199643493761</v>
      </c>
      <c r="G1562">
        <v>1</v>
      </c>
    </row>
    <row r="1563" spans="3:7" x14ac:dyDescent="0.15">
      <c r="C1563" s="43">
        <v>275</v>
      </c>
      <c r="D1563" s="42">
        <v>0.14171122994652408</v>
      </c>
      <c r="E1563" s="42">
        <v>0.90625</v>
      </c>
      <c r="F1563" s="42">
        <v>0.14171122994652408</v>
      </c>
      <c r="G1563">
        <v>1</v>
      </c>
    </row>
    <row r="1564" spans="3:7" x14ac:dyDescent="0.15">
      <c r="C1564" s="43">
        <v>276</v>
      </c>
      <c r="D1564" s="42">
        <v>0.14260249554367202</v>
      </c>
      <c r="E1564" s="42">
        <v>0.90625</v>
      </c>
      <c r="F1564" s="42">
        <v>0.14260249554367202</v>
      </c>
      <c r="G1564">
        <v>1</v>
      </c>
    </row>
    <row r="1565" spans="3:7" x14ac:dyDescent="0.15">
      <c r="C1565" s="43">
        <v>277</v>
      </c>
      <c r="D1565" s="42">
        <v>0.14349376114081996</v>
      </c>
      <c r="E1565" s="42">
        <v>0.90625</v>
      </c>
      <c r="F1565" s="42">
        <v>0.14349376114081996</v>
      </c>
      <c r="G1565">
        <v>1</v>
      </c>
    </row>
    <row r="1566" spans="3:7" x14ac:dyDescent="0.15">
      <c r="C1566" s="43">
        <v>278</v>
      </c>
      <c r="D1566" s="42">
        <v>0.14438502673796791</v>
      </c>
      <c r="E1566" s="42">
        <v>0.90625</v>
      </c>
      <c r="F1566" s="42">
        <v>0.14438502673796791</v>
      </c>
      <c r="G1566">
        <v>1</v>
      </c>
    </row>
    <row r="1567" spans="3:7" x14ac:dyDescent="0.15">
      <c r="C1567" s="43">
        <v>279</v>
      </c>
      <c r="D1567" s="42">
        <v>0.14527629233511585</v>
      </c>
      <c r="E1567" s="42">
        <v>0.90625</v>
      </c>
      <c r="F1567" s="42">
        <v>0.14527629233511585</v>
      </c>
      <c r="G1567">
        <v>1</v>
      </c>
    </row>
    <row r="1568" spans="3:7" x14ac:dyDescent="0.15">
      <c r="C1568" s="43">
        <v>280</v>
      </c>
      <c r="D1568" s="42">
        <v>0.14616755793226383</v>
      </c>
      <c r="E1568" s="42">
        <v>0.90625</v>
      </c>
      <c r="F1568" s="42">
        <v>0.14616755793226383</v>
      </c>
      <c r="G1568">
        <v>1</v>
      </c>
    </row>
    <row r="1569" spans="3:7" x14ac:dyDescent="0.15">
      <c r="C1569" s="43">
        <v>281</v>
      </c>
      <c r="D1569" s="42">
        <v>0.14705882352941177</v>
      </c>
      <c r="E1569" s="42">
        <v>0.90625</v>
      </c>
      <c r="F1569" s="42">
        <v>0.14705882352941177</v>
      </c>
      <c r="G1569">
        <v>1</v>
      </c>
    </row>
    <row r="1570" spans="3:7" x14ac:dyDescent="0.15">
      <c r="C1570" s="43">
        <v>282</v>
      </c>
      <c r="D1570" s="42">
        <v>0.14795008912655971</v>
      </c>
      <c r="E1570" s="42">
        <v>0.90625</v>
      </c>
      <c r="F1570" s="42">
        <v>0.14795008912655971</v>
      </c>
      <c r="G1570">
        <v>1</v>
      </c>
    </row>
    <row r="1571" spans="3:7" x14ac:dyDescent="0.15">
      <c r="C1571" s="43">
        <v>283</v>
      </c>
      <c r="D1571" s="42">
        <v>0.1497326203208556</v>
      </c>
      <c r="E1571" s="42">
        <v>0.90625</v>
      </c>
      <c r="F1571" s="42">
        <v>0.1497326203208556</v>
      </c>
      <c r="G1571">
        <v>1</v>
      </c>
    </row>
    <row r="1572" spans="3:7" x14ac:dyDescent="0.15">
      <c r="C1572" s="43">
        <v>284</v>
      </c>
      <c r="D1572" s="42">
        <v>0.15062388591800357</v>
      </c>
      <c r="E1572" s="42">
        <v>0.90625</v>
      </c>
      <c r="F1572" s="42">
        <v>0.15062388591800357</v>
      </c>
      <c r="G1572">
        <v>1</v>
      </c>
    </row>
    <row r="1573" spans="3:7" x14ac:dyDescent="0.15">
      <c r="C1573" s="43">
        <v>285</v>
      </c>
      <c r="D1573" s="42">
        <v>0.15062388591800357</v>
      </c>
      <c r="E1573" s="42">
        <v>0.9140625</v>
      </c>
      <c r="F1573" s="42">
        <v>0.15062388591800357</v>
      </c>
      <c r="G1573">
        <v>1</v>
      </c>
    </row>
    <row r="1574" spans="3:7" x14ac:dyDescent="0.15">
      <c r="C1574" s="43">
        <v>286</v>
      </c>
      <c r="D1574" s="42">
        <v>0.15151515151515152</v>
      </c>
      <c r="E1574" s="42">
        <v>0.9140625</v>
      </c>
      <c r="F1574" s="42">
        <v>0.15151515151515152</v>
      </c>
      <c r="G1574">
        <v>1</v>
      </c>
    </row>
    <row r="1575" spans="3:7" x14ac:dyDescent="0.15">
      <c r="C1575" s="43">
        <v>287</v>
      </c>
      <c r="D1575" s="42">
        <v>0.15240641711229946</v>
      </c>
      <c r="E1575" s="42">
        <v>0.9140625</v>
      </c>
      <c r="F1575" s="42">
        <v>0.15240641711229946</v>
      </c>
      <c r="G1575">
        <v>1</v>
      </c>
    </row>
    <row r="1576" spans="3:7" x14ac:dyDescent="0.15">
      <c r="C1576" s="43">
        <v>288</v>
      </c>
      <c r="D1576" s="42">
        <v>0.15329768270944741</v>
      </c>
      <c r="E1576" s="42">
        <v>0.9140625</v>
      </c>
      <c r="F1576" s="42">
        <v>0.15329768270944741</v>
      </c>
      <c r="G1576">
        <v>1</v>
      </c>
    </row>
    <row r="1577" spans="3:7" x14ac:dyDescent="0.15">
      <c r="C1577" s="43">
        <v>289</v>
      </c>
      <c r="D1577" s="42">
        <v>0.15418894830659535</v>
      </c>
      <c r="E1577" s="42">
        <v>0.9140625</v>
      </c>
      <c r="F1577" s="42">
        <v>0.15418894830659535</v>
      </c>
      <c r="G1577">
        <v>1</v>
      </c>
    </row>
    <row r="1578" spans="3:7" x14ac:dyDescent="0.15">
      <c r="C1578" s="43">
        <v>290</v>
      </c>
      <c r="D1578" s="42">
        <v>0.15508021390374332</v>
      </c>
      <c r="E1578" s="42">
        <v>0.9140625</v>
      </c>
      <c r="F1578" s="42">
        <v>0.15508021390374332</v>
      </c>
      <c r="G1578">
        <v>1</v>
      </c>
    </row>
    <row r="1579" spans="3:7" x14ac:dyDescent="0.15">
      <c r="C1579" s="43">
        <v>291</v>
      </c>
      <c r="D1579" s="42">
        <v>0.15597147950089127</v>
      </c>
      <c r="E1579" s="42">
        <v>0.9140625</v>
      </c>
      <c r="F1579" s="42">
        <v>0.15597147950089127</v>
      </c>
      <c r="G1579">
        <v>1</v>
      </c>
    </row>
    <row r="1580" spans="3:7" x14ac:dyDescent="0.15">
      <c r="C1580" s="43">
        <v>292</v>
      </c>
      <c r="D1580" s="42">
        <v>0.15686274509803921</v>
      </c>
      <c r="E1580" s="42">
        <v>0.9140625</v>
      </c>
      <c r="F1580" s="42">
        <v>0.15686274509803921</v>
      </c>
      <c r="G1580">
        <v>1</v>
      </c>
    </row>
    <row r="1581" spans="3:7" x14ac:dyDescent="0.15">
      <c r="C1581" s="43">
        <v>293</v>
      </c>
      <c r="D1581" s="42">
        <v>0.15686274509803921</v>
      </c>
      <c r="E1581" s="42">
        <v>0.921875</v>
      </c>
      <c r="F1581" s="42">
        <v>0.15686274509803921</v>
      </c>
      <c r="G1581">
        <v>1</v>
      </c>
    </row>
    <row r="1582" spans="3:7" x14ac:dyDescent="0.15">
      <c r="C1582" s="43">
        <v>294</v>
      </c>
      <c r="D1582" s="42">
        <v>0.15775401069518716</v>
      </c>
      <c r="E1582" s="42">
        <v>0.921875</v>
      </c>
      <c r="F1582" s="42">
        <v>0.15775401069518716</v>
      </c>
      <c r="G1582">
        <v>1</v>
      </c>
    </row>
    <row r="1583" spans="3:7" x14ac:dyDescent="0.15">
      <c r="C1583" s="43">
        <v>295</v>
      </c>
      <c r="D1583" s="42">
        <v>0.1586452762923351</v>
      </c>
      <c r="E1583" s="42">
        <v>0.921875</v>
      </c>
      <c r="F1583" s="42">
        <v>0.1586452762923351</v>
      </c>
      <c r="G1583">
        <v>1</v>
      </c>
    </row>
    <row r="1584" spans="3:7" x14ac:dyDescent="0.15">
      <c r="C1584" s="43">
        <v>296</v>
      </c>
      <c r="D1584" s="42">
        <v>0.15953654188948307</v>
      </c>
      <c r="E1584" s="42">
        <v>0.921875</v>
      </c>
      <c r="F1584" s="42">
        <v>0.15953654188948307</v>
      </c>
      <c r="G1584">
        <v>1</v>
      </c>
    </row>
    <row r="1585" spans="3:7" x14ac:dyDescent="0.15">
      <c r="C1585" s="43">
        <v>297</v>
      </c>
      <c r="D1585" s="42">
        <v>0.16042780748663102</v>
      </c>
      <c r="E1585" s="42">
        <v>0.921875</v>
      </c>
      <c r="F1585" s="42">
        <v>0.16042780748663102</v>
      </c>
      <c r="G1585">
        <v>1</v>
      </c>
    </row>
    <row r="1586" spans="3:7" x14ac:dyDescent="0.15">
      <c r="C1586" s="43">
        <v>298</v>
      </c>
      <c r="D1586" s="42">
        <v>0.16131907308377896</v>
      </c>
      <c r="E1586" s="42">
        <v>0.921875</v>
      </c>
      <c r="F1586" s="42">
        <v>0.16131907308377896</v>
      </c>
      <c r="G1586">
        <v>1</v>
      </c>
    </row>
    <row r="1587" spans="3:7" x14ac:dyDescent="0.15">
      <c r="C1587" s="43">
        <v>299</v>
      </c>
      <c r="D1587" s="42">
        <v>0.16221033868092691</v>
      </c>
      <c r="E1587" s="42">
        <v>0.921875</v>
      </c>
      <c r="F1587" s="42">
        <v>0.16221033868092691</v>
      </c>
      <c r="G1587">
        <v>1</v>
      </c>
    </row>
    <row r="1588" spans="3:7" x14ac:dyDescent="0.15">
      <c r="C1588" s="43">
        <v>300</v>
      </c>
      <c r="D1588" s="42">
        <v>0.16310160427807488</v>
      </c>
      <c r="E1588" s="42">
        <v>0.921875</v>
      </c>
      <c r="F1588" s="42">
        <v>0.16310160427807488</v>
      </c>
      <c r="G1588">
        <v>1</v>
      </c>
    </row>
    <row r="1589" spans="3:7" x14ac:dyDescent="0.15">
      <c r="C1589" s="43">
        <v>301</v>
      </c>
      <c r="D1589" s="42">
        <v>0.16399286987522282</v>
      </c>
      <c r="E1589" s="42">
        <v>0.921875</v>
      </c>
      <c r="F1589" s="42">
        <v>0.16399286987522282</v>
      </c>
      <c r="G1589">
        <v>1</v>
      </c>
    </row>
    <row r="1590" spans="3:7" x14ac:dyDescent="0.15">
      <c r="C1590" s="43">
        <v>302</v>
      </c>
      <c r="D1590" s="42">
        <v>0.16488413547237077</v>
      </c>
      <c r="E1590" s="42">
        <v>0.921875</v>
      </c>
      <c r="F1590" s="42">
        <v>0.16488413547237077</v>
      </c>
      <c r="G1590">
        <v>1</v>
      </c>
    </row>
    <row r="1591" spans="3:7" x14ac:dyDescent="0.15">
      <c r="C1591" s="43">
        <v>303</v>
      </c>
      <c r="D1591" s="42">
        <v>0.16577540106951871</v>
      </c>
      <c r="E1591" s="42">
        <v>0.921875</v>
      </c>
      <c r="F1591" s="42">
        <v>0.16577540106951871</v>
      </c>
      <c r="G1591">
        <v>1</v>
      </c>
    </row>
    <row r="1592" spans="3:7" x14ac:dyDescent="0.15">
      <c r="C1592" s="43">
        <v>304</v>
      </c>
      <c r="D1592" s="42">
        <v>0.16666666666666666</v>
      </c>
      <c r="E1592" s="42">
        <v>0.921875</v>
      </c>
      <c r="F1592" s="42">
        <v>0.16666666666666666</v>
      </c>
      <c r="G1592">
        <v>1</v>
      </c>
    </row>
    <row r="1593" spans="3:7" x14ac:dyDescent="0.15">
      <c r="C1593" s="43">
        <v>305</v>
      </c>
      <c r="D1593" s="42">
        <v>0.16755793226381463</v>
      </c>
      <c r="E1593" s="42">
        <v>0.921875</v>
      </c>
      <c r="F1593" s="42">
        <v>0.16755793226381463</v>
      </c>
      <c r="G1593">
        <v>1</v>
      </c>
    </row>
    <row r="1594" spans="3:7" x14ac:dyDescent="0.15">
      <c r="C1594" s="43">
        <v>306</v>
      </c>
      <c r="D1594" s="42">
        <v>0.16844919786096257</v>
      </c>
      <c r="E1594" s="42">
        <v>0.921875</v>
      </c>
      <c r="F1594" s="42">
        <v>0.16844919786096257</v>
      </c>
      <c r="G1594">
        <v>1</v>
      </c>
    </row>
    <row r="1595" spans="3:7" x14ac:dyDescent="0.15">
      <c r="C1595" s="43">
        <v>307</v>
      </c>
      <c r="D1595" s="42">
        <v>0.16934046345811052</v>
      </c>
      <c r="E1595" s="42">
        <v>0.921875</v>
      </c>
      <c r="F1595" s="42">
        <v>0.16934046345811052</v>
      </c>
      <c r="G1595">
        <v>1</v>
      </c>
    </row>
    <row r="1596" spans="3:7" x14ac:dyDescent="0.15">
      <c r="C1596" s="43">
        <v>308</v>
      </c>
      <c r="D1596" s="42">
        <v>0.16934046345811052</v>
      </c>
      <c r="E1596" s="42">
        <v>0.9296875</v>
      </c>
      <c r="F1596" s="42">
        <v>0.16934046345811052</v>
      </c>
      <c r="G1596">
        <v>1</v>
      </c>
    </row>
    <row r="1597" spans="3:7" x14ac:dyDescent="0.15">
      <c r="C1597" s="43">
        <v>309</v>
      </c>
      <c r="D1597" s="42">
        <v>0.16934046345811052</v>
      </c>
      <c r="E1597" s="42">
        <v>0.9375</v>
      </c>
      <c r="F1597" s="42">
        <v>0.16934046345811052</v>
      </c>
      <c r="G1597">
        <v>1</v>
      </c>
    </row>
    <row r="1598" spans="3:7" x14ac:dyDescent="0.15">
      <c r="C1598" s="43">
        <v>310</v>
      </c>
      <c r="D1598" s="42">
        <v>0.17023172905525846</v>
      </c>
      <c r="E1598" s="42">
        <v>0.9375</v>
      </c>
      <c r="F1598" s="42">
        <v>0.17023172905525846</v>
      </c>
      <c r="G1598">
        <v>1</v>
      </c>
    </row>
    <row r="1599" spans="3:7" x14ac:dyDescent="0.15">
      <c r="C1599" s="43">
        <v>311</v>
      </c>
      <c r="D1599" s="42">
        <v>0.17112299465240641</v>
      </c>
      <c r="E1599" s="42">
        <v>0.9375</v>
      </c>
      <c r="F1599" s="42">
        <v>0.17112299465240641</v>
      </c>
      <c r="G1599">
        <v>1</v>
      </c>
    </row>
    <row r="1600" spans="3:7" x14ac:dyDescent="0.15">
      <c r="C1600" s="43">
        <v>312</v>
      </c>
      <c r="D1600" s="42">
        <v>0.17201426024955438</v>
      </c>
      <c r="E1600" s="42">
        <v>0.9375</v>
      </c>
      <c r="F1600" s="42">
        <v>0.17201426024955438</v>
      </c>
      <c r="G1600">
        <v>1</v>
      </c>
    </row>
    <row r="1601" spans="3:7" x14ac:dyDescent="0.15">
      <c r="C1601" s="43">
        <v>313</v>
      </c>
      <c r="D1601" s="42">
        <v>0.17201426024955438</v>
      </c>
      <c r="E1601" s="42">
        <v>0.9453125</v>
      </c>
      <c r="F1601" s="42">
        <v>0.17201426024955438</v>
      </c>
      <c r="G1601">
        <v>1</v>
      </c>
    </row>
    <row r="1602" spans="3:7" x14ac:dyDescent="0.15">
      <c r="C1602" s="43">
        <v>314</v>
      </c>
      <c r="D1602" s="42">
        <v>0.17290552584670232</v>
      </c>
      <c r="E1602" s="42">
        <v>0.9453125</v>
      </c>
      <c r="F1602" s="42">
        <v>0.17290552584670232</v>
      </c>
      <c r="G1602">
        <v>1</v>
      </c>
    </row>
    <row r="1603" spans="3:7" x14ac:dyDescent="0.15">
      <c r="C1603" s="43">
        <v>315</v>
      </c>
      <c r="D1603" s="42">
        <v>0.17379679144385027</v>
      </c>
      <c r="E1603" s="42">
        <v>0.9453125</v>
      </c>
      <c r="F1603" s="42">
        <v>0.17379679144385027</v>
      </c>
      <c r="G1603">
        <v>1</v>
      </c>
    </row>
    <row r="1604" spans="3:7" x14ac:dyDescent="0.15">
      <c r="C1604" s="43">
        <v>316</v>
      </c>
      <c r="D1604" s="42">
        <v>0.17468805704099821</v>
      </c>
      <c r="E1604" s="42">
        <v>0.9453125</v>
      </c>
      <c r="F1604" s="42">
        <v>0.17468805704099821</v>
      </c>
      <c r="G1604">
        <v>1</v>
      </c>
    </row>
    <row r="1605" spans="3:7" x14ac:dyDescent="0.15">
      <c r="C1605" s="43">
        <v>317</v>
      </c>
      <c r="D1605" s="42">
        <v>0.17468805704099821</v>
      </c>
      <c r="E1605" s="42">
        <v>0.953125</v>
      </c>
      <c r="F1605" s="42">
        <v>0.17468805704099821</v>
      </c>
      <c r="G1605">
        <v>1</v>
      </c>
    </row>
    <row r="1606" spans="3:7" x14ac:dyDescent="0.15">
      <c r="C1606" s="43">
        <v>318</v>
      </c>
      <c r="D1606" s="42">
        <v>0.17557932263814616</v>
      </c>
      <c r="E1606" s="42">
        <v>0.953125</v>
      </c>
      <c r="F1606" s="42">
        <v>0.17557932263814616</v>
      </c>
      <c r="G1606">
        <v>1</v>
      </c>
    </row>
    <row r="1607" spans="3:7" x14ac:dyDescent="0.15">
      <c r="C1607" s="43">
        <v>319</v>
      </c>
      <c r="D1607" s="42">
        <v>0.17647058823529413</v>
      </c>
      <c r="E1607" s="42">
        <v>0.953125</v>
      </c>
      <c r="F1607" s="42">
        <v>0.17647058823529413</v>
      </c>
      <c r="G1607">
        <v>1</v>
      </c>
    </row>
    <row r="1608" spans="3:7" x14ac:dyDescent="0.15">
      <c r="C1608" s="43">
        <v>320</v>
      </c>
      <c r="D1608" s="42">
        <v>0.17736185383244207</v>
      </c>
      <c r="E1608" s="42">
        <v>0.953125</v>
      </c>
      <c r="F1608" s="42">
        <v>0.17736185383244207</v>
      </c>
      <c r="G1608">
        <v>1</v>
      </c>
    </row>
    <row r="1609" spans="3:7" x14ac:dyDescent="0.15">
      <c r="C1609" s="43">
        <v>321</v>
      </c>
      <c r="D1609" s="42">
        <v>0.17825311942959002</v>
      </c>
      <c r="E1609" s="42">
        <v>0.953125</v>
      </c>
      <c r="F1609" s="42">
        <v>0.17825311942959002</v>
      </c>
      <c r="G1609">
        <v>1</v>
      </c>
    </row>
    <row r="1610" spans="3:7" x14ac:dyDescent="0.15">
      <c r="C1610" s="43">
        <v>322</v>
      </c>
      <c r="D1610" s="42">
        <v>0.17914438502673796</v>
      </c>
      <c r="E1610" s="42">
        <v>0.953125</v>
      </c>
      <c r="F1610" s="42">
        <v>0.17914438502673796</v>
      </c>
      <c r="G1610">
        <v>1</v>
      </c>
    </row>
    <row r="1611" spans="3:7" x14ac:dyDescent="0.15">
      <c r="C1611" s="43">
        <v>323</v>
      </c>
      <c r="D1611" s="42">
        <v>0.18003565062388591</v>
      </c>
      <c r="E1611" s="42">
        <v>0.953125</v>
      </c>
      <c r="F1611" s="42">
        <v>0.18003565062388591</v>
      </c>
      <c r="G1611">
        <v>1</v>
      </c>
    </row>
    <row r="1612" spans="3:7" x14ac:dyDescent="0.15">
      <c r="C1612" s="43">
        <v>324</v>
      </c>
      <c r="D1612" s="42">
        <v>0.18092691622103388</v>
      </c>
      <c r="E1612" s="42">
        <v>0.953125</v>
      </c>
      <c r="F1612" s="42">
        <v>0.18092691622103388</v>
      </c>
      <c r="G1612">
        <v>1</v>
      </c>
    </row>
    <row r="1613" spans="3:7" x14ac:dyDescent="0.15">
      <c r="C1613" s="43">
        <v>325</v>
      </c>
      <c r="D1613" s="42">
        <v>0.18181818181818182</v>
      </c>
      <c r="E1613" s="42">
        <v>0.953125</v>
      </c>
      <c r="F1613" s="42">
        <v>0.18181818181818182</v>
      </c>
      <c r="G1613">
        <v>1</v>
      </c>
    </row>
    <row r="1614" spans="3:7" x14ac:dyDescent="0.15">
      <c r="C1614" s="43">
        <v>326</v>
      </c>
      <c r="D1614" s="42">
        <v>0.18270944741532977</v>
      </c>
      <c r="E1614" s="42">
        <v>0.953125</v>
      </c>
      <c r="F1614" s="42">
        <v>0.18270944741532977</v>
      </c>
      <c r="G1614">
        <v>1</v>
      </c>
    </row>
    <row r="1615" spans="3:7" x14ac:dyDescent="0.15">
      <c r="C1615" s="43">
        <v>327</v>
      </c>
      <c r="D1615" s="42">
        <v>0.18360071301247771</v>
      </c>
      <c r="E1615" s="42">
        <v>0.953125</v>
      </c>
      <c r="F1615" s="42">
        <v>0.18360071301247771</v>
      </c>
      <c r="G1615">
        <v>1</v>
      </c>
    </row>
    <row r="1616" spans="3:7" x14ac:dyDescent="0.15">
      <c r="C1616" s="43">
        <v>328</v>
      </c>
      <c r="D1616" s="42">
        <v>0.18449197860962566</v>
      </c>
      <c r="E1616" s="42">
        <v>0.953125</v>
      </c>
      <c r="F1616" s="42">
        <v>0.18449197860962566</v>
      </c>
      <c r="G1616">
        <v>1</v>
      </c>
    </row>
    <row r="1617" spans="3:7" x14ac:dyDescent="0.15">
      <c r="C1617" s="43">
        <v>329</v>
      </c>
      <c r="D1617" s="42">
        <v>0.18538324420677363</v>
      </c>
      <c r="E1617" s="42">
        <v>0.953125</v>
      </c>
      <c r="F1617" s="42">
        <v>0.18538324420677363</v>
      </c>
      <c r="G1617">
        <v>1</v>
      </c>
    </row>
    <row r="1618" spans="3:7" x14ac:dyDescent="0.15">
      <c r="C1618" s="43">
        <v>330</v>
      </c>
      <c r="D1618" s="42">
        <v>0.18627450980392157</v>
      </c>
      <c r="E1618" s="42">
        <v>0.953125</v>
      </c>
      <c r="F1618" s="42">
        <v>0.18627450980392157</v>
      </c>
      <c r="G1618">
        <v>1</v>
      </c>
    </row>
    <row r="1619" spans="3:7" x14ac:dyDescent="0.15">
      <c r="C1619" s="43">
        <v>331</v>
      </c>
      <c r="D1619" s="42">
        <v>0.18716577540106952</v>
      </c>
      <c r="E1619" s="42">
        <v>0.953125</v>
      </c>
      <c r="F1619" s="42">
        <v>0.18716577540106952</v>
      </c>
      <c r="G1619">
        <v>1</v>
      </c>
    </row>
    <row r="1620" spans="3:7" x14ac:dyDescent="0.15">
      <c r="C1620" s="43">
        <v>332</v>
      </c>
      <c r="D1620" s="42">
        <v>0.18805704099821746</v>
      </c>
      <c r="E1620" s="42">
        <v>0.953125</v>
      </c>
      <c r="F1620" s="42">
        <v>0.18805704099821746</v>
      </c>
      <c r="G1620">
        <v>1</v>
      </c>
    </row>
    <row r="1621" spans="3:7" x14ac:dyDescent="0.15">
      <c r="C1621" s="43">
        <v>333</v>
      </c>
      <c r="D1621" s="42">
        <v>0.18894830659536541</v>
      </c>
      <c r="E1621" s="42">
        <v>0.953125</v>
      </c>
      <c r="F1621" s="42">
        <v>0.18894830659536541</v>
      </c>
      <c r="G1621">
        <v>1</v>
      </c>
    </row>
    <row r="1622" spans="3:7" x14ac:dyDescent="0.15">
      <c r="C1622" s="43">
        <v>334</v>
      </c>
      <c r="D1622" s="42">
        <v>0.18983957219251338</v>
      </c>
      <c r="E1622" s="42">
        <v>0.953125</v>
      </c>
      <c r="F1622" s="42">
        <v>0.18983957219251338</v>
      </c>
      <c r="G1622">
        <v>1</v>
      </c>
    </row>
    <row r="1623" spans="3:7" x14ac:dyDescent="0.15">
      <c r="C1623" s="43">
        <v>335</v>
      </c>
      <c r="D1623" s="42">
        <v>0.19073083778966132</v>
      </c>
      <c r="E1623" s="42">
        <v>0.953125</v>
      </c>
      <c r="F1623" s="42">
        <v>0.19073083778966132</v>
      </c>
      <c r="G1623">
        <v>1</v>
      </c>
    </row>
    <row r="1624" spans="3:7" x14ac:dyDescent="0.15">
      <c r="C1624" s="43">
        <v>336</v>
      </c>
      <c r="D1624" s="42">
        <v>0.19162210338680927</v>
      </c>
      <c r="E1624" s="42">
        <v>0.953125</v>
      </c>
      <c r="F1624" s="42">
        <v>0.19162210338680927</v>
      </c>
      <c r="G1624">
        <v>1</v>
      </c>
    </row>
    <row r="1625" spans="3:7" x14ac:dyDescent="0.15">
      <c r="C1625" s="43">
        <v>337</v>
      </c>
      <c r="D1625" s="42">
        <v>0.19251336898395721</v>
      </c>
      <c r="E1625" s="42">
        <v>0.953125</v>
      </c>
      <c r="F1625" s="42">
        <v>0.19251336898395721</v>
      </c>
      <c r="G1625">
        <v>1</v>
      </c>
    </row>
    <row r="1626" spans="3:7" x14ac:dyDescent="0.15">
      <c r="C1626" s="43">
        <v>338</v>
      </c>
      <c r="D1626" s="42">
        <v>0.19340463458110516</v>
      </c>
      <c r="E1626" s="42">
        <v>0.953125</v>
      </c>
      <c r="F1626" s="42">
        <v>0.19340463458110516</v>
      </c>
      <c r="G1626">
        <v>1</v>
      </c>
    </row>
    <row r="1627" spans="3:7" x14ac:dyDescent="0.15">
      <c r="C1627" s="43">
        <v>339</v>
      </c>
      <c r="D1627" s="42">
        <v>0.19429590017825313</v>
      </c>
      <c r="E1627" s="42">
        <v>0.953125</v>
      </c>
      <c r="F1627" s="42">
        <v>0.19429590017825313</v>
      </c>
      <c r="G1627">
        <v>1</v>
      </c>
    </row>
    <row r="1628" spans="3:7" x14ac:dyDescent="0.15">
      <c r="C1628" s="43">
        <v>340</v>
      </c>
      <c r="D1628" s="42">
        <v>0.19518716577540107</v>
      </c>
      <c r="E1628" s="42">
        <v>0.953125</v>
      </c>
      <c r="F1628" s="42">
        <v>0.19518716577540107</v>
      </c>
      <c r="G1628">
        <v>1</v>
      </c>
    </row>
    <row r="1629" spans="3:7" x14ac:dyDescent="0.15">
      <c r="C1629" s="43">
        <v>341</v>
      </c>
      <c r="D1629" s="42">
        <v>0.19607843137254902</v>
      </c>
      <c r="E1629" s="42">
        <v>0.953125</v>
      </c>
      <c r="F1629" s="42">
        <v>0.19607843137254902</v>
      </c>
      <c r="G1629">
        <v>1</v>
      </c>
    </row>
    <row r="1630" spans="3:7" x14ac:dyDescent="0.15">
      <c r="C1630" s="43">
        <v>342</v>
      </c>
      <c r="D1630" s="42">
        <v>0.19696969696969696</v>
      </c>
      <c r="E1630" s="42">
        <v>0.953125</v>
      </c>
      <c r="F1630" s="42">
        <v>0.19696969696969696</v>
      </c>
      <c r="G1630">
        <v>1</v>
      </c>
    </row>
    <row r="1631" spans="3:7" x14ac:dyDescent="0.15">
      <c r="C1631" s="43">
        <v>343</v>
      </c>
      <c r="D1631" s="42">
        <v>0.19786096256684493</v>
      </c>
      <c r="E1631" s="42">
        <v>0.953125</v>
      </c>
      <c r="F1631" s="42">
        <v>0.19786096256684493</v>
      </c>
      <c r="G1631">
        <v>1</v>
      </c>
    </row>
    <row r="1632" spans="3:7" x14ac:dyDescent="0.15">
      <c r="C1632" s="43">
        <v>344</v>
      </c>
      <c r="D1632" s="42">
        <v>0.19875222816399288</v>
      </c>
      <c r="E1632" s="42">
        <v>0.953125</v>
      </c>
      <c r="F1632" s="42">
        <v>0.19875222816399288</v>
      </c>
      <c r="G1632">
        <v>1</v>
      </c>
    </row>
    <row r="1633" spans="3:7" x14ac:dyDescent="0.15">
      <c r="C1633" s="43">
        <v>345</v>
      </c>
      <c r="D1633" s="42">
        <v>0.19964349376114082</v>
      </c>
      <c r="E1633" s="42">
        <v>0.953125</v>
      </c>
      <c r="F1633" s="42">
        <v>0.19964349376114082</v>
      </c>
      <c r="G1633">
        <v>1</v>
      </c>
    </row>
    <row r="1634" spans="3:7" x14ac:dyDescent="0.15">
      <c r="C1634" s="43">
        <v>346</v>
      </c>
      <c r="D1634" s="42">
        <v>0.20053475935828877</v>
      </c>
      <c r="E1634" s="42">
        <v>0.953125</v>
      </c>
      <c r="F1634" s="42">
        <v>0.20053475935828877</v>
      </c>
      <c r="G1634">
        <v>1</v>
      </c>
    </row>
    <row r="1635" spans="3:7" x14ac:dyDescent="0.15">
      <c r="C1635" s="43">
        <v>347</v>
      </c>
      <c r="D1635" s="42">
        <v>0.20142602495543671</v>
      </c>
      <c r="E1635" s="42">
        <v>0.953125</v>
      </c>
      <c r="F1635" s="42">
        <v>0.20142602495543671</v>
      </c>
      <c r="G1635">
        <v>1</v>
      </c>
    </row>
    <row r="1636" spans="3:7" x14ac:dyDescent="0.15">
      <c r="C1636" s="43">
        <v>348</v>
      </c>
      <c r="D1636" s="42">
        <v>0.20231729055258468</v>
      </c>
      <c r="E1636" s="42">
        <v>0.953125</v>
      </c>
      <c r="F1636" s="42">
        <v>0.20231729055258468</v>
      </c>
      <c r="G1636">
        <v>1</v>
      </c>
    </row>
    <row r="1637" spans="3:7" x14ac:dyDescent="0.15">
      <c r="C1637" s="43">
        <v>349</v>
      </c>
      <c r="D1637" s="42">
        <v>0.20320855614973263</v>
      </c>
      <c r="E1637" s="42">
        <v>0.953125</v>
      </c>
      <c r="F1637" s="42">
        <v>0.20320855614973263</v>
      </c>
      <c r="G1637">
        <v>1</v>
      </c>
    </row>
    <row r="1638" spans="3:7" x14ac:dyDescent="0.15">
      <c r="C1638" s="43">
        <v>350</v>
      </c>
      <c r="D1638" s="42">
        <v>0.20409982174688057</v>
      </c>
      <c r="E1638" s="42">
        <v>0.953125</v>
      </c>
      <c r="F1638" s="42">
        <v>0.20409982174688057</v>
      </c>
      <c r="G1638">
        <v>1</v>
      </c>
    </row>
    <row r="1639" spans="3:7" x14ac:dyDescent="0.15">
      <c r="C1639" s="43">
        <v>351</v>
      </c>
      <c r="D1639" s="42">
        <v>0.20499108734402852</v>
      </c>
      <c r="E1639" s="42">
        <v>0.953125</v>
      </c>
      <c r="F1639" s="42">
        <v>0.20499108734402852</v>
      </c>
      <c r="G1639">
        <v>1</v>
      </c>
    </row>
    <row r="1640" spans="3:7" x14ac:dyDescent="0.15">
      <c r="C1640" s="43">
        <v>352</v>
      </c>
      <c r="D1640" s="42">
        <v>0.20588235294117646</v>
      </c>
      <c r="E1640" s="42">
        <v>0.953125</v>
      </c>
      <c r="F1640" s="42">
        <v>0.20588235294117646</v>
      </c>
      <c r="G1640">
        <v>1</v>
      </c>
    </row>
    <row r="1641" spans="3:7" x14ac:dyDescent="0.15">
      <c r="C1641" s="43">
        <v>353</v>
      </c>
      <c r="D1641" s="42">
        <v>0.20677361853832443</v>
      </c>
      <c r="E1641" s="42">
        <v>0.953125</v>
      </c>
      <c r="F1641" s="42">
        <v>0.20677361853832443</v>
      </c>
      <c r="G1641">
        <v>1</v>
      </c>
    </row>
    <row r="1642" spans="3:7" x14ac:dyDescent="0.15">
      <c r="C1642" s="43">
        <v>354</v>
      </c>
      <c r="D1642" s="42">
        <v>0.20766488413547238</v>
      </c>
      <c r="E1642" s="42">
        <v>0.953125</v>
      </c>
      <c r="F1642" s="42">
        <v>0.20766488413547238</v>
      </c>
      <c r="G1642">
        <v>1</v>
      </c>
    </row>
    <row r="1643" spans="3:7" x14ac:dyDescent="0.15">
      <c r="C1643" s="43">
        <v>355</v>
      </c>
      <c r="D1643" s="42">
        <v>0.20855614973262032</v>
      </c>
      <c r="E1643" s="42">
        <v>0.953125</v>
      </c>
      <c r="F1643" s="42">
        <v>0.20855614973262032</v>
      </c>
      <c r="G1643">
        <v>1</v>
      </c>
    </row>
    <row r="1644" spans="3:7" x14ac:dyDescent="0.15">
      <c r="C1644" s="43">
        <v>356</v>
      </c>
      <c r="D1644" s="42">
        <v>0.20944741532976827</v>
      </c>
      <c r="E1644" s="42">
        <v>0.953125</v>
      </c>
      <c r="F1644" s="42">
        <v>0.20944741532976827</v>
      </c>
      <c r="G1644">
        <v>1</v>
      </c>
    </row>
    <row r="1645" spans="3:7" x14ac:dyDescent="0.15">
      <c r="C1645" s="43">
        <v>357</v>
      </c>
      <c r="D1645" s="42">
        <v>0.21033868092691621</v>
      </c>
      <c r="E1645" s="42">
        <v>0.953125</v>
      </c>
      <c r="F1645" s="42">
        <v>0.21033868092691621</v>
      </c>
      <c r="G1645">
        <v>1</v>
      </c>
    </row>
    <row r="1646" spans="3:7" x14ac:dyDescent="0.15">
      <c r="C1646" s="43">
        <v>358</v>
      </c>
      <c r="D1646" s="42">
        <v>0.21122994652406418</v>
      </c>
      <c r="E1646" s="42">
        <v>0.953125</v>
      </c>
      <c r="F1646" s="42">
        <v>0.21122994652406418</v>
      </c>
      <c r="G1646">
        <v>1</v>
      </c>
    </row>
    <row r="1647" spans="3:7" x14ac:dyDescent="0.15">
      <c r="C1647" s="43">
        <v>359</v>
      </c>
      <c r="D1647" s="42">
        <v>0.21212121212121213</v>
      </c>
      <c r="E1647" s="42">
        <v>0.953125</v>
      </c>
      <c r="F1647" s="42">
        <v>0.21212121212121213</v>
      </c>
      <c r="G1647">
        <v>1</v>
      </c>
    </row>
    <row r="1648" spans="3:7" x14ac:dyDescent="0.15">
      <c r="C1648" s="43">
        <v>360</v>
      </c>
      <c r="D1648" s="42">
        <v>0.21301247771836007</v>
      </c>
      <c r="E1648" s="42">
        <v>0.953125</v>
      </c>
      <c r="F1648" s="42">
        <v>0.21301247771836007</v>
      </c>
      <c r="G1648">
        <v>1</v>
      </c>
    </row>
    <row r="1649" spans="3:7" x14ac:dyDescent="0.15">
      <c r="C1649" s="43">
        <v>361</v>
      </c>
      <c r="D1649" s="42">
        <v>0.21390374331550802</v>
      </c>
      <c r="E1649" s="42">
        <v>0.953125</v>
      </c>
      <c r="F1649" s="42">
        <v>0.21390374331550802</v>
      </c>
      <c r="G1649">
        <v>1</v>
      </c>
    </row>
    <row r="1650" spans="3:7" x14ac:dyDescent="0.15">
      <c r="C1650" s="43">
        <v>362</v>
      </c>
      <c r="D1650" s="42">
        <v>0.21479500891265596</v>
      </c>
      <c r="E1650" s="42">
        <v>0.953125</v>
      </c>
      <c r="F1650" s="42">
        <v>0.21479500891265596</v>
      </c>
      <c r="G1650">
        <v>1</v>
      </c>
    </row>
    <row r="1651" spans="3:7" x14ac:dyDescent="0.15">
      <c r="C1651" s="43">
        <v>363</v>
      </c>
      <c r="D1651" s="42">
        <v>0.21568627450980393</v>
      </c>
      <c r="E1651" s="42">
        <v>0.953125</v>
      </c>
      <c r="F1651" s="42">
        <v>0.21568627450980393</v>
      </c>
      <c r="G1651">
        <v>1</v>
      </c>
    </row>
    <row r="1652" spans="3:7" x14ac:dyDescent="0.15">
      <c r="C1652" s="43">
        <v>364</v>
      </c>
      <c r="D1652" s="42">
        <v>0.21657754010695188</v>
      </c>
      <c r="E1652" s="42">
        <v>0.953125</v>
      </c>
      <c r="F1652" s="42">
        <v>0.21657754010695188</v>
      </c>
      <c r="G1652">
        <v>1</v>
      </c>
    </row>
    <row r="1653" spans="3:7" x14ac:dyDescent="0.15">
      <c r="C1653" s="43">
        <v>365</v>
      </c>
      <c r="D1653" s="42">
        <v>0.21746880570409982</v>
      </c>
      <c r="E1653" s="42">
        <v>0.953125</v>
      </c>
      <c r="F1653" s="42">
        <v>0.21746880570409982</v>
      </c>
      <c r="G1653">
        <v>1</v>
      </c>
    </row>
    <row r="1654" spans="3:7" x14ac:dyDescent="0.15">
      <c r="C1654" s="43">
        <v>366</v>
      </c>
      <c r="D1654" s="42">
        <v>0.21836007130124777</v>
      </c>
      <c r="E1654" s="42">
        <v>0.953125</v>
      </c>
      <c r="F1654" s="42">
        <v>0.21836007130124777</v>
      </c>
      <c r="G1654">
        <v>1</v>
      </c>
    </row>
    <row r="1655" spans="3:7" x14ac:dyDescent="0.15">
      <c r="C1655" s="43">
        <v>367</v>
      </c>
      <c r="D1655" s="42">
        <v>0.21925133689839571</v>
      </c>
      <c r="E1655" s="42">
        <v>0.953125</v>
      </c>
      <c r="F1655" s="42">
        <v>0.21925133689839571</v>
      </c>
      <c r="G1655">
        <v>1</v>
      </c>
    </row>
    <row r="1656" spans="3:7" x14ac:dyDescent="0.15">
      <c r="C1656" s="43">
        <v>368</v>
      </c>
      <c r="D1656" s="42">
        <v>0.22014260249554368</v>
      </c>
      <c r="E1656" s="42">
        <v>0.953125</v>
      </c>
      <c r="F1656" s="42">
        <v>0.22014260249554368</v>
      </c>
      <c r="G1656">
        <v>1</v>
      </c>
    </row>
    <row r="1657" spans="3:7" x14ac:dyDescent="0.15">
      <c r="C1657" s="43">
        <v>369</v>
      </c>
      <c r="D1657" s="42">
        <v>0.22103386809269163</v>
      </c>
      <c r="E1657" s="42">
        <v>0.953125</v>
      </c>
      <c r="F1657" s="42">
        <v>0.22103386809269163</v>
      </c>
      <c r="G1657">
        <v>1</v>
      </c>
    </row>
    <row r="1658" spans="3:7" x14ac:dyDescent="0.15">
      <c r="C1658" s="43">
        <v>370</v>
      </c>
      <c r="D1658" s="42">
        <v>0.22192513368983957</v>
      </c>
      <c r="E1658" s="42">
        <v>0.953125</v>
      </c>
      <c r="F1658" s="42">
        <v>0.22192513368983957</v>
      </c>
      <c r="G1658">
        <v>1</v>
      </c>
    </row>
    <row r="1659" spans="3:7" x14ac:dyDescent="0.15">
      <c r="C1659" s="43">
        <v>371</v>
      </c>
      <c r="D1659" s="42">
        <v>0.22281639928698752</v>
      </c>
      <c r="E1659" s="42">
        <v>0.953125</v>
      </c>
      <c r="F1659" s="42">
        <v>0.22281639928698752</v>
      </c>
      <c r="G1659">
        <v>1</v>
      </c>
    </row>
    <row r="1660" spans="3:7" x14ac:dyDescent="0.15">
      <c r="C1660" s="43">
        <v>372</v>
      </c>
      <c r="D1660" s="42">
        <v>0.22370766488413546</v>
      </c>
      <c r="E1660" s="42">
        <v>0.953125</v>
      </c>
      <c r="F1660" s="42">
        <v>0.22370766488413546</v>
      </c>
      <c r="G1660">
        <v>1</v>
      </c>
    </row>
    <row r="1661" spans="3:7" x14ac:dyDescent="0.15">
      <c r="C1661" s="43">
        <v>373</v>
      </c>
      <c r="D1661" s="42">
        <v>0.22459893048128343</v>
      </c>
      <c r="E1661" s="42">
        <v>0.953125</v>
      </c>
      <c r="F1661" s="42">
        <v>0.22459893048128343</v>
      </c>
      <c r="G1661">
        <v>1</v>
      </c>
    </row>
    <row r="1662" spans="3:7" x14ac:dyDescent="0.15">
      <c r="C1662" s="43">
        <v>374</v>
      </c>
      <c r="D1662" s="42">
        <v>0.22549019607843138</v>
      </c>
      <c r="E1662" s="42">
        <v>0.953125</v>
      </c>
      <c r="F1662" s="42">
        <v>0.22549019607843138</v>
      </c>
      <c r="G1662">
        <v>1</v>
      </c>
    </row>
    <row r="1663" spans="3:7" x14ac:dyDescent="0.15">
      <c r="C1663" s="43">
        <v>375</v>
      </c>
      <c r="D1663" s="42">
        <v>0.22638146167557932</v>
      </c>
      <c r="E1663" s="42">
        <v>0.953125</v>
      </c>
      <c r="F1663" s="42">
        <v>0.22638146167557932</v>
      </c>
      <c r="G1663">
        <v>1</v>
      </c>
    </row>
    <row r="1664" spans="3:7" x14ac:dyDescent="0.15">
      <c r="C1664" s="43">
        <v>376</v>
      </c>
      <c r="D1664" s="42">
        <v>0.22727272727272727</v>
      </c>
      <c r="E1664" s="42">
        <v>0.953125</v>
      </c>
      <c r="F1664" s="42">
        <v>0.22727272727272727</v>
      </c>
      <c r="G1664">
        <v>1</v>
      </c>
    </row>
    <row r="1665" spans="3:7" x14ac:dyDescent="0.15">
      <c r="C1665" s="43">
        <v>377</v>
      </c>
      <c r="D1665" s="42">
        <v>0.22816399286987521</v>
      </c>
      <c r="E1665" s="42">
        <v>0.953125</v>
      </c>
      <c r="F1665" s="42">
        <v>0.22816399286987521</v>
      </c>
      <c r="G1665">
        <v>1</v>
      </c>
    </row>
    <row r="1666" spans="3:7" x14ac:dyDescent="0.15">
      <c r="C1666" s="43">
        <v>378</v>
      </c>
      <c r="D1666" s="42">
        <v>0.22905525846702318</v>
      </c>
      <c r="E1666" s="42">
        <v>0.953125</v>
      </c>
      <c r="F1666" s="42">
        <v>0.22905525846702318</v>
      </c>
      <c r="G1666">
        <v>1</v>
      </c>
    </row>
    <row r="1667" spans="3:7" x14ac:dyDescent="0.15">
      <c r="C1667" s="43">
        <v>379</v>
      </c>
      <c r="D1667" s="42">
        <v>0.22994652406417113</v>
      </c>
      <c r="E1667" s="42">
        <v>0.953125</v>
      </c>
      <c r="F1667" s="42">
        <v>0.22994652406417113</v>
      </c>
      <c r="G1667">
        <v>1</v>
      </c>
    </row>
    <row r="1668" spans="3:7" x14ac:dyDescent="0.15">
      <c r="C1668" s="43">
        <v>380</v>
      </c>
      <c r="D1668" s="42">
        <v>0.23083778966131907</v>
      </c>
      <c r="E1668" s="42">
        <v>0.953125</v>
      </c>
      <c r="F1668" s="42">
        <v>0.23083778966131907</v>
      </c>
      <c r="G1668">
        <v>1</v>
      </c>
    </row>
    <row r="1669" spans="3:7" x14ac:dyDescent="0.15">
      <c r="C1669" s="43">
        <v>381</v>
      </c>
      <c r="D1669" s="42">
        <v>0.23172905525846701</v>
      </c>
      <c r="E1669" s="42">
        <v>0.953125</v>
      </c>
      <c r="F1669" s="42">
        <v>0.23172905525846701</v>
      </c>
      <c r="G1669">
        <v>1</v>
      </c>
    </row>
    <row r="1670" spans="3:7" x14ac:dyDescent="0.15">
      <c r="C1670" s="43">
        <v>382</v>
      </c>
      <c r="D1670" s="42">
        <v>0.23262032085561499</v>
      </c>
      <c r="E1670" s="42">
        <v>0.953125</v>
      </c>
      <c r="F1670" s="42">
        <v>0.23262032085561499</v>
      </c>
      <c r="G1670">
        <v>1</v>
      </c>
    </row>
    <row r="1671" spans="3:7" x14ac:dyDescent="0.15">
      <c r="C1671" s="43">
        <v>383</v>
      </c>
      <c r="D1671" s="42">
        <v>0.23351158645276293</v>
      </c>
      <c r="E1671" s="42">
        <v>0.953125</v>
      </c>
      <c r="F1671" s="42">
        <v>0.23351158645276293</v>
      </c>
      <c r="G1671">
        <v>1</v>
      </c>
    </row>
    <row r="1672" spans="3:7" x14ac:dyDescent="0.15">
      <c r="C1672" s="43">
        <v>384</v>
      </c>
      <c r="D1672" s="42">
        <v>0.23440285204991088</v>
      </c>
      <c r="E1672" s="42">
        <v>0.953125</v>
      </c>
      <c r="F1672" s="42">
        <v>0.23440285204991088</v>
      </c>
      <c r="G1672">
        <v>1</v>
      </c>
    </row>
    <row r="1673" spans="3:7" x14ac:dyDescent="0.15">
      <c r="C1673" s="43">
        <v>385</v>
      </c>
      <c r="D1673" s="42">
        <v>0.23529411764705882</v>
      </c>
      <c r="E1673" s="42">
        <v>0.953125</v>
      </c>
      <c r="F1673" s="42">
        <v>0.23529411764705882</v>
      </c>
      <c r="G1673">
        <v>1</v>
      </c>
    </row>
    <row r="1674" spans="3:7" x14ac:dyDescent="0.15">
      <c r="C1674" s="43">
        <v>386</v>
      </c>
      <c r="D1674" s="42">
        <v>0.23618538324420676</v>
      </c>
      <c r="E1674" s="42">
        <v>0.953125</v>
      </c>
      <c r="F1674" s="42">
        <v>0.23618538324420676</v>
      </c>
      <c r="G1674">
        <v>1</v>
      </c>
    </row>
    <row r="1675" spans="3:7" x14ac:dyDescent="0.15">
      <c r="C1675" s="43">
        <v>387</v>
      </c>
      <c r="D1675" s="42">
        <v>0.23707664884135474</v>
      </c>
      <c r="E1675" s="42">
        <v>0.953125</v>
      </c>
      <c r="F1675" s="42">
        <v>0.23707664884135474</v>
      </c>
      <c r="G1675">
        <v>1</v>
      </c>
    </row>
    <row r="1676" spans="3:7" x14ac:dyDescent="0.15">
      <c r="C1676" s="43">
        <v>388</v>
      </c>
      <c r="D1676" s="42">
        <v>0.23796791443850268</v>
      </c>
      <c r="E1676" s="42">
        <v>0.953125</v>
      </c>
      <c r="F1676" s="42">
        <v>0.23796791443850268</v>
      </c>
      <c r="G1676">
        <v>1</v>
      </c>
    </row>
    <row r="1677" spans="3:7" x14ac:dyDescent="0.15">
      <c r="C1677" s="43">
        <v>389</v>
      </c>
      <c r="D1677" s="42">
        <v>0.23885918003565063</v>
      </c>
      <c r="E1677" s="42">
        <v>0.953125</v>
      </c>
      <c r="F1677" s="42">
        <v>0.23885918003565063</v>
      </c>
      <c r="G1677">
        <v>1</v>
      </c>
    </row>
    <row r="1678" spans="3:7" x14ac:dyDescent="0.15">
      <c r="C1678" s="43">
        <v>390</v>
      </c>
      <c r="D1678" s="42">
        <v>0.23975044563279857</v>
      </c>
      <c r="E1678" s="42">
        <v>0.953125</v>
      </c>
      <c r="F1678" s="42">
        <v>0.23975044563279857</v>
      </c>
      <c r="G1678">
        <v>1</v>
      </c>
    </row>
    <row r="1679" spans="3:7" x14ac:dyDescent="0.15">
      <c r="C1679" s="43">
        <v>391</v>
      </c>
      <c r="D1679" s="42">
        <v>0.24064171122994651</v>
      </c>
      <c r="E1679" s="42">
        <v>0.953125</v>
      </c>
      <c r="F1679" s="42">
        <v>0.24064171122994651</v>
      </c>
      <c r="G1679">
        <v>1</v>
      </c>
    </row>
    <row r="1680" spans="3:7" x14ac:dyDescent="0.15">
      <c r="C1680" s="43">
        <v>392</v>
      </c>
      <c r="D1680" s="42">
        <v>0.24153297682709449</v>
      </c>
      <c r="E1680" s="42">
        <v>0.953125</v>
      </c>
      <c r="F1680" s="42">
        <v>0.24153297682709449</v>
      </c>
      <c r="G1680">
        <v>1</v>
      </c>
    </row>
    <row r="1681" spans="3:7" x14ac:dyDescent="0.15">
      <c r="C1681" s="43">
        <v>393</v>
      </c>
      <c r="D1681" s="42">
        <v>0.24242424242424243</v>
      </c>
      <c r="E1681" s="42">
        <v>0.953125</v>
      </c>
      <c r="F1681" s="42">
        <v>0.24242424242424243</v>
      </c>
      <c r="G1681">
        <v>1</v>
      </c>
    </row>
    <row r="1682" spans="3:7" x14ac:dyDescent="0.15">
      <c r="C1682" s="43">
        <v>394</v>
      </c>
      <c r="D1682" s="42">
        <v>0.24331550802139038</v>
      </c>
      <c r="E1682" s="42">
        <v>0.953125</v>
      </c>
      <c r="F1682" s="42">
        <v>0.24331550802139038</v>
      </c>
      <c r="G1682">
        <v>1</v>
      </c>
    </row>
    <row r="1683" spans="3:7" x14ac:dyDescent="0.15">
      <c r="C1683" s="43">
        <v>395</v>
      </c>
      <c r="D1683" s="42">
        <v>0.24420677361853832</v>
      </c>
      <c r="E1683" s="42">
        <v>0.953125</v>
      </c>
      <c r="F1683" s="42">
        <v>0.24420677361853832</v>
      </c>
      <c r="G1683">
        <v>1</v>
      </c>
    </row>
    <row r="1684" spans="3:7" x14ac:dyDescent="0.15">
      <c r="C1684" s="43">
        <v>396</v>
      </c>
      <c r="D1684" s="42">
        <v>0.24509803921568626</v>
      </c>
      <c r="E1684" s="42">
        <v>0.953125</v>
      </c>
      <c r="F1684" s="42">
        <v>0.24509803921568626</v>
      </c>
      <c r="G1684">
        <v>1</v>
      </c>
    </row>
    <row r="1685" spans="3:7" x14ac:dyDescent="0.15">
      <c r="C1685" s="43">
        <v>397</v>
      </c>
      <c r="D1685" s="42">
        <v>0.24598930481283424</v>
      </c>
      <c r="E1685" s="42">
        <v>0.953125</v>
      </c>
      <c r="F1685" s="42">
        <v>0.24598930481283424</v>
      </c>
      <c r="G1685">
        <v>1</v>
      </c>
    </row>
    <row r="1686" spans="3:7" x14ac:dyDescent="0.15">
      <c r="C1686" s="43">
        <v>398</v>
      </c>
      <c r="D1686" s="42">
        <v>0.24688057040998218</v>
      </c>
      <c r="E1686" s="42">
        <v>0.953125</v>
      </c>
      <c r="F1686" s="42">
        <v>0.24688057040998218</v>
      </c>
      <c r="G1686">
        <v>1</v>
      </c>
    </row>
    <row r="1687" spans="3:7" x14ac:dyDescent="0.15">
      <c r="C1687" s="43">
        <v>399</v>
      </c>
      <c r="D1687" s="42">
        <v>0.24777183600713013</v>
      </c>
      <c r="E1687" s="42">
        <v>0.953125</v>
      </c>
      <c r="F1687" s="42">
        <v>0.24777183600713013</v>
      </c>
      <c r="G1687">
        <v>1</v>
      </c>
    </row>
    <row r="1688" spans="3:7" x14ac:dyDescent="0.15">
      <c r="C1688" s="43">
        <v>400</v>
      </c>
      <c r="D1688" s="42">
        <v>0.24866310160427807</v>
      </c>
      <c r="E1688" s="42">
        <v>0.953125</v>
      </c>
      <c r="F1688" s="42">
        <v>0.24866310160427807</v>
      </c>
      <c r="G1688">
        <v>1</v>
      </c>
    </row>
    <row r="1689" spans="3:7" x14ac:dyDescent="0.15">
      <c r="C1689" s="43">
        <v>401</v>
      </c>
      <c r="D1689" s="42">
        <v>0.24955436720142601</v>
      </c>
      <c r="E1689" s="42">
        <v>0.953125</v>
      </c>
      <c r="F1689" s="42">
        <v>0.24955436720142601</v>
      </c>
      <c r="G1689">
        <v>1</v>
      </c>
    </row>
    <row r="1690" spans="3:7" x14ac:dyDescent="0.15">
      <c r="C1690" s="43">
        <v>402</v>
      </c>
      <c r="D1690" s="42">
        <v>0.25044563279857396</v>
      </c>
      <c r="E1690" s="42">
        <v>0.953125</v>
      </c>
      <c r="F1690" s="42">
        <v>0.25044563279857396</v>
      </c>
      <c r="G1690">
        <v>1</v>
      </c>
    </row>
    <row r="1691" spans="3:7" x14ac:dyDescent="0.15">
      <c r="C1691" s="43">
        <v>403</v>
      </c>
      <c r="D1691" s="42">
        <v>0.25133689839572193</v>
      </c>
      <c r="E1691" s="42">
        <v>0.953125</v>
      </c>
      <c r="F1691" s="42">
        <v>0.25133689839572193</v>
      </c>
      <c r="G1691">
        <v>1</v>
      </c>
    </row>
    <row r="1692" spans="3:7" x14ac:dyDescent="0.15">
      <c r="C1692" s="43">
        <v>404</v>
      </c>
      <c r="D1692" s="42">
        <v>0.25133689839572193</v>
      </c>
      <c r="E1692" s="42">
        <v>0.9609375</v>
      </c>
      <c r="F1692" s="42">
        <v>0.25133689839572193</v>
      </c>
      <c r="G1692">
        <v>1</v>
      </c>
    </row>
    <row r="1693" spans="3:7" x14ac:dyDescent="0.15">
      <c r="C1693" s="43">
        <v>405</v>
      </c>
      <c r="D1693" s="42">
        <v>0.2522281639928699</v>
      </c>
      <c r="E1693" s="42">
        <v>0.9609375</v>
      </c>
      <c r="F1693" s="42">
        <v>0.2522281639928699</v>
      </c>
      <c r="G1693">
        <v>1</v>
      </c>
    </row>
    <row r="1694" spans="3:7" x14ac:dyDescent="0.15">
      <c r="C1694" s="43">
        <v>406</v>
      </c>
      <c r="D1694" s="42">
        <v>0.25311942959001782</v>
      </c>
      <c r="E1694" s="42">
        <v>0.9609375</v>
      </c>
      <c r="F1694" s="42">
        <v>0.25311942959001782</v>
      </c>
      <c r="G1694">
        <v>1</v>
      </c>
    </row>
    <row r="1695" spans="3:7" x14ac:dyDescent="0.15">
      <c r="C1695" s="43">
        <v>407</v>
      </c>
      <c r="D1695" s="42">
        <v>0.25401069518716579</v>
      </c>
      <c r="E1695" s="42">
        <v>0.9609375</v>
      </c>
      <c r="F1695" s="42">
        <v>0.25401069518716579</v>
      </c>
      <c r="G1695">
        <v>1</v>
      </c>
    </row>
    <row r="1696" spans="3:7" x14ac:dyDescent="0.15">
      <c r="C1696" s="43">
        <v>408</v>
      </c>
      <c r="D1696" s="42">
        <v>0.25490196078431371</v>
      </c>
      <c r="E1696" s="42">
        <v>0.9609375</v>
      </c>
      <c r="F1696" s="42">
        <v>0.25490196078431371</v>
      </c>
      <c r="G1696">
        <v>1</v>
      </c>
    </row>
    <row r="1697" spans="3:7" x14ac:dyDescent="0.15">
      <c r="C1697" s="43">
        <v>409</v>
      </c>
      <c r="D1697" s="42">
        <v>0.25579322638146168</v>
      </c>
      <c r="E1697" s="42">
        <v>0.9609375</v>
      </c>
      <c r="F1697" s="42">
        <v>0.25579322638146168</v>
      </c>
      <c r="G1697">
        <v>1</v>
      </c>
    </row>
    <row r="1698" spans="3:7" x14ac:dyDescent="0.15">
      <c r="C1698" s="43">
        <v>410</v>
      </c>
      <c r="D1698" s="42">
        <v>0.25668449197860965</v>
      </c>
      <c r="E1698" s="42">
        <v>0.9609375</v>
      </c>
      <c r="F1698" s="42">
        <v>0.25668449197860965</v>
      </c>
      <c r="G1698">
        <v>1</v>
      </c>
    </row>
    <row r="1699" spans="3:7" x14ac:dyDescent="0.15">
      <c r="C1699" s="43">
        <v>411</v>
      </c>
      <c r="D1699" s="42">
        <v>0.25757575757575757</v>
      </c>
      <c r="E1699" s="42">
        <v>0.9609375</v>
      </c>
      <c r="F1699" s="42">
        <v>0.25757575757575757</v>
      </c>
      <c r="G1699">
        <v>1</v>
      </c>
    </row>
    <row r="1700" spans="3:7" x14ac:dyDescent="0.15">
      <c r="C1700" s="43">
        <v>412</v>
      </c>
      <c r="D1700" s="42">
        <v>0.25846702317290554</v>
      </c>
      <c r="E1700" s="42">
        <v>0.9609375</v>
      </c>
      <c r="F1700" s="42">
        <v>0.25846702317290554</v>
      </c>
      <c r="G1700">
        <v>1</v>
      </c>
    </row>
    <row r="1701" spans="3:7" x14ac:dyDescent="0.15">
      <c r="C1701" s="43">
        <v>413</v>
      </c>
      <c r="D1701" s="42">
        <v>0.25935828877005346</v>
      </c>
      <c r="E1701" s="42">
        <v>0.9609375</v>
      </c>
      <c r="F1701" s="42">
        <v>0.25935828877005346</v>
      </c>
      <c r="G1701">
        <v>1</v>
      </c>
    </row>
    <row r="1702" spans="3:7" x14ac:dyDescent="0.15">
      <c r="C1702" s="43">
        <v>414</v>
      </c>
      <c r="D1702" s="42">
        <v>0.26024955436720143</v>
      </c>
      <c r="E1702" s="42">
        <v>0.9609375</v>
      </c>
      <c r="F1702" s="42">
        <v>0.26024955436720143</v>
      </c>
      <c r="G1702">
        <v>1</v>
      </c>
    </row>
    <row r="1703" spans="3:7" x14ac:dyDescent="0.15">
      <c r="C1703" s="43">
        <v>415</v>
      </c>
      <c r="D1703" s="42">
        <v>0.2611408199643494</v>
      </c>
      <c r="E1703" s="42">
        <v>0.9609375</v>
      </c>
      <c r="F1703" s="42">
        <v>0.2611408199643494</v>
      </c>
      <c r="G1703">
        <v>1</v>
      </c>
    </row>
    <row r="1704" spans="3:7" x14ac:dyDescent="0.15">
      <c r="C1704" s="43">
        <v>416</v>
      </c>
      <c r="D1704" s="42">
        <v>0.26203208556149732</v>
      </c>
      <c r="E1704" s="42">
        <v>0.9609375</v>
      </c>
      <c r="F1704" s="42">
        <v>0.26203208556149732</v>
      </c>
      <c r="G1704">
        <v>1</v>
      </c>
    </row>
    <row r="1705" spans="3:7" x14ac:dyDescent="0.15">
      <c r="C1705" s="43">
        <v>417</v>
      </c>
      <c r="D1705" s="42">
        <v>0.26292335115864529</v>
      </c>
      <c r="E1705" s="42">
        <v>0.9609375</v>
      </c>
      <c r="F1705" s="42">
        <v>0.26292335115864529</v>
      </c>
      <c r="G1705">
        <v>1</v>
      </c>
    </row>
    <row r="1706" spans="3:7" x14ac:dyDescent="0.15">
      <c r="C1706" s="43">
        <v>418</v>
      </c>
      <c r="D1706" s="42">
        <v>0.26381461675579321</v>
      </c>
      <c r="E1706" s="42">
        <v>0.9609375</v>
      </c>
      <c r="F1706" s="42">
        <v>0.26381461675579321</v>
      </c>
      <c r="G1706">
        <v>1</v>
      </c>
    </row>
    <row r="1707" spans="3:7" x14ac:dyDescent="0.15">
      <c r="C1707" s="43">
        <v>419</v>
      </c>
      <c r="D1707" s="42">
        <v>0.26470588235294118</v>
      </c>
      <c r="E1707" s="42">
        <v>0.9609375</v>
      </c>
      <c r="F1707" s="42">
        <v>0.26470588235294118</v>
      </c>
      <c r="G1707">
        <v>1</v>
      </c>
    </row>
    <row r="1708" spans="3:7" x14ac:dyDescent="0.15">
      <c r="C1708" s="43">
        <v>420</v>
      </c>
      <c r="D1708" s="42">
        <v>0.26559714795008915</v>
      </c>
      <c r="E1708" s="42">
        <v>0.9609375</v>
      </c>
      <c r="F1708" s="42">
        <v>0.26559714795008915</v>
      </c>
      <c r="G1708">
        <v>1</v>
      </c>
    </row>
    <row r="1709" spans="3:7" x14ac:dyDescent="0.15">
      <c r="C1709" s="43">
        <v>421</v>
      </c>
      <c r="D1709" s="42">
        <v>0.26648841354723707</v>
      </c>
      <c r="E1709" s="42">
        <v>0.9609375</v>
      </c>
      <c r="F1709" s="42">
        <v>0.26648841354723707</v>
      </c>
      <c r="G1709">
        <v>1</v>
      </c>
    </row>
    <row r="1710" spans="3:7" x14ac:dyDescent="0.15">
      <c r="C1710" s="43">
        <v>422</v>
      </c>
      <c r="D1710" s="42">
        <v>0.26737967914438504</v>
      </c>
      <c r="E1710" s="42">
        <v>0.9609375</v>
      </c>
      <c r="F1710" s="42">
        <v>0.26737967914438504</v>
      </c>
      <c r="G1710">
        <v>1</v>
      </c>
    </row>
    <row r="1711" spans="3:7" x14ac:dyDescent="0.15">
      <c r="C1711" s="43">
        <v>423</v>
      </c>
      <c r="D1711" s="42">
        <v>0.26827094474153296</v>
      </c>
      <c r="E1711" s="42">
        <v>0.9609375</v>
      </c>
      <c r="F1711" s="42">
        <v>0.26827094474153296</v>
      </c>
      <c r="G1711">
        <v>1</v>
      </c>
    </row>
    <row r="1712" spans="3:7" x14ac:dyDescent="0.15">
      <c r="C1712" s="43">
        <v>424</v>
      </c>
      <c r="D1712" s="42">
        <v>0.26916221033868093</v>
      </c>
      <c r="E1712" s="42">
        <v>0.9609375</v>
      </c>
      <c r="F1712" s="42">
        <v>0.26916221033868093</v>
      </c>
      <c r="G1712">
        <v>1</v>
      </c>
    </row>
    <row r="1713" spans="3:7" x14ac:dyDescent="0.15">
      <c r="C1713" s="43">
        <v>425</v>
      </c>
      <c r="D1713" s="42">
        <v>0.2700534759358289</v>
      </c>
      <c r="E1713" s="42">
        <v>0.9609375</v>
      </c>
      <c r="F1713" s="42">
        <v>0.2700534759358289</v>
      </c>
      <c r="G1713">
        <v>1</v>
      </c>
    </row>
    <row r="1714" spans="3:7" x14ac:dyDescent="0.15">
      <c r="C1714" s="43">
        <v>426</v>
      </c>
      <c r="D1714" s="42">
        <v>0.27094474153297682</v>
      </c>
      <c r="E1714" s="42">
        <v>0.9609375</v>
      </c>
      <c r="F1714" s="42">
        <v>0.27094474153297682</v>
      </c>
      <c r="G1714">
        <v>1</v>
      </c>
    </row>
    <row r="1715" spans="3:7" x14ac:dyDescent="0.15">
      <c r="C1715" s="43">
        <v>427</v>
      </c>
      <c r="D1715" s="42">
        <v>0.27183600713012479</v>
      </c>
      <c r="E1715" s="42">
        <v>0.9609375</v>
      </c>
      <c r="F1715" s="42">
        <v>0.27183600713012479</v>
      </c>
      <c r="G1715">
        <v>1</v>
      </c>
    </row>
    <row r="1716" spans="3:7" x14ac:dyDescent="0.15">
      <c r="C1716" s="43">
        <v>428</v>
      </c>
      <c r="D1716" s="42">
        <v>0.27272727272727271</v>
      </c>
      <c r="E1716" s="42">
        <v>0.9609375</v>
      </c>
      <c r="F1716" s="42">
        <v>0.27272727272727271</v>
      </c>
      <c r="G1716">
        <v>1</v>
      </c>
    </row>
    <row r="1717" spans="3:7" x14ac:dyDescent="0.15">
      <c r="C1717" s="43">
        <v>429</v>
      </c>
      <c r="D1717" s="42">
        <v>0.27361853832442068</v>
      </c>
      <c r="E1717" s="42">
        <v>0.9609375</v>
      </c>
      <c r="F1717" s="42">
        <v>0.27361853832442068</v>
      </c>
      <c r="G1717">
        <v>1</v>
      </c>
    </row>
    <row r="1718" spans="3:7" x14ac:dyDescent="0.15">
      <c r="C1718" s="43">
        <v>430</v>
      </c>
      <c r="D1718" s="42">
        <v>0.27450980392156865</v>
      </c>
      <c r="E1718" s="42">
        <v>0.9609375</v>
      </c>
      <c r="F1718" s="42">
        <v>0.27450980392156865</v>
      </c>
      <c r="G1718">
        <v>1</v>
      </c>
    </row>
    <row r="1719" spans="3:7" x14ac:dyDescent="0.15">
      <c r="C1719" s="43">
        <v>431</v>
      </c>
      <c r="D1719" s="42">
        <v>0.27540106951871657</v>
      </c>
      <c r="E1719" s="42">
        <v>0.9609375</v>
      </c>
      <c r="F1719" s="42">
        <v>0.27540106951871657</v>
      </c>
      <c r="G1719">
        <v>1</v>
      </c>
    </row>
    <row r="1720" spans="3:7" x14ac:dyDescent="0.15">
      <c r="C1720" s="43">
        <v>432</v>
      </c>
      <c r="D1720" s="42">
        <v>0.27629233511586454</v>
      </c>
      <c r="E1720" s="42">
        <v>0.9609375</v>
      </c>
      <c r="F1720" s="42">
        <v>0.27629233511586454</v>
      </c>
      <c r="G1720">
        <v>1</v>
      </c>
    </row>
    <row r="1721" spans="3:7" x14ac:dyDescent="0.15">
      <c r="C1721" s="43">
        <v>433</v>
      </c>
      <c r="D1721" s="42">
        <v>0.27718360071301246</v>
      </c>
      <c r="E1721" s="42">
        <v>0.9609375</v>
      </c>
      <c r="F1721" s="42">
        <v>0.27718360071301246</v>
      </c>
      <c r="G1721">
        <v>1</v>
      </c>
    </row>
    <row r="1722" spans="3:7" x14ac:dyDescent="0.15">
      <c r="C1722" s="43">
        <v>434</v>
      </c>
      <c r="D1722" s="42">
        <v>0.27807486631016043</v>
      </c>
      <c r="E1722" s="42">
        <v>0.9609375</v>
      </c>
      <c r="F1722" s="42">
        <v>0.27807486631016043</v>
      </c>
      <c r="G1722">
        <v>1</v>
      </c>
    </row>
    <row r="1723" spans="3:7" x14ac:dyDescent="0.15">
      <c r="C1723" s="43">
        <v>435</v>
      </c>
      <c r="D1723" s="42">
        <v>0.2789661319073084</v>
      </c>
      <c r="E1723" s="42">
        <v>0.9609375</v>
      </c>
      <c r="F1723" s="42">
        <v>0.2789661319073084</v>
      </c>
      <c r="G1723">
        <v>1</v>
      </c>
    </row>
    <row r="1724" spans="3:7" x14ac:dyDescent="0.15">
      <c r="C1724" s="43">
        <v>436</v>
      </c>
      <c r="D1724" s="42">
        <v>0.27985739750445632</v>
      </c>
      <c r="E1724" s="42">
        <v>0.9609375</v>
      </c>
      <c r="F1724" s="42">
        <v>0.27985739750445632</v>
      </c>
      <c r="G1724">
        <v>1</v>
      </c>
    </row>
    <row r="1725" spans="3:7" x14ac:dyDescent="0.15">
      <c r="C1725" s="43">
        <v>437</v>
      </c>
      <c r="D1725" s="42">
        <v>0.28074866310160429</v>
      </c>
      <c r="E1725" s="42">
        <v>0.9609375</v>
      </c>
      <c r="F1725" s="42">
        <v>0.28074866310160429</v>
      </c>
      <c r="G1725">
        <v>1</v>
      </c>
    </row>
    <row r="1726" spans="3:7" x14ac:dyDescent="0.15">
      <c r="C1726" s="43">
        <v>438</v>
      </c>
      <c r="D1726" s="42">
        <v>0.28163992869875221</v>
      </c>
      <c r="E1726" s="42">
        <v>0.9609375</v>
      </c>
      <c r="F1726" s="42">
        <v>0.28163992869875221</v>
      </c>
      <c r="G1726">
        <v>1</v>
      </c>
    </row>
    <row r="1727" spans="3:7" x14ac:dyDescent="0.15">
      <c r="C1727" s="43">
        <v>439</v>
      </c>
      <c r="D1727" s="42">
        <v>0.28253119429590018</v>
      </c>
      <c r="E1727" s="42">
        <v>0.9609375</v>
      </c>
      <c r="F1727" s="42">
        <v>0.28253119429590018</v>
      </c>
      <c r="G1727">
        <v>1</v>
      </c>
    </row>
    <row r="1728" spans="3:7" x14ac:dyDescent="0.15">
      <c r="C1728" s="43">
        <v>440</v>
      </c>
      <c r="D1728" s="42">
        <v>0.28342245989304815</v>
      </c>
      <c r="E1728" s="42">
        <v>0.9609375</v>
      </c>
      <c r="F1728" s="42">
        <v>0.28342245989304815</v>
      </c>
      <c r="G1728">
        <v>1</v>
      </c>
    </row>
    <row r="1729" spans="3:7" x14ac:dyDescent="0.15">
      <c r="C1729" s="43">
        <v>441</v>
      </c>
      <c r="D1729" s="42">
        <v>0.28431372549019607</v>
      </c>
      <c r="E1729" s="42">
        <v>0.9609375</v>
      </c>
      <c r="F1729" s="42">
        <v>0.28431372549019607</v>
      </c>
      <c r="G1729">
        <v>1</v>
      </c>
    </row>
    <row r="1730" spans="3:7" x14ac:dyDescent="0.15">
      <c r="C1730" s="43">
        <v>442</v>
      </c>
      <c r="D1730" s="42">
        <v>0.28520499108734404</v>
      </c>
      <c r="E1730" s="42">
        <v>0.9609375</v>
      </c>
      <c r="F1730" s="42">
        <v>0.28520499108734404</v>
      </c>
      <c r="G1730">
        <v>1</v>
      </c>
    </row>
    <row r="1731" spans="3:7" x14ac:dyDescent="0.15">
      <c r="C1731" s="43">
        <v>443</v>
      </c>
      <c r="D1731" s="42">
        <v>0.28609625668449196</v>
      </c>
      <c r="E1731" s="42">
        <v>0.9609375</v>
      </c>
      <c r="F1731" s="42">
        <v>0.28609625668449196</v>
      </c>
      <c r="G1731">
        <v>1</v>
      </c>
    </row>
    <row r="1732" spans="3:7" x14ac:dyDescent="0.15">
      <c r="C1732" s="43">
        <v>444</v>
      </c>
      <c r="D1732" s="42">
        <v>0.28698752228163993</v>
      </c>
      <c r="E1732" s="42">
        <v>0.9609375</v>
      </c>
      <c r="F1732" s="42">
        <v>0.28698752228163993</v>
      </c>
      <c r="G1732">
        <v>1</v>
      </c>
    </row>
    <row r="1733" spans="3:7" x14ac:dyDescent="0.15">
      <c r="C1733" s="43">
        <v>445</v>
      </c>
      <c r="D1733" s="42">
        <v>0.2878787878787879</v>
      </c>
      <c r="E1733" s="42">
        <v>0.9609375</v>
      </c>
      <c r="F1733" s="42">
        <v>0.2878787878787879</v>
      </c>
      <c r="G1733">
        <v>1</v>
      </c>
    </row>
    <row r="1734" spans="3:7" x14ac:dyDescent="0.15">
      <c r="C1734" s="43">
        <v>446</v>
      </c>
      <c r="D1734" s="42">
        <v>0.28877005347593582</v>
      </c>
      <c r="E1734" s="42">
        <v>0.9609375</v>
      </c>
      <c r="F1734" s="42">
        <v>0.28877005347593582</v>
      </c>
      <c r="G1734">
        <v>1</v>
      </c>
    </row>
    <row r="1735" spans="3:7" x14ac:dyDescent="0.15">
      <c r="C1735" s="43">
        <v>447</v>
      </c>
      <c r="D1735" s="42">
        <v>0.28966131907308379</v>
      </c>
      <c r="E1735" s="42">
        <v>0.9609375</v>
      </c>
      <c r="F1735" s="42">
        <v>0.28966131907308379</v>
      </c>
      <c r="G1735">
        <v>1</v>
      </c>
    </row>
    <row r="1736" spans="3:7" x14ac:dyDescent="0.15">
      <c r="C1736" s="43">
        <v>448</v>
      </c>
      <c r="D1736" s="42">
        <v>0.29055258467023171</v>
      </c>
      <c r="E1736" s="42">
        <v>0.9609375</v>
      </c>
      <c r="F1736" s="42">
        <v>0.29055258467023171</v>
      </c>
      <c r="G1736">
        <v>1</v>
      </c>
    </row>
    <row r="1737" spans="3:7" x14ac:dyDescent="0.15">
      <c r="C1737" s="43">
        <v>449</v>
      </c>
      <c r="D1737" s="42">
        <v>0.29144385026737968</v>
      </c>
      <c r="E1737" s="42">
        <v>0.9609375</v>
      </c>
      <c r="F1737" s="42">
        <v>0.29144385026737968</v>
      </c>
      <c r="G1737">
        <v>1</v>
      </c>
    </row>
    <row r="1738" spans="3:7" x14ac:dyDescent="0.15">
      <c r="C1738" s="43">
        <v>450</v>
      </c>
      <c r="D1738" s="42">
        <v>0.29233511586452765</v>
      </c>
      <c r="E1738" s="42">
        <v>0.9609375</v>
      </c>
      <c r="F1738" s="42">
        <v>0.29233511586452765</v>
      </c>
      <c r="G1738">
        <v>1</v>
      </c>
    </row>
    <row r="1739" spans="3:7" x14ac:dyDescent="0.15">
      <c r="C1739" s="43">
        <v>451</v>
      </c>
      <c r="D1739" s="42">
        <v>0.29322638146167557</v>
      </c>
      <c r="E1739" s="42">
        <v>0.9609375</v>
      </c>
      <c r="F1739" s="42">
        <v>0.29322638146167557</v>
      </c>
      <c r="G1739">
        <v>1</v>
      </c>
    </row>
    <row r="1740" spans="3:7" x14ac:dyDescent="0.15">
      <c r="C1740" s="43">
        <v>452</v>
      </c>
      <c r="D1740" s="42">
        <v>0.29411764705882354</v>
      </c>
      <c r="E1740" s="42">
        <v>0.9609375</v>
      </c>
      <c r="F1740" s="42">
        <v>0.29411764705882354</v>
      </c>
      <c r="G1740">
        <v>1</v>
      </c>
    </row>
    <row r="1741" spans="3:7" x14ac:dyDescent="0.15">
      <c r="C1741" s="43">
        <v>453</v>
      </c>
      <c r="D1741" s="42">
        <v>0.29500891265597146</v>
      </c>
      <c r="E1741" s="42">
        <v>0.9609375</v>
      </c>
      <c r="F1741" s="42">
        <v>0.29500891265597146</v>
      </c>
      <c r="G1741">
        <v>1</v>
      </c>
    </row>
    <row r="1742" spans="3:7" x14ac:dyDescent="0.15">
      <c r="C1742" s="43">
        <v>454</v>
      </c>
      <c r="D1742" s="42">
        <v>0.29590017825311943</v>
      </c>
      <c r="E1742" s="42">
        <v>0.9609375</v>
      </c>
      <c r="F1742" s="42">
        <v>0.29590017825311943</v>
      </c>
      <c r="G1742">
        <v>1</v>
      </c>
    </row>
    <row r="1743" spans="3:7" x14ac:dyDescent="0.15">
      <c r="C1743" s="43">
        <v>455</v>
      </c>
      <c r="D1743" s="42">
        <v>0.2967914438502674</v>
      </c>
      <c r="E1743" s="42">
        <v>0.9609375</v>
      </c>
      <c r="F1743" s="42">
        <v>0.2967914438502674</v>
      </c>
      <c r="G1743">
        <v>1</v>
      </c>
    </row>
    <row r="1744" spans="3:7" x14ac:dyDescent="0.15">
      <c r="C1744" s="43">
        <v>456</v>
      </c>
      <c r="D1744" s="42">
        <v>0.29768270944741532</v>
      </c>
      <c r="E1744" s="42">
        <v>0.9609375</v>
      </c>
      <c r="F1744" s="42">
        <v>0.29768270944741532</v>
      </c>
      <c r="G1744">
        <v>1</v>
      </c>
    </row>
    <row r="1745" spans="3:7" x14ac:dyDescent="0.15">
      <c r="C1745" s="43">
        <v>457</v>
      </c>
      <c r="D1745" s="42">
        <v>0.29857397504456329</v>
      </c>
      <c r="E1745" s="42">
        <v>0.9609375</v>
      </c>
      <c r="F1745" s="42">
        <v>0.29857397504456329</v>
      </c>
      <c r="G1745">
        <v>1</v>
      </c>
    </row>
    <row r="1746" spans="3:7" x14ac:dyDescent="0.15">
      <c r="C1746" s="43">
        <v>458</v>
      </c>
      <c r="D1746" s="42">
        <v>0.29946524064171121</v>
      </c>
      <c r="E1746" s="42">
        <v>0.9609375</v>
      </c>
      <c r="F1746" s="42">
        <v>0.29946524064171121</v>
      </c>
      <c r="G1746">
        <v>1</v>
      </c>
    </row>
    <row r="1747" spans="3:7" x14ac:dyDescent="0.15">
      <c r="C1747" s="43">
        <v>459</v>
      </c>
      <c r="D1747" s="42">
        <v>0.30035650623885918</v>
      </c>
      <c r="E1747" s="42">
        <v>0.9609375</v>
      </c>
      <c r="F1747" s="42">
        <v>0.30035650623885918</v>
      </c>
      <c r="G1747">
        <v>1</v>
      </c>
    </row>
    <row r="1748" spans="3:7" x14ac:dyDescent="0.15">
      <c r="C1748" s="43">
        <v>460</v>
      </c>
      <c r="D1748" s="42">
        <v>0.30124777183600715</v>
      </c>
      <c r="E1748" s="42">
        <v>0.9609375</v>
      </c>
      <c r="F1748" s="42">
        <v>0.30124777183600715</v>
      </c>
      <c r="G1748">
        <v>1</v>
      </c>
    </row>
    <row r="1749" spans="3:7" x14ac:dyDescent="0.15">
      <c r="C1749" s="43">
        <v>461</v>
      </c>
      <c r="D1749" s="42">
        <v>0.30213903743315507</v>
      </c>
      <c r="E1749" s="42">
        <v>0.9609375</v>
      </c>
      <c r="F1749" s="42">
        <v>0.30213903743315507</v>
      </c>
      <c r="G1749">
        <v>1</v>
      </c>
    </row>
    <row r="1750" spans="3:7" x14ac:dyDescent="0.15">
      <c r="C1750" s="43">
        <v>462</v>
      </c>
      <c r="D1750" s="42">
        <v>0.30213903743315507</v>
      </c>
      <c r="E1750" s="42">
        <v>0.96875</v>
      </c>
      <c r="F1750" s="42">
        <v>0.30213903743315507</v>
      </c>
      <c r="G1750">
        <v>1</v>
      </c>
    </row>
    <row r="1751" spans="3:7" x14ac:dyDescent="0.15">
      <c r="C1751" s="43">
        <v>463</v>
      </c>
      <c r="D1751" s="42">
        <v>0.30303030303030304</v>
      </c>
      <c r="E1751" s="42">
        <v>0.96875</v>
      </c>
      <c r="F1751" s="42">
        <v>0.30303030303030304</v>
      </c>
      <c r="G1751">
        <v>1</v>
      </c>
    </row>
    <row r="1752" spans="3:7" x14ac:dyDescent="0.15">
      <c r="C1752" s="43">
        <v>464</v>
      </c>
      <c r="D1752" s="42">
        <v>0.30392156862745096</v>
      </c>
      <c r="E1752" s="42">
        <v>0.96875</v>
      </c>
      <c r="F1752" s="42">
        <v>0.30392156862745096</v>
      </c>
      <c r="G1752">
        <v>1</v>
      </c>
    </row>
    <row r="1753" spans="3:7" x14ac:dyDescent="0.15">
      <c r="C1753" s="43">
        <v>465</v>
      </c>
      <c r="D1753" s="42">
        <v>0.30481283422459893</v>
      </c>
      <c r="E1753" s="42">
        <v>0.96875</v>
      </c>
      <c r="F1753" s="42">
        <v>0.30481283422459893</v>
      </c>
      <c r="G1753">
        <v>1</v>
      </c>
    </row>
    <row r="1754" spans="3:7" x14ac:dyDescent="0.15">
      <c r="C1754" s="43">
        <v>466</v>
      </c>
      <c r="D1754" s="42">
        <v>0.3057040998217469</v>
      </c>
      <c r="E1754" s="42">
        <v>0.96875</v>
      </c>
      <c r="F1754" s="42">
        <v>0.3057040998217469</v>
      </c>
      <c r="G1754">
        <v>1</v>
      </c>
    </row>
    <row r="1755" spans="3:7" x14ac:dyDescent="0.15">
      <c r="C1755" s="43">
        <v>467</v>
      </c>
      <c r="D1755" s="42">
        <v>0.30659536541889482</v>
      </c>
      <c r="E1755" s="42">
        <v>0.96875</v>
      </c>
      <c r="F1755" s="42">
        <v>0.30659536541889482</v>
      </c>
      <c r="G1755">
        <v>1</v>
      </c>
    </row>
    <row r="1756" spans="3:7" x14ac:dyDescent="0.15">
      <c r="C1756" s="43">
        <v>468</v>
      </c>
      <c r="D1756" s="42">
        <v>0.30748663101604279</v>
      </c>
      <c r="E1756" s="42">
        <v>0.96875</v>
      </c>
      <c r="F1756" s="42">
        <v>0.30748663101604279</v>
      </c>
      <c r="G1756">
        <v>1</v>
      </c>
    </row>
    <row r="1757" spans="3:7" x14ac:dyDescent="0.15">
      <c r="C1757" s="43">
        <v>469</v>
      </c>
      <c r="D1757" s="42">
        <v>0.30837789661319071</v>
      </c>
      <c r="E1757" s="42">
        <v>0.96875</v>
      </c>
      <c r="F1757" s="42">
        <v>0.30837789661319071</v>
      </c>
      <c r="G1757">
        <v>1</v>
      </c>
    </row>
    <row r="1758" spans="3:7" x14ac:dyDescent="0.15">
      <c r="C1758" s="43">
        <v>470</v>
      </c>
      <c r="D1758" s="42">
        <v>0.30926916221033868</v>
      </c>
      <c r="E1758" s="42">
        <v>0.96875</v>
      </c>
      <c r="F1758" s="42">
        <v>0.30926916221033868</v>
      </c>
      <c r="G1758">
        <v>1</v>
      </c>
    </row>
    <row r="1759" spans="3:7" x14ac:dyDescent="0.15">
      <c r="C1759" s="43">
        <v>471</v>
      </c>
      <c r="D1759" s="42">
        <v>0.30926916221033868</v>
      </c>
      <c r="E1759" s="42">
        <v>0.9765625</v>
      </c>
      <c r="F1759" s="42">
        <v>0.30926916221033868</v>
      </c>
      <c r="G1759">
        <v>1</v>
      </c>
    </row>
    <row r="1760" spans="3:7" x14ac:dyDescent="0.15">
      <c r="C1760" s="43">
        <v>472</v>
      </c>
      <c r="D1760" s="42">
        <v>0.31016042780748665</v>
      </c>
      <c r="E1760" s="42">
        <v>0.9765625</v>
      </c>
      <c r="F1760" s="42">
        <v>0.31016042780748665</v>
      </c>
      <c r="G1760">
        <v>1</v>
      </c>
    </row>
    <row r="1761" spans="3:7" x14ac:dyDescent="0.15">
      <c r="C1761" s="43">
        <v>473</v>
      </c>
      <c r="D1761" s="42">
        <v>0.31105169340463457</v>
      </c>
      <c r="E1761" s="42">
        <v>0.9765625</v>
      </c>
      <c r="F1761" s="42">
        <v>0.31105169340463457</v>
      </c>
      <c r="G1761">
        <v>1</v>
      </c>
    </row>
    <row r="1762" spans="3:7" x14ac:dyDescent="0.15">
      <c r="C1762" s="43">
        <v>474</v>
      </c>
      <c r="D1762" s="42">
        <v>0.31194295900178254</v>
      </c>
      <c r="E1762" s="42">
        <v>0.9765625</v>
      </c>
      <c r="F1762" s="42">
        <v>0.31194295900178254</v>
      </c>
      <c r="G1762">
        <v>1</v>
      </c>
    </row>
    <row r="1763" spans="3:7" x14ac:dyDescent="0.15">
      <c r="C1763" s="43">
        <v>475</v>
      </c>
      <c r="D1763" s="42">
        <v>0.31283422459893045</v>
      </c>
      <c r="E1763" s="42">
        <v>0.9765625</v>
      </c>
      <c r="F1763" s="42">
        <v>0.31283422459893045</v>
      </c>
      <c r="G1763">
        <v>1</v>
      </c>
    </row>
    <row r="1764" spans="3:7" x14ac:dyDescent="0.15">
      <c r="C1764" s="43">
        <v>476</v>
      </c>
      <c r="D1764" s="42">
        <v>0.31372549019607843</v>
      </c>
      <c r="E1764" s="42">
        <v>0.9765625</v>
      </c>
      <c r="F1764" s="42">
        <v>0.31372549019607843</v>
      </c>
      <c r="G1764">
        <v>1</v>
      </c>
    </row>
    <row r="1765" spans="3:7" x14ac:dyDescent="0.15">
      <c r="C1765" s="43">
        <v>477</v>
      </c>
      <c r="D1765" s="42">
        <v>0.3146167557932264</v>
      </c>
      <c r="E1765" s="42">
        <v>0.9765625</v>
      </c>
      <c r="F1765" s="42">
        <v>0.3146167557932264</v>
      </c>
      <c r="G1765">
        <v>1</v>
      </c>
    </row>
    <row r="1766" spans="3:7" x14ac:dyDescent="0.15">
      <c r="C1766" s="43">
        <v>478</v>
      </c>
      <c r="D1766" s="42">
        <v>0.31550802139037432</v>
      </c>
      <c r="E1766" s="42">
        <v>0.9765625</v>
      </c>
      <c r="F1766" s="42">
        <v>0.31550802139037432</v>
      </c>
      <c r="G1766">
        <v>1</v>
      </c>
    </row>
    <row r="1767" spans="3:7" x14ac:dyDescent="0.15">
      <c r="C1767" s="43">
        <v>479</v>
      </c>
      <c r="D1767" s="42">
        <v>0.31639928698752229</v>
      </c>
      <c r="E1767" s="42">
        <v>0.9765625</v>
      </c>
      <c r="F1767" s="42">
        <v>0.31639928698752229</v>
      </c>
      <c r="G1767">
        <v>1</v>
      </c>
    </row>
    <row r="1768" spans="3:7" x14ac:dyDescent="0.15">
      <c r="C1768" s="43">
        <v>480</v>
      </c>
      <c r="D1768" s="42">
        <v>0.3172905525846702</v>
      </c>
      <c r="E1768" s="42">
        <v>0.9765625</v>
      </c>
      <c r="F1768" s="42">
        <v>0.3172905525846702</v>
      </c>
      <c r="G1768">
        <v>1</v>
      </c>
    </row>
    <row r="1769" spans="3:7" x14ac:dyDescent="0.15">
      <c r="C1769" s="43">
        <v>481</v>
      </c>
      <c r="D1769" s="42">
        <v>0.31818181818181818</v>
      </c>
      <c r="E1769" s="42">
        <v>0.9765625</v>
      </c>
      <c r="F1769" s="42">
        <v>0.31818181818181818</v>
      </c>
      <c r="G1769">
        <v>1</v>
      </c>
    </row>
    <row r="1770" spans="3:7" x14ac:dyDescent="0.15">
      <c r="C1770" s="43">
        <v>482</v>
      </c>
      <c r="D1770" s="42">
        <v>0.31907308377896615</v>
      </c>
      <c r="E1770" s="42">
        <v>0.9765625</v>
      </c>
      <c r="F1770" s="42">
        <v>0.31907308377896615</v>
      </c>
      <c r="G1770">
        <v>1</v>
      </c>
    </row>
    <row r="1771" spans="3:7" x14ac:dyDescent="0.15">
      <c r="C1771" s="43">
        <v>483</v>
      </c>
      <c r="D1771" s="42">
        <v>0.31996434937611407</v>
      </c>
      <c r="E1771" s="42">
        <v>0.9765625</v>
      </c>
      <c r="F1771" s="42">
        <v>0.31996434937611407</v>
      </c>
      <c r="G1771">
        <v>1</v>
      </c>
    </row>
    <row r="1772" spans="3:7" x14ac:dyDescent="0.15">
      <c r="C1772" s="43">
        <v>484</v>
      </c>
      <c r="D1772" s="42">
        <v>0.32085561497326204</v>
      </c>
      <c r="E1772" s="42">
        <v>0.9765625</v>
      </c>
      <c r="F1772" s="42">
        <v>0.32085561497326204</v>
      </c>
      <c r="G1772">
        <v>1</v>
      </c>
    </row>
    <row r="1773" spans="3:7" x14ac:dyDescent="0.15">
      <c r="C1773" s="43">
        <v>485</v>
      </c>
      <c r="D1773" s="42">
        <v>0.32174688057041001</v>
      </c>
      <c r="E1773" s="42">
        <v>0.9765625</v>
      </c>
      <c r="F1773" s="42">
        <v>0.32174688057041001</v>
      </c>
      <c r="G1773">
        <v>1</v>
      </c>
    </row>
    <row r="1774" spans="3:7" x14ac:dyDescent="0.15">
      <c r="C1774" s="43">
        <v>486</v>
      </c>
      <c r="D1774" s="42">
        <v>0.32263814616755793</v>
      </c>
      <c r="E1774" s="42">
        <v>0.9765625</v>
      </c>
      <c r="F1774" s="42">
        <v>0.32263814616755793</v>
      </c>
      <c r="G1774">
        <v>1</v>
      </c>
    </row>
    <row r="1775" spans="3:7" x14ac:dyDescent="0.15">
      <c r="C1775" s="43">
        <v>487</v>
      </c>
      <c r="D1775" s="42">
        <v>0.3235294117647059</v>
      </c>
      <c r="E1775" s="42">
        <v>0.9765625</v>
      </c>
      <c r="F1775" s="42">
        <v>0.3235294117647059</v>
      </c>
      <c r="G1775">
        <v>1</v>
      </c>
    </row>
    <row r="1776" spans="3:7" x14ac:dyDescent="0.15">
      <c r="C1776" s="43">
        <v>488</v>
      </c>
      <c r="D1776" s="42">
        <v>0.32442067736185382</v>
      </c>
      <c r="E1776" s="42">
        <v>0.9765625</v>
      </c>
      <c r="F1776" s="42">
        <v>0.32442067736185382</v>
      </c>
      <c r="G1776">
        <v>1</v>
      </c>
    </row>
    <row r="1777" spans="3:7" x14ac:dyDescent="0.15">
      <c r="C1777" s="43">
        <v>489</v>
      </c>
      <c r="D1777" s="42">
        <v>0.32531194295900179</v>
      </c>
      <c r="E1777" s="42">
        <v>0.9765625</v>
      </c>
      <c r="F1777" s="42">
        <v>0.32531194295900179</v>
      </c>
      <c r="G1777">
        <v>1</v>
      </c>
    </row>
    <row r="1778" spans="3:7" x14ac:dyDescent="0.15">
      <c r="C1778" s="43">
        <v>490</v>
      </c>
      <c r="D1778" s="42">
        <v>0.32620320855614976</v>
      </c>
      <c r="E1778" s="42">
        <v>0.9765625</v>
      </c>
      <c r="F1778" s="42">
        <v>0.32620320855614976</v>
      </c>
      <c r="G1778">
        <v>1</v>
      </c>
    </row>
    <row r="1779" spans="3:7" x14ac:dyDescent="0.15">
      <c r="C1779" s="43">
        <v>491</v>
      </c>
      <c r="D1779" s="42">
        <v>0.32709447415329768</v>
      </c>
      <c r="E1779" s="42">
        <v>0.9765625</v>
      </c>
      <c r="F1779" s="42">
        <v>0.32709447415329768</v>
      </c>
      <c r="G1779">
        <v>1</v>
      </c>
    </row>
    <row r="1780" spans="3:7" x14ac:dyDescent="0.15">
      <c r="C1780" s="43">
        <v>492</v>
      </c>
      <c r="D1780" s="42">
        <v>0.32798573975044565</v>
      </c>
      <c r="E1780" s="42">
        <v>0.9765625</v>
      </c>
      <c r="F1780" s="42">
        <v>0.32798573975044565</v>
      </c>
      <c r="G1780">
        <v>1</v>
      </c>
    </row>
    <row r="1781" spans="3:7" x14ac:dyDescent="0.15">
      <c r="C1781" s="43">
        <v>493</v>
      </c>
      <c r="D1781" s="42">
        <v>0.32887700534759357</v>
      </c>
      <c r="E1781" s="42">
        <v>0.9765625</v>
      </c>
      <c r="F1781" s="42">
        <v>0.32887700534759357</v>
      </c>
      <c r="G1781">
        <v>1</v>
      </c>
    </row>
    <row r="1782" spans="3:7" x14ac:dyDescent="0.15">
      <c r="C1782" s="43">
        <v>494</v>
      </c>
      <c r="D1782" s="42">
        <v>0.32976827094474154</v>
      </c>
      <c r="E1782" s="42">
        <v>0.9765625</v>
      </c>
      <c r="F1782" s="42">
        <v>0.32976827094474154</v>
      </c>
      <c r="G1782">
        <v>1</v>
      </c>
    </row>
    <row r="1783" spans="3:7" x14ac:dyDescent="0.15">
      <c r="C1783" s="43">
        <v>495</v>
      </c>
      <c r="D1783" s="42">
        <v>0.33065953654188951</v>
      </c>
      <c r="E1783" s="42">
        <v>0.9765625</v>
      </c>
      <c r="F1783" s="42">
        <v>0.33065953654188951</v>
      </c>
      <c r="G1783">
        <v>1</v>
      </c>
    </row>
    <row r="1784" spans="3:7" x14ac:dyDescent="0.15">
      <c r="C1784" s="43">
        <v>496</v>
      </c>
      <c r="D1784" s="42">
        <v>0.33155080213903743</v>
      </c>
      <c r="E1784" s="42">
        <v>0.9765625</v>
      </c>
      <c r="F1784" s="42">
        <v>0.33155080213903743</v>
      </c>
      <c r="G1784">
        <v>1</v>
      </c>
    </row>
    <row r="1785" spans="3:7" x14ac:dyDescent="0.15">
      <c r="C1785" s="43">
        <v>497</v>
      </c>
      <c r="D1785" s="42">
        <v>0.3324420677361854</v>
      </c>
      <c r="E1785" s="42">
        <v>0.9765625</v>
      </c>
      <c r="F1785" s="42">
        <v>0.3324420677361854</v>
      </c>
      <c r="G1785">
        <v>1</v>
      </c>
    </row>
    <row r="1786" spans="3:7" x14ac:dyDescent="0.15">
      <c r="C1786" s="43">
        <v>498</v>
      </c>
      <c r="D1786" s="42">
        <v>0.33333333333333331</v>
      </c>
      <c r="E1786" s="42">
        <v>0.9765625</v>
      </c>
      <c r="F1786" s="42">
        <v>0.33333333333333331</v>
      </c>
      <c r="G1786">
        <v>1</v>
      </c>
    </row>
    <row r="1787" spans="3:7" x14ac:dyDescent="0.15">
      <c r="C1787" s="43">
        <v>499</v>
      </c>
      <c r="D1787" s="42">
        <v>0.33422459893048129</v>
      </c>
      <c r="E1787" s="42">
        <v>0.9765625</v>
      </c>
      <c r="F1787" s="42">
        <v>0.33422459893048129</v>
      </c>
      <c r="G1787">
        <v>1</v>
      </c>
    </row>
    <row r="1788" spans="3:7" x14ac:dyDescent="0.15">
      <c r="C1788" s="43">
        <v>500</v>
      </c>
      <c r="D1788" s="42">
        <v>0.33511586452762926</v>
      </c>
      <c r="E1788" s="42">
        <v>0.9765625</v>
      </c>
      <c r="F1788" s="42">
        <v>0.33511586452762926</v>
      </c>
      <c r="G1788">
        <v>1</v>
      </c>
    </row>
    <row r="1789" spans="3:7" x14ac:dyDescent="0.15">
      <c r="C1789" s="43">
        <v>501</v>
      </c>
      <c r="D1789" s="42">
        <v>0.33600713012477718</v>
      </c>
      <c r="E1789" s="42">
        <v>0.9765625</v>
      </c>
      <c r="F1789" s="42">
        <v>0.33600713012477718</v>
      </c>
      <c r="G1789">
        <v>1</v>
      </c>
    </row>
    <row r="1790" spans="3:7" x14ac:dyDescent="0.15">
      <c r="C1790" s="43">
        <v>502</v>
      </c>
      <c r="D1790" s="42">
        <v>0.33689839572192515</v>
      </c>
      <c r="E1790" s="42">
        <v>0.9765625</v>
      </c>
      <c r="F1790" s="42">
        <v>0.33689839572192515</v>
      </c>
      <c r="G1790">
        <v>1</v>
      </c>
    </row>
    <row r="1791" spans="3:7" x14ac:dyDescent="0.15">
      <c r="C1791" s="43">
        <v>503</v>
      </c>
      <c r="D1791" s="42">
        <v>0.33778966131907306</v>
      </c>
      <c r="E1791" s="42">
        <v>0.9765625</v>
      </c>
      <c r="F1791" s="42">
        <v>0.33778966131907306</v>
      </c>
      <c r="G1791">
        <v>1</v>
      </c>
    </row>
    <row r="1792" spans="3:7" x14ac:dyDescent="0.15">
      <c r="C1792" s="43">
        <v>504</v>
      </c>
      <c r="D1792" s="42">
        <v>0.33868092691622104</v>
      </c>
      <c r="E1792" s="42">
        <v>0.9765625</v>
      </c>
      <c r="F1792" s="42">
        <v>0.33868092691622104</v>
      </c>
      <c r="G1792">
        <v>1</v>
      </c>
    </row>
    <row r="1793" spans="3:7" x14ac:dyDescent="0.15">
      <c r="C1793" s="43">
        <v>505</v>
      </c>
      <c r="D1793" s="42">
        <v>0.33957219251336901</v>
      </c>
      <c r="E1793" s="42">
        <v>0.9765625</v>
      </c>
      <c r="F1793" s="42">
        <v>0.33957219251336901</v>
      </c>
      <c r="G1793">
        <v>1</v>
      </c>
    </row>
    <row r="1794" spans="3:7" x14ac:dyDescent="0.15">
      <c r="C1794" s="43">
        <v>506</v>
      </c>
      <c r="D1794" s="42">
        <v>0.34046345811051693</v>
      </c>
      <c r="E1794" s="42">
        <v>0.9765625</v>
      </c>
      <c r="F1794" s="42">
        <v>0.34046345811051693</v>
      </c>
      <c r="G1794">
        <v>1</v>
      </c>
    </row>
    <row r="1795" spans="3:7" x14ac:dyDescent="0.15">
      <c r="C1795" s="43">
        <v>507</v>
      </c>
      <c r="D1795" s="42">
        <v>0.3413547237076649</v>
      </c>
      <c r="E1795" s="42">
        <v>0.9765625</v>
      </c>
      <c r="F1795" s="42">
        <v>0.3413547237076649</v>
      </c>
      <c r="G1795">
        <v>1</v>
      </c>
    </row>
    <row r="1796" spans="3:7" x14ac:dyDescent="0.15">
      <c r="C1796" s="43">
        <v>508</v>
      </c>
      <c r="D1796" s="42">
        <v>0.34224598930481281</v>
      </c>
      <c r="E1796" s="42">
        <v>0.9765625</v>
      </c>
      <c r="F1796" s="42">
        <v>0.34224598930481281</v>
      </c>
      <c r="G1796">
        <v>1</v>
      </c>
    </row>
    <row r="1797" spans="3:7" x14ac:dyDescent="0.15">
      <c r="C1797" s="43">
        <v>509</v>
      </c>
      <c r="D1797" s="42">
        <v>0.34313725490196079</v>
      </c>
      <c r="E1797" s="42">
        <v>0.9765625</v>
      </c>
      <c r="F1797" s="42">
        <v>0.34313725490196079</v>
      </c>
      <c r="G1797">
        <v>1</v>
      </c>
    </row>
    <row r="1798" spans="3:7" x14ac:dyDescent="0.15">
      <c r="C1798" s="43">
        <v>510</v>
      </c>
      <c r="D1798" s="42">
        <v>0.34402852049910876</v>
      </c>
      <c r="E1798" s="42">
        <v>0.9765625</v>
      </c>
      <c r="F1798" s="42">
        <v>0.34402852049910876</v>
      </c>
      <c r="G1798">
        <v>1</v>
      </c>
    </row>
    <row r="1799" spans="3:7" x14ac:dyDescent="0.15">
      <c r="C1799" s="43">
        <v>511</v>
      </c>
      <c r="D1799" s="42">
        <v>0.34491978609625668</v>
      </c>
      <c r="E1799" s="42">
        <v>0.9765625</v>
      </c>
      <c r="F1799" s="42">
        <v>0.34491978609625668</v>
      </c>
      <c r="G1799">
        <v>1</v>
      </c>
    </row>
    <row r="1800" spans="3:7" x14ac:dyDescent="0.15">
      <c r="C1800" s="43">
        <v>512</v>
      </c>
      <c r="D1800" s="42">
        <v>0.34581105169340465</v>
      </c>
      <c r="E1800" s="42">
        <v>0.9765625</v>
      </c>
      <c r="F1800" s="42">
        <v>0.34581105169340465</v>
      </c>
      <c r="G1800">
        <v>1</v>
      </c>
    </row>
    <row r="1801" spans="3:7" x14ac:dyDescent="0.15">
      <c r="C1801" s="43">
        <v>513</v>
      </c>
      <c r="D1801" s="42">
        <v>0.34670231729055256</v>
      </c>
      <c r="E1801" s="42">
        <v>0.9765625</v>
      </c>
      <c r="F1801" s="42">
        <v>0.34670231729055256</v>
      </c>
      <c r="G1801">
        <v>1</v>
      </c>
    </row>
    <row r="1802" spans="3:7" x14ac:dyDescent="0.15">
      <c r="C1802" s="43">
        <v>514</v>
      </c>
      <c r="D1802" s="42">
        <v>0.34759358288770054</v>
      </c>
      <c r="E1802" s="42">
        <v>0.9765625</v>
      </c>
      <c r="F1802" s="42">
        <v>0.34759358288770054</v>
      </c>
      <c r="G1802">
        <v>1</v>
      </c>
    </row>
    <row r="1803" spans="3:7" x14ac:dyDescent="0.15">
      <c r="C1803" s="43">
        <v>515</v>
      </c>
      <c r="D1803" s="42">
        <v>0.34848484848484851</v>
      </c>
      <c r="E1803" s="42">
        <v>0.9765625</v>
      </c>
      <c r="F1803" s="42">
        <v>0.34848484848484851</v>
      </c>
      <c r="G1803">
        <v>1</v>
      </c>
    </row>
    <row r="1804" spans="3:7" x14ac:dyDescent="0.15">
      <c r="C1804" s="43">
        <v>516</v>
      </c>
      <c r="D1804" s="42">
        <v>0.34937611408199643</v>
      </c>
      <c r="E1804" s="42">
        <v>0.9765625</v>
      </c>
      <c r="F1804" s="42">
        <v>0.34937611408199643</v>
      </c>
      <c r="G1804">
        <v>1</v>
      </c>
    </row>
    <row r="1805" spans="3:7" x14ac:dyDescent="0.15">
      <c r="C1805" s="43">
        <v>517</v>
      </c>
      <c r="D1805" s="42">
        <v>0.3502673796791444</v>
      </c>
      <c r="E1805" s="42">
        <v>0.9765625</v>
      </c>
      <c r="F1805" s="42">
        <v>0.3502673796791444</v>
      </c>
      <c r="G1805">
        <v>1</v>
      </c>
    </row>
    <row r="1806" spans="3:7" x14ac:dyDescent="0.15">
      <c r="C1806" s="43">
        <v>518</v>
      </c>
      <c r="D1806" s="42">
        <v>0.35115864527629231</v>
      </c>
      <c r="E1806" s="42">
        <v>0.9765625</v>
      </c>
      <c r="F1806" s="42">
        <v>0.35115864527629231</v>
      </c>
      <c r="G1806">
        <v>1</v>
      </c>
    </row>
    <row r="1807" spans="3:7" x14ac:dyDescent="0.15">
      <c r="C1807" s="43">
        <v>519</v>
      </c>
      <c r="D1807" s="42">
        <v>0.35204991087344029</v>
      </c>
      <c r="E1807" s="42">
        <v>0.9765625</v>
      </c>
      <c r="F1807" s="42">
        <v>0.35204991087344029</v>
      </c>
      <c r="G1807">
        <v>1</v>
      </c>
    </row>
    <row r="1808" spans="3:7" x14ac:dyDescent="0.15">
      <c r="C1808" s="43">
        <v>520</v>
      </c>
      <c r="D1808" s="42">
        <v>0.35294117647058826</v>
      </c>
      <c r="E1808" s="42">
        <v>0.9765625</v>
      </c>
      <c r="F1808" s="42">
        <v>0.35294117647058826</v>
      </c>
      <c r="G1808">
        <v>1</v>
      </c>
    </row>
    <row r="1809" spans="3:7" x14ac:dyDescent="0.15">
      <c r="C1809" s="43">
        <v>521</v>
      </c>
      <c r="D1809" s="42">
        <v>0.35383244206773617</v>
      </c>
      <c r="E1809" s="42">
        <v>0.9765625</v>
      </c>
      <c r="F1809" s="42">
        <v>0.35383244206773617</v>
      </c>
      <c r="G1809">
        <v>1</v>
      </c>
    </row>
    <row r="1810" spans="3:7" x14ac:dyDescent="0.15">
      <c r="C1810" s="43">
        <v>522</v>
      </c>
      <c r="D1810" s="42">
        <v>0.35472370766488415</v>
      </c>
      <c r="E1810" s="42">
        <v>0.9765625</v>
      </c>
      <c r="F1810" s="42">
        <v>0.35472370766488415</v>
      </c>
      <c r="G1810">
        <v>1</v>
      </c>
    </row>
    <row r="1811" spans="3:7" x14ac:dyDescent="0.15">
      <c r="C1811" s="43">
        <v>523</v>
      </c>
      <c r="D1811" s="42">
        <v>0.35561497326203206</v>
      </c>
      <c r="E1811" s="42">
        <v>0.9765625</v>
      </c>
      <c r="F1811" s="42">
        <v>0.35561497326203206</v>
      </c>
      <c r="G1811">
        <v>1</v>
      </c>
    </row>
    <row r="1812" spans="3:7" x14ac:dyDescent="0.15">
      <c r="C1812" s="43">
        <v>524</v>
      </c>
      <c r="D1812" s="42">
        <v>0.35650623885918004</v>
      </c>
      <c r="E1812" s="42">
        <v>0.9765625</v>
      </c>
      <c r="F1812" s="42">
        <v>0.35650623885918004</v>
      </c>
      <c r="G1812">
        <v>1</v>
      </c>
    </row>
    <row r="1813" spans="3:7" x14ac:dyDescent="0.15">
      <c r="C1813" s="43">
        <v>525</v>
      </c>
      <c r="D1813" s="42">
        <v>0.35739750445632801</v>
      </c>
      <c r="E1813" s="42">
        <v>0.9765625</v>
      </c>
      <c r="F1813" s="42">
        <v>0.35739750445632801</v>
      </c>
      <c r="G1813">
        <v>1</v>
      </c>
    </row>
    <row r="1814" spans="3:7" x14ac:dyDescent="0.15">
      <c r="C1814" s="43">
        <v>526</v>
      </c>
      <c r="D1814" s="42">
        <v>0.35828877005347592</v>
      </c>
      <c r="E1814" s="42">
        <v>0.9765625</v>
      </c>
      <c r="F1814" s="42">
        <v>0.35828877005347592</v>
      </c>
      <c r="G1814">
        <v>1</v>
      </c>
    </row>
    <row r="1815" spans="3:7" x14ac:dyDescent="0.15">
      <c r="C1815" s="43">
        <v>527</v>
      </c>
      <c r="D1815" s="42">
        <v>0.3591800356506239</v>
      </c>
      <c r="E1815" s="42">
        <v>0.9765625</v>
      </c>
      <c r="F1815" s="42">
        <v>0.3591800356506239</v>
      </c>
      <c r="G1815">
        <v>1</v>
      </c>
    </row>
    <row r="1816" spans="3:7" x14ac:dyDescent="0.15">
      <c r="C1816" s="43">
        <v>528</v>
      </c>
      <c r="D1816" s="42">
        <v>0.36007130124777181</v>
      </c>
      <c r="E1816" s="42">
        <v>0.9765625</v>
      </c>
      <c r="F1816" s="42">
        <v>0.36007130124777181</v>
      </c>
      <c r="G1816">
        <v>1</v>
      </c>
    </row>
    <row r="1817" spans="3:7" x14ac:dyDescent="0.15">
      <c r="C1817" s="43">
        <v>529</v>
      </c>
      <c r="D1817" s="42">
        <v>0.36096256684491979</v>
      </c>
      <c r="E1817" s="42">
        <v>0.9765625</v>
      </c>
      <c r="F1817" s="42">
        <v>0.36096256684491979</v>
      </c>
      <c r="G1817">
        <v>1</v>
      </c>
    </row>
    <row r="1818" spans="3:7" x14ac:dyDescent="0.15">
      <c r="C1818" s="43">
        <v>530</v>
      </c>
      <c r="D1818" s="42">
        <v>0.36185383244206776</v>
      </c>
      <c r="E1818" s="42">
        <v>0.9765625</v>
      </c>
      <c r="F1818" s="42">
        <v>0.36185383244206776</v>
      </c>
      <c r="G1818">
        <v>1</v>
      </c>
    </row>
    <row r="1819" spans="3:7" x14ac:dyDescent="0.15">
      <c r="C1819" s="43">
        <v>531</v>
      </c>
      <c r="D1819" s="42">
        <v>0.36274509803921567</v>
      </c>
      <c r="E1819" s="42">
        <v>0.9765625</v>
      </c>
      <c r="F1819" s="42">
        <v>0.36274509803921567</v>
      </c>
      <c r="G1819">
        <v>1</v>
      </c>
    </row>
    <row r="1820" spans="3:7" x14ac:dyDescent="0.15">
      <c r="C1820" s="43">
        <v>532</v>
      </c>
      <c r="D1820" s="42">
        <v>0.36363636363636365</v>
      </c>
      <c r="E1820" s="42">
        <v>0.9765625</v>
      </c>
      <c r="F1820" s="42">
        <v>0.36363636363636365</v>
      </c>
      <c r="G1820">
        <v>1</v>
      </c>
    </row>
    <row r="1821" spans="3:7" x14ac:dyDescent="0.15">
      <c r="C1821" s="43">
        <v>533</v>
      </c>
      <c r="D1821" s="42">
        <v>0.36452762923351156</v>
      </c>
      <c r="E1821" s="42">
        <v>0.9765625</v>
      </c>
      <c r="F1821" s="42">
        <v>0.36452762923351156</v>
      </c>
      <c r="G1821">
        <v>1</v>
      </c>
    </row>
    <row r="1822" spans="3:7" x14ac:dyDescent="0.15">
      <c r="C1822" s="43">
        <v>534</v>
      </c>
      <c r="D1822" s="42">
        <v>0.36541889483065954</v>
      </c>
      <c r="E1822" s="42">
        <v>0.9765625</v>
      </c>
      <c r="F1822" s="42">
        <v>0.36541889483065954</v>
      </c>
      <c r="G1822">
        <v>1</v>
      </c>
    </row>
    <row r="1823" spans="3:7" x14ac:dyDescent="0.15">
      <c r="C1823" s="43">
        <v>535</v>
      </c>
      <c r="D1823" s="42">
        <v>0.36631016042780751</v>
      </c>
      <c r="E1823" s="42">
        <v>0.9765625</v>
      </c>
      <c r="F1823" s="42">
        <v>0.36631016042780751</v>
      </c>
      <c r="G1823">
        <v>1</v>
      </c>
    </row>
    <row r="1824" spans="3:7" x14ac:dyDescent="0.15">
      <c r="C1824" s="43">
        <v>536</v>
      </c>
      <c r="D1824" s="42">
        <v>0.36720142602495542</v>
      </c>
      <c r="E1824" s="42">
        <v>0.9765625</v>
      </c>
      <c r="F1824" s="42">
        <v>0.36720142602495542</v>
      </c>
      <c r="G1824">
        <v>1</v>
      </c>
    </row>
    <row r="1825" spans="3:7" x14ac:dyDescent="0.15">
      <c r="C1825" s="43">
        <v>537</v>
      </c>
      <c r="D1825" s="42">
        <v>0.3680926916221034</v>
      </c>
      <c r="E1825" s="42">
        <v>0.9765625</v>
      </c>
      <c r="F1825" s="42">
        <v>0.3680926916221034</v>
      </c>
      <c r="G1825">
        <v>1</v>
      </c>
    </row>
    <row r="1826" spans="3:7" x14ac:dyDescent="0.15">
      <c r="C1826" s="43">
        <v>538</v>
      </c>
      <c r="D1826" s="42">
        <v>0.36898395721925131</v>
      </c>
      <c r="E1826" s="42">
        <v>0.9765625</v>
      </c>
      <c r="F1826" s="42">
        <v>0.36898395721925131</v>
      </c>
      <c r="G1826">
        <v>1</v>
      </c>
    </row>
    <row r="1827" spans="3:7" x14ac:dyDescent="0.15">
      <c r="C1827" s="43">
        <v>539</v>
      </c>
      <c r="D1827" s="42">
        <v>0.36987522281639929</v>
      </c>
      <c r="E1827" s="42">
        <v>0.9765625</v>
      </c>
      <c r="F1827" s="42">
        <v>0.36987522281639929</v>
      </c>
      <c r="G1827">
        <v>1</v>
      </c>
    </row>
    <row r="1828" spans="3:7" x14ac:dyDescent="0.15">
      <c r="C1828" s="43">
        <v>540</v>
      </c>
      <c r="D1828" s="42">
        <v>0.37076648841354726</v>
      </c>
      <c r="E1828" s="42">
        <v>0.9765625</v>
      </c>
      <c r="F1828" s="42">
        <v>0.37076648841354726</v>
      </c>
      <c r="G1828">
        <v>1</v>
      </c>
    </row>
    <row r="1829" spans="3:7" x14ac:dyDescent="0.15">
      <c r="C1829" s="43">
        <v>541</v>
      </c>
      <c r="D1829" s="42">
        <v>0.37165775401069517</v>
      </c>
      <c r="E1829" s="42">
        <v>0.9765625</v>
      </c>
      <c r="F1829" s="42">
        <v>0.37165775401069517</v>
      </c>
      <c r="G1829">
        <v>1</v>
      </c>
    </row>
    <row r="1830" spans="3:7" x14ac:dyDescent="0.15">
      <c r="C1830" s="43">
        <v>542</v>
      </c>
      <c r="D1830" s="42">
        <v>0.37254901960784315</v>
      </c>
      <c r="E1830" s="42">
        <v>0.9765625</v>
      </c>
      <c r="F1830" s="42">
        <v>0.37254901960784315</v>
      </c>
      <c r="G1830">
        <v>1</v>
      </c>
    </row>
    <row r="1831" spans="3:7" x14ac:dyDescent="0.15">
      <c r="C1831" s="43">
        <v>543</v>
      </c>
      <c r="D1831" s="42">
        <v>0.37344028520499106</v>
      </c>
      <c r="E1831" s="42">
        <v>0.9765625</v>
      </c>
      <c r="F1831" s="42">
        <v>0.37344028520499106</v>
      </c>
      <c r="G1831">
        <v>1</v>
      </c>
    </row>
    <row r="1832" spans="3:7" x14ac:dyDescent="0.15">
      <c r="C1832" s="43">
        <v>544</v>
      </c>
      <c r="D1832" s="42">
        <v>0.37433155080213903</v>
      </c>
      <c r="E1832" s="42">
        <v>0.9765625</v>
      </c>
      <c r="F1832" s="42">
        <v>0.37433155080213903</v>
      </c>
      <c r="G1832">
        <v>1</v>
      </c>
    </row>
    <row r="1833" spans="3:7" x14ac:dyDescent="0.15">
      <c r="C1833" s="43">
        <v>545</v>
      </c>
      <c r="D1833" s="42">
        <v>0.37522281639928701</v>
      </c>
      <c r="E1833" s="42">
        <v>0.9765625</v>
      </c>
      <c r="F1833" s="42">
        <v>0.37522281639928701</v>
      </c>
      <c r="G1833">
        <v>1</v>
      </c>
    </row>
    <row r="1834" spans="3:7" x14ac:dyDescent="0.15">
      <c r="C1834" s="43">
        <v>546</v>
      </c>
      <c r="D1834" s="42">
        <v>0.37611408199643492</v>
      </c>
      <c r="E1834" s="42">
        <v>0.9765625</v>
      </c>
      <c r="F1834" s="42">
        <v>0.37611408199643492</v>
      </c>
      <c r="G1834">
        <v>1</v>
      </c>
    </row>
    <row r="1835" spans="3:7" x14ac:dyDescent="0.15">
      <c r="C1835" s="43">
        <v>547</v>
      </c>
      <c r="D1835" s="42">
        <v>0.3770053475935829</v>
      </c>
      <c r="E1835" s="42">
        <v>0.9765625</v>
      </c>
      <c r="F1835" s="42">
        <v>0.3770053475935829</v>
      </c>
      <c r="G1835">
        <v>1</v>
      </c>
    </row>
    <row r="1836" spans="3:7" x14ac:dyDescent="0.15">
      <c r="C1836" s="43">
        <v>548</v>
      </c>
      <c r="D1836" s="42">
        <v>0.37789661319073081</v>
      </c>
      <c r="E1836" s="42">
        <v>0.9765625</v>
      </c>
      <c r="F1836" s="42">
        <v>0.37789661319073081</v>
      </c>
      <c r="G1836">
        <v>1</v>
      </c>
    </row>
    <row r="1837" spans="3:7" x14ac:dyDescent="0.15">
      <c r="C1837" s="43">
        <v>549</v>
      </c>
      <c r="D1837" s="42">
        <v>0.37878787878787878</v>
      </c>
      <c r="E1837" s="42">
        <v>0.9765625</v>
      </c>
      <c r="F1837" s="42">
        <v>0.37878787878787878</v>
      </c>
      <c r="G1837">
        <v>1</v>
      </c>
    </row>
    <row r="1838" spans="3:7" x14ac:dyDescent="0.15">
      <c r="C1838" s="43">
        <v>550</v>
      </c>
      <c r="D1838" s="42">
        <v>0.37967914438502676</v>
      </c>
      <c r="E1838" s="42">
        <v>0.9765625</v>
      </c>
      <c r="F1838" s="42">
        <v>0.37967914438502676</v>
      </c>
      <c r="G1838">
        <v>1</v>
      </c>
    </row>
    <row r="1839" spans="3:7" x14ac:dyDescent="0.15">
      <c r="C1839" s="43">
        <v>551</v>
      </c>
      <c r="D1839" s="42">
        <v>0.38057040998217467</v>
      </c>
      <c r="E1839" s="42">
        <v>0.9765625</v>
      </c>
      <c r="F1839" s="42">
        <v>0.38057040998217467</v>
      </c>
      <c r="G1839">
        <v>1</v>
      </c>
    </row>
    <row r="1840" spans="3:7" x14ac:dyDescent="0.15">
      <c r="C1840" s="43">
        <v>552</v>
      </c>
      <c r="D1840" s="42">
        <v>0.38146167557932265</v>
      </c>
      <c r="E1840" s="42">
        <v>0.9765625</v>
      </c>
      <c r="F1840" s="42">
        <v>0.38146167557932265</v>
      </c>
      <c r="G1840">
        <v>1</v>
      </c>
    </row>
    <row r="1841" spans="3:7" x14ac:dyDescent="0.15">
      <c r="C1841" s="43">
        <v>553</v>
      </c>
      <c r="D1841" s="42">
        <v>0.38235294117647056</v>
      </c>
      <c r="E1841" s="42">
        <v>0.9765625</v>
      </c>
      <c r="F1841" s="42">
        <v>0.38235294117647056</v>
      </c>
      <c r="G1841">
        <v>1</v>
      </c>
    </row>
    <row r="1842" spans="3:7" x14ac:dyDescent="0.15">
      <c r="C1842" s="43">
        <v>554</v>
      </c>
      <c r="D1842" s="42">
        <v>0.38324420677361853</v>
      </c>
      <c r="E1842" s="42">
        <v>0.9765625</v>
      </c>
      <c r="F1842" s="42">
        <v>0.38324420677361853</v>
      </c>
      <c r="G1842">
        <v>1</v>
      </c>
    </row>
    <row r="1843" spans="3:7" x14ac:dyDescent="0.15">
      <c r="C1843" s="43">
        <v>555</v>
      </c>
      <c r="D1843" s="42">
        <v>0.38413547237076651</v>
      </c>
      <c r="E1843" s="42">
        <v>0.9765625</v>
      </c>
      <c r="F1843" s="42">
        <v>0.38413547237076651</v>
      </c>
      <c r="G1843">
        <v>1</v>
      </c>
    </row>
    <row r="1844" spans="3:7" x14ac:dyDescent="0.15">
      <c r="C1844" s="43">
        <v>556</v>
      </c>
      <c r="D1844" s="42">
        <v>0.38502673796791442</v>
      </c>
      <c r="E1844" s="42">
        <v>0.9765625</v>
      </c>
      <c r="F1844" s="42">
        <v>0.38502673796791442</v>
      </c>
      <c r="G1844">
        <v>1</v>
      </c>
    </row>
    <row r="1845" spans="3:7" x14ac:dyDescent="0.15">
      <c r="C1845" s="43">
        <v>557</v>
      </c>
      <c r="D1845" s="42">
        <v>0.3859180035650624</v>
      </c>
      <c r="E1845" s="42">
        <v>0.9765625</v>
      </c>
      <c r="F1845" s="42">
        <v>0.3859180035650624</v>
      </c>
      <c r="G1845">
        <v>1</v>
      </c>
    </row>
    <row r="1846" spans="3:7" x14ac:dyDescent="0.15">
      <c r="C1846" s="43">
        <v>558</v>
      </c>
      <c r="D1846" s="42">
        <v>0.38680926916221031</v>
      </c>
      <c r="E1846" s="42">
        <v>0.9765625</v>
      </c>
      <c r="F1846" s="42">
        <v>0.38680926916221031</v>
      </c>
      <c r="G1846">
        <v>1</v>
      </c>
    </row>
    <row r="1847" spans="3:7" x14ac:dyDescent="0.15">
      <c r="C1847" s="43">
        <v>559</v>
      </c>
      <c r="D1847" s="42">
        <v>0.38680926916221031</v>
      </c>
      <c r="E1847" s="42">
        <v>0.984375</v>
      </c>
      <c r="F1847" s="42">
        <v>0.38680926916221031</v>
      </c>
      <c r="G1847">
        <v>1</v>
      </c>
    </row>
    <row r="1848" spans="3:7" x14ac:dyDescent="0.15">
      <c r="C1848" s="43">
        <v>560</v>
      </c>
      <c r="D1848" s="42">
        <v>0.38770053475935828</v>
      </c>
      <c r="E1848" s="42">
        <v>0.984375</v>
      </c>
      <c r="F1848" s="42">
        <v>0.38770053475935828</v>
      </c>
      <c r="G1848">
        <v>1</v>
      </c>
    </row>
    <row r="1849" spans="3:7" x14ac:dyDescent="0.15">
      <c r="C1849" s="43">
        <v>561</v>
      </c>
      <c r="D1849" s="42">
        <v>0.38859180035650626</v>
      </c>
      <c r="E1849" s="42">
        <v>0.984375</v>
      </c>
      <c r="F1849" s="42">
        <v>0.38859180035650626</v>
      </c>
      <c r="G1849">
        <v>1</v>
      </c>
    </row>
    <row r="1850" spans="3:7" x14ac:dyDescent="0.15">
      <c r="C1850" s="43">
        <v>562</v>
      </c>
      <c r="D1850" s="42">
        <v>0.38948306595365417</v>
      </c>
      <c r="E1850" s="42">
        <v>0.984375</v>
      </c>
      <c r="F1850" s="42">
        <v>0.38948306595365417</v>
      </c>
      <c r="G1850">
        <v>1</v>
      </c>
    </row>
    <row r="1851" spans="3:7" x14ac:dyDescent="0.15">
      <c r="C1851" s="43">
        <v>563</v>
      </c>
      <c r="D1851" s="42">
        <v>0.39037433155080214</v>
      </c>
      <c r="E1851" s="42">
        <v>0.984375</v>
      </c>
      <c r="F1851" s="42">
        <v>0.39037433155080214</v>
      </c>
      <c r="G1851">
        <v>1</v>
      </c>
    </row>
    <row r="1852" spans="3:7" x14ac:dyDescent="0.15">
      <c r="C1852" s="43">
        <v>564</v>
      </c>
      <c r="D1852" s="42">
        <v>0.39126559714795006</v>
      </c>
      <c r="E1852" s="42">
        <v>0.984375</v>
      </c>
      <c r="F1852" s="42">
        <v>0.39126559714795006</v>
      </c>
      <c r="G1852">
        <v>1</v>
      </c>
    </row>
    <row r="1853" spans="3:7" x14ac:dyDescent="0.15">
      <c r="C1853" s="43">
        <v>565</v>
      </c>
      <c r="D1853" s="42">
        <v>0.39215686274509803</v>
      </c>
      <c r="E1853" s="42">
        <v>0.984375</v>
      </c>
      <c r="F1853" s="42">
        <v>0.39215686274509803</v>
      </c>
      <c r="G1853">
        <v>1</v>
      </c>
    </row>
    <row r="1854" spans="3:7" x14ac:dyDescent="0.15">
      <c r="C1854" s="43">
        <v>566</v>
      </c>
      <c r="D1854" s="42">
        <v>0.39304812834224601</v>
      </c>
      <c r="E1854" s="42">
        <v>0.984375</v>
      </c>
      <c r="F1854" s="42">
        <v>0.39304812834224601</v>
      </c>
      <c r="G1854">
        <v>1</v>
      </c>
    </row>
    <row r="1855" spans="3:7" x14ac:dyDescent="0.15">
      <c r="C1855" s="43">
        <v>567</v>
      </c>
      <c r="D1855" s="42">
        <v>0.39393939393939392</v>
      </c>
      <c r="E1855" s="42">
        <v>0.984375</v>
      </c>
      <c r="F1855" s="42">
        <v>0.39393939393939392</v>
      </c>
      <c r="G1855">
        <v>1</v>
      </c>
    </row>
    <row r="1856" spans="3:7" x14ac:dyDescent="0.15">
      <c r="C1856" s="43">
        <v>568</v>
      </c>
      <c r="D1856" s="42">
        <v>0.39483065953654189</v>
      </c>
      <c r="E1856" s="42">
        <v>0.984375</v>
      </c>
      <c r="F1856" s="42">
        <v>0.39483065953654189</v>
      </c>
      <c r="G1856">
        <v>1</v>
      </c>
    </row>
    <row r="1857" spans="3:7" x14ac:dyDescent="0.15">
      <c r="C1857" s="43">
        <v>569</v>
      </c>
      <c r="D1857" s="42">
        <v>0.39572192513368987</v>
      </c>
      <c r="E1857" s="42">
        <v>0.984375</v>
      </c>
      <c r="F1857" s="42">
        <v>0.39572192513368987</v>
      </c>
      <c r="G1857">
        <v>1</v>
      </c>
    </row>
    <row r="1858" spans="3:7" x14ac:dyDescent="0.15">
      <c r="C1858" s="43">
        <v>570</v>
      </c>
      <c r="D1858" s="42">
        <v>0.39661319073083778</v>
      </c>
      <c r="E1858" s="42">
        <v>0.984375</v>
      </c>
      <c r="F1858" s="42">
        <v>0.39661319073083778</v>
      </c>
      <c r="G1858">
        <v>1</v>
      </c>
    </row>
    <row r="1859" spans="3:7" x14ac:dyDescent="0.15">
      <c r="C1859" s="43">
        <v>571</v>
      </c>
      <c r="D1859" s="42">
        <v>0.39750445632798576</v>
      </c>
      <c r="E1859" s="42">
        <v>0.984375</v>
      </c>
      <c r="F1859" s="42">
        <v>0.39750445632798576</v>
      </c>
      <c r="G1859">
        <v>1</v>
      </c>
    </row>
    <row r="1860" spans="3:7" x14ac:dyDescent="0.15">
      <c r="C1860" s="43">
        <v>572</v>
      </c>
      <c r="D1860" s="42">
        <v>0.39839572192513367</v>
      </c>
      <c r="E1860" s="42">
        <v>0.984375</v>
      </c>
      <c r="F1860" s="42">
        <v>0.39839572192513367</v>
      </c>
      <c r="G1860">
        <v>1</v>
      </c>
    </row>
    <row r="1861" spans="3:7" x14ac:dyDescent="0.15">
      <c r="C1861" s="43">
        <v>573</v>
      </c>
      <c r="D1861" s="42">
        <v>0.39928698752228164</v>
      </c>
      <c r="E1861" s="42">
        <v>0.984375</v>
      </c>
      <c r="F1861" s="42">
        <v>0.39928698752228164</v>
      </c>
      <c r="G1861">
        <v>1</v>
      </c>
    </row>
    <row r="1862" spans="3:7" x14ac:dyDescent="0.15">
      <c r="C1862" s="43">
        <v>574</v>
      </c>
      <c r="D1862" s="42">
        <v>0.40017825311942962</v>
      </c>
      <c r="E1862" s="42">
        <v>0.984375</v>
      </c>
      <c r="F1862" s="42">
        <v>0.40017825311942962</v>
      </c>
      <c r="G1862">
        <v>1</v>
      </c>
    </row>
    <row r="1863" spans="3:7" x14ac:dyDescent="0.15">
      <c r="C1863" s="43">
        <v>575</v>
      </c>
      <c r="D1863" s="42">
        <v>0.40106951871657753</v>
      </c>
      <c r="E1863" s="42">
        <v>0.984375</v>
      </c>
      <c r="F1863" s="42">
        <v>0.40106951871657753</v>
      </c>
      <c r="G1863">
        <v>1</v>
      </c>
    </row>
    <row r="1864" spans="3:7" x14ac:dyDescent="0.15">
      <c r="C1864" s="43">
        <v>576</v>
      </c>
      <c r="D1864" s="42">
        <v>0.40196078431372551</v>
      </c>
      <c r="E1864" s="42">
        <v>0.984375</v>
      </c>
      <c r="F1864" s="42">
        <v>0.40196078431372551</v>
      </c>
      <c r="G1864">
        <v>1</v>
      </c>
    </row>
    <row r="1865" spans="3:7" x14ac:dyDescent="0.15">
      <c r="C1865" s="43">
        <v>577</v>
      </c>
      <c r="D1865" s="42">
        <v>0.40285204991087342</v>
      </c>
      <c r="E1865" s="42">
        <v>0.984375</v>
      </c>
      <c r="F1865" s="42">
        <v>0.40285204991087342</v>
      </c>
      <c r="G1865">
        <v>1</v>
      </c>
    </row>
    <row r="1866" spans="3:7" x14ac:dyDescent="0.15">
      <c r="C1866" s="43">
        <v>578</v>
      </c>
      <c r="D1866" s="42">
        <v>0.40374331550802139</v>
      </c>
      <c r="E1866" s="42">
        <v>0.984375</v>
      </c>
      <c r="F1866" s="42">
        <v>0.40374331550802139</v>
      </c>
      <c r="G1866">
        <v>1</v>
      </c>
    </row>
    <row r="1867" spans="3:7" x14ac:dyDescent="0.15">
      <c r="C1867" s="43">
        <v>579</v>
      </c>
      <c r="D1867" s="42">
        <v>0.40463458110516937</v>
      </c>
      <c r="E1867" s="42">
        <v>0.984375</v>
      </c>
      <c r="F1867" s="42">
        <v>0.40463458110516937</v>
      </c>
      <c r="G1867">
        <v>1</v>
      </c>
    </row>
    <row r="1868" spans="3:7" x14ac:dyDescent="0.15">
      <c r="C1868" s="43">
        <v>580</v>
      </c>
      <c r="D1868" s="42">
        <v>0.40552584670231728</v>
      </c>
      <c r="E1868" s="42">
        <v>0.984375</v>
      </c>
      <c r="F1868" s="42">
        <v>0.40552584670231728</v>
      </c>
      <c r="G1868">
        <v>1</v>
      </c>
    </row>
    <row r="1869" spans="3:7" x14ac:dyDescent="0.15">
      <c r="C1869" s="43">
        <v>581</v>
      </c>
      <c r="D1869" s="42">
        <v>0.40641711229946526</v>
      </c>
      <c r="E1869" s="42">
        <v>0.984375</v>
      </c>
      <c r="F1869" s="42">
        <v>0.40641711229946526</v>
      </c>
      <c r="G1869">
        <v>1</v>
      </c>
    </row>
    <row r="1870" spans="3:7" x14ac:dyDescent="0.15">
      <c r="C1870" s="43">
        <v>582</v>
      </c>
      <c r="D1870" s="42">
        <v>0.40730837789661317</v>
      </c>
      <c r="E1870" s="42">
        <v>0.984375</v>
      </c>
      <c r="F1870" s="42">
        <v>0.40730837789661317</v>
      </c>
      <c r="G1870">
        <v>1</v>
      </c>
    </row>
    <row r="1871" spans="3:7" x14ac:dyDescent="0.15">
      <c r="C1871" s="43">
        <v>583</v>
      </c>
      <c r="D1871" s="42">
        <v>0.40819964349376114</v>
      </c>
      <c r="E1871" s="42">
        <v>0.984375</v>
      </c>
      <c r="F1871" s="42">
        <v>0.40819964349376114</v>
      </c>
      <c r="G1871">
        <v>1</v>
      </c>
    </row>
    <row r="1872" spans="3:7" x14ac:dyDescent="0.15">
      <c r="C1872" s="43">
        <v>584</v>
      </c>
      <c r="D1872" s="42">
        <v>0.40909090909090912</v>
      </c>
      <c r="E1872" s="42">
        <v>0.984375</v>
      </c>
      <c r="F1872" s="42">
        <v>0.40909090909090912</v>
      </c>
      <c r="G1872">
        <v>1</v>
      </c>
    </row>
    <row r="1873" spans="3:7" x14ac:dyDescent="0.15">
      <c r="C1873" s="43">
        <v>585</v>
      </c>
      <c r="D1873" s="42">
        <v>0.40998217468805703</v>
      </c>
      <c r="E1873" s="42">
        <v>0.984375</v>
      </c>
      <c r="F1873" s="42">
        <v>0.40998217468805703</v>
      </c>
      <c r="G1873">
        <v>1</v>
      </c>
    </row>
    <row r="1874" spans="3:7" x14ac:dyDescent="0.15">
      <c r="C1874" s="43">
        <v>586</v>
      </c>
      <c r="D1874" s="42">
        <v>0.410873440285205</v>
      </c>
      <c r="E1874" s="42">
        <v>0.984375</v>
      </c>
      <c r="F1874" s="42">
        <v>0.410873440285205</v>
      </c>
      <c r="G1874">
        <v>1</v>
      </c>
    </row>
    <row r="1875" spans="3:7" x14ac:dyDescent="0.15">
      <c r="C1875" s="43">
        <v>587</v>
      </c>
      <c r="D1875" s="42">
        <v>0.41176470588235292</v>
      </c>
      <c r="E1875" s="42">
        <v>0.984375</v>
      </c>
      <c r="F1875" s="42">
        <v>0.41176470588235292</v>
      </c>
      <c r="G1875">
        <v>1</v>
      </c>
    </row>
    <row r="1876" spans="3:7" x14ac:dyDescent="0.15">
      <c r="C1876" s="43">
        <v>588</v>
      </c>
      <c r="D1876" s="42">
        <v>0.41265597147950089</v>
      </c>
      <c r="E1876" s="42">
        <v>0.984375</v>
      </c>
      <c r="F1876" s="42">
        <v>0.41265597147950089</v>
      </c>
      <c r="G1876">
        <v>1</v>
      </c>
    </row>
    <row r="1877" spans="3:7" x14ac:dyDescent="0.15">
      <c r="C1877" s="43">
        <v>589</v>
      </c>
      <c r="D1877" s="42">
        <v>0.41354723707664887</v>
      </c>
      <c r="E1877" s="42">
        <v>0.984375</v>
      </c>
      <c r="F1877" s="42">
        <v>0.41354723707664887</v>
      </c>
      <c r="G1877">
        <v>1</v>
      </c>
    </row>
    <row r="1878" spans="3:7" x14ac:dyDescent="0.15">
      <c r="C1878" s="43">
        <v>590</v>
      </c>
      <c r="D1878" s="42">
        <v>0.41443850267379678</v>
      </c>
      <c r="E1878" s="42">
        <v>0.984375</v>
      </c>
      <c r="F1878" s="42">
        <v>0.41443850267379678</v>
      </c>
      <c r="G1878">
        <v>1</v>
      </c>
    </row>
    <row r="1879" spans="3:7" x14ac:dyDescent="0.15">
      <c r="C1879" s="43">
        <v>591</v>
      </c>
      <c r="D1879" s="42">
        <v>0.41532976827094475</v>
      </c>
      <c r="E1879" s="42">
        <v>0.984375</v>
      </c>
      <c r="F1879" s="42">
        <v>0.41532976827094475</v>
      </c>
      <c r="G1879">
        <v>1</v>
      </c>
    </row>
    <row r="1880" spans="3:7" x14ac:dyDescent="0.15">
      <c r="C1880" s="43">
        <v>592</v>
      </c>
      <c r="D1880" s="42">
        <v>0.41622103386809267</v>
      </c>
      <c r="E1880" s="42">
        <v>0.984375</v>
      </c>
      <c r="F1880" s="42">
        <v>0.41622103386809267</v>
      </c>
      <c r="G1880">
        <v>1</v>
      </c>
    </row>
    <row r="1881" spans="3:7" x14ac:dyDescent="0.15">
      <c r="C1881" s="43">
        <v>593</v>
      </c>
      <c r="D1881" s="42">
        <v>0.41711229946524064</v>
      </c>
      <c r="E1881" s="42">
        <v>0.984375</v>
      </c>
      <c r="F1881" s="42">
        <v>0.41711229946524064</v>
      </c>
      <c r="G1881">
        <v>1</v>
      </c>
    </row>
    <row r="1882" spans="3:7" x14ac:dyDescent="0.15">
      <c r="C1882" s="43">
        <v>594</v>
      </c>
      <c r="D1882" s="42">
        <v>0.41800356506238862</v>
      </c>
      <c r="E1882" s="42">
        <v>0.984375</v>
      </c>
      <c r="F1882" s="42">
        <v>0.41800356506238862</v>
      </c>
      <c r="G1882">
        <v>1</v>
      </c>
    </row>
    <row r="1883" spans="3:7" x14ac:dyDescent="0.15">
      <c r="C1883" s="43">
        <v>595</v>
      </c>
      <c r="D1883" s="42">
        <v>0.41889483065953653</v>
      </c>
      <c r="E1883" s="42">
        <v>0.984375</v>
      </c>
      <c r="F1883" s="42">
        <v>0.41889483065953653</v>
      </c>
      <c r="G1883">
        <v>1</v>
      </c>
    </row>
    <row r="1884" spans="3:7" x14ac:dyDescent="0.15">
      <c r="C1884" s="43">
        <v>596</v>
      </c>
      <c r="D1884" s="42">
        <v>0.4197860962566845</v>
      </c>
      <c r="E1884" s="42">
        <v>0.984375</v>
      </c>
      <c r="F1884" s="42">
        <v>0.4197860962566845</v>
      </c>
      <c r="G1884">
        <v>1</v>
      </c>
    </row>
    <row r="1885" spans="3:7" x14ac:dyDescent="0.15">
      <c r="C1885" s="43">
        <v>597</v>
      </c>
      <c r="D1885" s="42">
        <v>0.42067736185383242</v>
      </c>
      <c r="E1885" s="42">
        <v>0.984375</v>
      </c>
      <c r="F1885" s="42">
        <v>0.42067736185383242</v>
      </c>
      <c r="G1885">
        <v>1</v>
      </c>
    </row>
    <row r="1886" spans="3:7" x14ac:dyDescent="0.15">
      <c r="C1886" s="43">
        <v>598</v>
      </c>
      <c r="D1886" s="42">
        <v>0.42156862745098039</v>
      </c>
      <c r="E1886" s="42">
        <v>0.984375</v>
      </c>
      <c r="F1886" s="42">
        <v>0.42156862745098039</v>
      </c>
      <c r="G1886">
        <v>1</v>
      </c>
    </row>
    <row r="1887" spans="3:7" x14ac:dyDescent="0.15">
      <c r="C1887" s="43">
        <v>599</v>
      </c>
      <c r="D1887" s="42">
        <v>0.42245989304812837</v>
      </c>
      <c r="E1887" s="42">
        <v>0.984375</v>
      </c>
      <c r="F1887" s="42">
        <v>0.42245989304812837</v>
      </c>
      <c r="G1887">
        <v>1</v>
      </c>
    </row>
    <row r="1888" spans="3:7" x14ac:dyDescent="0.15">
      <c r="C1888" s="43">
        <v>600</v>
      </c>
      <c r="D1888" s="42">
        <v>0.42335115864527628</v>
      </c>
      <c r="E1888" s="42">
        <v>0.984375</v>
      </c>
      <c r="F1888" s="42">
        <v>0.42335115864527628</v>
      </c>
      <c r="G1888">
        <v>1</v>
      </c>
    </row>
    <row r="1889" spans="3:7" x14ac:dyDescent="0.15">
      <c r="C1889" s="43">
        <v>601</v>
      </c>
      <c r="D1889" s="42">
        <v>0.42424242424242425</v>
      </c>
      <c r="E1889" s="42">
        <v>0.984375</v>
      </c>
      <c r="F1889" s="42">
        <v>0.42424242424242425</v>
      </c>
      <c r="G1889">
        <v>1</v>
      </c>
    </row>
    <row r="1890" spans="3:7" x14ac:dyDescent="0.15">
      <c r="C1890" s="43">
        <v>602</v>
      </c>
      <c r="D1890" s="42">
        <v>0.42513368983957217</v>
      </c>
      <c r="E1890" s="42">
        <v>0.984375</v>
      </c>
      <c r="F1890" s="42">
        <v>0.42513368983957217</v>
      </c>
      <c r="G1890">
        <v>1</v>
      </c>
    </row>
    <row r="1891" spans="3:7" x14ac:dyDescent="0.15">
      <c r="C1891" s="43">
        <v>603</v>
      </c>
      <c r="D1891" s="42">
        <v>0.42602495543672014</v>
      </c>
      <c r="E1891" s="42">
        <v>0.984375</v>
      </c>
      <c r="F1891" s="42">
        <v>0.42602495543672014</v>
      </c>
      <c r="G1891">
        <v>1</v>
      </c>
    </row>
    <row r="1892" spans="3:7" x14ac:dyDescent="0.15">
      <c r="C1892" s="43">
        <v>604</v>
      </c>
      <c r="D1892" s="42">
        <v>0.42691622103386812</v>
      </c>
      <c r="E1892" s="42">
        <v>0.984375</v>
      </c>
      <c r="F1892" s="42">
        <v>0.42691622103386812</v>
      </c>
      <c r="G1892">
        <v>1</v>
      </c>
    </row>
    <row r="1893" spans="3:7" x14ac:dyDescent="0.15">
      <c r="C1893" s="43">
        <v>605</v>
      </c>
      <c r="D1893" s="42">
        <v>0.42780748663101603</v>
      </c>
      <c r="E1893" s="42">
        <v>0.984375</v>
      </c>
      <c r="F1893" s="42">
        <v>0.42780748663101603</v>
      </c>
      <c r="G1893">
        <v>1</v>
      </c>
    </row>
    <row r="1894" spans="3:7" x14ac:dyDescent="0.15">
      <c r="C1894" s="43">
        <v>606</v>
      </c>
      <c r="D1894" s="42">
        <v>0.428698752228164</v>
      </c>
      <c r="E1894" s="42">
        <v>0.984375</v>
      </c>
      <c r="F1894" s="42">
        <v>0.428698752228164</v>
      </c>
      <c r="G1894">
        <v>1</v>
      </c>
    </row>
    <row r="1895" spans="3:7" x14ac:dyDescent="0.15">
      <c r="C1895" s="43">
        <v>607</v>
      </c>
      <c r="D1895" s="42">
        <v>0.42959001782531192</v>
      </c>
      <c r="E1895" s="42">
        <v>0.984375</v>
      </c>
      <c r="F1895" s="42">
        <v>0.42959001782531192</v>
      </c>
      <c r="G1895">
        <v>1</v>
      </c>
    </row>
    <row r="1896" spans="3:7" x14ac:dyDescent="0.15">
      <c r="C1896" s="43">
        <v>608</v>
      </c>
      <c r="D1896" s="42">
        <v>0.43048128342245989</v>
      </c>
      <c r="E1896" s="42">
        <v>0.984375</v>
      </c>
      <c r="F1896" s="42">
        <v>0.43048128342245989</v>
      </c>
      <c r="G1896">
        <v>1</v>
      </c>
    </row>
    <row r="1897" spans="3:7" x14ac:dyDescent="0.15">
      <c r="C1897" s="43">
        <v>609</v>
      </c>
      <c r="D1897" s="42">
        <v>0.43137254901960786</v>
      </c>
      <c r="E1897" s="42">
        <v>0.984375</v>
      </c>
      <c r="F1897" s="42">
        <v>0.43137254901960786</v>
      </c>
      <c r="G1897">
        <v>1</v>
      </c>
    </row>
    <row r="1898" spans="3:7" x14ac:dyDescent="0.15">
      <c r="C1898" s="43">
        <v>610</v>
      </c>
      <c r="D1898" s="42">
        <v>0.43226381461675578</v>
      </c>
      <c r="E1898" s="42">
        <v>0.984375</v>
      </c>
      <c r="F1898" s="42">
        <v>0.43226381461675578</v>
      </c>
      <c r="G1898">
        <v>1</v>
      </c>
    </row>
    <row r="1899" spans="3:7" x14ac:dyDescent="0.15">
      <c r="C1899" s="43">
        <v>611</v>
      </c>
      <c r="D1899" s="42">
        <v>0.43315508021390375</v>
      </c>
      <c r="E1899" s="42">
        <v>0.984375</v>
      </c>
      <c r="F1899" s="42">
        <v>0.43315508021390375</v>
      </c>
      <c r="G1899">
        <v>1</v>
      </c>
    </row>
    <row r="1900" spans="3:7" x14ac:dyDescent="0.15">
      <c r="C1900" s="43">
        <v>612</v>
      </c>
      <c r="D1900" s="42">
        <v>0.43404634581105167</v>
      </c>
      <c r="E1900" s="42">
        <v>0.984375</v>
      </c>
      <c r="F1900" s="42">
        <v>0.43404634581105167</v>
      </c>
      <c r="G1900">
        <v>1</v>
      </c>
    </row>
    <row r="1901" spans="3:7" x14ac:dyDescent="0.15">
      <c r="C1901" s="43">
        <v>613</v>
      </c>
      <c r="D1901" s="42">
        <v>0.43493761140819964</v>
      </c>
      <c r="E1901" s="42">
        <v>0.984375</v>
      </c>
      <c r="F1901" s="42">
        <v>0.43493761140819964</v>
      </c>
      <c r="G1901">
        <v>1</v>
      </c>
    </row>
    <row r="1902" spans="3:7" x14ac:dyDescent="0.15">
      <c r="C1902" s="43">
        <v>614</v>
      </c>
      <c r="D1902" s="42">
        <v>0.43582887700534761</v>
      </c>
      <c r="E1902" s="42">
        <v>0.984375</v>
      </c>
      <c r="F1902" s="42">
        <v>0.43582887700534761</v>
      </c>
      <c r="G1902">
        <v>1</v>
      </c>
    </row>
    <row r="1903" spans="3:7" x14ac:dyDescent="0.15">
      <c r="C1903" s="43">
        <v>615</v>
      </c>
      <c r="D1903" s="42">
        <v>0.43672014260249553</v>
      </c>
      <c r="E1903" s="42">
        <v>0.984375</v>
      </c>
      <c r="F1903" s="42">
        <v>0.43672014260249553</v>
      </c>
      <c r="G1903">
        <v>1</v>
      </c>
    </row>
    <row r="1904" spans="3:7" x14ac:dyDescent="0.15">
      <c r="C1904" s="43">
        <v>616</v>
      </c>
      <c r="D1904" s="42">
        <v>0.4376114081996435</v>
      </c>
      <c r="E1904" s="42">
        <v>0.984375</v>
      </c>
      <c r="F1904" s="42">
        <v>0.4376114081996435</v>
      </c>
      <c r="G1904">
        <v>1</v>
      </c>
    </row>
    <row r="1905" spans="3:7" x14ac:dyDescent="0.15">
      <c r="C1905" s="43">
        <v>617</v>
      </c>
      <c r="D1905" s="42">
        <v>0.43850267379679142</v>
      </c>
      <c r="E1905" s="42">
        <v>0.984375</v>
      </c>
      <c r="F1905" s="42">
        <v>0.43850267379679142</v>
      </c>
      <c r="G1905">
        <v>1</v>
      </c>
    </row>
    <row r="1906" spans="3:7" x14ac:dyDescent="0.15">
      <c r="C1906" s="43">
        <v>618</v>
      </c>
      <c r="D1906" s="42">
        <v>0.43939393939393939</v>
      </c>
      <c r="E1906" s="42">
        <v>0.984375</v>
      </c>
      <c r="F1906" s="42">
        <v>0.43939393939393939</v>
      </c>
      <c r="G1906">
        <v>1</v>
      </c>
    </row>
    <row r="1907" spans="3:7" x14ac:dyDescent="0.15">
      <c r="C1907" s="43">
        <v>619</v>
      </c>
      <c r="D1907" s="42">
        <v>0.44028520499108736</v>
      </c>
      <c r="E1907" s="42">
        <v>0.984375</v>
      </c>
      <c r="F1907" s="42">
        <v>0.44028520499108736</v>
      </c>
      <c r="G1907">
        <v>1</v>
      </c>
    </row>
    <row r="1908" spans="3:7" x14ac:dyDescent="0.15">
      <c r="C1908" s="43">
        <v>620</v>
      </c>
      <c r="D1908" s="42">
        <v>0.44117647058823528</v>
      </c>
      <c r="E1908" s="42">
        <v>0.984375</v>
      </c>
      <c r="F1908" s="42">
        <v>0.44117647058823528</v>
      </c>
      <c r="G1908">
        <v>1</v>
      </c>
    </row>
    <row r="1909" spans="3:7" x14ac:dyDescent="0.15">
      <c r="C1909" s="43">
        <v>621</v>
      </c>
      <c r="D1909" s="42">
        <v>0.44206773618538325</v>
      </c>
      <c r="E1909" s="42">
        <v>0.984375</v>
      </c>
      <c r="F1909" s="42">
        <v>0.44206773618538325</v>
      </c>
      <c r="G1909">
        <v>1</v>
      </c>
    </row>
    <row r="1910" spans="3:7" x14ac:dyDescent="0.15">
      <c r="C1910" s="43">
        <v>622</v>
      </c>
      <c r="D1910" s="42">
        <v>0.44295900178253117</v>
      </c>
      <c r="E1910" s="42">
        <v>0.984375</v>
      </c>
      <c r="F1910" s="42">
        <v>0.44295900178253117</v>
      </c>
      <c r="G1910">
        <v>1</v>
      </c>
    </row>
    <row r="1911" spans="3:7" x14ac:dyDescent="0.15">
      <c r="C1911" s="43">
        <v>623</v>
      </c>
      <c r="D1911" s="42">
        <v>0.44385026737967914</v>
      </c>
      <c r="E1911" s="42">
        <v>0.984375</v>
      </c>
      <c r="F1911" s="42">
        <v>0.44385026737967914</v>
      </c>
      <c r="G1911">
        <v>1</v>
      </c>
    </row>
    <row r="1912" spans="3:7" x14ac:dyDescent="0.15">
      <c r="C1912" s="43">
        <v>624</v>
      </c>
      <c r="D1912" s="42">
        <v>0.44474153297682711</v>
      </c>
      <c r="E1912" s="42">
        <v>0.984375</v>
      </c>
      <c r="F1912" s="42">
        <v>0.44474153297682711</v>
      </c>
      <c r="G1912">
        <v>1</v>
      </c>
    </row>
    <row r="1913" spans="3:7" x14ac:dyDescent="0.15">
      <c r="C1913" s="43">
        <v>625</v>
      </c>
      <c r="D1913" s="42">
        <v>0.44563279857397503</v>
      </c>
      <c r="E1913" s="42">
        <v>0.984375</v>
      </c>
      <c r="F1913" s="42">
        <v>0.44563279857397503</v>
      </c>
      <c r="G1913">
        <v>1</v>
      </c>
    </row>
    <row r="1914" spans="3:7" x14ac:dyDescent="0.15">
      <c r="C1914" s="43">
        <v>626</v>
      </c>
      <c r="D1914" s="42">
        <v>0.446524064171123</v>
      </c>
      <c r="E1914" s="42">
        <v>0.984375</v>
      </c>
      <c r="F1914" s="42">
        <v>0.446524064171123</v>
      </c>
      <c r="G1914">
        <v>1</v>
      </c>
    </row>
    <row r="1915" spans="3:7" x14ac:dyDescent="0.15">
      <c r="C1915" s="43">
        <v>627</v>
      </c>
      <c r="D1915" s="42">
        <v>0.44741532976827092</v>
      </c>
      <c r="E1915" s="42">
        <v>0.984375</v>
      </c>
      <c r="F1915" s="42">
        <v>0.44741532976827092</v>
      </c>
      <c r="G1915">
        <v>1</v>
      </c>
    </row>
    <row r="1916" spans="3:7" x14ac:dyDescent="0.15">
      <c r="C1916" s="43">
        <v>628</v>
      </c>
      <c r="D1916" s="42">
        <v>0.44830659536541889</v>
      </c>
      <c r="E1916" s="42">
        <v>0.984375</v>
      </c>
      <c r="F1916" s="42">
        <v>0.44830659536541889</v>
      </c>
      <c r="G1916">
        <v>1</v>
      </c>
    </row>
    <row r="1917" spans="3:7" x14ac:dyDescent="0.15">
      <c r="C1917" s="43">
        <v>629</v>
      </c>
      <c r="D1917" s="42">
        <v>0.44919786096256686</v>
      </c>
      <c r="E1917" s="42">
        <v>0.984375</v>
      </c>
      <c r="F1917" s="42">
        <v>0.44919786096256686</v>
      </c>
      <c r="G1917">
        <v>1</v>
      </c>
    </row>
    <row r="1918" spans="3:7" x14ac:dyDescent="0.15">
      <c r="C1918" s="43">
        <v>630</v>
      </c>
      <c r="D1918" s="42">
        <v>0.45008912655971478</v>
      </c>
      <c r="E1918" s="42">
        <v>0.984375</v>
      </c>
      <c r="F1918" s="42">
        <v>0.45008912655971478</v>
      </c>
      <c r="G1918">
        <v>1</v>
      </c>
    </row>
    <row r="1919" spans="3:7" x14ac:dyDescent="0.15">
      <c r="C1919" s="43">
        <v>631</v>
      </c>
      <c r="D1919" s="42">
        <v>0.45098039215686275</v>
      </c>
      <c r="E1919" s="42">
        <v>0.984375</v>
      </c>
      <c r="F1919" s="42">
        <v>0.45098039215686275</v>
      </c>
      <c r="G1919">
        <v>1</v>
      </c>
    </row>
    <row r="1920" spans="3:7" x14ac:dyDescent="0.15">
      <c r="C1920" s="43">
        <v>632</v>
      </c>
      <c r="D1920" s="42">
        <v>0.45187165775401067</v>
      </c>
      <c r="E1920" s="42">
        <v>0.984375</v>
      </c>
      <c r="F1920" s="42">
        <v>0.45187165775401067</v>
      </c>
      <c r="G1920">
        <v>1</v>
      </c>
    </row>
    <row r="1921" spans="3:7" x14ac:dyDescent="0.15">
      <c r="C1921" s="43">
        <v>633</v>
      </c>
      <c r="D1921" s="42">
        <v>0.45276292335115864</v>
      </c>
      <c r="E1921" s="42">
        <v>0.984375</v>
      </c>
      <c r="F1921" s="42">
        <v>0.45276292335115864</v>
      </c>
      <c r="G1921">
        <v>1</v>
      </c>
    </row>
    <row r="1922" spans="3:7" x14ac:dyDescent="0.15">
      <c r="C1922" s="43">
        <v>634</v>
      </c>
      <c r="D1922" s="42">
        <v>0.45365418894830661</v>
      </c>
      <c r="E1922" s="42">
        <v>0.984375</v>
      </c>
      <c r="F1922" s="42">
        <v>0.45365418894830661</v>
      </c>
      <c r="G1922">
        <v>1</v>
      </c>
    </row>
    <row r="1923" spans="3:7" x14ac:dyDescent="0.15">
      <c r="C1923" s="43">
        <v>635</v>
      </c>
      <c r="D1923" s="42">
        <v>0.45454545454545453</v>
      </c>
      <c r="E1923" s="42">
        <v>0.984375</v>
      </c>
      <c r="F1923" s="42">
        <v>0.45454545454545453</v>
      </c>
      <c r="G1923">
        <v>1</v>
      </c>
    </row>
    <row r="1924" spans="3:7" x14ac:dyDescent="0.15">
      <c r="C1924" s="43">
        <v>636</v>
      </c>
      <c r="D1924" s="42">
        <v>0.4554367201426025</v>
      </c>
      <c r="E1924" s="42">
        <v>0.984375</v>
      </c>
      <c r="F1924" s="42">
        <v>0.4554367201426025</v>
      </c>
      <c r="G1924">
        <v>1</v>
      </c>
    </row>
    <row r="1925" spans="3:7" x14ac:dyDescent="0.15">
      <c r="C1925" s="43">
        <v>637</v>
      </c>
      <c r="D1925" s="42">
        <v>0.45632798573975042</v>
      </c>
      <c r="E1925" s="42">
        <v>0.984375</v>
      </c>
      <c r="F1925" s="42">
        <v>0.45632798573975042</v>
      </c>
      <c r="G1925">
        <v>1</v>
      </c>
    </row>
    <row r="1926" spans="3:7" x14ac:dyDescent="0.15">
      <c r="C1926" s="43">
        <v>638</v>
      </c>
      <c r="D1926" s="42">
        <v>0.45721925133689839</v>
      </c>
      <c r="E1926" s="42">
        <v>0.984375</v>
      </c>
      <c r="F1926" s="42">
        <v>0.45721925133689839</v>
      </c>
      <c r="G1926">
        <v>1</v>
      </c>
    </row>
    <row r="1927" spans="3:7" x14ac:dyDescent="0.15">
      <c r="C1927" s="43">
        <v>639</v>
      </c>
      <c r="D1927" s="42">
        <v>0.45811051693404636</v>
      </c>
      <c r="E1927" s="42">
        <v>0.984375</v>
      </c>
      <c r="F1927" s="42">
        <v>0.45811051693404636</v>
      </c>
      <c r="G1927">
        <v>1</v>
      </c>
    </row>
    <row r="1928" spans="3:7" x14ac:dyDescent="0.15">
      <c r="C1928" s="43">
        <v>640</v>
      </c>
      <c r="D1928" s="42">
        <v>0.45900178253119428</v>
      </c>
      <c r="E1928" s="42">
        <v>0.984375</v>
      </c>
      <c r="F1928" s="42">
        <v>0.45900178253119428</v>
      </c>
      <c r="G1928">
        <v>1</v>
      </c>
    </row>
    <row r="1929" spans="3:7" x14ac:dyDescent="0.15">
      <c r="C1929" s="43">
        <v>641</v>
      </c>
      <c r="D1929" s="42">
        <v>0.45989304812834225</v>
      </c>
      <c r="E1929" s="42">
        <v>0.984375</v>
      </c>
      <c r="F1929" s="42">
        <v>0.45989304812834225</v>
      </c>
      <c r="G1929">
        <v>1</v>
      </c>
    </row>
    <row r="1930" spans="3:7" x14ac:dyDescent="0.15">
      <c r="C1930" s="43">
        <v>642</v>
      </c>
      <c r="D1930" s="42">
        <v>0.46078431372549017</v>
      </c>
      <c r="E1930" s="42">
        <v>0.984375</v>
      </c>
      <c r="F1930" s="42">
        <v>0.46078431372549017</v>
      </c>
      <c r="G1930">
        <v>1</v>
      </c>
    </row>
    <row r="1931" spans="3:7" x14ac:dyDescent="0.15">
      <c r="C1931" s="43">
        <v>643</v>
      </c>
      <c r="D1931" s="42">
        <v>0.46167557932263814</v>
      </c>
      <c r="E1931" s="42">
        <v>0.984375</v>
      </c>
      <c r="F1931" s="42">
        <v>0.46167557932263814</v>
      </c>
      <c r="G1931">
        <v>1</v>
      </c>
    </row>
    <row r="1932" spans="3:7" x14ac:dyDescent="0.15">
      <c r="C1932" s="43">
        <v>644</v>
      </c>
      <c r="D1932" s="42">
        <v>0.46256684491978611</v>
      </c>
      <c r="E1932" s="42">
        <v>0.984375</v>
      </c>
      <c r="F1932" s="42">
        <v>0.46256684491978611</v>
      </c>
      <c r="G1932">
        <v>1</v>
      </c>
    </row>
    <row r="1933" spans="3:7" x14ac:dyDescent="0.15">
      <c r="C1933" s="43">
        <v>645</v>
      </c>
      <c r="D1933" s="42">
        <v>0.46345811051693403</v>
      </c>
      <c r="E1933" s="42">
        <v>0.984375</v>
      </c>
      <c r="F1933" s="42">
        <v>0.46345811051693403</v>
      </c>
      <c r="G1933">
        <v>1</v>
      </c>
    </row>
    <row r="1934" spans="3:7" x14ac:dyDescent="0.15">
      <c r="C1934" s="43">
        <v>646</v>
      </c>
      <c r="D1934" s="42">
        <v>0.464349376114082</v>
      </c>
      <c r="E1934" s="42">
        <v>0.984375</v>
      </c>
      <c r="F1934" s="42">
        <v>0.464349376114082</v>
      </c>
      <c r="G1934">
        <v>1</v>
      </c>
    </row>
    <row r="1935" spans="3:7" x14ac:dyDescent="0.15">
      <c r="C1935" s="43">
        <v>647</v>
      </c>
      <c r="D1935" s="42">
        <v>0.46524064171122997</v>
      </c>
      <c r="E1935" s="42">
        <v>0.984375</v>
      </c>
      <c r="F1935" s="42">
        <v>0.46524064171122997</v>
      </c>
      <c r="G1935">
        <v>1</v>
      </c>
    </row>
    <row r="1936" spans="3:7" x14ac:dyDescent="0.15">
      <c r="C1936" s="43">
        <v>648</v>
      </c>
      <c r="D1936" s="42">
        <v>0.46613190730837789</v>
      </c>
      <c r="E1936" s="42">
        <v>0.984375</v>
      </c>
      <c r="F1936" s="42">
        <v>0.46613190730837789</v>
      </c>
      <c r="G1936">
        <v>1</v>
      </c>
    </row>
    <row r="1937" spans="3:7" x14ac:dyDescent="0.15">
      <c r="C1937" s="43">
        <v>649</v>
      </c>
      <c r="D1937" s="42">
        <v>0.46702317290552586</v>
      </c>
      <c r="E1937" s="42">
        <v>0.984375</v>
      </c>
      <c r="F1937" s="42">
        <v>0.46702317290552586</v>
      </c>
      <c r="G1937">
        <v>1</v>
      </c>
    </row>
    <row r="1938" spans="3:7" x14ac:dyDescent="0.15">
      <c r="C1938" s="43">
        <v>650</v>
      </c>
      <c r="D1938" s="42">
        <v>0.46791443850267378</v>
      </c>
      <c r="E1938" s="42">
        <v>0.984375</v>
      </c>
      <c r="F1938" s="42">
        <v>0.46791443850267378</v>
      </c>
      <c r="G1938">
        <v>1</v>
      </c>
    </row>
    <row r="1939" spans="3:7" x14ac:dyDescent="0.15">
      <c r="C1939" s="43">
        <v>651</v>
      </c>
      <c r="D1939" s="42">
        <v>0.46880570409982175</v>
      </c>
      <c r="E1939" s="42">
        <v>0.984375</v>
      </c>
      <c r="F1939" s="42">
        <v>0.46880570409982175</v>
      </c>
      <c r="G1939">
        <v>1</v>
      </c>
    </row>
    <row r="1940" spans="3:7" x14ac:dyDescent="0.15">
      <c r="C1940" s="43">
        <v>652</v>
      </c>
      <c r="D1940" s="42">
        <v>0.46969696969696972</v>
      </c>
      <c r="E1940" s="42">
        <v>0.984375</v>
      </c>
      <c r="F1940" s="42">
        <v>0.46969696969696972</v>
      </c>
      <c r="G1940">
        <v>1</v>
      </c>
    </row>
    <row r="1941" spans="3:7" x14ac:dyDescent="0.15">
      <c r="C1941" s="43">
        <v>653</v>
      </c>
      <c r="D1941" s="42">
        <v>0.47058823529411764</v>
      </c>
      <c r="E1941" s="42">
        <v>0.984375</v>
      </c>
      <c r="F1941" s="42">
        <v>0.47058823529411764</v>
      </c>
      <c r="G1941">
        <v>1</v>
      </c>
    </row>
    <row r="1942" spans="3:7" x14ac:dyDescent="0.15">
      <c r="C1942" s="43">
        <v>654</v>
      </c>
      <c r="D1942" s="42">
        <v>0.47147950089126561</v>
      </c>
      <c r="E1942" s="42">
        <v>0.984375</v>
      </c>
      <c r="F1942" s="42">
        <v>0.47147950089126561</v>
      </c>
      <c r="G1942">
        <v>1</v>
      </c>
    </row>
    <row r="1943" spans="3:7" x14ac:dyDescent="0.15">
      <c r="C1943" s="43">
        <v>655</v>
      </c>
      <c r="D1943" s="42">
        <v>0.47237076648841353</v>
      </c>
      <c r="E1943" s="42">
        <v>0.984375</v>
      </c>
      <c r="F1943" s="42">
        <v>0.47237076648841353</v>
      </c>
      <c r="G1943">
        <v>1</v>
      </c>
    </row>
    <row r="1944" spans="3:7" x14ac:dyDescent="0.15">
      <c r="C1944" s="43">
        <v>656</v>
      </c>
      <c r="D1944" s="42">
        <v>0.4732620320855615</v>
      </c>
      <c r="E1944" s="42">
        <v>0.984375</v>
      </c>
      <c r="F1944" s="42">
        <v>0.4732620320855615</v>
      </c>
      <c r="G1944">
        <v>1</v>
      </c>
    </row>
    <row r="1945" spans="3:7" x14ac:dyDescent="0.15">
      <c r="C1945" s="43">
        <v>657</v>
      </c>
      <c r="D1945" s="42">
        <v>0.47415329768270947</v>
      </c>
      <c r="E1945" s="42">
        <v>0.984375</v>
      </c>
      <c r="F1945" s="42">
        <v>0.47415329768270947</v>
      </c>
      <c r="G1945">
        <v>1</v>
      </c>
    </row>
    <row r="1946" spans="3:7" x14ac:dyDescent="0.15">
      <c r="C1946" s="43">
        <v>658</v>
      </c>
      <c r="D1946" s="42">
        <v>0.47504456327985739</v>
      </c>
      <c r="E1946" s="42">
        <v>0.984375</v>
      </c>
      <c r="F1946" s="42">
        <v>0.47504456327985739</v>
      </c>
      <c r="G1946">
        <v>1</v>
      </c>
    </row>
    <row r="1947" spans="3:7" x14ac:dyDescent="0.15">
      <c r="C1947" s="43">
        <v>659</v>
      </c>
      <c r="D1947" s="42">
        <v>0.47593582887700536</v>
      </c>
      <c r="E1947" s="42">
        <v>0.984375</v>
      </c>
      <c r="F1947" s="42">
        <v>0.47593582887700536</v>
      </c>
      <c r="G1947">
        <v>1</v>
      </c>
    </row>
    <row r="1948" spans="3:7" x14ac:dyDescent="0.15">
      <c r="C1948" s="43">
        <v>660</v>
      </c>
      <c r="D1948" s="42">
        <v>0.47682709447415328</v>
      </c>
      <c r="E1948" s="42">
        <v>0.984375</v>
      </c>
      <c r="F1948" s="42">
        <v>0.47682709447415328</v>
      </c>
      <c r="G1948">
        <v>1</v>
      </c>
    </row>
    <row r="1949" spans="3:7" x14ac:dyDescent="0.15">
      <c r="C1949" s="43">
        <v>661</v>
      </c>
      <c r="D1949" s="42">
        <v>0.47771836007130125</v>
      </c>
      <c r="E1949" s="42">
        <v>0.984375</v>
      </c>
      <c r="F1949" s="42">
        <v>0.47771836007130125</v>
      </c>
      <c r="G1949">
        <v>1</v>
      </c>
    </row>
    <row r="1950" spans="3:7" x14ac:dyDescent="0.15">
      <c r="C1950" s="43">
        <v>662</v>
      </c>
      <c r="D1950" s="42">
        <v>0.47860962566844922</v>
      </c>
      <c r="E1950" s="42">
        <v>0.984375</v>
      </c>
      <c r="F1950" s="42">
        <v>0.47860962566844922</v>
      </c>
      <c r="G1950">
        <v>1</v>
      </c>
    </row>
    <row r="1951" spans="3:7" x14ac:dyDescent="0.15">
      <c r="C1951" s="43">
        <v>663</v>
      </c>
      <c r="D1951" s="42">
        <v>0.47950089126559714</v>
      </c>
      <c r="E1951" s="42">
        <v>0.984375</v>
      </c>
      <c r="F1951" s="42">
        <v>0.47950089126559714</v>
      </c>
      <c r="G1951">
        <v>1</v>
      </c>
    </row>
    <row r="1952" spans="3:7" x14ac:dyDescent="0.15">
      <c r="C1952" s="43">
        <v>664</v>
      </c>
      <c r="D1952" s="42">
        <v>0.48039215686274511</v>
      </c>
      <c r="E1952" s="42">
        <v>0.984375</v>
      </c>
      <c r="F1952" s="42">
        <v>0.48039215686274511</v>
      </c>
      <c r="G1952">
        <v>1</v>
      </c>
    </row>
    <row r="1953" spans="3:7" x14ac:dyDescent="0.15">
      <c r="C1953" s="43">
        <v>665</v>
      </c>
      <c r="D1953" s="42">
        <v>0.48128342245989303</v>
      </c>
      <c r="E1953" s="42">
        <v>0.984375</v>
      </c>
      <c r="F1953" s="42">
        <v>0.48128342245989303</v>
      </c>
      <c r="G1953">
        <v>1</v>
      </c>
    </row>
    <row r="1954" spans="3:7" x14ac:dyDescent="0.15">
      <c r="C1954" s="43">
        <v>666</v>
      </c>
      <c r="D1954" s="42">
        <v>0.482174688057041</v>
      </c>
      <c r="E1954" s="42">
        <v>0.984375</v>
      </c>
      <c r="F1954" s="42">
        <v>0.482174688057041</v>
      </c>
      <c r="G1954">
        <v>1</v>
      </c>
    </row>
    <row r="1955" spans="3:7" x14ac:dyDescent="0.15">
      <c r="C1955" s="43">
        <v>667</v>
      </c>
      <c r="D1955" s="42">
        <v>0.48306595365418897</v>
      </c>
      <c r="E1955" s="42">
        <v>0.984375</v>
      </c>
      <c r="F1955" s="42">
        <v>0.48306595365418897</v>
      </c>
      <c r="G1955">
        <v>1</v>
      </c>
    </row>
    <row r="1956" spans="3:7" x14ac:dyDescent="0.15">
      <c r="C1956" s="43">
        <v>668</v>
      </c>
      <c r="D1956" s="42">
        <v>0.48395721925133689</v>
      </c>
      <c r="E1956" s="42">
        <v>0.984375</v>
      </c>
      <c r="F1956" s="42">
        <v>0.48395721925133689</v>
      </c>
      <c r="G1956">
        <v>1</v>
      </c>
    </row>
    <row r="1957" spans="3:7" x14ac:dyDescent="0.15">
      <c r="C1957" s="43">
        <v>669</v>
      </c>
      <c r="D1957" s="42">
        <v>0.48484848484848486</v>
      </c>
      <c r="E1957" s="42">
        <v>0.984375</v>
      </c>
      <c r="F1957" s="42">
        <v>0.48484848484848486</v>
      </c>
      <c r="G1957">
        <v>1</v>
      </c>
    </row>
    <row r="1958" spans="3:7" x14ac:dyDescent="0.15">
      <c r="C1958" s="43">
        <v>670</v>
      </c>
      <c r="D1958" s="42">
        <v>0.48573975044563278</v>
      </c>
      <c r="E1958" s="42">
        <v>0.984375</v>
      </c>
      <c r="F1958" s="42">
        <v>0.48573975044563278</v>
      </c>
      <c r="G1958">
        <v>1</v>
      </c>
    </row>
    <row r="1959" spans="3:7" x14ac:dyDescent="0.15">
      <c r="C1959" s="43">
        <v>671</v>
      </c>
      <c r="D1959" s="42">
        <v>0.48663101604278075</v>
      </c>
      <c r="E1959" s="42">
        <v>0.984375</v>
      </c>
      <c r="F1959" s="42">
        <v>0.48663101604278075</v>
      </c>
      <c r="G1959">
        <v>1</v>
      </c>
    </row>
    <row r="1960" spans="3:7" x14ac:dyDescent="0.15">
      <c r="C1960" s="43">
        <v>672</v>
      </c>
      <c r="D1960" s="42">
        <v>0.48752228163992872</v>
      </c>
      <c r="E1960" s="42">
        <v>0.984375</v>
      </c>
      <c r="F1960" s="42">
        <v>0.48752228163992872</v>
      </c>
      <c r="G1960">
        <v>1</v>
      </c>
    </row>
    <row r="1961" spans="3:7" x14ac:dyDescent="0.15">
      <c r="C1961" s="43">
        <v>673</v>
      </c>
      <c r="D1961" s="42">
        <v>0.48841354723707664</v>
      </c>
      <c r="E1961" s="42">
        <v>0.984375</v>
      </c>
      <c r="F1961" s="42">
        <v>0.48841354723707664</v>
      </c>
      <c r="G1961">
        <v>1</v>
      </c>
    </row>
    <row r="1962" spans="3:7" x14ac:dyDescent="0.15">
      <c r="C1962" s="43">
        <v>674</v>
      </c>
      <c r="D1962" s="42">
        <v>0.48930481283422461</v>
      </c>
      <c r="E1962" s="42">
        <v>0.984375</v>
      </c>
      <c r="F1962" s="42">
        <v>0.48930481283422461</v>
      </c>
      <c r="G1962">
        <v>1</v>
      </c>
    </row>
    <row r="1963" spans="3:7" x14ac:dyDescent="0.15">
      <c r="C1963" s="43">
        <v>675</v>
      </c>
      <c r="D1963" s="42">
        <v>0.49019607843137253</v>
      </c>
      <c r="E1963" s="42">
        <v>0.984375</v>
      </c>
      <c r="F1963" s="42">
        <v>0.49019607843137253</v>
      </c>
      <c r="G1963">
        <v>1</v>
      </c>
    </row>
    <row r="1964" spans="3:7" x14ac:dyDescent="0.15">
      <c r="C1964" s="43">
        <v>676</v>
      </c>
      <c r="D1964" s="42">
        <v>0.4910873440285205</v>
      </c>
      <c r="E1964" s="42">
        <v>0.984375</v>
      </c>
      <c r="F1964" s="42">
        <v>0.4910873440285205</v>
      </c>
      <c r="G1964">
        <v>1</v>
      </c>
    </row>
    <row r="1965" spans="3:7" x14ac:dyDescent="0.15">
      <c r="C1965" s="43">
        <v>677</v>
      </c>
      <c r="D1965" s="42">
        <v>0.49197860962566847</v>
      </c>
      <c r="E1965" s="42">
        <v>0.984375</v>
      </c>
      <c r="F1965" s="42">
        <v>0.49197860962566847</v>
      </c>
      <c r="G1965">
        <v>1</v>
      </c>
    </row>
    <row r="1966" spans="3:7" x14ac:dyDescent="0.15">
      <c r="C1966" s="43">
        <v>678</v>
      </c>
      <c r="D1966" s="42">
        <v>0.49286987522281639</v>
      </c>
      <c r="E1966" s="42">
        <v>0.984375</v>
      </c>
      <c r="F1966" s="42">
        <v>0.49286987522281639</v>
      </c>
      <c r="G1966">
        <v>1</v>
      </c>
    </row>
    <row r="1967" spans="3:7" x14ac:dyDescent="0.15">
      <c r="C1967" s="43">
        <v>679</v>
      </c>
      <c r="D1967" s="42">
        <v>0.49376114081996436</v>
      </c>
      <c r="E1967" s="42">
        <v>0.984375</v>
      </c>
      <c r="F1967" s="42">
        <v>0.49376114081996436</v>
      </c>
      <c r="G1967">
        <v>1</v>
      </c>
    </row>
    <row r="1968" spans="3:7" x14ac:dyDescent="0.15">
      <c r="C1968" s="43">
        <v>680</v>
      </c>
      <c r="D1968" s="42">
        <v>0.49465240641711228</v>
      </c>
      <c r="E1968" s="42">
        <v>0.984375</v>
      </c>
      <c r="F1968" s="42">
        <v>0.49465240641711228</v>
      </c>
      <c r="G1968">
        <v>1</v>
      </c>
    </row>
    <row r="1969" spans="3:7" x14ac:dyDescent="0.15">
      <c r="C1969" s="43">
        <v>681</v>
      </c>
      <c r="D1969" s="42">
        <v>0.49554367201426025</v>
      </c>
      <c r="E1969" s="42">
        <v>0.984375</v>
      </c>
      <c r="F1969" s="42">
        <v>0.49554367201426025</v>
      </c>
      <c r="G1969">
        <v>1</v>
      </c>
    </row>
    <row r="1970" spans="3:7" x14ac:dyDescent="0.15">
      <c r="C1970" s="43">
        <v>682</v>
      </c>
      <c r="D1970" s="42">
        <v>0.49643493761140822</v>
      </c>
      <c r="E1970" s="42">
        <v>0.984375</v>
      </c>
      <c r="F1970" s="42">
        <v>0.49643493761140822</v>
      </c>
      <c r="G1970">
        <v>1</v>
      </c>
    </row>
    <row r="1971" spans="3:7" x14ac:dyDescent="0.15">
      <c r="C1971" s="43">
        <v>683</v>
      </c>
      <c r="D1971" s="42">
        <v>0.49732620320855614</v>
      </c>
      <c r="E1971" s="42">
        <v>0.984375</v>
      </c>
      <c r="F1971" s="42">
        <v>0.49732620320855614</v>
      </c>
      <c r="G1971">
        <v>1</v>
      </c>
    </row>
    <row r="1972" spans="3:7" x14ac:dyDescent="0.15">
      <c r="C1972" s="43">
        <v>684</v>
      </c>
      <c r="D1972" s="42">
        <v>0.49821746880570411</v>
      </c>
      <c r="E1972" s="42">
        <v>0.984375</v>
      </c>
      <c r="F1972" s="42">
        <v>0.49821746880570411</v>
      </c>
      <c r="G1972">
        <v>1</v>
      </c>
    </row>
    <row r="1973" spans="3:7" x14ac:dyDescent="0.15">
      <c r="C1973" s="43">
        <v>685</v>
      </c>
      <c r="D1973" s="42">
        <v>0.49910873440285203</v>
      </c>
      <c r="E1973" s="42">
        <v>0.984375</v>
      </c>
      <c r="F1973" s="42">
        <v>0.49910873440285203</v>
      </c>
      <c r="G1973">
        <v>1</v>
      </c>
    </row>
    <row r="1974" spans="3:7" x14ac:dyDescent="0.15">
      <c r="C1974" s="43">
        <v>686</v>
      </c>
      <c r="D1974" s="42">
        <v>0.5</v>
      </c>
      <c r="E1974" s="42">
        <v>0.984375</v>
      </c>
      <c r="F1974" s="42">
        <v>0.5</v>
      </c>
      <c r="G1974">
        <v>1</v>
      </c>
    </row>
    <row r="1975" spans="3:7" x14ac:dyDescent="0.15">
      <c r="C1975" s="43">
        <v>687</v>
      </c>
      <c r="D1975" s="42">
        <v>0.50089126559714792</v>
      </c>
      <c r="E1975" s="42">
        <v>0.984375</v>
      </c>
      <c r="F1975" s="42">
        <v>0.50089126559714792</v>
      </c>
      <c r="G1975">
        <v>1</v>
      </c>
    </row>
    <row r="1976" spans="3:7" x14ac:dyDescent="0.15">
      <c r="C1976" s="43">
        <v>688</v>
      </c>
      <c r="D1976" s="42">
        <v>0.50178253119429594</v>
      </c>
      <c r="E1976" s="42">
        <v>0.984375</v>
      </c>
      <c r="F1976" s="42">
        <v>0.50178253119429594</v>
      </c>
      <c r="G1976">
        <v>1</v>
      </c>
    </row>
    <row r="1977" spans="3:7" x14ac:dyDescent="0.15">
      <c r="C1977" s="43">
        <v>689</v>
      </c>
      <c r="D1977" s="42">
        <v>0.50267379679144386</v>
      </c>
      <c r="E1977" s="42">
        <v>0.984375</v>
      </c>
      <c r="F1977" s="42">
        <v>0.50267379679144386</v>
      </c>
      <c r="G1977">
        <v>1</v>
      </c>
    </row>
    <row r="1978" spans="3:7" x14ac:dyDescent="0.15">
      <c r="C1978" s="43">
        <v>690</v>
      </c>
      <c r="D1978" s="42">
        <v>0.50356506238859178</v>
      </c>
      <c r="E1978" s="42">
        <v>0.984375</v>
      </c>
      <c r="F1978" s="42">
        <v>0.50356506238859178</v>
      </c>
      <c r="G1978">
        <v>1</v>
      </c>
    </row>
    <row r="1979" spans="3:7" x14ac:dyDescent="0.15">
      <c r="C1979" s="43">
        <v>691</v>
      </c>
      <c r="D1979" s="42">
        <v>0.50445632798573981</v>
      </c>
      <c r="E1979" s="42">
        <v>0.984375</v>
      </c>
      <c r="F1979" s="42">
        <v>0.50445632798573981</v>
      </c>
      <c r="G1979">
        <v>1</v>
      </c>
    </row>
    <row r="1980" spans="3:7" x14ac:dyDescent="0.15">
      <c r="C1980" s="43">
        <v>692</v>
      </c>
      <c r="D1980" s="42">
        <v>0.50534759358288772</v>
      </c>
      <c r="E1980" s="42">
        <v>0.984375</v>
      </c>
      <c r="F1980" s="42">
        <v>0.50534759358288772</v>
      </c>
      <c r="G1980">
        <v>1</v>
      </c>
    </row>
    <row r="1981" spans="3:7" x14ac:dyDescent="0.15">
      <c r="C1981" s="43">
        <v>693</v>
      </c>
      <c r="D1981" s="42">
        <v>0.50623885918003564</v>
      </c>
      <c r="E1981" s="42">
        <v>0.984375</v>
      </c>
      <c r="F1981" s="42">
        <v>0.50623885918003564</v>
      </c>
      <c r="G1981">
        <v>1</v>
      </c>
    </row>
    <row r="1982" spans="3:7" x14ac:dyDescent="0.15">
      <c r="C1982" s="43">
        <v>694</v>
      </c>
      <c r="D1982" s="42">
        <v>0.50713012477718356</v>
      </c>
      <c r="E1982" s="42">
        <v>0.984375</v>
      </c>
      <c r="F1982" s="42">
        <v>0.50713012477718356</v>
      </c>
      <c r="G1982">
        <v>1</v>
      </c>
    </row>
    <row r="1983" spans="3:7" x14ac:dyDescent="0.15">
      <c r="C1983" s="43">
        <v>695</v>
      </c>
      <c r="D1983" s="42">
        <v>0.50713012477718356</v>
      </c>
      <c r="E1983" s="42">
        <v>0.9921875</v>
      </c>
      <c r="F1983" s="42">
        <v>0.50713012477718356</v>
      </c>
      <c r="G1983">
        <v>1</v>
      </c>
    </row>
    <row r="1984" spans="3:7" x14ac:dyDescent="0.15">
      <c r="C1984" s="43">
        <v>696</v>
      </c>
      <c r="D1984" s="42">
        <v>0.50802139037433158</v>
      </c>
      <c r="E1984" s="42">
        <v>0.9921875</v>
      </c>
      <c r="F1984" s="42">
        <v>0.50802139037433158</v>
      </c>
      <c r="G1984">
        <v>1</v>
      </c>
    </row>
    <row r="1985" spans="3:7" x14ac:dyDescent="0.15">
      <c r="C1985" s="43">
        <v>697</v>
      </c>
      <c r="D1985" s="42">
        <v>0.5089126559714795</v>
      </c>
      <c r="E1985" s="42">
        <v>0.9921875</v>
      </c>
      <c r="F1985" s="42">
        <v>0.5089126559714795</v>
      </c>
      <c r="G1985">
        <v>1</v>
      </c>
    </row>
    <row r="1986" spans="3:7" x14ac:dyDescent="0.15">
      <c r="C1986" s="43">
        <v>698</v>
      </c>
      <c r="D1986" s="42">
        <v>0.50980392156862742</v>
      </c>
      <c r="E1986" s="42">
        <v>0.9921875</v>
      </c>
      <c r="F1986" s="42">
        <v>0.50980392156862742</v>
      </c>
      <c r="G1986">
        <v>1</v>
      </c>
    </row>
    <row r="1987" spans="3:7" x14ac:dyDescent="0.15">
      <c r="C1987" s="43">
        <v>699</v>
      </c>
      <c r="D1987" s="42">
        <v>0.51069518716577544</v>
      </c>
      <c r="E1987" s="42">
        <v>0.9921875</v>
      </c>
      <c r="F1987" s="42">
        <v>0.51069518716577544</v>
      </c>
      <c r="G1987">
        <v>1</v>
      </c>
    </row>
    <row r="1988" spans="3:7" x14ac:dyDescent="0.15">
      <c r="C1988" s="43">
        <v>700</v>
      </c>
      <c r="D1988" s="42">
        <v>0.51158645276292336</v>
      </c>
      <c r="E1988" s="42">
        <v>0.9921875</v>
      </c>
      <c r="F1988" s="42">
        <v>0.51158645276292336</v>
      </c>
      <c r="G1988">
        <v>1</v>
      </c>
    </row>
    <row r="1989" spans="3:7" x14ac:dyDescent="0.15">
      <c r="C1989" s="43">
        <v>701</v>
      </c>
      <c r="D1989" s="42">
        <v>0.51247771836007128</v>
      </c>
      <c r="E1989" s="42">
        <v>0.9921875</v>
      </c>
      <c r="F1989" s="42">
        <v>0.51247771836007128</v>
      </c>
      <c r="G1989">
        <v>1</v>
      </c>
    </row>
    <row r="1990" spans="3:7" x14ac:dyDescent="0.15">
      <c r="C1990" s="43">
        <v>702</v>
      </c>
      <c r="D1990" s="42">
        <v>0.5133689839572193</v>
      </c>
      <c r="E1990" s="42">
        <v>0.9921875</v>
      </c>
      <c r="F1990" s="42">
        <v>0.5133689839572193</v>
      </c>
      <c r="G1990">
        <v>1</v>
      </c>
    </row>
    <row r="1991" spans="3:7" x14ac:dyDescent="0.15">
      <c r="C1991" s="43">
        <v>703</v>
      </c>
      <c r="D1991" s="42">
        <v>0.51426024955436722</v>
      </c>
      <c r="E1991" s="42">
        <v>0.9921875</v>
      </c>
      <c r="F1991" s="42">
        <v>0.51426024955436722</v>
      </c>
      <c r="G1991">
        <v>1</v>
      </c>
    </row>
    <row r="1992" spans="3:7" x14ac:dyDescent="0.15">
      <c r="C1992" s="43">
        <v>704</v>
      </c>
      <c r="D1992" s="42">
        <v>0.51515151515151514</v>
      </c>
      <c r="E1992" s="42">
        <v>0.9921875</v>
      </c>
      <c r="F1992" s="42">
        <v>0.51515151515151514</v>
      </c>
      <c r="G1992">
        <v>1</v>
      </c>
    </row>
    <row r="1993" spans="3:7" x14ac:dyDescent="0.15">
      <c r="C1993" s="43">
        <v>705</v>
      </c>
      <c r="D1993" s="42">
        <v>0.51604278074866305</v>
      </c>
      <c r="E1993" s="42">
        <v>0.9921875</v>
      </c>
      <c r="F1993" s="42">
        <v>0.51604278074866305</v>
      </c>
      <c r="G1993">
        <v>1</v>
      </c>
    </row>
    <row r="1994" spans="3:7" x14ac:dyDescent="0.15">
      <c r="C1994" s="43">
        <v>706</v>
      </c>
      <c r="D1994" s="42">
        <v>0.51693404634581108</v>
      </c>
      <c r="E1994" s="42">
        <v>0.9921875</v>
      </c>
      <c r="F1994" s="42">
        <v>0.51693404634581108</v>
      </c>
      <c r="G1994">
        <v>1</v>
      </c>
    </row>
    <row r="1995" spans="3:7" x14ac:dyDescent="0.15">
      <c r="C1995" s="43">
        <v>707</v>
      </c>
      <c r="D1995" s="42">
        <v>0.517825311942959</v>
      </c>
      <c r="E1995" s="42">
        <v>0.9921875</v>
      </c>
      <c r="F1995" s="42">
        <v>0.517825311942959</v>
      </c>
      <c r="G1995">
        <v>1</v>
      </c>
    </row>
    <row r="1996" spans="3:7" x14ac:dyDescent="0.15">
      <c r="C1996" s="43">
        <v>708</v>
      </c>
      <c r="D1996" s="42">
        <v>0.51871657754010692</v>
      </c>
      <c r="E1996" s="42">
        <v>0.9921875</v>
      </c>
      <c r="F1996" s="42">
        <v>0.51871657754010692</v>
      </c>
      <c r="G1996">
        <v>1</v>
      </c>
    </row>
    <row r="1997" spans="3:7" x14ac:dyDescent="0.15">
      <c r="C1997" s="43">
        <v>709</v>
      </c>
      <c r="D1997" s="42">
        <v>0.51960784313725494</v>
      </c>
      <c r="E1997" s="42">
        <v>0.9921875</v>
      </c>
      <c r="F1997" s="42">
        <v>0.51960784313725494</v>
      </c>
      <c r="G1997">
        <v>1</v>
      </c>
    </row>
    <row r="1998" spans="3:7" x14ac:dyDescent="0.15">
      <c r="C1998" s="43">
        <v>710</v>
      </c>
      <c r="D1998" s="42">
        <v>0.52049910873440286</v>
      </c>
      <c r="E1998" s="42">
        <v>0.9921875</v>
      </c>
      <c r="F1998" s="42">
        <v>0.52049910873440286</v>
      </c>
      <c r="G1998">
        <v>1</v>
      </c>
    </row>
    <row r="1999" spans="3:7" x14ac:dyDescent="0.15">
      <c r="C1999" s="43">
        <v>711</v>
      </c>
      <c r="D1999" s="42">
        <v>0.52139037433155078</v>
      </c>
      <c r="E1999" s="42">
        <v>0.9921875</v>
      </c>
      <c r="F1999" s="42">
        <v>0.52139037433155078</v>
      </c>
      <c r="G1999">
        <v>1</v>
      </c>
    </row>
    <row r="2000" spans="3:7" x14ac:dyDescent="0.15">
      <c r="C2000" s="43">
        <v>712</v>
      </c>
      <c r="D2000" s="42">
        <v>0.5222816399286988</v>
      </c>
      <c r="E2000" s="42">
        <v>0.9921875</v>
      </c>
      <c r="F2000" s="42">
        <v>0.5222816399286988</v>
      </c>
      <c r="G2000">
        <v>1</v>
      </c>
    </row>
    <row r="2001" spans="3:7" x14ac:dyDescent="0.15">
      <c r="C2001" s="43">
        <v>713</v>
      </c>
      <c r="D2001" s="42">
        <v>0.52317290552584672</v>
      </c>
      <c r="E2001" s="42">
        <v>0.9921875</v>
      </c>
      <c r="F2001" s="42">
        <v>0.52317290552584672</v>
      </c>
      <c r="G2001">
        <v>1</v>
      </c>
    </row>
    <row r="2002" spans="3:7" x14ac:dyDescent="0.15">
      <c r="C2002" s="43">
        <v>714</v>
      </c>
      <c r="D2002" s="42">
        <v>0.52406417112299464</v>
      </c>
      <c r="E2002" s="42">
        <v>0.9921875</v>
      </c>
      <c r="F2002" s="42">
        <v>0.52406417112299464</v>
      </c>
      <c r="G2002">
        <v>1</v>
      </c>
    </row>
    <row r="2003" spans="3:7" x14ac:dyDescent="0.15">
      <c r="C2003" s="43">
        <v>715</v>
      </c>
      <c r="D2003" s="42">
        <v>0.52495543672014255</v>
      </c>
      <c r="E2003" s="42">
        <v>0.9921875</v>
      </c>
      <c r="F2003" s="42">
        <v>0.52495543672014255</v>
      </c>
      <c r="G2003">
        <v>1</v>
      </c>
    </row>
    <row r="2004" spans="3:7" x14ac:dyDescent="0.15">
      <c r="C2004" s="43">
        <v>716</v>
      </c>
      <c r="D2004" s="42">
        <v>0.52584670231729058</v>
      </c>
      <c r="E2004" s="42">
        <v>0.9921875</v>
      </c>
      <c r="F2004" s="42">
        <v>0.52584670231729058</v>
      </c>
      <c r="G2004">
        <v>1</v>
      </c>
    </row>
    <row r="2005" spans="3:7" x14ac:dyDescent="0.15">
      <c r="C2005" s="43">
        <v>717</v>
      </c>
      <c r="D2005" s="42">
        <v>0.5267379679144385</v>
      </c>
      <c r="E2005" s="42">
        <v>0.9921875</v>
      </c>
      <c r="F2005" s="42">
        <v>0.5267379679144385</v>
      </c>
      <c r="G2005">
        <v>1</v>
      </c>
    </row>
    <row r="2006" spans="3:7" x14ac:dyDescent="0.15">
      <c r="C2006" s="43">
        <v>718</v>
      </c>
      <c r="D2006" s="42">
        <v>0.52762923351158642</v>
      </c>
      <c r="E2006" s="42">
        <v>0.9921875</v>
      </c>
      <c r="F2006" s="42">
        <v>0.52762923351158642</v>
      </c>
      <c r="G2006">
        <v>1</v>
      </c>
    </row>
    <row r="2007" spans="3:7" x14ac:dyDescent="0.15">
      <c r="C2007" s="43">
        <v>719</v>
      </c>
      <c r="D2007" s="42">
        <v>0.52852049910873444</v>
      </c>
      <c r="E2007" s="42">
        <v>0.9921875</v>
      </c>
      <c r="F2007" s="42">
        <v>0.52852049910873444</v>
      </c>
      <c r="G2007">
        <v>1</v>
      </c>
    </row>
    <row r="2008" spans="3:7" x14ac:dyDescent="0.15">
      <c r="C2008" s="43">
        <v>720</v>
      </c>
      <c r="D2008" s="42">
        <v>0.52941176470588236</v>
      </c>
      <c r="E2008" s="42">
        <v>0.9921875</v>
      </c>
      <c r="F2008" s="42">
        <v>0.52941176470588236</v>
      </c>
      <c r="G2008">
        <v>1</v>
      </c>
    </row>
    <row r="2009" spans="3:7" x14ac:dyDescent="0.15">
      <c r="C2009" s="43">
        <v>721</v>
      </c>
      <c r="D2009" s="42">
        <v>0.53030303030303028</v>
      </c>
      <c r="E2009" s="42">
        <v>0.9921875</v>
      </c>
      <c r="F2009" s="42">
        <v>0.53030303030303028</v>
      </c>
      <c r="G2009">
        <v>1</v>
      </c>
    </row>
    <row r="2010" spans="3:7" x14ac:dyDescent="0.15">
      <c r="C2010" s="43">
        <v>722</v>
      </c>
      <c r="D2010" s="42">
        <v>0.5311942959001783</v>
      </c>
      <c r="E2010" s="42">
        <v>0.9921875</v>
      </c>
      <c r="F2010" s="42">
        <v>0.5311942959001783</v>
      </c>
      <c r="G2010">
        <v>1</v>
      </c>
    </row>
    <row r="2011" spans="3:7" x14ac:dyDescent="0.15">
      <c r="C2011" s="43">
        <v>723</v>
      </c>
      <c r="D2011" s="42">
        <v>0.53208556149732622</v>
      </c>
      <c r="E2011" s="42">
        <v>0.9921875</v>
      </c>
      <c r="F2011" s="42">
        <v>0.53208556149732622</v>
      </c>
      <c r="G2011">
        <v>1</v>
      </c>
    </row>
    <row r="2012" spans="3:7" x14ac:dyDescent="0.15">
      <c r="C2012" s="43">
        <v>724</v>
      </c>
      <c r="D2012" s="42">
        <v>0.53297682709447414</v>
      </c>
      <c r="E2012" s="42">
        <v>0.9921875</v>
      </c>
      <c r="F2012" s="42">
        <v>0.53297682709447414</v>
      </c>
      <c r="G2012">
        <v>1</v>
      </c>
    </row>
    <row r="2013" spans="3:7" x14ac:dyDescent="0.15">
      <c r="C2013" s="43">
        <v>725</v>
      </c>
      <c r="D2013" s="42">
        <v>0.53386809269162205</v>
      </c>
      <c r="E2013" s="42">
        <v>0.9921875</v>
      </c>
      <c r="F2013" s="42">
        <v>0.53386809269162205</v>
      </c>
      <c r="G2013">
        <v>1</v>
      </c>
    </row>
    <row r="2014" spans="3:7" x14ac:dyDescent="0.15">
      <c r="C2014" s="43">
        <v>726</v>
      </c>
      <c r="D2014" s="42">
        <v>0.53475935828877008</v>
      </c>
      <c r="E2014" s="42">
        <v>0.9921875</v>
      </c>
      <c r="F2014" s="42">
        <v>0.53475935828877008</v>
      </c>
      <c r="G2014">
        <v>1</v>
      </c>
    </row>
    <row r="2015" spans="3:7" x14ac:dyDescent="0.15">
      <c r="C2015" s="43">
        <v>727</v>
      </c>
      <c r="D2015" s="42">
        <v>0.535650623885918</v>
      </c>
      <c r="E2015" s="42">
        <v>0.9921875</v>
      </c>
      <c r="F2015" s="42">
        <v>0.535650623885918</v>
      </c>
      <c r="G2015">
        <v>1</v>
      </c>
    </row>
    <row r="2016" spans="3:7" x14ac:dyDescent="0.15">
      <c r="C2016" s="43">
        <v>728</v>
      </c>
      <c r="D2016" s="42">
        <v>0.53654188948306591</v>
      </c>
      <c r="E2016" s="42">
        <v>0.9921875</v>
      </c>
      <c r="F2016" s="42">
        <v>0.53654188948306591</v>
      </c>
      <c r="G2016">
        <v>1</v>
      </c>
    </row>
    <row r="2017" spans="3:7" x14ac:dyDescent="0.15">
      <c r="C2017" s="43">
        <v>729</v>
      </c>
      <c r="D2017" s="42">
        <v>0.53743315508021394</v>
      </c>
      <c r="E2017" s="42">
        <v>0.9921875</v>
      </c>
      <c r="F2017" s="42">
        <v>0.53743315508021394</v>
      </c>
      <c r="G2017">
        <v>1</v>
      </c>
    </row>
    <row r="2018" spans="3:7" x14ac:dyDescent="0.15">
      <c r="C2018" s="43">
        <v>730</v>
      </c>
      <c r="D2018" s="42">
        <v>0.53832442067736186</v>
      </c>
      <c r="E2018" s="42">
        <v>0.9921875</v>
      </c>
      <c r="F2018" s="42">
        <v>0.53832442067736186</v>
      </c>
      <c r="G2018">
        <v>1</v>
      </c>
    </row>
    <row r="2019" spans="3:7" x14ac:dyDescent="0.15">
      <c r="C2019" s="43">
        <v>731</v>
      </c>
      <c r="D2019" s="42">
        <v>0.53921568627450978</v>
      </c>
      <c r="E2019" s="42">
        <v>0.9921875</v>
      </c>
      <c r="F2019" s="42">
        <v>0.53921568627450978</v>
      </c>
      <c r="G2019">
        <v>1</v>
      </c>
    </row>
    <row r="2020" spans="3:7" x14ac:dyDescent="0.15">
      <c r="C2020" s="43">
        <v>732</v>
      </c>
      <c r="D2020" s="42">
        <v>0.5401069518716578</v>
      </c>
      <c r="E2020" s="42">
        <v>0.9921875</v>
      </c>
      <c r="F2020" s="42">
        <v>0.5401069518716578</v>
      </c>
      <c r="G2020">
        <v>1</v>
      </c>
    </row>
    <row r="2021" spans="3:7" x14ac:dyDescent="0.15">
      <c r="C2021" s="43">
        <v>733</v>
      </c>
      <c r="D2021" s="42">
        <v>0.54099821746880572</v>
      </c>
      <c r="E2021" s="42">
        <v>0.9921875</v>
      </c>
      <c r="F2021" s="42">
        <v>0.54099821746880572</v>
      </c>
      <c r="G2021">
        <v>1</v>
      </c>
    </row>
    <row r="2022" spans="3:7" x14ac:dyDescent="0.15">
      <c r="C2022" s="43">
        <v>734</v>
      </c>
      <c r="D2022" s="42">
        <v>0.54188948306595364</v>
      </c>
      <c r="E2022" s="42">
        <v>0.9921875</v>
      </c>
      <c r="F2022" s="42">
        <v>0.54188948306595364</v>
      </c>
      <c r="G2022">
        <v>1</v>
      </c>
    </row>
    <row r="2023" spans="3:7" x14ac:dyDescent="0.15">
      <c r="C2023" s="43">
        <v>735</v>
      </c>
      <c r="D2023" s="42">
        <v>0.54278074866310155</v>
      </c>
      <c r="E2023" s="42">
        <v>0.9921875</v>
      </c>
      <c r="F2023" s="42">
        <v>0.54278074866310155</v>
      </c>
      <c r="G2023">
        <v>1</v>
      </c>
    </row>
    <row r="2024" spans="3:7" x14ac:dyDescent="0.15">
      <c r="C2024" s="43">
        <v>736</v>
      </c>
      <c r="D2024" s="42">
        <v>0.54367201426024958</v>
      </c>
      <c r="E2024" s="42">
        <v>0.9921875</v>
      </c>
      <c r="F2024" s="42">
        <v>0.54367201426024958</v>
      </c>
      <c r="G2024">
        <v>1</v>
      </c>
    </row>
    <row r="2025" spans="3:7" x14ac:dyDescent="0.15">
      <c r="C2025" s="43">
        <v>737</v>
      </c>
      <c r="D2025" s="42">
        <v>0.5445632798573975</v>
      </c>
      <c r="E2025" s="42">
        <v>0.9921875</v>
      </c>
      <c r="F2025" s="42">
        <v>0.5445632798573975</v>
      </c>
      <c r="G2025">
        <v>1</v>
      </c>
    </row>
    <row r="2026" spans="3:7" x14ac:dyDescent="0.15">
      <c r="C2026" s="43">
        <v>738</v>
      </c>
      <c r="D2026" s="42">
        <v>0.54545454545454541</v>
      </c>
      <c r="E2026" s="42">
        <v>0.9921875</v>
      </c>
      <c r="F2026" s="42">
        <v>0.54545454545454541</v>
      </c>
      <c r="G2026">
        <v>1</v>
      </c>
    </row>
    <row r="2027" spans="3:7" x14ac:dyDescent="0.15">
      <c r="C2027" s="43">
        <v>739</v>
      </c>
      <c r="D2027" s="42">
        <v>0.54634581105169344</v>
      </c>
      <c r="E2027" s="42">
        <v>0.9921875</v>
      </c>
      <c r="F2027" s="42">
        <v>0.54634581105169344</v>
      </c>
      <c r="G2027">
        <v>1</v>
      </c>
    </row>
    <row r="2028" spans="3:7" x14ac:dyDescent="0.15">
      <c r="C2028" s="43">
        <v>740</v>
      </c>
      <c r="D2028" s="42">
        <v>0.54723707664884136</v>
      </c>
      <c r="E2028" s="42">
        <v>0.9921875</v>
      </c>
      <c r="F2028" s="42">
        <v>0.54723707664884136</v>
      </c>
      <c r="G2028">
        <v>1</v>
      </c>
    </row>
    <row r="2029" spans="3:7" x14ac:dyDescent="0.15">
      <c r="C2029" s="43">
        <v>741</v>
      </c>
      <c r="D2029" s="42">
        <v>0.54812834224598928</v>
      </c>
      <c r="E2029" s="42">
        <v>0.9921875</v>
      </c>
      <c r="F2029" s="42">
        <v>0.54812834224598928</v>
      </c>
      <c r="G2029">
        <v>1</v>
      </c>
    </row>
    <row r="2030" spans="3:7" x14ac:dyDescent="0.15">
      <c r="C2030" s="43">
        <v>742</v>
      </c>
      <c r="D2030" s="42">
        <v>0.5490196078431373</v>
      </c>
      <c r="E2030" s="42">
        <v>0.9921875</v>
      </c>
      <c r="F2030" s="42">
        <v>0.5490196078431373</v>
      </c>
      <c r="G2030">
        <v>1</v>
      </c>
    </row>
    <row r="2031" spans="3:7" x14ac:dyDescent="0.15">
      <c r="C2031" s="43">
        <v>743</v>
      </c>
      <c r="D2031" s="42">
        <v>0.54991087344028522</v>
      </c>
      <c r="E2031" s="42">
        <v>0.9921875</v>
      </c>
      <c r="F2031" s="42">
        <v>0.54991087344028522</v>
      </c>
      <c r="G2031">
        <v>1</v>
      </c>
    </row>
    <row r="2032" spans="3:7" x14ac:dyDescent="0.15">
      <c r="C2032" s="43">
        <v>744</v>
      </c>
      <c r="D2032" s="42">
        <v>0.55080213903743314</v>
      </c>
      <c r="E2032" s="42">
        <v>0.9921875</v>
      </c>
      <c r="F2032" s="42">
        <v>0.55080213903743314</v>
      </c>
      <c r="G2032">
        <v>1</v>
      </c>
    </row>
    <row r="2033" spans="3:7" x14ac:dyDescent="0.15">
      <c r="C2033" s="43">
        <v>745</v>
      </c>
      <c r="D2033" s="42">
        <v>0.55169340463458105</v>
      </c>
      <c r="E2033" s="42">
        <v>0.9921875</v>
      </c>
      <c r="F2033" s="42">
        <v>0.55169340463458105</v>
      </c>
      <c r="G2033">
        <v>1</v>
      </c>
    </row>
    <row r="2034" spans="3:7" x14ac:dyDescent="0.15">
      <c r="C2034" s="43">
        <v>746</v>
      </c>
      <c r="D2034" s="42">
        <v>0.55258467023172908</v>
      </c>
      <c r="E2034" s="42">
        <v>0.9921875</v>
      </c>
      <c r="F2034" s="42">
        <v>0.55258467023172908</v>
      </c>
      <c r="G2034">
        <v>1</v>
      </c>
    </row>
    <row r="2035" spans="3:7" x14ac:dyDescent="0.15">
      <c r="C2035" s="43">
        <v>747</v>
      </c>
      <c r="D2035" s="42">
        <v>0.553475935828877</v>
      </c>
      <c r="E2035" s="42">
        <v>0.9921875</v>
      </c>
      <c r="F2035" s="42">
        <v>0.553475935828877</v>
      </c>
      <c r="G2035">
        <v>1</v>
      </c>
    </row>
    <row r="2036" spans="3:7" x14ac:dyDescent="0.15">
      <c r="C2036" s="43">
        <v>748</v>
      </c>
      <c r="D2036" s="42">
        <v>0.55436720142602491</v>
      </c>
      <c r="E2036" s="42">
        <v>0.9921875</v>
      </c>
      <c r="F2036" s="42">
        <v>0.55436720142602491</v>
      </c>
      <c r="G2036">
        <v>1</v>
      </c>
    </row>
    <row r="2037" spans="3:7" x14ac:dyDescent="0.15">
      <c r="C2037" s="43">
        <v>749</v>
      </c>
      <c r="D2037" s="42">
        <v>0.55525846702317294</v>
      </c>
      <c r="E2037" s="42">
        <v>0.9921875</v>
      </c>
      <c r="F2037" s="42">
        <v>0.55525846702317294</v>
      </c>
      <c r="G2037">
        <v>1</v>
      </c>
    </row>
    <row r="2038" spans="3:7" x14ac:dyDescent="0.15">
      <c r="C2038" s="43">
        <v>750</v>
      </c>
      <c r="D2038" s="42">
        <v>0.55614973262032086</v>
      </c>
      <c r="E2038" s="42">
        <v>0.9921875</v>
      </c>
      <c r="F2038" s="42">
        <v>0.55614973262032086</v>
      </c>
      <c r="G2038">
        <v>1</v>
      </c>
    </row>
    <row r="2039" spans="3:7" x14ac:dyDescent="0.15">
      <c r="C2039" s="43">
        <v>751</v>
      </c>
      <c r="D2039" s="42">
        <v>0.55704099821746877</v>
      </c>
      <c r="E2039" s="42">
        <v>0.9921875</v>
      </c>
      <c r="F2039" s="42">
        <v>0.55704099821746877</v>
      </c>
      <c r="G2039">
        <v>1</v>
      </c>
    </row>
    <row r="2040" spans="3:7" x14ac:dyDescent="0.15">
      <c r="C2040" s="43">
        <v>752</v>
      </c>
      <c r="D2040" s="42">
        <v>0.5579322638146168</v>
      </c>
      <c r="E2040" s="42">
        <v>0.9921875</v>
      </c>
      <c r="F2040" s="42">
        <v>0.5579322638146168</v>
      </c>
      <c r="G2040">
        <v>1</v>
      </c>
    </row>
    <row r="2041" spans="3:7" x14ac:dyDescent="0.15">
      <c r="C2041" s="43">
        <v>753</v>
      </c>
      <c r="D2041" s="42">
        <v>0.55882352941176472</v>
      </c>
      <c r="E2041" s="42">
        <v>0.9921875</v>
      </c>
      <c r="F2041" s="42">
        <v>0.55882352941176472</v>
      </c>
      <c r="G2041">
        <v>1</v>
      </c>
    </row>
    <row r="2042" spans="3:7" x14ac:dyDescent="0.15">
      <c r="C2042" s="43">
        <v>754</v>
      </c>
      <c r="D2042" s="42">
        <v>0.55971479500891264</v>
      </c>
      <c r="E2042" s="42">
        <v>0.9921875</v>
      </c>
      <c r="F2042" s="42">
        <v>0.55971479500891264</v>
      </c>
      <c r="G2042">
        <v>1</v>
      </c>
    </row>
    <row r="2043" spans="3:7" x14ac:dyDescent="0.15">
      <c r="C2043" s="43">
        <v>755</v>
      </c>
      <c r="D2043" s="42">
        <v>0.56060606060606055</v>
      </c>
      <c r="E2043" s="42">
        <v>0.9921875</v>
      </c>
      <c r="F2043" s="42">
        <v>0.56060606060606055</v>
      </c>
      <c r="G2043">
        <v>1</v>
      </c>
    </row>
    <row r="2044" spans="3:7" x14ac:dyDescent="0.15">
      <c r="C2044" s="43">
        <v>756</v>
      </c>
      <c r="D2044" s="42">
        <v>0.56149732620320858</v>
      </c>
      <c r="E2044" s="42">
        <v>0.9921875</v>
      </c>
      <c r="F2044" s="42">
        <v>0.56149732620320858</v>
      </c>
      <c r="G2044">
        <v>1</v>
      </c>
    </row>
    <row r="2045" spans="3:7" x14ac:dyDescent="0.15">
      <c r="C2045" s="43">
        <v>757</v>
      </c>
      <c r="D2045" s="42">
        <v>0.5623885918003565</v>
      </c>
      <c r="E2045" s="42">
        <v>0.9921875</v>
      </c>
      <c r="F2045" s="42">
        <v>0.5623885918003565</v>
      </c>
      <c r="G2045">
        <v>1</v>
      </c>
    </row>
    <row r="2046" spans="3:7" x14ac:dyDescent="0.15">
      <c r="C2046" s="43">
        <v>758</v>
      </c>
      <c r="D2046" s="42">
        <v>0.56327985739750441</v>
      </c>
      <c r="E2046" s="42">
        <v>0.9921875</v>
      </c>
      <c r="F2046" s="42">
        <v>0.56327985739750441</v>
      </c>
      <c r="G2046">
        <v>1</v>
      </c>
    </row>
    <row r="2047" spans="3:7" x14ac:dyDescent="0.15">
      <c r="C2047" s="43">
        <v>759</v>
      </c>
      <c r="D2047" s="42">
        <v>0.56417112299465244</v>
      </c>
      <c r="E2047" s="42">
        <v>0.9921875</v>
      </c>
      <c r="F2047" s="42">
        <v>0.56417112299465244</v>
      </c>
      <c r="G2047">
        <v>1</v>
      </c>
    </row>
    <row r="2048" spans="3:7" x14ac:dyDescent="0.15">
      <c r="C2048" s="43">
        <v>760</v>
      </c>
      <c r="D2048" s="42">
        <v>0.56506238859180036</v>
      </c>
      <c r="E2048" s="42">
        <v>0.9921875</v>
      </c>
      <c r="F2048" s="42">
        <v>0.56506238859180036</v>
      </c>
      <c r="G2048">
        <v>1</v>
      </c>
    </row>
    <row r="2049" spans="3:7" x14ac:dyDescent="0.15">
      <c r="C2049" s="43">
        <v>761</v>
      </c>
      <c r="D2049" s="42">
        <v>0.56595365418894827</v>
      </c>
      <c r="E2049" s="42">
        <v>0.9921875</v>
      </c>
      <c r="F2049" s="42">
        <v>0.56595365418894827</v>
      </c>
      <c r="G2049">
        <v>1</v>
      </c>
    </row>
    <row r="2050" spans="3:7" x14ac:dyDescent="0.15">
      <c r="C2050" s="43">
        <v>762</v>
      </c>
      <c r="D2050" s="42">
        <v>0.5668449197860963</v>
      </c>
      <c r="E2050" s="42">
        <v>0.9921875</v>
      </c>
      <c r="F2050" s="42">
        <v>0.5668449197860963</v>
      </c>
      <c r="G2050">
        <v>1</v>
      </c>
    </row>
    <row r="2051" spans="3:7" x14ac:dyDescent="0.15">
      <c r="C2051" s="43">
        <v>763</v>
      </c>
      <c r="D2051" s="42">
        <v>0.56773618538324422</v>
      </c>
      <c r="E2051" s="42">
        <v>0.9921875</v>
      </c>
      <c r="F2051" s="42">
        <v>0.56773618538324422</v>
      </c>
      <c r="G2051">
        <v>1</v>
      </c>
    </row>
    <row r="2052" spans="3:7" x14ac:dyDescent="0.15">
      <c r="C2052" s="43">
        <v>764</v>
      </c>
      <c r="D2052" s="42">
        <v>0.56862745098039214</v>
      </c>
      <c r="E2052" s="42">
        <v>0.9921875</v>
      </c>
      <c r="F2052" s="42">
        <v>0.56862745098039214</v>
      </c>
      <c r="G2052">
        <v>1</v>
      </c>
    </row>
    <row r="2053" spans="3:7" x14ac:dyDescent="0.15">
      <c r="C2053" s="43">
        <v>765</v>
      </c>
      <c r="D2053" s="42">
        <v>0.56951871657754005</v>
      </c>
      <c r="E2053" s="42">
        <v>0.9921875</v>
      </c>
      <c r="F2053" s="42">
        <v>0.56951871657754005</v>
      </c>
      <c r="G2053">
        <v>1</v>
      </c>
    </row>
    <row r="2054" spans="3:7" x14ac:dyDescent="0.15">
      <c r="C2054" s="43">
        <v>766</v>
      </c>
      <c r="D2054" s="42">
        <v>0.57040998217468808</v>
      </c>
      <c r="E2054" s="42">
        <v>0.9921875</v>
      </c>
      <c r="F2054" s="42">
        <v>0.57040998217468808</v>
      </c>
      <c r="G2054">
        <v>1</v>
      </c>
    </row>
    <row r="2055" spans="3:7" x14ac:dyDescent="0.15">
      <c r="C2055" s="43">
        <v>767</v>
      </c>
      <c r="D2055" s="42">
        <v>0.571301247771836</v>
      </c>
      <c r="E2055" s="42">
        <v>0.9921875</v>
      </c>
      <c r="F2055" s="42">
        <v>0.571301247771836</v>
      </c>
      <c r="G2055">
        <v>1</v>
      </c>
    </row>
    <row r="2056" spans="3:7" x14ac:dyDescent="0.15">
      <c r="C2056" s="43">
        <v>768</v>
      </c>
      <c r="D2056" s="42">
        <v>0.57219251336898391</v>
      </c>
      <c r="E2056" s="42">
        <v>0.9921875</v>
      </c>
      <c r="F2056" s="42">
        <v>0.57219251336898391</v>
      </c>
      <c r="G2056">
        <v>1</v>
      </c>
    </row>
    <row r="2057" spans="3:7" x14ac:dyDescent="0.15">
      <c r="C2057" s="43">
        <v>769</v>
      </c>
      <c r="D2057" s="42">
        <v>0.57308377896613194</v>
      </c>
      <c r="E2057" s="42">
        <v>0.9921875</v>
      </c>
      <c r="F2057" s="42">
        <v>0.57308377896613194</v>
      </c>
      <c r="G2057">
        <v>1</v>
      </c>
    </row>
    <row r="2058" spans="3:7" x14ac:dyDescent="0.15">
      <c r="C2058" s="43">
        <v>770</v>
      </c>
      <c r="D2058" s="42">
        <v>0.57397504456327986</v>
      </c>
      <c r="E2058" s="42">
        <v>0.9921875</v>
      </c>
      <c r="F2058" s="42">
        <v>0.57397504456327986</v>
      </c>
      <c r="G2058">
        <v>1</v>
      </c>
    </row>
    <row r="2059" spans="3:7" x14ac:dyDescent="0.15">
      <c r="C2059" s="43">
        <v>771</v>
      </c>
      <c r="D2059" s="42">
        <v>0.57486631016042777</v>
      </c>
      <c r="E2059" s="42">
        <v>0.9921875</v>
      </c>
      <c r="F2059" s="42">
        <v>0.57486631016042777</v>
      </c>
      <c r="G2059">
        <v>1</v>
      </c>
    </row>
    <row r="2060" spans="3:7" x14ac:dyDescent="0.15">
      <c r="C2060" s="43">
        <v>772</v>
      </c>
      <c r="D2060" s="42">
        <v>0.5757575757575758</v>
      </c>
      <c r="E2060" s="42">
        <v>0.9921875</v>
      </c>
      <c r="F2060" s="42">
        <v>0.5757575757575758</v>
      </c>
      <c r="G2060">
        <v>1</v>
      </c>
    </row>
    <row r="2061" spans="3:7" x14ac:dyDescent="0.15">
      <c r="C2061" s="43">
        <v>773</v>
      </c>
      <c r="D2061" s="42">
        <v>0.57664884135472372</v>
      </c>
      <c r="E2061" s="42">
        <v>0.9921875</v>
      </c>
      <c r="F2061" s="42">
        <v>0.57664884135472372</v>
      </c>
      <c r="G2061">
        <v>1</v>
      </c>
    </row>
    <row r="2062" spans="3:7" x14ac:dyDescent="0.15">
      <c r="C2062" s="43">
        <v>774</v>
      </c>
      <c r="D2062" s="42">
        <v>0.57754010695187163</v>
      </c>
      <c r="E2062" s="42">
        <v>0.9921875</v>
      </c>
      <c r="F2062" s="42">
        <v>0.57754010695187163</v>
      </c>
      <c r="G2062">
        <v>1</v>
      </c>
    </row>
    <row r="2063" spans="3:7" x14ac:dyDescent="0.15">
      <c r="C2063" s="43">
        <v>775</v>
      </c>
      <c r="D2063" s="42">
        <v>0.57843137254901966</v>
      </c>
      <c r="E2063" s="42">
        <v>0.9921875</v>
      </c>
      <c r="F2063" s="42">
        <v>0.57843137254901966</v>
      </c>
      <c r="G2063">
        <v>1</v>
      </c>
    </row>
    <row r="2064" spans="3:7" x14ac:dyDescent="0.15">
      <c r="C2064" s="43">
        <v>776</v>
      </c>
      <c r="D2064" s="42">
        <v>0.57932263814616758</v>
      </c>
      <c r="E2064" s="42">
        <v>0.9921875</v>
      </c>
      <c r="F2064" s="42">
        <v>0.57932263814616758</v>
      </c>
      <c r="G2064">
        <v>1</v>
      </c>
    </row>
    <row r="2065" spans="3:7" x14ac:dyDescent="0.15">
      <c r="C2065" s="43">
        <v>777</v>
      </c>
      <c r="D2065" s="42">
        <v>0.5802139037433155</v>
      </c>
      <c r="E2065" s="42">
        <v>0.9921875</v>
      </c>
      <c r="F2065" s="42">
        <v>0.5802139037433155</v>
      </c>
      <c r="G2065">
        <v>1</v>
      </c>
    </row>
    <row r="2066" spans="3:7" x14ac:dyDescent="0.15">
      <c r="C2066" s="43">
        <v>778</v>
      </c>
      <c r="D2066" s="42">
        <v>0.58110516934046341</v>
      </c>
      <c r="E2066" s="42">
        <v>0.9921875</v>
      </c>
      <c r="F2066" s="42">
        <v>0.58110516934046341</v>
      </c>
      <c r="G2066">
        <v>1</v>
      </c>
    </row>
    <row r="2067" spans="3:7" x14ac:dyDescent="0.15">
      <c r="C2067" s="43">
        <v>779</v>
      </c>
      <c r="D2067" s="42">
        <v>0.58199643493761144</v>
      </c>
      <c r="E2067" s="42">
        <v>0.9921875</v>
      </c>
      <c r="F2067" s="42">
        <v>0.58199643493761144</v>
      </c>
      <c r="G2067">
        <v>1</v>
      </c>
    </row>
    <row r="2068" spans="3:7" x14ac:dyDescent="0.15">
      <c r="C2068" s="43">
        <v>780</v>
      </c>
      <c r="D2068" s="42">
        <v>0.58288770053475936</v>
      </c>
      <c r="E2068" s="42">
        <v>0.9921875</v>
      </c>
      <c r="F2068" s="42">
        <v>0.58288770053475936</v>
      </c>
      <c r="G2068">
        <v>1</v>
      </c>
    </row>
    <row r="2069" spans="3:7" x14ac:dyDescent="0.15">
      <c r="C2069" s="43">
        <v>781</v>
      </c>
      <c r="D2069" s="42">
        <v>0.58377896613190727</v>
      </c>
      <c r="E2069" s="42">
        <v>0.9921875</v>
      </c>
      <c r="F2069" s="42">
        <v>0.58377896613190727</v>
      </c>
      <c r="G2069">
        <v>1</v>
      </c>
    </row>
    <row r="2070" spans="3:7" x14ac:dyDescent="0.15">
      <c r="C2070" s="43">
        <v>782</v>
      </c>
      <c r="D2070" s="42">
        <v>0.5846702317290553</v>
      </c>
      <c r="E2070" s="42">
        <v>0.9921875</v>
      </c>
      <c r="F2070" s="42">
        <v>0.5846702317290553</v>
      </c>
      <c r="G2070">
        <v>1</v>
      </c>
    </row>
    <row r="2071" spans="3:7" x14ac:dyDescent="0.15">
      <c r="C2071" s="43">
        <v>783</v>
      </c>
      <c r="D2071" s="42">
        <v>0.58556149732620322</v>
      </c>
      <c r="E2071" s="42">
        <v>0.9921875</v>
      </c>
      <c r="F2071" s="42">
        <v>0.58556149732620322</v>
      </c>
      <c r="G2071">
        <v>1</v>
      </c>
    </row>
    <row r="2072" spans="3:7" x14ac:dyDescent="0.15">
      <c r="C2072" s="43">
        <v>784</v>
      </c>
      <c r="D2072" s="42">
        <v>0.58645276292335113</v>
      </c>
      <c r="E2072" s="42">
        <v>0.9921875</v>
      </c>
      <c r="F2072" s="42">
        <v>0.58645276292335113</v>
      </c>
      <c r="G2072">
        <v>1</v>
      </c>
    </row>
    <row r="2073" spans="3:7" x14ac:dyDescent="0.15">
      <c r="C2073" s="43">
        <v>785</v>
      </c>
      <c r="D2073" s="42">
        <v>0.58734402852049916</v>
      </c>
      <c r="E2073" s="42">
        <v>0.9921875</v>
      </c>
      <c r="F2073" s="42">
        <v>0.58734402852049916</v>
      </c>
      <c r="G2073">
        <v>1</v>
      </c>
    </row>
    <row r="2074" spans="3:7" x14ac:dyDescent="0.15">
      <c r="C2074" s="43">
        <v>786</v>
      </c>
      <c r="D2074" s="42">
        <v>0.58823529411764708</v>
      </c>
      <c r="E2074" s="42">
        <v>0.9921875</v>
      </c>
      <c r="F2074" s="42">
        <v>0.58823529411764708</v>
      </c>
      <c r="G2074">
        <v>1</v>
      </c>
    </row>
    <row r="2075" spans="3:7" x14ac:dyDescent="0.15">
      <c r="C2075" s="43">
        <v>787</v>
      </c>
      <c r="D2075" s="42">
        <v>0.589126559714795</v>
      </c>
      <c r="E2075" s="42">
        <v>0.9921875</v>
      </c>
      <c r="F2075" s="42">
        <v>0.589126559714795</v>
      </c>
      <c r="G2075">
        <v>1</v>
      </c>
    </row>
    <row r="2076" spans="3:7" x14ac:dyDescent="0.15">
      <c r="C2076" s="43">
        <v>788</v>
      </c>
      <c r="D2076" s="42">
        <v>0.59001782531194291</v>
      </c>
      <c r="E2076" s="42">
        <v>0.9921875</v>
      </c>
      <c r="F2076" s="42">
        <v>0.59001782531194291</v>
      </c>
      <c r="G2076">
        <v>1</v>
      </c>
    </row>
    <row r="2077" spans="3:7" x14ac:dyDescent="0.15">
      <c r="C2077" s="43">
        <v>789</v>
      </c>
      <c r="D2077" s="42">
        <v>0.59090909090909094</v>
      </c>
      <c r="E2077" s="42">
        <v>0.9921875</v>
      </c>
      <c r="F2077" s="42">
        <v>0.59090909090909094</v>
      </c>
      <c r="G2077">
        <v>1</v>
      </c>
    </row>
    <row r="2078" spans="3:7" x14ac:dyDescent="0.15">
      <c r="C2078" s="43">
        <v>790</v>
      </c>
      <c r="D2078" s="42">
        <v>0.59180035650623886</v>
      </c>
      <c r="E2078" s="42">
        <v>0.9921875</v>
      </c>
      <c r="F2078" s="42">
        <v>0.59180035650623886</v>
      </c>
      <c r="G2078">
        <v>1</v>
      </c>
    </row>
    <row r="2079" spans="3:7" x14ac:dyDescent="0.15">
      <c r="C2079" s="43">
        <v>791</v>
      </c>
      <c r="D2079" s="42">
        <v>0.59269162210338677</v>
      </c>
      <c r="E2079" s="42">
        <v>0.9921875</v>
      </c>
      <c r="F2079" s="42">
        <v>0.59269162210338677</v>
      </c>
      <c r="G2079">
        <v>1</v>
      </c>
    </row>
    <row r="2080" spans="3:7" x14ac:dyDescent="0.15">
      <c r="C2080" s="43">
        <v>792</v>
      </c>
      <c r="D2080" s="42">
        <v>0.5935828877005348</v>
      </c>
      <c r="E2080" s="42">
        <v>0.9921875</v>
      </c>
      <c r="F2080" s="42">
        <v>0.5935828877005348</v>
      </c>
      <c r="G2080">
        <v>1</v>
      </c>
    </row>
    <row r="2081" spans="3:7" x14ac:dyDescent="0.15">
      <c r="C2081" s="43">
        <v>793</v>
      </c>
      <c r="D2081" s="42">
        <v>0.59447415329768272</v>
      </c>
      <c r="E2081" s="42">
        <v>0.9921875</v>
      </c>
      <c r="F2081" s="42">
        <v>0.59447415329768272</v>
      </c>
      <c r="G2081">
        <v>1</v>
      </c>
    </row>
    <row r="2082" spans="3:7" x14ac:dyDescent="0.15">
      <c r="C2082" s="43">
        <v>794</v>
      </c>
      <c r="D2082" s="42">
        <v>0.59536541889483063</v>
      </c>
      <c r="E2082" s="42">
        <v>0.9921875</v>
      </c>
      <c r="F2082" s="42">
        <v>0.59536541889483063</v>
      </c>
      <c r="G2082">
        <v>1</v>
      </c>
    </row>
    <row r="2083" spans="3:7" x14ac:dyDescent="0.15">
      <c r="C2083" s="43">
        <v>795</v>
      </c>
      <c r="D2083" s="42">
        <v>0.59625668449197866</v>
      </c>
      <c r="E2083" s="42">
        <v>0.9921875</v>
      </c>
      <c r="F2083" s="42">
        <v>0.59625668449197866</v>
      </c>
      <c r="G2083">
        <v>1</v>
      </c>
    </row>
    <row r="2084" spans="3:7" x14ac:dyDescent="0.15">
      <c r="C2084" s="43">
        <v>796</v>
      </c>
      <c r="D2084" s="42">
        <v>0.59714795008912658</v>
      </c>
      <c r="E2084" s="42">
        <v>0.9921875</v>
      </c>
      <c r="F2084" s="42">
        <v>0.59714795008912658</v>
      </c>
      <c r="G2084">
        <v>1</v>
      </c>
    </row>
    <row r="2085" spans="3:7" x14ac:dyDescent="0.15">
      <c r="C2085" s="43">
        <v>797</v>
      </c>
      <c r="D2085" s="42">
        <v>0.59803921568627449</v>
      </c>
      <c r="E2085" s="42">
        <v>0.9921875</v>
      </c>
      <c r="F2085" s="42">
        <v>0.59803921568627449</v>
      </c>
      <c r="G2085">
        <v>1</v>
      </c>
    </row>
    <row r="2086" spans="3:7" x14ac:dyDescent="0.15">
      <c r="C2086" s="43">
        <v>798</v>
      </c>
      <c r="D2086" s="42">
        <v>0.59893048128342241</v>
      </c>
      <c r="E2086" s="42">
        <v>0.9921875</v>
      </c>
      <c r="F2086" s="42">
        <v>0.59893048128342241</v>
      </c>
      <c r="G2086">
        <v>1</v>
      </c>
    </row>
    <row r="2087" spans="3:7" x14ac:dyDescent="0.15">
      <c r="C2087" s="43">
        <v>799</v>
      </c>
      <c r="D2087" s="42">
        <v>0.59982174688057044</v>
      </c>
      <c r="E2087" s="42">
        <v>0.9921875</v>
      </c>
      <c r="F2087" s="42">
        <v>0.59982174688057044</v>
      </c>
      <c r="G2087">
        <v>1</v>
      </c>
    </row>
    <row r="2088" spans="3:7" x14ac:dyDescent="0.15">
      <c r="C2088" s="43">
        <v>800</v>
      </c>
      <c r="D2088" s="42">
        <v>0.60071301247771836</v>
      </c>
      <c r="E2088" s="42">
        <v>0.9921875</v>
      </c>
      <c r="F2088" s="42">
        <v>0.60071301247771836</v>
      </c>
      <c r="G2088">
        <v>1</v>
      </c>
    </row>
    <row r="2089" spans="3:7" x14ac:dyDescent="0.15">
      <c r="C2089" s="43">
        <v>801</v>
      </c>
      <c r="D2089" s="42">
        <v>0.60160427807486627</v>
      </c>
      <c r="E2089" s="42">
        <v>0.9921875</v>
      </c>
      <c r="F2089" s="42">
        <v>0.60160427807486627</v>
      </c>
      <c r="G2089">
        <v>1</v>
      </c>
    </row>
    <row r="2090" spans="3:7" x14ac:dyDescent="0.15">
      <c r="C2090" s="43">
        <v>802</v>
      </c>
      <c r="D2090" s="42">
        <v>0.6024955436720143</v>
      </c>
      <c r="E2090" s="42">
        <v>0.9921875</v>
      </c>
      <c r="F2090" s="42">
        <v>0.6024955436720143</v>
      </c>
      <c r="G2090">
        <v>1</v>
      </c>
    </row>
    <row r="2091" spans="3:7" x14ac:dyDescent="0.15">
      <c r="C2091" s="43">
        <v>803</v>
      </c>
      <c r="D2091" s="42">
        <v>0.60338680926916222</v>
      </c>
      <c r="E2091" s="42">
        <v>0.9921875</v>
      </c>
      <c r="F2091" s="42">
        <v>0.60338680926916222</v>
      </c>
      <c r="G2091">
        <v>1</v>
      </c>
    </row>
    <row r="2092" spans="3:7" x14ac:dyDescent="0.15">
      <c r="C2092" s="43">
        <v>804</v>
      </c>
      <c r="D2092" s="42">
        <v>0.60427807486631013</v>
      </c>
      <c r="E2092" s="42">
        <v>0.9921875</v>
      </c>
      <c r="F2092" s="42">
        <v>0.60427807486631013</v>
      </c>
      <c r="G2092">
        <v>1</v>
      </c>
    </row>
    <row r="2093" spans="3:7" x14ac:dyDescent="0.15">
      <c r="C2093" s="43">
        <v>805</v>
      </c>
      <c r="D2093" s="42">
        <v>0.60516934046345816</v>
      </c>
      <c r="E2093" s="42">
        <v>0.9921875</v>
      </c>
      <c r="F2093" s="42">
        <v>0.60516934046345816</v>
      </c>
      <c r="G2093">
        <v>1</v>
      </c>
    </row>
    <row r="2094" spans="3:7" x14ac:dyDescent="0.15">
      <c r="C2094" s="43">
        <v>806</v>
      </c>
      <c r="D2094" s="42">
        <v>0.60606060606060608</v>
      </c>
      <c r="E2094" s="42">
        <v>0.9921875</v>
      </c>
      <c r="F2094" s="42">
        <v>0.60606060606060608</v>
      </c>
      <c r="G2094">
        <v>1</v>
      </c>
    </row>
    <row r="2095" spans="3:7" x14ac:dyDescent="0.15">
      <c r="C2095" s="43">
        <v>807</v>
      </c>
      <c r="D2095" s="42">
        <v>0.60695187165775399</v>
      </c>
      <c r="E2095" s="42">
        <v>0.9921875</v>
      </c>
      <c r="F2095" s="42">
        <v>0.60695187165775399</v>
      </c>
      <c r="G2095">
        <v>1</v>
      </c>
    </row>
    <row r="2096" spans="3:7" x14ac:dyDescent="0.15">
      <c r="C2096" s="43">
        <v>808</v>
      </c>
      <c r="D2096" s="42">
        <v>0.60784313725490191</v>
      </c>
      <c r="E2096" s="42">
        <v>0.9921875</v>
      </c>
      <c r="F2096" s="42">
        <v>0.60784313725490191</v>
      </c>
      <c r="G2096">
        <v>1</v>
      </c>
    </row>
    <row r="2097" spans="3:7" x14ac:dyDescent="0.15">
      <c r="C2097" s="43">
        <v>809</v>
      </c>
      <c r="D2097" s="42">
        <v>0.60873440285204994</v>
      </c>
      <c r="E2097" s="42">
        <v>0.9921875</v>
      </c>
      <c r="F2097" s="42">
        <v>0.60873440285204994</v>
      </c>
      <c r="G2097">
        <v>1</v>
      </c>
    </row>
    <row r="2098" spans="3:7" x14ac:dyDescent="0.15">
      <c r="C2098" s="43">
        <v>810</v>
      </c>
      <c r="D2098" s="42">
        <v>0.60962566844919786</v>
      </c>
      <c r="E2098" s="42">
        <v>0.9921875</v>
      </c>
      <c r="F2098" s="42">
        <v>0.60962566844919786</v>
      </c>
      <c r="G2098">
        <v>1</v>
      </c>
    </row>
    <row r="2099" spans="3:7" x14ac:dyDescent="0.15">
      <c r="C2099" s="43">
        <v>811</v>
      </c>
      <c r="D2099" s="42">
        <v>0.61051693404634577</v>
      </c>
      <c r="E2099" s="42">
        <v>0.9921875</v>
      </c>
      <c r="F2099" s="42">
        <v>0.61051693404634577</v>
      </c>
      <c r="G2099">
        <v>1</v>
      </c>
    </row>
    <row r="2100" spans="3:7" x14ac:dyDescent="0.15">
      <c r="C2100" s="43">
        <v>812</v>
      </c>
      <c r="D2100" s="42">
        <v>0.6114081996434938</v>
      </c>
      <c r="E2100" s="42">
        <v>0.9921875</v>
      </c>
      <c r="F2100" s="42">
        <v>0.6114081996434938</v>
      </c>
      <c r="G2100">
        <v>1</v>
      </c>
    </row>
    <row r="2101" spans="3:7" x14ac:dyDescent="0.15">
      <c r="C2101" s="43">
        <v>813</v>
      </c>
      <c r="D2101" s="42">
        <v>0.61229946524064172</v>
      </c>
      <c r="E2101" s="42">
        <v>0.9921875</v>
      </c>
      <c r="F2101" s="42">
        <v>0.61229946524064172</v>
      </c>
      <c r="G2101">
        <v>1</v>
      </c>
    </row>
    <row r="2102" spans="3:7" x14ac:dyDescent="0.15">
      <c r="C2102" s="43">
        <v>814</v>
      </c>
      <c r="D2102" s="42">
        <v>0.61319073083778963</v>
      </c>
      <c r="E2102" s="42">
        <v>0.9921875</v>
      </c>
      <c r="F2102" s="42">
        <v>0.61319073083778963</v>
      </c>
      <c r="G2102">
        <v>1</v>
      </c>
    </row>
    <row r="2103" spans="3:7" x14ac:dyDescent="0.15">
      <c r="C2103" s="43">
        <v>815</v>
      </c>
      <c r="D2103" s="42">
        <v>0.61408199643493766</v>
      </c>
      <c r="E2103" s="42">
        <v>0.9921875</v>
      </c>
      <c r="F2103" s="42">
        <v>0.61408199643493766</v>
      </c>
      <c r="G2103">
        <v>1</v>
      </c>
    </row>
    <row r="2104" spans="3:7" x14ac:dyDescent="0.15">
      <c r="C2104" s="43">
        <v>816</v>
      </c>
      <c r="D2104" s="42">
        <v>0.61497326203208558</v>
      </c>
      <c r="E2104" s="42">
        <v>0.9921875</v>
      </c>
      <c r="F2104" s="42">
        <v>0.61497326203208558</v>
      </c>
      <c r="G2104">
        <v>1</v>
      </c>
    </row>
    <row r="2105" spans="3:7" x14ac:dyDescent="0.15">
      <c r="C2105" s="43">
        <v>817</v>
      </c>
      <c r="D2105" s="42">
        <v>0.61586452762923349</v>
      </c>
      <c r="E2105" s="42">
        <v>0.9921875</v>
      </c>
      <c r="F2105" s="42">
        <v>0.61586452762923349</v>
      </c>
      <c r="G2105">
        <v>1</v>
      </c>
    </row>
    <row r="2106" spans="3:7" x14ac:dyDescent="0.15">
      <c r="C2106" s="43">
        <v>818</v>
      </c>
      <c r="D2106" s="42">
        <v>0.61675579322638141</v>
      </c>
      <c r="E2106" s="42">
        <v>0.9921875</v>
      </c>
      <c r="F2106" s="42">
        <v>0.61675579322638141</v>
      </c>
      <c r="G2106">
        <v>1</v>
      </c>
    </row>
    <row r="2107" spans="3:7" x14ac:dyDescent="0.15">
      <c r="C2107" s="43">
        <v>819</v>
      </c>
      <c r="D2107" s="42">
        <v>0.61764705882352944</v>
      </c>
      <c r="E2107" s="42">
        <v>0.9921875</v>
      </c>
      <c r="F2107" s="42">
        <v>0.61764705882352944</v>
      </c>
      <c r="G2107">
        <v>1</v>
      </c>
    </row>
    <row r="2108" spans="3:7" x14ac:dyDescent="0.15">
      <c r="C2108" s="43">
        <v>820</v>
      </c>
      <c r="D2108" s="42">
        <v>0.61853832442067735</v>
      </c>
      <c r="E2108" s="42">
        <v>0.9921875</v>
      </c>
      <c r="F2108" s="42">
        <v>0.61853832442067735</v>
      </c>
      <c r="G2108">
        <v>1</v>
      </c>
    </row>
    <row r="2109" spans="3:7" x14ac:dyDescent="0.15">
      <c r="C2109" s="43">
        <v>821</v>
      </c>
      <c r="D2109" s="42">
        <v>0.61942959001782527</v>
      </c>
      <c r="E2109" s="42">
        <v>0.9921875</v>
      </c>
      <c r="F2109" s="42">
        <v>0.61942959001782527</v>
      </c>
      <c r="G2109">
        <v>1</v>
      </c>
    </row>
    <row r="2110" spans="3:7" x14ac:dyDescent="0.15">
      <c r="C2110" s="43">
        <v>822</v>
      </c>
      <c r="D2110" s="42">
        <v>0.6203208556149733</v>
      </c>
      <c r="E2110" s="42">
        <v>0.9921875</v>
      </c>
      <c r="F2110" s="42">
        <v>0.6203208556149733</v>
      </c>
      <c r="G2110">
        <v>1</v>
      </c>
    </row>
    <row r="2111" spans="3:7" x14ac:dyDescent="0.15">
      <c r="C2111" s="43">
        <v>823</v>
      </c>
      <c r="D2111" s="42">
        <v>0.62121212121212122</v>
      </c>
      <c r="E2111" s="42">
        <v>0.9921875</v>
      </c>
      <c r="F2111" s="42">
        <v>0.62121212121212122</v>
      </c>
      <c r="G2111">
        <v>1</v>
      </c>
    </row>
    <row r="2112" spans="3:7" x14ac:dyDescent="0.15">
      <c r="C2112" s="43">
        <v>824</v>
      </c>
      <c r="D2112" s="42">
        <v>0.62210338680926913</v>
      </c>
      <c r="E2112" s="42">
        <v>0.9921875</v>
      </c>
      <c r="F2112" s="42">
        <v>0.62210338680926913</v>
      </c>
      <c r="G2112">
        <v>1</v>
      </c>
    </row>
    <row r="2113" spans="3:7" x14ac:dyDescent="0.15">
      <c r="C2113" s="43">
        <v>825</v>
      </c>
      <c r="D2113" s="42">
        <v>0.62299465240641716</v>
      </c>
      <c r="E2113" s="42">
        <v>0.9921875</v>
      </c>
      <c r="F2113" s="42">
        <v>0.62299465240641716</v>
      </c>
      <c r="G2113">
        <v>1</v>
      </c>
    </row>
    <row r="2114" spans="3:7" x14ac:dyDescent="0.15">
      <c r="C2114" s="43">
        <v>826</v>
      </c>
      <c r="D2114" s="42">
        <v>0.62388591800356508</v>
      </c>
      <c r="E2114" s="42">
        <v>0.9921875</v>
      </c>
      <c r="F2114" s="42">
        <v>0.62388591800356508</v>
      </c>
      <c r="G2114">
        <v>1</v>
      </c>
    </row>
    <row r="2115" spans="3:7" x14ac:dyDescent="0.15">
      <c r="C2115" s="43">
        <v>827</v>
      </c>
      <c r="D2115" s="42">
        <v>0.62477718360071299</v>
      </c>
      <c r="E2115" s="42">
        <v>0.9921875</v>
      </c>
      <c r="F2115" s="42">
        <v>0.62477718360071299</v>
      </c>
      <c r="G2115">
        <v>1</v>
      </c>
    </row>
    <row r="2116" spans="3:7" x14ac:dyDescent="0.15">
      <c r="C2116" s="43">
        <v>828</v>
      </c>
      <c r="D2116" s="42">
        <v>0.62566844919786091</v>
      </c>
      <c r="E2116" s="42">
        <v>0.9921875</v>
      </c>
      <c r="F2116" s="42">
        <v>0.62566844919786091</v>
      </c>
      <c r="G2116">
        <v>1</v>
      </c>
    </row>
    <row r="2117" spans="3:7" x14ac:dyDescent="0.15">
      <c r="C2117" s="43">
        <v>829</v>
      </c>
      <c r="D2117" s="42">
        <v>0.62655971479500894</v>
      </c>
      <c r="E2117" s="42">
        <v>0.9921875</v>
      </c>
      <c r="F2117" s="42">
        <v>0.62655971479500894</v>
      </c>
      <c r="G2117">
        <v>1</v>
      </c>
    </row>
    <row r="2118" spans="3:7" x14ac:dyDescent="0.15">
      <c r="C2118" s="43">
        <v>830</v>
      </c>
      <c r="D2118" s="42">
        <v>0.62745098039215685</v>
      </c>
      <c r="E2118" s="42">
        <v>0.9921875</v>
      </c>
      <c r="F2118" s="42">
        <v>0.62745098039215685</v>
      </c>
      <c r="G2118">
        <v>1</v>
      </c>
    </row>
    <row r="2119" spans="3:7" x14ac:dyDescent="0.15">
      <c r="C2119" s="43">
        <v>831</v>
      </c>
      <c r="D2119" s="42">
        <v>0.62834224598930477</v>
      </c>
      <c r="E2119" s="42">
        <v>0.9921875</v>
      </c>
      <c r="F2119" s="42">
        <v>0.62834224598930477</v>
      </c>
      <c r="G2119">
        <v>1</v>
      </c>
    </row>
    <row r="2120" spans="3:7" x14ac:dyDescent="0.15">
      <c r="C2120" s="43">
        <v>832</v>
      </c>
      <c r="D2120" s="42">
        <v>0.6292335115864528</v>
      </c>
      <c r="E2120" s="42">
        <v>0.9921875</v>
      </c>
      <c r="F2120" s="42">
        <v>0.6292335115864528</v>
      </c>
      <c r="G2120">
        <v>1</v>
      </c>
    </row>
    <row r="2121" spans="3:7" x14ac:dyDescent="0.15">
      <c r="C2121" s="43">
        <v>833</v>
      </c>
      <c r="D2121" s="42">
        <v>0.63012477718360071</v>
      </c>
      <c r="E2121" s="42">
        <v>0.9921875</v>
      </c>
      <c r="F2121" s="42">
        <v>0.63012477718360071</v>
      </c>
      <c r="G2121">
        <v>1</v>
      </c>
    </row>
    <row r="2122" spans="3:7" x14ac:dyDescent="0.15">
      <c r="C2122" s="43">
        <v>834</v>
      </c>
      <c r="D2122" s="42">
        <v>0.63101604278074863</v>
      </c>
      <c r="E2122" s="42">
        <v>0.9921875</v>
      </c>
      <c r="F2122" s="42">
        <v>0.63101604278074863</v>
      </c>
      <c r="G2122">
        <v>1</v>
      </c>
    </row>
    <row r="2123" spans="3:7" x14ac:dyDescent="0.15">
      <c r="C2123" s="43">
        <v>835</v>
      </c>
      <c r="D2123" s="42">
        <v>0.63190730837789666</v>
      </c>
      <c r="E2123" s="42">
        <v>0.9921875</v>
      </c>
      <c r="F2123" s="42">
        <v>0.63190730837789666</v>
      </c>
      <c r="G2123">
        <v>1</v>
      </c>
    </row>
    <row r="2124" spans="3:7" x14ac:dyDescent="0.15">
      <c r="C2124" s="43">
        <v>836</v>
      </c>
      <c r="D2124" s="42">
        <v>0.63279857397504458</v>
      </c>
      <c r="E2124" s="42">
        <v>0.9921875</v>
      </c>
      <c r="F2124" s="42">
        <v>0.63279857397504458</v>
      </c>
      <c r="G2124">
        <v>1</v>
      </c>
    </row>
    <row r="2125" spans="3:7" x14ac:dyDescent="0.15">
      <c r="C2125" s="43">
        <v>837</v>
      </c>
      <c r="D2125" s="42">
        <v>0.63368983957219249</v>
      </c>
      <c r="E2125" s="42">
        <v>0.9921875</v>
      </c>
      <c r="F2125" s="42">
        <v>0.63368983957219249</v>
      </c>
      <c r="G2125">
        <v>1</v>
      </c>
    </row>
    <row r="2126" spans="3:7" x14ac:dyDescent="0.15">
      <c r="C2126" s="43">
        <v>838</v>
      </c>
      <c r="D2126" s="42">
        <v>0.63458110516934041</v>
      </c>
      <c r="E2126" s="42">
        <v>0.9921875</v>
      </c>
      <c r="F2126" s="42">
        <v>0.63458110516934041</v>
      </c>
      <c r="G2126">
        <v>1</v>
      </c>
    </row>
    <row r="2127" spans="3:7" x14ac:dyDescent="0.15">
      <c r="C2127" s="43">
        <v>839</v>
      </c>
      <c r="D2127" s="42">
        <v>0.63547237076648844</v>
      </c>
      <c r="E2127" s="42">
        <v>0.9921875</v>
      </c>
      <c r="F2127" s="42">
        <v>0.63547237076648844</v>
      </c>
      <c r="G2127">
        <v>1</v>
      </c>
    </row>
    <row r="2128" spans="3:7" x14ac:dyDescent="0.15">
      <c r="C2128" s="43">
        <v>840</v>
      </c>
      <c r="D2128" s="42">
        <v>0.63636363636363635</v>
      </c>
      <c r="E2128" s="42">
        <v>0.9921875</v>
      </c>
      <c r="F2128" s="42">
        <v>0.63636363636363635</v>
      </c>
      <c r="G2128">
        <v>1</v>
      </c>
    </row>
    <row r="2129" spans="3:7" x14ac:dyDescent="0.15">
      <c r="C2129" s="43">
        <v>841</v>
      </c>
      <c r="D2129" s="42">
        <v>0.63725490196078427</v>
      </c>
      <c r="E2129" s="42">
        <v>0.9921875</v>
      </c>
      <c r="F2129" s="42">
        <v>0.63725490196078427</v>
      </c>
      <c r="G2129">
        <v>1</v>
      </c>
    </row>
    <row r="2130" spans="3:7" x14ac:dyDescent="0.15">
      <c r="C2130" s="43">
        <v>842</v>
      </c>
      <c r="D2130" s="42">
        <v>0.6381461675579323</v>
      </c>
      <c r="E2130" s="42">
        <v>0.9921875</v>
      </c>
      <c r="F2130" s="42">
        <v>0.6381461675579323</v>
      </c>
      <c r="G2130">
        <v>1</v>
      </c>
    </row>
    <row r="2131" spans="3:7" x14ac:dyDescent="0.15">
      <c r="C2131" s="43">
        <v>843</v>
      </c>
      <c r="D2131" s="42">
        <v>0.63903743315508021</v>
      </c>
      <c r="E2131" s="42">
        <v>0.9921875</v>
      </c>
      <c r="F2131" s="42">
        <v>0.63903743315508021</v>
      </c>
      <c r="G2131">
        <v>1</v>
      </c>
    </row>
    <row r="2132" spans="3:7" x14ac:dyDescent="0.15">
      <c r="C2132" s="43">
        <v>844</v>
      </c>
      <c r="D2132" s="42">
        <v>0.63992869875222813</v>
      </c>
      <c r="E2132" s="42">
        <v>0.9921875</v>
      </c>
      <c r="F2132" s="42">
        <v>0.63992869875222813</v>
      </c>
      <c r="G2132">
        <v>1</v>
      </c>
    </row>
    <row r="2133" spans="3:7" x14ac:dyDescent="0.15">
      <c r="C2133" s="43">
        <v>845</v>
      </c>
      <c r="D2133" s="42">
        <v>0.64081996434937616</v>
      </c>
      <c r="E2133" s="42">
        <v>0.9921875</v>
      </c>
      <c r="F2133" s="42">
        <v>0.64081996434937616</v>
      </c>
      <c r="G2133">
        <v>1</v>
      </c>
    </row>
    <row r="2134" spans="3:7" x14ac:dyDescent="0.15">
      <c r="C2134" s="43">
        <v>846</v>
      </c>
      <c r="D2134" s="42">
        <v>0.64171122994652408</v>
      </c>
      <c r="E2134" s="42">
        <v>0.9921875</v>
      </c>
      <c r="F2134" s="42">
        <v>0.64171122994652408</v>
      </c>
      <c r="G2134">
        <v>1</v>
      </c>
    </row>
    <row r="2135" spans="3:7" x14ac:dyDescent="0.15">
      <c r="C2135" s="43">
        <v>847</v>
      </c>
      <c r="D2135" s="42">
        <v>0.64260249554367199</v>
      </c>
      <c r="E2135" s="42">
        <v>0.9921875</v>
      </c>
      <c r="F2135" s="42">
        <v>0.64260249554367199</v>
      </c>
      <c r="G2135">
        <v>1</v>
      </c>
    </row>
    <row r="2136" spans="3:7" x14ac:dyDescent="0.15">
      <c r="C2136" s="43">
        <v>848</v>
      </c>
      <c r="D2136" s="42">
        <v>0.64349376114082002</v>
      </c>
      <c r="E2136" s="42">
        <v>0.9921875</v>
      </c>
      <c r="F2136" s="42">
        <v>0.64349376114082002</v>
      </c>
      <c r="G2136">
        <v>1</v>
      </c>
    </row>
    <row r="2137" spans="3:7" x14ac:dyDescent="0.15">
      <c r="C2137" s="43">
        <v>849</v>
      </c>
      <c r="D2137" s="42">
        <v>0.64438502673796794</v>
      </c>
      <c r="E2137" s="42">
        <v>0.9921875</v>
      </c>
      <c r="F2137" s="42">
        <v>0.64438502673796794</v>
      </c>
      <c r="G2137">
        <v>1</v>
      </c>
    </row>
    <row r="2138" spans="3:7" x14ac:dyDescent="0.15">
      <c r="C2138" s="43">
        <v>850</v>
      </c>
      <c r="D2138" s="42">
        <v>0.64527629233511585</v>
      </c>
      <c r="E2138" s="42">
        <v>0.9921875</v>
      </c>
      <c r="F2138" s="42">
        <v>0.64527629233511585</v>
      </c>
      <c r="G2138">
        <v>1</v>
      </c>
    </row>
    <row r="2139" spans="3:7" x14ac:dyDescent="0.15">
      <c r="C2139" s="43">
        <v>851</v>
      </c>
      <c r="D2139" s="42">
        <v>0.64616755793226377</v>
      </c>
      <c r="E2139" s="42">
        <v>0.9921875</v>
      </c>
      <c r="F2139" s="42">
        <v>0.64616755793226377</v>
      </c>
      <c r="G2139">
        <v>1</v>
      </c>
    </row>
    <row r="2140" spans="3:7" x14ac:dyDescent="0.15">
      <c r="C2140" s="43">
        <v>852</v>
      </c>
      <c r="D2140" s="42">
        <v>0.6470588235294118</v>
      </c>
      <c r="E2140" s="42">
        <v>0.9921875</v>
      </c>
      <c r="F2140" s="42">
        <v>0.6470588235294118</v>
      </c>
      <c r="G2140">
        <v>1</v>
      </c>
    </row>
    <row r="2141" spans="3:7" x14ac:dyDescent="0.15">
      <c r="C2141" s="43">
        <v>853</v>
      </c>
      <c r="D2141" s="42">
        <v>0.64795008912655971</v>
      </c>
      <c r="E2141" s="42">
        <v>0.9921875</v>
      </c>
      <c r="F2141" s="42">
        <v>0.64795008912655971</v>
      </c>
      <c r="G2141">
        <v>1</v>
      </c>
    </row>
    <row r="2142" spans="3:7" x14ac:dyDescent="0.15">
      <c r="C2142" s="43">
        <v>854</v>
      </c>
      <c r="D2142" s="42">
        <v>0.64884135472370763</v>
      </c>
      <c r="E2142" s="42">
        <v>0.9921875</v>
      </c>
      <c r="F2142" s="42">
        <v>0.64884135472370763</v>
      </c>
      <c r="G2142">
        <v>1</v>
      </c>
    </row>
    <row r="2143" spans="3:7" x14ac:dyDescent="0.15">
      <c r="C2143" s="43">
        <v>855</v>
      </c>
      <c r="D2143" s="42">
        <v>0.64973262032085566</v>
      </c>
      <c r="E2143" s="42">
        <v>0.9921875</v>
      </c>
      <c r="F2143" s="42">
        <v>0.64973262032085566</v>
      </c>
      <c r="G2143">
        <v>1</v>
      </c>
    </row>
    <row r="2144" spans="3:7" x14ac:dyDescent="0.15">
      <c r="C2144" s="43">
        <v>856</v>
      </c>
      <c r="D2144" s="42">
        <v>0.65062388591800357</v>
      </c>
      <c r="E2144" s="42">
        <v>0.9921875</v>
      </c>
      <c r="F2144" s="42">
        <v>0.65062388591800357</v>
      </c>
      <c r="G2144">
        <v>1</v>
      </c>
    </row>
    <row r="2145" spans="3:7" x14ac:dyDescent="0.15">
      <c r="C2145" s="43">
        <v>857</v>
      </c>
      <c r="D2145" s="42">
        <v>0.65151515151515149</v>
      </c>
      <c r="E2145" s="42">
        <v>0.9921875</v>
      </c>
      <c r="F2145" s="42">
        <v>0.65151515151515149</v>
      </c>
      <c r="G2145">
        <v>1</v>
      </c>
    </row>
    <row r="2146" spans="3:7" x14ac:dyDescent="0.15">
      <c r="C2146" s="43">
        <v>858</v>
      </c>
      <c r="D2146" s="42">
        <v>0.65240641711229952</v>
      </c>
      <c r="E2146" s="42">
        <v>0.9921875</v>
      </c>
      <c r="F2146" s="42">
        <v>0.65240641711229952</v>
      </c>
      <c r="G2146">
        <v>1</v>
      </c>
    </row>
    <row r="2147" spans="3:7" x14ac:dyDescent="0.15">
      <c r="C2147" s="43">
        <v>859</v>
      </c>
      <c r="D2147" s="42">
        <v>0.65329768270944744</v>
      </c>
      <c r="E2147" s="42">
        <v>0.9921875</v>
      </c>
      <c r="F2147" s="42">
        <v>0.65329768270944744</v>
      </c>
      <c r="G2147">
        <v>1</v>
      </c>
    </row>
    <row r="2148" spans="3:7" x14ac:dyDescent="0.15">
      <c r="C2148" s="43">
        <v>860</v>
      </c>
      <c r="D2148" s="42">
        <v>0.65418894830659535</v>
      </c>
      <c r="E2148" s="42">
        <v>0.9921875</v>
      </c>
      <c r="F2148" s="42">
        <v>0.65418894830659535</v>
      </c>
      <c r="G2148">
        <v>1</v>
      </c>
    </row>
    <row r="2149" spans="3:7" x14ac:dyDescent="0.15">
      <c r="C2149" s="43">
        <v>861</v>
      </c>
      <c r="D2149" s="42">
        <v>0.65508021390374327</v>
      </c>
      <c r="E2149" s="42">
        <v>0.9921875</v>
      </c>
      <c r="F2149" s="42">
        <v>0.65508021390374327</v>
      </c>
      <c r="G2149">
        <v>1</v>
      </c>
    </row>
    <row r="2150" spans="3:7" x14ac:dyDescent="0.15">
      <c r="C2150" s="43">
        <v>862</v>
      </c>
      <c r="D2150" s="42">
        <v>0.6559714795008913</v>
      </c>
      <c r="E2150" s="42">
        <v>0.9921875</v>
      </c>
      <c r="F2150" s="42">
        <v>0.6559714795008913</v>
      </c>
      <c r="G2150">
        <v>1</v>
      </c>
    </row>
    <row r="2151" spans="3:7" x14ac:dyDescent="0.15">
      <c r="C2151" s="43">
        <v>863</v>
      </c>
      <c r="D2151" s="42">
        <v>0.65686274509803921</v>
      </c>
      <c r="E2151" s="42">
        <v>0.9921875</v>
      </c>
      <c r="F2151" s="42">
        <v>0.65686274509803921</v>
      </c>
      <c r="G2151">
        <v>1</v>
      </c>
    </row>
    <row r="2152" spans="3:7" x14ac:dyDescent="0.15">
      <c r="C2152" s="43">
        <v>864</v>
      </c>
      <c r="D2152" s="42">
        <v>0.65775401069518713</v>
      </c>
      <c r="E2152" s="42">
        <v>0.9921875</v>
      </c>
      <c r="F2152" s="42">
        <v>0.65775401069518713</v>
      </c>
      <c r="G2152">
        <v>1</v>
      </c>
    </row>
    <row r="2153" spans="3:7" x14ac:dyDescent="0.15">
      <c r="C2153" s="43">
        <v>865</v>
      </c>
      <c r="D2153" s="42">
        <v>0.65864527629233516</v>
      </c>
      <c r="E2153" s="42">
        <v>0.9921875</v>
      </c>
      <c r="F2153" s="42">
        <v>0.65864527629233516</v>
      </c>
      <c r="G2153">
        <v>1</v>
      </c>
    </row>
    <row r="2154" spans="3:7" x14ac:dyDescent="0.15">
      <c r="C2154" s="43">
        <v>866</v>
      </c>
      <c r="D2154" s="42">
        <v>0.65953654188948307</v>
      </c>
      <c r="E2154" s="42">
        <v>0.9921875</v>
      </c>
      <c r="F2154" s="42">
        <v>0.65953654188948307</v>
      </c>
      <c r="G2154">
        <v>1</v>
      </c>
    </row>
    <row r="2155" spans="3:7" x14ac:dyDescent="0.15">
      <c r="C2155" s="43">
        <v>867</v>
      </c>
      <c r="D2155" s="42">
        <v>0.66042780748663099</v>
      </c>
      <c r="E2155" s="42">
        <v>0.9921875</v>
      </c>
      <c r="F2155" s="42">
        <v>0.66042780748663099</v>
      </c>
      <c r="G2155">
        <v>1</v>
      </c>
    </row>
    <row r="2156" spans="3:7" x14ac:dyDescent="0.15">
      <c r="C2156" s="43">
        <v>868</v>
      </c>
      <c r="D2156" s="42">
        <v>0.66131907308377902</v>
      </c>
      <c r="E2156" s="42">
        <v>0.9921875</v>
      </c>
      <c r="F2156" s="42">
        <v>0.66131907308377902</v>
      </c>
      <c r="G2156">
        <v>1</v>
      </c>
    </row>
    <row r="2157" spans="3:7" x14ac:dyDescent="0.15">
      <c r="C2157" s="43">
        <v>869</v>
      </c>
      <c r="D2157" s="42">
        <v>0.66221033868092694</v>
      </c>
      <c r="E2157" s="42">
        <v>0.9921875</v>
      </c>
      <c r="F2157" s="42">
        <v>0.66221033868092694</v>
      </c>
      <c r="G2157">
        <v>1</v>
      </c>
    </row>
    <row r="2158" spans="3:7" x14ac:dyDescent="0.15">
      <c r="C2158" s="43">
        <v>870</v>
      </c>
      <c r="D2158" s="42">
        <v>0.66310160427807485</v>
      </c>
      <c r="E2158" s="42">
        <v>0.9921875</v>
      </c>
      <c r="F2158" s="42">
        <v>0.66310160427807485</v>
      </c>
      <c r="G2158">
        <v>1</v>
      </c>
    </row>
    <row r="2159" spans="3:7" x14ac:dyDescent="0.15">
      <c r="C2159" s="43">
        <v>871</v>
      </c>
      <c r="D2159" s="42">
        <v>0.66399286987522277</v>
      </c>
      <c r="E2159" s="42">
        <v>0.9921875</v>
      </c>
      <c r="F2159" s="42">
        <v>0.66399286987522277</v>
      </c>
      <c r="G2159">
        <v>1</v>
      </c>
    </row>
    <row r="2160" spans="3:7" x14ac:dyDescent="0.15">
      <c r="C2160" s="43">
        <v>872</v>
      </c>
      <c r="D2160" s="42">
        <v>0.6648841354723708</v>
      </c>
      <c r="E2160" s="42">
        <v>0.9921875</v>
      </c>
      <c r="F2160" s="42">
        <v>0.6648841354723708</v>
      </c>
      <c r="G2160">
        <v>1</v>
      </c>
    </row>
    <row r="2161" spans="3:7" x14ac:dyDescent="0.15">
      <c r="C2161" s="43">
        <v>873</v>
      </c>
      <c r="D2161" s="42">
        <v>0.66577540106951871</v>
      </c>
      <c r="E2161" s="42">
        <v>0.9921875</v>
      </c>
      <c r="F2161" s="42">
        <v>0.66577540106951871</v>
      </c>
      <c r="G2161">
        <v>1</v>
      </c>
    </row>
    <row r="2162" spans="3:7" x14ac:dyDescent="0.15">
      <c r="C2162" s="43">
        <v>874</v>
      </c>
      <c r="D2162" s="42">
        <v>0.66666666666666663</v>
      </c>
      <c r="E2162" s="42">
        <v>0.9921875</v>
      </c>
      <c r="F2162" s="42">
        <v>0.66666666666666663</v>
      </c>
      <c r="G2162">
        <v>1</v>
      </c>
    </row>
    <row r="2163" spans="3:7" x14ac:dyDescent="0.15">
      <c r="C2163" s="43">
        <v>875</v>
      </c>
      <c r="D2163" s="42">
        <v>0.66755793226381466</v>
      </c>
      <c r="E2163" s="42">
        <v>0.9921875</v>
      </c>
      <c r="F2163" s="42">
        <v>0.66755793226381466</v>
      </c>
      <c r="G2163">
        <v>1</v>
      </c>
    </row>
    <row r="2164" spans="3:7" x14ac:dyDescent="0.15">
      <c r="C2164" s="43">
        <v>876</v>
      </c>
      <c r="D2164" s="42">
        <v>0.66844919786096257</v>
      </c>
      <c r="E2164" s="42">
        <v>0.9921875</v>
      </c>
      <c r="F2164" s="42">
        <v>0.66844919786096257</v>
      </c>
      <c r="G2164">
        <v>1</v>
      </c>
    </row>
    <row r="2165" spans="3:7" x14ac:dyDescent="0.15">
      <c r="C2165" s="43">
        <v>877</v>
      </c>
      <c r="D2165" s="42">
        <v>0.66934046345811049</v>
      </c>
      <c r="E2165" s="42">
        <v>0.9921875</v>
      </c>
      <c r="F2165" s="42">
        <v>0.66934046345811049</v>
      </c>
      <c r="G2165">
        <v>1</v>
      </c>
    </row>
    <row r="2166" spans="3:7" x14ac:dyDescent="0.15">
      <c r="C2166" s="43">
        <v>878</v>
      </c>
      <c r="D2166" s="42">
        <v>0.67023172905525852</v>
      </c>
      <c r="E2166" s="42">
        <v>0.9921875</v>
      </c>
      <c r="F2166" s="42">
        <v>0.67023172905525852</v>
      </c>
      <c r="G2166">
        <v>1</v>
      </c>
    </row>
    <row r="2167" spans="3:7" x14ac:dyDescent="0.15">
      <c r="C2167" s="43">
        <v>879</v>
      </c>
      <c r="D2167" s="42">
        <v>0.67112299465240643</v>
      </c>
      <c r="E2167" s="42">
        <v>0.9921875</v>
      </c>
      <c r="F2167" s="42">
        <v>0.67112299465240643</v>
      </c>
      <c r="G2167">
        <v>1</v>
      </c>
    </row>
    <row r="2168" spans="3:7" x14ac:dyDescent="0.15">
      <c r="C2168" s="43">
        <v>880</v>
      </c>
      <c r="D2168" s="42">
        <v>0.67201426024955435</v>
      </c>
      <c r="E2168" s="42">
        <v>0.9921875</v>
      </c>
      <c r="F2168" s="42">
        <v>0.67201426024955435</v>
      </c>
      <c r="G2168">
        <v>1</v>
      </c>
    </row>
    <row r="2169" spans="3:7" x14ac:dyDescent="0.15">
      <c r="C2169" s="43">
        <v>881</v>
      </c>
      <c r="D2169" s="42">
        <v>0.67290552584670227</v>
      </c>
      <c r="E2169" s="42">
        <v>0.9921875</v>
      </c>
      <c r="F2169" s="42">
        <v>0.67290552584670227</v>
      </c>
      <c r="G2169">
        <v>1</v>
      </c>
    </row>
    <row r="2170" spans="3:7" x14ac:dyDescent="0.15">
      <c r="C2170" s="43">
        <v>882</v>
      </c>
      <c r="D2170" s="42">
        <v>0.6737967914438503</v>
      </c>
      <c r="E2170" s="42">
        <v>0.9921875</v>
      </c>
      <c r="F2170" s="42">
        <v>0.6737967914438503</v>
      </c>
      <c r="G2170">
        <v>1</v>
      </c>
    </row>
    <row r="2171" spans="3:7" x14ac:dyDescent="0.15">
      <c r="C2171" s="43">
        <v>883</v>
      </c>
      <c r="D2171" s="42">
        <v>0.67468805704099821</v>
      </c>
      <c r="E2171" s="42">
        <v>0.9921875</v>
      </c>
      <c r="F2171" s="42">
        <v>0.67468805704099821</v>
      </c>
      <c r="G2171">
        <v>1</v>
      </c>
    </row>
    <row r="2172" spans="3:7" x14ac:dyDescent="0.15">
      <c r="C2172" s="43">
        <v>884</v>
      </c>
      <c r="D2172" s="42">
        <v>0.67557932263814613</v>
      </c>
      <c r="E2172" s="42">
        <v>0.9921875</v>
      </c>
      <c r="F2172" s="42">
        <v>0.67557932263814613</v>
      </c>
      <c r="G2172">
        <v>1</v>
      </c>
    </row>
    <row r="2173" spans="3:7" x14ac:dyDescent="0.15">
      <c r="C2173" s="43">
        <v>885</v>
      </c>
      <c r="D2173" s="42">
        <v>0.67647058823529416</v>
      </c>
      <c r="E2173" s="42">
        <v>0.9921875</v>
      </c>
      <c r="F2173" s="42">
        <v>0.67647058823529416</v>
      </c>
      <c r="G2173">
        <v>1</v>
      </c>
    </row>
    <row r="2174" spans="3:7" x14ac:dyDescent="0.15">
      <c r="C2174" s="43">
        <v>886</v>
      </c>
      <c r="D2174" s="42">
        <v>0.67736185383244207</v>
      </c>
      <c r="E2174" s="42">
        <v>0.9921875</v>
      </c>
      <c r="F2174" s="42">
        <v>0.67736185383244207</v>
      </c>
      <c r="G2174">
        <v>1</v>
      </c>
    </row>
    <row r="2175" spans="3:7" x14ac:dyDescent="0.15">
      <c r="C2175" s="43">
        <v>887</v>
      </c>
      <c r="D2175" s="42">
        <v>0.67825311942958999</v>
      </c>
      <c r="E2175" s="42">
        <v>0.9921875</v>
      </c>
      <c r="F2175" s="42">
        <v>0.67825311942958999</v>
      </c>
      <c r="G2175">
        <v>1</v>
      </c>
    </row>
    <row r="2176" spans="3:7" x14ac:dyDescent="0.15">
      <c r="C2176" s="43">
        <v>888</v>
      </c>
      <c r="D2176" s="42">
        <v>0.67914438502673802</v>
      </c>
      <c r="E2176" s="42">
        <v>0.9921875</v>
      </c>
      <c r="F2176" s="42">
        <v>0.67914438502673802</v>
      </c>
      <c r="G2176">
        <v>1</v>
      </c>
    </row>
    <row r="2177" spans="3:7" x14ac:dyDescent="0.15">
      <c r="C2177" s="43">
        <v>889</v>
      </c>
      <c r="D2177" s="42">
        <v>0.68003565062388593</v>
      </c>
      <c r="E2177" s="42">
        <v>0.9921875</v>
      </c>
      <c r="F2177" s="42">
        <v>0.68003565062388593</v>
      </c>
      <c r="G2177">
        <v>1</v>
      </c>
    </row>
    <row r="2178" spans="3:7" x14ac:dyDescent="0.15">
      <c r="C2178" s="43">
        <v>890</v>
      </c>
      <c r="D2178" s="42">
        <v>0.68092691622103385</v>
      </c>
      <c r="E2178" s="42">
        <v>0.9921875</v>
      </c>
      <c r="F2178" s="42">
        <v>0.68092691622103385</v>
      </c>
      <c r="G2178">
        <v>1</v>
      </c>
    </row>
    <row r="2179" spans="3:7" x14ac:dyDescent="0.15">
      <c r="C2179" s="43">
        <v>891</v>
      </c>
      <c r="D2179" s="42">
        <v>0.68181818181818177</v>
      </c>
      <c r="E2179" s="42">
        <v>0.9921875</v>
      </c>
      <c r="F2179" s="42">
        <v>0.68181818181818177</v>
      </c>
      <c r="G2179">
        <v>1</v>
      </c>
    </row>
    <row r="2180" spans="3:7" x14ac:dyDescent="0.15">
      <c r="C2180" s="43">
        <v>892</v>
      </c>
      <c r="D2180" s="42">
        <v>0.6827094474153298</v>
      </c>
      <c r="E2180" s="42">
        <v>0.9921875</v>
      </c>
      <c r="F2180" s="42">
        <v>0.6827094474153298</v>
      </c>
      <c r="G2180">
        <v>1</v>
      </c>
    </row>
    <row r="2181" spans="3:7" x14ac:dyDescent="0.15">
      <c r="C2181" s="43">
        <v>893</v>
      </c>
      <c r="D2181" s="42">
        <v>0.68360071301247771</v>
      </c>
      <c r="E2181" s="42">
        <v>0.9921875</v>
      </c>
      <c r="F2181" s="42">
        <v>0.68360071301247771</v>
      </c>
      <c r="G2181">
        <v>1</v>
      </c>
    </row>
    <row r="2182" spans="3:7" x14ac:dyDescent="0.15">
      <c r="C2182" s="43">
        <v>894</v>
      </c>
      <c r="D2182" s="42">
        <v>0.68449197860962563</v>
      </c>
      <c r="E2182" s="42">
        <v>0.9921875</v>
      </c>
      <c r="F2182" s="42">
        <v>0.68449197860962563</v>
      </c>
      <c r="G2182">
        <v>1</v>
      </c>
    </row>
    <row r="2183" spans="3:7" x14ac:dyDescent="0.15">
      <c r="C2183" s="43">
        <v>895</v>
      </c>
      <c r="D2183" s="42">
        <v>0.68538324420677366</v>
      </c>
      <c r="E2183" s="42">
        <v>0.9921875</v>
      </c>
      <c r="F2183" s="42">
        <v>0.68538324420677366</v>
      </c>
      <c r="G2183">
        <v>1</v>
      </c>
    </row>
    <row r="2184" spans="3:7" x14ac:dyDescent="0.15">
      <c r="C2184" s="43">
        <v>896</v>
      </c>
      <c r="D2184" s="42">
        <v>0.68627450980392157</v>
      </c>
      <c r="E2184" s="42">
        <v>0.9921875</v>
      </c>
      <c r="F2184" s="42">
        <v>0.68627450980392157</v>
      </c>
      <c r="G2184">
        <v>1</v>
      </c>
    </row>
    <row r="2185" spans="3:7" x14ac:dyDescent="0.15">
      <c r="C2185" s="43">
        <v>897</v>
      </c>
      <c r="D2185" s="42">
        <v>0.68716577540106949</v>
      </c>
      <c r="E2185" s="42">
        <v>0.9921875</v>
      </c>
      <c r="F2185" s="42">
        <v>0.68716577540106949</v>
      </c>
      <c r="G2185">
        <v>1</v>
      </c>
    </row>
    <row r="2186" spans="3:7" x14ac:dyDescent="0.15">
      <c r="C2186" s="43">
        <v>898</v>
      </c>
      <c r="D2186" s="42">
        <v>0.68805704099821752</v>
      </c>
      <c r="E2186" s="42">
        <v>0.9921875</v>
      </c>
      <c r="F2186" s="42">
        <v>0.68805704099821752</v>
      </c>
      <c r="G2186">
        <v>1</v>
      </c>
    </row>
    <row r="2187" spans="3:7" x14ac:dyDescent="0.15">
      <c r="C2187" s="43">
        <v>899</v>
      </c>
      <c r="D2187" s="42">
        <v>0.68894830659536543</v>
      </c>
      <c r="E2187" s="42">
        <v>0.9921875</v>
      </c>
      <c r="F2187" s="42">
        <v>0.68894830659536543</v>
      </c>
      <c r="G2187">
        <v>1</v>
      </c>
    </row>
    <row r="2188" spans="3:7" x14ac:dyDescent="0.15">
      <c r="C2188" s="43">
        <v>900</v>
      </c>
      <c r="D2188" s="42">
        <v>0.68983957219251335</v>
      </c>
      <c r="E2188" s="42">
        <v>0.9921875</v>
      </c>
      <c r="F2188" s="42">
        <v>0.68983957219251335</v>
      </c>
      <c r="G2188">
        <v>1</v>
      </c>
    </row>
    <row r="2189" spans="3:7" x14ac:dyDescent="0.15">
      <c r="C2189" s="43">
        <v>901</v>
      </c>
      <c r="D2189" s="42">
        <v>0.69073083778966127</v>
      </c>
      <c r="E2189" s="42">
        <v>0.9921875</v>
      </c>
      <c r="F2189" s="42">
        <v>0.69073083778966127</v>
      </c>
      <c r="G2189">
        <v>1</v>
      </c>
    </row>
    <row r="2190" spans="3:7" x14ac:dyDescent="0.15">
      <c r="C2190" s="43">
        <v>902</v>
      </c>
      <c r="D2190" s="42">
        <v>0.69162210338680929</v>
      </c>
      <c r="E2190" s="42">
        <v>0.9921875</v>
      </c>
      <c r="F2190" s="42">
        <v>0.69162210338680929</v>
      </c>
      <c r="G2190">
        <v>1</v>
      </c>
    </row>
    <row r="2191" spans="3:7" x14ac:dyDescent="0.15">
      <c r="C2191" s="43">
        <v>903</v>
      </c>
      <c r="D2191" s="42">
        <v>0.69251336898395721</v>
      </c>
      <c r="E2191" s="42">
        <v>0.9921875</v>
      </c>
      <c r="F2191" s="42">
        <v>0.69251336898395721</v>
      </c>
      <c r="G2191">
        <v>1</v>
      </c>
    </row>
    <row r="2192" spans="3:7" x14ac:dyDescent="0.15">
      <c r="C2192" s="43">
        <v>904</v>
      </c>
      <c r="D2192" s="42">
        <v>0.69340463458110513</v>
      </c>
      <c r="E2192" s="42">
        <v>0.9921875</v>
      </c>
      <c r="F2192" s="42">
        <v>0.69340463458110513</v>
      </c>
      <c r="G2192">
        <v>1</v>
      </c>
    </row>
    <row r="2193" spans="3:7" x14ac:dyDescent="0.15">
      <c r="C2193" s="43">
        <v>905</v>
      </c>
      <c r="D2193" s="42">
        <v>0.69429590017825316</v>
      </c>
      <c r="E2193" s="42">
        <v>0.9921875</v>
      </c>
      <c r="F2193" s="42">
        <v>0.69429590017825316</v>
      </c>
      <c r="G2193">
        <v>1</v>
      </c>
    </row>
    <row r="2194" spans="3:7" x14ac:dyDescent="0.15">
      <c r="C2194" s="43">
        <v>906</v>
      </c>
      <c r="D2194" s="42">
        <v>0.69518716577540107</v>
      </c>
      <c r="E2194" s="42">
        <v>0.9921875</v>
      </c>
      <c r="F2194" s="42">
        <v>0.69518716577540107</v>
      </c>
      <c r="G2194">
        <v>1</v>
      </c>
    </row>
    <row r="2195" spans="3:7" x14ac:dyDescent="0.15">
      <c r="C2195" s="43">
        <v>907</v>
      </c>
      <c r="D2195" s="42">
        <v>0.69518716577540107</v>
      </c>
      <c r="E2195" s="42">
        <v>1</v>
      </c>
      <c r="F2195" s="42">
        <v>0.69518716577540107</v>
      </c>
      <c r="G2195">
        <v>1</v>
      </c>
    </row>
    <row r="2196" spans="3:7" x14ac:dyDescent="0.15">
      <c r="C2196" s="43">
        <v>908</v>
      </c>
      <c r="D2196" s="42">
        <v>0.69607843137254899</v>
      </c>
      <c r="E2196" s="42">
        <v>1</v>
      </c>
      <c r="F2196" s="42">
        <v>0.69607843137254899</v>
      </c>
      <c r="G2196">
        <v>1</v>
      </c>
    </row>
    <row r="2197" spans="3:7" x14ac:dyDescent="0.15">
      <c r="C2197" s="43">
        <v>909</v>
      </c>
      <c r="D2197" s="42">
        <v>0.69696969696969702</v>
      </c>
      <c r="E2197" s="42">
        <v>1</v>
      </c>
      <c r="F2197" s="42">
        <v>0.69696969696969702</v>
      </c>
      <c r="G2197">
        <v>1</v>
      </c>
    </row>
    <row r="2198" spans="3:7" x14ac:dyDescent="0.15">
      <c r="C2198" s="43">
        <v>910</v>
      </c>
      <c r="D2198" s="42">
        <v>0.69786096256684493</v>
      </c>
      <c r="E2198" s="42">
        <v>1</v>
      </c>
      <c r="F2198" s="42">
        <v>0.69786096256684493</v>
      </c>
      <c r="G2198">
        <v>1</v>
      </c>
    </row>
    <row r="2199" spans="3:7" x14ac:dyDescent="0.15">
      <c r="C2199" s="43">
        <v>911</v>
      </c>
      <c r="D2199" s="42">
        <v>0.69875222816399285</v>
      </c>
      <c r="E2199" s="42">
        <v>1</v>
      </c>
      <c r="F2199" s="42">
        <v>0.69875222816399285</v>
      </c>
      <c r="G2199">
        <v>1</v>
      </c>
    </row>
    <row r="2200" spans="3:7" x14ac:dyDescent="0.15">
      <c r="C2200" s="43">
        <v>912</v>
      </c>
      <c r="D2200" s="42">
        <v>0.69964349376114077</v>
      </c>
      <c r="E2200" s="42">
        <v>1</v>
      </c>
      <c r="F2200" s="42">
        <v>0.69964349376114077</v>
      </c>
      <c r="G2200">
        <v>1</v>
      </c>
    </row>
    <row r="2201" spans="3:7" x14ac:dyDescent="0.15">
      <c r="C2201" s="43">
        <v>913</v>
      </c>
      <c r="D2201" s="42">
        <v>0.70053475935828879</v>
      </c>
      <c r="E2201" s="42">
        <v>1</v>
      </c>
      <c r="F2201" s="42">
        <v>0.70053475935828879</v>
      </c>
      <c r="G2201">
        <v>1</v>
      </c>
    </row>
    <row r="2202" spans="3:7" x14ac:dyDescent="0.15">
      <c r="C2202" s="43">
        <v>914</v>
      </c>
      <c r="D2202" s="42">
        <v>0.70142602495543671</v>
      </c>
      <c r="E2202" s="42">
        <v>1</v>
      </c>
      <c r="F2202" s="42">
        <v>0.70142602495543671</v>
      </c>
      <c r="G2202">
        <v>1</v>
      </c>
    </row>
    <row r="2203" spans="3:7" x14ac:dyDescent="0.15">
      <c r="C2203" s="43">
        <v>915</v>
      </c>
      <c r="D2203" s="42">
        <v>0.70231729055258463</v>
      </c>
      <c r="E2203" s="42">
        <v>1</v>
      </c>
      <c r="F2203" s="42">
        <v>0.70231729055258463</v>
      </c>
      <c r="G2203">
        <v>1</v>
      </c>
    </row>
    <row r="2204" spans="3:7" x14ac:dyDescent="0.15">
      <c r="C2204" s="43">
        <v>916</v>
      </c>
      <c r="D2204" s="42">
        <v>0.70320855614973266</v>
      </c>
      <c r="E2204" s="42">
        <v>1</v>
      </c>
      <c r="F2204" s="42">
        <v>0.70320855614973266</v>
      </c>
      <c r="G2204">
        <v>1</v>
      </c>
    </row>
    <row r="2205" spans="3:7" x14ac:dyDescent="0.15">
      <c r="C2205" s="43">
        <v>917</v>
      </c>
      <c r="D2205" s="42">
        <v>0.70409982174688057</v>
      </c>
      <c r="E2205" s="42">
        <v>1</v>
      </c>
      <c r="F2205" s="42">
        <v>0.70409982174688057</v>
      </c>
      <c r="G2205">
        <v>1</v>
      </c>
    </row>
    <row r="2206" spans="3:7" x14ac:dyDescent="0.15">
      <c r="C2206" s="43">
        <v>918</v>
      </c>
      <c r="D2206" s="42">
        <v>0.70499108734402849</v>
      </c>
      <c r="E2206" s="42">
        <v>1</v>
      </c>
      <c r="F2206" s="42">
        <v>0.70499108734402849</v>
      </c>
      <c r="G2206">
        <v>1</v>
      </c>
    </row>
    <row r="2207" spans="3:7" x14ac:dyDescent="0.15">
      <c r="C2207" s="43">
        <v>919</v>
      </c>
      <c r="D2207" s="42">
        <v>0.70588235294117652</v>
      </c>
      <c r="E2207" s="42">
        <v>1</v>
      </c>
      <c r="F2207" s="42">
        <v>0.70588235294117652</v>
      </c>
      <c r="G2207">
        <v>1</v>
      </c>
    </row>
    <row r="2208" spans="3:7" x14ac:dyDescent="0.15">
      <c r="C2208" s="43">
        <v>920</v>
      </c>
      <c r="D2208" s="42">
        <v>0.70677361853832443</v>
      </c>
      <c r="E2208" s="42">
        <v>1</v>
      </c>
      <c r="F2208" s="42">
        <v>0.70677361853832443</v>
      </c>
      <c r="G2208">
        <v>1</v>
      </c>
    </row>
    <row r="2209" spans="3:7" x14ac:dyDescent="0.15">
      <c r="C2209" s="43">
        <v>921</v>
      </c>
      <c r="D2209" s="42">
        <v>0.70766488413547235</v>
      </c>
      <c r="E2209" s="42">
        <v>1</v>
      </c>
      <c r="F2209" s="42">
        <v>0.70766488413547235</v>
      </c>
      <c r="G2209">
        <v>1</v>
      </c>
    </row>
    <row r="2210" spans="3:7" x14ac:dyDescent="0.15">
      <c r="C2210" s="43">
        <v>922</v>
      </c>
      <c r="D2210" s="42">
        <v>0.70855614973262027</v>
      </c>
      <c r="E2210" s="42">
        <v>1</v>
      </c>
      <c r="F2210" s="42">
        <v>0.70855614973262027</v>
      </c>
      <c r="G2210">
        <v>1</v>
      </c>
    </row>
    <row r="2211" spans="3:7" x14ac:dyDescent="0.15">
      <c r="C2211" s="43">
        <v>923</v>
      </c>
      <c r="D2211" s="42">
        <v>0.70944741532976829</v>
      </c>
      <c r="E2211" s="42">
        <v>1</v>
      </c>
      <c r="F2211" s="42">
        <v>0.70944741532976829</v>
      </c>
      <c r="G2211">
        <v>1</v>
      </c>
    </row>
    <row r="2212" spans="3:7" x14ac:dyDescent="0.15">
      <c r="C2212" s="43">
        <v>924</v>
      </c>
      <c r="D2212" s="42">
        <v>0.71033868092691621</v>
      </c>
      <c r="E2212" s="42">
        <v>1</v>
      </c>
      <c r="F2212" s="42">
        <v>0.71033868092691621</v>
      </c>
      <c r="G2212">
        <v>1</v>
      </c>
    </row>
    <row r="2213" spans="3:7" x14ac:dyDescent="0.15">
      <c r="C2213" s="43">
        <v>925</v>
      </c>
      <c r="D2213" s="42">
        <v>0.71122994652406413</v>
      </c>
      <c r="E2213" s="42">
        <v>1</v>
      </c>
      <c r="F2213" s="42">
        <v>0.71122994652406413</v>
      </c>
      <c r="G2213">
        <v>1</v>
      </c>
    </row>
    <row r="2214" spans="3:7" x14ac:dyDescent="0.15">
      <c r="C2214" s="43">
        <v>926</v>
      </c>
      <c r="D2214" s="42">
        <v>0.71212121212121215</v>
      </c>
      <c r="E2214" s="42">
        <v>1</v>
      </c>
      <c r="F2214" s="42">
        <v>0.71212121212121215</v>
      </c>
      <c r="G2214">
        <v>1</v>
      </c>
    </row>
    <row r="2215" spans="3:7" x14ac:dyDescent="0.15">
      <c r="C2215" s="43">
        <v>927</v>
      </c>
      <c r="D2215" s="42">
        <v>0.71301247771836007</v>
      </c>
      <c r="E2215" s="42">
        <v>1</v>
      </c>
      <c r="F2215" s="42">
        <v>0.71301247771836007</v>
      </c>
      <c r="G2215">
        <v>1</v>
      </c>
    </row>
    <row r="2216" spans="3:7" x14ac:dyDescent="0.15">
      <c r="C2216" s="43">
        <v>928</v>
      </c>
      <c r="D2216" s="42">
        <v>0.71390374331550799</v>
      </c>
      <c r="E2216" s="42">
        <v>1</v>
      </c>
      <c r="F2216" s="42">
        <v>0.71390374331550799</v>
      </c>
      <c r="G2216">
        <v>1</v>
      </c>
    </row>
    <row r="2217" spans="3:7" x14ac:dyDescent="0.15">
      <c r="C2217" s="43">
        <v>929</v>
      </c>
      <c r="D2217" s="42">
        <v>0.71479500891265602</v>
      </c>
      <c r="E2217" s="42">
        <v>1</v>
      </c>
      <c r="F2217" s="42">
        <v>0.71479500891265602</v>
      </c>
      <c r="G2217">
        <v>1</v>
      </c>
    </row>
    <row r="2218" spans="3:7" x14ac:dyDescent="0.15">
      <c r="C2218" s="43">
        <v>930</v>
      </c>
      <c r="D2218" s="42">
        <v>0.71568627450980393</v>
      </c>
      <c r="E2218" s="42">
        <v>1</v>
      </c>
      <c r="F2218" s="42">
        <v>0.71568627450980393</v>
      </c>
      <c r="G2218">
        <v>1</v>
      </c>
    </row>
    <row r="2219" spans="3:7" x14ac:dyDescent="0.15">
      <c r="C2219" s="43">
        <v>931</v>
      </c>
      <c r="D2219" s="42">
        <v>0.71657754010695185</v>
      </c>
      <c r="E2219" s="42">
        <v>1</v>
      </c>
      <c r="F2219" s="42">
        <v>0.71657754010695185</v>
      </c>
      <c r="G2219">
        <v>1</v>
      </c>
    </row>
    <row r="2220" spans="3:7" x14ac:dyDescent="0.15">
      <c r="C2220" s="43">
        <v>932</v>
      </c>
      <c r="D2220" s="42">
        <v>0.71746880570409988</v>
      </c>
      <c r="E2220" s="42">
        <v>1</v>
      </c>
      <c r="F2220" s="42">
        <v>0.71746880570409988</v>
      </c>
      <c r="G2220">
        <v>1</v>
      </c>
    </row>
    <row r="2221" spans="3:7" x14ac:dyDescent="0.15">
      <c r="C2221" s="43">
        <v>933</v>
      </c>
      <c r="D2221" s="42">
        <v>0.71836007130124779</v>
      </c>
      <c r="E2221" s="42">
        <v>1</v>
      </c>
      <c r="F2221" s="42">
        <v>0.71836007130124779</v>
      </c>
      <c r="G2221">
        <v>1</v>
      </c>
    </row>
    <row r="2222" spans="3:7" x14ac:dyDescent="0.15">
      <c r="C2222" s="43">
        <v>934</v>
      </c>
      <c r="D2222" s="42">
        <v>0.71925133689839571</v>
      </c>
      <c r="E2222" s="42">
        <v>1</v>
      </c>
      <c r="F2222" s="42">
        <v>0.71925133689839571</v>
      </c>
      <c r="G2222">
        <v>1</v>
      </c>
    </row>
    <row r="2223" spans="3:7" x14ac:dyDescent="0.15">
      <c r="C2223" s="43">
        <v>935</v>
      </c>
      <c r="D2223" s="42">
        <v>0.72014260249554363</v>
      </c>
      <c r="E2223" s="42">
        <v>1</v>
      </c>
      <c r="F2223" s="42">
        <v>0.72014260249554363</v>
      </c>
      <c r="G2223">
        <v>1</v>
      </c>
    </row>
    <row r="2224" spans="3:7" x14ac:dyDescent="0.15">
      <c r="C2224" s="43">
        <v>936</v>
      </c>
      <c r="D2224" s="42">
        <v>0.72103386809269165</v>
      </c>
      <c r="E2224" s="42">
        <v>1</v>
      </c>
      <c r="F2224" s="42">
        <v>0.72103386809269165</v>
      </c>
      <c r="G2224">
        <v>1</v>
      </c>
    </row>
    <row r="2225" spans="3:7" x14ac:dyDescent="0.15">
      <c r="C2225" s="43">
        <v>937</v>
      </c>
      <c r="D2225" s="42">
        <v>0.72192513368983957</v>
      </c>
      <c r="E2225" s="42">
        <v>1</v>
      </c>
      <c r="F2225" s="42">
        <v>0.72192513368983957</v>
      </c>
      <c r="G2225">
        <v>1</v>
      </c>
    </row>
    <row r="2226" spans="3:7" x14ac:dyDescent="0.15">
      <c r="C2226" s="43">
        <v>938</v>
      </c>
      <c r="D2226" s="42">
        <v>0.72281639928698749</v>
      </c>
      <c r="E2226" s="42">
        <v>1</v>
      </c>
      <c r="F2226" s="42">
        <v>0.72281639928698749</v>
      </c>
      <c r="G2226">
        <v>1</v>
      </c>
    </row>
    <row r="2227" spans="3:7" x14ac:dyDescent="0.15">
      <c r="C2227" s="43">
        <v>939</v>
      </c>
      <c r="D2227" s="42">
        <v>0.72370766488413552</v>
      </c>
      <c r="E2227" s="42">
        <v>1</v>
      </c>
      <c r="F2227" s="42">
        <v>0.72370766488413552</v>
      </c>
      <c r="G2227">
        <v>1</v>
      </c>
    </row>
    <row r="2228" spans="3:7" x14ac:dyDescent="0.15">
      <c r="C2228" s="43">
        <v>940</v>
      </c>
      <c r="D2228" s="42">
        <v>0.72459893048128343</v>
      </c>
      <c r="E2228" s="42">
        <v>1</v>
      </c>
      <c r="F2228" s="42">
        <v>0.72459893048128343</v>
      </c>
      <c r="G2228">
        <v>1</v>
      </c>
    </row>
    <row r="2229" spans="3:7" x14ac:dyDescent="0.15">
      <c r="C2229" s="43">
        <v>941</v>
      </c>
      <c r="D2229" s="42">
        <v>0.72549019607843135</v>
      </c>
      <c r="E2229" s="42">
        <v>1</v>
      </c>
      <c r="F2229" s="42">
        <v>0.72549019607843135</v>
      </c>
      <c r="G2229">
        <v>1</v>
      </c>
    </row>
    <row r="2230" spans="3:7" x14ac:dyDescent="0.15">
      <c r="C2230" s="43">
        <v>942</v>
      </c>
      <c r="D2230" s="42">
        <v>0.72638146167557938</v>
      </c>
      <c r="E2230" s="42">
        <v>1</v>
      </c>
      <c r="F2230" s="42">
        <v>0.72638146167557938</v>
      </c>
      <c r="G2230">
        <v>1</v>
      </c>
    </row>
    <row r="2231" spans="3:7" x14ac:dyDescent="0.15">
      <c r="C2231" s="43">
        <v>943</v>
      </c>
      <c r="D2231" s="42">
        <v>0.72727272727272729</v>
      </c>
      <c r="E2231" s="42">
        <v>1</v>
      </c>
      <c r="F2231" s="42">
        <v>0.72727272727272729</v>
      </c>
      <c r="G2231">
        <v>1</v>
      </c>
    </row>
    <row r="2232" spans="3:7" x14ac:dyDescent="0.15">
      <c r="C2232" s="43">
        <v>944</v>
      </c>
      <c r="D2232" s="42">
        <v>0.72816399286987521</v>
      </c>
      <c r="E2232" s="42">
        <v>1</v>
      </c>
      <c r="F2232" s="42">
        <v>0.72816399286987521</v>
      </c>
      <c r="G2232">
        <v>1</v>
      </c>
    </row>
    <row r="2233" spans="3:7" x14ac:dyDescent="0.15">
      <c r="C2233" s="43">
        <v>945</v>
      </c>
      <c r="D2233" s="42">
        <v>0.72905525846702313</v>
      </c>
      <c r="E2233" s="42">
        <v>1</v>
      </c>
      <c r="F2233" s="42">
        <v>0.72905525846702313</v>
      </c>
      <c r="G2233">
        <v>1</v>
      </c>
    </row>
    <row r="2234" spans="3:7" x14ac:dyDescent="0.15">
      <c r="C2234" s="43">
        <v>946</v>
      </c>
      <c r="D2234" s="42">
        <v>0.72994652406417115</v>
      </c>
      <c r="E2234" s="42">
        <v>1</v>
      </c>
      <c r="F2234" s="42">
        <v>0.72994652406417115</v>
      </c>
      <c r="G2234">
        <v>1</v>
      </c>
    </row>
    <row r="2235" spans="3:7" x14ac:dyDescent="0.15">
      <c r="C2235" s="43">
        <v>947</v>
      </c>
      <c r="D2235" s="42">
        <v>0.73083778966131907</v>
      </c>
      <c r="E2235" s="42">
        <v>1</v>
      </c>
      <c r="F2235" s="42">
        <v>0.73083778966131907</v>
      </c>
      <c r="G2235">
        <v>1</v>
      </c>
    </row>
    <row r="2236" spans="3:7" x14ac:dyDescent="0.15">
      <c r="C2236" s="43">
        <v>948</v>
      </c>
      <c r="D2236" s="42">
        <v>0.73172905525846699</v>
      </c>
      <c r="E2236" s="42">
        <v>1</v>
      </c>
      <c r="F2236" s="42">
        <v>0.73172905525846699</v>
      </c>
      <c r="G2236">
        <v>1</v>
      </c>
    </row>
    <row r="2237" spans="3:7" x14ac:dyDescent="0.15">
      <c r="C2237" s="43">
        <v>949</v>
      </c>
      <c r="D2237" s="42">
        <v>0.73262032085561501</v>
      </c>
      <c r="E2237" s="42">
        <v>1</v>
      </c>
      <c r="F2237" s="42">
        <v>0.73262032085561501</v>
      </c>
      <c r="G2237">
        <v>1</v>
      </c>
    </row>
    <row r="2238" spans="3:7" x14ac:dyDescent="0.15">
      <c r="C2238" s="43">
        <v>950</v>
      </c>
      <c r="D2238" s="42">
        <v>0.73351158645276293</v>
      </c>
      <c r="E2238" s="42">
        <v>1</v>
      </c>
      <c r="F2238" s="42">
        <v>0.73351158645276293</v>
      </c>
      <c r="G2238">
        <v>1</v>
      </c>
    </row>
    <row r="2239" spans="3:7" x14ac:dyDescent="0.15">
      <c r="C2239" s="43">
        <v>951</v>
      </c>
      <c r="D2239" s="42">
        <v>0.73440285204991085</v>
      </c>
      <c r="E2239" s="42">
        <v>1</v>
      </c>
      <c r="F2239" s="42">
        <v>0.73440285204991085</v>
      </c>
      <c r="G2239">
        <v>1</v>
      </c>
    </row>
    <row r="2240" spans="3:7" x14ac:dyDescent="0.15">
      <c r="C2240" s="43">
        <v>952</v>
      </c>
      <c r="D2240" s="42">
        <v>0.73529411764705888</v>
      </c>
      <c r="E2240" s="42">
        <v>1</v>
      </c>
      <c r="F2240" s="42">
        <v>0.73529411764705888</v>
      </c>
      <c r="G2240">
        <v>1</v>
      </c>
    </row>
    <row r="2241" spans="3:7" x14ac:dyDescent="0.15">
      <c r="C2241" s="43">
        <v>953</v>
      </c>
      <c r="D2241" s="42">
        <v>0.73618538324420679</v>
      </c>
      <c r="E2241" s="42">
        <v>1</v>
      </c>
      <c r="F2241" s="42">
        <v>0.73618538324420679</v>
      </c>
      <c r="G2241">
        <v>1</v>
      </c>
    </row>
    <row r="2242" spans="3:7" x14ac:dyDescent="0.15">
      <c r="C2242" s="43">
        <v>954</v>
      </c>
      <c r="D2242" s="42">
        <v>0.73707664884135471</v>
      </c>
      <c r="E2242" s="42">
        <v>1</v>
      </c>
      <c r="F2242" s="42">
        <v>0.73707664884135471</v>
      </c>
      <c r="G2242">
        <v>1</v>
      </c>
    </row>
    <row r="2243" spans="3:7" x14ac:dyDescent="0.15">
      <c r="C2243" s="43">
        <v>955</v>
      </c>
      <c r="D2243" s="42">
        <v>0.73796791443850263</v>
      </c>
      <c r="E2243" s="42">
        <v>1</v>
      </c>
      <c r="F2243" s="42">
        <v>0.73796791443850263</v>
      </c>
      <c r="G2243">
        <v>1</v>
      </c>
    </row>
    <row r="2244" spans="3:7" x14ac:dyDescent="0.15">
      <c r="C2244" s="43">
        <v>956</v>
      </c>
      <c r="D2244" s="42">
        <v>0.73885918003565065</v>
      </c>
      <c r="E2244" s="42">
        <v>1</v>
      </c>
      <c r="F2244" s="42">
        <v>0.73885918003565065</v>
      </c>
      <c r="G2244">
        <v>1</v>
      </c>
    </row>
    <row r="2245" spans="3:7" x14ac:dyDescent="0.15">
      <c r="C2245" s="43">
        <v>957</v>
      </c>
      <c r="D2245" s="42">
        <v>0.73975044563279857</v>
      </c>
      <c r="E2245" s="42">
        <v>1</v>
      </c>
      <c r="F2245" s="42">
        <v>0.73975044563279857</v>
      </c>
      <c r="G2245">
        <v>1</v>
      </c>
    </row>
    <row r="2246" spans="3:7" x14ac:dyDescent="0.15">
      <c r="C2246" s="43">
        <v>958</v>
      </c>
      <c r="D2246" s="42">
        <v>0.74064171122994649</v>
      </c>
      <c r="E2246" s="42">
        <v>1</v>
      </c>
      <c r="F2246" s="42">
        <v>0.74064171122994649</v>
      </c>
      <c r="G2246">
        <v>1</v>
      </c>
    </row>
    <row r="2247" spans="3:7" x14ac:dyDescent="0.15">
      <c r="C2247" s="43">
        <v>959</v>
      </c>
      <c r="D2247" s="42">
        <v>0.74153297682709451</v>
      </c>
      <c r="E2247" s="42">
        <v>1</v>
      </c>
      <c r="F2247" s="42">
        <v>0.74153297682709451</v>
      </c>
      <c r="G2247">
        <v>1</v>
      </c>
    </row>
    <row r="2248" spans="3:7" x14ac:dyDescent="0.15">
      <c r="C2248" s="43">
        <v>960</v>
      </c>
      <c r="D2248" s="42">
        <v>0.74242424242424243</v>
      </c>
      <c r="E2248" s="42">
        <v>1</v>
      </c>
      <c r="F2248" s="42">
        <v>0.74242424242424243</v>
      </c>
      <c r="G2248">
        <v>1</v>
      </c>
    </row>
    <row r="2249" spans="3:7" x14ac:dyDescent="0.15">
      <c r="C2249" s="43">
        <v>961</v>
      </c>
      <c r="D2249" s="42">
        <v>0.74331550802139035</v>
      </c>
      <c r="E2249" s="42">
        <v>1</v>
      </c>
      <c r="F2249" s="42">
        <v>0.74331550802139035</v>
      </c>
      <c r="G2249">
        <v>1</v>
      </c>
    </row>
    <row r="2250" spans="3:7" x14ac:dyDescent="0.15">
      <c r="C2250" s="43">
        <v>962</v>
      </c>
      <c r="D2250" s="42">
        <v>0.74420677361853838</v>
      </c>
      <c r="E2250" s="42">
        <v>1</v>
      </c>
      <c r="F2250" s="42">
        <v>0.74420677361853838</v>
      </c>
      <c r="G2250">
        <v>1</v>
      </c>
    </row>
    <row r="2251" spans="3:7" x14ac:dyDescent="0.15">
      <c r="C2251" s="43">
        <v>963</v>
      </c>
      <c r="D2251" s="42">
        <v>0.74509803921568629</v>
      </c>
      <c r="E2251" s="42">
        <v>1</v>
      </c>
      <c r="F2251" s="42">
        <v>0.74509803921568629</v>
      </c>
      <c r="G2251">
        <v>1</v>
      </c>
    </row>
    <row r="2252" spans="3:7" x14ac:dyDescent="0.15">
      <c r="C2252" s="43">
        <v>964</v>
      </c>
      <c r="D2252" s="42">
        <v>0.74598930481283421</v>
      </c>
      <c r="E2252" s="42">
        <v>1</v>
      </c>
      <c r="F2252" s="42">
        <v>0.74598930481283421</v>
      </c>
      <c r="G2252">
        <v>1</v>
      </c>
    </row>
    <row r="2253" spans="3:7" x14ac:dyDescent="0.15">
      <c r="C2253" s="43">
        <v>965</v>
      </c>
      <c r="D2253" s="42">
        <v>0.74688057040998213</v>
      </c>
      <c r="E2253" s="42">
        <v>1</v>
      </c>
      <c r="F2253" s="42">
        <v>0.74688057040998213</v>
      </c>
      <c r="G2253">
        <v>1</v>
      </c>
    </row>
    <row r="2254" spans="3:7" x14ac:dyDescent="0.15">
      <c r="C2254" s="43">
        <v>966</v>
      </c>
      <c r="D2254" s="42">
        <v>0.74777183600713015</v>
      </c>
      <c r="E2254" s="42">
        <v>1</v>
      </c>
      <c r="F2254" s="42">
        <v>0.74777183600713015</v>
      </c>
      <c r="G2254">
        <v>1</v>
      </c>
    </row>
    <row r="2255" spans="3:7" x14ac:dyDescent="0.15">
      <c r="C2255" s="43">
        <v>967</v>
      </c>
      <c r="D2255" s="42">
        <v>0.74866310160427807</v>
      </c>
      <c r="E2255" s="42">
        <v>1</v>
      </c>
      <c r="F2255" s="42">
        <v>0.74866310160427807</v>
      </c>
      <c r="G2255">
        <v>1</v>
      </c>
    </row>
    <row r="2256" spans="3:7" x14ac:dyDescent="0.15">
      <c r="C2256" s="43">
        <v>968</v>
      </c>
      <c r="D2256" s="42">
        <v>0.74955436720142599</v>
      </c>
      <c r="E2256" s="42">
        <v>1</v>
      </c>
      <c r="F2256" s="42">
        <v>0.74955436720142599</v>
      </c>
      <c r="G2256">
        <v>1</v>
      </c>
    </row>
    <row r="2257" spans="3:7" x14ac:dyDescent="0.15">
      <c r="C2257" s="43">
        <v>969</v>
      </c>
      <c r="D2257" s="42">
        <v>0.75044563279857401</v>
      </c>
      <c r="E2257" s="42">
        <v>1</v>
      </c>
      <c r="F2257" s="42">
        <v>0.75044563279857401</v>
      </c>
      <c r="G2257">
        <v>1</v>
      </c>
    </row>
    <row r="2258" spans="3:7" x14ac:dyDescent="0.15">
      <c r="C2258" s="43">
        <v>970</v>
      </c>
      <c r="D2258" s="42">
        <v>0.75133689839572193</v>
      </c>
      <c r="E2258" s="42">
        <v>1</v>
      </c>
      <c r="F2258" s="42">
        <v>0.75133689839572193</v>
      </c>
      <c r="G2258">
        <v>1</v>
      </c>
    </row>
    <row r="2259" spans="3:7" x14ac:dyDescent="0.15">
      <c r="C2259" s="43">
        <v>971</v>
      </c>
      <c r="D2259" s="42">
        <v>0.75222816399286985</v>
      </c>
      <c r="E2259" s="42">
        <v>1</v>
      </c>
      <c r="F2259" s="42">
        <v>0.75222816399286985</v>
      </c>
      <c r="G2259">
        <v>1</v>
      </c>
    </row>
    <row r="2260" spans="3:7" x14ac:dyDescent="0.15">
      <c r="C2260" s="43">
        <v>972</v>
      </c>
      <c r="D2260" s="42">
        <v>0.75311942959001787</v>
      </c>
      <c r="E2260" s="42">
        <v>1</v>
      </c>
      <c r="F2260" s="42">
        <v>0.75311942959001787</v>
      </c>
      <c r="G2260">
        <v>1</v>
      </c>
    </row>
    <row r="2261" spans="3:7" x14ac:dyDescent="0.15">
      <c r="C2261" s="43">
        <v>973</v>
      </c>
      <c r="D2261" s="42">
        <v>0.75401069518716579</v>
      </c>
      <c r="E2261" s="42">
        <v>1</v>
      </c>
      <c r="F2261" s="42">
        <v>0.75401069518716579</v>
      </c>
      <c r="G2261">
        <v>1</v>
      </c>
    </row>
    <row r="2262" spans="3:7" x14ac:dyDescent="0.15">
      <c r="C2262" s="43">
        <v>974</v>
      </c>
      <c r="D2262" s="42">
        <v>0.75490196078431371</v>
      </c>
      <c r="E2262" s="42">
        <v>1</v>
      </c>
      <c r="F2262" s="42">
        <v>0.75490196078431371</v>
      </c>
      <c r="G2262">
        <v>1</v>
      </c>
    </row>
    <row r="2263" spans="3:7" x14ac:dyDescent="0.15">
      <c r="C2263" s="43">
        <v>975</v>
      </c>
      <c r="D2263" s="42">
        <v>0.75579322638146162</v>
      </c>
      <c r="E2263" s="42">
        <v>1</v>
      </c>
      <c r="F2263" s="42">
        <v>0.75579322638146162</v>
      </c>
      <c r="G2263">
        <v>1</v>
      </c>
    </row>
    <row r="2264" spans="3:7" x14ac:dyDescent="0.15">
      <c r="C2264" s="43">
        <v>976</v>
      </c>
      <c r="D2264" s="42">
        <v>0.75668449197860965</v>
      </c>
      <c r="E2264" s="42">
        <v>1</v>
      </c>
      <c r="F2264" s="42">
        <v>0.75668449197860965</v>
      </c>
      <c r="G2264">
        <v>1</v>
      </c>
    </row>
    <row r="2265" spans="3:7" x14ac:dyDescent="0.15">
      <c r="C2265" s="43">
        <v>977</v>
      </c>
      <c r="D2265" s="42">
        <v>0.75757575757575757</v>
      </c>
      <c r="E2265" s="42">
        <v>1</v>
      </c>
      <c r="F2265" s="42">
        <v>0.75757575757575757</v>
      </c>
      <c r="G2265">
        <v>1</v>
      </c>
    </row>
    <row r="2266" spans="3:7" x14ac:dyDescent="0.15">
      <c r="C2266" s="43">
        <v>978</v>
      </c>
      <c r="D2266" s="42">
        <v>0.75846702317290549</v>
      </c>
      <c r="E2266" s="42">
        <v>1</v>
      </c>
      <c r="F2266" s="42">
        <v>0.75846702317290549</v>
      </c>
      <c r="G2266">
        <v>1</v>
      </c>
    </row>
    <row r="2267" spans="3:7" x14ac:dyDescent="0.15">
      <c r="C2267" s="43">
        <v>979</v>
      </c>
      <c r="D2267" s="42">
        <v>0.75935828877005351</v>
      </c>
      <c r="E2267" s="42">
        <v>1</v>
      </c>
      <c r="F2267" s="42">
        <v>0.75935828877005351</v>
      </c>
      <c r="G2267">
        <v>1</v>
      </c>
    </row>
    <row r="2268" spans="3:7" x14ac:dyDescent="0.15">
      <c r="C2268" s="43">
        <v>980</v>
      </c>
      <c r="D2268" s="42">
        <v>0.76024955436720143</v>
      </c>
      <c r="E2268" s="42">
        <v>1</v>
      </c>
      <c r="F2268" s="42">
        <v>0.76024955436720143</v>
      </c>
      <c r="G2268">
        <v>1</v>
      </c>
    </row>
    <row r="2269" spans="3:7" x14ac:dyDescent="0.15">
      <c r="C2269" s="43">
        <v>981</v>
      </c>
      <c r="D2269" s="42">
        <v>0.76114081996434935</v>
      </c>
      <c r="E2269" s="42">
        <v>1</v>
      </c>
      <c r="F2269" s="42">
        <v>0.76114081996434935</v>
      </c>
      <c r="G2269">
        <v>1</v>
      </c>
    </row>
    <row r="2270" spans="3:7" x14ac:dyDescent="0.15">
      <c r="C2270" s="43">
        <v>982</v>
      </c>
      <c r="D2270" s="42">
        <v>0.76203208556149737</v>
      </c>
      <c r="E2270" s="42">
        <v>1</v>
      </c>
      <c r="F2270" s="42">
        <v>0.76203208556149737</v>
      </c>
      <c r="G2270">
        <v>1</v>
      </c>
    </row>
    <row r="2271" spans="3:7" x14ac:dyDescent="0.15">
      <c r="C2271" s="43">
        <v>983</v>
      </c>
      <c r="D2271" s="42">
        <v>0.76292335115864529</v>
      </c>
      <c r="E2271" s="42">
        <v>1</v>
      </c>
      <c r="F2271" s="42">
        <v>0.76292335115864529</v>
      </c>
      <c r="G2271">
        <v>1</v>
      </c>
    </row>
    <row r="2272" spans="3:7" x14ac:dyDescent="0.15">
      <c r="C2272" s="43">
        <v>984</v>
      </c>
      <c r="D2272" s="42">
        <v>0.76381461675579321</v>
      </c>
      <c r="E2272" s="42">
        <v>1</v>
      </c>
      <c r="F2272" s="42">
        <v>0.76381461675579321</v>
      </c>
      <c r="G2272">
        <v>1</v>
      </c>
    </row>
    <row r="2273" spans="3:7" x14ac:dyDescent="0.15">
      <c r="C2273" s="43">
        <v>985</v>
      </c>
      <c r="D2273" s="42">
        <v>0.76470588235294112</v>
      </c>
      <c r="E2273" s="42">
        <v>1</v>
      </c>
      <c r="F2273" s="42">
        <v>0.76470588235294112</v>
      </c>
      <c r="G2273">
        <v>1</v>
      </c>
    </row>
    <row r="2274" spans="3:7" x14ac:dyDescent="0.15">
      <c r="C2274" s="43">
        <v>986</v>
      </c>
      <c r="D2274" s="42">
        <v>0.76559714795008915</v>
      </c>
      <c r="E2274" s="42">
        <v>1</v>
      </c>
      <c r="F2274" s="42">
        <v>0.76559714795008915</v>
      </c>
      <c r="G2274">
        <v>1</v>
      </c>
    </row>
    <row r="2275" spans="3:7" x14ac:dyDescent="0.15">
      <c r="C2275" s="43">
        <v>987</v>
      </c>
      <c r="D2275" s="42">
        <v>0.76648841354723707</v>
      </c>
      <c r="E2275" s="42">
        <v>1</v>
      </c>
      <c r="F2275" s="42">
        <v>0.76648841354723707</v>
      </c>
      <c r="G2275">
        <v>1</v>
      </c>
    </row>
    <row r="2276" spans="3:7" x14ac:dyDescent="0.15">
      <c r="C2276" s="43">
        <v>988</v>
      </c>
      <c r="D2276" s="42">
        <v>0.76737967914438499</v>
      </c>
      <c r="E2276" s="42">
        <v>1</v>
      </c>
      <c r="F2276" s="42">
        <v>0.76737967914438499</v>
      </c>
      <c r="G2276">
        <v>1</v>
      </c>
    </row>
    <row r="2277" spans="3:7" x14ac:dyDescent="0.15">
      <c r="C2277" s="43">
        <v>989</v>
      </c>
      <c r="D2277" s="42">
        <v>0.76827094474153301</v>
      </c>
      <c r="E2277" s="42">
        <v>1</v>
      </c>
      <c r="F2277" s="42">
        <v>0.76827094474153301</v>
      </c>
      <c r="G2277">
        <v>1</v>
      </c>
    </row>
    <row r="2278" spans="3:7" x14ac:dyDescent="0.15">
      <c r="C2278" s="43">
        <v>990</v>
      </c>
      <c r="D2278" s="42">
        <v>0.76916221033868093</v>
      </c>
      <c r="E2278" s="42">
        <v>1</v>
      </c>
      <c r="F2278" s="42">
        <v>0.76916221033868093</v>
      </c>
      <c r="G2278">
        <v>1</v>
      </c>
    </row>
    <row r="2279" spans="3:7" x14ac:dyDescent="0.15">
      <c r="C2279" s="43">
        <v>991</v>
      </c>
      <c r="D2279" s="42">
        <v>0.77005347593582885</v>
      </c>
      <c r="E2279" s="42">
        <v>1</v>
      </c>
      <c r="F2279" s="42">
        <v>0.77005347593582885</v>
      </c>
      <c r="G2279">
        <v>1</v>
      </c>
    </row>
    <row r="2280" spans="3:7" x14ac:dyDescent="0.15">
      <c r="C2280" s="43">
        <v>992</v>
      </c>
      <c r="D2280" s="42">
        <v>0.77094474153297687</v>
      </c>
      <c r="E2280" s="42">
        <v>1</v>
      </c>
      <c r="F2280" s="42">
        <v>0.77094474153297687</v>
      </c>
      <c r="G2280">
        <v>1</v>
      </c>
    </row>
    <row r="2281" spans="3:7" x14ac:dyDescent="0.15">
      <c r="C2281" s="43">
        <v>993</v>
      </c>
      <c r="D2281" s="42">
        <v>0.77183600713012479</v>
      </c>
      <c r="E2281" s="42">
        <v>1</v>
      </c>
      <c r="F2281" s="42">
        <v>0.77183600713012479</v>
      </c>
      <c r="G2281">
        <v>1</v>
      </c>
    </row>
    <row r="2282" spans="3:7" x14ac:dyDescent="0.15">
      <c r="C2282" s="43">
        <v>994</v>
      </c>
      <c r="D2282" s="42">
        <v>0.77272727272727271</v>
      </c>
      <c r="E2282" s="42">
        <v>1</v>
      </c>
      <c r="F2282" s="42">
        <v>0.77272727272727271</v>
      </c>
      <c r="G2282">
        <v>1</v>
      </c>
    </row>
    <row r="2283" spans="3:7" x14ac:dyDescent="0.15">
      <c r="C2283" s="43">
        <v>995</v>
      </c>
      <c r="D2283" s="42">
        <v>0.77361853832442062</v>
      </c>
      <c r="E2283" s="42">
        <v>1</v>
      </c>
      <c r="F2283" s="42">
        <v>0.77361853832442062</v>
      </c>
      <c r="G2283">
        <v>1</v>
      </c>
    </row>
    <row r="2284" spans="3:7" x14ac:dyDescent="0.15">
      <c r="C2284" s="43">
        <v>996</v>
      </c>
      <c r="D2284" s="42">
        <v>0.77450980392156865</v>
      </c>
      <c r="E2284" s="42">
        <v>1</v>
      </c>
      <c r="F2284" s="42">
        <v>0.77450980392156865</v>
      </c>
      <c r="G2284">
        <v>1</v>
      </c>
    </row>
    <row r="2285" spans="3:7" x14ac:dyDescent="0.15">
      <c r="C2285" s="43">
        <v>997</v>
      </c>
      <c r="D2285" s="42">
        <v>0.77540106951871657</v>
      </c>
      <c r="E2285" s="42">
        <v>1</v>
      </c>
      <c r="F2285" s="42">
        <v>0.77540106951871657</v>
      </c>
      <c r="G2285">
        <v>1</v>
      </c>
    </row>
    <row r="2286" spans="3:7" x14ac:dyDescent="0.15">
      <c r="C2286" s="43">
        <v>998</v>
      </c>
      <c r="D2286" s="42">
        <v>0.77629233511586448</v>
      </c>
      <c r="E2286" s="42">
        <v>1</v>
      </c>
      <c r="F2286" s="42">
        <v>0.77629233511586448</v>
      </c>
      <c r="G2286">
        <v>1</v>
      </c>
    </row>
    <row r="2287" spans="3:7" x14ac:dyDescent="0.15">
      <c r="C2287" s="43">
        <v>999</v>
      </c>
      <c r="D2287" s="42">
        <v>0.77718360071301251</v>
      </c>
      <c r="E2287" s="42">
        <v>1</v>
      </c>
      <c r="F2287" s="42">
        <v>0.77718360071301251</v>
      </c>
      <c r="G2287">
        <v>1</v>
      </c>
    </row>
    <row r="2288" spans="3:7" x14ac:dyDescent="0.15">
      <c r="C2288" s="43">
        <v>1000</v>
      </c>
      <c r="D2288" s="42">
        <v>0.77807486631016043</v>
      </c>
      <c r="E2288" s="42">
        <v>1</v>
      </c>
      <c r="F2288" s="42">
        <v>0.77807486631016043</v>
      </c>
      <c r="G2288">
        <v>1</v>
      </c>
    </row>
    <row r="2289" spans="3:7" x14ac:dyDescent="0.15">
      <c r="C2289" s="43">
        <v>1001</v>
      </c>
      <c r="D2289" s="42">
        <v>0.77896613190730835</v>
      </c>
      <c r="E2289" s="42">
        <v>1</v>
      </c>
      <c r="F2289" s="42">
        <v>0.77896613190730835</v>
      </c>
      <c r="G2289">
        <v>1</v>
      </c>
    </row>
    <row r="2290" spans="3:7" x14ac:dyDescent="0.15">
      <c r="C2290" s="43">
        <v>1002</v>
      </c>
      <c r="D2290" s="42">
        <v>0.77985739750445637</v>
      </c>
      <c r="E2290" s="42">
        <v>1</v>
      </c>
      <c r="F2290" s="42">
        <v>0.77985739750445637</v>
      </c>
      <c r="G2290">
        <v>1</v>
      </c>
    </row>
    <row r="2291" spans="3:7" x14ac:dyDescent="0.15">
      <c r="C2291" s="43">
        <v>1003</v>
      </c>
      <c r="D2291" s="42">
        <v>0.78074866310160429</v>
      </c>
      <c r="E2291" s="42">
        <v>1</v>
      </c>
      <c r="F2291" s="42">
        <v>0.78074866310160429</v>
      </c>
      <c r="G2291">
        <v>1</v>
      </c>
    </row>
    <row r="2292" spans="3:7" x14ac:dyDescent="0.15">
      <c r="C2292" s="43">
        <v>1004</v>
      </c>
      <c r="D2292" s="42">
        <v>0.78163992869875221</v>
      </c>
      <c r="E2292" s="42">
        <v>1</v>
      </c>
      <c r="F2292" s="42">
        <v>0.78163992869875221</v>
      </c>
      <c r="G2292">
        <v>1</v>
      </c>
    </row>
    <row r="2293" spans="3:7" x14ac:dyDescent="0.15">
      <c r="C2293" s="43">
        <v>1005</v>
      </c>
      <c r="D2293" s="42">
        <v>0.78253119429590012</v>
      </c>
      <c r="E2293" s="42">
        <v>1</v>
      </c>
      <c r="F2293" s="42">
        <v>0.78253119429590012</v>
      </c>
      <c r="G2293">
        <v>1</v>
      </c>
    </row>
    <row r="2294" spans="3:7" x14ac:dyDescent="0.15">
      <c r="C2294" s="43">
        <v>1006</v>
      </c>
      <c r="D2294" s="42">
        <v>0.78342245989304815</v>
      </c>
      <c r="E2294" s="42">
        <v>1</v>
      </c>
      <c r="F2294" s="42">
        <v>0.78342245989304815</v>
      </c>
      <c r="G2294">
        <v>1</v>
      </c>
    </row>
    <row r="2295" spans="3:7" x14ac:dyDescent="0.15">
      <c r="C2295" s="43">
        <v>1007</v>
      </c>
      <c r="D2295" s="42">
        <v>0.78431372549019607</v>
      </c>
      <c r="E2295" s="42">
        <v>1</v>
      </c>
      <c r="F2295" s="42">
        <v>0.78431372549019607</v>
      </c>
      <c r="G2295">
        <v>1</v>
      </c>
    </row>
    <row r="2296" spans="3:7" x14ac:dyDescent="0.15">
      <c r="C2296" s="43">
        <v>1008</v>
      </c>
      <c r="D2296" s="42">
        <v>0.78520499108734398</v>
      </c>
      <c r="E2296" s="42">
        <v>1</v>
      </c>
      <c r="F2296" s="42">
        <v>0.78520499108734398</v>
      </c>
      <c r="G2296">
        <v>1</v>
      </c>
    </row>
    <row r="2297" spans="3:7" x14ac:dyDescent="0.15">
      <c r="C2297" s="43">
        <v>1009</v>
      </c>
      <c r="D2297" s="42">
        <v>0.78609625668449201</v>
      </c>
      <c r="E2297" s="42">
        <v>1</v>
      </c>
      <c r="F2297" s="42">
        <v>0.78609625668449201</v>
      </c>
      <c r="G2297">
        <v>1</v>
      </c>
    </row>
    <row r="2298" spans="3:7" x14ac:dyDescent="0.15">
      <c r="C2298" s="43">
        <v>1010</v>
      </c>
      <c r="D2298" s="42">
        <v>0.78698752228163993</v>
      </c>
      <c r="E2298" s="42">
        <v>1</v>
      </c>
      <c r="F2298" s="42">
        <v>0.78698752228163993</v>
      </c>
      <c r="G2298">
        <v>1</v>
      </c>
    </row>
    <row r="2299" spans="3:7" x14ac:dyDescent="0.15">
      <c r="C2299" s="43">
        <v>1011</v>
      </c>
      <c r="D2299" s="42">
        <v>0.78787878787878785</v>
      </c>
      <c r="E2299" s="42">
        <v>1</v>
      </c>
      <c r="F2299" s="42">
        <v>0.78787878787878785</v>
      </c>
      <c r="G2299">
        <v>1</v>
      </c>
    </row>
    <row r="2300" spans="3:7" x14ac:dyDescent="0.15">
      <c r="C2300" s="43">
        <v>1012</v>
      </c>
      <c r="D2300" s="42">
        <v>0.78877005347593587</v>
      </c>
      <c r="E2300" s="42">
        <v>1</v>
      </c>
      <c r="F2300" s="42">
        <v>0.78877005347593587</v>
      </c>
      <c r="G2300">
        <v>1</v>
      </c>
    </row>
    <row r="2301" spans="3:7" x14ac:dyDescent="0.15">
      <c r="C2301" s="43">
        <v>1013</v>
      </c>
      <c r="D2301" s="42">
        <v>0.78966131907308379</v>
      </c>
      <c r="E2301" s="42">
        <v>1</v>
      </c>
      <c r="F2301" s="42">
        <v>0.78966131907308379</v>
      </c>
      <c r="G2301">
        <v>1</v>
      </c>
    </row>
    <row r="2302" spans="3:7" x14ac:dyDescent="0.15">
      <c r="C2302" s="43">
        <v>1014</v>
      </c>
      <c r="D2302" s="42">
        <v>0.79055258467023171</v>
      </c>
      <c r="E2302" s="42">
        <v>1</v>
      </c>
      <c r="F2302" s="42">
        <v>0.79055258467023171</v>
      </c>
      <c r="G2302">
        <v>1</v>
      </c>
    </row>
    <row r="2303" spans="3:7" x14ac:dyDescent="0.15">
      <c r="C2303" s="43">
        <v>1015</v>
      </c>
      <c r="D2303" s="42">
        <v>0.79144385026737973</v>
      </c>
      <c r="E2303" s="42">
        <v>1</v>
      </c>
      <c r="F2303" s="42">
        <v>0.79144385026737973</v>
      </c>
      <c r="G2303">
        <v>1</v>
      </c>
    </row>
    <row r="2304" spans="3:7" x14ac:dyDescent="0.15">
      <c r="C2304" s="43">
        <v>1016</v>
      </c>
      <c r="D2304" s="42">
        <v>0.79233511586452765</v>
      </c>
      <c r="E2304" s="42">
        <v>1</v>
      </c>
      <c r="F2304" s="42">
        <v>0.79233511586452765</v>
      </c>
      <c r="G2304">
        <v>1</v>
      </c>
    </row>
    <row r="2305" spans="3:7" x14ac:dyDescent="0.15">
      <c r="C2305" s="43">
        <v>1017</v>
      </c>
      <c r="D2305" s="42">
        <v>0.79322638146167557</v>
      </c>
      <c r="E2305" s="42">
        <v>1</v>
      </c>
      <c r="F2305" s="42">
        <v>0.79322638146167557</v>
      </c>
      <c r="G2305">
        <v>1</v>
      </c>
    </row>
    <row r="2306" spans="3:7" x14ac:dyDescent="0.15">
      <c r="C2306" s="43">
        <v>1018</v>
      </c>
      <c r="D2306" s="42">
        <v>0.79411764705882348</v>
      </c>
      <c r="E2306" s="42">
        <v>1</v>
      </c>
      <c r="F2306" s="42">
        <v>0.79411764705882348</v>
      </c>
      <c r="G2306">
        <v>1</v>
      </c>
    </row>
    <row r="2307" spans="3:7" x14ac:dyDescent="0.15">
      <c r="C2307" s="43">
        <v>1019</v>
      </c>
      <c r="D2307" s="42">
        <v>0.79500891265597151</v>
      </c>
      <c r="E2307" s="42">
        <v>1</v>
      </c>
      <c r="F2307" s="42">
        <v>0.79500891265597151</v>
      </c>
      <c r="G2307">
        <v>1</v>
      </c>
    </row>
    <row r="2308" spans="3:7" x14ac:dyDescent="0.15">
      <c r="C2308" s="43">
        <v>1020</v>
      </c>
      <c r="D2308" s="42">
        <v>0.79590017825311943</v>
      </c>
      <c r="E2308" s="42">
        <v>1</v>
      </c>
      <c r="F2308" s="42">
        <v>0.79590017825311943</v>
      </c>
      <c r="G2308">
        <v>1</v>
      </c>
    </row>
    <row r="2309" spans="3:7" x14ac:dyDescent="0.15">
      <c r="C2309" s="43">
        <v>1021</v>
      </c>
      <c r="D2309" s="42">
        <v>0.79679144385026734</v>
      </c>
      <c r="E2309" s="42">
        <v>1</v>
      </c>
      <c r="F2309" s="42">
        <v>0.79679144385026734</v>
      </c>
      <c r="G2309">
        <v>1</v>
      </c>
    </row>
    <row r="2310" spans="3:7" x14ac:dyDescent="0.15">
      <c r="C2310" s="43">
        <v>1022</v>
      </c>
      <c r="D2310" s="42">
        <v>0.79768270944741537</v>
      </c>
      <c r="E2310" s="42">
        <v>1</v>
      </c>
      <c r="F2310" s="42">
        <v>0.79768270944741537</v>
      </c>
      <c r="G2310">
        <v>1</v>
      </c>
    </row>
    <row r="2311" spans="3:7" x14ac:dyDescent="0.15">
      <c r="C2311" s="43">
        <v>1023</v>
      </c>
      <c r="D2311" s="42">
        <v>0.79857397504456329</v>
      </c>
      <c r="E2311" s="42">
        <v>1</v>
      </c>
      <c r="F2311" s="42">
        <v>0.79857397504456329</v>
      </c>
      <c r="G2311">
        <v>1</v>
      </c>
    </row>
    <row r="2312" spans="3:7" x14ac:dyDescent="0.15">
      <c r="C2312" s="43">
        <v>1024</v>
      </c>
      <c r="D2312" s="42">
        <v>0.79946524064171121</v>
      </c>
      <c r="E2312" s="42">
        <v>1</v>
      </c>
      <c r="F2312" s="42">
        <v>0.79946524064171121</v>
      </c>
      <c r="G2312">
        <v>1</v>
      </c>
    </row>
    <row r="2313" spans="3:7" x14ac:dyDescent="0.15">
      <c r="C2313" s="43">
        <v>1025</v>
      </c>
      <c r="D2313" s="42">
        <v>0.80035650623885923</v>
      </c>
      <c r="E2313" s="42">
        <v>1</v>
      </c>
      <c r="F2313" s="42">
        <v>0.80035650623885923</v>
      </c>
      <c r="G2313">
        <v>1</v>
      </c>
    </row>
    <row r="2314" spans="3:7" x14ac:dyDescent="0.15">
      <c r="C2314" s="43">
        <v>1026</v>
      </c>
      <c r="D2314" s="42">
        <v>0.80124777183600715</v>
      </c>
      <c r="E2314" s="42">
        <v>1</v>
      </c>
      <c r="F2314" s="42">
        <v>0.80124777183600715</v>
      </c>
      <c r="G2314">
        <v>1</v>
      </c>
    </row>
    <row r="2315" spans="3:7" x14ac:dyDescent="0.15">
      <c r="C2315" s="43">
        <v>1027</v>
      </c>
      <c r="D2315" s="42">
        <v>0.80213903743315507</v>
      </c>
      <c r="E2315" s="42">
        <v>1</v>
      </c>
      <c r="F2315" s="42">
        <v>0.80213903743315507</v>
      </c>
      <c r="G2315">
        <v>1</v>
      </c>
    </row>
    <row r="2316" spans="3:7" x14ac:dyDescent="0.15">
      <c r="C2316" s="43">
        <v>1028</v>
      </c>
      <c r="D2316" s="42">
        <v>0.80303030303030298</v>
      </c>
      <c r="E2316" s="42">
        <v>1</v>
      </c>
      <c r="F2316" s="42">
        <v>0.80303030303030298</v>
      </c>
      <c r="G2316">
        <v>1</v>
      </c>
    </row>
    <row r="2317" spans="3:7" x14ac:dyDescent="0.15">
      <c r="C2317" s="43">
        <v>1029</v>
      </c>
      <c r="D2317" s="42">
        <v>0.80392156862745101</v>
      </c>
      <c r="E2317" s="42">
        <v>1</v>
      </c>
      <c r="F2317" s="42">
        <v>0.80392156862745101</v>
      </c>
      <c r="G2317">
        <v>1</v>
      </c>
    </row>
    <row r="2318" spans="3:7" x14ac:dyDescent="0.15">
      <c r="C2318" s="43">
        <v>1030</v>
      </c>
      <c r="D2318" s="42">
        <v>0.80481283422459893</v>
      </c>
      <c r="E2318" s="42">
        <v>1</v>
      </c>
      <c r="F2318" s="42">
        <v>0.80481283422459893</v>
      </c>
      <c r="G2318">
        <v>1</v>
      </c>
    </row>
    <row r="2319" spans="3:7" x14ac:dyDescent="0.15">
      <c r="C2319" s="43">
        <v>1031</v>
      </c>
      <c r="D2319" s="42">
        <v>0.80570409982174684</v>
      </c>
      <c r="E2319" s="42">
        <v>1</v>
      </c>
      <c r="F2319" s="42">
        <v>0.80570409982174684</v>
      </c>
      <c r="G2319">
        <v>1</v>
      </c>
    </row>
    <row r="2320" spans="3:7" x14ac:dyDescent="0.15">
      <c r="C2320" s="43">
        <v>1032</v>
      </c>
      <c r="D2320" s="42">
        <v>0.80659536541889487</v>
      </c>
      <c r="E2320" s="42">
        <v>1</v>
      </c>
      <c r="F2320" s="42">
        <v>0.80659536541889487</v>
      </c>
      <c r="G2320">
        <v>1</v>
      </c>
    </row>
    <row r="2321" spans="3:7" x14ac:dyDescent="0.15">
      <c r="C2321" s="43">
        <v>1033</v>
      </c>
      <c r="D2321" s="42">
        <v>0.80748663101604279</v>
      </c>
      <c r="E2321" s="42">
        <v>1</v>
      </c>
      <c r="F2321" s="42">
        <v>0.80748663101604279</v>
      </c>
      <c r="G2321">
        <v>1</v>
      </c>
    </row>
    <row r="2322" spans="3:7" x14ac:dyDescent="0.15">
      <c r="C2322" s="43">
        <v>1034</v>
      </c>
      <c r="D2322" s="42">
        <v>0.80837789661319071</v>
      </c>
      <c r="E2322" s="42">
        <v>1</v>
      </c>
      <c r="F2322" s="42">
        <v>0.80837789661319071</v>
      </c>
      <c r="G2322">
        <v>1</v>
      </c>
    </row>
    <row r="2323" spans="3:7" x14ac:dyDescent="0.15">
      <c r="C2323" s="43">
        <v>1035</v>
      </c>
      <c r="D2323" s="42">
        <v>0.80926916221033873</v>
      </c>
      <c r="E2323" s="42">
        <v>1</v>
      </c>
      <c r="F2323" s="42">
        <v>0.80926916221033873</v>
      </c>
      <c r="G2323">
        <v>1</v>
      </c>
    </row>
    <row r="2324" spans="3:7" x14ac:dyDescent="0.15">
      <c r="C2324" s="43">
        <v>1036</v>
      </c>
      <c r="D2324" s="42">
        <v>0.81016042780748665</v>
      </c>
      <c r="E2324" s="42">
        <v>1</v>
      </c>
      <c r="F2324" s="42">
        <v>0.81016042780748665</v>
      </c>
      <c r="G2324">
        <v>1</v>
      </c>
    </row>
    <row r="2325" spans="3:7" x14ac:dyDescent="0.15">
      <c r="C2325" s="43">
        <v>1037</v>
      </c>
      <c r="D2325" s="42">
        <v>0.81105169340463457</v>
      </c>
      <c r="E2325" s="42">
        <v>1</v>
      </c>
      <c r="F2325" s="42">
        <v>0.81105169340463457</v>
      </c>
      <c r="G2325">
        <v>1</v>
      </c>
    </row>
    <row r="2326" spans="3:7" x14ac:dyDescent="0.15">
      <c r="C2326" s="43">
        <v>1038</v>
      </c>
      <c r="D2326" s="42">
        <v>0.81194295900178248</v>
      </c>
      <c r="E2326" s="42">
        <v>1</v>
      </c>
      <c r="F2326" s="42">
        <v>0.81194295900178248</v>
      </c>
      <c r="G2326">
        <v>1</v>
      </c>
    </row>
    <row r="2327" spans="3:7" x14ac:dyDescent="0.15">
      <c r="C2327" s="43">
        <v>1039</v>
      </c>
      <c r="D2327" s="42">
        <v>0.81283422459893051</v>
      </c>
      <c r="E2327" s="42">
        <v>1</v>
      </c>
      <c r="F2327" s="42">
        <v>0.81283422459893051</v>
      </c>
      <c r="G2327">
        <v>1</v>
      </c>
    </row>
    <row r="2328" spans="3:7" x14ac:dyDescent="0.15">
      <c r="C2328" s="43">
        <v>1040</v>
      </c>
      <c r="D2328" s="42">
        <v>0.81372549019607843</v>
      </c>
      <c r="E2328" s="42">
        <v>1</v>
      </c>
      <c r="F2328" s="42">
        <v>0.81372549019607843</v>
      </c>
      <c r="G2328">
        <v>1</v>
      </c>
    </row>
    <row r="2329" spans="3:7" x14ac:dyDescent="0.15">
      <c r="C2329" s="43">
        <v>1041</v>
      </c>
      <c r="D2329" s="42">
        <v>0.81461675579322634</v>
      </c>
      <c r="E2329" s="42">
        <v>1</v>
      </c>
      <c r="F2329" s="42">
        <v>0.81461675579322634</v>
      </c>
      <c r="G2329">
        <v>1</v>
      </c>
    </row>
    <row r="2330" spans="3:7" x14ac:dyDescent="0.15">
      <c r="C2330" s="43">
        <v>1042</v>
      </c>
      <c r="D2330" s="42">
        <v>0.81550802139037437</v>
      </c>
      <c r="E2330" s="42">
        <v>1</v>
      </c>
      <c r="F2330" s="42">
        <v>0.81550802139037437</v>
      </c>
      <c r="G2330">
        <v>1</v>
      </c>
    </row>
    <row r="2331" spans="3:7" x14ac:dyDescent="0.15">
      <c r="C2331" s="43">
        <v>1043</v>
      </c>
      <c r="D2331" s="42">
        <v>0.81639928698752229</v>
      </c>
      <c r="E2331" s="42">
        <v>1</v>
      </c>
      <c r="F2331" s="42">
        <v>0.81639928698752229</v>
      </c>
      <c r="G2331">
        <v>1</v>
      </c>
    </row>
    <row r="2332" spans="3:7" x14ac:dyDescent="0.15">
      <c r="C2332" s="43">
        <v>1044</v>
      </c>
      <c r="D2332" s="42">
        <v>0.8172905525846702</v>
      </c>
      <c r="E2332" s="42">
        <v>1</v>
      </c>
      <c r="F2332" s="42">
        <v>0.8172905525846702</v>
      </c>
      <c r="G2332">
        <v>1</v>
      </c>
    </row>
    <row r="2333" spans="3:7" x14ac:dyDescent="0.15">
      <c r="C2333" s="43">
        <v>1045</v>
      </c>
      <c r="D2333" s="42">
        <v>0.81818181818181823</v>
      </c>
      <c r="E2333" s="42">
        <v>1</v>
      </c>
      <c r="F2333" s="42">
        <v>0.81818181818181823</v>
      </c>
      <c r="G2333">
        <v>1</v>
      </c>
    </row>
    <row r="2334" spans="3:7" x14ac:dyDescent="0.15">
      <c r="C2334" s="43">
        <v>1046</v>
      </c>
      <c r="D2334" s="42">
        <v>0.81907308377896615</v>
      </c>
      <c r="E2334" s="42">
        <v>1</v>
      </c>
      <c r="F2334" s="42">
        <v>0.81907308377896615</v>
      </c>
      <c r="G2334">
        <v>1</v>
      </c>
    </row>
    <row r="2335" spans="3:7" x14ac:dyDescent="0.15">
      <c r="C2335" s="43">
        <v>1047</v>
      </c>
      <c r="D2335" s="42">
        <v>0.81996434937611407</v>
      </c>
      <c r="E2335" s="42">
        <v>1</v>
      </c>
      <c r="F2335" s="42">
        <v>0.81996434937611407</v>
      </c>
      <c r="G2335">
        <v>1</v>
      </c>
    </row>
    <row r="2336" spans="3:7" x14ac:dyDescent="0.15">
      <c r="C2336" s="43">
        <v>1048</v>
      </c>
      <c r="D2336" s="42">
        <v>0.82085561497326198</v>
      </c>
      <c r="E2336" s="42">
        <v>1</v>
      </c>
      <c r="F2336" s="42">
        <v>0.82085561497326198</v>
      </c>
      <c r="G2336">
        <v>1</v>
      </c>
    </row>
    <row r="2337" spans="3:7" x14ac:dyDescent="0.15">
      <c r="C2337" s="43">
        <v>1049</v>
      </c>
      <c r="D2337" s="42">
        <v>0.82174688057041001</v>
      </c>
      <c r="E2337" s="42">
        <v>1</v>
      </c>
      <c r="F2337" s="42">
        <v>0.82174688057041001</v>
      </c>
      <c r="G2337">
        <v>1</v>
      </c>
    </row>
    <row r="2338" spans="3:7" x14ac:dyDescent="0.15">
      <c r="C2338" s="43">
        <v>1050</v>
      </c>
      <c r="D2338" s="42">
        <v>0.82263814616755793</v>
      </c>
      <c r="E2338" s="42">
        <v>1</v>
      </c>
      <c r="F2338" s="42">
        <v>0.82263814616755793</v>
      </c>
      <c r="G2338">
        <v>1</v>
      </c>
    </row>
    <row r="2339" spans="3:7" x14ac:dyDescent="0.15">
      <c r="C2339" s="43">
        <v>1051</v>
      </c>
      <c r="D2339" s="42">
        <v>0.82352941176470584</v>
      </c>
      <c r="E2339" s="42">
        <v>1</v>
      </c>
      <c r="F2339" s="42">
        <v>0.82352941176470584</v>
      </c>
      <c r="G2339">
        <v>1</v>
      </c>
    </row>
    <row r="2340" spans="3:7" x14ac:dyDescent="0.15">
      <c r="C2340" s="43">
        <v>1052</v>
      </c>
      <c r="D2340" s="42">
        <v>0.82442067736185387</v>
      </c>
      <c r="E2340" s="42">
        <v>1</v>
      </c>
      <c r="F2340" s="42">
        <v>0.82442067736185387</v>
      </c>
      <c r="G2340">
        <v>1</v>
      </c>
    </row>
    <row r="2341" spans="3:7" x14ac:dyDescent="0.15">
      <c r="C2341" s="43">
        <v>1053</v>
      </c>
      <c r="D2341" s="42">
        <v>0.82531194295900179</v>
      </c>
      <c r="E2341" s="42">
        <v>1</v>
      </c>
      <c r="F2341" s="42">
        <v>0.82531194295900179</v>
      </c>
      <c r="G2341">
        <v>1</v>
      </c>
    </row>
    <row r="2342" spans="3:7" x14ac:dyDescent="0.15">
      <c r="C2342" s="43">
        <v>1054</v>
      </c>
      <c r="D2342" s="42">
        <v>0.8262032085561497</v>
      </c>
      <c r="E2342" s="42">
        <v>1</v>
      </c>
      <c r="F2342" s="42">
        <v>0.8262032085561497</v>
      </c>
      <c r="G2342">
        <v>1</v>
      </c>
    </row>
    <row r="2343" spans="3:7" x14ac:dyDescent="0.15">
      <c r="C2343" s="43">
        <v>1055</v>
      </c>
      <c r="D2343" s="42">
        <v>0.82709447415329773</v>
      </c>
      <c r="E2343" s="42">
        <v>1</v>
      </c>
      <c r="F2343" s="42">
        <v>0.82709447415329773</v>
      </c>
      <c r="G2343">
        <v>1</v>
      </c>
    </row>
    <row r="2344" spans="3:7" x14ac:dyDescent="0.15">
      <c r="C2344" s="43">
        <v>1056</v>
      </c>
      <c r="D2344" s="42">
        <v>0.82798573975044565</v>
      </c>
      <c r="E2344" s="42">
        <v>1</v>
      </c>
      <c r="F2344" s="42">
        <v>0.82798573975044565</v>
      </c>
      <c r="G2344">
        <v>1</v>
      </c>
    </row>
    <row r="2345" spans="3:7" x14ac:dyDescent="0.15">
      <c r="C2345" s="43">
        <v>1057</v>
      </c>
      <c r="D2345" s="42">
        <v>0.82887700534759357</v>
      </c>
      <c r="E2345" s="42">
        <v>1</v>
      </c>
      <c r="F2345" s="42">
        <v>0.82887700534759357</v>
      </c>
      <c r="G2345">
        <v>1</v>
      </c>
    </row>
    <row r="2346" spans="3:7" x14ac:dyDescent="0.15">
      <c r="C2346" s="43">
        <v>1058</v>
      </c>
      <c r="D2346" s="42">
        <v>0.82976827094474148</v>
      </c>
      <c r="E2346" s="42">
        <v>1</v>
      </c>
      <c r="F2346" s="42">
        <v>0.82976827094474148</v>
      </c>
      <c r="G2346">
        <v>1</v>
      </c>
    </row>
    <row r="2347" spans="3:7" x14ac:dyDescent="0.15">
      <c r="C2347" s="43">
        <v>1059</v>
      </c>
      <c r="D2347" s="42">
        <v>0.83065953654188951</v>
      </c>
      <c r="E2347" s="42">
        <v>1</v>
      </c>
      <c r="F2347" s="42">
        <v>0.83065953654188951</v>
      </c>
      <c r="G2347">
        <v>1</v>
      </c>
    </row>
    <row r="2348" spans="3:7" x14ac:dyDescent="0.15">
      <c r="C2348" s="43">
        <v>1060</v>
      </c>
      <c r="D2348" s="42">
        <v>0.83155080213903743</v>
      </c>
      <c r="E2348" s="42">
        <v>1</v>
      </c>
      <c r="F2348" s="42">
        <v>0.83155080213903743</v>
      </c>
      <c r="G2348">
        <v>1</v>
      </c>
    </row>
    <row r="2349" spans="3:7" x14ac:dyDescent="0.15">
      <c r="C2349" s="43">
        <v>1061</v>
      </c>
      <c r="D2349" s="42">
        <v>0.83244206773618534</v>
      </c>
      <c r="E2349" s="42">
        <v>1</v>
      </c>
      <c r="F2349" s="42">
        <v>0.83244206773618534</v>
      </c>
      <c r="G2349">
        <v>1</v>
      </c>
    </row>
    <row r="2350" spans="3:7" x14ac:dyDescent="0.15">
      <c r="C2350" s="43">
        <v>1062</v>
      </c>
      <c r="D2350" s="42">
        <v>0.83333333333333337</v>
      </c>
      <c r="E2350" s="42">
        <v>1</v>
      </c>
      <c r="F2350" s="42">
        <v>0.83333333333333337</v>
      </c>
      <c r="G2350">
        <v>1</v>
      </c>
    </row>
    <row r="2351" spans="3:7" x14ac:dyDescent="0.15">
      <c r="C2351" s="43">
        <v>1063</v>
      </c>
      <c r="D2351" s="42">
        <v>0.83422459893048129</v>
      </c>
      <c r="E2351" s="42">
        <v>1</v>
      </c>
      <c r="F2351" s="42">
        <v>0.83422459893048129</v>
      </c>
      <c r="G2351">
        <v>1</v>
      </c>
    </row>
    <row r="2352" spans="3:7" x14ac:dyDescent="0.15">
      <c r="C2352" s="43">
        <v>1064</v>
      </c>
      <c r="D2352" s="42">
        <v>0.8351158645276292</v>
      </c>
      <c r="E2352" s="42">
        <v>1</v>
      </c>
      <c r="F2352" s="42">
        <v>0.8351158645276292</v>
      </c>
      <c r="G2352">
        <v>1</v>
      </c>
    </row>
    <row r="2353" spans="3:7" x14ac:dyDescent="0.15">
      <c r="C2353" s="43">
        <v>1065</v>
      </c>
      <c r="D2353" s="42">
        <v>0.83600713012477723</v>
      </c>
      <c r="E2353" s="42">
        <v>1</v>
      </c>
      <c r="F2353" s="42">
        <v>0.83600713012477723</v>
      </c>
      <c r="G2353">
        <v>1</v>
      </c>
    </row>
    <row r="2354" spans="3:7" x14ac:dyDescent="0.15">
      <c r="C2354" s="43">
        <v>1066</v>
      </c>
      <c r="D2354" s="42">
        <v>0.83689839572192515</v>
      </c>
      <c r="E2354" s="42">
        <v>1</v>
      </c>
      <c r="F2354" s="42">
        <v>0.83689839572192515</v>
      </c>
      <c r="G2354">
        <v>1</v>
      </c>
    </row>
    <row r="2355" spans="3:7" x14ac:dyDescent="0.15">
      <c r="C2355" s="43">
        <v>1067</v>
      </c>
      <c r="D2355" s="42">
        <v>0.83778966131907306</v>
      </c>
      <c r="E2355" s="42">
        <v>1</v>
      </c>
      <c r="F2355" s="42">
        <v>0.83778966131907306</v>
      </c>
      <c r="G2355">
        <v>1</v>
      </c>
    </row>
    <row r="2356" spans="3:7" x14ac:dyDescent="0.15">
      <c r="C2356" s="43">
        <v>1068</v>
      </c>
      <c r="D2356" s="42">
        <v>0.83868092691622098</v>
      </c>
      <c r="E2356" s="42">
        <v>1</v>
      </c>
      <c r="F2356" s="42">
        <v>0.83868092691622098</v>
      </c>
      <c r="G2356">
        <v>1</v>
      </c>
    </row>
    <row r="2357" spans="3:7" x14ac:dyDescent="0.15">
      <c r="C2357" s="43">
        <v>1069</v>
      </c>
      <c r="D2357" s="42">
        <v>0.83957219251336901</v>
      </c>
      <c r="E2357" s="42">
        <v>1</v>
      </c>
      <c r="F2357" s="42">
        <v>0.83957219251336901</v>
      </c>
      <c r="G2357">
        <v>1</v>
      </c>
    </row>
    <row r="2358" spans="3:7" x14ac:dyDescent="0.15">
      <c r="C2358" s="43">
        <v>1070</v>
      </c>
      <c r="D2358" s="42">
        <v>0.84046345811051693</v>
      </c>
      <c r="E2358" s="42">
        <v>1</v>
      </c>
      <c r="F2358" s="42">
        <v>0.84046345811051693</v>
      </c>
      <c r="G2358">
        <v>1</v>
      </c>
    </row>
    <row r="2359" spans="3:7" x14ac:dyDescent="0.15">
      <c r="C2359" s="43">
        <v>1071</v>
      </c>
      <c r="D2359" s="42">
        <v>0.84135472370766484</v>
      </c>
      <c r="E2359" s="42">
        <v>1</v>
      </c>
      <c r="F2359" s="42">
        <v>0.84135472370766484</v>
      </c>
      <c r="G2359">
        <v>1</v>
      </c>
    </row>
    <row r="2360" spans="3:7" x14ac:dyDescent="0.15">
      <c r="C2360" s="43">
        <v>1072</v>
      </c>
      <c r="D2360" s="42">
        <v>0.84224598930481287</v>
      </c>
      <c r="E2360" s="42">
        <v>1</v>
      </c>
      <c r="F2360" s="42">
        <v>0.84224598930481287</v>
      </c>
      <c r="G2360">
        <v>1</v>
      </c>
    </row>
    <row r="2361" spans="3:7" x14ac:dyDescent="0.15">
      <c r="C2361" s="43">
        <v>1073</v>
      </c>
      <c r="D2361" s="42">
        <v>0.84313725490196079</v>
      </c>
      <c r="E2361" s="42">
        <v>1</v>
      </c>
      <c r="F2361" s="42">
        <v>0.84313725490196079</v>
      </c>
      <c r="G2361">
        <v>1</v>
      </c>
    </row>
    <row r="2362" spans="3:7" x14ac:dyDescent="0.15">
      <c r="C2362" s="43">
        <v>1074</v>
      </c>
      <c r="D2362" s="42">
        <v>0.8440285204991087</v>
      </c>
      <c r="E2362" s="42">
        <v>1</v>
      </c>
      <c r="F2362" s="42">
        <v>0.8440285204991087</v>
      </c>
      <c r="G2362">
        <v>1</v>
      </c>
    </row>
    <row r="2363" spans="3:7" x14ac:dyDescent="0.15">
      <c r="C2363" s="43">
        <v>1075</v>
      </c>
      <c r="D2363" s="42">
        <v>0.84491978609625673</v>
      </c>
      <c r="E2363" s="42">
        <v>1</v>
      </c>
      <c r="F2363" s="42">
        <v>0.84491978609625673</v>
      </c>
      <c r="G2363">
        <v>1</v>
      </c>
    </row>
    <row r="2364" spans="3:7" x14ac:dyDescent="0.15">
      <c r="C2364" s="43">
        <v>1076</v>
      </c>
      <c r="D2364" s="42">
        <v>0.84581105169340465</v>
      </c>
      <c r="E2364" s="42">
        <v>1</v>
      </c>
      <c r="F2364" s="42">
        <v>0.84581105169340465</v>
      </c>
      <c r="G2364">
        <v>1</v>
      </c>
    </row>
    <row r="2365" spans="3:7" x14ac:dyDescent="0.15">
      <c r="C2365" s="43">
        <v>1077</v>
      </c>
      <c r="D2365" s="42">
        <v>0.84670231729055256</v>
      </c>
      <c r="E2365" s="42">
        <v>1</v>
      </c>
      <c r="F2365" s="42">
        <v>0.84670231729055256</v>
      </c>
      <c r="G2365">
        <v>1</v>
      </c>
    </row>
    <row r="2366" spans="3:7" x14ac:dyDescent="0.15">
      <c r="C2366" s="43">
        <v>1078</v>
      </c>
      <c r="D2366" s="42">
        <v>0.84759358288770048</v>
      </c>
      <c r="E2366" s="42">
        <v>1</v>
      </c>
      <c r="F2366" s="42">
        <v>0.84759358288770048</v>
      </c>
      <c r="G2366">
        <v>1</v>
      </c>
    </row>
    <row r="2367" spans="3:7" x14ac:dyDescent="0.15">
      <c r="C2367" s="43">
        <v>1079</v>
      </c>
      <c r="D2367" s="42">
        <v>0.84848484848484851</v>
      </c>
      <c r="E2367" s="42">
        <v>1</v>
      </c>
      <c r="F2367" s="42">
        <v>0.84848484848484851</v>
      </c>
      <c r="G2367">
        <v>1</v>
      </c>
    </row>
    <row r="2368" spans="3:7" x14ac:dyDescent="0.15">
      <c r="C2368" s="43">
        <v>1080</v>
      </c>
      <c r="D2368" s="42">
        <v>0.84937611408199643</v>
      </c>
      <c r="E2368" s="42">
        <v>1</v>
      </c>
      <c r="F2368" s="42">
        <v>0.84937611408199643</v>
      </c>
      <c r="G2368">
        <v>1</v>
      </c>
    </row>
    <row r="2369" spans="3:7" x14ac:dyDescent="0.15">
      <c r="C2369" s="43">
        <v>1081</v>
      </c>
      <c r="D2369" s="42">
        <v>0.85026737967914434</v>
      </c>
      <c r="E2369" s="42">
        <v>1</v>
      </c>
      <c r="F2369" s="42">
        <v>0.85026737967914434</v>
      </c>
      <c r="G2369">
        <v>1</v>
      </c>
    </row>
    <row r="2370" spans="3:7" x14ac:dyDescent="0.15">
      <c r="C2370" s="43">
        <v>1082</v>
      </c>
      <c r="D2370" s="42">
        <v>0.85115864527629237</v>
      </c>
      <c r="E2370" s="42">
        <v>1</v>
      </c>
      <c r="F2370" s="42">
        <v>0.85115864527629237</v>
      </c>
      <c r="G2370">
        <v>1</v>
      </c>
    </row>
    <row r="2371" spans="3:7" x14ac:dyDescent="0.15">
      <c r="C2371" s="43">
        <v>1083</v>
      </c>
      <c r="D2371" s="42">
        <v>0.85204991087344029</v>
      </c>
      <c r="E2371" s="42">
        <v>1</v>
      </c>
      <c r="F2371" s="42">
        <v>0.85204991087344029</v>
      </c>
      <c r="G2371">
        <v>1</v>
      </c>
    </row>
    <row r="2372" spans="3:7" x14ac:dyDescent="0.15">
      <c r="C2372" s="43">
        <v>1084</v>
      </c>
      <c r="D2372" s="42">
        <v>0.8529411764705882</v>
      </c>
      <c r="E2372" s="42">
        <v>1</v>
      </c>
      <c r="F2372" s="42">
        <v>0.8529411764705882</v>
      </c>
      <c r="G2372">
        <v>1</v>
      </c>
    </row>
    <row r="2373" spans="3:7" x14ac:dyDescent="0.15">
      <c r="C2373" s="43">
        <v>1085</v>
      </c>
      <c r="D2373" s="42">
        <v>0.85383244206773623</v>
      </c>
      <c r="E2373" s="42">
        <v>1</v>
      </c>
      <c r="F2373" s="42">
        <v>0.85383244206773623</v>
      </c>
      <c r="G2373">
        <v>1</v>
      </c>
    </row>
    <row r="2374" spans="3:7" x14ac:dyDescent="0.15">
      <c r="C2374" s="43">
        <v>1086</v>
      </c>
      <c r="D2374" s="42">
        <v>0.85472370766488415</v>
      </c>
      <c r="E2374" s="42">
        <v>1</v>
      </c>
      <c r="F2374" s="42">
        <v>0.85472370766488415</v>
      </c>
      <c r="G2374">
        <v>1</v>
      </c>
    </row>
    <row r="2375" spans="3:7" x14ac:dyDescent="0.15">
      <c r="C2375" s="43">
        <v>1087</v>
      </c>
      <c r="D2375" s="42">
        <v>0.85561497326203206</v>
      </c>
      <c r="E2375" s="42">
        <v>1</v>
      </c>
      <c r="F2375" s="42">
        <v>0.85561497326203206</v>
      </c>
      <c r="G2375">
        <v>1</v>
      </c>
    </row>
    <row r="2376" spans="3:7" x14ac:dyDescent="0.15">
      <c r="C2376" s="43">
        <v>1088</v>
      </c>
      <c r="D2376" s="42">
        <v>0.85650623885917998</v>
      </c>
      <c r="E2376" s="42">
        <v>1</v>
      </c>
      <c r="F2376" s="42">
        <v>0.85650623885917998</v>
      </c>
      <c r="G2376">
        <v>1</v>
      </c>
    </row>
    <row r="2377" spans="3:7" x14ac:dyDescent="0.15">
      <c r="C2377" s="43">
        <v>1089</v>
      </c>
      <c r="D2377" s="42">
        <v>0.85739750445632801</v>
      </c>
      <c r="E2377" s="42">
        <v>1</v>
      </c>
      <c r="F2377" s="42">
        <v>0.85739750445632801</v>
      </c>
      <c r="G2377">
        <v>1</v>
      </c>
    </row>
    <row r="2378" spans="3:7" x14ac:dyDescent="0.15">
      <c r="C2378" s="43">
        <v>1090</v>
      </c>
      <c r="D2378" s="42">
        <v>0.85828877005347592</v>
      </c>
      <c r="E2378" s="42">
        <v>1</v>
      </c>
      <c r="F2378" s="42">
        <v>0.85828877005347592</v>
      </c>
      <c r="G2378">
        <v>1</v>
      </c>
    </row>
    <row r="2379" spans="3:7" x14ac:dyDescent="0.15">
      <c r="C2379" s="43">
        <v>1091</v>
      </c>
      <c r="D2379" s="42">
        <v>0.85918003565062384</v>
      </c>
      <c r="E2379" s="42">
        <v>1</v>
      </c>
      <c r="F2379" s="42">
        <v>0.85918003565062384</v>
      </c>
      <c r="G2379">
        <v>1</v>
      </c>
    </row>
    <row r="2380" spans="3:7" x14ac:dyDescent="0.15">
      <c r="C2380" s="43">
        <v>1092</v>
      </c>
      <c r="D2380" s="42">
        <v>0.86007130124777187</v>
      </c>
      <c r="E2380" s="42">
        <v>1</v>
      </c>
      <c r="F2380" s="42">
        <v>0.86007130124777187</v>
      </c>
      <c r="G2380">
        <v>1</v>
      </c>
    </row>
    <row r="2381" spans="3:7" x14ac:dyDescent="0.15">
      <c r="C2381" s="43">
        <v>1093</v>
      </c>
      <c r="D2381" s="42">
        <v>0.86096256684491979</v>
      </c>
      <c r="E2381" s="42">
        <v>1</v>
      </c>
      <c r="F2381" s="42">
        <v>0.86096256684491979</v>
      </c>
      <c r="G2381">
        <v>1</v>
      </c>
    </row>
    <row r="2382" spans="3:7" x14ac:dyDescent="0.15">
      <c r="C2382" s="43">
        <v>1094</v>
      </c>
      <c r="D2382" s="42">
        <v>0.8618538324420677</v>
      </c>
      <c r="E2382" s="42">
        <v>1</v>
      </c>
      <c r="F2382" s="42">
        <v>0.8618538324420677</v>
      </c>
      <c r="G2382">
        <v>1</v>
      </c>
    </row>
    <row r="2383" spans="3:7" x14ac:dyDescent="0.15">
      <c r="C2383" s="43">
        <v>1095</v>
      </c>
      <c r="D2383" s="42">
        <v>0.86274509803921573</v>
      </c>
      <c r="E2383" s="42">
        <v>1</v>
      </c>
      <c r="F2383" s="42">
        <v>0.86274509803921573</v>
      </c>
      <c r="G2383">
        <v>1</v>
      </c>
    </row>
    <row r="2384" spans="3:7" x14ac:dyDescent="0.15">
      <c r="C2384" s="43">
        <v>1096</v>
      </c>
      <c r="D2384" s="42">
        <v>0.86363636363636365</v>
      </c>
      <c r="E2384" s="42">
        <v>1</v>
      </c>
      <c r="F2384" s="42">
        <v>0.86363636363636365</v>
      </c>
      <c r="G2384">
        <v>1</v>
      </c>
    </row>
    <row r="2385" spans="3:7" x14ac:dyDescent="0.15">
      <c r="C2385" s="43">
        <v>1097</v>
      </c>
      <c r="D2385" s="42">
        <v>0.86452762923351156</v>
      </c>
      <c r="E2385" s="42">
        <v>1</v>
      </c>
      <c r="F2385" s="42">
        <v>0.86452762923351156</v>
      </c>
      <c r="G2385">
        <v>1</v>
      </c>
    </row>
    <row r="2386" spans="3:7" x14ac:dyDescent="0.15">
      <c r="C2386" s="43">
        <v>1098</v>
      </c>
      <c r="D2386" s="42">
        <v>0.86541889483065959</v>
      </c>
      <c r="E2386" s="42">
        <v>1</v>
      </c>
      <c r="F2386" s="42">
        <v>0.86541889483065959</v>
      </c>
      <c r="G2386">
        <v>1</v>
      </c>
    </row>
    <row r="2387" spans="3:7" x14ac:dyDescent="0.15">
      <c r="C2387" s="43">
        <v>1099</v>
      </c>
      <c r="D2387" s="42">
        <v>0.86631016042780751</v>
      </c>
      <c r="E2387" s="42">
        <v>1</v>
      </c>
      <c r="F2387" s="42">
        <v>0.86631016042780751</v>
      </c>
      <c r="G2387">
        <v>1</v>
      </c>
    </row>
    <row r="2388" spans="3:7" x14ac:dyDescent="0.15">
      <c r="C2388" s="43">
        <v>1100</v>
      </c>
      <c r="D2388" s="42">
        <v>0.86720142602495542</v>
      </c>
      <c r="E2388" s="42">
        <v>1</v>
      </c>
      <c r="F2388" s="42">
        <v>0.86720142602495542</v>
      </c>
      <c r="G2388">
        <v>1</v>
      </c>
    </row>
    <row r="2389" spans="3:7" x14ac:dyDescent="0.15">
      <c r="C2389" s="43">
        <v>1101</v>
      </c>
      <c r="D2389" s="42">
        <v>0.86809269162210334</v>
      </c>
      <c r="E2389" s="42">
        <v>1</v>
      </c>
      <c r="F2389" s="42">
        <v>0.86809269162210334</v>
      </c>
      <c r="G2389">
        <v>1</v>
      </c>
    </row>
    <row r="2390" spans="3:7" x14ac:dyDescent="0.15">
      <c r="C2390" s="43">
        <v>1102</v>
      </c>
      <c r="D2390" s="42">
        <v>0.86898395721925137</v>
      </c>
      <c r="E2390" s="42">
        <v>1</v>
      </c>
      <c r="F2390" s="42">
        <v>0.86898395721925137</v>
      </c>
      <c r="G2390">
        <v>1</v>
      </c>
    </row>
    <row r="2391" spans="3:7" x14ac:dyDescent="0.15">
      <c r="C2391" s="43">
        <v>1103</v>
      </c>
      <c r="D2391" s="42">
        <v>0.86987522281639929</v>
      </c>
      <c r="E2391" s="42">
        <v>1</v>
      </c>
      <c r="F2391" s="42">
        <v>0.86987522281639929</v>
      </c>
      <c r="G2391">
        <v>1</v>
      </c>
    </row>
    <row r="2392" spans="3:7" x14ac:dyDescent="0.15">
      <c r="C2392" s="43">
        <v>1104</v>
      </c>
      <c r="D2392" s="42">
        <v>0.8707664884135472</v>
      </c>
      <c r="E2392" s="42">
        <v>1</v>
      </c>
      <c r="F2392" s="42">
        <v>0.8707664884135472</v>
      </c>
      <c r="G2392">
        <v>1</v>
      </c>
    </row>
    <row r="2393" spans="3:7" x14ac:dyDescent="0.15">
      <c r="C2393" s="43">
        <v>1105</v>
      </c>
      <c r="D2393" s="42">
        <v>0.87165775401069523</v>
      </c>
      <c r="E2393" s="42">
        <v>1</v>
      </c>
      <c r="F2393" s="42">
        <v>0.87165775401069523</v>
      </c>
      <c r="G2393">
        <v>1</v>
      </c>
    </row>
    <row r="2394" spans="3:7" x14ac:dyDescent="0.15">
      <c r="C2394" s="43">
        <v>1106</v>
      </c>
      <c r="D2394" s="42">
        <v>0.87254901960784315</v>
      </c>
      <c r="E2394" s="42">
        <v>1</v>
      </c>
      <c r="F2394" s="42">
        <v>0.87254901960784315</v>
      </c>
      <c r="G2394">
        <v>1</v>
      </c>
    </row>
    <row r="2395" spans="3:7" x14ac:dyDescent="0.15">
      <c r="C2395" s="43">
        <v>1107</v>
      </c>
      <c r="D2395" s="42">
        <v>0.87344028520499106</v>
      </c>
      <c r="E2395" s="42">
        <v>1</v>
      </c>
      <c r="F2395" s="42">
        <v>0.87344028520499106</v>
      </c>
      <c r="G2395">
        <v>1</v>
      </c>
    </row>
    <row r="2396" spans="3:7" x14ac:dyDescent="0.15">
      <c r="C2396" s="43">
        <v>1108</v>
      </c>
      <c r="D2396" s="42">
        <v>0.87433155080213909</v>
      </c>
      <c r="E2396" s="42">
        <v>1</v>
      </c>
      <c r="F2396" s="42">
        <v>0.87433155080213909</v>
      </c>
      <c r="G2396">
        <v>1</v>
      </c>
    </row>
    <row r="2397" spans="3:7" x14ac:dyDescent="0.15">
      <c r="C2397" s="43">
        <v>1109</v>
      </c>
      <c r="D2397" s="42">
        <v>0.87522281639928701</v>
      </c>
      <c r="E2397" s="42">
        <v>1</v>
      </c>
      <c r="F2397" s="42">
        <v>0.87522281639928701</v>
      </c>
      <c r="G2397">
        <v>1</v>
      </c>
    </row>
    <row r="2398" spans="3:7" x14ac:dyDescent="0.15">
      <c r="C2398" s="43">
        <v>1110</v>
      </c>
      <c r="D2398" s="42">
        <v>0.87611408199643492</v>
      </c>
      <c r="E2398" s="42">
        <v>1</v>
      </c>
      <c r="F2398" s="42">
        <v>0.87611408199643492</v>
      </c>
      <c r="G2398">
        <v>1</v>
      </c>
    </row>
    <row r="2399" spans="3:7" x14ac:dyDescent="0.15">
      <c r="C2399" s="43">
        <v>1111</v>
      </c>
      <c r="D2399" s="42">
        <v>0.87700534759358284</v>
      </c>
      <c r="E2399" s="42">
        <v>1</v>
      </c>
      <c r="F2399" s="42">
        <v>0.87700534759358284</v>
      </c>
      <c r="G2399">
        <v>1</v>
      </c>
    </row>
    <row r="2400" spans="3:7" x14ac:dyDescent="0.15">
      <c r="C2400" s="43">
        <v>1112</v>
      </c>
      <c r="D2400" s="42">
        <v>0.87789661319073087</v>
      </c>
      <c r="E2400" s="42">
        <v>1</v>
      </c>
      <c r="F2400" s="42">
        <v>0.87789661319073087</v>
      </c>
      <c r="G2400">
        <v>1</v>
      </c>
    </row>
    <row r="2401" spans="3:7" x14ac:dyDescent="0.15">
      <c r="C2401" s="43">
        <v>1113</v>
      </c>
      <c r="D2401" s="42">
        <v>0.87878787878787878</v>
      </c>
      <c r="E2401" s="42">
        <v>1</v>
      </c>
      <c r="F2401" s="42">
        <v>0.87878787878787878</v>
      </c>
      <c r="G2401">
        <v>1</v>
      </c>
    </row>
    <row r="2402" spans="3:7" x14ac:dyDescent="0.15">
      <c r="C2402" s="43">
        <v>1114</v>
      </c>
      <c r="D2402" s="42">
        <v>0.8796791443850267</v>
      </c>
      <c r="E2402" s="42">
        <v>1</v>
      </c>
      <c r="F2402" s="42">
        <v>0.8796791443850267</v>
      </c>
      <c r="G2402">
        <v>1</v>
      </c>
    </row>
    <row r="2403" spans="3:7" x14ac:dyDescent="0.15">
      <c r="C2403" s="43">
        <v>1115</v>
      </c>
      <c r="D2403" s="42">
        <v>0.88057040998217473</v>
      </c>
      <c r="E2403" s="42">
        <v>1</v>
      </c>
      <c r="F2403" s="42">
        <v>0.88057040998217473</v>
      </c>
      <c r="G2403">
        <v>1</v>
      </c>
    </row>
    <row r="2404" spans="3:7" x14ac:dyDescent="0.15">
      <c r="C2404" s="43">
        <v>1116</v>
      </c>
      <c r="D2404" s="42">
        <v>0.88146167557932265</v>
      </c>
      <c r="E2404" s="42">
        <v>1</v>
      </c>
      <c r="F2404" s="42">
        <v>0.88146167557932265</v>
      </c>
      <c r="G2404">
        <v>1</v>
      </c>
    </row>
    <row r="2405" spans="3:7" x14ac:dyDescent="0.15">
      <c r="C2405" s="43">
        <v>1117</v>
      </c>
      <c r="D2405" s="42">
        <v>0.88235294117647056</v>
      </c>
      <c r="E2405" s="42">
        <v>1</v>
      </c>
      <c r="F2405" s="42">
        <v>0.88235294117647056</v>
      </c>
      <c r="G2405">
        <v>1</v>
      </c>
    </row>
    <row r="2406" spans="3:7" x14ac:dyDescent="0.15">
      <c r="C2406" s="43">
        <v>1118</v>
      </c>
      <c r="D2406" s="42">
        <v>0.88324420677361859</v>
      </c>
      <c r="E2406" s="42">
        <v>1</v>
      </c>
      <c r="F2406" s="42">
        <v>0.88324420677361859</v>
      </c>
      <c r="G2406">
        <v>1</v>
      </c>
    </row>
    <row r="2407" spans="3:7" x14ac:dyDescent="0.15">
      <c r="C2407" s="43">
        <v>1119</v>
      </c>
      <c r="D2407" s="42">
        <v>0.88413547237076651</v>
      </c>
      <c r="E2407" s="42">
        <v>1</v>
      </c>
      <c r="F2407" s="42">
        <v>0.88413547237076651</v>
      </c>
      <c r="G2407">
        <v>1</v>
      </c>
    </row>
    <row r="2408" spans="3:7" x14ac:dyDescent="0.15">
      <c r="C2408" s="43">
        <v>1120</v>
      </c>
      <c r="D2408" s="42">
        <v>0.88502673796791442</v>
      </c>
      <c r="E2408" s="42">
        <v>1</v>
      </c>
      <c r="F2408" s="42">
        <v>0.88502673796791442</v>
      </c>
      <c r="G2408">
        <v>1</v>
      </c>
    </row>
    <row r="2409" spans="3:7" x14ac:dyDescent="0.15">
      <c r="C2409" s="43">
        <v>1121</v>
      </c>
      <c r="D2409" s="42">
        <v>0.88591800356506234</v>
      </c>
      <c r="E2409" s="42">
        <v>1</v>
      </c>
      <c r="F2409" s="42">
        <v>0.88591800356506234</v>
      </c>
      <c r="G2409">
        <v>1</v>
      </c>
    </row>
    <row r="2410" spans="3:7" x14ac:dyDescent="0.15">
      <c r="C2410" s="43">
        <v>1122</v>
      </c>
      <c r="D2410" s="42">
        <v>0.88680926916221037</v>
      </c>
      <c r="E2410" s="42">
        <v>1</v>
      </c>
      <c r="F2410" s="42">
        <v>0.88680926916221037</v>
      </c>
      <c r="G2410">
        <v>1</v>
      </c>
    </row>
    <row r="2411" spans="3:7" x14ac:dyDescent="0.15">
      <c r="C2411" s="43">
        <v>1123</v>
      </c>
      <c r="D2411" s="42">
        <v>0.88770053475935828</v>
      </c>
      <c r="E2411" s="42">
        <v>1</v>
      </c>
      <c r="F2411" s="42">
        <v>0.88770053475935828</v>
      </c>
      <c r="G2411">
        <v>1</v>
      </c>
    </row>
    <row r="2412" spans="3:7" x14ac:dyDescent="0.15">
      <c r="C2412" s="43">
        <v>1124</v>
      </c>
      <c r="D2412" s="42">
        <v>0.8885918003565062</v>
      </c>
      <c r="E2412" s="42">
        <v>1</v>
      </c>
      <c r="F2412" s="42">
        <v>0.8885918003565062</v>
      </c>
      <c r="G2412">
        <v>1</v>
      </c>
    </row>
    <row r="2413" spans="3:7" x14ac:dyDescent="0.15">
      <c r="C2413" s="43">
        <v>1125</v>
      </c>
      <c r="D2413" s="42">
        <v>0.88948306595365423</v>
      </c>
      <c r="E2413" s="42">
        <v>1</v>
      </c>
      <c r="F2413" s="42">
        <v>0.88948306595365423</v>
      </c>
      <c r="G2413">
        <v>1</v>
      </c>
    </row>
    <row r="2414" spans="3:7" x14ac:dyDescent="0.15">
      <c r="C2414" s="43">
        <v>1126</v>
      </c>
      <c r="D2414" s="42">
        <v>0.89037433155080214</v>
      </c>
      <c r="E2414" s="42">
        <v>1</v>
      </c>
      <c r="F2414" s="42">
        <v>0.89037433155080214</v>
      </c>
      <c r="G2414">
        <v>1</v>
      </c>
    </row>
    <row r="2415" spans="3:7" x14ac:dyDescent="0.15">
      <c r="C2415" s="43">
        <v>1127</v>
      </c>
      <c r="D2415" s="42">
        <v>0.89126559714795006</v>
      </c>
      <c r="E2415" s="42">
        <v>1</v>
      </c>
      <c r="F2415" s="42">
        <v>0.89126559714795006</v>
      </c>
      <c r="G2415">
        <v>1</v>
      </c>
    </row>
    <row r="2416" spans="3:7" x14ac:dyDescent="0.15">
      <c r="C2416" s="43">
        <v>1128</v>
      </c>
      <c r="D2416" s="42">
        <v>0.89215686274509809</v>
      </c>
      <c r="E2416" s="42">
        <v>1</v>
      </c>
      <c r="F2416" s="42">
        <v>0.89215686274509809</v>
      </c>
      <c r="G2416">
        <v>1</v>
      </c>
    </row>
    <row r="2417" spans="3:7" x14ac:dyDescent="0.15">
      <c r="C2417" s="43">
        <v>1129</v>
      </c>
      <c r="D2417" s="42">
        <v>0.89304812834224601</v>
      </c>
      <c r="E2417" s="42">
        <v>1</v>
      </c>
      <c r="F2417" s="42">
        <v>0.89304812834224601</v>
      </c>
      <c r="G2417">
        <v>1</v>
      </c>
    </row>
    <row r="2418" spans="3:7" x14ac:dyDescent="0.15">
      <c r="C2418" s="43">
        <v>1130</v>
      </c>
      <c r="D2418" s="42">
        <v>0.89393939393939392</v>
      </c>
      <c r="E2418" s="42">
        <v>1</v>
      </c>
      <c r="F2418" s="42">
        <v>0.89393939393939392</v>
      </c>
      <c r="G2418">
        <v>1</v>
      </c>
    </row>
    <row r="2419" spans="3:7" x14ac:dyDescent="0.15">
      <c r="C2419" s="43">
        <v>1131</v>
      </c>
      <c r="D2419" s="42">
        <v>0.89483065953654184</v>
      </c>
      <c r="E2419" s="42">
        <v>1</v>
      </c>
      <c r="F2419" s="42">
        <v>0.89483065953654184</v>
      </c>
      <c r="G2419">
        <v>1</v>
      </c>
    </row>
    <row r="2420" spans="3:7" x14ac:dyDescent="0.15">
      <c r="C2420" s="43">
        <v>1132</v>
      </c>
      <c r="D2420" s="42">
        <v>0.89572192513368987</v>
      </c>
      <c r="E2420" s="42">
        <v>1</v>
      </c>
      <c r="F2420" s="42">
        <v>0.89572192513368987</v>
      </c>
      <c r="G2420">
        <v>1</v>
      </c>
    </row>
    <row r="2421" spans="3:7" x14ac:dyDescent="0.15">
      <c r="C2421" s="43">
        <v>1133</v>
      </c>
      <c r="D2421" s="42">
        <v>0.89661319073083778</v>
      </c>
      <c r="E2421" s="42">
        <v>1</v>
      </c>
      <c r="F2421" s="42">
        <v>0.89661319073083778</v>
      </c>
      <c r="G2421">
        <v>1</v>
      </c>
    </row>
    <row r="2422" spans="3:7" x14ac:dyDescent="0.15">
      <c r="C2422" s="43">
        <v>1134</v>
      </c>
      <c r="D2422" s="42">
        <v>0.8975044563279857</v>
      </c>
      <c r="E2422" s="42">
        <v>1</v>
      </c>
      <c r="F2422" s="42">
        <v>0.8975044563279857</v>
      </c>
      <c r="G2422">
        <v>1</v>
      </c>
    </row>
    <row r="2423" spans="3:7" x14ac:dyDescent="0.15">
      <c r="C2423" s="43">
        <v>1135</v>
      </c>
      <c r="D2423" s="42">
        <v>0.89839572192513373</v>
      </c>
      <c r="E2423" s="42">
        <v>1</v>
      </c>
      <c r="F2423" s="42">
        <v>0.89839572192513373</v>
      </c>
      <c r="G2423">
        <v>1</v>
      </c>
    </row>
    <row r="2424" spans="3:7" x14ac:dyDescent="0.15">
      <c r="C2424" s="43">
        <v>1136</v>
      </c>
      <c r="D2424" s="42">
        <v>0.89928698752228164</v>
      </c>
      <c r="E2424" s="42">
        <v>1</v>
      </c>
      <c r="F2424" s="42">
        <v>0.89928698752228164</v>
      </c>
      <c r="G2424">
        <v>1</v>
      </c>
    </row>
    <row r="2425" spans="3:7" x14ac:dyDescent="0.15">
      <c r="C2425" s="43">
        <v>1137</v>
      </c>
      <c r="D2425" s="42">
        <v>0.90017825311942956</v>
      </c>
      <c r="E2425" s="42">
        <v>1</v>
      </c>
      <c r="F2425" s="42">
        <v>0.90017825311942956</v>
      </c>
      <c r="G2425">
        <v>1</v>
      </c>
    </row>
    <row r="2426" spans="3:7" x14ac:dyDescent="0.15">
      <c r="C2426" s="43">
        <v>1138</v>
      </c>
      <c r="D2426" s="42">
        <v>0.90106951871657759</v>
      </c>
      <c r="E2426" s="42">
        <v>1</v>
      </c>
      <c r="F2426" s="42">
        <v>0.90106951871657759</v>
      </c>
      <c r="G2426">
        <v>1</v>
      </c>
    </row>
    <row r="2427" spans="3:7" x14ac:dyDescent="0.15">
      <c r="C2427" s="43">
        <v>1139</v>
      </c>
      <c r="D2427" s="42">
        <v>0.90196078431372551</v>
      </c>
      <c r="E2427" s="42">
        <v>1</v>
      </c>
      <c r="F2427" s="42">
        <v>0.90196078431372551</v>
      </c>
      <c r="G2427">
        <v>1</v>
      </c>
    </row>
    <row r="2428" spans="3:7" x14ac:dyDescent="0.15">
      <c r="C2428" s="43">
        <v>1140</v>
      </c>
      <c r="D2428" s="42">
        <v>0.90285204991087342</v>
      </c>
      <c r="E2428" s="42">
        <v>1</v>
      </c>
      <c r="F2428" s="42">
        <v>0.90285204991087342</v>
      </c>
      <c r="G2428">
        <v>1</v>
      </c>
    </row>
    <row r="2429" spans="3:7" x14ac:dyDescent="0.15">
      <c r="C2429" s="43">
        <v>1141</v>
      </c>
      <c r="D2429" s="42">
        <v>0.90374331550802134</v>
      </c>
      <c r="E2429" s="42">
        <v>1</v>
      </c>
      <c r="F2429" s="42">
        <v>0.90374331550802134</v>
      </c>
      <c r="G2429">
        <v>1</v>
      </c>
    </row>
    <row r="2430" spans="3:7" x14ac:dyDescent="0.15">
      <c r="C2430" s="43">
        <v>1142</v>
      </c>
      <c r="D2430" s="42">
        <v>0.90463458110516937</v>
      </c>
      <c r="E2430" s="42">
        <v>1</v>
      </c>
      <c r="F2430" s="42">
        <v>0.90463458110516937</v>
      </c>
      <c r="G2430">
        <v>1</v>
      </c>
    </row>
    <row r="2431" spans="3:7" x14ac:dyDescent="0.15">
      <c r="C2431" s="43">
        <v>1143</v>
      </c>
      <c r="D2431" s="42">
        <v>0.90552584670231728</v>
      </c>
      <c r="E2431" s="42">
        <v>1</v>
      </c>
      <c r="F2431" s="42">
        <v>0.90552584670231728</v>
      </c>
      <c r="G2431">
        <v>1</v>
      </c>
    </row>
    <row r="2432" spans="3:7" x14ac:dyDescent="0.15">
      <c r="C2432" s="43">
        <v>1144</v>
      </c>
      <c r="D2432" s="42">
        <v>0.9064171122994652</v>
      </c>
      <c r="E2432" s="42">
        <v>1</v>
      </c>
      <c r="F2432" s="42">
        <v>0.9064171122994652</v>
      </c>
      <c r="G2432">
        <v>1</v>
      </c>
    </row>
    <row r="2433" spans="3:7" x14ac:dyDescent="0.15">
      <c r="C2433" s="43">
        <v>1145</v>
      </c>
      <c r="D2433" s="42">
        <v>0.90730837789661323</v>
      </c>
      <c r="E2433" s="42">
        <v>1</v>
      </c>
      <c r="F2433" s="42">
        <v>0.90730837789661323</v>
      </c>
      <c r="G2433">
        <v>1</v>
      </c>
    </row>
    <row r="2434" spans="3:7" x14ac:dyDescent="0.15">
      <c r="C2434" s="43">
        <v>1146</v>
      </c>
      <c r="D2434" s="42">
        <v>0.90819964349376114</v>
      </c>
      <c r="E2434" s="42">
        <v>1</v>
      </c>
      <c r="F2434" s="42">
        <v>0.90819964349376114</v>
      </c>
      <c r="G2434">
        <v>1</v>
      </c>
    </row>
    <row r="2435" spans="3:7" x14ac:dyDescent="0.15">
      <c r="C2435" s="43">
        <v>1147</v>
      </c>
      <c r="D2435" s="42">
        <v>0.90909090909090906</v>
      </c>
      <c r="E2435" s="42">
        <v>1</v>
      </c>
      <c r="F2435" s="42">
        <v>0.90909090909090906</v>
      </c>
      <c r="G2435">
        <v>1</v>
      </c>
    </row>
    <row r="2436" spans="3:7" x14ac:dyDescent="0.15">
      <c r="C2436" s="43">
        <v>1148</v>
      </c>
      <c r="D2436" s="42">
        <v>0.90998217468805709</v>
      </c>
      <c r="E2436" s="42">
        <v>1</v>
      </c>
      <c r="F2436" s="42">
        <v>0.90998217468805709</v>
      </c>
      <c r="G2436">
        <v>1</v>
      </c>
    </row>
    <row r="2437" spans="3:7" x14ac:dyDescent="0.15">
      <c r="C2437" s="43">
        <v>1149</v>
      </c>
      <c r="D2437" s="42">
        <v>0.910873440285205</v>
      </c>
      <c r="E2437" s="42">
        <v>1</v>
      </c>
      <c r="F2437" s="42">
        <v>0.910873440285205</v>
      </c>
      <c r="G2437">
        <v>1</v>
      </c>
    </row>
    <row r="2438" spans="3:7" x14ac:dyDescent="0.15">
      <c r="C2438" s="43">
        <v>1150</v>
      </c>
      <c r="D2438" s="42">
        <v>0.91176470588235292</v>
      </c>
      <c r="E2438" s="42">
        <v>1</v>
      </c>
      <c r="F2438" s="42">
        <v>0.91176470588235292</v>
      </c>
      <c r="G2438">
        <v>1</v>
      </c>
    </row>
    <row r="2439" spans="3:7" x14ac:dyDescent="0.15">
      <c r="C2439" s="43">
        <v>1151</v>
      </c>
      <c r="D2439" s="42">
        <v>0.91265597147950084</v>
      </c>
      <c r="E2439" s="42">
        <v>1</v>
      </c>
      <c r="F2439" s="42">
        <v>0.91265597147950084</v>
      </c>
      <c r="G2439">
        <v>1</v>
      </c>
    </row>
    <row r="2440" spans="3:7" x14ac:dyDescent="0.15">
      <c r="C2440" s="43">
        <v>1152</v>
      </c>
      <c r="D2440" s="42">
        <v>0.91354723707664887</v>
      </c>
      <c r="E2440" s="42">
        <v>1</v>
      </c>
      <c r="F2440" s="42">
        <v>0.91354723707664887</v>
      </c>
      <c r="G2440">
        <v>1</v>
      </c>
    </row>
    <row r="2441" spans="3:7" x14ac:dyDescent="0.15">
      <c r="C2441" s="43">
        <v>1153</v>
      </c>
      <c r="D2441" s="42">
        <v>0.91443850267379678</v>
      </c>
      <c r="E2441" s="42">
        <v>1</v>
      </c>
      <c r="F2441" s="42">
        <v>0.91443850267379678</v>
      </c>
      <c r="G2441">
        <v>1</v>
      </c>
    </row>
    <row r="2442" spans="3:7" x14ac:dyDescent="0.15">
      <c r="C2442" s="43">
        <v>1154</v>
      </c>
      <c r="D2442" s="42">
        <v>0.9153297682709447</v>
      </c>
      <c r="E2442" s="42">
        <v>1</v>
      </c>
      <c r="F2442" s="42">
        <v>0.9153297682709447</v>
      </c>
      <c r="G2442">
        <v>1</v>
      </c>
    </row>
    <row r="2443" spans="3:7" x14ac:dyDescent="0.15">
      <c r="C2443" s="43">
        <v>1155</v>
      </c>
      <c r="D2443" s="42">
        <v>0.91622103386809273</v>
      </c>
      <c r="E2443" s="42">
        <v>1</v>
      </c>
      <c r="F2443" s="42">
        <v>0.91622103386809273</v>
      </c>
      <c r="G2443">
        <v>1</v>
      </c>
    </row>
    <row r="2444" spans="3:7" x14ac:dyDescent="0.15">
      <c r="C2444" s="43">
        <v>1156</v>
      </c>
      <c r="D2444" s="42">
        <v>0.91711229946524064</v>
      </c>
      <c r="E2444" s="42">
        <v>1</v>
      </c>
      <c r="F2444" s="42">
        <v>0.91711229946524064</v>
      </c>
      <c r="G2444">
        <v>1</v>
      </c>
    </row>
    <row r="2445" spans="3:7" x14ac:dyDescent="0.15">
      <c r="C2445" s="43">
        <v>1157</v>
      </c>
      <c r="D2445" s="42">
        <v>0.91800356506238856</v>
      </c>
      <c r="E2445" s="42">
        <v>1</v>
      </c>
      <c r="F2445" s="42">
        <v>0.91800356506238856</v>
      </c>
      <c r="G2445">
        <v>1</v>
      </c>
    </row>
    <row r="2446" spans="3:7" x14ac:dyDescent="0.15">
      <c r="C2446" s="43">
        <v>1158</v>
      </c>
      <c r="D2446" s="42">
        <v>0.91889483065953659</v>
      </c>
      <c r="E2446" s="42">
        <v>1</v>
      </c>
      <c r="F2446" s="42">
        <v>0.91889483065953659</v>
      </c>
      <c r="G2446">
        <v>1</v>
      </c>
    </row>
    <row r="2447" spans="3:7" x14ac:dyDescent="0.15">
      <c r="C2447" s="43">
        <v>1159</v>
      </c>
      <c r="D2447" s="42">
        <v>0.9197860962566845</v>
      </c>
      <c r="E2447" s="42">
        <v>1</v>
      </c>
      <c r="F2447" s="42">
        <v>0.9197860962566845</v>
      </c>
      <c r="G2447">
        <v>1</v>
      </c>
    </row>
    <row r="2448" spans="3:7" x14ac:dyDescent="0.15">
      <c r="C2448" s="43">
        <v>1160</v>
      </c>
      <c r="D2448" s="42">
        <v>0.92067736185383242</v>
      </c>
      <c r="E2448" s="42">
        <v>1</v>
      </c>
      <c r="F2448" s="42">
        <v>0.92067736185383242</v>
      </c>
      <c r="G2448">
        <v>1</v>
      </c>
    </row>
    <row r="2449" spans="3:7" x14ac:dyDescent="0.15">
      <c r="C2449" s="43">
        <v>1161</v>
      </c>
      <c r="D2449" s="42">
        <v>0.92156862745098034</v>
      </c>
      <c r="E2449" s="42">
        <v>1</v>
      </c>
      <c r="F2449" s="42">
        <v>0.92156862745098034</v>
      </c>
      <c r="G2449">
        <v>1</v>
      </c>
    </row>
    <row r="2450" spans="3:7" x14ac:dyDescent="0.15">
      <c r="C2450" s="43">
        <v>1162</v>
      </c>
      <c r="D2450" s="42">
        <v>0.92245989304812837</v>
      </c>
      <c r="E2450" s="42">
        <v>1</v>
      </c>
      <c r="F2450" s="42">
        <v>0.92245989304812837</v>
      </c>
      <c r="G2450">
        <v>1</v>
      </c>
    </row>
    <row r="2451" spans="3:7" x14ac:dyDescent="0.15">
      <c r="C2451" s="43">
        <v>1163</v>
      </c>
      <c r="D2451" s="42">
        <v>0.92335115864527628</v>
      </c>
      <c r="E2451" s="42">
        <v>1</v>
      </c>
      <c r="F2451" s="42">
        <v>0.92335115864527628</v>
      </c>
      <c r="G2451">
        <v>1</v>
      </c>
    </row>
    <row r="2452" spans="3:7" x14ac:dyDescent="0.15">
      <c r="C2452" s="43">
        <v>1164</v>
      </c>
      <c r="D2452" s="42">
        <v>0.9242424242424242</v>
      </c>
      <c r="E2452" s="42">
        <v>1</v>
      </c>
      <c r="F2452" s="42">
        <v>0.9242424242424242</v>
      </c>
      <c r="G2452">
        <v>1</v>
      </c>
    </row>
    <row r="2453" spans="3:7" x14ac:dyDescent="0.15">
      <c r="C2453" s="43">
        <v>1165</v>
      </c>
      <c r="D2453" s="42">
        <v>0.92513368983957223</v>
      </c>
      <c r="E2453" s="42">
        <v>1</v>
      </c>
      <c r="F2453" s="42">
        <v>0.92513368983957223</v>
      </c>
      <c r="G2453">
        <v>1</v>
      </c>
    </row>
    <row r="2454" spans="3:7" x14ac:dyDescent="0.15">
      <c r="C2454" s="43">
        <v>1166</v>
      </c>
      <c r="D2454" s="42">
        <v>0.92602495543672014</v>
      </c>
      <c r="E2454" s="42">
        <v>1</v>
      </c>
      <c r="F2454" s="42">
        <v>0.92602495543672014</v>
      </c>
      <c r="G2454">
        <v>1</v>
      </c>
    </row>
    <row r="2455" spans="3:7" x14ac:dyDescent="0.15">
      <c r="C2455" s="43">
        <v>1167</v>
      </c>
      <c r="D2455" s="42">
        <v>0.92691622103386806</v>
      </c>
      <c r="E2455" s="42">
        <v>1</v>
      </c>
      <c r="F2455" s="42">
        <v>0.92691622103386806</v>
      </c>
      <c r="G2455">
        <v>1</v>
      </c>
    </row>
    <row r="2456" spans="3:7" x14ac:dyDescent="0.15">
      <c r="C2456" s="43">
        <v>1168</v>
      </c>
      <c r="D2456" s="42">
        <v>0.92780748663101609</v>
      </c>
      <c r="E2456" s="42">
        <v>1</v>
      </c>
      <c r="F2456" s="42">
        <v>0.92780748663101609</v>
      </c>
      <c r="G2456">
        <v>1</v>
      </c>
    </row>
    <row r="2457" spans="3:7" x14ac:dyDescent="0.15">
      <c r="C2457" s="43">
        <v>1169</v>
      </c>
      <c r="D2457" s="42">
        <v>0.928698752228164</v>
      </c>
      <c r="E2457" s="42">
        <v>1</v>
      </c>
      <c r="F2457" s="42">
        <v>0.928698752228164</v>
      </c>
      <c r="G2457">
        <v>1</v>
      </c>
    </row>
    <row r="2458" spans="3:7" x14ac:dyDescent="0.15">
      <c r="C2458" s="43">
        <v>1170</v>
      </c>
      <c r="D2458" s="42">
        <v>0.92959001782531192</v>
      </c>
      <c r="E2458" s="42">
        <v>1</v>
      </c>
      <c r="F2458" s="42">
        <v>0.92959001782531192</v>
      </c>
      <c r="G2458">
        <v>1</v>
      </c>
    </row>
    <row r="2459" spans="3:7" x14ac:dyDescent="0.15">
      <c r="C2459" s="43">
        <v>1171</v>
      </c>
      <c r="D2459" s="42">
        <v>0.93048128342245995</v>
      </c>
      <c r="E2459" s="42">
        <v>1</v>
      </c>
      <c r="F2459" s="42">
        <v>0.93048128342245995</v>
      </c>
      <c r="G2459">
        <v>1</v>
      </c>
    </row>
    <row r="2460" spans="3:7" x14ac:dyDescent="0.15">
      <c r="C2460" s="43">
        <v>1172</v>
      </c>
      <c r="D2460" s="42">
        <v>0.93137254901960786</v>
      </c>
      <c r="E2460" s="42">
        <v>1</v>
      </c>
      <c r="F2460" s="42">
        <v>0.93137254901960786</v>
      </c>
      <c r="G2460">
        <v>1</v>
      </c>
    </row>
    <row r="2461" spans="3:7" x14ac:dyDescent="0.15">
      <c r="C2461" s="43">
        <v>1173</v>
      </c>
      <c r="D2461" s="42">
        <v>0.93226381461675578</v>
      </c>
      <c r="E2461" s="42">
        <v>1</v>
      </c>
      <c r="F2461" s="42">
        <v>0.93226381461675578</v>
      </c>
      <c r="G2461">
        <v>1</v>
      </c>
    </row>
    <row r="2462" spans="3:7" x14ac:dyDescent="0.15">
      <c r="C2462" s="43">
        <v>1174</v>
      </c>
      <c r="D2462" s="42">
        <v>0.9331550802139037</v>
      </c>
      <c r="E2462" s="42">
        <v>1</v>
      </c>
      <c r="F2462" s="42">
        <v>0.9331550802139037</v>
      </c>
      <c r="G2462">
        <v>1</v>
      </c>
    </row>
    <row r="2463" spans="3:7" x14ac:dyDescent="0.15">
      <c r="C2463" s="43">
        <v>1175</v>
      </c>
      <c r="D2463" s="42">
        <v>0.93404634581105173</v>
      </c>
      <c r="E2463" s="42">
        <v>1</v>
      </c>
      <c r="F2463" s="42">
        <v>0.93404634581105173</v>
      </c>
      <c r="G2463">
        <v>1</v>
      </c>
    </row>
    <row r="2464" spans="3:7" x14ac:dyDescent="0.15">
      <c r="C2464" s="43">
        <v>1176</v>
      </c>
      <c r="D2464" s="42">
        <v>0.93493761140819964</v>
      </c>
      <c r="E2464" s="42">
        <v>1</v>
      </c>
      <c r="F2464" s="42">
        <v>0.93493761140819964</v>
      </c>
      <c r="G2464">
        <v>1</v>
      </c>
    </row>
    <row r="2465" spans="3:7" x14ac:dyDescent="0.15">
      <c r="C2465" s="43">
        <v>1177</v>
      </c>
      <c r="D2465" s="42">
        <v>0.93582887700534756</v>
      </c>
      <c r="E2465" s="42">
        <v>1</v>
      </c>
      <c r="F2465" s="42">
        <v>0.93582887700534756</v>
      </c>
      <c r="G2465">
        <v>1</v>
      </c>
    </row>
    <row r="2466" spans="3:7" x14ac:dyDescent="0.15">
      <c r="C2466" s="43">
        <v>1178</v>
      </c>
      <c r="D2466" s="42">
        <v>0.93672014260249559</v>
      </c>
      <c r="E2466" s="42">
        <v>1</v>
      </c>
      <c r="F2466" s="42">
        <v>0.93672014260249559</v>
      </c>
      <c r="G2466">
        <v>1</v>
      </c>
    </row>
    <row r="2467" spans="3:7" x14ac:dyDescent="0.15">
      <c r="C2467" s="43">
        <v>1179</v>
      </c>
      <c r="D2467" s="42">
        <v>0.9376114081996435</v>
      </c>
      <c r="E2467" s="42">
        <v>1</v>
      </c>
      <c r="F2467" s="42">
        <v>0.9376114081996435</v>
      </c>
      <c r="G2467">
        <v>1</v>
      </c>
    </row>
    <row r="2468" spans="3:7" x14ac:dyDescent="0.15">
      <c r="C2468" s="43">
        <v>1180</v>
      </c>
      <c r="D2468" s="42">
        <v>0.93850267379679142</v>
      </c>
      <c r="E2468" s="42">
        <v>1</v>
      </c>
      <c r="F2468" s="42">
        <v>0.93850267379679142</v>
      </c>
      <c r="G2468">
        <v>1</v>
      </c>
    </row>
    <row r="2469" spans="3:7" x14ac:dyDescent="0.15">
      <c r="C2469" s="43">
        <v>1181</v>
      </c>
      <c r="D2469" s="42">
        <v>0.93939393939393945</v>
      </c>
      <c r="E2469" s="42">
        <v>1</v>
      </c>
      <c r="F2469" s="42">
        <v>0.93939393939393945</v>
      </c>
      <c r="G2469">
        <v>1</v>
      </c>
    </row>
    <row r="2470" spans="3:7" x14ac:dyDescent="0.15">
      <c r="C2470" s="43">
        <v>1182</v>
      </c>
      <c r="D2470" s="42">
        <v>0.94028520499108736</v>
      </c>
      <c r="E2470" s="42">
        <v>1</v>
      </c>
      <c r="F2470" s="42">
        <v>0.94028520499108736</v>
      </c>
      <c r="G2470">
        <v>1</v>
      </c>
    </row>
    <row r="2471" spans="3:7" x14ac:dyDescent="0.15">
      <c r="C2471" s="43">
        <v>1183</v>
      </c>
      <c r="D2471" s="42">
        <v>0.94117647058823528</v>
      </c>
      <c r="E2471" s="42">
        <v>1</v>
      </c>
      <c r="F2471" s="42">
        <v>0.94117647058823528</v>
      </c>
      <c r="G2471">
        <v>1</v>
      </c>
    </row>
    <row r="2472" spans="3:7" x14ac:dyDescent="0.15">
      <c r="C2472" s="43">
        <v>1184</v>
      </c>
      <c r="D2472" s="42">
        <v>0.9420677361853832</v>
      </c>
      <c r="E2472" s="42">
        <v>1</v>
      </c>
      <c r="F2472" s="42">
        <v>0.9420677361853832</v>
      </c>
      <c r="G2472">
        <v>1</v>
      </c>
    </row>
    <row r="2473" spans="3:7" x14ac:dyDescent="0.15">
      <c r="C2473" s="43">
        <v>1185</v>
      </c>
      <c r="D2473" s="42">
        <v>0.94295900178253123</v>
      </c>
      <c r="E2473" s="42">
        <v>1</v>
      </c>
      <c r="F2473" s="42">
        <v>0.94295900178253123</v>
      </c>
      <c r="G2473">
        <v>1</v>
      </c>
    </row>
    <row r="2474" spans="3:7" x14ac:dyDescent="0.15">
      <c r="C2474" s="43">
        <v>1186</v>
      </c>
      <c r="D2474" s="42">
        <v>0.94385026737967914</v>
      </c>
      <c r="E2474" s="42">
        <v>1</v>
      </c>
      <c r="F2474" s="42">
        <v>0.94385026737967914</v>
      </c>
      <c r="G2474">
        <v>1</v>
      </c>
    </row>
    <row r="2475" spans="3:7" x14ac:dyDescent="0.15">
      <c r="C2475" s="43">
        <v>1187</v>
      </c>
      <c r="D2475" s="42">
        <v>0.94474153297682706</v>
      </c>
      <c r="E2475" s="42">
        <v>1</v>
      </c>
      <c r="F2475" s="42">
        <v>0.94474153297682706</v>
      </c>
      <c r="G2475">
        <v>1</v>
      </c>
    </row>
    <row r="2476" spans="3:7" x14ac:dyDescent="0.15">
      <c r="C2476" s="43">
        <v>1188</v>
      </c>
      <c r="D2476" s="42">
        <v>0.94563279857397509</v>
      </c>
      <c r="E2476" s="42">
        <v>1</v>
      </c>
      <c r="F2476" s="42">
        <v>0.94563279857397509</v>
      </c>
      <c r="G2476">
        <v>1</v>
      </c>
    </row>
    <row r="2477" spans="3:7" x14ac:dyDescent="0.15">
      <c r="C2477" s="43">
        <v>1189</v>
      </c>
      <c r="D2477" s="42">
        <v>0.946524064171123</v>
      </c>
      <c r="E2477" s="42">
        <v>1</v>
      </c>
      <c r="F2477" s="42">
        <v>0.946524064171123</v>
      </c>
      <c r="G2477">
        <v>1</v>
      </c>
    </row>
    <row r="2478" spans="3:7" x14ac:dyDescent="0.15">
      <c r="C2478" s="43">
        <v>1190</v>
      </c>
      <c r="D2478" s="42">
        <v>0.94741532976827092</v>
      </c>
      <c r="E2478" s="42">
        <v>1</v>
      </c>
      <c r="F2478" s="42">
        <v>0.94741532976827092</v>
      </c>
      <c r="G2478">
        <v>1</v>
      </c>
    </row>
    <row r="2479" spans="3:7" x14ac:dyDescent="0.15">
      <c r="C2479" s="43">
        <v>1191</v>
      </c>
      <c r="D2479" s="42">
        <v>0.94830659536541895</v>
      </c>
      <c r="E2479" s="42">
        <v>1</v>
      </c>
      <c r="F2479" s="42">
        <v>0.94830659536541895</v>
      </c>
      <c r="G2479">
        <v>1</v>
      </c>
    </row>
    <row r="2480" spans="3:7" x14ac:dyDescent="0.15">
      <c r="C2480" s="43">
        <v>1192</v>
      </c>
      <c r="D2480" s="42">
        <v>0.94919786096256686</v>
      </c>
      <c r="E2480" s="42">
        <v>1</v>
      </c>
      <c r="F2480" s="42">
        <v>0.94919786096256686</v>
      </c>
      <c r="G2480">
        <v>1</v>
      </c>
    </row>
    <row r="2481" spans="3:7" x14ac:dyDescent="0.15">
      <c r="C2481" s="43">
        <v>1193</v>
      </c>
      <c r="D2481" s="42">
        <v>0.95008912655971478</v>
      </c>
      <c r="E2481" s="42">
        <v>1</v>
      </c>
      <c r="F2481" s="42">
        <v>0.95008912655971478</v>
      </c>
      <c r="G2481">
        <v>1</v>
      </c>
    </row>
    <row r="2482" spans="3:7" x14ac:dyDescent="0.15">
      <c r="C2482" s="43">
        <v>1194</v>
      </c>
      <c r="D2482" s="42">
        <v>0.9509803921568627</v>
      </c>
      <c r="E2482" s="42">
        <v>1</v>
      </c>
      <c r="F2482" s="42">
        <v>0.9509803921568627</v>
      </c>
      <c r="G2482">
        <v>1</v>
      </c>
    </row>
    <row r="2483" spans="3:7" x14ac:dyDescent="0.15">
      <c r="C2483" s="43">
        <v>1195</v>
      </c>
      <c r="D2483" s="42">
        <v>0.95187165775401072</v>
      </c>
      <c r="E2483" s="42">
        <v>1</v>
      </c>
      <c r="F2483" s="42">
        <v>0.95187165775401072</v>
      </c>
      <c r="G2483">
        <v>1</v>
      </c>
    </row>
    <row r="2484" spans="3:7" x14ac:dyDescent="0.15">
      <c r="C2484" s="43">
        <v>1196</v>
      </c>
      <c r="D2484" s="42">
        <v>0.95276292335115864</v>
      </c>
      <c r="E2484" s="42">
        <v>1</v>
      </c>
      <c r="F2484" s="42">
        <v>0.95276292335115864</v>
      </c>
      <c r="G2484">
        <v>1</v>
      </c>
    </row>
    <row r="2485" spans="3:7" x14ac:dyDescent="0.15">
      <c r="C2485" s="43">
        <v>1197</v>
      </c>
      <c r="D2485" s="42">
        <v>0.95365418894830656</v>
      </c>
      <c r="E2485" s="42">
        <v>1</v>
      </c>
      <c r="F2485" s="42">
        <v>0.95365418894830656</v>
      </c>
      <c r="G2485">
        <v>1</v>
      </c>
    </row>
    <row r="2486" spans="3:7" x14ac:dyDescent="0.15">
      <c r="C2486" s="43">
        <v>1198</v>
      </c>
      <c r="D2486" s="42">
        <v>0.95454545454545459</v>
      </c>
      <c r="E2486" s="42">
        <v>1</v>
      </c>
      <c r="F2486" s="42">
        <v>0.95454545454545459</v>
      </c>
      <c r="G2486">
        <v>1</v>
      </c>
    </row>
    <row r="2487" spans="3:7" x14ac:dyDescent="0.15">
      <c r="C2487" s="43">
        <v>1199</v>
      </c>
      <c r="D2487" s="42">
        <v>0.9554367201426025</v>
      </c>
      <c r="E2487" s="42">
        <v>1</v>
      </c>
      <c r="F2487" s="42">
        <v>0.9554367201426025</v>
      </c>
      <c r="G2487">
        <v>1</v>
      </c>
    </row>
    <row r="2488" spans="3:7" x14ac:dyDescent="0.15">
      <c r="C2488" s="43">
        <v>1200</v>
      </c>
      <c r="D2488" s="42">
        <v>0.95632798573975042</v>
      </c>
      <c r="E2488" s="42">
        <v>1</v>
      </c>
      <c r="F2488" s="42">
        <v>0.95632798573975042</v>
      </c>
      <c r="G2488">
        <v>1</v>
      </c>
    </row>
    <row r="2489" spans="3:7" x14ac:dyDescent="0.15">
      <c r="C2489" s="43">
        <v>1201</v>
      </c>
      <c r="D2489" s="42">
        <v>0.95721925133689845</v>
      </c>
      <c r="E2489" s="42">
        <v>1</v>
      </c>
      <c r="F2489" s="42">
        <v>0.95721925133689845</v>
      </c>
      <c r="G2489">
        <v>1</v>
      </c>
    </row>
    <row r="2490" spans="3:7" x14ac:dyDescent="0.15">
      <c r="C2490" s="43">
        <v>1202</v>
      </c>
      <c r="D2490" s="42">
        <v>0.95811051693404636</v>
      </c>
      <c r="E2490" s="42">
        <v>1</v>
      </c>
      <c r="F2490" s="42">
        <v>0.95811051693404636</v>
      </c>
      <c r="G2490">
        <v>1</v>
      </c>
    </row>
    <row r="2491" spans="3:7" x14ac:dyDescent="0.15">
      <c r="C2491" s="43">
        <v>1203</v>
      </c>
      <c r="D2491" s="42">
        <v>0.95900178253119428</v>
      </c>
      <c r="E2491" s="42">
        <v>1</v>
      </c>
      <c r="F2491" s="42">
        <v>0.95900178253119428</v>
      </c>
      <c r="G2491">
        <v>1</v>
      </c>
    </row>
    <row r="2492" spans="3:7" x14ac:dyDescent="0.15">
      <c r="C2492" s="43">
        <v>1204</v>
      </c>
      <c r="D2492" s="42">
        <v>0.9598930481283422</v>
      </c>
      <c r="E2492" s="42">
        <v>1</v>
      </c>
      <c r="F2492" s="42">
        <v>0.9598930481283422</v>
      </c>
      <c r="G2492">
        <v>1</v>
      </c>
    </row>
    <row r="2493" spans="3:7" x14ac:dyDescent="0.15">
      <c r="C2493" s="43">
        <v>1205</v>
      </c>
      <c r="D2493" s="42">
        <v>0.96078431372549022</v>
      </c>
      <c r="E2493" s="42">
        <v>1</v>
      </c>
      <c r="F2493" s="42">
        <v>0.96078431372549022</v>
      </c>
      <c r="G2493">
        <v>1</v>
      </c>
    </row>
    <row r="2494" spans="3:7" x14ac:dyDescent="0.15">
      <c r="C2494" s="43">
        <v>1206</v>
      </c>
      <c r="D2494" s="42">
        <v>0.96167557932263814</v>
      </c>
      <c r="E2494" s="42">
        <v>1</v>
      </c>
      <c r="F2494" s="42">
        <v>0.96167557932263814</v>
      </c>
      <c r="G2494">
        <v>1</v>
      </c>
    </row>
    <row r="2495" spans="3:7" x14ac:dyDescent="0.15">
      <c r="C2495" s="43">
        <v>1207</v>
      </c>
      <c r="D2495" s="42">
        <v>0.96256684491978606</v>
      </c>
      <c r="E2495" s="42">
        <v>1</v>
      </c>
      <c r="F2495" s="42">
        <v>0.96256684491978606</v>
      </c>
      <c r="G2495">
        <v>1</v>
      </c>
    </row>
    <row r="2496" spans="3:7" x14ac:dyDescent="0.15">
      <c r="C2496" s="43">
        <v>1208</v>
      </c>
      <c r="D2496" s="42">
        <v>0.96345811051693409</v>
      </c>
      <c r="E2496" s="42">
        <v>1</v>
      </c>
      <c r="F2496" s="42">
        <v>0.96345811051693409</v>
      </c>
      <c r="G2496">
        <v>1</v>
      </c>
    </row>
    <row r="2497" spans="3:7" x14ac:dyDescent="0.15">
      <c r="C2497" s="43">
        <v>1209</v>
      </c>
      <c r="D2497" s="42">
        <v>0.964349376114082</v>
      </c>
      <c r="E2497" s="42">
        <v>1</v>
      </c>
      <c r="F2497" s="42">
        <v>0.964349376114082</v>
      </c>
      <c r="G2497">
        <v>1</v>
      </c>
    </row>
    <row r="2498" spans="3:7" x14ac:dyDescent="0.15">
      <c r="C2498" s="43">
        <v>1210</v>
      </c>
      <c r="D2498" s="42">
        <v>0.96524064171122992</v>
      </c>
      <c r="E2498" s="42">
        <v>1</v>
      </c>
      <c r="F2498" s="42">
        <v>0.96524064171122992</v>
      </c>
      <c r="G2498">
        <v>1</v>
      </c>
    </row>
    <row r="2499" spans="3:7" x14ac:dyDescent="0.15">
      <c r="C2499" s="43">
        <v>1211</v>
      </c>
      <c r="D2499" s="42">
        <v>0.96613190730837795</v>
      </c>
      <c r="E2499" s="42">
        <v>1</v>
      </c>
      <c r="F2499" s="42">
        <v>0.96613190730837795</v>
      </c>
      <c r="G2499">
        <v>1</v>
      </c>
    </row>
    <row r="2500" spans="3:7" x14ac:dyDescent="0.15">
      <c r="C2500" s="43">
        <v>1212</v>
      </c>
      <c r="D2500" s="42">
        <v>0.96702317290552586</v>
      </c>
      <c r="E2500" s="42">
        <v>1</v>
      </c>
      <c r="F2500" s="42">
        <v>0.96702317290552586</v>
      </c>
      <c r="G2500">
        <v>1</v>
      </c>
    </row>
    <row r="2501" spans="3:7" x14ac:dyDescent="0.15">
      <c r="C2501" s="43">
        <v>1213</v>
      </c>
      <c r="D2501" s="42">
        <v>0.96791443850267378</v>
      </c>
      <c r="E2501" s="42">
        <v>1</v>
      </c>
      <c r="F2501" s="42">
        <v>0.96791443850267378</v>
      </c>
      <c r="G2501">
        <v>1</v>
      </c>
    </row>
    <row r="2502" spans="3:7" x14ac:dyDescent="0.15">
      <c r="C2502" s="43">
        <v>1214</v>
      </c>
      <c r="D2502" s="42">
        <v>0.9688057040998217</v>
      </c>
      <c r="E2502" s="42">
        <v>1</v>
      </c>
      <c r="F2502" s="42">
        <v>0.9688057040998217</v>
      </c>
      <c r="G2502">
        <v>1</v>
      </c>
    </row>
    <row r="2503" spans="3:7" x14ac:dyDescent="0.15">
      <c r="C2503" s="43">
        <v>1215</v>
      </c>
      <c r="D2503" s="42">
        <v>0.96969696969696972</v>
      </c>
      <c r="E2503" s="42">
        <v>1</v>
      </c>
      <c r="F2503" s="42">
        <v>0.96969696969696972</v>
      </c>
      <c r="G2503">
        <v>1</v>
      </c>
    </row>
    <row r="2504" spans="3:7" x14ac:dyDescent="0.15">
      <c r="C2504" s="43">
        <v>1216</v>
      </c>
      <c r="D2504" s="42">
        <v>0.97058823529411764</v>
      </c>
      <c r="E2504" s="42">
        <v>1</v>
      </c>
      <c r="F2504" s="42">
        <v>0.97058823529411764</v>
      </c>
      <c r="G2504">
        <v>1</v>
      </c>
    </row>
    <row r="2505" spans="3:7" x14ac:dyDescent="0.15">
      <c r="C2505" s="43">
        <v>1217</v>
      </c>
      <c r="D2505" s="42">
        <v>0.97147950089126556</v>
      </c>
      <c r="E2505" s="42">
        <v>1</v>
      </c>
      <c r="F2505" s="42">
        <v>0.97147950089126556</v>
      </c>
      <c r="G2505">
        <v>1</v>
      </c>
    </row>
    <row r="2506" spans="3:7" x14ac:dyDescent="0.15">
      <c r="C2506" s="43">
        <v>1218</v>
      </c>
      <c r="D2506" s="42">
        <v>0.97237076648841358</v>
      </c>
      <c r="E2506" s="42">
        <v>1</v>
      </c>
      <c r="F2506" s="42">
        <v>0.97237076648841358</v>
      </c>
      <c r="G2506">
        <v>1</v>
      </c>
    </row>
    <row r="2507" spans="3:7" x14ac:dyDescent="0.15">
      <c r="C2507" s="43">
        <v>1219</v>
      </c>
      <c r="D2507" s="42">
        <v>0.9732620320855615</v>
      </c>
      <c r="E2507" s="42">
        <v>1</v>
      </c>
      <c r="F2507" s="42">
        <v>0.9732620320855615</v>
      </c>
      <c r="G2507">
        <v>1</v>
      </c>
    </row>
    <row r="2508" spans="3:7" x14ac:dyDescent="0.15">
      <c r="C2508" s="43">
        <v>1220</v>
      </c>
      <c r="D2508" s="42">
        <v>0.97415329768270942</v>
      </c>
      <c r="E2508" s="42">
        <v>1</v>
      </c>
      <c r="F2508" s="42">
        <v>0.97415329768270942</v>
      </c>
      <c r="G2508">
        <v>1</v>
      </c>
    </row>
    <row r="2509" spans="3:7" x14ac:dyDescent="0.15">
      <c r="C2509" s="43">
        <v>1221</v>
      </c>
      <c r="D2509" s="42">
        <v>0.97504456327985745</v>
      </c>
      <c r="E2509" s="42">
        <v>1</v>
      </c>
      <c r="F2509" s="42">
        <v>0.97504456327985745</v>
      </c>
      <c r="G2509">
        <v>1</v>
      </c>
    </row>
    <row r="2510" spans="3:7" x14ac:dyDescent="0.15">
      <c r="C2510" s="43">
        <v>1222</v>
      </c>
      <c r="D2510" s="42">
        <v>0.97593582887700536</v>
      </c>
      <c r="E2510" s="42">
        <v>1</v>
      </c>
      <c r="F2510" s="42">
        <v>0.97593582887700536</v>
      </c>
      <c r="G2510">
        <v>1</v>
      </c>
    </row>
    <row r="2511" spans="3:7" x14ac:dyDescent="0.15">
      <c r="C2511" s="43">
        <v>1223</v>
      </c>
      <c r="D2511" s="42">
        <v>0.97682709447415328</v>
      </c>
      <c r="E2511" s="42">
        <v>1</v>
      </c>
      <c r="F2511" s="42">
        <v>0.97682709447415328</v>
      </c>
      <c r="G2511">
        <v>1</v>
      </c>
    </row>
    <row r="2512" spans="3:7" x14ac:dyDescent="0.15">
      <c r="C2512" s="43">
        <v>1224</v>
      </c>
      <c r="D2512" s="42">
        <v>0.9777183600713012</v>
      </c>
      <c r="E2512" s="42">
        <v>1</v>
      </c>
      <c r="F2512" s="42">
        <v>0.9777183600713012</v>
      </c>
      <c r="G2512">
        <v>1</v>
      </c>
    </row>
    <row r="2513" spans="3:7" x14ac:dyDescent="0.15">
      <c r="C2513" s="43">
        <v>1225</v>
      </c>
      <c r="D2513" s="42">
        <v>0.97860962566844922</v>
      </c>
      <c r="E2513" s="42">
        <v>1</v>
      </c>
      <c r="F2513" s="42">
        <v>0.97860962566844922</v>
      </c>
      <c r="G2513">
        <v>1</v>
      </c>
    </row>
    <row r="2514" spans="3:7" x14ac:dyDescent="0.15">
      <c r="C2514" s="43">
        <v>1226</v>
      </c>
      <c r="D2514" s="42">
        <v>0.97950089126559714</v>
      </c>
      <c r="E2514" s="42">
        <v>1</v>
      </c>
      <c r="F2514" s="42">
        <v>0.97950089126559714</v>
      </c>
      <c r="G2514">
        <v>1</v>
      </c>
    </row>
    <row r="2515" spans="3:7" x14ac:dyDescent="0.15">
      <c r="C2515" s="43">
        <v>1227</v>
      </c>
      <c r="D2515" s="42">
        <v>0.98039215686274506</v>
      </c>
      <c r="E2515" s="42">
        <v>1</v>
      </c>
      <c r="F2515" s="42">
        <v>0.98039215686274506</v>
      </c>
      <c r="G2515">
        <v>1</v>
      </c>
    </row>
    <row r="2516" spans="3:7" x14ac:dyDescent="0.15">
      <c r="C2516" s="43">
        <v>1228</v>
      </c>
      <c r="D2516" s="42">
        <v>0.98128342245989308</v>
      </c>
      <c r="E2516" s="42">
        <v>1</v>
      </c>
      <c r="F2516" s="42">
        <v>0.98128342245989308</v>
      </c>
      <c r="G2516">
        <v>1</v>
      </c>
    </row>
    <row r="2517" spans="3:7" x14ac:dyDescent="0.15">
      <c r="C2517" s="43">
        <v>1229</v>
      </c>
      <c r="D2517" s="42">
        <v>0.982174688057041</v>
      </c>
      <c r="E2517" s="42">
        <v>1</v>
      </c>
      <c r="F2517" s="42">
        <v>0.982174688057041</v>
      </c>
      <c r="G2517">
        <v>1</v>
      </c>
    </row>
    <row r="2518" spans="3:7" x14ac:dyDescent="0.15">
      <c r="C2518" s="43">
        <v>1230</v>
      </c>
      <c r="D2518" s="42">
        <v>0.98306595365418892</v>
      </c>
      <c r="E2518" s="42">
        <v>1</v>
      </c>
      <c r="F2518" s="42">
        <v>0.98306595365418892</v>
      </c>
      <c r="G2518">
        <v>1</v>
      </c>
    </row>
    <row r="2519" spans="3:7" x14ac:dyDescent="0.15">
      <c r="C2519" s="43">
        <v>1231</v>
      </c>
      <c r="D2519" s="42">
        <v>0.98395721925133695</v>
      </c>
      <c r="E2519" s="42">
        <v>1</v>
      </c>
      <c r="F2519" s="42">
        <v>0.98395721925133695</v>
      </c>
      <c r="G2519">
        <v>1</v>
      </c>
    </row>
    <row r="2520" spans="3:7" x14ac:dyDescent="0.15">
      <c r="C2520" s="43">
        <v>1232</v>
      </c>
      <c r="D2520" s="42">
        <v>0.98484848484848486</v>
      </c>
      <c r="E2520" s="42">
        <v>1</v>
      </c>
      <c r="F2520" s="42">
        <v>0.98484848484848486</v>
      </c>
      <c r="G2520">
        <v>1</v>
      </c>
    </row>
    <row r="2521" spans="3:7" x14ac:dyDescent="0.15">
      <c r="C2521" s="43">
        <v>1233</v>
      </c>
      <c r="D2521" s="42">
        <v>0.98573975044563278</v>
      </c>
      <c r="E2521" s="42">
        <v>1</v>
      </c>
      <c r="F2521" s="42">
        <v>0.98573975044563278</v>
      </c>
      <c r="G2521">
        <v>1</v>
      </c>
    </row>
    <row r="2522" spans="3:7" x14ac:dyDescent="0.15">
      <c r="C2522" s="43">
        <v>1234</v>
      </c>
      <c r="D2522" s="42">
        <v>0.9866310160427807</v>
      </c>
      <c r="E2522" s="42">
        <v>1</v>
      </c>
      <c r="F2522" s="42">
        <v>0.9866310160427807</v>
      </c>
      <c r="G2522">
        <v>1</v>
      </c>
    </row>
    <row r="2523" spans="3:7" x14ac:dyDescent="0.15">
      <c r="C2523" s="43">
        <v>1235</v>
      </c>
      <c r="D2523" s="42">
        <v>0.98752228163992872</v>
      </c>
      <c r="E2523" s="42">
        <v>1</v>
      </c>
      <c r="F2523" s="42">
        <v>0.98752228163992872</v>
      </c>
      <c r="G2523">
        <v>1</v>
      </c>
    </row>
    <row r="2524" spans="3:7" x14ac:dyDescent="0.15">
      <c r="C2524" s="43">
        <v>1236</v>
      </c>
      <c r="D2524" s="42">
        <v>0.98841354723707664</v>
      </c>
      <c r="E2524" s="42">
        <v>1</v>
      </c>
      <c r="F2524" s="42">
        <v>0.98841354723707664</v>
      </c>
      <c r="G2524">
        <v>1</v>
      </c>
    </row>
    <row r="2525" spans="3:7" x14ac:dyDescent="0.15">
      <c r="C2525" s="43">
        <v>1237</v>
      </c>
      <c r="D2525" s="42">
        <v>0.98930481283422456</v>
      </c>
      <c r="E2525" s="42">
        <v>1</v>
      </c>
      <c r="F2525" s="42">
        <v>0.98930481283422456</v>
      </c>
      <c r="G2525">
        <v>1</v>
      </c>
    </row>
    <row r="2526" spans="3:7" x14ac:dyDescent="0.15">
      <c r="C2526" s="43">
        <v>1238</v>
      </c>
      <c r="D2526" s="42">
        <v>0.99019607843137258</v>
      </c>
      <c r="E2526" s="42">
        <v>1</v>
      </c>
      <c r="F2526" s="42">
        <v>0.99019607843137258</v>
      </c>
      <c r="G2526">
        <v>1</v>
      </c>
    </row>
    <row r="2527" spans="3:7" x14ac:dyDescent="0.15">
      <c r="C2527" s="43">
        <v>1239</v>
      </c>
      <c r="D2527" s="42">
        <v>0.9910873440285205</v>
      </c>
      <c r="E2527" s="42">
        <v>1</v>
      </c>
      <c r="F2527" s="42">
        <v>0.9910873440285205</v>
      </c>
      <c r="G2527">
        <v>1</v>
      </c>
    </row>
    <row r="2528" spans="3:7" x14ac:dyDescent="0.15">
      <c r="C2528" s="43">
        <v>1240</v>
      </c>
      <c r="D2528" s="42">
        <v>0.99197860962566842</v>
      </c>
      <c r="E2528" s="42">
        <v>1</v>
      </c>
      <c r="F2528" s="42">
        <v>0.99197860962566842</v>
      </c>
      <c r="G2528">
        <v>1</v>
      </c>
    </row>
    <row r="2529" spans="3:7" x14ac:dyDescent="0.15">
      <c r="C2529" s="43">
        <v>1241</v>
      </c>
      <c r="D2529" s="42">
        <v>0.99286987522281644</v>
      </c>
      <c r="E2529" s="42">
        <v>1</v>
      </c>
      <c r="F2529" s="42">
        <v>0.99286987522281644</v>
      </c>
      <c r="G2529">
        <v>1</v>
      </c>
    </row>
    <row r="2530" spans="3:7" x14ac:dyDescent="0.15">
      <c r="C2530" s="43">
        <v>1242</v>
      </c>
      <c r="D2530" s="42">
        <v>0.99376114081996436</v>
      </c>
      <c r="E2530" s="42">
        <v>1</v>
      </c>
      <c r="F2530" s="42">
        <v>0.99376114081996436</v>
      </c>
      <c r="G2530">
        <v>1</v>
      </c>
    </row>
    <row r="2531" spans="3:7" x14ac:dyDescent="0.15">
      <c r="C2531" s="43">
        <v>1243</v>
      </c>
      <c r="D2531" s="42">
        <v>0.99465240641711228</v>
      </c>
      <c r="E2531" s="42">
        <v>1</v>
      </c>
      <c r="F2531" s="42">
        <v>0.99465240641711228</v>
      </c>
      <c r="G2531">
        <v>1</v>
      </c>
    </row>
    <row r="2532" spans="3:7" x14ac:dyDescent="0.15">
      <c r="C2532" s="43">
        <v>1244</v>
      </c>
      <c r="D2532" s="42">
        <v>0.99554367201426019</v>
      </c>
      <c r="E2532" s="42">
        <v>1</v>
      </c>
      <c r="F2532" s="42">
        <v>0.99554367201426019</v>
      </c>
      <c r="G2532">
        <v>1</v>
      </c>
    </row>
    <row r="2533" spans="3:7" x14ac:dyDescent="0.15">
      <c r="C2533" s="43">
        <v>1245</v>
      </c>
      <c r="D2533" s="42">
        <v>0.99643493761140822</v>
      </c>
      <c r="E2533" s="42">
        <v>1</v>
      </c>
      <c r="F2533" s="42">
        <v>0.99643493761140822</v>
      </c>
      <c r="G2533">
        <v>1</v>
      </c>
    </row>
    <row r="2534" spans="3:7" x14ac:dyDescent="0.15">
      <c r="C2534" s="43">
        <v>1246</v>
      </c>
      <c r="D2534" s="42">
        <v>0.99732620320855614</v>
      </c>
      <c r="E2534" s="42">
        <v>1</v>
      </c>
      <c r="F2534" s="42">
        <v>0.99732620320855614</v>
      </c>
      <c r="G2534">
        <v>1</v>
      </c>
    </row>
    <row r="2535" spans="3:7" x14ac:dyDescent="0.15">
      <c r="C2535" s="43">
        <v>1247</v>
      </c>
      <c r="D2535" s="42">
        <v>0.99821746880570406</v>
      </c>
      <c r="E2535" s="42">
        <v>1</v>
      </c>
      <c r="F2535" s="42">
        <v>0.99821746880570406</v>
      </c>
      <c r="G2535">
        <v>1</v>
      </c>
    </row>
    <row r="2536" spans="3:7" x14ac:dyDescent="0.15">
      <c r="C2536" s="43">
        <v>1248</v>
      </c>
      <c r="D2536" s="42">
        <v>0.99910873440285208</v>
      </c>
      <c r="E2536" s="42">
        <v>1</v>
      </c>
      <c r="F2536" s="42">
        <v>0.99910873440285208</v>
      </c>
      <c r="G2536">
        <v>1</v>
      </c>
    </row>
    <row r="2537" spans="3:7" x14ac:dyDescent="0.15">
      <c r="C2537" s="43">
        <v>1249</v>
      </c>
      <c r="D2537" s="42">
        <v>1</v>
      </c>
      <c r="E2537" s="42">
        <v>1</v>
      </c>
      <c r="F2537" s="42">
        <v>1</v>
      </c>
      <c r="G2537">
        <v>1</v>
      </c>
    </row>
  </sheetData>
  <mergeCells count="12">
    <mergeCell ref="B3:K3"/>
    <mergeCell ref="N3:Q3"/>
    <mergeCell ref="B4:C4"/>
    <mergeCell ref="D4:E4"/>
    <mergeCell ref="F4:G4"/>
    <mergeCell ref="H4:I4"/>
    <mergeCell ref="J4:K4"/>
    <mergeCell ref="B5:C5"/>
    <mergeCell ref="D5:E5"/>
    <mergeCell ref="F5:G5"/>
    <mergeCell ref="H5:I5"/>
    <mergeCell ref="J5:K5"/>
  </mergeCells>
  <hyperlinks>
    <hyperlink ref="B4" location="'DA_Output'!$B$10:$B$10" display="Inputs" xr:uid="{324EA1D5-7E0B-FA47-A44F-E76ABE110C5B}"/>
    <hyperlink ref="D4" location="'DA_Output'!$B$48:$B$48" display="Linear Discriminant Functions" xr:uid="{48C9E9EA-63C1-124B-A798-CA740A890F05}"/>
    <hyperlink ref="F4" location="'DA_Stored'!$B$10:$B$10" display="PMML Model" xr:uid="{0DC78A10-35CB-0F4A-9E5E-62E85CE4C11C}"/>
    <hyperlink ref="H4" location="'DA_TrainingScore'!$B$10:$B$10" display="Training: Classification Summary" xr:uid="{3B781348-9C6B-394B-9F20-582ABB52E163}"/>
    <hyperlink ref="J4" location="'DA_TrainingScore'!$B$34:$B$34" display="Training: Classification Details" xr:uid="{E693656A-47C3-654D-B654-46E615F71203}"/>
    <hyperlink ref="B5" location="'DA_ValidationLiftChart'!$B$10:$B$10" display="Validation: Charts" xr:uid="{4E117160-640E-0E4C-AEB7-926A11A83D68}"/>
    <hyperlink ref="D5" location="'DA_ValidationScore'!$B$10:$B$10" display="Validation: Classification Summary" xr:uid="{168ADEA9-C021-674B-9EC8-43E9225B2521}"/>
    <hyperlink ref="F5" location="'DA_ValidationScore'!$B$34:$B$34" display="Validation: Classification Details" xr:uid="{24131417-4431-9C41-AE3C-5A4DDF0942F2}"/>
  </hyperlinks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689B7-3CC1-EA49-8F33-6CC3A7CA3393}">
  <dimension ref="B1:Q88"/>
  <sheetViews>
    <sheetView showGridLines="0" workbookViewId="0"/>
  </sheetViews>
  <sheetFormatPr baseColWidth="10" defaultRowHeight="13" x14ac:dyDescent="0.15"/>
  <cols>
    <col min="14" max="14" width="23.33203125" bestFit="1" customWidth="1"/>
  </cols>
  <sheetData>
    <row r="1" spans="2:17" ht="19" x14ac:dyDescent="0.25">
      <c r="B1" s="40" t="s">
        <v>1604</v>
      </c>
      <c r="N1" t="s">
        <v>1627</v>
      </c>
    </row>
    <row r="3" spans="2:17" ht="16" x14ac:dyDescent="0.2">
      <c r="B3" s="51" t="s">
        <v>49</v>
      </c>
      <c r="C3" s="51"/>
      <c r="D3" s="51"/>
      <c r="E3" s="51"/>
      <c r="F3" s="51"/>
      <c r="G3" s="51"/>
      <c r="H3" s="51"/>
      <c r="I3" s="51"/>
      <c r="J3" s="51"/>
      <c r="K3" s="51"/>
      <c r="N3" s="54" t="s">
        <v>50</v>
      </c>
      <c r="O3" s="54"/>
      <c r="P3" s="54"/>
      <c r="Q3" s="54"/>
    </row>
    <row r="4" spans="2:17" ht="14" x14ac:dyDescent="0.2">
      <c r="B4" s="49" t="s">
        <v>74</v>
      </c>
      <c r="C4" s="49"/>
      <c r="D4" s="49" t="s">
        <v>1683</v>
      </c>
      <c r="E4" s="49"/>
      <c r="F4" s="49" t="s">
        <v>1605</v>
      </c>
      <c r="G4" s="49"/>
      <c r="H4" s="49" t="s">
        <v>1684</v>
      </c>
      <c r="I4" s="49"/>
      <c r="J4" s="49" t="s">
        <v>1685</v>
      </c>
      <c r="K4" s="49"/>
      <c r="N4" s="53" t="s">
        <v>86</v>
      </c>
      <c r="O4" s="53" t="s">
        <v>87</v>
      </c>
      <c r="P4" s="53" t="s">
        <v>52</v>
      </c>
      <c r="Q4" s="53" t="s">
        <v>53</v>
      </c>
    </row>
    <row r="5" spans="2:17" ht="14" x14ac:dyDescent="0.2">
      <c r="B5" s="49" t="s">
        <v>1686</v>
      </c>
      <c r="C5" s="49"/>
      <c r="D5" s="49" t="s">
        <v>1687</v>
      </c>
      <c r="E5" s="49"/>
      <c r="F5" s="49" t="s">
        <v>1688</v>
      </c>
      <c r="G5" s="49"/>
      <c r="H5" s="56"/>
      <c r="I5" s="56"/>
      <c r="J5" s="56"/>
      <c r="K5" s="56"/>
      <c r="N5" s="45">
        <v>847</v>
      </c>
      <c r="O5" s="45">
        <v>5</v>
      </c>
      <c r="P5" s="45">
        <v>116</v>
      </c>
      <c r="Q5" s="45">
        <v>968</v>
      </c>
    </row>
    <row r="10" spans="2:17" ht="19" x14ac:dyDescent="0.25">
      <c r="B10" s="41" t="s">
        <v>1605</v>
      </c>
    </row>
    <row r="12" spans="2:17" x14ac:dyDescent="0.15">
      <c r="B12" t="s">
        <v>1606</v>
      </c>
    </row>
    <row r="13" spans="2:17" x14ac:dyDescent="0.15">
      <c r="B13" t="s">
        <v>1607</v>
      </c>
    </row>
    <row r="14" spans="2:17" x14ac:dyDescent="0.15">
      <c r="B14" t="s">
        <v>1608</v>
      </c>
    </row>
    <row r="15" spans="2:17" x14ac:dyDescent="0.15">
      <c r="B15" t="s">
        <v>1609</v>
      </c>
    </row>
    <row r="16" spans="2:17" x14ac:dyDescent="0.15">
      <c r="B16" t="s">
        <v>1610</v>
      </c>
    </row>
    <row r="17" spans="2:2" x14ac:dyDescent="0.15">
      <c r="B17" t="s">
        <v>1611</v>
      </c>
    </row>
    <row r="18" spans="2:2" x14ac:dyDescent="0.15">
      <c r="B18" t="s">
        <v>1612</v>
      </c>
    </row>
    <row r="19" spans="2:2" x14ac:dyDescent="0.15">
      <c r="B19" t="s">
        <v>1613</v>
      </c>
    </row>
    <row r="20" spans="2:2" x14ac:dyDescent="0.15">
      <c r="B20" t="s">
        <v>1614</v>
      </c>
    </row>
    <row r="21" spans="2:2" x14ac:dyDescent="0.15">
      <c r="B21" t="s">
        <v>1615</v>
      </c>
    </row>
    <row r="22" spans="2:2" x14ac:dyDescent="0.15">
      <c r="B22" t="s">
        <v>1616</v>
      </c>
    </row>
    <row r="23" spans="2:2" x14ac:dyDescent="0.15">
      <c r="B23" t="s">
        <v>1617</v>
      </c>
    </row>
    <row r="24" spans="2:2" x14ac:dyDescent="0.15">
      <c r="B24" t="s">
        <v>1618</v>
      </c>
    </row>
    <row r="25" spans="2:2" x14ac:dyDescent="0.15">
      <c r="B25" t="s">
        <v>1619</v>
      </c>
    </row>
    <row r="26" spans="2:2" x14ac:dyDescent="0.15">
      <c r="B26" t="s">
        <v>1620</v>
      </c>
    </row>
    <row r="27" spans="2:2" x14ac:dyDescent="0.15">
      <c r="B27" t="s">
        <v>1621</v>
      </c>
    </row>
    <row r="28" spans="2:2" x14ac:dyDescent="0.15">
      <c r="B28" t="s">
        <v>1622</v>
      </c>
    </row>
    <row r="29" spans="2:2" x14ac:dyDescent="0.15">
      <c r="B29" t="s">
        <v>1623</v>
      </c>
    </row>
    <row r="30" spans="2:2" x14ac:dyDescent="0.15">
      <c r="B30" t="s">
        <v>1624</v>
      </c>
    </row>
    <row r="31" spans="2:2" x14ac:dyDescent="0.15">
      <c r="B31" t="s">
        <v>1625</v>
      </c>
    </row>
    <row r="32" spans="2:2" x14ac:dyDescent="0.15">
      <c r="B32" t="s">
        <v>1626</v>
      </c>
    </row>
    <row r="33" spans="2:2" x14ac:dyDescent="0.15">
      <c r="B33" t="s">
        <v>1628</v>
      </c>
    </row>
    <row r="34" spans="2:2" x14ac:dyDescent="0.15">
      <c r="B34" t="s">
        <v>1629</v>
      </c>
    </row>
    <row r="35" spans="2:2" x14ac:dyDescent="0.15">
      <c r="B35" t="s">
        <v>1630</v>
      </c>
    </row>
    <row r="36" spans="2:2" x14ac:dyDescent="0.15">
      <c r="B36" t="s">
        <v>1631</v>
      </c>
    </row>
    <row r="37" spans="2:2" x14ac:dyDescent="0.15">
      <c r="B37" t="s">
        <v>1632</v>
      </c>
    </row>
    <row r="38" spans="2:2" x14ac:dyDescent="0.15">
      <c r="B38" t="s">
        <v>1633</v>
      </c>
    </row>
    <row r="39" spans="2:2" x14ac:dyDescent="0.15">
      <c r="B39" t="s">
        <v>1634</v>
      </c>
    </row>
    <row r="40" spans="2:2" x14ac:dyDescent="0.15">
      <c r="B40" t="s">
        <v>1635</v>
      </c>
    </row>
    <row r="41" spans="2:2" x14ac:dyDescent="0.15">
      <c r="B41" t="s">
        <v>1636</v>
      </c>
    </row>
    <row r="42" spans="2:2" x14ac:dyDescent="0.15">
      <c r="B42" t="s">
        <v>1637</v>
      </c>
    </row>
    <row r="43" spans="2:2" x14ac:dyDescent="0.15">
      <c r="B43" t="s">
        <v>1638</v>
      </c>
    </row>
    <row r="44" spans="2:2" x14ac:dyDescent="0.15">
      <c r="B44" t="s">
        <v>1639</v>
      </c>
    </row>
    <row r="45" spans="2:2" x14ac:dyDescent="0.15">
      <c r="B45" t="s">
        <v>1640</v>
      </c>
    </row>
    <row r="46" spans="2:2" x14ac:dyDescent="0.15">
      <c r="B46" t="s">
        <v>1641</v>
      </c>
    </row>
    <row r="47" spans="2:2" x14ac:dyDescent="0.15">
      <c r="B47" t="s">
        <v>1642</v>
      </c>
    </row>
    <row r="48" spans="2:2" x14ac:dyDescent="0.15">
      <c r="B48" t="s">
        <v>1643</v>
      </c>
    </row>
    <row r="49" spans="2:2" x14ac:dyDescent="0.15">
      <c r="B49" t="s">
        <v>1644</v>
      </c>
    </row>
    <row r="50" spans="2:2" x14ac:dyDescent="0.15">
      <c r="B50" t="s">
        <v>1645</v>
      </c>
    </row>
    <row r="51" spans="2:2" x14ac:dyDescent="0.15">
      <c r="B51" t="s">
        <v>1646</v>
      </c>
    </row>
    <row r="52" spans="2:2" x14ac:dyDescent="0.15">
      <c r="B52" t="s">
        <v>1647</v>
      </c>
    </row>
    <row r="53" spans="2:2" x14ac:dyDescent="0.15">
      <c r="B53" t="s">
        <v>1648</v>
      </c>
    </row>
    <row r="54" spans="2:2" x14ac:dyDescent="0.15">
      <c r="B54" t="s">
        <v>1649</v>
      </c>
    </row>
    <row r="55" spans="2:2" x14ac:dyDescent="0.15">
      <c r="B55" t="s">
        <v>1650</v>
      </c>
    </row>
    <row r="56" spans="2:2" x14ac:dyDescent="0.15">
      <c r="B56" t="s">
        <v>1651</v>
      </c>
    </row>
    <row r="57" spans="2:2" x14ac:dyDescent="0.15">
      <c r="B57" t="s">
        <v>1652</v>
      </c>
    </row>
    <row r="58" spans="2:2" x14ac:dyDescent="0.15">
      <c r="B58" t="s">
        <v>1653</v>
      </c>
    </row>
    <row r="59" spans="2:2" x14ac:dyDescent="0.15">
      <c r="B59" t="s">
        <v>1654</v>
      </c>
    </row>
    <row r="60" spans="2:2" x14ac:dyDescent="0.15">
      <c r="B60" t="s">
        <v>1655</v>
      </c>
    </row>
    <row r="61" spans="2:2" x14ac:dyDescent="0.15">
      <c r="B61" t="s">
        <v>1656</v>
      </c>
    </row>
    <row r="62" spans="2:2" x14ac:dyDescent="0.15">
      <c r="B62" t="s">
        <v>1657</v>
      </c>
    </row>
    <row r="63" spans="2:2" x14ac:dyDescent="0.15">
      <c r="B63" t="s">
        <v>1658</v>
      </c>
    </row>
    <row r="64" spans="2:2" x14ac:dyDescent="0.15">
      <c r="B64" t="s">
        <v>1659</v>
      </c>
    </row>
    <row r="65" spans="2:2" x14ac:dyDescent="0.15">
      <c r="B65" t="s">
        <v>1660</v>
      </c>
    </row>
    <row r="66" spans="2:2" x14ac:dyDescent="0.15">
      <c r="B66" t="s">
        <v>1661</v>
      </c>
    </row>
    <row r="67" spans="2:2" x14ac:dyDescent="0.15">
      <c r="B67" t="s">
        <v>1662</v>
      </c>
    </row>
    <row r="68" spans="2:2" x14ac:dyDescent="0.15">
      <c r="B68" t="s">
        <v>1663</v>
      </c>
    </row>
    <row r="69" spans="2:2" x14ac:dyDescent="0.15">
      <c r="B69" t="s">
        <v>1664</v>
      </c>
    </row>
    <row r="70" spans="2:2" x14ac:dyDescent="0.15">
      <c r="B70" t="s">
        <v>1665</v>
      </c>
    </row>
    <row r="71" spans="2:2" x14ac:dyDescent="0.15">
      <c r="B71" t="s">
        <v>1666</v>
      </c>
    </row>
    <row r="72" spans="2:2" x14ac:dyDescent="0.15">
      <c r="B72" t="s">
        <v>1667</v>
      </c>
    </row>
    <row r="73" spans="2:2" x14ac:dyDescent="0.15">
      <c r="B73" t="s">
        <v>1668</v>
      </c>
    </row>
    <row r="74" spans="2:2" x14ac:dyDescent="0.15">
      <c r="B74" t="s">
        <v>1669</v>
      </c>
    </row>
    <row r="75" spans="2:2" x14ac:dyDescent="0.15">
      <c r="B75" t="s">
        <v>1670</v>
      </c>
    </row>
    <row r="76" spans="2:2" x14ac:dyDescent="0.15">
      <c r="B76" t="s">
        <v>1671</v>
      </c>
    </row>
    <row r="77" spans="2:2" x14ac:dyDescent="0.15">
      <c r="B77" t="s">
        <v>1672</v>
      </c>
    </row>
    <row r="78" spans="2:2" x14ac:dyDescent="0.15">
      <c r="B78" t="s">
        <v>1673</v>
      </c>
    </row>
    <row r="79" spans="2:2" x14ac:dyDescent="0.15">
      <c r="B79" t="s">
        <v>1674</v>
      </c>
    </row>
    <row r="80" spans="2:2" x14ac:dyDescent="0.15">
      <c r="B80" t="s">
        <v>1675</v>
      </c>
    </row>
    <row r="81" spans="2:2" x14ac:dyDescent="0.15">
      <c r="B81" t="s">
        <v>1676</v>
      </c>
    </row>
    <row r="82" spans="2:2" x14ac:dyDescent="0.15">
      <c r="B82" t="s">
        <v>1677</v>
      </c>
    </row>
    <row r="83" spans="2:2" x14ac:dyDescent="0.15">
      <c r="B83" t="s">
        <v>1678</v>
      </c>
    </row>
    <row r="84" spans="2:2" x14ac:dyDescent="0.15">
      <c r="B84" t="s">
        <v>1679</v>
      </c>
    </row>
    <row r="85" spans="2:2" x14ac:dyDescent="0.15">
      <c r="B85" t="s">
        <v>1680</v>
      </c>
    </row>
    <row r="86" spans="2:2" x14ac:dyDescent="0.15">
      <c r="B86" t="s">
        <v>1668</v>
      </c>
    </row>
    <row r="87" spans="2:2" x14ac:dyDescent="0.15">
      <c r="B87" t="s">
        <v>1681</v>
      </c>
    </row>
    <row r="88" spans="2:2" x14ac:dyDescent="0.15">
      <c r="B88" t="s">
        <v>1682</v>
      </c>
    </row>
  </sheetData>
  <mergeCells count="12">
    <mergeCell ref="B3:K3"/>
    <mergeCell ref="N3:Q3"/>
    <mergeCell ref="B4:C4"/>
    <mergeCell ref="D4:E4"/>
    <mergeCell ref="F4:G4"/>
    <mergeCell ref="H4:I4"/>
    <mergeCell ref="J4:K4"/>
    <mergeCell ref="B5:C5"/>
    <mergeCell ref="D5:E5"/>
    <mergeCell ref="F5:G5"/>
    <mergeCell ref="H5:I5"/>
    <mergeCell ref="J5:K5"/>
  </mergeCells>
  <hyperlinks>
    <hyperlink ref="B4" location="'DA_Output'!$B$10:$B$10" display="Inputs" xr:uid="{200C5C15-02C4-C242-9792-674F7F352344}"/>
    <hyperlink ref="D4" location="'DA_Output'!$B$48:$B$48" display="Linear Discriminant Functions" xr:uid="{DCF50D56-DFB6-5C4E-AAF1-6808DAF8003C}"/>
    <hyperlink ref="F4" location="'DA_Stored'!$B$10:$B$10" display="PMML Model" xr:uid="{CF913811-1BF5-0644-B83E-36892ED6B68A}"/>
    <hyperlink ref="H4" location="'DA_TrainingScore'!$B$10:$B$10" display="Training: Classification Summary" xr:uid="{E0E2672E-55B4-2B42-8CB8-D5E4D6312474}"/>
    <hyperlink ref="J4" location="'DA_TrainingScore'!$B$34:$B$34" display="Training: Classification Details" xr:uid="{44464C2D-51F4-D247-AFE1-759B5CC4C5DA}"/>
    <hyperlink ref="B5" location="'DA_ValidationLiftChart'!$B$10:$B$10" display="Validation: Charts" xr:uid="{28CB8774-F84D-014D-87E3-82B7EF58536E}"/>
    <hyperlink ref="D5" location="'DA_ValidationScore'!$B$10:$B$10" display="Validation: Classification Summary" xr:uid="{759CD102-52B0-DC44-BA4E-73113F8D8FBB}"/>
    <hyperlink ref="F5" location="'DA_ValidationScore'!$B$34:$B$34" display="Validation: Classification Details" xr:uid="{00B2E84A-F33C-DF44-B74D-A1E7CDA6255F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Q1531"/>
  <sheetViews>
    <sheetView showGridLines="0" workbookViewId="0">
      <selection activeCell="B25" sqref="B25:M25"/>
    </sheetView>
  </sheetViews>
  <sheetFormatPr baseColWidth="10" defaultColWidth="8.83203125" defaultRowHeight="13" x14ac:dyDescent="0.15"/>
  <cols>
    <col min="2" max="2" width="10.5" customWidth="1"/>
    <col min="5" max="5" width="11" customWidth="1"/>
    <col min="9" max="9" width="11.6640625" customWidth="1"/>
    <col min="10" max="10" width="12.1640625" bestFit="1" customWidth="1"/>
    <col min="11" max="11" width="12.5" bestFit="1" customWidth="1"/>
    <col min="12" max="12" width="9.83203125" bestFit="1" customWidth="1"/>
    <col min="13" max="13" width="13.6640625" customWidth="1"/>
  </cols>
  <sheetData>
    <row r="2" spans="2:17" ht="19" x14ac:dyDescent="0.25">
      <c r="B2" s="23" t="s">
        <v>47</v>
      </c>
      <c r="N2" t="s">
        <v>48</v>
      </c>
    </row>
    <row r="4" spans="2:17" ht="16" x14ac:dyDescent="0.2">
      <c r="B4" s="30" t="s">
        <v>49</v>
      </c>
      <c r="C4" s="31"/>
      <c r="D4" s="31"/>
      <c r="E4" s="31"/>
      <c r="F4" s="31"/>
      <c r="G4" s="32"/>
      <c r="J4" s="30" t="s">
        <v>50</v>
      </c>
      <c r="K4" s="31"/>
      <c r="L4" s="32"/>
    </row>
    <row r="5" spans="2:17" ht="14" x14ac:dyDescent="0.2">
      <c r="B5" s="33" t="s">
        <v>70</v>
      </c>
      <c r="C5" s="34"/>
      <c r="D5" s="33" t="s">
        <v>71</v>
      </c>
      <c r="E5" s="34"/>
      <c r="F5" s="33" t="s">
        <v>72</v>
      </c>
      <c r="G5" s="34"/>
      <c r="J5" s="25" t="s">
        <v>51</v>
      </c>
      <c r="K5" s="25" t="s">
        <v>52</v>
      </c>
      <c r="L5" s="25" t="s">
        <v>53</v>
      </c>
    </row>
    <row r="6" spans="2:17" ht="14" x14ac:dyDescent="0.2">
      <c r="J6" s="24">
        <v>45</v>
      </c>
      <c r="K6" s="24">
        <v>8</v>
      </c>
      <c r="L6" s="24">
        <v>53</v>
      </c>
    </row>
    <row r="8" spans="2:17" ht="16" x14ac:dyDescent="0.2">
      <c r="B8" s="30" t="s">
        <v>54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2"/>
    </row>
    <row r="9" spans="2:17" ht="14" x14ac:dyDescent="0.2">
      <c r="B9" s="35" t="s">
        <v>55</v>
      </c>
      <c r="C9" s="36"/>
      <c r="D9" s="36"/>
      <c r="E9" s="37"/>
      <c r="F9" s="38" t="s">
        <v>56</v>
      </c>
      <c r="G9" s="39"/>
      <c r="H9" s="39"/>
      <c r="I9" s="39"/>
      <c r="J9" s="39"/>
      <c r="K9" s="39"/>
      <c r="L9" s="39"/>
      <c r="M9" s="39"/>
      <c r="N9" s="39"/>
      <c r="O9" s="39"/>
      <c r="P9" s="39"/>
      <c r="Q9" s="34"/>
    </row>
    <row r="10" spans="2:17" ht="14" x14ac:dyDescent="0.2">
      <c r="B10" s="35" t="s">
        <v>57</v>
      </c>
      <c r="C10" s="36"/>
      <c r="D10" s="36"/>
      <c r="E10" s="37"/>
      <c r="F10" s="38" t="s">
        <v>54</v>
      </c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4"/>
    </row>
    <row r="11" spans="2:17" ht="14" x14ac:dyDescent="0.2">
      <c r="B11" s="35" t="s">
        <v>36</v>
      </c>
      <c r="C11" s="36"/>
      <c r="D11" s="36"/>
      <c r="E11" s="37"/>
      <c r="F11" s="38" t="s">
        <v>58</v>
      </c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4"/>
    </row>
    <row r="12" spans="2:17" ht="14" x14ac:dyDescent="0.2">
      <c r="B12" s="35" t="s">
        <v>59</v>
      </c>
      <c r="C12" s="36"/>
      <c r="D12" s="36"/>
      <c r="E12" s="37"/>
      <c r="F12" s="24" t="s">
        <v>18</v>
      </c>
      <c r="G12" s="24" t="s">
        <v>2</v>
      </c>
      <c r="H12" s="24" t="s">
        <v>22</v>
      </c>
      <c r="I12" s="24" t="s">
        <v>21</v>
      </c>
      <c r="J12" s="24" t="s">
        <v>43</v>
      </c>
      <c r="K12" s="24" t="s">
        <v>44</v>
      </c>
      <c r="L12" s="24" t="s">
        <v>7</v>
      </c>
      <c r="M12" s="24" t="s">
        <v>6</v>
      </c>
      <c r="N12" s="24" t="s">
        <v>5</v>
      </c>
      <c r="O12" s="24" t="s">
        <v>19</v>
      </c>
      <c r="P12" s="24" t="s">
        <v>20</v>
      </c>
      <c r="Q12" s="24" t="s">
        <v>8</v>
      </c>
    </row>
    <row r="13" spans="2:17" ht="14" x14ac:dyDescent="0.2">
      <c r="B13" s="35" t="s">
        <v>60</v>
      </c>
      <c r="C13" s="36"/>
      <c r="D13" s="36"/>
      <c r="E13" s="37"/>
      <c r="F13" s="38" t="s">
        <v>61</v>
      </c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4"/>
    </row>
    <row r="14" spans="2:17" ht="14" x14ac:dyDescent="0.2">
      <c r="B14" s="35" t="s">
        <v>62</v>
      </c>
      <c r="C14" s="36"/>
      <c r="D14" s="36"/>
      <c r="E14" s="37"/>
      <c r="F14" s="27">
        <v>12345</v>
      </c>
      <c r="G14" s="28"/>
      <c r="H14" s="28"/>
      <c r="I14" s="28"/>
      <c r="J14" s="28"/>
      <c r="K14" s="28"/>
      <c r="L14" s="28"/>
      <c r="M14" s="28"/>
      <c r="N14" s="28"/>
      <c r="O14" s="28"/>
      <c r="P14" s="28"/>
      <c r="Q14" s="29"/>
    </row>
    <row r="15" spans="2:17" ht="14" x14ac:dyDescent="0.2">
      <c r="B15" s="35" t="s">
        <v>63</v>
      </c>
      <c r="C15" s="36"/>
      <c r="D15" s="36"/>
      <c r="E15" s="37"/>
      <c r="F15" s="27">
        <v>256</v>
      </c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</row>
    <row r="16" spans="2:17" ht="14" x14ac:dyDescent="0.2">
      <c r="B16" s="35" t="s">
        <v>64</v>
      </c>
      <c r="C16" s="36"/>
      <c r="D16" s="36"/>
      <c r="E16" s="37"/>
      <c r="F16" s="27">
        <v>1250</v>
      </c>
      <c r="G16" s="28"/>
      <c r="H16" s="28"/>
      <c r="I16" s="28"/>
      <c r="J16" s="28"/>
      <c r="K16" s="28"/>
      <c r="L16" s="28"/>
      <c r="M16" s="28"/>
      <c r="N16" s="28"/>
      <c r="O16" s="28"/>
      <c r="P16" s="28"/>
      <c r="Q16" s="29"/>
    </row>
    <row r="17" spans="2:17" ht="14" x14ac:dyDescent="0.2">
      <c r="B17" s="35" t="s">
        <v>65</v>
      </c>
      <c r="C17" s="36"/>
      <c r="D17" s="36"/>
      <c r="E17" s="37"/>
      <c r="F17" s="27">
        <v>0</v>
      </c>
      <c r="G17" s="28"/>
      <c r="H17" s="28"/>
      <c r="I17" s="28"/>
      <c r="J17" s="28"/>
      <c r="K17" s="28"/>
      <c r="L17" s="28"/>
      <c r="M17" s="28"/>
      <c r="N17" s="28"/>
      <c r="O17" s="28"/>
      <c r="P17" s="28"/>
      <c r="Q17" s="29"/>
    </row>
    <row r="18" spans="2:17" ht="14" x14ac:dyDescent="0.2">
      <c r="B18" s="35" t="s">
        <v>66</v>
      </c>
      <c r="C18" s="36"/>
      <c r="D18" s="36"/>
      <c r="E18" s="37"/>
      <c r="F18" s="38" t="s">
        <v>8</v>
      </c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4"/>
    </row>
    <row r="19" spans="2:17" ht="14" x14ac:dyDescent="0.2">
      <c r="B19" s="35" t="s">
        <v>67</v>
      </c>
      <c r="C19" s="36"/>
      <c r="D19" s="36"/>
      <c r="E19" s="37"/>
      <c r="F19" s="27">
        <v>50</v>
      </c>
      <c r="G19" s="28"/>
      <c r="H19" s="28"/>
      <c r="I19" s="28"/>
      <c r="J19" s="28"/>
      <c r="K19" s="28"/>
      <c r="L19" s="28"/>
      <c r="M19" s="28"/>
      <c r="N19" s="28"/>
      <c r="O19" s="28"/>
      <c r="P19" s="28"/>
      <c r="Q19" s="29"/>
    </row>
    <row r="20" spans="2:17" ht="13" customHeight="1" x14ac:dyDescent="0.2">
      <c r="B20" s="35" t="s">
        <v>68</v>
      </c>
      <c r="C20" s="36"/>
      <c r="D20" s="36"/>
      <c r="E20" s="37"/>
      <c r="F20" s="27">
        <v>0</v>
      </c>
      <c r="G20" s="28"/>
      <c r="H20" s="28"/>
      <c r="I20" s="28"/>
      <c r="J20" s="28"/>
      <c r="K20" s="28"/>
      <c r="L20" s="28"/>
      <c r="M20" s="28"/>
      <c r="N20" s="28"/>
      <c r="O20" s="28"/>
      <c r="P20" s="28"/>
      <c r="Q20" s="29"/>
    </row>
    <row r="21" spans="2:17" ht="14" x14ac:dyDescent="0.2">
      <c r="B21" s="35" t="s">
        <v>69</v>
      </c>
      <c r="C21" s="36"/>
      <c r="D21" s="36"/>
      <c r="E21" s="37"/>
      <c r="F21" s="27">
        <v>10.24</v>
      </c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9"/>
    </row>
    <row r="24" spans="2:17" ht="16" x14ac:dyDescent="0.2">
      <c r="B24" s="30" t="s">
        <v>59</v>
      </c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2"/>
    </row>
    <row r="25" spans="2:17" ht="30" x14ac:dyDescent="0.2">
      <c r="B25" s="26" t="s">
        <v>18</v>
      </c>
      <c r="C25" s="26" t="s">
        <v>2</v>
      </c>
      <c r="D25" s="26" t="s">
        <v>22</v>
      </c>
      <c r="E25" s="26" t="s">
        <v>21</v>
      </c>
      <c r="F25" s="26" t="s">
        <v>43</v>
      </c>
      <c r="G25" s="26" t="s">
        <v>44</v>
      </c>
      <c r="H25" s="26" t="s">
        <v>7</v>
      </c>
      <c r="I25" s="26" t="s">
        <v>6</v>
      </c>
      <c r="J25" s="26" t="s">
        <v>5</v>
      </c>
      <c r="K25" s="26" t="s">
        <v>19</v>
      </c>
      <c r="L25" s="26" t="s">
        <v>20</v>
      </c>
      <c r="M25" s="26" t="s">
        <v>8</v>
      </c>
    </row>
    <row r="26" spans="2:17" ht="14" x14ac:dyDescent="0.2">
      <c r="B26" s="24">
        <v>13</v>
      </c>
      <c r="C26" s="24">
        <v>80</v>
      </c>
      <c r="D26" s="24">
        <v>2</v>
      </c>
      <c r="E26" s="24">
        <v>1.8</v>
      </c>
      <c r="F26" s="24">
        <v>1</v>
      </c>
      <c r="G26" s="24">
        <v>0</v>
      </c>
      <c r="H26" s="24">
        <v>0</v>
      </c>
      <c r="I26" s="24">
        <v>0</v>
      </c>
      <c r="J26" s="24">
        <v>0</v>
      </c>
      <c r="K26" s="24">
        <v>1</v>
      </c>
      <c r="L26" s="24">
        <v>0</v>
      </c>
      <c r="M26" s="24">
        <v>0</v>
      </c>
    </row>
    <row r="27" spans="2:17" ht="14" x14ac:dyDescent="0.2">
      <c r="B27" s="24">
        <v>36</v>
      </c>
      <c r="C27" s="24">
        <v>14</v>
      </c>
      <c r="D27" s="24">
        <v>2</v>
      </c>
      <c r="E27" s="24">
        <v>0.3</v>
      </c>
      <c r="F27" s="24">
        <v>1</v>
      </c>
      <c r="G27" s="24">
        <v>0</v>
      </c>
      <c r="H27" s="24">
        <v>109</v>
      </c>
      <c r="I27" s="24">
        <v>0</v>
      </c>
      <c r="J27" s="24">
        <v>0</v>
      </c>
      <c r="K27" s="24">
        <v>1</v>
      </c>
      <c r="L27" s="24">
        <v>1</v>
      </c>
      <c r="M27" s="24">
        <v>0</v>
      </c>
    </row>
    <row r="28" spans="2:17" ht="14" x14ac:dyDescent="0.2">
      <c r="B28" s="24">
        <v>31</v>
      </c>
      <c r="C28" s="24">
        <v>192</v>
      </c>
      <c r="D28" s="24">
        <v>1</v>
      </c>
      <c r="E28" s="24">
        <v>7</v>
      </c>
      <c r="F28" s="24">
        <v>0</v>
      </c>
      <c r="G28" s="24">
        <v>0</v>
      </c>
      <c r="H28" s="24">
        <v>0</v>
      </c>
      <c r="I28" s="24">
        <v>0</v>
      </c>
      <c r="J28" s="24">
        <v>1</v>
      </c>
      <c r="K28" s="24">
        <v>1</v>
      </c>
      <c r="L28" s="24">
        <v>0</v>
      </c>
      <c r="M28" s="24">
        <v>1</v>
      </c>
    </row>
    <row r="29" spans="2:17" ht="14" x14ac:dyDescent="0.2">
      <c r="B29" s="24">
        <v>35</v>
      </c>
      <c r="C29" s="24">
        <v>94</v>
      </c>
      <c r="D29" s="24">
        <v>1</v>
      </c>
      <c r="E29" s="24">
        <v>3.8</v>
      </c>
      <c r="F29" s="24">
        <v>1</v>
      </c>
      <c r="G29" s="24">
        <v>0</v>
      </c>
      <c r="H29" s="24">
        <v>272</v>
      </c>
      <c r="I29" s="24">
        <v>0</v>
      </c>
      <c r="J29" s="24">
        <v>0</v>
      </c>
      <c r="K29" s="24">
        <v>0</v>
      </c>
      <c r="L29" s="24">
        <v>0</v>
      </c>
      <c r="M29" s="24">
        <v>0</v>
      </c>
    </row>
    <row r="30" spans="2:17" ht="14" x14ac:dyDescent="0.2">
      <c r="B30" s="24">
        <v>5</v>
      </c>
      <c r="C30" s="24">
        <v>203</v>
      </c>
      <c r="D30" s="24">
        <v>1</v>
      </c>
      <c r="E30" s="24">
        <v>10</v>
      </c>
      <c r="F30" s="24">
        <v>0</v>
      </c>
      <c r="G30" s="24">
        <v>0</v>
      </c>
      <c r="H30" s="24">
        <v>0</v>
      </c>
      <c r="I30" s="24">
        <v>0</v>
      </c>
      <c r="J30" s="24">
        <v>0</v>
      </c>
      <c r="K30" s="24">
        <v>0</v>
      </c>
      <c r="L30" s="24">
        <v>0</v>
      </c>
      <c r="M30" s="24">
        <v>1</v>
      </c>
    </row>
    <row r="31" spans="2:17" ht="14" x14ac:dyDescent="0.2">
      <c r="B31" s="24">
        <v>3</v>
      </c>
      <c r="C31" s="24">
        <v>45</v>
      </c>
      <c r="D31" s="24">
        <v>2</v>
      </c>
      <c r="E31" s="24">
        <v>1.6</v>
      </c>
      <c r="F31" s="24">
        <v>0</v>
      </c>
      <c r="G31" s="24">
        <v>0</v>
      </c>
      <c r="H31" s="24">
        <v>0</v>
      </c>
      <c r="I31" s="24">
        <v>0</v>
      </c>
      <c r="J31" s="24">
        <v>0</v>
      </c>
      <c r="K31" s="24">
        <v>1</v>
      </c>
      <c r="L31" s="24">
        <v>1</v>
      </c>
      <c r="M31" s="24">
        <v>0</v>
      </c>
    </row>
    <row r="32" spans="2:17" ht="14" x14ac:dyDescent="0.2">
      <c r="B32" s="24">
        <v>35</v>
      </c>
      <c r="C32" s="24">
        <v>191</v>
      </c>
      <c r="D32" s="24">
        <v>4</v>
      </c>
      <c r="E32" s="24">
        <v>5.6</v>
      </c>
      <c r="F32" s="24">
        <v>0</v>
      </c>
      <c r="G32" s="24">
        <v>0</v>
      </c>
      <c r="H32" s="24">
        <v>0</v>
      </c>
      <c r="I32" s="24">
        <v>0</v>
      </c>
      <c r="J32" s="24">
        <v>0</v>
      </c>
      <c r="K32" s="24">
        <v>0</v>
      </c>
      <c r="L32" s="24">
        <v>0</v>
      </c>
      <c r="M32" s="24">
        <v>1</v>
      </c>
    </row>
    <row r="33" spans="2:13" ht="14" x14ac:dyDescent="0.2">
      <c r="B33" s="24">
        <v>33</v>
      </c>
      <c r="C33" s="24">
        <v>88</v>
      </c>
      <c r="D33" s="24">
        <v>1</v>
      </c>
      <c r="E33" s="24">
        <v>2.7</v>
      </c>
      <c r="F33" s="24">
        <v>0</v>
      </c>
      <c r="G33" s="24">
        <v>1</v>
      </c>
      <c r="H33" s="24">
        <v>0</v>
      </c>
      <c r="I33" s="24">
        <v>0</v>
      </c>
      <c r="J33" s="24">
        <v>0</v>
      </c>
      <c r="K33" s="24">
        <v>1</v>
      </c>
      <c r="L33" s="24">
        <v>0</v>
      </c>
      <c r="M33" s="24">
        <v>0</v>
      </c>
    </row>
    <row r="34" spans="2:13" ht="14" x14ac:dyDescent="0.2">
      <c r="B34" s="24">
        <v>17</v>
      </c>
      <c r="C34" s="24">
        <v>55</v>
      </c>
      <c r="D34" s="24">
        <v>3</v>
      </c>
      <c r="E34" s="24">
        <v>2.2000000000000002</v>
      </c>
      <c r="F34" s="24">
        <v>0</v>
      </c>
      <c r="G34" s="24">
        <v>1</v>
      </c>
      <c r="H34" s="24">
        <v>0</v>
      </c>
      <c r="I34" s="24">
        <v>0</v>
      </c>
      <c r="J34" s="24">
        <v>0</v>
      </c>
      <c r="K34" s="24">
        <v>0</v>
      </c>
      <c r="L34" s="24">
        <v>0</v>
      </c>
      <c r="M34" s="24">
        <v>0</v>
      </c>
    </row>
    <row r="35" spans="2:13" ht="14" x14ac:dyDescent="0.2">
      <c r="B35" s="24">
        <v>35</v>
      </c>
      <c r="C35" s="24">
        <v>34</v>
      </c>
      <c r="D35" s="24">
        <v>1</v>
      </c>
      <c r="E35" s="24">
        <v>0.3</v>
      </c>
      <c r="F35" s="24">
        <v>0</v>
      </c>
      <c r="G35" s="24">
        <v>0</v>
      </c>
      <c r="H35" s="24">
        <v>0</v>
      </c>
      <c r="I35" s="24">
        <v>0</v>
      </c>
      <c r="J35" s="24">
        <v>0</v>
      </c>
      <c r="K35" s="24">
        <v>1</v>
      </c>
      <c r="L35" s="24">
        <v>0</v>
      </c>
      <c r="M35" s="24">
        <v>0</v>
      </c>
    </row>
    <row r="36" spans="2:13" ht="14" x14ac:dyDescent="0.2">
      <c r="B36" s="24">
        <v>12</v>
      </c>
      <c r="C36" s="24">
        <v>180</v>
      </c>
      <c r="D36" s="24">
        <v>1</v>
      </c>
      <c r="E36" s="24">
        <v>2.8</v>
      </c>
      <c r="F36" s="24">
        <v>0</v>
      </c>
      <c r="G36" s="24">
        <v>0</v>
      </c>
      <c r="H36" s="24">
        <v>158</v>
      </c>
      <c r="I36" s="24">
        <v>0</v>
      </c>
      <c r="J36" s="24">
        <v>0</v>
      </c>
      <c r="K36" s="24">
        <v>1</v>
      </c>
      <c r="L36" s="24">
        <v>0</v>
      </c>
      <c r="M36" s="24">
        <v>1</v>
      </c>
    </row>
    <row r="37" spans="2:13" ht="14" x14ac:dyDescent="0.2">
      <c r="B37" s="24">
        <v>32</v>
      </c>
      <c r="C37" s="24">
        <v>98</v>
      </c>
      <c r="D37" s="24">
        <v>3</v>
      </c>
      <c r="E37" s="24">
        <v>3.9</v>
      </c>
      <c r="F37" s="24">
        <v>0</v>
      </c>
      <c r="G37" s="24">
        <v>0</v>
      </c>
      <c r="H37" s="24">
        <v>0</v>
      </c>
      <c r="I37" s="24">
        <v>0</v>
      </c>
      <c r="J37" s="24">
        <v>0</v>
      </c>
      <c r="K37" s="24">
        <v>0</v>
      </c>
      <c r="L37" s="24">
        <v>0</v>
      </c>
      <c r="M37" s="24">
        <v>1</v>
      </c>
    </row>
    <row r="38" spans="2:13" ht="14" x14ac:dyDescent="0.2">
      <c r="B38" s="24">
        <v>20</v>
      </c>
      <c r="C38" s="24">
        <v>180</v>
      </c>
      <c r="D38" s="24">
        <v>3</v>
      </c>
      <c r="E38" s="24">
        <v>8.5</v>
      </c>
      <c r="F38" s="24">
        <v>0</v>
      </c>
      <c r="G38" s="24">
        <v>1</v>
      </c>
      <c r="H38" s="24">
        <v>535</v>
      </c>
      <c r="I38" s="24">
        <v>0</v>
      </c>
      <c r="J38" s="24">
        <v>0</v>
      </c>
      <c r="K38" s="24">
        <v>0</v>
      </c>
      <c r="L38" s="24">
        <v>0</v>
      </c>
      <c r="M38" s="24">
        <v>1</v>
      </c>
    </row>
    <row r="39" spans="2:13" ht="14" x14ac:dyDescent="0.2">
      <c r="B39" s="24">
        <v>41</v>
      </c>
      <c r="C39" s="24">
        <v>195</v>
      </c>
      <c r="D39" s="24">
        <v>3</v>
      </c>
      <c r="E39" s="24">
        <v>0.4</v>
      </c>
      <c r="F39" s="24">
        <v>1</v>
      </c>
      <c r="G39" s="24">
        <v>0</v>
      </c>
      <c r="H39" s="24">
        <v>0</v>
      </c>
      <c r="I39" s="24">
        <v>1</v>
      </c>
      <c r="J39" s="24">
        <v>1</v>
      </c>
      <c r="K39" s="24">
        <v>0</v>
      </c>
      <c r="L39" s="24">
        <v>1</v>
      </c>
      <c r="M39" s="24">
        <v>1</v>
      </c>
    </row>
    <row r="40" spans="2:13" ht="14" x14ac:dyDescent="0.2">
      <c r="B40" s="24">
        <v>32</v>
      </c>
      <c r="C40" s="24">
        <v>41</v>
      </c>
      <c r="D40" s="24">
        <v>3</v>
      </c>
      <c r="E40" s="24">
        <v>1.4</v>
      </c>
      <c r="F40" s="24">
        <v>1</v>
      </c>
      <c r="G40" s="24">
        <v>0</v>
      </c>
      <c r="H40" s="24">
        <v>0</v>
      </c>
      <c r="I40" s="24">
        <v>0</v>
      </c>
      <c r="J40" s="24">
        <v>0</v>
      </c>
      <c r="K40" s="24">
        <v>1</v>
      </c>
      <c r="L40" s="24">
        <v>0</v>
      </c>
      <c r="M40" s="24">
        <v>0</v>
      </c>
    </row>
    <row r="41" spans="2:13" ht="14" x14ac:dyDescent="0.2">
      <c r="B41" s="24">
        <v>13</v>
      </c>
      <c r="C41" s="24">
        <v>78</v>
      </c>
      <c r="D41" s="24">
        <v>4</v>
      </c>
      <c r="E41" s="24">
        <v>0.7</v>
      </c>
      <c r="F41" s="24">
        <v>0</v>
      </c>
      <c r="G41" s="24">
        <v>0</v>
      </c>
      <c r="H41" s="24">
        <v>0</v>
      </c>
      <c r="I41" s="24">
        <v>0</v>
      </c>
      <c r="J41" s="24">
        <v>0</v>
      </c>
      <c r="K41" s="24">
        <v>1</v>
      </c>
      <c r="L41" s="24">
        <v>0</v>
      </c>
      <c r="M41" s="24">
        <v>0</v>
      </c>
    </row>
    <row r="42" spans="2:13" ht="14" x14ac:dyDescent="0.2">
      <c r="B42" s="24">
        <v>25</v>
      </c>
      <c r="C42" s="24">
        <v>161</v>
      </c>
      <c r="D42" s="24">
        <v>3</v>
      </c>
      <c r="E42" s="24">
        <v>6.5</v>
      </c>
      <c r="F42" s="24">
        <v>0</v>
      </c>
      <c r="G42" s="24">
        <v>1</v>
      </c>
      <c r="H42" s="24">
        <v>485</v>
      </c>
      <c r="I42" s="24">
        <v>1</v>
      </c>
      <c r="J42" s="24">
        <v>1</v>
      </c>
      <c r="K42" s="24">
        <v>0</v>
      </c>
      <c r="L42" s="24">
        <v>0</v>
      </c>
      <c r="M42" s="24">
        <v>1</v>
      </c>
    </row>
    <row r="43" spans="2:13" ht="14" x14ac:dyDescent="0.2">
      <c r="B43" s="24">
        <v>9</v>
      </c>
      <c r="C43" s="24">
        <v>44</v>
      </c>
      <c r="D43" s="24">
        <v>4</v>
      </c>
      <c r="E43" s="24">
        <v>1</v>
      </c>
      <c r="F43" s="24">
        <v>0</v>
      </c>
      <c r="G43" s="24">
        <v>1</v>
      </c>
      <c r="H43" s="24">
        <v>101</v>
      </c>
      <c r="I43" s="24">
        <v>1</v>
      </c>
      <c r="J43" s="24">
        <v>0</v>
      </c>
      <c r="K43" s="24">
        <v>1</v>
      </c>
      <c r="L43" s="24">
        <v>0</v>
      </c>
      <c r="M43" s="24">
        <v>0</v>
      </c>
    </row>
    <row r="44" spans="2:13" ht="14" x14ac:dyDescent="0.2">
      <c r="B44" s="24">
        <v>18</v>
      </c>
      <c r="C44" s="24">
        <v>52</v>
      </c>
      <c r="D44" s="24">
        <v>2</v>
      </c>
      <c r="E44" s="24">
        <v>2.5</v>
      </c>
      <c r="F44" s="24">
        <v>1</v>
      </c>
      <c r="G44" s="24">
        <v>0</v>
      </c>
      <c r="H44" s="24">
        <v>0</v>
      </c>
      <c r="I44" s="24">
        <v>0</v>
      </c>
      <c r="J44" s="24">
        <v>0</v>
      </c>
      <c r="K44" s="24">
        <v>0</v>
      </c>
      <c r="L44" s="24">
        <v>0</v>
      </c>
      <c r="M44" s="24">
        <v>0</v>
      </c>
    </row>
    <row r="45" spans="2:13" ht="14" x14ac:dyDescent="0.2">
      <c r="B45" s="24">
        <v>9</v>
      </c>
      <c r="C45" s="24">
        <v>141</v>
      </c>
      <c r="D45" s="24">
        <v>2</v>
      </c>
      <c r="E45" s="24">
        <v>4.5</v>
      </c>
      <c r="F45" s="24">
        <v>0</v>
      </c>
      <c r="G45" s="24">
        <v>1</v>
      </c>
      <c r="H45" s="24">
        <v>0</v>
      </c>
      <c r="I45" s="24">
        <v>0</v>
      </c>
      <c r="J45" s="24">
        <v>0</v>
      </c>
      <c r="K45" s="24">
        <v>0</v>
      </c>
      <c r="L45" s="24">
        <v>0</v>
      </c>
      <c r="M45" s="24">
        <v>1</v>
      </c>
    </row>
    <row r="46" spans="2:13" ht="14" x14ac:dyDescent="0.2">
      <c r="B46" s="24">
        <v>25</v>
      </c>
      <c r="C46" s="24">
        <v>24</v>
      </c>
      <c r="D46" s="24">
        <v>4</v>
      </c>
      <c r="E46" s="24">
        <v>0.2</v>
      </c>
      <c r="F46" s="24">
        <v>1</v>
      </c>
      <c r="G46" s="24">
        <v>0</v>
      </c>
      <c r="H46" s="24">
        <v>138</v>
      </c>
      <c r="I46" s="24">
        <v>0</v>
      </c>
      <c r="J46" s="24">
        <v>0</v>
      </c>
      <c r="K46" s="24">
        <v>1</v>
      </c>
      <c r="L46" s="24">
        <v>0</v>
      </c>
      <c r="M46" s="24">
        <v>0</v>
      </c>
    </row>
    <row r="47" spans="2:13" ht="14" x14ac:dyDescent="0.2">
      <c r="B47" s="24">
        <v>9</v>
      </c>
      <c r="C47" s="24">
        <v>105</v>
      </c>
      <c r="D47" s="24">
        <v>3</v>
      </c>
      <c r="E47" s="24">
        <v>1.2</v>
      </c>
      <c r="F47" s="24">
        <v>0</v>
      </c>
      <c r="G47" s="24">
        <v>0</v>
      </c>
      <c r="H47" s="24">
        <v>0</v>
      </c>
      <c r="I47" s="24">
        <v>1</v>
      </c>
      <c r="J47" s="24">
        <v>0</v>
      </c>
      <c r="K47" s="24">
        <v>0</v>
      </c>
      <c r="L47" s="24">
        <v>0</v>
      </c>
      <c r="M47" s="24">
        <v>0</v>
      </c>
    </row>
    <row r="48" spans="2:13" ht="14" x14ac:dyDescent="0.2">
      <c r="B48" s="24">
        <v>4</v>
      </c>
      <c r="C48" s="24">
        <v>51</v>
      </c>
      <c r="D48" s="24">
        <v>4</v>
      </c>
      <c r="E48" s="24">
        <v>0.2</v>
      </c>
      <c r="F48" s="24">
        <v>1</v>
      </c>
      <c r="G48" s="24">
        <v>0</v>
      </c>
      <c r="H48" s="24">
        <v>172</v>
      </c>
      <c r="I48" s="24">
        <v>0</v>
      </c>
      <c r="J48" s="24">
        <v>0</v>
      </c>
      <c r="K48" s="24">
        <v>0</v>
      </c>
      <c r="L48" s="24">
        <v>1</v>
      </c>
      <c r="M48" s="24">
        <v>0</v>
      </c>
    </row>
    <row r="49" spans="2:13" ht="14" x14ac:dyDescent="0.2">
      <c r="B49" s="24">
        <v>15</v>
      </c>
      <c r="C49" s="24">
        <v>202</v>
      </c>
      <c r="D49" s="24">
        <v>3</v>
      </c>
      <c r="E49" s="24">
        <v>10</v>
      </c>
      <c r="F49" s="24">
        <v>0</v>
      </c>
      <c r="G49" s="24">
        <v>0</v>
      </c>
      <c r="H49" s="24">
        <v>0</v>
      </c>
      <c r="I49" s="24">
        <v>0</v>
      </c>
      <c r="J49" s="24">
        <v>0</v>
      </c>
      <c r="K49" s="24">
        <v>0</v>
      </c>
      <c r="L49" s="24">
        <v>0</v>
      </c>
      <c r="M49" s="24">
        <v>1</v>
      </c>
    </row>
    <row r="50" spans="2:13" ht="14" x14ac:dyDescent="0.2">
      <c r="B50" s="24">
        <v>35</v>
      </c>
      <c r="C50" s="24">
        <v>32</v>
      </c>
      <c r="D50" s="24">
        <v>1</v>
      </c>
      <c r="E50" s="24">
        <v>0.3</v>
      </c>
      <c r="F50" s="24">
        <v>0</v>
      </c>
      <c r="G50" s="24">
        <v>0</v>
      </c>
      <c r="H50" s="24">
        <v>80</v>
      </c>
      <c r="I50" s="24">
        <v>0</v>
      </c>
      <c r="J50" s="24">
        <v>0</v>
      </c>
      <c r="K50" s="24">
        <v>1</v>
      </c>
      <c r="L50" s="24">
        <v>0</v>
      </c>
      <c r="M50" s="24">
        <v>0</v>
      </c>
    </row>
    <row r="51" spans="2:13" ht="14" x14ac:dyDescent="0.2">
      <c r="B51" s="24">
        <v>34</v>
      </c>
      <c r="C51" s="24">
        <v>88</v>
      </c>
      <c r="D51" s="24">
        <v>2</v>
      </c>
      <c r="E51" s="24">
        <v>1.6</v>
      </c>
      <c r="F51" s="24">
        <v>1</v>
      </c>
      <c r="G51" s="24">
        <v>0</v>
      </c>
      <c r="H51" s="24">
        <v>0</v>
      </c>
      <c r="I51" s="24">
        <v>0</v>
      </c>
      <c r="J51" s="24">
        <v>0</v>
      </c>
      <c r="K51" s="24">
        <v>1</v>
      </c>
      <c r="L51" s="24">
        <v>1</v>
      </c>
      <c r="M51" s="24">
        <v>0</v>
      </c>
    </row>
    <row r="52" spans="2:13" ht="14" x14ac:dyDescent="0.2">
      <c r="B52" s="24">
        <v>12</v>
      </c>
      <c r="C52" s="24">
        <v>108</v>
      </c>
      <c r="D52" s="24">
        <v>4</v>
      </c>
      <c r="E52" s="24">
        <v>3.6666666666666701</v>
      </c>
      <c r="F52" s="24">
        <v>0</v>
      </c>
      <c r="G52" s="24">
        <v>1</v>
      </c>
      <c r="H52" s="24">
        <v>301</v>
      </c>
      <c r="I52" s="24">
        <v>0</v>
      </c>
      <c r="J52" s="24">
        <v>0</v>
      </c>
      <c r="K52" s="24">
        <v>0</v>
      </c>
      <c r="L52" s="24">
        <v>1</v>
      </c>
      <c r="M52" s="24">
        <v>1</v>
      </c>
    </row>
    <row r="53" spans="2:13" ht="14" x14ac:dyDescent="0.2">
      <c r="B53" s="24">
        <v>33</v>
      </c>
      <c r="C53" s="24">
        <v>134</v>
      </c>
      <c r="D53" s="24">
        <v>4</v>
      </c>
      <c r="E53" s="24">
        <v>0.9</v>
      </c>
      <c r="F53" s="24">
        <v>1</v>
      </c>
      <c r="G53" s="24">
        <v>0</v>
      </c>
      <c r="H53" s="24">
        <v>198</v>
      </c>
      <c r="I53" s="24">
        <v>0</v>
      </c>
      <c r="J53" s="24">
        <v>0</v>
      </c>
      <c r="K53" s="24">
        <v>1</v>
      </c>
      <c r="L53" s="24">
        <v>0</v>
      </c>
      <c r="M53" s="24">
        <v>1</v>
      </c>
    </row>
    <row r="54" spans="2:13" ht="14" x14ac:dyDescent="0.2">
      <c r="B54" s="24">
        <v>37</v>
      </c>
      <c r="C54" s="24">
        <v>165</v>
      </c>
      <c r="D54" s="24">
        <v>4</v>
      </c>
      <c r="E54" s="24">
        <v>5.0999999999999996</v>
      </c>
      <c r="F54" s="24">
        <v>0</v>
      </c>
      <c r="G54" s="24">
        <v>0</v>
      </c>
      <c r="H54" s="24">
        <v>0</v>
      </c>
      <c r="I54" s="24">
        <v>0</v>
      </c>
      <c r="J54" s="24">
        <v>0</v>
      </c>
      <c r="K54" s="24">
        <v>0</v>
      </c>
      <c r="L54" s="24">
        <v>0</v>
      </c>
      <c r="M54" s="24">
        <v>1</v>
      </c>
    </row>
    <row r="55" spans="2:13" ht="14" x14ac:dyDescent="0.2">
      <c r="B55" s="24">
        <v>32</v>
      </c>
      <c r="C55" s="24">
        <v>161</v>
      </c>
      <c r="D55" s="24">
        <v>1</v>
      </c>
      <c r="E55" s="24">
        <v>5.8</v>
      </c>
      <c r="F55" s="24">
        <v>0</v>
      </c>
      <c r="G55" s="24">
        <v>0</v>
      </c>
      <c r="H55" s="24">
        <v>0</v>
      </c>
      <c r="I55" s="24">
        <v>1</v>
      </c>
      <c r="J55" s="24">
        <v>0</v>
      </c>
      <c r="K55" s="24">
        <v>0</v>
      </c>
      <c r="L55" s="24">
        <v>0</v>
      </c>
      <c r="M55" s="24">
        <v>1</v>
      </c>
    </row>
    <row r="56" spans="2:13" ht="14" x14ac:dyDescent="0.2">
      <c r="B56" s="24">
        <v>14</v>
      </c>
      <c r="C56" s="24">
        <v>42</v>
      </c>
      <c r="D56" s="24">
        <v>1</v>
      </c>
      <c r="E56" s="24">
        <v>2.5</v>
      </c>
      <c r="F56" s="24">
        <v>0</v>
      </c>
      <c r="G56" s="24">
        <v>0</v>
      </c>
      <c r="H56" s="24">
        <v>0</v>
      </c>
      <c r="I56" s="24">
        <v>0</v>
      </c>
      <c r="J56" s="24">
        <v>0</v>
      </c>
      <c r="K56" s="24">
        <v>1</v>
      </c>
      <c r="L56" s="24">
        <v>0</v>
      </c>
      <c r="M56" s="24">
        <v>0</v>
      </c>
    </row>
    <row r="57" spans="2:13" ht="14" x14ac:dyDescent="0.2">
      <c r="B57" s="24">
        <v>2</v>
      </c>
      <c r="C57" s="24">
        <v>71</v>
      </c>
      <c r="D57" s="24">
        <v>2</v>
      </c>
      <c r="E57" s="24">
        <v>1.75</v>
      </c>
      <c r="F57" s="24">
        <v>0</v>
      </c>
      <c r="G57" s="24">
        <v>0</v>
      </c>
      <c r="H57" s="24">
        <v>108</v>
      </c>
      <c r="I57" s="24">
        <v>0</v>
      </c>
      <c r="J57" s="24">
        <v>0</v>
      </c>
      <c r="K57" s="24">
        <v>0</v>
      </c>
      <c r="L57" s="24">
        <v>0</v>
      </c>
      <c r="M57" s="24">
        <v>0</v>
      </c>
    </row>
    <row r="58" spans="2:13" ht="14" x14ac:dyDescent="0.2">
      <c r="B58" s="24">
        <v>14</v>
      </c>
      <c r="C58" s="24">
        <v>105</v>
      </c>
      <c r="D58" s="24">
        <v>2</v>
      </c>
      <c r="E58" s="24">
        <v>1.9</v>
      </c>
      <c r="F58" s="24">
        <v>1</v>
      </c>
      <c r="G58" s="24">
        <v>0</v>
      </c>
      <c r="H58" s="24">
        <v>0</v>
      </c>
      <c r="I58" s="24">
        <v>0</v>
      </c>
      <c r="J58" s="24">
        <v>0</v>
      </c>
      <c r="K58" s="24">
        <v>1</v>
      </c>
      <c r="L58" s="24">
        <v>0</v>
      </c>
      <c r="M58" s="24">
        <v>0</v>
      </c>
    </row>
    <row r="59" spans="2:13" ht="14" x14ac:dyDescent="0.2">
      <c r="B59" s="24">
        <v>36</v>
      </c>
      <c r="C59" s="24">
        <v>158</v>
      </c>
      <c r="D59" s="24">
        <v>2</v>
      </c>
      <c r="E59" s="24">
        <v>6.3</v>
      </c>
      <c r="F59" s="24">
        <v>0</v>
      </c>
      <c r="G59" s="24">
        <v>0</v>
      </c>
      <c r="H59" s="24">
        <v>0</v>
      </c>
      <c r="I59" s="24">
        <v>0</v>
      </c>
      <c r="J59" s="24">
        <v>0</v>
      </c>
      <c r="K59" s="24">
        <v>1</v>
      </c>
      <c r="L59" s="24">
        <v>0</v>
      </c>
      <c r="M59" s="24">
        <v>1</v>
      </c>
    </row>
    <row r="60" spans="2:13" ht="14" x14ac:dyDescent="0.2">
      <c r="B60" s="24">
        <v>9</v>
      </c>
      <c r="C60" s="24">
        <v>53</v>
      </c>
      <c r="D60" s="24">
        <v>4</v>
      </c>
      <c r="E60" s="24">
        <v>2.2000000000000002</v>
      </c>
      <c r="F60" s="24">
        <v>0</v>
      </c>
      <c r="G60" s="24">
        <v>1</v>
      </c>
      <c r="H60" s="24">
        <v>0</v>
      </c>
      <c r="I60" s="24">
        <v>0</v>
      </c>
      <c r="J60" s="24">
        <v>0</v>
      </c>
      <c r="K60" s="24">
        <v>1</v>
      </c>
      <c r="L60" s="24">
        <v>0</v>
      </c>
      <c r="M60" s="24">
        <v>0</v>
      </c>
    </row>
    <row r="61" spans="2:13" ht="14" x14ac:dyDescent="0.2">
      <c r="B61" s="24">
        <v>10</v>
      </c>
      <c r="C61" s="24">
        <v>21</v>
      </c>
      <c r="D61" s="24">
        <v>3</v>
      </c>
      <c r="E61" s="24">
        <v>1.3</v>
      </c>
      <c r="F61" s="24">
        <v>1</v>
      </c>
      <c r="G61" s="24">
        <v>0</v>
      </c>
      <c r="H61" s="24">
        <v>115</v>
      </c>
      <c r="I61" s="24">
        <v>0</v>
      </c>
      <c r="J61" s="24">
        <v>0</v>
      </c>
      <c r="K61" s="24">
        <v>0</v>
      </c>
      <c r="L61" s="24">
        <v>0</v>
      </c>
      <c r="M61" s="24">
        <v>0</v>
      </c>
    </row>
    <row r="62" spans="2:13" ht="14" x14ac:dyDescent="0.2">
      <c r="B62" s="24">
        <v>13</v>
      </c>
      <c r="C62" s="24">
        <v>158</v>
      </c>
      <c r="D62" s="24">
        <v>2</v>
      </c>
      <c r="E62" s="24">
        <v>2.2999999999999998</v>
      </c>
      <c r="F62" s="24">
        <v>0</v>
      </c>
      <c r="G62" s="24">
        <v>1</v>
      </c>
      <c r="H62" s="24">
        <v>0</v>
      </c>
      <c r="I62" s="24">
        <v>0</v>
      </c>
      <c r="J62" s="24">
        <v>1</v>
      </c>
      <c r="K62" s="24">
        <v>1</v>
      </c>
      <c r="L62" s="24">
        <v>1</v>
      </c>
      <c r="M62" s="24">
        <v>1</v>
      </c>
    </row>
    <row r="63" spans="2:13" ht="14" x14ac:dyDescent="0.2">
      <c r="B63" s="24">
        <v>3</v>
      </c>
      <c r="C63" s="24">
        <v>108</v>
      </c>
      <c r="D63" s="24">
        <v>4</v>
      </c>
      <c r="E63" s="24">
        <v>1.8</v>
      </c>
      <c r="F63" s="24">
        <v>0</v>
      </c>
      <c r="G63" s="24">
        <v>1</v>
      </c>
      <c r="H63" s="24">
        <v>0</v>
      </c>
      <c r="I63" s="24">
        <v>0</v>
      </c>
      <c r="J63" s="24">
        <v>0</v>
      </c>
      <c r="K63" s="24">
        <v>0</v>
      </c>
      <c r="L63" s="24">
        <v>0</v>
      </c>
      <c r="M63" s="24">
        <v>0</v>
      </c>
    </row>
    <row r="64" spans="2:13" ht="14" x14ac:dyDescent="0.2">
      <c r="B64" s="24">
        <v>11</v>
      </c>
      <c r="C64" s="24">
        <v>9</v>
      </c>
      <c r="D64" s="24">
        <v>4</v>
      </c>
      <c r="E64" s="24">
        <v>0.7</v>
      </c>
      <c r="F64" s="24">
        <v>0</v>
      </c>
      <c r="G64" s="24">
        <v>1</v>
      </c>
      <c r="H64" s="24">
        <v>0</v>
      </c>
      <c r="I64" s="24">
        <v>0</v>
      </c>
      <c r="J64" s="24">
        <v>0</v>
      </c>
      <c r="K64" s="24">
        <v>1</v>
      </c>
      <c r="L64" s="24">
        <v>0</v>
      </c>
      <c r="M64" s="24">
        <v>0</v>
      </c>
    </row>
    <row r="65" spans="2:13" ht="14" x14ac:dyDescent="0.2">
      <c r="B65" s="24">
        <v>30</v>
      </c>
      <c r="C65" s="24">
        <v>39</v>
      </c>
      <c r="D65" s="24">
        <v>2</v>
      </c>
      <c r="E65" s="24">
        <v>1.9</v>
      </c>
      <c r="F65" s="24">
        <v>0</v>
      </c>
      <c r="G65" s="24">
        <v>1</v>
      </c>
      <c r="H65" s="24">
        <v>0</v>
      </c>
      <c r="I65" s="24">
        <v>0</v>
      </c>
      <c r="J65" s="24">
        <v>0</v>
      </c>
      <c r="K65" s="24">
        <v>0</v>
      </c>
      <c r="L65" s="24">
        <v>0</v>
      </c>
      <c r="M65" s="24">
        <v>0</v>
      </c>
    </row>
    <row r="66" spans="2:13" ht="14" x14ac:dyDescent="0.2">
      <c r="B66" s="24">
        <v>16</v>
      </c>
      <c r="C66" s="24">
        <v>201</v>
      </c>
      <c r="D66" s="24">
        <v>1</v>
      </c>
      <c r="E66" s="24">
        <v>10</v>
      </c>
      <c r="F66" s="24">
        <v>0</v>
      </c>
      <c r="G66" s="24">
        <v>1</v>
      </c>
      <c r="H66" s="24">
        <v>0</v>
      </c>
      <c r="I66" s="24">
        <v>0</v>
      </c>
      <c r="J66" s="24">
        <v>0</v>
      </c>
      <c r="K66" s="24">
        <v>0</v>
      </c>
      <c r="L66" s="24">
        <v>1</v>
      </c>
      <c r="M66" s="24">
        <v>1</v>
      </c>
    </row>
    <row r="67" spans="2:13" ht="14" x14ac:dyDescent="0.2">
      <c r="B67" s="24">
        <v>0</v>
      </c>
      <c r="C67" s="24">
        <v>132</v>
      </c>
      <c r="D67" s="24">
        <v>3</v>
      </c>
      <c r="E67" s="24">
        <v>6.5</v>
      </c>
      <c r="F67" s="24">
        <v>0</v>
      </c>
      <c r="G67" s="24">
        <v>0</v>
      </c>
      <c r="H67" s="24">
        <v>0</v>
      </c>
      <c r="I67" s="24">
        <v>0</v>
      </c>
      <c r="J67" s="24">
        <v>0</v>
      </c>
      <c r="K67" s="24">
        <v>0</v>
      </c>
      <c r="L67" s="24">
        <v>1</v>
      </c>
      <c r="M67" s="24">
        <v>1</v>
      </c>
    </row>
    <row r="68" spans="2:13" ht="14" x14ac:dyDescent="0.2">
      <c r="B68" s="24">
        <v>3</v>
      </c>
      <c r="C68" s="24">
        <v>161</v>
      </c>
      <c r="D68" s="24">
        <v>4</v>
      </c>
      <c r="E68" s="24">
        <v>1.7</v>
      </c>
      <c r="F68" s="24">
        <v>0</v>
      </c>
      <c r="G68" s="24">
        <v>0</v>
      </c>
      <c r="H68" s="24">
        <v>422</v>
      </c>
      <c r="I68" s="24">
        <v>0</v>
      </c>
      <c r="J68" s="24">
        <v>1</v>
      </c>
      <c r="K68" s="24">
        <v>1</v>
      </c>
      <c r="L68" s="24">
        <v>1</v>
      </c>
      <c r="M68" s="24">
        <v>1</v>
      </c>
    </row>
    <row r="69" spans="2:13" ht="14" x14ac:dyDescent="0.2">
      <c r="B69" s="24">
        <v>20</v>
      </c>
      <c r="C69" s="24">
        <v>103</v>
      </c>
      <c r="D69" s="24">
        <v>4</v>
      </c>
      <c r="E69" s="24">
        <v>4.8</v>
      </c>
      <c r="F69" s="24">
        <v>0</v>
      </c>
      <c r="G69" s="24">
        <v>0</v>
      </c>
      <c r="H69" s="24">
        <v>0</v>
      </c>
      <c r="I69" s="24">
        <v>0</v>
      </c>
      <c r="J69" s="24">
        <v>0</v>
      </c>
      <c r="K69" s="24">
        <v>1</v>
      </c>
      <c r="L69" s="24">
        <v>0</v>
      </c>
      <c r="M69" s="24">
        <v>1</v>
      </c>
    </row>
    <row r="70" spans="2:13" ht="14" x14ac:dyDescent="0.2">
      <c r="B70" s="24">
        <v>26</v>
      </c>
      <c r="C70" s="24">
        <v>115</v>
      </c>
      <c r="D70" s="24">
        <v>1</v>
      </c>
      <c r="E70" s="24">
        <v>1.2</v>
      </c>
      <c r="F70" s="24">
        <v>0</v>
      </c>
      <c r="G70" s="24">
        <v>0</v>
      </c>
      <c r="H70" s="24">
        <v>0</v>
      </c>
      <c r="I70" s="24">
        <v>0</v>
      </c>
      <c r="J70" s="24">
        <v>0</v>
      </c>
      <c r="K70" s="24">
        <v>0</v>
      </c>
      <c r="L70" s="24">
        <v>1</v>
      </c>
      <c r="M70" s="24">
        <v>1</v>
      </c>
    </row>
    <row r="71" spans="2:13" ht="14" x14ac:dyDescent="0.2">
      <c r="B71" s="24">
        <v>22</v>
      </c>
      <c r="C71" s="24">
        <v>114</v>
      </c>
      <c r="D71" s="24">
        <v>1</v>
      </c>
      <c r="E71" s="24">
        <v>2.4</v>
      </c>
      <c r="F71" s="24">
        <v>0</v>
      </c>
      <c r="G71" s="24">
        <v>0</v>
      </c>
      <c r="H71" s="24">
        <v>0</v>
      </c>
      <c r="I71" s="24">
        <v>0</v>
      </c>
      <c r="J71" s="24">
        <v>0</v>
      </c>
      <c r="K71" s="24">
        <v>1</v>
      </c>
      <c r="L71" s="24">
        <v>0</v>
      </c>
      <c r="M71" s="24">
        <v>1</v>
      </c>
    </row>
    <row r="72" spans="2:13" ht="14" x14ac:dyDescent="0.2">
      <c r="B72" s="24">
        <v>7</v>
      </c>
      <c r="C72" s="24">
        <v>71</v>
      </c>
      <c r="D72" s="24">
        <v>1</v>
      </c>
      <c r="E72" s="24">
        <v>0.1</v>
      </c>
      <c r="F72" s="24">
        <v>1</v>
      </c>
      <c r="G72" s="24">
        <v>0</v>
      </c>
      <c r="H72" s="24">
        <v>78</v>
      </c>
      <c r="I72" s="24">
        <v>1</v>
      </c>
      <c r="J72" s="24">
        <v>0</v>
      </c>
      <c r="K72" s="24">
        <v>0</v>
      </c>
      <c r="L72" s="24">
        <v>0</v>
      </c>
      <c r="M72" s="24">
        <v>0</v>
      </c>
    </row>
    <row r="73" spans="2:13" ht="14" x14ac:dyDescent="0.2">
      <c r="B73" s="24">
        <v>29</v>
      </c>
      <c r="C73" s="24">
        <v>131</v>
      </c>
      <c r="D73" s="24">
        <v>2</v>
      </c>
      <c r="E73" s="24">
        <v>0.7</v>
      </c>
      <c r="F73" s="24">
        <v>0</v>
      </c>
      <c r="G73" s="24">
        <v>1</v>
      </c>
      <c r="H73" s="24">
        <v>0</v>
      </c>
      <c r="I73" s="24">
        <v>0</v>
      </c>
      <c r="J73" s="24">
        <v>0</v>
      </c>
      <c r="K73" s="24">
        <v>0</v>
      </c>
      <c r="L73" s="24">
        <v>1</v>
      </c>
      <c r="M73" s="24">
        <v>1</v>
      </c>
    </row>
    <row r="74" spans="2:13" ht="14" x14ac:dyDescent="0.2">
      <c r="B74" s="24">
        <v>28</v>
      </c>
      <c r="C74" s="24">
        <v>28</v>
      </c>
      <c r="D74" s="24">
        <v>4</v>
      </c>
      <c r="E74" s="24">
        <v>1.5</v>
      </c>
      <c r="F74" s="24">
        <v>0</v>
      </c>
      <c r="G74" s="24">
        <v>0</v>
      </c>
      <c r="H74" s="24">
        <v>0</v>
      </c>
      <c r="I74" s="24">
        <v>0</v>
      </c>
      <c r="J74" s="24">
        <v>0</v>
      </c>
      <c r="K74" s="24">
        <v>1</v>
      </c>
      <c r="L74" s="24">
        <v>1</v>
      </c>
      <c r="M74" s="24">
        <v>0</v>
      </c>
    </row>
    <row r="75" spans="2:13" ht="14" x14ac:dyDescent="0.2">
      <c r="B75" s="24">
        <v>38</v>
      </c>
      <c r="C75" s="24">
        <v>134</v>
      </c>
      <c r="D75" s="24">
        <v>3</v>
      </c>
      <c r="E75" s="24">
        <v>4</v>
      </c>
      <c r="F75" s="24">
        <v>0</v>
      </c>
      <c r="G75" s="24">
        <v>1</v>
      </c>
      <c r="H75" s="24">
        <v>0</v>
      </c>
      <c r="I75" s="24">
        <v>0</v>
      </c>
      <c r="J75" s="24">
        <v>0</v>
      </c>
      <c r="K75" s="24">
        <v>0</v>
      </c>
      <c r="L75" s="24">
        <v>1</v>
      </c>
      <c r="M75" s="24">
        <v>1</v>
      </c>
    </row>
    <row r="76" spans="2:13" ht="14" x14ac:dyDescent="0.2">
      <c r="B76" s="24">
        <v>26</v>
      </c>
      <c r="C76" s="24">
        <v>50</v>
      </c>
      <c r="D76" s="24">
        <v>3</v>
      </c>
      <c r="E76" s="24">
        <v>1.4</v>
      </c>
      <c r="F76" s="24">
        <v>0</v>
      </c>
      <c r="G76" s="24">
        <v>0</v>
      </c>
      <c r="H76" s="24">
        <v>0</v>
      </c>
      <c r="I76" s="24">
        <v>0</v>
      </c>
      <c r="J76" s="24">
        <v>0</v>
      </c>
      <c r="K76" s="24">
        <v>0</v>
      </c>
      <c r="L76" s="24">
        <v>0</v>
      </c>
      <c r="M76" s="24">
        <v>0</v>
      </c>
    </row>
    <row r="77" spans="2:13" ht="14" x14ac:dyDescent="0.2">
      <c r="B77" s="24">
        <v>27</v>
      </c>
      <c r="C77" s="24">
        <v>63</v>
      </c>
      <c r="D77" s="24">
        <v>3</v>
      </c>
      <c r="E77" s="24">
        <v>2</v>
      </c>
      <c r="F77" s="24">
        <v>0</v>
      </c>
      <c r="G77" s="24">
        <v>0</v>
      </c>
      <c r="H77" s="24">
        <v>0</v>
      </c>
      <c r="I77" s="24">
        <v>0</v>
      </c>
      <c r="J77" s="24">
        <v>0</v>
      </c>
      <c r="K77" s="24">
        <v>1</v>
      </c>
      <c r="L77" s="24">
        <v>0</v>
      </c>
      <c r="M77" s="24">
        <v>0</v>
      </c>
    </row>
    <row r="78" spans="2:13" ht="14" x14ac:dyDescent="0.2">
      <c r="B78" s="24">
        <v>12</v>
      </c>
      <c r="C78" s="24">
        <v>69</v>
      </c>
      <c r="D78" s="24">
        <v>3</v>
      </c>
      <c r="E78" s="24">
        <v>3.1</v>
      </c>
      <c r="F78" s="24">
        <v>0</v>
      </c>
      <c r="G78" s="24">
        <v>1</v>
      </c>
      <c r="H78" s="24">
        <v>0</v>
      </c>
      <c r="I78" s="24">
        <v>0</v>
      </c>
      <c r="J78" s="24">
        <v>0</v>
      </c>
      <c r="K78" s="24">
        <v>1</v>
      </c>
      <c r="L78" s="24">
        <v>0</v>
      </c>
      <c r="M78" s="24">
        <v>1</v>
      </c>
    </row>
    <row r="79" spans="2:13" ht="14" x14ac:dyDescent="0.2">
      <c r="B79" s="24">
        <v>31</v>
      </c>
      <c r="C79" s="24">
        <v>50</v>
      </c>
      <c r="D79" s="24">
        <v>4</v>
      </c>
      <c r="E79" s="24">
        <v>1.5</v>
      </c>
      <c r="F79" s="24">
        <v>1</v>
      </c>
      <c r="G79" s="24">
        <v>0</v>
      </c>
      <c r="H79" s="24">
        <v>0</v>
      </c>
      <c r="I79" s="24">
        <v>0</v>
      </c>
      <c r="J79" s="24">
        <v>0</v>
      </c>
      <c r="K79" s="24">
        <v>1</v>
      </c>
      <c r="L79" s="24">
        <v>0</v>
      </c>
      <c r="M79" s="24">
        <v>0</v>
      </c>
    </row>
    <row r="80" spans="2:13" ht="14" x14ac:dyDescent="0.2">
      <c r="B80" s="24">
        <v>25</v>
      </c>
      <c r="C80" s="24">
        <v>41</v>
      </c>
      <c r="D80" s="24">
        <v>3</v>
      </c>
      <c r="E80" s="24">
        <v>1</v>
      </c>
      <c r="F80" s="24">
        <v>0</v>
      </c>
      <c r="G80" s="24">
        <v>0</v>
      </c>
      <c r="H80" s="24">
        <v>0</v>
      </c>
      <c r="I80" s="24">
        <v>0</v>
      </c>
      <c r="J80" s="24">
        <v>0</v>
      </c>
      <c r="K80" s="24">
        <v>1</v>
      </c>
      <c r="L80" s="24">
        <v>0</v>
      </c>
      <c r="M80" s="24">
        <v>0</v>
      </c>
    </row>
    <row r="81" spans="2:13" ht="14" x14ac:dyDescent="0.2">
      <c r="B81" s="24">
        <v>24</v>
      </c>
      <c r="C81" s="24">
        <v>130</v>
      </c>
      <c r="D81" s="24">
        <v>1</v>
      </c>
      <c r="E81" s="24">
        <v>1</v>
      </c>
      <c r="F81" s="24">
        <v>1</v>
      </c>
      <c r="G81" s="24">
        <v>0</v>
      </c>
      <c r="H81" s="24">
        <v>0</v>
      </c>
      <c r="I81" s="24">
        <v>0</v>
      </c>
      <c r="J81" s="24">
        <v>0</v>
      </c>
      <c r="K81" s="24">
        <v>0</v>
      </c>
      <c r="L81" s="24">
        <v>0</v>
      </c>
      <c r="M81" s="24">
        <v>0</v>
      </c>
    </row>
    <row r="82" spans="2:13" ht="14" x14ac:dyDescent="0.2">
      <c r="B82" s="24">
        <v>39</v>
      </c>
      <c r="C82" s="24">
        <v>182</v>
      </c>
      <c r="D82" s="24">
        <v>1</v>
      </c>
      <c r="E82" s="24">
        <v>1.2</v>
      </c>
      <c r="F82" s="24">
        <v>0</v>
      </c>
      <c r="G82" s="24">
        <v>1</v>
      </c>
      <c r="H82" s="24">
        <v>547</v>
      </c>
      <c r="I82" s="24">
        <v>0</v>
      </c>
      <c r="J82" s="24">
        <v>0</v>
      </c>
      <c r="K82" s="24">
        <v>1</v>
      </c>
      <c r="L82" s="24">
        <v>0</v>
      </c>
      <c r="M82" s="24">
        <v>1</v>
      </c>
    </row>
    <row r="83" spans="2:13" ht="14" x14ac:dyDescent="0.2">
      <c r="B83" s="24">
        <v>34</v>
      </c>
      <c r="C83" s="24">
        <v>85</v>
      </c>
      <c r="D83" s="24">
        <v>2</v>
      </c>
      <c r="E83" s="24">
        <v>2</v>
      </c>
      <c r="F83" s="24">
        <v>1</v>
      </c>
      <c r="G83" s="24">
        <v>0</v>
      </c>
      <c r="H83" s="24">
        <v>0</v>
      </c>
      <c r="I83" s="24">
        <v>0</v>
      </c>
      <c r="J83" s="24">
        <v>0</v>
      </c>
      <c r="K83" s="24">
        <v>1</v>
      </c>
      <c r="L83" s="24">
        <v>0</v>
      </c>
      <c r="M83" s="24">
        <v>0</v>
      </c>
    </row>
    <row r="84" spans="2:13" ht="14" x14ac:dyDescent="0.2">
      <c r="B84" s="24">
        <v>24</v>
      </c>
      <c r="C84" s="24">
        <v>82</v>
      </c>
      <c r="D84" s="24">
        <v>1</v>
      </c>
      <c r="E84" s="24">
        <v>2.9</v>
      </c>
      <c r="F84" s="24">
        <v>1</v>
      </c>
      <c r="G84" s="24">
        <v>0</v>
      </c>
      <c r="H84" s="24">
        <v>267</v>
      </c>
      <c r="I84" s="24">
        <v>0</v>
      </c>
      <c r="J84" s="24">
        <v>0</v>
      </c>
      <c r="K84" s="24">
        <v>1</v>
      </c>
      <c r="L84" s="24">
        <v>0</v>
      </c>
      <c r="M84" s="24">
        <v>0</v>
      </c>
    </row>
    <row r="85" spans="2:13" ht="14" x14ac:dyDescent="0.2">
      <c r="B85" s="24">
        <v>32</v>
      </c>
      <c r="C85" s="24">
        <v>73</v>
      </c>
      <c r="D85" s="24">
        <v>2</v>
      </c>
      <c r="E85" s="24">
        <v>0.7</v>
      </c>
      <c r="F85" s="24">
        <v>0</v>
      </c>
      <c r="G85" s="24">
        <v>1</v>
      </c>
      <c r="H85" s="24">
        <v>0</v>
      </c>
      <c r="I85" s="24">
        <v>0</v>
      </c>
      <c r="J85" s="24">
        <v>0</v>
      </c>
      <c r="K85" s="24">
        <v>1</v>
      </c>
      <c r="L85" s="24">
        <v>1</v>
      </c>
      <c r="M85" s="24">
        <v>0</v>
      </c>
    </row>
    <row r="86" spans="2:13" ht="14" x14ac:dyDescent="0.2">
      <c r="B86" s="24">
        <v>39</v>
      </c>
      <c r="C86" s="24">
        <v>160</v>
      </c>
      <c r="D86" s="24">
        <v>4</v>
      </c>
      <c r="E86" s="24">
        <v>3.8</v>
      </c>
      <c r="F86" s="24">
        <v>1</v>
      </c>
      <c r="G86" s="24">
        <v>0</v>
      </c>
      <c r="H86" s="24">
        <v>237</v>
      </c>
      <c r="I86" s="24">
        <v>0</v>
      </c>
      <c r="J86" s="24">
        <v>0</v>
      </c>
      <c r="K86" s="24">
        <v>1</v>
      </c>
      <c r="L86" s="24">
        <v>0</v>
      </c>
      <c r="M86" s="24">
        <v>1</v>
      </c>
    </row>
    <row r="87" spans="2:13" ht="14" x14ac:dyDescent="0.2">
      <c r="B87" s="24">
        <v>29</v>
      </c>
      <c r="C87" s="24">
        <v>132</v>
      </c>
      <c r="D87" s="24">
        <v>3</v>
      </c>
      <c r="E87" s="24">
        <v>5.9</v>
      </c>
      <c r="F87" s="24">
        <v>0</v>
      </c>
      <c r="G87" s="24">
        <v>1</v>
      </c>
      <c r="H87" s="24">
        <v>307</v>
      </c>
      <c r="I87" s="24">
        <v>0</v>
      </c>
      <c r="J87" s="24">
        <v>0</v>
      </c>
      <c r="K87" s="24">
        <v>0</v>
      </c>
      <c r="L87" s="24">
        <v>0</v>
      </c>
      <c r="M87" s="24">
        <v>1</v>
      </c>
    </row>
    <row r="88" spans="2:13" ht="14" x14ac:dyDescent="0.2">
      <c r="B88" s="24">
        <v>26</v>
      </c>
      <c r="C88" s="24">
        <v>134</v>
      </c>
      <c r="D88" s="24">
        <v>4</v>
      </c>
      <c r="E88" s="24">
        <v>4.5</v>
      </c>
      <c r="F88" s="24">
        <v>0</v>
      </c>
      <c r="G88" s="24">
        <v>0</v>
      </c>
      <c r="H88" s="24">
        <v>0</v>
      </c>
      <c r="I88" s="24">
        <v>1</v>
      </c>
      <c r="J88" s="24">
        <v>1</v>
      </c>
      <c r="K88" s="24">
        <v>1</v>
      </c>
      <c r="L88" s="24">
        <v>0</v>
      </c>
      <c r="M88" s="24">
        <v>1</v>
      </c>
    </row>
    <row r="89" spans="2:13" ht="14" x14ac:dyDescent="0.2">
      <c r="B89" s="24">
        <v>37</v>
      </c>
      <c r="C89" s="24">
        <v>45</v>
      </c>
      <c r="D89" s="24">
        <v>2</v>
      </c>
      <c r="E89" s="24">
        <v>0.7</v>
      </c>
      <c r="F89" s="24">
        <v>0</v>
      </c>
      <c r="G89" s="24">
        <v>0</v>
      </c>
      <c r="H89" s="24">
        <v>0</v>
      </c>
      <c r="I89" s="24">
        <v>0</v>
      </c>
      <c r="J89" s="24">
        <v>0</v>
      </c>
      <c r="K89" s="24">
        <v>1</v>
      </c>
      <c r="L89" s="24">
        <v>0</v>
      </c>
      <c r="M89" s="24">
        <v>0</v>
      </c>
    </row>
    <row r="90" spans="2:13" ht="14" x14ac:dyDescent="0.2">
      <c r="B90" s="24">
        <v>28</v>
      </c>
      <c r="C90" s="24">
        <v>122</v>
      </c>
      <c r="D90" s="24">
        <v>1</v>
      </c>
      <c r="E90" s="24">
        <v>3</v>
      </c>
      <c r="F90" s="24">
        <v>0</v>
      </c>
      <c r="G90" s="24">
        <v>0</v>
      </c>
      <c r="H90" s="24">
        <v>115</v>
      </c>
      <c r="I90" s="24">
        <v>0</v>
      </c>
      <c r="J90" s="24">
        <v>0</v>
      </c>
      <c r="K90" s="24">
        <v>1</v>
      </c>
      <c r="L90" s="24">
        <v>0</v>
      </c>
      <c r="M90" s="24">
        <v>1</v>
      </c>
    </row>
    <row r="91" spans="2:13" ht="14" x14ac:dyDescent="0.2">
      <c r="B91" s="24">
        <v>6</v>
      </c>
      <c r="C91" s="24">
        <v>29</v>
      </c>
      <c r="D91" s="24">
        <v>3</v>
      </c>
      <c r="E91" s="24">
        <v>1</v>
      </c>
      <c r="F91" s="24">
        <v>0</v>
      </c>
      <c r="G91" s="24">
        <v>1</v>
      </c>
      <c r="H91" s="24">
        <v>117</v>
      </c>
      <c r="I91" s="24">
        <v>0</v>
      </c>
      <c r="J91" s="24">
        <v>0</v>
      </c>
      <c r="K91" s="24">
        <v>0</v>
      </c>
      <c r="L91" s="24">
        <v>0</v>
      </c>
      <c r="M91" s="24">
        <v>0</v>
      </c>
    </row>
    <row r="92" spans="2:13" ht="14" x14ac:dyDescent="0.2">
      <c r="B92" s="24">
        <v>4</v>
      </c>
      <c r="C92" s="24">
        <v>142</v>
      </c>
      <c r="D92" s="24">
        <v>3</v>
      </c>
      <c r="E92" s="24">
        <v>4.2</v>
      </c>
      <c r="F92" s="24">
        <v>1</v>
      </c>
      <c r="G92" s="24">
        <v>0</v>
      </c>
      <c r="H92" s="24">
        <v>359</v>
      </c>
      <c r="I92" s="24">
        <v>0</v>
      </c>
      <c r="J92" s="24">
        <v>0</v>
      </c>
      <c r="K92" s="24">
        <v>0</v>
      </c>
      <c r="L92" s="24">
        <v>0</v>
      </c>
      <c r="M92" s="24">
        <v>1</v>
      </c>
    </row>
    <row r="93" spans="2:13" ht="14" x14ac:dyDescent="0.2">
      <c r="B93" s="24">
        <v>2</v>
      </c>
      <c r="C93" s="24">
        <v>171</v>
      </c>
      <c r="D93" s="24">
        <v>3</v>
      </c>
      <c r="E93" s="24">
        <v>6</v>
      </c>
      <c r="F93" s="24">
        <v>0</v>
      </c>
      <c r="G93" s="24">
        <v>1</v>
      </c>
      <c r="H93" s="24">
        <v>0</v>
      </c>
      <c r="I93" s="24">
        <v>0</v>
      </c>
      <c r="J93" s="24">
        <v>0</v>
      </c>
      <c r="K93" s="24">
        <v>1</v>
      </c>
      <c r="L93" s="24">
        <v>0</v>
      </c>
      <c r="M93" s="24">
        <v>1</v>
      </c>
    </row>
    <row r="94" spans="2:13" ht="14" x14ac:dyDescent="0.2">
      <c r="B94" s="24">
        <v>37</v>
      </c>
      <c r="C94" s="24">
        <v>110</v>
      </c>
      <c r="D94" s="24">
        <v>1</v>
      </c>
      <c r="E94" s="24">
        <v>4.0999999999999996</v>
      </c>
      <c r="F94" s="24">
        <v>0</v>
      </c>
      <c r="G94" s="24">
        <v>0</v>
      </c>
      <c r="H94" s="24">
        <v>0</v>
      </c>
      <c r="I94" s="24">
        <v>0</v>
      </c>
      <c r="J94" s="24">
        <v>0</v>
      </c>
      <c r="K94" s="24">
        <v>0</v>
      </c>
      <c r="L94" s="24">
        <v>0</v>
      </c>
      <c r="M94" s="24">
        <v>1</v>
      </c>
    </row>
    <row r="95" spans="2:13" ht="14" x14ac:dyDescent="0.2">
      <c r="B95" s="24">
        <v>22</v>
      </c>
      <c r="C95" s="24">
        <v>52</v>
      </c>
      <c r="D95" s="24">
        <v>2</v>
      </c>
      <c r="E95" s="24">
        <v>2.1</v>
      </c>
      <c r="F95" s="24">
        <v>0</v>
      </c>
      <c r="G95" s="24">
        <v>0</v>
      </c>
      <c r="H95" s="24">
        <v>221</v>
      </c>
      <c r="I95" s="24">
        <v>0</v>
      </c>
      <c r="J95" s="24">
        <v>0</v>
      </c>
      <c r="K95" s="24">
        <v>0</v>
      </c>
      <c r="L95" s="24">
        <v>0</v>
      </c>
      <c r="M95" s="24">
        <v>0</v>
      </c>
    </row>
    <row r="96" spans="2:13" ht="14" x14ac:dyDescent="0.2">
      <c r="B96" s="24">
        <v>39</v>
      </c>
      <c r="C96" s="24">
        <v>8</v>
      </c>
      <c r="D96" s="24">
        <v>3</v>
      </c>
      <c r="E96" s="24">
        <v>0.1</v>
      </c>
      <c r="F96" s="24">
        <v>0</v>
      </c>
      <c r="G96" s="24">
        <v>0</v>
      </c>
      <c r="H96" s="24">
        <v>87</v>
      </c>
      <c r="I96" s="24">
        <v>0</v>
      </c>
      <c r="J96" s="24">
        <v>0</v>
      </c>
      <c r="K96" s="24">
        <v>0</v>
      </c>
      <c r="L96" s="24">
        <v>1</v>
      </c>
      <c r="M96" s="24">
        <v>0</v>
      </c>
    </row>
    <row r="97" spans="2:13" ht="14" x14ac:dyDescent="0.2">
      <c r="B97" s="24">
        <v>35</v>
      </c>
      <c r="C97" s="24">
        <v>130</v>
      </c>
      <c r="D97" s="24">
        <v>3</v>
      </c>
      <c r="E97" s="24">
        <v>6.3</v>
      </c>
      <c r="F97" s="24">
        <v>0</v>
      </c>
      <c r="G97" s="24">
        <v>0</v>
      </c>
      <c r="H97" s="24">
        <v>437</v>
      </c>
      <c r="I97" s="24">
        <v>0</v>
      </c>
      <c r="J97" s="24">
        <v>1</v>
      </c>
      <c r="K97" s="24">
        <v>1</v>
      </c>
      <c r="L97" s="24">
        <v>1</v>
      </c>
      <c r="M97" s="24">
        <v>1</v>
      </c>
    </row>
    <row r="98" spans="2:13" ht="14" x14ac:dyDescent="0.2">
      <c r="B98" s="24">
        <v>7</v>
      </c>
      <c r="C98" s="24">
        <v>135</v>
      </c>
      <c r="D98" s="24">
        <v>4</v>
      </c>
      <c r="E98" s="24">
        <v>3.8</v>
      </c>
      <c r="F98" s="24">
        <v>0</v>
      </c>
      <c r="G98" s="24">
        <v>1</v>
      </c>
      <c r="H98" s="24">
        <v>0</v>
      </c>
      <c r="I98" s="24">
        <v>0</v>
      </c>
      <c r="J98" s="24">
        <v>1</v>
      </c>
      <c r="K98" s="24">
        <v>1</v>
      </c>
      <c r="L98" s="24">
        <v>1</v>
      </c>
      <c r="M98" s="24">
        <v>1</v>
      </c>
    </row>
    <row r="99" spans="2:13" ht="14" x14ac:dyDescent="0.2">
      <c r="B99" s="24">
        <v>4</v>
      </c>
      <c r="C99" s="24">
        <v>155</v>
      </c>
      <c r="D99" s="24">
        <v>4</v>
      </c>
      <c r="E99" s="24">
        <v>5.3</v>
      </c>
      <c r="F99" s="24">
        <v>0</v>
      </c>
      <c r="G99" s="24">
        <v>1</v>
      </c>
      <c r="H99" s="24">
        <v>0</v>
      </c>
      <c r="I99" s="24">
        <v>0</v>
      </c>
      <c r="J99" s="24">
        <v>0</v>
      </c>
      <c r="K99" s="24">
        <v>1</v>
      </c>
      <c r="L99" s="24">
        <v>0</v>
      </c>
      <c r="M99" s="24">
        <v>1</v>
      </c>
    </row>
    <row r="100" spans="2:13" ht="14" x14ac:dyDescent="0.2">
      <c r="B100" s="24">
        <v>2</v>
      </c>
      <c r="C100" s="24">
        <v>172</v>
      </c>
      <c r="D100" s="24">
        <v>2</v>
      </c>
      <c r="E100" s="24">
        <v>6.9</v>
      </c>
      <c r="F100" s="24">
        <v>0</v>
      </c>
      <c r="G100" s="24">
        <v>1</v>
      </c>
      <c r="H100" s="24">
        <v>0</v>
      </c>
      <c r="I100" s="24">
        <v>0</v>
      </c>
      <c r="J100" s="24">
        <v>0</v>
      </c>
      <c r="K100" s="24">
        <v>1</v>
      </c>
      <c r="L100" s="24">
        <v>0</v>
      </c>
      <c r="M100" s="24">
        <v>1</v>
      </c>
    </row>
    <row r="101" spans="2:13" ht="14" x14ac:dyDescent="0.2">
      <c r="B101" s="24">
        <v>29</v>
      </c>
      <c r="C101" s="24">
        <v>19</v>
      </c>
      <c r="D101" s="24">
        <v>4</v>
      </c>
      <c r="E101" s="24">
        <v>0.7</v>
      </c>
      <c r="F101" s="24">
        <v>0</v>
      </c>
      <c r="G101" s="24">
        <v>0</v>
      </c>
      <c r="H101" s="24">
        <v>121</v>
      </c>
      <c r="I101" s="24">
        <v>1</v>
      </c>
      <c r="J101" s="24">
        <v>0</v>
      </c>
      <c r="K101" s="24">
        <v>0</v>
      </c>
      <c r="L101" s="24">
        <v>1</v>
      </c>
      <c r="M101" s="24">
        <v>0</v>
      </c>
    </row>
    <row r="102" spans="2:13" ht="14" x14ac:dyDescent="0.2">
      <c r="B102" s="24">
        <v>21</v>
      </c>
      <c r="C102" s="24">
        <v>28</v>
      </c>
      <c r="D102" s="24">
        <v>3</v>
      </c>
      <c r="E102" s="24">
        <v>1.5</v>
      </c>
      <c r="F102" s="24">
        <v>1</v>
      </c>
      <c r="G102" s="24">
        <v>0</v>
      </c>
      <c r="H102" s="24">
        <v>0</v>
      </c>
      <c r="I102" s="24">
        <v>0</v>
      </c>
      <c r="J102" s="24">
        <v>0</v>
      </c>
      <c r="K102" s="24">
        <v>1</v>
      </c>
      <c r="L102" s="24">
        <v>0</v>
      </c>
      <c r="M102" s="24">
        <v>0</v>
      </c>
    </row>
    <row r="103" spans="2:13" ht="14" x14ac:dyDescent="0.2">
      <c r="B103" s="24">
        <v>32</v>
      </c>
      <c r="C103" s="24">
        <v>63</v>
      </c>
      <c r="D103" s="24">
        <v>1</v>
      </c>
      <c r="E103" s="24">
        <v>1.6</v>
      </c>
      <c r="F103" s="24">
        <v>1</v>
      </c>
      <c r="G103" s="24">
        <v>0</v>
      </c>
      <c r="H103" s="24">
        <v>0</v>
      </c>
      <c r="I103" s="24">
        <v>1</v>
      </c>
      <c r="J103" s="24">
        <v>0</v>
      </c>
      <c r="K103" s="24">
        <v>1</v>
      </c>
      <c r="L103" s="24">
        <v>0</v>
      </c>
      <c r="M103" s="24">
        <v>0</v>
      </c>
    </row>
    <row r="104" spans="2:13" ht="14" x14ac:dyDescent="0.2">
      <c r="B104" s="24">
        <v>39</v>
      </c>
      <c r="C104" s="24">
        <v>79</v>
      </c>
      <c r="D104" s="24">
        <v>4</v>
      </c>
      <c r="E104" s="24">
        <v>1.7</v>
      </c>
      <c r="F104" s="24">
        <v>0</v>
      </c>
      <c r="G104" s="24">
        <v>1</v>
      </c>
      <c r="H104" s="24">
        <v>0</v>
      </c>
      <c r="I104" s="24">
        <v>0</v>
      </c>
      <c r="J104" s="24">
        <v>0</v>
      </c>
      <c r="K104" s="24">
        <v>1</v>
      </c>
      <c r="L104" s="24">
        <v>1</v>
      </c>
      <c r="M104" s="24">
        <v>0</v>
      </c>
    </row>
    <row r="105" spans="2:13" ht="14" x14ac:dyDescent="0.2">
      <c r="B105" s="24">
        <v>20</v>
      </c>
      <c r="C105" s="24">
        <v>185</v>
      </c>
      <c r="D105" s="24">
        <v>4</v>
      </c>
      <c r="E105" s="24">
        <v>7.5</v>
      </c>
      <c r="F105" s="24">
        <v>0</v>
      </c>
      <c r="G105" s="24">
        <v>1</v>
      </c>
      <c r="H105" s="24">
        <v>428</v>
      </c>
      <c r="I105" s="24">
        <v>0</v>
      </c>
      <c r="J105" s="24">
        <v>0</v>
      </c>
      <c r="K105" s="24">
        <v>0</v>
      </c>
      <c r="L105" s="24">
        <v>1</v>
      </c>
      <c r="M105" s="24">
        <v>1</v>
      </c>
    </row>
    <row r="106" spans="2:13" ht="14" x14ac:dyDescent="0.2">
      <c r="B106" s="24">
        <v>26</v>
      </c>
      <c r="C106" s="24">
        <v>182</v>
      </c>
      <c r="D106" s="24">
        <v>2</v>
      </c>
      <c r="E106" s="24">
        <v>1.4</v>
      </c>
      <c r="F106" s="24">
        <v>0</v>
      </c>
      <c r="G106" s="24">
        <v>1</v>
      </c>
      <c r="H106" s="24">
        <v>0</v>
      </c>
      <c r="I106" s="24">
        <v>0</v>
      </c>
      <c r="J106" s="24">
        <v>0</v>
      </c>
      <c r="K106" s="24">
        <v>1</v>
      </c>
      <c r="L106" s="24">
        <v>0</v>
      </c>
      <c r="M106" s="24">
        <v>1</v>
      </c>
    </row>
    <row r="107" spans="2:13" ht="14" x14ac:dyDescent="0.2">
      <c r="B107" s="24">
        <v>35</v>
      </c>
      <c r="C107" s="24">
        <v>59</v>
      </c>
      <c r="D107" s="24">
        <v>4</v>
      </c>
      <c r="E107" s="24">
        <v>1.7</v>
      </c>
      <c r="F107" s="24">
        <v>0</v>
      </c>
      <c r="G107" s="24">
        <v>1</v>
      </c>
      <c r="H107" s="24">
        <v>0</v>
      </c>
      <c r="I107" s="24">
        <v>0</v>
      </c>
      <c r="J107" s="24">
        <v>0</v>
      </c>
      <c r="K107" s="24">
        <v>1</v>
      </c>
      <c r="L107" s="24">
        <v>1</v>
      </c>
      <c r="M107" s="24">
        <v>0</v>
      </c>
    </row>
    <row r="108" spans="2:13" ht="14" x14ac:dyDescent="0.2">
      <c r="B108" s="24">
        <v>1</v>
      </c>
      <c r="C108" s="24">
        <v>190</v>
      </c>
      <c r="D108" s="24">
        <v>4</v>
      </c>
      <c r="E108" s="24">
        <v>1.3</v>
      </c>
      <c r="F108" s="24">
        <v>0</v>
      </c>
      <c r="G108" s="24">
        <v>1</v>
      </c>
      <c r="H108" s="24">
        <v>197</v>
      </c>
      <c r="I108" s="24">
        <v>0</v>
      </c>
      <c r="J108" s="24">
        <v>0</v>
      </c>
      <c r="K108" s="24">
        <v>1</v>
      </c>
      <c r="L108" s="24">
        <v>0</v>
      </c>
      <c r="M108" s="24">
        <v>1</v>
      </c>
    </row>
    <row r="109" spans="2:13" ht="14" x14ac:dyDescent="0.2">
      <c r="B109" s="24">
        <v>26</v>
      </c>
      <c r="C109" s="24">
        <v>55</v>
      </c>
      <c r="D109" s="24">
        <v>1</v>
      </c>
      <c r="E109" s="24">
        <v>1.3</v>
      </c>
      <c r="F109" s="24">
        <v>0</v>
      </c>
      <c r="G109" s="24">
        <v>1</v>
      </c>
      <c r="H109" s="24">
        <v>236</v>
      </c>
      <c r="I109" s="24">
        <v>0</v>
      </c>
      <c r="J109" s="24">
        <v>0</v>
      </c>
      <c r="K109" s="24">
        <v>0</v>
      </c>
      <c r="L109" s="24">
        <v>1</v>
      </c>
      <c r="M109" s="24">
        <v>0</v>
      </c>
    </row>
    <row r="110" spans="2:13" ht="14" x14ac:dyDescent="0.2">
      <c r="B110" s="24">
        <v>16</v>
      </c>
      <c r="C110" s="24">
        <v>118</v>
      </c>
      <c r="D110" s="24">
        <v>2</v>
      </c>
      <c r="E110" s="24">
        <v>3.3</v>
      </c>
      <c r="F110" s="24">
        <v>1</v>
      </c>
      <c r="G110" s="24">
        <v>0</v>
      </c>
      <c r="H110" s="24">
        <v>0</v>
      </c>
      <c r="I110" s="24">
        <v>0</v>
      </c>
      <c r="J110" s="24">
        <v>0</v>
      </c>
      <c r="K110" s="24">
        <v>1</v>
      </c>
      <c r="L110" s="24">
        <v>0</v>
      </c>
      <c r="M110" s="24">
        <v>0</v>
      </c>
    </row>
    <row r="111" spans="2:13" ht="14" x14ac:dyDescent="0.2">
      <c r="B111" s="24">
        <v>28</v>
      </c>
      <c r="C111" s="24">
        <v>165</v>
      </c>
      <c r="D111" s="24">
        <v>1</v>
      </c>
      <c r="E111" s="24">
        <v>4.0999999999999996</v>
      </c>
      <c r="F111" s="24">
        <v>0</v>
      </c>
      <c r="G111" s="24">
        <v>0</v>
      </c>
      <c r="H111" s="24">
        <v>0</v>
      </c>
      <c r="I111" s="24">
        <v>0</v>
      </c>
      <c r="J111" s="24">
        <v>1</v>
      </c>
      <c r="K111" s="24">
        <v>1</v>
      </c>
      <c r="L111" s="24">
        <v>1</v>
      </c>
      <c r="M111" s="24">
        <v>1</v>
      </c>
    </row>
    <row r="112" spans="2:13" ht="14" x14ac:dyDescent="0.2">
      <c r="B112" s="24">
        <v>30</v>
      </c>
      <c r="C112" s="24">
        <v>111</v>
      </c>
      <c r="D112" s="24">
        <v>4</v>
      </c>
      <c r="E112" s="24">
        <v>0.3</v>
      </c>
      <c r="F112" s="24">
        <v>1</v>
      </c>
      <c r="G112" s="24">
        <v>0</v>
      </c>
      <c r="H112" s="24">
        <v>372</v>
      </c>
      <c r="I112" s="24">
        <v>1</v>
      </c>
      <c r="J112" s="24">
        <v>1</v>
      </c>
      <c r="K112" s="24">
        <v>1</v>
      </c>
      <c r="L112" s="24">
        <v>0</v>
      </c>
      <c r="M112" s="24">
        <v>1</v>
      </c>
    </row>
    <row r="113" spans="2:13" ht="14" x14ac:dyDescent="0.2">
      <c r="B113" s="24">
        <v>26</v>
      </c>
      <c r="C113" s="24">
        <v>135</v>
      </c>
      <c r="D113" s="24">
        <v>2</v>
      </c>
      <c r="E113" s="24">
        <v>4.5999999999999996</v>
      </c>
      <c r="F113" s="24">
        <v>0</v>
      </c>
      <c r="G113" s="24">
        <v>0</v>
      </c>
      <c r="H113" s="24">
        <v>91</v>
      </c>
      <c r="I113" s="24">
        <v>0</v>
      </c>
      <c r="J113" s="24">
        <v>0</v>
      </c>
      <c r="K113" s="24">
        <v>1</v>
      </c>
      <c r="L113" s="24">
        <v>0</v>
      </c>
      <c r="M113" s="24">
        <v>1</v>
      </c>
    </row>
    <row r="114" spans="2:13" ht="14" x14ac:dyDescent="0.2">
      <c r="B114" s="24">
        <v>22</v>
      </c>
      <c r="C114" s="24">
        <v>28</v>
      </c>
      <c r="D114" s="24">
        <v>1</v>
      </c>
      <c r="E114" s="24">
        <v>1</v>
      </c>
      <c r="F114" s="24">
        <v>1</v>
      </c>
      <c r="G114" s="24">
        <v>0</v>
      </c>
      <c r="H114" s="24">
        <v>84</v>
      </c>
      <c r="I114" s="24">
        <v>0</v>
      </c>
      <c r="J114" s="24">
        <v>0</v>
      </c>
      <c r="K114" s="24">
        <v>1</v>
      </c>
      <c r="L114" s="24">
        <v>1</v>
      </c>
      <c r="M114" s="24">
        <v>0</v>
      </c>
    </row>
    <row r="115" spans="2:13" ht="14" x14ac:dyDescent="0.2">
      <c r="B115" s="24">
        <v>3</v>
      </c>
      <c r="C115" s="24">
        <v>172</v>
      </c>
      <c r="D115" s="24">
        <v>4</v>
      </c>
      <c r="E115" s="24">
        <v>4.4000000000000004</v>
      </c>
      <c r="F115" s="24">
        <v>1</v>
      </c>
      <c r="G115" s="24">
        <v>0</v>
      </c>
      <c r="H115" s="24">
        <v>0</v>
      </c>
      <c r="I115" s="24">
        <v>0</v>
      </c>
      <c r="J115" s="24">
        <v>0</v>
      </c>
      <c r="K115" s="24">
        <v>0</v>
      </c>
      <c r="L115" s="24">
        <v>0</v>
      </c>
      <c r="M115" s="24">
        <v>1</v>
      </c>
    </row>
    <row r="116" spans="2:13" ht="14" x14ac:dyDescent="0.2">
      <c r="B116" s="24">
        <v>12</v>
      </c>
      <c r="C116" s="24">
        <v>109</v>
      </c>
      <c r="D116" s="24">
        <v>3</v>
      </c>
      <c r="E116" s="24">
        <v>0.5</v>
      </c>
      <c r="F116" s="24">
        <v>0</v>
      </c>
      <c r="G116" s="24">
        <v>0</v>
      </c>
      <c r="H116" s="24">
        <v>0</v>
      </c>
      <c r="I116" s="24">
        <v>1</v>
      </c>
      <c r="J116" s="24">
        <v>1</v>
      </c>
      <c r="K116" s="24">
        <v>1</v>
      </c>
      <c r="L116" s="24">
        <v>0</v>
      </c>
      <c r="M116" s="24">
        <v>1</v>
      </c>
    </row>
    <row r="117" spans="2:13" ht="14" x14ac:dyDescent="0.2">
      <c r="B117" s="24">
        <v>8</v>
      </c>
      <c r="C117" s="24">
        <v>104</v>
      </c>
      <c r="D117" s="24">
        <v>2</v>
      </c>
      <c r="E117" s="24">
        <v>3.7</v>
      </c>
      <c r="F117" s="24">
        <v>1</v>
      </c>
      <c r="G117" s="24">
        <v>0</v>
      </c>
      <c r="H117" s="24">
        <v>0</v>
      </c>
      <c r="I117" s="24">
        <v>0</v>
      </c>
      <c r="J117" s="24">
        <v>0</v>
      </c>
      <c r="K117" s="24">
        <v>0</v>
      </c>
      <c r="L117" s="24">
        <v>1</v>
      </c>
      <c r="M117" s="24">
        <v>1</v>
      </c>
    </row>
    <row r="118" spans="2:13" ht="14" x14ac:dyDescent="0.2">
      <c r="B118" s="24">
        <v>9</v>
      </c>
      <c r="C118" s="24">
        <v>164</v>
      </c>
      <c r="D118" s="24">
        <v>1</v>
      </c>
      <c r="E118" s="24">
        <v>6</v>
      </c>
      <c r="F118" s="24">
        <v>0</v>
      </c>
      <c r="G118" s="24">
        <v>0</v>
      </c>
      <c r="H118" s="24">
        <v>0</v>
      </c>
      <c r="I118" s="24">
        <v>0</v>
      </c>
      <c r="J118" s="24">
        <v>0</v>
      </c>
      <c r="K118" s="24">
        <v>1</v>
      </c>
      <c r="L118" s="24">
        <v>0</v>
      </c>
      <c r="M118" s="24">
        <v>1</v>
      </c>
    </row>
    <row r="119" spans="2:13" ht="14" x14ac:dyDescent="0.2">
      <c r="B119" s="24">
        <v>19</v>
      </c>
      <c r="C119" s="24">
        <v>169</v>
      </c>
      <c r="D119" s="24">
        <v>3</v>
      </c>
      <c r="E119" s="24">
        <v>5.6666666666666696</v>
      </c>
      <c r="F119" s="24">
        <v>0</v>
      </c>
      <c r="G119" s="24">
        <v>0</v>
      </c>
      <c r="H119" s="24">
        <v>167</v>
      </c>
      <c r="I119" s="24">
        <v>0</v>
      </c>
      <c r="J119" s="24">
        <v>1</v>
      </c>
      <c r="K119" s="24">
        <v>0</v>
      </c>
      <c r="L119" s="24">
        <v>1</v>
      </c>
      <c r="M119" s="24">
        <v>1</v>
      </c>
    </row>
    <row r="120" spans="2:13" ht="14" x14ac:dyDescent="0.2">
      <c r="B120" s="24">
        <v>36</v>
      </c>
      <c r="C120" s="24">
        <v>193</v>
      </c>
      <c r="D120" s="24">
        <v>1</v>
      </c>
      <c r="E120" s="24">
        <v>4.7</v>
      </c>
      <c r="F120" s="24">
        <v>0</v>
      </c>
      <c r="G120" s="24">
        <v>0</v>
      </c>
      <c r="H120" s="24">
        <v>203</v>
      </c>
      <c r="I120" s="24">
        <v>0</v>
      </c>
      <c r="J120" s="24">
        <v>0</v>
      </c>
      <c r="K120" s="24">
        <v>1</v>
      </c>
      <c r="L120" s="24">
        <v>0</v>
      </c>
      <c r="M120" s="24">
        <v>1</v>
      </c>
    </row>
    <row r="121" spans="2:13" ht="14" x14ac:dyDescent="0.2">
      <c r="B121" s="24">
        <v>29</v>
      </c>
      <c r="C121" s="24">
        <v>111</v>
      </c>
      <c r="D121" s="24">
        <v>2</v>
      </c>
      <c r="E121" s="24">
        <v>3.6</v>
      </c>
      <c r="F121" s="24">
        <v>0</v>
      </c>
      <c r="G121" s="24">
        <v>0</v>
      </c>
      <c r="H121" s="24">
        <v>0</v>
      </c>
      <c r="I121" s="24">
        <v>0</v>
      </c>
      <c r="J121" s="24">
        <v>0</v>
      </c>
      <c r="K121" s="24">
        <v>0</v>
      </c>
      <c r="L121" s="24">
        <v>1</v>
      </c>
      <c r="M121" s="24">
        <v>1</v>
      </c>
    </row>
    <row r="122" spans="2:13" ht="14" x14ac:dyDescent="0.2">
      <c r="B122" s="24">
        <v>16</v>
      </c>
      <c r="C122" s="24">
        <v>114</v>
      </c>
      <c r="D122" s="24">
        <v>4</v>
      </c>
      <c r="E122" s="24">
        <v>3.5</v>
      </c>
      <c r="F122" s="24">
        <v>1</v>
      </c>
      <c r="G122" s="24">
        <v>0</v>
      </c>
      <c r="H122" s="24">
        <v>0</v>
      </c>
      <c r="I122" s="24">
        <v>0</v>
      </c>
      <c r="J122" s="24">
        <v>0</v>
      </c>
      <c r="K122" s="24">
        <v>0</v>
      </c>
      <c r="L122" s="24">
        <v>1</v>
      </c>
      <c r="M122" s="24">
        <v>1</v>
      </c>
    </row>
    <row r="123" spans="2:13" ht="14" x14ac:dyDescent="0.2">
      <c r="B123" s="24">
        <v>1</v>
      </c>
      <c r="C123" s="24">
        <v>55</v>
      </c>
      <c r="D123" s="24">
        <v>3</v>
      </c>
      <c r="E123" s="24">
        <v>2.6</v>
      </c>
      <c r="F123" s="24">
        <v>0</v>
      </c>
      <c r="G123" s="24">
        <v>0</v>
      </c>
      <c r="H123" s="24">
        <v>113</v>
      </c>
      <c r="I123" s="24">
        <v>0</v>
      </c>
      <c r="J123" s="24">
        <v>0</v>
      </c>
      <c r="K123" s="24">
        <v>0</v>
      </c>
      <c r="L123" s="24">
        <v>1</v>
      </c>
      <c r="M123" s="24">
        <v>0</v>
      </c>
    </row>
    <row r="124" spans="2:13" ht="14" x14ac:dyDescent="0.2">
      <c r="B124" s="24">
        <v>37</v>
      </c>
      <c r="C124" s="24">
        <v>83</v>
      </c>
      <c r="D124" s="24">
        <v>3</v>
      </c>
      <c r="E124" s="24">
        <v>1.8</v>
      </c>
      <c r="F124" s="24">
        <v>0</v>
      </c>
      <c r="G124" s="24">
        <v>1</v>
      </c>
      <c r="H124" s="24">
        <v>187</v>
      </c>
      <c r="I124" s="24">
        <v>1</v>
      </c>
      <c r="J124" s="24">
        <v>0</v>
      </c>
      <c r="K124" s="24">
        <v>0</v>
      </c>
      <c r="L124" s="24">
        <v>0</v>
      </c>
      <c r="M124" s="24">
        <v>0</v>
      </c>
    </row>
    <row r="125" spans="2:13" ht="14" x14ac:dyDescent="0.2">
      <c r="B125" s="24">
        <v>36</v>
      </c>
      <c r="C125" s="24">
        <v>89</v>
      </c>
      <c r="D125" s="24">
        <v>2</v>
      </c>
      <c r="E125" s="24">
        <v>2.8</v>
      </c>
      <c r="F125" s="24">
        <v>1</v>
      </c>
      <c r="G125" s="24">
        <v>0</v>
      </c>
      <c r="H125" s="24">
        <v>0</v>
      </c>
      <c r="I125" s="24">
        <v>0</v>
      </c>
      <c r="J125" s="24">
        <v>0</v>
      </c>
      <c r="K125" s="24">
        <v>1</v>
      </c>
      <c r="L125" s="24">
        <v>0</v>
      </c>
      <c r="M125" s="24">
        <v>0</v>
      </c>
    </row>
    <row r="126" spans="2:13" ht="14" x14ac:dyDescent="0.2">
      <c r="B126" s="24">
        <v>16</v>
      </c>
      <c r="C126" s="24">
        <v>82</v>
      </c>
      <c r="D126" s="24">
        <v>1</v>
      </c>
      <c r="E126" s="24">
        <v>3.6</v>
      </c>
      <c r="F126" s="24">
        <v>0</v>
      </c>
      <c r="G126" s="24">
        <v>1</v>
      </c>
      <c r="H126" s="24">
        <v>0</v>
      </c>
      <c r="I126" s="24">
        <v>0</v>
      </c>
      <c r="J126" s="24">
        <v>0</v>
      </c>
      <c r="K126" s="24">
        <v>0</v>
      </c>
      <c r="L126" s="24">
        <v>0</v>
      </c>
      <c r="M126" s="24">
        <v>0</v>
      </c>
    </row>
    <row r="127" spans="2:13" ht="14" x14ac:dyDescent="0.2">
      <c r="B127" s="24">
        <v>30</v>
      </c>
      <c r="C127" s="24">
        <v>64</v>
      </c>
      <c r="D127" s="24">
        <v>2</v>
      </c>
      <c r="E127" s="24">
        <v>2.2999999999999998</v>
      </c>
      <c r="F127" s="24">
        <v>0</v>
      </c>
      <c r="G127" s="24">
        <v>0</v>
      </c>
      <c r="H127" s="24">
        <v>0</v>
      </c>
      <c r="I127" s="24">
        <v>0</v>
      </c>
      <c r="J127" s="24">
        <v>0</v>
      </c>
      <c r="K127" s="24">
        <v>0</v>
      </c>
      <c r="L127" s="24">
        <v>0</v>
      </c>
      <c r="M127" s="24">
        <v>0</v>
      </c>
    </row>
    <row r="128" spans="2:13" ht="14" x14ac:dyDescent="0.2">
      <c r="B128" s="24">
        <v>23</v>
      </c>
      <c r="C128" s="24">
        <v>82</v>
      </c>
      <c r="D128" s="24">
        <v>2</v>
      </c>
      <c r="E128" s="24">
        <v>2.4</v>
      </c>
      <c r="F128" s="24">
        <v>0</v>
      </c>
      <c r="G128" s="24">
        <v>1</v>
      </c>
      <c r="H128" s="24">
        <v>0</v>
      </c>
      <c r="I128" s="24">
        <v>0</v>
      </c>
      <c r="J128" s="24">
        <v>0</v>
      </c>
      <c r="K128" s="24">
        <v>0</v>
      </c>
      <c r="L128" s="24">
        <v>0</v>
      </c>
      <c r="M128" s="24">
        <v>0</v>
      </c>
    </row>
    <row r="129" spans="2:13" ht="14" x14ac:dyDescent="0.2">
      <c r="B129" s="24">
        <v>26</v>
      </c>
      <c r="C129" s="24">
        <v>121</v>
      </c>
      <c r="D129" s="24">
        <v>1</v>
      </c>
      <c r="E129" s="24">
        <v>7.3</v>
      </c>
      <c r="F129" s="24">
        <v>1</v>
      </c>
      <c r="G129" s="24">
        <v>0</v>
      </c>
      <c r="H129" s="24">
        <v>167</v>
      </c>
      <c r="I129" s="24">
        <v>0</v>
      </c>
      <c r="J129" s="24">
        <v>0</v>
      </c>
      <c r="K129" s="24">
        <v>1</v>
      </c>
      <c r="L129" s="24">
        <v>0</v>
      </c>
      <c r="M129" s="24">
        <v>0</v>
      </c>
    </row>
    <row r="130" spans="2:13" ht="14" x14ac:dyDescent="0.2">
      <c r="B130" s="24">
        <v>32</v>
      </c>
      <c r="C130" s="24">
        <v>180</v>
      </c>
      <c r="D130" s="24">
        <v>1</v>
      </c>
      <c r="E130" s="24">
        <v>2.9</v>
      </c>
      <c r="F130" s="24">
        <v>1</v>
      </c>
      <c r="G130" s="24">
        <v>0</v>
      </c>
      <c r="H130" s="24">
        <v>0</v>
      </c>
      <c r="I130" s="24">
        <v>0</v>
      </c>
      <c r="J130" s="24">
        <v>0</v>
      </c>
      <c r="K130" s="24">
        <v>0</v>
      </c>
      <c r="L130" s="24">
        <v>1</v>
      </c>
      <c r="M130" s="24">
        <v>0</v>
      </c>
    </row>
    <row r="131" spans="2:13" ht="14" x14ac:dyDescent="0.2">
      <c r="B131" s="24">
        <v>11</v>
      </c>
      <c r="C131" s="24">
        <v>43</v>
      </c>
      <c r="D131" s="24">
        <v>1</v>
      </c>
      <c r="E131" s="24">
        <v>2</v>
      </c>
      <c r="F131" s="24">
        <v>1</v>
      </c>
      <c r="G131" s="24">
        <v>0</v>
      </c>
      <c r="H131" s="24">
        <v>0</v>
      </c>
      <c r="I131" s="24">
        <v>0</v>
      </c>
      <c r="J131" s="24">
        <v>0</v>
      </c>
      <c r="K131" s="24">
        <v>1</v>
      </c>
      <c r="L131" s="24">
        <v>0</v>
      </c>
      <c r="M131" s="24">
        <v>0</v>
      </c>
    </row>
    <row r="132" spans="2:13" ht="14" x14ac:dyDescent="0.2">
      <c r="B132" s="24">
        <v>25</v>
      </c>
      <c r="C132" s="24">
        <v>130</v>
      </c>
      <c r="D132" s="24">
        <v>1</v>
      </c>
      <c r="E132" s="24">
        <v>1.1000000000000001</v>
      </c>
      <c r="F132" s="24">
        <v>0</v>
      </c>
      <c r="G132" s="24">
        <v>1</v>
      </c>
      <c r="H132" s="24">
        <v>0</v>
      </c>
      <c r="I132" s="24">
        <v>0</v>
      </c>
      <c r="J132" s="24">
        <v>0</v>
      </c>
      <c r="K132" s="24">
        <v>1</v>
      </c>
      <c r="L132" s="24">
        <v>0</v>
      </c>
      <c r="M132" s="24">
        <v>1</v>
      </c>
    </row>
    <row r="133" spans="2:13" ht="14" x14ac:dyDescent="0.2">
      <c r="B133" s="24">
        <v>11</v>
      </c>
      <c r="C133" s="24">
        <v>123</v>
      </c>
      <c r="D133" s="24">
        <v>1</v>
      </c>
      <c r="E133" s="24">
        <v>2.2999999999999998</v>
      </c>
      <c r="F133" s="24">
        <v>0</v>
      </c>
      <c r="G133" s="24">
        <v>1</v>
      </c>
      <c r="H133" s="24">
        <v>0</v>
      </c>
      <c r="I133" s="24">
        <v>1</v>
      </c>
      <c r="J133" s="24">
        <v>1</v>
      </c>
      <c r="K133" s="24">
        <v>1</v>
      </c>
      <c r="L133" s="24">
        <v>0</v>
      </c>
      <c r="M133" s="24">
        <v>1</v>
      </c>
    </row>
    <row r="134" spans="2:13" ht="14" x14ac:dyDescent="0.2">
      <c r="B134" s="24">
        <v>33</v>
      </c>
      <c r="C134" s="24">
        <v>34</v>
      </c>
      <c r="D134" s="24">
        <v>2</v>
      </c>
      <c r="E134" s="24">
        <v>0.3</v>
      </c>
      <c r="F134" s="24">
        <v>1</v>
      </c>
      <c r="G134" s="24">
        <v>0</v>
      </c>
      <c r="H134" s="24">
        <v>0</v>
      </c>
      <c r="I134" s="24">
        <v>0</v>
      </c>
      <c r="J134" s="24">
        <v>0</v>
      </c>
      <c r="K134" s="24">
        <v>0</v>
      </c>
      <c r="L134" s="24">
        <v>0</v>
      </c>
      <c r="M134" s="24">
        <v>0</v>
      </c>
    </row>
    <row r="135" spans="2:13" ht="14" x14ac:dyDescent="0.2">
      <c r="B135" s="24">
        <v>18</v>
      </c>
      <c r="C135" s="24">
        <v>75</v>
      </c>
      <c r="D135" s="24">
        <v>2</v>
      </c>
      <c r="E135" s="24">
        <v>3.5</v>
      </c>
      <c r="F135" s="24">
        <v>1</v>
      </c>
      <c r="G135" s="24">
        <v>0</v>
      </c>
      <c r="H135" s="24">
        <v>0</v>
      </c>
      <c r="I135" s="24">
        <v>0</v>
      </c>
      <c r="J135" s="24">
        <v>0</v>
      </c>
      <c r="K135" s="24">
        <v>1</v>
      </c>
      <c r="L135" s="24">
        <v>0</v>
      </c>
      <c r="M135" s="24">
        <v>1</v>
      </c>
    </row>
    <row r="136" spans="2:13" ht="14" x14ac:dyDescent="0.2">
      <c r="B136" s="24">
        <v>16</v>
      </c>
      <c r="C136" s="24">
        <v>73</v>
      </c>
      <c r="D136" s="24">
        <v>3</v>
      </c>
      <c r="E136" s="24">
        <v>3</v>
      </c>
      <c r="F136" s="24">
        <v>1</v>
      </c>
      <c r="G136" s="24">
        <v>0</v>
      </c>
      <c r="H136" s="24">
        <v>0</v>
      </c>
      <c r="I136" s="24">
        <v>0</v>
      </c>
      <c r="J136" s="24">
        <v>0</v>
      </c>
      <c r="K136" s="24">
        <v>1</v>
      </c>
      <c r="L136" s="24">
        <v>0</v>
      </c>
      <c r="M136" s="24">
        <v>0</v>
      </c>
    </row>
    <row r="137" spans="2:13" ht="14" x14ac:dyDescent="0.2">
      <c r="B137" s="24">
        <v>20</v>
      </c>
      <c r="C137" s="24">
        <v>130</v>
      </c>
      <c r="D137" s="24">
        <v>1</v>
      </c>
      <c r="E137" s="24">
        <v>5</v>
      </c>
      <c r="F137" s="24">
        <v>1</v>
      </c>
      <c r="G137" s="24">
        <v>0</v>
      </c>
      <c r="H137" s="24">
        <v>0</v>
      </c>
      <c r="I137" s="24">
        <v>0</v>
      </c>
      <c r="J137" s="24">
        <v>0</v>
      </c>
      <c r="K137" s="24">
        <v>0</v>
      </c>
      <c r="L137" s="24">
        <v>1</v>
      </c>
      <c r="M137" s="24">
        <v>0</v>
      </c>
    </row>
    <row r="138" spans="2:13" ht="14" x14ac:dyDescent="0.2">
      <c r="B138" s="24">
        <v>40</v>
      </c>
      <c r="C138" s="24">
        <v>95</v>
      </c>
      <c r="D138" s="24">
        <v>3</v>
      </c>
      <c r="E138" s="24">
        <v>3.7</v>
      </c>
      <c r="F138" s="24">
        <v>0</v>
      </c>
      <c r="G138" s="24">
        <v>1</v>
      </c>
      <c r="H138" s="24">
        <v>138</v>
      </c>
      <c r="I138" s="24">
        <v>0</v>
      </c>
      <c r="J138" s="24">
        <v>0</v>
      </c>
      <c r="K138" s="24">
        <v>0</v>
      </c>
      <c r="L138" s="24">
        <v>1</v>
      </c>
      <c r="M138" s="24">
        <v>1</v>
      </c>
    </row>
    <row r="139" spans="2:13" ht="14" x14ac:dyDescent="0.2">
      <c r="B139" s="24">
        <v>19</v>
      </c>
      <c r="C139" s="24">
        <v>28</v>
      </c>
      <c r="D139" s="24">
        <v>4</v>
      </c>
      <c r="E139" s="24">
        <v>0.3</v>
      </c>
      <c r="F139" s="24">
        <v>1</v>
      </c>
      <c r="G139" s="24">
        <v>0</v>
      </c>
      <c r="H139" s="24">
        <v>87</v>
      </c>
      <c r="I139" s="24">
        <v>0</v>
      </c>
      <c r="J139" s="24">
        <v>0</v>
      </c>
      <c r="K139" s="24">
        <v>0</v>
      </c>
      <c r="L139" s="24">
        <v>0</v>
      </c>
      <c r="M139" s="24">
        <v>0</v>
      </c>
    </row>
    <row r="140" spans="2:13" ht="14" x14ac:dyDescent="0.2">
      <c r="B140" s="24">
        <v>9</v>
      </c>
      <c r="C140" s="24">
        <v>191</v>
      </c>
      <c r="D140" s="24">
        <v>1</v>
      </c>
      <c r="E140" s="24">
        <v>4.8</v>
      </c>
      <c r="F140" s="24">
        <v>0</v>
      </c>
      <c r="G140" s="24">
        <v>0</v>
      </c>
      <c r="H140" s="24">
        <v>0</v>
      </c>
      <c r="I140" s="24">
        <v>0</v>
      </c>
      <c r="J140" s="24">
        <v>1</v>
      </c>
      <c r="K140" s="24">
        <v>1</v>
      </c>
      <c r="L140" s="24">
        <v>1</v>
      </c>
      <c r="M140" s="24">
        <v>1</v>
      </c>
    </row>
    <row r="141" spans="2:13" ht="14" x14ac:dyDescent="0.2">
      <c r="B141" s="24">
        <v>29</v>
      </c>
      <c r="C141" s="24">
        <v>98</v>
      </c>
      <c r="D141" s="24">
        <v>1</v>
      </c>
      <c r="E141" s="24">
        <v>0.1</v>
      </c>
      <c r="F141" s="24">
        <v>0</v>
      </c>
      <c r="G141" s="24">
        <v>0</v>
      </c>
      <c r="H141" s="24">
        <v>0</v>
      </c>
      <c r="I141" s="24">
        <v>0</v>
      </c>
      <c r="J141" s="24">
        <v>0</v>
      </c>
      <c r="K141" s="24">
        <v>0</v>
      </c>
      <c r="L141" s="24">
        <v>0</v>
      </c>
      <c r="M141" s="24">
        <v>0</v>
      </c>
    </row>
    <row r="142" spans="2:13" ht="14" x14ac:dyDescent="0.2">
      <c r="B142" s="24">
        <v>3</v>
      </c>
      <c r="C142" s="24">
        <v>175</v>
      </c>
      <c r="D142" s="24">
        <v>3</v>
      </c>
      <c r="E142" s="24">
        <v>3.3</v>
      </c>
      <c r="F142" s="24">
        <v>0</v>
      </c>
      <c r="G142" s="24">
        <v>0</v>
      </c>
      <c r="H142" s="24">
        <v>329</v>
      </c>
      <c r="I142" s="24">
        <v>0</v>
      </c>
      <c r="J142" s="24">
        <v>0</v>
      </c>
      <c r="K142" s="24">
        <v>1</v>
      </c>
      <c r="L142" s="24">
        <v>0</v>
      </c>
      <c r="M142" s="24">
        <v>1</v>
      </c>
    </row>
    <row r="143" spans="2:13" ht="14" x14ac:dyDescent="0.2">
      <c r="B143" s="24">
        <v>7</v>
      </c>
      <c r="C143" s="24">
        <v>83</v>
      </c>
      <c r="D143" s="24">
        <v>1</v>
      </c>
      <c r="E143" s="24">
        <v>2.6</v>
      </c>
      <c r="F143" s="24">
        <v>0</v>
      </c>
      <c r="G143" s="24">
        <v>1</v>
      </c>
      <c r="H143" s="24">
        <v>0</v>
      </c>
      <c r="I143" s="24">
        <v>1</v>
      </c>
      <c r="J143" s="24">
        <v>0</v>
      </c>
      <c r="K143" s="24">
        <v>0</v>
      </c>
      <c r="L143" s="24">
        <v>1</v>
      </c>
      <c r="M143" s="24">
        <v>0</v>
      </c>
    </row>
    <row r="144" spans="2:13" ht="14" x14ac:dyDescent="0.2">
      <c r="B144" s="24">
        <v>3</v>
      </c>
      <c r="C144" s="24">
        <v>110</v>
      </c>
      <c r="D144" s="24">
        <v>2</v>
      </c>
      <c r="E144" s="24">
        <v>0.2</v>
      </c>
      <c r="F144" s="24">
        <v>1</v>
      </c>
      <c r="G144" s="24">
        <v>0</v>
      </c>
      <c r="H144" s="24">
        <v>294</v>
      </c>
      <c r="I144" s="24">
        <v>1</v>
      </c>
      <c r="J144" s="24">
        <v>0</v>
      </c>
      <c r="K144" s="24">
        <v>0</v>
      </c>
      <c r="L144" s="24">
        <v>1</v>
      </c>
      <c r="M144" s="24">
        <v>0</v>
      </c>
    </row>
    <row r="145" spans="2:13" ht="14" x14ac:dyDescent="0.2">
      <c r="B145" s="24">
        <v>5</v>
      </c>
      <c r="C145" s="24">
        <v>184</v>
      </c>
      <c r="D145" s="24">
        <v>4</v>
      </c>
      <c r="E145" s="24">
        <v>3.4</v>
      </c>
      <c r="F145" s="24">
        <v>0</v>
      </c>
      <c r="G145" s="24">
        <v>1</v>
      </c>
      <c r="H145" s="24">
        <v>0</v>
      </c>
      <c r="I145" s="24">
        <v>0</v>
      </c>
      <c r="J145" s="24">
        <v>1</v>
      </c>
      <c r="K145" s="24">
        <v>1</v>
      </c>
      <c r="L145" s="24">
        <v>1</v>
      </c>
      <c r="M145" s="24">
        <v>1</v>
      </c>
    </row>
    <row r="146" spans="2:13" ht="14" x14ac:dyDescent="0.2">
      <c r="B146" s="24">
        <v>19</v>
      </c>
      <c r="C146" s="24">
        <v>99</v>
      </c>
      <c r="D146" s="24">
        <v>3</v>
      </c>
      <c r="E146" s="24">
        <v>3.5</v>
      </c>
      <c r="F146" s="24">
        <v>0</v>
      </c>
      <c r="G146" s="24">
        <v>0</v>
      </c>
      <c r="H146" s="24">
        <v>357</v>
      </c>
      <c r="I146" s="24">
        <v>0</v>
      </c>
      <c r="J146" s="24">
        <v>0</v>
      </c>
      <c r="K146" s="24">
        <v>0</v>
      </c>
      <c r="L146" s="24">
        <v>0</v>
      </c>
      <c r="M146" s="24">
        <v>1</v>
      </c>
    </row>
    <row r="147" spans="2:13" ht="14" x14ac:dyDescent="0.2">
      <c r="B147" s="24">
        <v>34</v>
      </c>
      <c r="C147" s="24">
        <v>102</v>
      </c>
      <c r="D147" s="24">
        <v>2</v>
      </c>
      <c r="E147" s="24">
        <v>2</v>
      </c>
      <c r="F147" s="24">
        <v>1</v>
      </c>
      <c r="G147" s="24">
        <v>0</v>
      </c>
      <c r="H147" s="24">
        <v>0</v>
      </c>
      <c r="I147" s="24">
        <v>0</v>
      </c>
      <c r="J147" s="24">
        <v>0</v>
      </c>
      <c r="K147" s="24">
        <v>1</v>
      </c>
      <c r="L147" s="24">
        <v>1</v>
      </c>
      <c r="M147" s="24">
        <v>0</v>
      </c>
    </row>
    <row r="148" spans="2:13" ht="14" x14ac:dyDescent="0.2">
      <c r="B148" s="24">
        <v>19</v>
      </c>
      <c r="C148" s="24">
        <v>82</v>
      </c>
      <c r="D148" s="24">
        <v>3</v>
      </c>
      <c r="E148" s="24">
        <v>2.6666666666666701</v>
      </c>
      <c r="F148" s="24">
        <v>0</v>
      </c>
      <c r="G148" s="24">
        <v>1</v>
      </c>
      <c r="H148" s="24">
        <v>0</v>
      </c>
      <c r="I148" s="24">
        <v>0</v>
      </c>
      <c r="J148" s="24">
        <v>0</v>
      </c>
      <c r="K148" s="24">
        <v>0</v>
      </c>
      <c r="L148" s="24">
        <v>0</v>
      </c>
      <c r="M148" s="24">
        <v>0</v>
      </c>
    </row>
    <row r="149" spans="2:13" ht="14" x14ac:dyDescent="0.2">
      <c r="B149" s="24">
        <v>13</v>
      </c>
      <c r="C149" s="24">
        <v>171</v>
      </c>
      <c r="D149" s="24">
        <v>2</v>
      </c>
      <c r="E149" s="24">
        <v>7.8</v>
      </c>
      <c r="F149" s="24">
        <v>1</v>
      </c>
      <c r="G149" s="24">
        <v>0</v>
      </c>
      <c r="H149" s="24">
        <v>0</v>
      </c>
      <c r="I149" s="24">
        <v>0</v>
      </c>
      <c r="J149" s="24">
        <v>0</v>
      </c>
      <c r="K149" s="24">
        <v>1</v>
      </c>
      <c r="L149" s="24">
        <v>0</v>
      </c>
      <c r="M149" s="24">
        <v>0</v>
      </c>
    </row>
    <row r="150" spans="2:13" ht="14" x14ac:dyDescent="0.2">
      <c r="B150" s="24">
        <v>26</v>
      </c>
      <c r="C150" s="24">
        <v>192</v>
      </c>
      <c r="D150" s="24">
        <v>2</v>
      </c>
      <c r="E150" s="24">
        <v>1.8</v>
      </c>
      <c r="F150" s="24">
        <v>0</v>
      </c>
      <c r="G150" s="24">
        <v>0</v>
      </c>
      <c r="H150" s="24">
        <v>301</v>
      </c>
      <c r="I150" s="24">
        <v>0</v>
      </c>
      <c r="J150" s="24">
        <v>1</v>
      </c>
      <c r="K150" s="24">
        <v>1</v>
      </c>
      <c r="L150" s="24">
        <v>1</v>
      </c>
      <c r="M150" s="24">
        <v>1</v>
      </c>
    </row>
    <row r="151" spans="2:13" ht="14" x14ac:dyDescent="0.2">
      <c r="B151" s="24">
        <v>7</v>
      </c>
      <c r="C151" s="24">
        <v>139</v>
      </c>
      <c r="D151" s="24">
        <v>1</v>
      </c>
      <c r="E151" s="24">
        <v>4</v>
      </c>
      <c r="F151" s="24">
        <v>0</v>
      </c>
      <c r="G151" s="24">
        <v>0</v>
      </c>
      <c r="H151" s="24">
        <v>106</v>
      </c>
      <c r="I151" s="24">
        <v>0</v>
      </c>
      <c r="J151" s="24">
        <v>1</v>
      </c>
      <c r="K151" s="24">
        <v>1</v>
      </c>
      <c r="L151" s="24">
        <v>1</v>
      </c>
      <c r="M151" s="24">
        <v>1</v>
      </c>
    </row>
    <row r="152" spans="2:13" ht="14" x14ac:dyDescent="0.2">
      <c r="B152" s="24">
        <v>41</v>
      </c>
      <c r="C152" s="24">
        <v>70</v>
      </c>
      <c r="D152" s="24">
        <v>3</v>
      </c>
      <c r="E152" s="24">
        <v>2.2000000000000002</v>
      </c>
      <c r="F152" s="24">
        <v>1</v>
      </c>
      <c r="G152" s="24">
        <v>0</v>
      </c>
      <c r="H152" s="24">
        <v>0</v>
      </c>
      <c r="I152" s="24">
        <v>0</v>
      </c>
      <c r="J152" s="24">
        <v>0</v>
      </c>
      <c r="K152" s="24">
        <v>0</v>
      </c>
      <c r="L152" s="24">
        <v>0</v>
      </c>
      <c r="M152" s="24">
        <v>0</v>
      </c>
    </row>
    <row r="153" spans="2:13" ht="14" x14ac:dyDescent="0.2">
      <c r="B153" s="24">
        <v>25</v>
      </c>
      <c r="C153" s="24">
        <v>195</v>
      </c>
      <c r="D153" s="24">
        <v>4</v>
      </c>
      <c r="E153" s="24">
        <v>3</v>
      </c>
      <c r="F153" s="24">
        <v>1</v>
      </c>
      <c r="G153" s="24">
        <v>0</v>
      </c>
      <c r="H153" s="24">
        <v>617</v>
      </c>
      <c r="I153" s="24">
        <v>0</v>
      </c>
      <c r="J153" s="24">
        <v>0</v>
      </c>
      <c r="K153" s="24">
        <v>0</v>
      </c>
      <c r="L153" s="24">
        <v>0</v>
      </c>
      <c r="M153" s="24">
        <v>1</v>
      </c>
    </row>
    <row r="154" spans="2:13" ht="14" x14ac:dyDescent="0.2">
      <c r="B154" s="24">
        <v>1</v>
      </c>
      <c r="C154" s="24">
        <v>13</v>
      </c>
      <c r="D154" s="24">
        <v>4</v>
      </c>
      <c r="E154" s="24">
        <v>1</v>
      </c>
      <c r="F154" s="24">
        <v>1</v>
      </c>
      <c r="G154" s="24">
        <v>0</v>
      </c>
      <c r="H154" s="24">
        <v>95</v>
      </c>
      <c r="I154" s="24">
        <v>0</v>
      </c>
      <c r="J154" s="24">
        <v>0</v>
      </c>
      <c r="K154" s="24">
        <v>0</v>
      </c>
      <c r="L154" s="24">
        <v>1</v>
      </c>
      <c r="M154" s="24">
        <v>0</v>
      </c>
    </row>
    <row r="155" spans="2:13" ht="14" x14ac:dyDescent="0.2">
      <c r="B155" s="24">
        <v>28</v>
      </c>
      <c r="C155" s="24">
        <v>170</v>
      </c>
      <c r="D155" s="24">
        <v>2</v>
      </c>
      <c r="E155" s="24">
        <v>6.2</v>
      </c>
      <c r="F155" s="24">
        <v>0</v>
      </c>
      <c r="G155" s="24">
        <v>1</v>
      </c>
      <c r="H155" s="24">
        <v>325</v>
      </c>
      <c r="I155" s="24">
        <v>0</v>
      </c>
      <c r="J155" s="24">
        <v>0</v>
      </c>
      <c r="K155" s="24">
        <v>1</v>
      </c>
      <c r="L155" s="24">
        <v>0</v>
      </c>
      <c r="M155" s="24">
        <v>1</v>
      </c>
    </row>
    <row r="156" spans="2:13" ht="14" x14ac:dyDescent="0.2">
      <c r="B156" s="24">
        <v>21</v>
      </c>
      <c r="C156" s="24">
        <v>132</v>
      </c>
      <c r="D156" s="24">
        <v>3</v>
      </c>
      <c r="E156" s="24">
        <v>1.2</v>
      </c>
      <c r="F156" s="24">
        <v>0</v>
      </c>
      <c r="G156" s="24">
        <v>1</v>
      </c>
      <c r="H156" s="24">
        <v>0</v>
      </c>
      <c r="I156" s="24">
        <v>0</v>
      </c>
      <c r="J156" s="24">
        <v>1</v>
      </c>
      <c r="K156" s="24">
        <v>1</v>
      </c>
      <c r="L156" s="24">
        <v>1</v>
      </c>
      <c r="M156" s="24">
        <v>1</v>
      </c>
    </row>
    <row r="157" spans="2:13" ht="14" x14ac:dyDescent="0.2">
      <c r="B157" s="24">
        <v>6</v>
      </c>
      <c r="C157" s="24">
        <v>168</v>
      </c>
      <c r="D157" s="24">
        <v>3</v>
      </c>
      <c r="E157" s="24">
        <v>5.6666666666666696</v>
      </c>
      <c r="F157" s="24">
        <v>0</v>
      </c>
      <c r="G157" s="24">
        <v>1</v>
      </c>
      <c r="H157" s="24">
        <v>0</v>
      </c>
      <c r="I157" s="24">
        <v>1</v>
      </c>
      <c r="J157" s="24">
        <v>1</v>
      </c>
      <c r="K157" s="24">
        <v>1</v>
      </c>
      <c r="L157" s="24">
        <v>0</v>
      </c>
      <c r="M157" s="24">
        <v>1</v>
      </c>
    </row>
    <row r="158" spans="2:13" ht="14" x14ac:dyDescent="0.2">
      <c r="B158" s="24">
        <v>28</v>
      </c>
      <c r="C158" s="24">
        <v>51</v>
      </c>
      <c r="D158" s="24">
        <v>1</v>
      </c>
      <c r="E158" s="24">
        <v>1.6</v>
      </c>
      <c r="F158" s="24">
        <v>0</v>
      </c>
      <c r="G158" s="24">
        <v>0</v>
      </c>
      <c r="H158" s="24">
        <v>0</v>
      </c>
      <c r="I158" s="24">
        <v>1</v>
      </c>
      <c r="J158" s="24">
        <v>0</v>
      </c>
      <c r="K158" s="24">
        <v>0</v>
      </c>
      <c r="L158" s="24">
        <v>1</v>
      </c>
      <c r="M158" s="24">
        <v>0</v>
      </c>
    </row>
    <row r="159" spans="2:13" ht="14" x14ac:dyDescent="0.2">
      <c r="B159" s="24">
        <v>27</v>
      </c>
      <c r="C159" s="24">
        <v>20</v>
      </c>
      <c r="D159" s="24">
        <v>4</v>
      </c>
      <c r="E159" s="24">
        <v>0.5</v>
      </c>
      <c r="F159" s="24">
        <v>0</v>
      </c>
      <c r="G159" s="24">
        <v>1</v>
      </c>
      <c r="H159" s="24">
        <v>0</v>
      </c>
      <c r="I159" s="24">
        <v>0</v>
      </c>
      <c r="J159" s="24">
        <v>0</v>
      </c>
      <c r="K159" s="24">
        <v>1</v>
      </c>
      <c r="L159" s="24">
        <v>0</v>
      </c>
      <c r="M159" s="24">
        <v>0</v>
      </c>
    </row>
    <row r="160" spans="2:13" ht="14" x14ac:dyDescent="0.2">
      <c r="B160" s="24">
        <v>33</v>
      </c>
      <c r="C160" s="24">
        <v>34</v>
      </c>
      <c r="D160" s="24">
        <v>1</v>
      </c>
      <c r="E160" s="24">
        <v>1.5</v>
      </c>
      <c r="F160" s="24">
        <v>0</v>
      </c>
      <c r="G160" s="24">
        <v>0</v>
      </c>
      <c r="H160" s="24">
        <v>0</v>
      </c>
      <c r="I160" s="24">
        <v>0</v>
      </c>
      <c r="J160" s="24">
        <v>0</v>
      </c>
      <c r="K160" s="24">
        <v>1</v>
      </c>
      <c r="L160" s="24">
        <v>1</v>
      </c>
      <c r="M160" s="24">
        <v>0</v>
      </c>
    </row>
    <row r="161" spans="2:13" ht="14" x14ac:dyDescent="0.2">
      <c r="B161" s="24">
        <v>10</v>
      </c>
      <c r="C161" s="24">
        <v>179</v>
      </c>
      <c r="D161" s="24">
        <v>3</v>
      </c>
      <c r="E161" s="24">
        <v>6.6</v>
      </c>
      <c r="F161" s="24">
        <v>1</v>
      </c>
      <c r="G161" s="24">
        <v>0</v>
      </c>
      <c r="H161" s="24">
        <v>0</v>
      </c>
      <c r="I161" s="24">
        <v>0</v>
      </c>
      <c r="J161" s="24">
        <v>0</v>
      </c>
      <c r="K161" s="24">
        <v>1</v>
      </c>
      <c r="L161" s="24">
        <v>0</v>
      </c>
      <c r="M161" s="24">
        <v>1</v>
      </c>
    </row>
    <row r="162" spans="2:13" ht="14" x14ac:dyDescent="0.2">
      <c r="B162" s="24">
        <v>37</v>
      </c>
      <c r="C162" s="24">
        <v>124</v>
      </c>
      <c r="D162" s="24">
        <v>3</v>
      </c>
      <c r="E162" s="24">
        <v>5</v>
      </c>
      <c r="F162" s="24">
        <v>0</v>
      </c>
      <c r="G162" s="24">
        <v>1</v>
      </c>
      <c r="H162" s="24">
        <v>170</v>
      </c>
      <c r="I162" s="24">
        <v>0</v>
      </c>
      <c r="J162" s="24">
        <v>0</v>
      </c>
      <c r="K162" s="24">
        <v>0</v>
      </c>
      <c r="L162" s="24">
        <v>0</v>
      </c>
      <c r="M162" s="24">
        <v>1</v>
      </c>
    </row>
    <row r="163" spans="2:13" ht="14" x14ac:dyDescent="0.2">
      <c r="B163" s="24">
        <v>23</v>
      </c>
      <c r="C163" s="24">
        <v>173</v>
      </c>
      <c r="D163" s="24">
        <v>3</v>
      </c>
      <c r="E163" s="24">
        <v>0.2</v>
      </c>
      <c r="F163" s="24">
        <v>1</v>
      </c>
      <c r="G163" s="24">
        <v>0</v>
      </c>
      <c r="H163" s="24">
        <v>0</v>
      </c>
      <c r="I163" s="24">
        <v>0</v>
      </c>
      <c r="J163" s="24">
        <v>1</v>
      </c>
      <c r="K163" s="24">
        <v>1</v>
      </c>
      <c r="L163" s="24">
        <v>1</v>
      </c>
      <c r="M163" s="24">
        <v>1</v>
      </c>
    </row>
    <row r="164" spans="2:13" ht="14" x14ac:dyDescent="0.2">
      <c r="B164" s="24">
        <v>5</v>
      </c>
      <c r="C164" s="24">
        <v>125</v>
      </c>
      <c r="D164" s="24">
        <v>4</v>
      </c>
      <c r="E164" s="24">
        <v>0.5</v>
      </c>
      <c r="F164" s="24">
        <v>0</v>
      </c>
      <c r="G164" s="24">
        <v>0</v>
      </c>
      <c r="H164" s="24">
        <v>0</v>
      </c>
      <c r="I164" s="24">
        <v>0</v>
      </c>
      <c r="J164" s="24">
        <v>1</v>
      </c>
      <c r="K164" s="24">
        <v>1</v>
      </c>
      <c r="L164" s="24">
        <v>0</v>
      </c>
      <c r="M164" s="24">
        <v>1</v>
      </c>
    </row>
    <row r="165" spans="2:13" ht="14" x14ac:dyDescent="0.2">
      <c r="B165" s="24">
        <v>19</v>
      </c>
      <c r="C165" s="24">
        <v>174</v>
      </c>
      <c r="D165" s="24">
        <v>3</v>
      </c>
      <c r="E165" s="24">
        <v>1.7</v>
      </c>
      <c r="F165" s="24">
        <v>0</v>
      </c>
      <c r="G165" s="24">
        <v>0</v>
      </c>
      <c r="H165" s="24">
        <v>231</v>
      </c>
      <c r="I165" s="24">
        <v>0</v>
      </c>
      <c r="J165" s="24">
        <v>1</v>
      </c>
      <c r="K165" s="24">
        <v>1</v>
      </c>
      <c r="L165" s="24">
        <v>1</v>
      </c>
      <c r="M165" s="24">
        <v>1</v>
      </c>
    </row>
    <row r="166" spans="2:13" ht="14" x14ac:dyDescent="0.2">
      <c r="B166" s="24">
        <v>22</v>
      </c>
      <c r="C166" s="24">
        <v>152</v>
      </c>
      <c r="D166" s="24">
        <v>1</v>
      </c>
      <c r="E166" s="24">
        <v>3.5</v>
      </c>
      <c r="F166" s="24">
        <v>0</v>
      </c>
      <c r="G166" s="24">
        <v>0</v>
      </c>
      <c r="H166" s="24">
        <v>0</v>
      </c>
      <c r="I166" s="24">
        <v>0</v>
      </c>
      <c r="J166" s="24">
        <v>0</v>
      </c>
      <c r="K166" s="24">
        <v>1</v>
      </c>
      <c r="L166" s="24">
        <v>0</v>
      </c>
      <c r="M166" s="24">
        <v>1</v>
      </c>
    </row>
    <row r="167" spans="2:13" ht="14" x14ac:dyDescent="0.2">
      <c r="B167" s="24">
        <v>37</v>
      </c>
      <c r="C167" s="24">
        <v>45</v>
      </c>
      <c r="D167" s="24">
        <v>1</v>
      </c>
      <c r="E167" s="24">
        <v>0.8</v>
      </c>
      <c r="F167" s="24">
        <v>1</v>
      </c>
      <c r="G167" s="24">
        <v>0</v>
      </c>
      <c r="H167" s="24">
        <v>0</v>
      </c>
      <c r="I167" s="24">
        <v>0</v>
      </c>
      <c r="J167" s="24">
        <v>0</v>
      </c>
      <c r="K167" s="24">
        <v>0</v>
      </c>
      <c r="L167" s="24">
        <v>0</v>
      </c>
      <c r="M167" s="24">
        <v>0</v>
      </c>
    </row>
    <row r="168" spans="2:13" ht="14" x14ac:dyDescent="0.2">
      <c r="B168" s="24">
        <v>25</v>
      </c>
      <c r="C168" s="24">
        <v>181</v>
      </c>
      <c r="D168" s="24">
        <v>1</v>
      </c>
      <c r="E168" s="24">
        <v>3.3</v>
      </c>
      <c r="F168" s="24">
        <v>0</v>
      </c>
      <c r="G168" s="24">
        <v>0</v>
      </c>
      <c r="H168" s="24">
        <v>589</v>
      </c>
      <c r="I168" s="24">
        <v>1</v>
      </c>
      <c r="J168" s="24">
        <v>1</v>
      </c>
      <c r="K168" s="24">
        <v>1</v>
      </c>
      <c r="L168" s="24">
        <v>0</v>
      </c>
      <c r="M168" s="24">
        <v>1</v>
      </c>
    </row>
    <row r="169" spans="2:13" ht="14" x14ac:dyDescent="0.2">
      <c r="B169" s="24">
        <v>21</v>
      </c>
      <c r="C169" s="24">
        <v>80</v>
      </c>
      <c r="D169" s="24">
        <v>4</v>
      </c>
      <c r="E169" s="24">
        <v>0.4</v>
      </c>
      <c r="F169" s="24">
        <v>1</v>
      </c>
      <c r="G169" s="24">
        <v>0</v>
      </c>
      <c r="H169" s="24">
        <v>0</v>
      </c>
      <c r="I169" s="24">
        <v>0</v>
      </c>
      <c r="J169" s="24">
        <v>0</v>
      </c>
      <c r="K169" s="24">
        <v>1</v>
      </c>
      <c r="L169" s="24">
        <v>1</v>
      </c>
      <c r="M169" s="24">
        <v>0</v>
      </c>
    </row>
    <row r="170" spans="2:13" ht="14" x14ac:dyDescent="0.2">
      <c r="B170" s="24">
        <v>36</v>
      </c>
      <c r="C170" s="24">
        <v>184</v>
      </c>
      <c r="D170" s="24">
        <v>4</v>
      </c>
      <c r="E170" s="24">
        <v>2.2999999999999998</v>
      </c>
      <c r="F170" s="24">
        <v>0</v>
      </c>
      <c r="G170" s="24">
        <v>1</v>
      </c>
      <c r="H170" s="24">
        <v>342</v>
      </c>
      <c r="I170" s="24">
        <v>0</v>
      </c>
      <c r="J170" s="24">
        <v>1</v>
      </c>
      <c r="K170" s="24">
        <v>1</v>
      </c>
      <c r="L170" s="24">
        <v>1</v>
      </c>
      <c r="M170" s="24">
        <v>1</v>
      </c>
    </row>
    <row r="171" spans="2:13" ht="14" x14ac:dyDescent="0.2">
      <c r="B171" s="24">
        <v>16</v>
      </c>
      <c r="C171" s="24">
        <v>111</v>
      </c>
      <c r="D171" s="24">
        <v>2</v>
      </c>
      <c r="E171" s="24">
        <v>1.2</v>
      </c>
      <c r="F171" s="24">
        <v>0</v>
      </c>
      <c r="G171" s="24">
        <v>0</v>
      </c>
      <c r="H171" s="24">
        <v>251</v>
      </c>
      <c r="I171" s="24">
        <v>0</v>
      </c>
      <c r="J171" s="24">
        <v>0</v>
      </c>
      <c r="K171" s="24">
        <v>1</v>
      </c>
      <c r="L171" s="24">
        <v>0</v>
      </c>
      <c r="M171" s="24">
        <v>1</v>
      </c>
    </row>
    <row r="172" spans="2:13" ht="14" x14ac:dyDescent="0.2">
      <c r="B172" s="24">
        <v>25</v>
      </c>
      <c r="C172" s="24">
        <v>84</v>
      </c>
      <c r="D172" s="24">
        <v>1</v>
      </c>
      <c r="E172" s="24">
        <v>1.3</v>
      </c>
      <c r="F172" s="24">
        <v>0</v>
      </c>
      <c r="G172" s="24">
        <v>0</v>
      </c>
      <c r="H172" s="24">
        <v>0</v>
      </c>
      <c r="I172" s="24">
        <v>1</v>
      </c>
      <c r="J172" s="24">
        <v>0</v>
      </c>
      <c r="K172" s="24">
        <v>1</v>
      </c>
      <c r="L172" s="24">
        <v>0</v>
      </c>
      <c r="M172" s="24">
        <v>0</v>
      </c>
    </row>
    <row r="173" spans="2:13" ht="14" x14ac:dyDescent="0.2">
      <c r="B173" s="24">
        <v>32</v>
      </c>
      <c r="C173" s="24">
        <v>158</v>
      </c>
      <c r="D173" s="24">
        <v>3</v>
      </c>
      <c r="E173" s="24">
        <v>3.7</v>
      </c>
      <c r="F173" s="24">
        <v>0</v>
      </c>
      <c r="G173" s="24">
        <v>0</v>
      </c>
      <c r="H173" s="24">
        <v>0</v>
      </c>
      <c r="I173" s="24">
        <v>0</v>
      </c>
      <c r="J173" s="24">
        <v>0</v>
      </c>
      <c r="K173" s="24">
        <v>1</v>
      </c>
      <c r="L173" s="24">
        <v>0</v>
      </c>
      <c r="M173" s="24">
        <v>1</v>
      </c>
    </row>
    <row r="174" spans="2:13" ht="14" x14ac:dyDescent="0.2">
      <c r="B174" s="24">
        <v>24</v>
      </c>
      <c r="C174" s="24">
        <v>161</v>
      </c>
      <c r="D174" s="24">
        <v>3</v>
      </c>
      <c r="E174" s="24">
        <v>3.4</v>
      </c>
      <c r="F174" s="24">
        <v>1</v>
      </c>
      <c r="G174" s="24">
        <v>0</v>
      </c>
      <c r="H174" s="24">
        <v>212</v>
      </c>
      <c r="I174" s="24">
        <v>0</v>
      </c>
      <c r="J174" s="24">
        <v>0</v>
      </c>
      <c r="K174" s="24">
        <v>1</v>
      </c>
      <c r="L174" s="24">
        <v>0</v>
      </c>
      <c r="M174" s="24">
        <v>1</v>
      </c>
    </row>
    <row r="175" spans="2:13" ht="14" x14ac:dyDescent="0.2">
      <c r="B175" s="24">
        <v>27</v>
      </c>
      <c r="C175" s="24">
        <v>73</v>
      </c>
      <c r="D175" s="24">
        <v>1</v>
      </c>
      <c r="E175" s="24">
        <v>3</v>
      </c>
      <c r="F175" s="24">
        <v>0</v>
      </c>
      <c r="G175" s="24">
        <v>0</v>
      </c>
      <c r="H175" s="24">
        <v>0</v>
      </c>
      <c r="I175" s="24">
        <v>0</v>
      </c>
      <c r="J175" s="24">
        <v>0</v>
      </c>
      <c r="K175" s="24">
        <v>0</v>
      </c>
      <c r="L175" s="24">
        <v>0</v>
      </c>
      <c r="M175" s="24">
        <v>0</v>
      </c>
    </row>
    <row r="176" spans="2:13" ht="14" x14ac:dyDescent="0.2">
      <c r="B176" s="24">
        <v>6</v>
      </c>
      <c r="C176" s="24">
        <v>138</v>
      </c>
      <c r="D176" s="24">
        <v>1</v>
      </c>
      <c r="E176" s="24">
        <v>7</v>
      </c>
      <c r="F176" s="24">
        <v>0</v>
      </c>
      <c r="G176" s="24">
        <v>0</v>
      </c>
      <c r="H176" s="24">
        <v>86</v>
      </c>
      <c r="I176" s="24">
        <v>0</v>
      </c>
      <c r="J176" s="24">
        <v>0</v>
      </c>
      <c r="K176" s="24">
        <v>1</v>
      </c>
      <c r="L176" s="24">
        <v>0</v>
      </c>
      <c r="M176" s="24">
        <v>1</v>
      </c>
    </row>
    <row r="177" spans="2:13" ht="14" x14ac:dyDescent="0.2">
      <c r="B177" s="24">
        <v>6</v>
      </c>
      <c r="C177" s="24">
        <v>81</v>
      </c>
      <c r="D177" s="24">
        <v>1</v>
      </c>
      <c r="E177" s="24">
        <v>2.5</v>
      </c>
      <c r="F177" s="24">
        <v>1</v>
      </c>
      <c r="G177" s="24">
        <v>0</v>
      </c>
      <c r="H177" s="24">
        <v>0</v>
      </c>
      <c r="I177" s="24">
        <v>0</v>
      </c>
      <c r="J177" s="24">
        <v>0</v>
      </c>
      <c r="K177" s="24">
        <v>1</v>
      </c>
      <c r="L177" s="24">
        <v>0</v>
      </c>
      <c r="M177" s="24">
        <v>0</v>
      </c>
    </row>
    <row r="178" spans="2:13" ht="14" x14ac:dyDescent="0.2">
      <c r="B178" s="24">
        <v>18</v>
      </c>
      <c r="C178" s="24">
        <v>54</v>
      </c>
      <c r="D178" s="24">
        <v>4</v>
      </c>
      <c r="E178" s="24">
        <v>2.2000000000000002</v>
      </c>
      <c r="F178" s="24">
        <v>0</v>
      </c>
      <c r="G178" s="24">
        <v>1</v>
      </c>
      <c r="H178" s="24">
        <v>0</v>
      </c>
      <c r="I178" s="24">
        <v>0</v>
      </c>
      <c r="J178" s="24">
        <v>0</v>
      </c>
      <c r="K178" s="24">
        <v>0</v>
      </c>
      <c r="L178" s="24">
        <v>0</v>
      </c>
      <c r="M178" s="24">
        <v>0</v>
      </c>
    </row>
    <row r="179" spans="2:13" ht="14" x14ac:dyDescent="0.2">
      <c r="B179" s="24">
        <v>18</v>
      </c>
      <c r="C179" s="24">
        <v>128</v>
      </c>
      <c r="D179" s="24">
        <v>4</v>
      </c>
      <c r="E179" s="24">
        <v>5.3</v>
      </c>
      <c r="F179" s="24">
        <v>1</v>
      </c>
      <c r="G179" s="24">
        <v>0</v>
      </c>
      <c r="H179" s="24">
        <v>84</v>
      </c>
      <c r="I179" s="24">
        <v>0</v>
      </c>
      <c r="J179" s="24">
        <v>0</v>
      </c>
      <c r="K179" s="24">
        <v>0</v>
      </c>
      <c r="L179" s="24">
        <v>0</v>
      </c>
      <c r="M179" s="24">
        <v>1</v>
      </c>
    </row>
    <row r="180" spans="2:13" ht="14" x14ac:dyDescent="0.2">
      <c r="B180" s="24">
        <v>33</v>
      </c>
      <c r="C180" s="24">
        <v>61</v>
      </c>
      <c r="D180" s="24">
        <v>4</v>
      </c>
      <c r="E180" s="24">
        <v>1.7</v>
      </c>
      <c r="F180" s="24">
        <v>1</v>
      </c>
      <c r="G180" s="24">
        <v>0</v>
      </c>
      <c r="H180" s="24">
        <v>0</v>
      </c>
      <c r="I180" s="24">
        <v>0</v>
      </c>
      <c r="J180" s="24">
        <v>0</v>
      </c>
      <c r="K180" s="24">
        <v>0</v>
      </c>
      <c r="L180" s="24">
        <v>0</v>
      </c>
      <c r="M180" s="24">
        <v>0</v>
      </c>
    </row>
    <row r="181" spans="2:13" ht="14" x14ac:dyDescent="0.2">
      <c r="B181" s="24">
        <v>19</v>
      </c>
      <c r="C181" s="24">
        <v>170</v>
      </c>
      <c r="D181" s="24">
        <v>4</v>
      </c>
      <c r="E181" s="24">
        <v>4.25</v>
      </c>
      <c r="F181" s="24">
        <v>1</v>
      </c>
      <c r="G181" s="24">
        <v>0</v>
      </c>
      <c r="H181" s="24">
        <v>318</v>
      </c>
      <c r="I181" s="24">
        <v>0</v>
      </c>
      <c r="J181" s="24">
        <v>1</v>
      </c>
      <c r="K181" s="24">
        <v>1</v>
      </c>
      <c r="L181" s="24">
        <v>1</v>
      </c>
      <c r="M181" s="24">
        <v>1</v>
      </c>
    </row>
    <row r="182" spans="2:13" ht="14" x14ac:dyDescent="0.2">
      <c r="B182" s="24">
        <v>28</v>
      </c>
      <c r="C182" s="24">
        <v>178</v>
      </c>
      <c r="D182" s="24">
        <v>3</v>
      </c>
      <c r="E182" s="24">
        <v>5.4</v>
      </c>
      <c r="F182" s="24">
        <v>0</v>
      </c>
      <c r="G182" s="24">
        <v>0</v>
      </c>
      <c r="H182" s="24">
        <v>147</v>
      </c>
      <c r="I182" s="24">
        <v>0</v>
      </c>
      <c r="J182" s="24">
        <v>0</v>
      </c>
      <c r="K182" s="24">
        <v>1</v>
      </c>
      <c r="L182" s="24">
        <v>0</v>
      </c>
      <c r="M182" s="24">
        <v>1</v>
      </c>
    </row>
    <row r="183" spans="2:13" ht="14" x14ac:dyDescent="0.2">
      <c r="B183" s="24">
        <v>39</v>
      </c>
      <c r="C183" s="24">
        <v>184</v>
      </c>
      <c r="D183" s="24">
        <v>1</v>
      </c>
      <c r="E183" s="24">
        <v>5.4</v>
      </c>
      <c r="F183" s="24">
        <v>0</v>
      </c>
      <c r="G183" s="24">
        <v>0</v>
      </c>
      <c r="H183" s="24">
        <v>176</v>
      </c>
      <c r="I183" s="24">
        <v>0</v>
      </c>
      <c r="J183" s="24">
        <v>1</v>
      </c>
      <c r="K183" s="24">
        <v>1</v>
      </c>
      <c r="L183" s="24">
        <v>1</v>
      </c>
      <c r="M183" s="24">
        <v>1</v>
      </c>
    </row>
    <row r="184" spans="2:13" ht="14" x14ac:dyDescent="0.2">
      <c r="B184" s="24">
        <v>32</v>
      </c>
      <c r="C184" s="24">
        <v>103</v>
      </c>
      <c r="D184" s="24">
        <v>3</v>
      </c>
      <c r="E184" s="24">
        <v>4</v>
      </c>
      <c r="F184" s="24">
        <v>0</v>
      </c>
      <c r="G184" s="24">
        <v>0</v>
      </c>
      <c r="H184" s="24">
        <v>0</v>
      </c>
      <c r="I184" s="24">
        <v>0</v>
      </c>
      <c r="J184" s="24">
        <v>0</v>
      </c>
      <c r="K184" s="24">
        <v>0</v>
      </c>
      <c r="L184" s="24">
        <v>0</v>
      </c>
      <c r="M184" s="24">
        <v>1</v>
      </c>
    </row>
    <row r="185" spans="2:13" ht="14" x14ac:dyDescent="0.2">
      <c r="B185" s="24">
        <v>12</v>
      </c>
      <c r="C185" s="24">
        <v>138</v>
      </c>
      <c r="D185" s="24">
        <v>1</v>
      </c>
      <c r="E185" s="24">
        <v>4.6666666666666696</v>
      </c>
      <c r="F185" s="24">
        <v>0</v>
      </c>
      <c r="G185" s="24">
        <v>1</v>
      </c>
      <c r="H185" s="24">
        <v>0</v>
      </c>
      <c r="I185" s="24">
        <v>0</v>
      </c>
      <c r="J185" s="24">
        <v>0</v>
      </c>
      <c r="K185" s="24">
        <v>1</v>
      </c>
      <c r="L185" s="24">
        <v>0</v>
      </c>
      <c r="M185" s="24">
        <v>1</v>
      </c>
    </row>
    <row r="186" spans="2:13" ht="14" x14ac:dyDescent="0.2">
      <c r="B186" s="24">
        <v>11</v>
      </c>
      <c r="C186" s="24">
        <v>158</v>
      </c>
      <c r="D186" s="24">
        <v>1</v>
      </c>
      <c r="E186" s="24">
        <v>5.0999999999999996</v>
      </c>
      <c r="F186" s="24">
        <v>0</v>
      </c>
      <c r="G186" s="24">
        <v>0</v>
      </c>
      <c r="H186" s="24">
        <v>0</v>
      </c>
      <c r="I186" s="24">
        <v>0</v>
      </c>
      <c r="J186" s="24">
        <v>1</v>
      </c>
      <c r="K186" s="24">
        <v>1</v>
      </c>
      <c r="L186" s="24">
        <v>1</v>
      </c>
      <c r="M186" s="24">
        <v>1</v>
      </c>
    </row>
    <row r="187" spans="2:13" ht="14" x14ac:dyDescent="0.2">
      <c r="B187" s="24">
        <v>8</v>
      </c>
      <c r="C187" s="24">
        <v>200</v>
      </c>
      <c r="D187" s="24">
        <v>2</v>
      </c>
      <c r="E187" s="24">
        <v>6.5</v>
      </c>
      <c r="F187" s="24">
        <v>1</v>
      </c>
      <c r="G187" s="24">
        <v>0</v>
      </c>
      <c r="H187" s="24">
        <v>565</v>
      </c>
      <c r="I187" s="24">
        <v>0</v>
      </c>
      <c r="J187" s="24">
        <v>0</v>
      </c>
      <c r="K187" s="24">
        <v>1</v>
      </c>
      <c r="L187" s="24">
        <v>0</v>
      </c>
      <c r="M187" s="24">
        <v>0</v>
      </c>
    </row>
    <row r="188" spans="2:13" ht="14" x14ac:dyDescent="0.2">
      <c r="B188" s="24">
        <v>30</v>
      </c>
      <c r="C188" s="24">
        <v>32</v>
      </c>
      <c r="D188" s="24">
        <v>2</v>
      </c>
      <c r="E188" s="24">
        <v>0.4</v>
      </c>
      <c r="F188" s="24">
        <v>0</v>
      </c>
      <c r="G188" s="24">
        <v>0</v>
      </c>
      <c r="H188" s="24">
        <v>0</v>
      </c>
      <c r="I188" s="24">
        <v>0</v>
      </c>
      <c r="J188" s="24">
        <v>0</v>
      </c>
      <c r="K188" s="24">
        <v>1</v>
      </c>
      <c r="L188" s="24">
        <v>0</v>
      </c>
      <c r="M188" s="24">
        <v>0</v>
      </c>
    </row>
    <row r="189" spans="2:13" ht="14" x14ac:dyDescent="0.2">
      <c r="B189" s="24">
        <v>3</v>
      </c>
      <c r="C189" s="24">
        <v>65</v>
      </c>
      <c r="D189" s="24">
        <v>4</v>
      </c>
      <c r="E189" s="24">
        <v>1.8</v>
      </c>
      <c r="F189" s="24">
        <v>0</v>
      </c>
      <c r="G189" s="24">
        <v>1</v>
      </c>
      <c r="H189" s="24">
        <v>244</v>
      </c>
      <c r="I189" s="24">
        <v>0</v>
      </c>
      <c r="J189" s="24">
        <v>0</v>
      </c>
      <c r="K189" s="24">
        <v>0</v>
      </c>
      <c r="L189" s="24">
        <v>0</v>
      </c>
      <c r="M189" s="24">
        <v>0</v>
      </c>
    </row>
    <row r="190" spans="2:13" ht="14" x14ac:dyDescent="0.2">
      <c r="B190" s="24">
        <v>19</v>
      </c>
      <c r="C190" s="24">
        <v>71</v>
      </c>
      <c r="D190" s="24">
        <v>3</v>
      </c>
      <c r="E190" s="24">
        <v>0.3</v>
      </c>
      <c r="F190" s="24">
        <v>0</v>
      </c>
      <c r="G190" s="24">
        <v>0</v>
      </c>
      <c r="H190" s="24">
        <v>0</v>
      </c>
      <c r="I190" s="24">
        <v>0</v>
      </c>
      <c r="J190" s="24">
        <v>0</v>
      </c>
      <c r="K190" s="24">
        <v>0</v>
      </c>
      <c r="L190" s="24">
        <v>1</v>
      </c>
      <c r="M190" s="24">
        <v>0</v>
      </c>
    </row>
    <row r="191" spans="2:13" ht="14" x14ac:dyDescent="0.2">
      <c r="B191" s="24">
        <v>6</v>
      </c>
      <c r="C191" s="24">
        <v>191</v>
      </c>
      <c r="D191" s="24">
        <v>2</v>
      </c>
      <c r="E191" s="24">
        <v>4.4000000000000004</v>
      </c>
      <c r="F191" s="24">
        <v>0</v>
      </c>
      <c r="G191" s="24">
        <v>1</v>
      </c>
      <c r="H191" s="24">
        <v>0</v>
      </c>
      <c r="I191" s="24">
        <v>0</v>
      </c>
      <c r="J191" s="24">
        <v>0</v>
      </c>
      <c r="K191" s="24">
        <v>1</v>
      </c>
      <c r="L191" s="24">
        <v>0</v>
      </c>
      <c r="M191" s="24">
        <v>1</v>
      </c>
    </row>
    <row r="192" spans="2:13" ht="14" x14ac:dyDescent="0.2">
      <c r="B192" s="24">
        <v>28</v>
      </c>
      <c r="C192" s="24">
        <v>33</v>
      </c>
      <c r="D192" s="24">
        <v>2</v>
      </c>
      <c r="E192" s="24">
        <v>0.7</v>
      </c>
      <c r="F192" s="24">
        <v>0</v>
      </c>
      <c r="G192" s="24">
        <v>1</v>
      </c>
      <c r="H192" s="24">
        <v>0</v>
      </c>
      <c r="I192" s="24">
        <v>0</v>
      </c>
      <c r="J192" s="24">
        <v>0</v>
      </c>
      <c r="K192" s="24">
        <v>0</v>
      </c>
      <c r="L192" s="24">
        <v>1</v>
      </c>
      <c r="M192" s="24">
        <v>0</v>
      </c>
    </row>
    <row r="193" spans="2:13" ht="14" x14ac:dyDescent="0.2">
      <c r="B193" s="24">
        <v>4</v>
      </c>
      <c r="C193" s="24">
        <v>63</v>
      </c>
      <c r="D193" s="24">
        <v>4</v>
      </c>
      <c r="E193" s="24">
        <v>2.2000000000000002</v>
      </c>
      <c r="F193" s="24">
        <v>0</v>
      </c>
      <c r="G193" s="24">
        <v>1</v>
      </c>
      <c r="H193" s="24">
        <v>0</v>
      </c>
      <c r="I193" s="24">
        <v>1</v>
      </c>
      <c r="J193" s="24">
        <v>0</v>
      </c>
      <c r="K193" s="24">
        <v>1</v>
      </c>
      <c r="L193" s="24">
        <v>0</v>
      </c>
      <c r="M193" s="24">
        <v>0</v>
      </c>
    </row>
    <row r="194" spans="2:13" ht="14" x14ac:dyDescent="0.2">
      <c r="B194" s="24">
        <v>18</v>
      </c>
      <c r="C194" s="24">
        <v>182</v>
      </c>
      <c r="D194" s="24">
        <v>4</v>
      </c>
      <c r="E194" s="24">
        <v>6</v>
      </c>
      <c r="F194" s="24">
        <v>0</v>
      </c>
      <c r="G194" s="24">
        <v>0</v>
      </c>
      <c r="H194" s="24">
        <v>0</v>
      </c>
      <c r="I194" s="24">
        <v>0</v>
      </c>
      <c r="J194" s="24">
        <v>0</v>
      </c>
      <c r="K194" s="24">
        <v>1</v>
      </c>
      <c r="L194" s="24">
        <v>0</v>
      </c>
      <c r="M194" s="24">
        <v>1</v>
      </c>
    </row>
    <row r="195" spans="2:13" ht="14" x14ac:dyDescent="0.2">
      <c r="B195" s="24">
        <v>14</v>
      </c>
      <c r="C195" s="24">
        <v>74</v>
      </c>
      <c r="D195" s="24">
        <v>3</v>
      </c>
      <c r="E195" s="24">
        <v>2.3333333333333299</v>
      </c>
      <c r="F195" s="24">
        <v>0</v>
      </c>
      <c r="G195" s="24">
        <v>1</v>
      </c>
      <c r="H195" s="24">
        <v>0</v>
      </c>
      <c r="I195" s="24">
        <v>0</v>
      </c>
      <c r="J195" s="24">
        <v>0</v>
      </c>
      <c r="K195" s="24">
        <v>1</v>
      </c>
      <c r="L195" s="24">
        <v>0</v>
      </c>
      <c r="M195" s="24">
        <v>0</v>
      </c>
    </row>
    <row r="196" spans="2:13" ht="14" x14ac:dyDescent="0.2">
      <c r="B196" s="24">
        <v>41</v>
      </c>
      <c r="C196" s="24">
        <v>134</v>
      </c>
      <c r="D196" s="24">
        <v>3</v>
      </c>
      <c r="E196" s="24">
        <v>3.9</v>
      </c>
      <c r="F196" s="24">
        <v>0</v>
      </c>
      <c r="G196" s="24">
        <v>0</v>
      </c>
      <c r="H196" s="24">
        <v>121</v>
      </c>
      <c r="I196" s="24">
        <v>0</v>
      </c>
      <c r="J196" s="24">
        <v>0</v>
      </c>
      <c r="K196" s="24">
        <v>1</v>
      </c>
      <c r="L196" s="24">
        <v>0</v>
      </c>
      <c r="M196" s="24">
        <v>1</v>
      </c>
    </row>
    <row r="197" spans="2:13" ht="14" x14ac:dyDescent="0.2">
      <c r="B197" s="24">
        <v>41</v>
      </c>
      <c r="C197" s="24">
        <v>185</v>
      </c>
      <c r="D197" s="24">
        <v>3</v>
      </c>
      <c r="E197" s="24">
        <v>2</v>
      </c>
      <c r="F197" s="24">
        <v>0</v>
      </c>
      <c r="G197" s="24">
        <v>1</v>
      </c>
      <c r="H197" s="24">
        <v>0</v>
      </c>
      <c r="I197" s="24">
        <v>0</v>
      </c>
      <c r="J197" s="24">
        <v>0</v>
      </c>
      <c r="K197" s="24">
        <v>0</v>
      </c>
      <c r="L197" s="24">
        <v>0</v>
      </c>
      <c r="M197" s="24">
        <v>1</v>
      </c>
    </row>
    <row r="198" spans="2:13" ht="14" x14ac:dyDescent="0.2">
      <c r="B198" s="24">
        <v>3</v>
      </c>
      <c r="C198" s="24">
        <v>190</v>
      </c>
      <c r="D198" s="24">
        <v>2</v>
      </c>
      <c r="E198" s="24">
        <v>4.5</v>
      </c>
      <c r="F198" s="24">
        <v>1</v>
      </c>
      <c r="G198" s="24">
        <v>0</v>
      </c>
      <c r="H198" s="24">
        <v>0</v>
      </c>
      <c r="I198" s="24">
        <v>0</v>
      </c>
      <c r="J198" s="24">
        <v>0</v>
      </c>
      <c r="K198" s="24">
        <v>1</v>
      </c>
      <c r="L198" s="24">
        <v>0</v>
      </c>
      <c r="M198" s="24">
        <v>0</v>
      </c>
    </row>
    <row r="199" spans="2:13" ht="14" x14ac:dyDescent="0.2">
      <c r="B199" s="24">
        <v>32</v>
      </c>
      <c r="C199" s="24">
        <v>113</v>
      </c>
      <c r="D199" s="24">
        <v>2</v>
      </c>
      <c r="E199" s="24">
        <v>3.8</v>
      </c>
      <c r="F199" s="24">
        <v>0</v>
      </c>
      <c r="G199" s="24">
        <v>1</v>
      </c>
      <c r="H199" s="24">
        <v>119</v>
      </c>
      <c r="I199" s="24">
        <v>0</v>
      </c>
      <c r="J199" s="24">
        <v>1</v>
      </c>
      <c r="K199" s="24">
        <v>1</v>
      </c>
      <c r="L199" s="24">
        <v>1</v>
      </c>
      <c r="M199" s="24">
        <v>1</v>
      </c>
    </row>
    <row r="200" spans="2:13" ht="14" x14ac:dyDescent="0.2">
      <c r="B200" s="24">
        <v>24</v>
      </c>
      <c r="C200" s="24">
        <v>79</v>
      </c>
      <c r="D200" s="24">
        <v>1</v>
      </c>
      <c r="E200" s="24">
        <v>0.3</v>
      </c>
      <c r="F200" s="24">
        <v>1</v>
      </c>
      <c r="G200" s="24">
        <v>0</v>
      </c>
      <c r="H200" s="24">
        <v>120</v>
      </c>
      <c r="I200" s="24">
        <v>0</v>
      </c>
      <c r="J200" s="24">
        <v>0</v>
      </c>
      <c r="K200" s="24">
        <v>1</v>
      </c>
      <c r="L200" s="24">
        <v>0</v>
      </c>
      <c r="M200" s="24">
        <v>0</v>
      </c>
    </row>
    <row r="201" spans="2:13" ht="14" x14ac:dyDescent="0.2">
      <c r="B201" s="24">
        <v>1</v>
      </c>
      <c r="C201" s="24">
        <v>60</v>
      </c>
      <c r="D201" s="24">
        <v>4</v>
      </c>
      <c r="E201" s="24">
        <v>4</v>
      </c>
      <c r="F201" s="24">
        <v>0</v>
      </c>
      <c r="G201" s="24">
        <v>0</v>
      </c>
      <c r="H201" s="24">
        <v>244</v>
      </c>
      <c r="I201" s="24">
        <v>0</v>
      </c>
      <c r="J201" s="24">
        <v>0</v>
      </c>
      <c r="K201" s="24">
        <v>0</v>
      </c>
      <c r="L201" s="24">
        <v>0</v>
      </c>
      <c r="M201" s="24">
        <v>0</v>
      </c>
    </row>
    <row r="202" spans="2:13" ht="14" x14ac:dyDescent="0.2">
      <c r="B202" s="24">
        <v>3</v>
      </c>
      <c r="C202" s="24">
        <v>172</v>
      </c>
      <c r="D202" s="24">
        <v>3</v>
      </c>
      <c r="E202" s="24">
        <v>3.4</v>
      </c>
      <c r="F202" s="24">
        <v>0</v>
      </c>
      <c r="G202" s="24">
        <v>1</v>
      </c>
      <c r="H202" s="24">
        <v>0</v>
      </c>
      <c r="I202" s="24">
        <v>0</v>
      </c>
      <c r="J202" s="24">
        <v>0</v>
      </c>
      <c r="K202" s="24">
        <v>0</v>
      </c>
      <c r="L202" s="24">
        <v>1</v>
      </c>
      <c r="M202" s="24">
        <v>1</v>
      </c>
    </row>
    <row r="203" spans="2:13" ht="14" x14ac:dyDescent="0.2">
      <c r="B203" s="24">
        <v>30</v>
      </c>
      <c r="C203" s="24">
        <v>29</v>
      </c>
      <c r="D203" s="24">
        <v>3</v>
      </c>
      <c r="E203" s="24">
        <v>0.1</v>
      </c>
      <c r="F203" s="24">
        <v>0</v>
      </c>
      <c r="G203" s="24">
        <v>1</v>
      </c>
      <c r="H203" s="24">
        <v>0</v>
      </c>
      <c r="I203" s="24">
        <v>1</v>
      </c>
      <c r="J203" s="24">
        <v>1</v>
      </c>
      <c r="K203" s="24">
        <v>1</v>
      </c>
      <c r="L203" s="24">
        <v>0</v>
      </c>
      <c r="M203" s="24">
        <v>0</v>
      </c>
    </row>
    <row r="204" spans="2:13" ht="14" x14ac:dyDescent="0.2">
      <c r="B204" s="24">
        <v>38</v>
      </c>
      <c r="C204" s="24">
        <v>154</v>
      </c>
      <c r="D204" s="24">
        <v>1</v>
      </c>
      <c r="E204" s="24">
        <v>2.9</v>
      </c>
      <c r="F204" s="24">
        <v>1</v>
      </c>
      <c r="G204" s="24">
        <v>0</v>
      </c>
      <c r="H204" s="24">
        <v>0</v>
      </c>
      <c r="I204" s="24">
        <v>0</v>
      </c>
      <c r="J204" s="24">
        <v>0</v>
      </c>
      <c r="K204" s="24">
        <v>1</v>
      </c>
      <c r="L204" s="24">
        <v>0</v>
      </c>
      <c r="M204" s="24">
        <v>0</v>
      </c>
    </row>
    <row r="205" spans="2:13" ht="14" x14ac:dyDescent="0.2">
      <c r="B205" s="24">
        <v>36</v>
      </c>
      <c r="C205" s="24">
        <v>63</v>
      </c>
      <c r="D205" s="24">
        <v>1</v>
      </c>
      <c r="E205" s="24">
        <v>2.5</v>
      </c>
      <c r="F205" s="24">
        <v>0</v>
      </c>
      <c r="G205" s="24">
        <v>0</v>
      </c>
      <c r="H205" s="24">
        <v>0</v>
      </c>
      <c r="I205" s="24">
        <v>0</v>
      </c>
      <c r="J205" s="24">
        <v>0</v>
      </c>
      <c r="K205" s="24">
        <v>0</v>
      </c>
      <c r="L205" s="24">
        <v>0</v>
      </c>
      <c r="M205" s="24">
        <v>0</v>
      </c>
    </row>
    <row r="206" spans="2:13" ht="14" x14ac:dyDescent="0.2">
      <c r="B206" s="24">
        <v>6</v>
      </c>
      <c r="C206" s="24">
        <v>120</v>
      </c>
      <c r="D206" s="24">
        <v>4</v>
      </c>
      <c r="E206" s="24">
        <v>5.4</v>
      </c>
      <c r="F206" s="24">
        <v>1</v>
      </c>
      <c r="G206" s="24">
        <v>0</v>
      </c>
      <c r="H206" s="24">
        <v>301</v>
      </c>
      <c r="I206" s="24">
        <v>0</v>
      </c>
      <c r="J206" s="24">
        <v>1</v>
      </c>
      <c r="K206" s="24">
        <v>1</v>
      </c>
      <c r="L206" s="24">
        <v>1</v>
      </c>
      <c r="M206" s="24">
        <v>1</v>
      </c>
    </row>
    <row r="207" spans="2:13" ht="14" x14ac:dyDescent="0.2">
      <c r="B207" s="24">
        <v>16</v>
      </c>
      <c r="C207" s="24">
        <v>19</v>
      </c>
      <c r="D207" s="24">
        <v>4</v>
      </c>
      <c r="E207" s="24">
        <v>0.4</v>
      </c>
      <c r="F207" s="24">
        <v>0</v>
      </c>
      <c r="G207" s="24">
        <v>1</v>
      </c>
      <c r="H207" s="24">
        <v>0</v>
      </c>
      <c r="I207" s="24">
        <v>0</v>
      </c>
      <c r="J207" s="24">
        <v>0</v>
      </c>
      <c r="K207" s="24">
        <v>1</v>
      </c>
      <c r="L207" s="24">
        <v>1</v>
      </c>
      <c r="M207" s="24">
        <v>0</v>
      </c>
    </row>
    <row r="208" spans="2:13" ht="14" x14ac:dyDescent="0.2">
      <c r="B208" s="24">
        <v>0</v>
      </c>
      <c r="C208" s="24">
        <v>134</v>
      </c>
      <c r="D208" s="24">
        <v>4</v>
      </c>
      <c r="E208" s="24">
        <v>6.5</v>
      </c>
      <c r="F208" s="24">
        <v>0</v>
      </c>
      <c r="G208" s="24">
        <v>0</v>
      </c>
      <c r="H208" s="24">
        <v>0</v>
      </c>
      <c r="I208" s="24">
        <v>0</v>
      </c>
      <c r="J208" s="24">
        <v>0</v>
      </c>
      <c r="K208" s="24">
        <v>0</v>
      </c>
      <c r="L208" s="24">
        <v>0</v>
      </c>
      <c r="M208" s="24">
        <v>1</v>
      </c>
    </row>
    <row r="209" spans="2:13" ht="14" x14ac:dyDescent="0.2">
      <c r="B209" s="24">
        <v>34</v>
      </c>
      <c r="C209" s="24">
        <v>54</v>
      </c>
      <c r="D209" s="24">
        <v>3</v>
      </c>
      <c r="E209" s="24">
        <v>0.3</v>
      </c>
      <c r="F209" s="24">
        <v>0</v>
      </c>
      <c r="G209" s="24">
        <v>1</v>
      </c>
      <c r="H209" s="24">
        <v>0</v>
      </c>
      <c r="I209" s="24">
        <v>0</v>
      </c>
      <c r="J209" s="24">
        <v>0</v>
      </c>
      <c r="K209" s="24">
        <v>1</v>
      </c>
      <c r="L209" s="24">
        <v>1</v>
      </c>
      <c r="M209" s="24">
        <v>0</v>
      </c>
    </row>
    <row r="210" spans="2:13" ht="14" x14ac:dyDescent="0.2">
      <c r="B210" s="24">
        <v>30</v>
      </c>
      <c r="C210" s="24">
        <v>122</v>
      </c>
      <c r="D210" s="24">
        <v>2</v>
      </c>
      <c r="E210" s="24">
        <v>0.5</v>
      </c>
      <c r="F210" s="24">
        <v>1</v>
      </c>
      <c r="G210" s="24">
        <v>0</v>
      </c>
      <c r="H210" s="24">
        <v>0</v>
      </c>
      <c r="I210" s="24">
        <v>0</v>
      </c>
      <c r="J210" s="24">
        <v>0</v>
      </c>
      <c r="K210" s="24">
        <v>0</v>
      </c>
      <c r="L210" s="24">
        <v>1</v>
      </c>
      <c r="M210" s="24">
        <v>0</v>
      </c>
    </row>
    <row r="211" spans="2:13" ht="14" x14ac:dyDescent="0.2">
      <c r="B211" s="24">
        <v>3</v>
      </c>
      <c r="C211" s="24">
        <v>150</v>
      </c>
      <c r="D211" s="24">
        <v>4</v>
      </c>
      <c r="E211" s="24">
        <v>5</v>
      </c>
      <c r="F211" s="24">
        <v>0</v>
      </c>
      <c r="G211" s="24">
        <v>1</v>
      </c>
      <c r="H211" s="24">
        <v>0</v>
      </c>
      <c r="I211" s="24">
        <v>0</v>
      </c>
      <c r="J211" s="24">
        <v>0</v>
      </c>
      <c r="K211" s="24">
        <v>1</v>
      </c>
      <c r="L211" s="24">
        <v>0</v>
      </c>
      <c r="M211" s="24">
        <v>1</v>
      </c>
    </row>
    <row r="212" spans="2:13" ht="14" x14ac:dyDescent="0.2">
      <c r="B212" s="24">
        <v>30</v>
      </c>
      <c r="C212" s="24">
        <v>145</v>
      </c>
      <c r="D212" s="24">
        <v>4</v>
      </c>
      <c r="E212" s="24">
        <v>5.7</v>
      </c>
      <c r="F212" s="24">
        <v>0</v>
      </c>
      <c r="G212" s="24">
        <v>1</v>
      </c>
      <c r="H212" s="24">
        <v>0</v>
      </c>
      <c r="I212" s="24">
        <v>0</v>
      </c>
      <c r="J212" s="24">
        <v>1</v>
      </c>
      <c r="K212" s="24">
        <v>1</v>
      </c>
      <c r="L212" s="24">
        <v>1</v>
      </c>
      <c r="M212" s="24">
        <v>1</v>
      </c>
    </row>
    <row r="213" spans="2:13" ht="14" x14ac:dyDescent="0.2">
      <c r="B213" s="24">
        <v>20</v>
      </c>
      <c r="C213" s="24">
        <v>185</v>
      </c>
      <c r="D213" s="24">
        <v>3</v>
      </c>
      <c r="E213" s="24">
        <v>2.7</v>
      </c>
      <c r="F213" s="24">
        <v>1</v>
      </c>
      <c r="G213" s="24">
        <v>0</v>
      </c>
      <c r="H213" s="24">
        <v>0</v>
      </c>
      <c r="I213" s="24">
        <v>0</v>
      </c>
      <c r="J213" s="24">
        <v>0</v>
      </c>
      <c r="K213" s="24">
        <v>1</v>
      </c>
      <c r="L213" s="24">
        <v>0</v>
      </c>
      <c r="M213" s="24">
        <v>1</v>
      </c>
    </row>
    <row r="214" spans="2:13" ht="14" x14ac:dyDescent="0.2">
      <c r="B214" s="24">
        <v>13</v>
      </c>
      <c r="C214" s="24">
        <v>80</v>
      </c>
      <c r="D214" s="24">
        <v>4</v>
      </c>
      <c r="E214" s="24">
        <v>0.7</v>
      </c>
      <c r="F214" s="24">
        <v>0</v>
      </c>
      <c r="G214" s="24">
        <v>0</v>
      </c>
      <c r="H214" s="24">
        <v>285</v>
      </c>
      <c r="I214" s="24">
        <v>0</v>
      </c>
      <c r="J214" s="24">
        <v>0</v>
      </c>
      <c r="K214" s="24">
        <v>1</v>
      </c>
      <c r="L214" s="24">
        <v>0</v>
      </c>
      <c r="M214" s="24">
        <v>0</v>
      </c>
    </row>
    <row r="215" spans="2:13" ht="14" x14ac:dyDescent="0.2">
      <c r="B215" s="24">
        <v>38</v>
      </c>
      <c r="C215" s="24">
        <v>129</v>
      </c>
      <c r="D215" s="24">
        <v>1</v>
      </c>
      <c r="E215" s="24">
        <v>0.9</v>
      </c>
      <c r="F215" s="24">
        <v>1</v>
      </c>
      <c r="G215" s="24">
        <v>0</v>
      </c>
      <c r="H215" s="24">
        <v>366</v>
      </c>
      <c r="I215" s="24">
        <v>0</v>
      </c>
      <c r="J215" s="24">
        <v>0</v>
      </c>
      <c r="K215" s="24">
        <v>1</v>
      </c>
      <c r="L215" s="24">
        <v>0</v>
      </c>
      <c r="M215" s="24">
        <v>0</v>
      </c>
    </row>
    <row r="216" spans="2:13" ht="14" x14ac:dyDescent="0.2">
      <c r="B216" s="24">
        <v>7</v>
      </c>
      <c r="C216" s="24">
        <v>108</v>
      </c>
      <c r="D216" s="24">
        <v>1</v>
      </c>
      <c r="E216" s="24">
        <v>4.5999999999999996</v>
      </c>
      <c r="F216" s="24">
        <v>1</v>
      </c>
      <c r="G216" s="24">
        <v>0</v>
      </c>
      <c r="H216" s="24">
        <v>0</v>
      </c>
      <c r="I216" s="24">
        <v>1</v>
      </c>
      <c r="J216" s="24">
        <v>0</v>
      </c>
      <c r="K216" s="24">
        <v>0</v>
      </c>
      <c r="L216" s="24">
        <v>0</v>
      </c>
      <c r="M216" s="24">
        <v>0</v>
      </c>
    </row>
    <row r="217" spans="2:13" ht="14" x14ac:dyDescent="0.2">
      <c r="B217" s="24">
        <v>30</v>
      </c>
      <c r="C217" s="24">
        <v>194</v>
      </c>
      <c r="D217" s="24">
        <v>3</v>
      </c>
      <c r="E217" s="24">
        <v>6</v>
      </c>
      <c r="F217" s="24">
        <v>0</v>
      </c>
      <c r="G217" s="24">
        <v>0</v>
      </c>
      <c r="H217" s="24">
        <v>587</v>
      </c>
      <c r="I217" s="24">
        <v>1</v>
      </c>
      <c r="J217" s="24">
        <v>1</v>
      </c>
      <c r="K217" s="24">
        <v>1</v>
      </c>
      <c r="L217" s="24">
        <v>1</v>
      </c>
      <c r="M217" s="24">
        <v>1</v>
      </c>
    </row>
    <row r="218" spans="2:13" ht="14" x14ac:dyDescent="0.2">
      <c r="B218" s="24">
        <v>21</v>
      </c>
      <c r="C218" s="24">
        <v>152</v>
      </c>
      <c r="D218" s="24">
        <v>2</v>
      </c>
      <c r="E218" s="24">
        <v>1.4</v>
      </c>
      <c r="F218" s="24">
        <v>1</v>
      </c>
      <c r="G218" s="24">
        <v>0</v>
      </c>
      <c r="H218" s="24">
        <v>0</v>
      </c>
      <c r="I218" s="24">
        <v>0</v>
      </c>
      <c r="J218" s="24">
        <v>0</v>
      </c>
      <c r="K218" s="24">
        <v>1</v>
      </c>
      <c r="L218" s="24">
        <v>0</v>
      </c>
      <c r="M218" s="24">
        <v>0</v>
      </c>
    </row>
    <row r="219" spans="2:13" ht="14" x14ac:dyDescent="0.2">
      <c r="B219" s="24">
        <v>12</v>
      </c>
      <c r="C219" s="24">
        <v>194</v>
      </c>
      <c r="D219" s="24">
        <v>4</v>
      </c>
      <c r="E219" s="24">
        <v>0.2</v>
      </c>
      <c r="F219" s="24">
        <v>0</v>
      </c>
      <c r="G219" s="24">
        <v>0</v>
      </c>
      <c r="H219" s="24">
        <v>211</v>
      </c>
      <c r="I219" s="24">
        <v>1</v>
      </c>
      <c r="J219" s="24">
        <v>1</v>
      </c>
      <c r="K219" s="24">
        <v>1</v>
      </c>
      <c r="L219" s="24">
        <v>1</v>
      </c>
      <c r="M219" s="24">
        <v>1</v>
      </c>
    </row>
    <row r="220" spans="2:13" ht="14" x14ac:dyDescent="0.2">
      <c r="B220" s="24">
        <v>3</v>
      </c>
      <c r="C220" s="24">
        <v>69</v>
      </c>
      <c r="D220" s="24">
        <v>3</v>
      </c>
      <c r="E220" s="24">
        <v>0.3</v>
      </c>
      <c r="F220" s="24">
        <v>0</v>
      </c>
      <c r="G220" s="24">
        <v>0</v>
      </c>
      <c r="H220" s="24">
        <v>0</v>
      </c>
      <c r="I220" s="24">
        <v>0</v>
      </c>
      <c r="J220" s="24">
        <v>0</v>
      </c>
      <c r="K220" s="24">
        <v>0</v>
      </c>
      <c r="L220" s="24">
        <v>0</v>
      </c>
      <c r="M220" s="24">
        <v>0</v>
      </c>
    </row>
    <row r="221" spans="2:13" ht="14" x14ac:dyDescent="0.2">
      <c r="B221" s="24">
        <v>37</v>
      </c>
      <c r="C221" s="24">
        <v>21</v>
      </c>
      <c r="D221" s="24">
        <v>2</v>
      </c>
      <c r="E221" s="24">
        <v>0.4</v>
      </c>
      <c r="F221" s="24">
        <v>1</v>
      </c>
      <c r="G221" s="24">
        <v>0</v>
      </c>
      <c r="H221" s="24">
        <v>0</v>
      </c>
      <c r="I221" s="24">
        <v>0</v>
      </c>
      <c r="J221" s="24">
        <v>0</v>
      </c>
      <c r="K221" s="24">
        <v>1</v>
      </c>
      <c r="L221" s="24">
        <v>0</v>
      </c>
      <c r="M221" s="24">
        <v>0</v>
      </c>
    </row>
    <row r="222" spans="2:13" ht="14" x14ac:dyDescent="0.2">
      <c r="B222" s="24">
        <v>17</v>
      </c>
      <c r="C222" s="24">
        <v>125</v>
      </c>
      <c r="D222" s="24">
        <v>4</v>
      </c>
      <c r="E222" s="24">
        <v>3.5</v>
      </c>
      <c r="F222" s="24">
        <v>0</v>
      </c>
      <c r="G222" s="24">
        <v>1</v>
      </c>
      <c r="H222" s="24">
        <v>0</v>
      </c>
      <c r="I222" s="24">
        <v>0</v>
      </c>
      <c r="J222" s="24">
        <v>0</v>
      </c>
      <c r="K222" s="24">
        <v>0</v>
      </c>
      <c r="L222" s="24">
        <v>0</v>
      </c>
      <c r="M222" s="24">
        <v>1</v>
      </c>
    </row>
    <row r="223" spans="2:13" ht="14" x14ac:dyDescent="0.2">
      <c r="B223" s="24">
        <v>8</v>
      </c>
      <c r="C223" s="24">
        <v>65</v>
      </c>
      <c r="D223" s="24">
        <v>1</v>
      </c>
      <c r="E223" s="24">
        <v>3</v>
      </c>
      <c r="F223" s="24">
        <v>1</v>
      </c>
      <c r="G223" s="24">
        <v>0</v>
      </c>
      <c r="H223" s="24">
        <v>227</v>
      </c>
      <c r="I223" s="24">
        <v>0</v>
      </c>
      <c r="J223" s="24">
        <v>0</v>
      </c>
      <c r="K223" s="24">
        <v>1</v>
      </c>
      <c r="L223" s="24">
        <v>0</v>
      </c>
      <c r="M223" s="24">
        <v>1</v>
      </c>
    </row>
    <row r="224" spans="2:13" ht="14" x14ac:dyDescent="0.2">
      <c r="B224" s="24">
        <v>8</v>
      </c>
      <c r="C224" s="24">
        <v>122</v>
      </c>
      <c r="D224" s="24">
        <v>1</v>
      </c>
      <c r="E224" s="24">
        <v>0</v>
      </c>
      <c r="F224" s="24">
        <v>1</v>
      </c>
      <c r="G224" s="24">
        <v>0</v>
      </c>
      <c r="H224" s="24">
        <v>0</v>
      </c>
      <c r="I224" s="24">
        <v>0</v>
      </c>
      <c r="J224" s="24">
        <v>0</v>
      </c>
      <c r="K224" s="24">
        <v>1</v>
      </c>
      <c r="L224" s="24">
        <v>1</v>
      </c>
      <c r="M224" s="24">
        <v>0</v>
      </c>
    </row>
    <row r="225" spans="2:13" ht="14" x14ac:dyDescent="0.2">
      <c r="B225" s="24">
        <v>17</v>
      </c>
      <c r="C225" s="24">
        <v>64</v>
      </c>
      <c r="D225" s="24">
        <v>4</v>
      </c>
      <c r="E225" s="24">
        <v>3</v>
      </c>
      <c r="F225" s="24">
        <v>0</v>
      </c>
      <c r="G225" s="24">
        <v>0</v>
      </c>
      <c r="H225" s="24">
        <v>221</v>
      </c>
      <c r="I225" s="24">
        <v>0</v>
      </c>
      <c r="J225" s="24">
        <v>0</v>
      </c>
      <c r="K225" s="24">
        <v>1</v>
      </c>
      <c r="L225" s="24">
        <v>0</v>
      </c>
      <c r="M225" s="24">
        <v>1</v>
      </c>
    </row>
    <row r="226" spans="2:13" ht="14" x14ac:dyDescent="0.2">
      <c r="B226" s="24">
        <v>37</v>
      </c>
      <c r="C226" s="24">
        <v>138</v>
      </c>
      <c r="D226" s="24">
        <v>2</v>
      </c>
      <c r="E226" s="24">
        <v>2.8</v>
      </c>
      <c r="F226" s="24">
        <v>0</v>
      </c>
      <c r="G226" s="24">
        <v>1</v>
      </c>
      <c r="H226" s="24">
        <v>0</v>
      </c>
      <c r="I226" s="24">
        <v>0</v>
      </c>
      <c r="J226" s="24">
        <v>0</v>
      </c>
      <c r="K226" s="24">
        <v>1</v>
      </c>
      <c r="L226" s="24">
        <v>0</v>
      </c>
      <c r="M226" s="24">
        <v>1</v>
      </c>
    </row>
    <row r="227" spans="2:13" ht="14" x14ac:dyDescent="0.2">
      <c r="B227" s="24">
        <v>9</v>
      </c>
      <c r="C227" s="24">
        <v>113</v>
      </c>
      <c r="D227" s="24">
        <v>3</v>
      </c>
      <c r="E227" s="24">
        <v>0.8</v>
      </c>
      <c r="F227" s="24">
        <v>0</v>
      </c>
      <c r="G227" s="24">
        <v>0</v>
      </c>
      <c r="H227" s="24">
        <v>0</v>
      </c>
      <c r="I227" s="24">
        <v>0</v>
      </c>
      <c r="J227" s="24">
        <v>0</v>
      </c>
      <c r="K227" s="24">
        <v>1</v>
      </c>
      <c r="L227" s="24">
        <v>0</v>
      </c>
      <c r="M227" s="24">
        <v>1</v>
      </c>
    </row>
    <row r="228" spans="2:13" ht="14" x14ac:dyDescent="0.2">
      <c r="B228" s="24">
        <v>30</v>
      </c>
      <c r="C228" s="24">
        <v>118</v>
      </c>
      <c r="D228" s="24">
        <v>4</v>
      </c>
      <c r="E228" s="24">
        <v>5.6</v>
      </c>
      <c r="F228" s="24">
        <v>0</v>
      </c>
      <c r="G228" s="24">
        <v>1</v>
      </c>
      <c r="H228" s="24">
        <v>0</v>
      </c>
      <c r="I228" s="24">
        <v>0</v>
      </c>
      <c r="J228" s="24">
        <v>0</v>
      </c>
      <c r="K228" s="24">
        <v>1</v>
      </c>
      <c r="L228" s="24">
        <v>0</v>
      </c>
      <c r="M228" s="24">
        <v>1</v>
      </c>
    </row>
    <row r="229" spans="2:13" ht="14" x14ac:dyDescent="0.2">
      <c r="B229" s="24">
        <v>39</v>
      </c>
      <c r="C229" s="24">
        <v>172</v>
      </c>
      <c r="D229" s="24">
        <v>4</v>
      </c>
      <c r="E229" s="24">
        <v>3.1</v>
      </c>
      <c r="F229" s="24">
        <v>1</v>
      </c>
      <c r="G229" s="24">
        <v>0</v>
      </c>
      <c r="H229" s="24">
        <v>282</v>
      </c>
      <c r="I229" s="24">
        <v>0</v>
      </c>
      <c r="J229" s="24">
        <v>1</v>
      </c>
      <c r="K229" s="24">
        <v>1</v>
      </c>
      <c r="L229" s="24">
        <v>1</v>
      </c>
      <c r="M229" s="24">
        <v>1</v>
      </c>
    </row>
    <row r="230" spans="2:13" ht="14" x14ac:dyDescent="0.2">
      <c r="B230" s="24">
        <v>15</v>
      </c>
      <c r="C230" s="24">
        <v>61</v>
      </c>
      <c r="D230" s="24">
        <v>2</v>
      </c>
      <c r="E230" s="24">
        <v>0.6</v>
      </c>
      <c r="F230" s="24">
        <v>0</v>
      </c>
      <c r="G230" s="24">
        <v>0</v>
      </c>
      <c r="H230" s="24">
        <v>127</v>
      </c>
      <c r="I230" s="24">
        <v>0</v>
      </c>
      <c r="J230" s="24">
        <v>0</v>
      </c>
      <c r="K230" s="24">
        <v>0</v>
      </c>
      <c r="L230" s="24">
        <v>0</v>
      </c>
      <c r="M230" s="24">
        <v>0</v>
      </c>
    </row>
    <row r="231" spans="2:13" ht="14" x14ac:dyDescent="0.2">
      <c r="B231" s="24">
        <v>20</v>
      </c>
      <c r="C231" s="24">
        <v>150</v>
      </c>
      <c r="D231" s="24">
        <v>2</v>
      </c>
      <c r="E231" s="24">
        <v>3.3</v>
      </c>
      <c r="F231" s="24">
        <v>1</v>
      </c>
      <c r="G231" s="24">
        <v>0</v>
      </c>
      <c r="H231" s="24">
        <v>0</v>
      </c>
      <c r="I231" s="24">
        <v>0</v>
      </c>
      <c r="J231" s="24">
        <v>0</v>
      </c>
      <c r="K231" s="24">
        <v>0</v>
      </c>
      <c r="L231" s="24">
        <v>1</v>
      </c>
      <c r="M231" s="24">
        <v>0</v>
      </c>
    </row>
    <row r="232" spans="2:13" ht="14" x14ac:dyDescent="0.2">
      <c r="B232" s="24">
        <v>24</v>
      </c>
      <c r="C232" s="24">
        <v>39</v>
      </c>
      <c r="D232" s="24">
        <v>1</v>
      </c>
      <c r="E232" s="24">
        <v>1.4</v>
      </c>
      <c r="F232" s="24">
        <v>0</v>
      </c>
      <c r="G232" s="24">
        <v>0</v>
      </c>
      <c r="H232" s="24">
        <v>0</v>
      </c>
      <c r="I232" s="24">
        <v>0</v>
      </c>
      <c r="J232" s="24">
        <v>0</v>
      </c>
      <c r="K232" s="24">
        <v>1</v>
      </c>
      <c r="L232" s="24">
        <v>0</v>
      </c>
      <c r="M232" s="24">
        <v>0</v>
      </c>
    </row>
    <row r="233" spans="2:13" ht="14" x14ac:dyDescent="0.2">
      <c r="B233" s="24">
        <v>6</v>
      </c>
      <c r="C233" s="24">
        <v>111</v>
      </c>
      <c r="D233" s="24">
        <v>2</v>
      </c>
      <c r="E233" s="24">
        <v>1.5</v>
      </c>
      <c r="F233" s="24">
        <v>0</v>
      </c>
      <c r="G233" s="24">
        <v>0</v>
      </c>
      <c r="H233" s="24">
        <v>0</v>
      </c>
      <c r="I233" s="24">
        <v>0</v>
      </c>
      <c r="J233" s="24">
        <v>0</v>
      </c>
      <c r="K233" s="24">
        <v>0</v>
      </c>
      <c r="L233" s="24">
        <v>0</v>
      </c>
      <c r="M233" s="24">
        <v>0</v>
      </c>
    </row>
    <row r="234" spans="2:13" ht="14" x14ac:dyDescent="0.2">
      <c r="B234" s="24">
        <v>8</v>
      </c>
      <c r="C234" s="24">
        <v>115</v>
      </c>
      <c r="D234" s="24">
        <v>4</v>
      </c>
      <c r="E234" s="24">
        <v>2.9</v>
      </c>
      <c r="F234" s="24">
        <v>0</v>
      </c>
      <c r="G234" s="24">
        <v>1</v>
      </c>
      <c r="H234" s="24">
        <v>0</v>
      </c>
      <c r="I234" s="24">
        <v>0</v>
      </c>
      <c r="J234" s="24">
        <v>0</v>
      </c>
      <c r="K234" s="24">
        <v>1</v>
      </c>
      <c r="L234" s="24">
        <v>0</v>
      </c>
      <c r="M234" s="24">
        <v>1</v>
      </c>
    </row>
    <row r="235" spans="2:13" ht="14" x14ac:dyDescent="0.2">
      <c r="B235" s="24">
        <v>17</v>
      </c>
      <c r="C235" s="24">
        <v>55</v>
      </c>
      <c r="D235" s="24">
        <v>1</v>
      </c>
      <c r="E235" s="24">
        <v>0.2</v>
      </c>
      <c r="F235" s="24">
        <v>1</v>
      </c>
      <c r="G235" s="24">
        <v>0</v>
      </c>
      <c r="H235" s="24">
        <v>0</v>
      </c>
      <c r="I235" s="24">
        <v>0</v>
      </c>
      <c r="J235" s="24">
        <v>0</v>
      </c>
      <c r="K235" s="24">
        <v>1</v>
      </c>
      <c r="L235" s="24">
        <v>0</v>
      </c>
      <c r="M235" s="24">
        <v>0</v>
      </c>
    </row>
    <row r="236" spans="2:13" ht="14" x14ac:dyDescent="0.2">
      <c r="B236" s="24">
        <v>13</v>
      </c>
      <c r="C236" s="24">
        <v>74</v>
      </c>
      <c r="D236" s="24">
        <v>3</v>
      </c>
      <c r="E236" s="24">
        <v>0.9</v>
      </c>
      <c r="F236" s="24">
        <v>0</v>
      </c>
      <c r="G236" s="24">
        <v>1</v>
      </c>
      <c r="H236" s="24">
        <v>155</v>
      </c>
      <c r="I236" s="24">
        <v>0</v>
      </c>
      <c r="J236" s="24">
        <v>0</v>
      </c>
      <c r="K236" s="24">
        <v>1</v>
      </c>
      <c r="L236" s="24">
        <v>0</v>
      </c>
      <c r="M236" s="24">
        <v>0</v>
      </c>
    </row>
    <row r="237" spans="2:13" ht="14" x14ac:dyDescent="0.2">
      <c r="B237" s="24">
        <v>10</v>
      </c>
      <c r="C237" s="24">
        <v>182</v>
      </c>
      <c r="D237" s="24">
        <v>1</v>
      </c>
      <c r="E237" s="24">
        <v>0.3</v>
      </c>
      <c r="F237" s="24">
        <v>0</v>
      </c>
      <c r="G237" s="24">
        <v>1</v>
      </c>
      <c r="H237" s="24">
        <v>229</v>
      </c>
      <c r="I237" s="24">
        <v>0</v>
      </c>
      <c r="J237" s="24">
        <v>1</v>
      </c>
      <c r="K237" s="24">
        <v>1</v>
      </c>
      <c r="L237" s="24">
        <v>1</v>
      </c>
      <c r="M237" s="24">
        <v>1</v>
      </c>
    </row>
    <row r="238" spans="2:13" ht="14" x14ac:dyDescent="0.2">
      <c r="B238" s="24">
        <v>16</v>
      </c>
      <c r="C238" s="24">
        <v>23</v>
      </c>
      <c r="D238" s="24">
        <v>2</v>
      </c>
      <c r="E238" s="24">
        <v>0.3</v>
      </c>
      <c r="F238" s="24">
        <v>0</v>
      </c>
      <c r="G238" s="24">
        <v>1</v>
      </c>
      <c r="H238" s="24">
        <v>118</v>
      </c>
      <c r="I238" s="24">
        <v>0</v>
      </c>
      <c r="J238" s="24">
        <v>0</v>
      </c>
      <c r="K238" s="24">
        <v>0</v>
      </c>
      <c r="L238" s="24">
        <v>0</v>
      </c>
      <c r="M238" s="24">
        <v>0</v>
      </c>
    </row>
    <row r="239" spans="2:13" ht="14" x14ac:dyDescent="0.2">
      <c r="B239" s="24">
        <v>41</v>
      </c>
      <c r="C239" s="24">
        <v>154</v>
      </c>
      <c r="D239" s="24">
        <v>2</v>
      </c>
      <c r="E239" s="24">
        <v>4.5999999999999996</v>
      </c>
      <c r="F239" s="24">
        <v>0</v>
      </c>
      <c r="G239" s="24">
        <v>1</v>
      </c>
      <c r="H239" s="24">
        <v>0</v>
      </c>
      <c r="I239" s="24">
        <v>1</v>
      </c>
      <c r="J239" s="24">
        <v>1</v>
      </c>
      <c r="K239" s="24">
        <v>1</v>
      </c>
      <c r="L239" s="24">
        <v>1</v>
      </c>
      <c r="M239" s="24">
        <v>1</v>
      </c>
    </row>
    <row r="240" spans="2:13" ht="14" x14ac:dyDescent="0.2">
      <c r="B240" s="24">
        <v>16</v>
      </c>
      <c r="C240" s="24">
        <v>175</v>
      </c>
      <c r="D240" s="24">
        <v>2</v>
      </c>
      <c r="E240" s="24">
        <v>1.1000000000000001</v>
      </c>
      <c r="F240" s="24">
        <v>0</v>
      </c>
      <c r="G240" s="24">
        <v>0</v>
      </c>
      <c r="H240" s="24">
        <v>0</v>
      </c>
      <c r="I240" s="24">
        <v>0</v>
      </c>
      <c r="J240" s="24">
        <v>0</v>
      </c>
      <c r="K240" s="24">
        <v>1</v>
      </c>
      <c r="L240" s="24">
        <v>0</v>
      </c>
      <c r="M240" s="24">
        <v>1</v>
      </c>
    </row>
    <row r="241" spans="2:13" ht="14" x14ac:dyDescent="0.2">
      <c r="B241" s="24">
        <v>9</v>
      </c>
      <c r="C241" s="24">
        <v>184</v>
      </c>
      <c r="D241" s="24">
        <v>2</v>
      </c>
      <c r="E241" s="24">
        <v>4.8</v>
      </c>
      <c r="F241" s="24">
        <v>0</v>
      </c>
      <c r="G241" s="24">
        <v>1</v>
      </c>
      <c r="H241" s="24">
        <v>0</v>
      </c>
      <c r="I241" s="24">
        <v>0</v>
      </c>
      <c r="J241" s="24">
        <v>0</v>
      </c>
      <c r="K241" s="24">
        <v>0</v>
      </c>
      <c r="L241" s="24">
        <v>0</v>
      </c>
      <c r="M241" s="24">
        <v>1</v>
      </c>
    </row>
    <row r="242" spans="2:13" ht="14" x14ac:dyDescent="0.2">
      <c r="B242" s="24">
        <v>20</v>
      </c>
      <c r="C242" s="24">
        <v>171</v>
      </c>
      <c r="D242" s="24">
        <v>4</v>
      </c>
      <c r="E242" s="24">
        <v>0.7</v>
      </c>
      <c r="F242" s="24">
        <v>1</v>
      </c>
      <c r="G242" s="24">
        <v>0</v>
      </c>
      <c r="H242" s="24">
        <v>567</v>
      </c>
      <c r="I242" s="24">
        <v>0</v>
      </c>
      <c r="J242" s="24">
        <v>1</v>
      </c>
      <c r="K242" s="24">
        <v>1</v>
      </c>
      <c r="L242" s="24">
        <v>1</v>
      </c>
      <c r="M242" s="24">
        <v>1</v>
      </c>
    </row>
    <row r="243" spans="2:13" ht="14" x14ac:dyDescent="0.2">
      <c r="B243" s="24">
        <v>6</v>
      </c>
      <c r="C243" s="24">
        <v>28</v>
      </c>
      <c r="D243" s="24">
        <v>3</v>
      </c>
      <c r="E243" s="24">
        <v>1</v>
      </c>
      <c r="F243" s="24">
        <v>1</v>
      </c>
      <c r="G243" s="24">
        <v>0</v>
      </c>
      <c r="H243" s="24">
        <v>0</v>
      </c>
      <c r="I243" s="24">
        <v>0</v>
      </c>
      <c r="J243" s="24">
        <v>0</v>
      </c>
      <c r="K243" s="24">
        <v>0</v>
      </c>
      <c r="L243" s="24">
        <v>0</v>
      </c>
      <c r="M243" s="24">
        <v>0</v>
      </c>
    </row>
    <row r="244" spans="2:13" ht="14" x14ac:dyDescent="0.2">
      <c r="B244" s="24">
        <v>41</v>
      </c>
      <c r="C244" s="24">
        <v>133</v>
      </c>
      <c r="D244" s="24">
        <v>4</v>
      </c>
      <c r="E244" s="24">
        <v>2</v>
      </c>
      <c r="F244" s="24">
        <v>1</v>
      </c>
      <c r="G244" s="24">
        <v>0</v>
      </c>
      <c r="H244" s="24">
        <v>0</v>
      </c>
      <c r="I244" s="24">
        <v>0</v>
      </c>
      <c r="J244" s="24">
        <v>0</v>
      </c>
      <c r="K244" s="24">
        <v>0</v>
      </c>
      <c r="L244" s="24">
        <v>1</v>
      </c>
      <c r="M244" s="24">
        <v>1</v>
      </c>
    </row>
    <row r="245" spans="2:13" ht="14" x14ac:dyDescent="0.2">
      <c r="B245" s="24">
        <v>16</v>
      </c>
      <c r="C245" s="24">
        <v>73</v>
      </c>
      <c r="D245" s="24">
        <v>4</v>
      </c>
      <c r="E245" s="24">
        <v>2.6666666666666701</v>
      </c>
      <c r="F245" s="24">
        <v>1</v>
      </c>
      <c r="G245" s="24">
        <v>0</v>
      </c>
      <c r="H245" s="24">
        <v>0</v>
      </c>
      <c r="I245" s="24">
        <v>0</v>
      </c>
      <c r="J245" s="24">
        <v>0</v>
      </c>
      <c r="K245" s="24">
        <v>1</v>
      </c>
      <c r="L245" s="24">
        <v>1</v>
      </c>
      <c r="M245" s="24">
        <v>0</v>
      </c>
    </row>
    <row r="246" spans="2:13" ht="14" x14ac:dyDescent="0.2">
      <c r="B246" s="24">
        <v>32</v>
      </c>
      <c r="C246" s="24">
        <v>54</v>
      </c>
      <c r="D246" s="24">
        <v>3</v>
      </c>
      <c r="E246" s="24">
        <v>0.3</v>
      </c>
      <c r="F246" s="24">
        <v>0</v>
      </c>
      <c r="G246" s="24">
        <v>1</v>
      </c>
      <c r="H246" s="24">
        <v>0</v>
      </c>
      <c r="I246" s="24">
        <v>0</v>
      </c>
      <c r="J246" s="24">
        <v>0</v>
      </c>
      <c r="K246" s="24">
        <v>1</v>
      </c>
      <c r="L246" s="24">
        <v>1</v>
      </c>
      <c r="M246" s="24">
        <v>0</v>
      </c>
    </row>
    <row r="247" spans="2:13" ht="14" x14ac:dyDescent="0.2">
      <c r="B247" s="24">
        <v>11</v>
      </c>
      <c r="C247" s="24">
        <v>21</v>
      </c>
      <c r="D247" s="24">
        <v>2</v>
      </c>
      <c r="E247" s="24">
        <v>1</v>
      </c>
      <c r="F247" s="24">
        <v>0</v>
      </c>
      <c r="G247" s="24">
        <v>1</v>
      </c>
      <c r="H247" s="24">
        <v>0</v>
      </c>
      <c r="I247" s="24">
        <v>0</v>
      </c>
      <c r="J247" s="24">
        <v>0</v>
      </c>
      <c r="K247" s="24">
        <v>0</v>
      </c>
      <c r="L247" s="24">
        <v>0</v>
      </c>
      <c r="M247" s="24">
        <v>0</v>
      </c>
    </row>
    <row r="248" spans="2:13" ht="14" x14ac:dyDescent="0.2">
      <c r="B248" s="24">
        <v>3</v>
      </c>
      <c r="C248" s="24">
        <v>68</v>
      </c>
      <c r="D248" s="24">
        <v>4</v>
      </c>
      <c r="E248" s="24">
        <v>2</v>
      </c>
      <c r="F248" s="24">
        <v>0</v>
      </c>
      <c r="G248" s="24">
        <v>1</v>
      </c>
      <c r="H248" s="24">
        <v>0</v>
      </c>
      <c r="I248" s="24">
        <v>0</v>
      </c>
      <c r="J248" s="24">
        <v>0</v>
      </c>
      <c r="K248" s="24">
        <v>1</v>
      </c>
      <c r="L248" s="24">
        <v>0</v>
      </c>
      <c r="M248" s="24">
        <v>0</v>
      </c>
    </row>
    <row r="249" spans="2:13" ht="14" x14ac:dyDescent="0.2">
      <c r="B249" s="24">
        <v>32</v>
      </c>
      <c r="C249" s="24">
        <v>158</v>
      </c>
      <c r="D249" s="24">
        <v>1</v>
      </c>
      <c r="E249" s="24">
        <v>7.4</v>
      </c>
      <c r="F249" s="24">
        <v>1</v>
      </c>
      <c r="G249" s="24">
        <v>0</v>
      </c>
      <c r="H249" s="24">
        <v>0</v>
      </c>
      <c r="I249" s="24">
        <v>0</v>
      </c>
      <c r="J249" s="24">
        <v>0</v>
      </c>
      <c r="K249" s="24">
        <v>0</v>
      </c>
      <c r="L249" s="24">
        <v>0</v>
      </c>
      <c r="M249" s="24">
        <v>0</v>
      </c>
    </row>
    <row r="250" spans="2:13" ht="14" x14ac:dyDescent="0.2">
      <c r="B250" s="24">
        <v>32</v>
      </c>
      <c r="C250" s="24">
        <v>13</v>
      </c>
      <c r="D250" s="24">
        <v>4</v>
      </c>
      <c r="E250" s="24">
        <v>0.9</v>
      </c>
      <c r="F250" s="24">
        <v>0</v>
      </c>
      <c r="G250" s="24">
        <v>1</v>
      </c>
      <c r="H250" s="24">
        <v>78</v>
      </c>
      <c r="I250" s="24">
        <v>1</v>
      </c>
      <c r="J250" s="24">
        <v>0</v>
      </c>
      <c r="K250" s="24">
        <v>1</v>
      </c>
      <c r="L250" s="24">
        <v>0</v>
      </c>
      <c r="M250" s="24">
        <v>0</v>
      </c>
    </row>
    <row r="251" spans="2:13" ht="14" x14ac:dyDescent="0.2">
      <c r="B251" s="24">
        <v>14</v>
      </c>
      <c r="C251" s="24">
        <v>179</v>
      </c>
      <c r="D251" s="24">
        <v>1</v>
      </c>
      <c r="E251" s="24">
        <v>2.6</v>
      </c>
      <c r="F251" s="24">
        <v>0</v>
      </c>
      <c r="G251" s="24">
        <v>0</v>
      </c>
      <c r="H251" s="24">
        <v>0</v>
      </c>
      <c r="I251" s="24">
        <v>0</v>
      </c>
      <c r="J251" s="24">
        <v>0</v>
      </c>
      <c r="K251" s="24">
        <v>1</v>
      </c>
      <c r="L251" s="24">
        <v>0</v>
      </c>
      <c r="M251" s="24">
        <v>1</v>
      </c>
    </row>
    <row r="252" spans="2:13" ht="14" x14ac:dyDescent="0.2">
      <c r="B252" s="24">
        <v>26</v>
      </c>
      <c r="C252" s="24">
        <v>59</v>
      </c>
      <c r="D252" s="24">
        <v>2</v>
      </c>
      <c r="E252" s="24">
        <v>1.5</v>
      </c>
      <c r="F252" s="24">
        <v>0</v>
      </c>
      <c r="G252" s="24">
        <v>1</v>
      </c>
      <c r="H252" s="24">
        <v>239</v>
      </c>
      <c r="I252" s="24">
        <v>0</v>
      </c>
      <c r="J252" s="24">
        <v>0</v>
      </c>
      <c r="K252" s="24">
        <v>0</v>
      </c>
      <c r="L252" s="24">
        <v>1</v>
      </c>
      <c r="M252" s="24">
        <v>0</v>
      </c>
    </row>
    <row r="253" spans="2:13" ht="14" x14ac:dyDescent="0.2">
      <c r="B253" s="24">
        <v>5</v>
      </c>
      <c r="C253" s="24">
        <v>83</v>
      </c>
      <c r="D253" s="24">
        <v>3</v>
      </c>
      <c r="E253" s="24">
        <v>1.5</v>
      </c>
      <c r="F253" s="24">
        <v>1</v>
      </c>
      <c r="G253" s="24">
        <v>0</v>
      </c>
      <c r="H253" s="24">
        <v>0</v>
      </c>
      <c r="I253" s="24">
        <v>0</v>
      </c>
      <c r="J253" s="24">
        <v>0</v>
      </c>
      <c r="K253" s="24">
        <v>1</v>
      </c>
      <c r="L253" s="24">
        <v>1</v>
      </c>
      <c r="M253" s="24">
        <v>0</v>
      </c>
    </row>
    <row r="254" spans="2:13" ht="14" x14ac:dyDescent="0.2">
      <c r="B254" s="24">
        <v>3</v>
      </c>
      <c r="C254" s="24">
        <v>55</v>
      </c>
      <c r="D254" s="24">
        <v>3</v>
      </c>
      <c r="E254" s="24">
        <v>1.1000000000000001</v>
      </c>
      <c r="F254" s="24">
        <v>0</v>
      </c>
      <c r="G254" s="24">
        <v>1</v>
      </c>
      <c r="H254" s="24">
        <v>0</v>
      </c>
      <c r="I254" s="24">
        <v>0</v>
      </c>
      <c r="J254" s="24">
        <v>0</v>
      </c>
      <c r="K254" s="24">
        <v>1</v>
      </c>
      <c r="L254" s="24">
        <v>0</v>
      </c>
      <c r="M254" s="24">
        <v>0</v>
      </c>
    </row>
    <row r="255" spans="2:13" ht="14" x14ac:dyDescent="0.2">
      <c r="B255" s="24">
        <v>26</v>
      </c>
      <c r="C255" s="24">
        <v>78</v>
      </c>
      <c r="D255" s="24">
        <v>1</v>
      </c>
      <c r="E255" s="24">
        <v>1.2</v>
      </c>
      <c r="F255" s="24">
        <v>1</v>
      </c>
      <c r="G255" s="24">
        <v>0</v>
      </c>
      <c r="H255" s="24">
        <v>305</v>
      </c>
      <c r="I255" s="24">
        <v>0</v>
      </c>
      <c r="J255" s="24">
        <v>0</v>
      </c>
      <c r="K255" s="24">
        <v>1</v>
      </c>
      <c r="L255" s="24">
        <v>0</v>
      </c>
      <c r="M255" s="24">
        <v>0</v>
      </c>
    </row>
    <row r="256" spans="2:13" ht="14" x14ac:dyDescent="0.2">
      <c r="B256" s="24">
        <v>25</v>
      </c>
      <c r="C256" s="24">
        <v>83</v>
      </c>
      <c r="D256" s="24">
        <v>4</v>
      </c>
      <c r="E256" s="24">
        <v>3.6</v>
      </c>
      <c r="F256" s="24">
        <v>0</v>
      </c>
      <c r="G256" s="24">
        <v>0</v>
      </c>
      <c r="H256" s="24">
        <v>188</v>
      </c>
      <c r="I256" s="24">
        <v>0</v>
      </c>
      <c r="J256" s="24">
        <v>0</v>
      </c>
      <c r="K256" s="24">
        <v>1</v>
      </c>
      <c r="L256" s="24">
        <v>0</v>
      </c>
      <c r="M256" s="24">
        <v>0</v>
      </c>
    </row>
    <row r="257" spans="2:13" ht="14" x14ac:dyDescent="0.2">
      <c r="B257" s="24">
        <v>10</v>
      </c>
      <c r="C257" s="24">
        <v>74</v>
      </c>
      <c r="D257" s="24">
        <v>1</v>
      </c>
      <c r="E257" s="24">
        <v>2.5</v>
      </c>
      <c r="F257" s="24">
        <v>1</v>
      </c>
      <c r="G257" s="24">
        <v>0</v>
      </c>
      <c r="H257" s="24">
        <v>0</v>
      </c>
      <c r="I257" s="24">
        <v>0</v>
      </c>
      <c r="J257" s="24">
        <v>0</v>
      </c>
      <c r="K257" s="24">
        <v>0</v>
      </c>
      <c r="L257" s="24">
        <v>1</v>
      </c>
      <c r="M257" s="24">
        <v>0</v>
      </c>
    </row>
    <row r="258" spans="2:13" ht="14" x14ac:dyDescent="0.2">
      <c r="B258" s="24">
        <v>28</v>
      </c>
      <c r="C258" s="24">
        <v>31</v>
      </c>
      <c r="D258" s="24">
        <v>4</v>
      </c>
      <c r="E258" s="24">
        <v>0.2</v>
      </c>
      <c r="F258" s="24">
        <v>1</v>
      </c>
      <c r="G258" s="24">
        <v>0</v>
      </c>
      <c r="H258" s="24">
        <v>141</v>
      </c>
      <c r="I258" s="24">
        <v>0</v>
      </c>
      <c r="J258" s="24">
        <v>0</v>
      </c>
      <c r="K258" s="24">
        <v>1</v>
      </c>
      <c r="L258" s="24">
        <v>1</v>
      </c>
      <c r="M258" s="24">
        <v>0</v>
      </c>
    </row>
    <row r="259" spans="2:13" ht="14" x14ac:dyDescent="0.2">
      <c r="B259" s="24">
        <v>19</v>
      </c>
      <c r="C259" s="24">
        <v>152</v>
      </c>
      <c r="D259" s="24">
        <v>3</v>
      </c>
      <c r="E259" s="24">
        <v>6.1</v>
      </c>
      <c r="F259" s="24">
        <v>0</v>
      </c>
      <c r="G259" s="24">
        <v>1</v>
      </c>
      <c r="H259" s="24">
        <v>0</v>
      </c>
      <c r="I259" s="24">
        <v>0</v>
      </c>
      <c r="J259" s="24">
        <v>0</v>
      </c>
      <c r="K259" s="24">
        <v>0</v>
      </c>
      <c r="L259" s="24">
        <v>0</v>
      </c>
      <c r="M259" s="24">
        <v>1</v>
      </c>
    </row>
    <row r="260" spans="2:13" ht="14" x14ac:dyDescent="0.2">
      <c r="B260" s="24">
        <v>22</v>
      </c>
      <c r="C260" s="24">
        <v>122</v>
      </c>
      <c r="D260" s="24">
        <v>1</v>
      </c>
      <c r="E260" s="24">
        <v>5.0999999999999996</v>
      </c>
      <c r="F260" s="24">
        <v>0</v>
      </c>
      <c r="G260" s="24">
        <v>0</v>
      </c>
      <c r="H260" s="24">
        <v>163</v>
      </c>
      <c r="I260" s="24">
        <v>1</v>
      </c>
      <c r="J260" s="24">
        <v>0</v>
      </c>
      <c r="K260" s="24">
        <v>0</v>
      </c>
      <c r="L260" s="24">
        <v>0</v>
      </c>
      <c r="M260" s="24">
        <v>1</v>
      </c>
    </row>
    <row r="261" spans="2:13" ht="14" x14ac:dyDescent="0.2">
      <c r="B261" s="24">
        <v>7</v>
      </c>
      <c r="C261" s="24">
        <v>120</v>
      </c>
      <c r="D261" s="24">
        <v>1</v>
      </c>
      <c r="E261" s="24">
        <v>3.2</v>
      </c>
      <c r="F261" s="24">
        <v>0</v>
      </c>
      <c r="G261" s="24">
        <v>0</v>
      </c>
      <c r="H261" s="24">
        <v>0</v>
      </c>
      <c r="I261" s="24">
        <v>0</v>
      </c>
      <c r="J261" s="24">
        <v>0</v>
      </c>
      <c r="K261" s="24">
        <v>1</v>
      </c>
      <c r="L261" s="24">
        <v>0</v>
      </c>
      <c r="M261" s="24">
        <v>1</v>
      </c>
    </row>
    <row r="262" spans="2:13" ht="14" x14ac:dyDescent="0.2">
      <c r="B262" s="24">
        <v>25</v>
      </c>
      <c r="C262" s="24">
        <v>148</v>
      </c>
      <c r="D262" s="24">
        <v>1</v>
      </c>
      <c r="E262" s="24">
        <v>1</v>
      </c>
      <c r="F262" s="24">
        <v>1</v>
      </c>
      <c r="G262" s="24">
        <v>0</v>
      </c>
      <c r="H262" s="24">
        <v>0</v>
      </c>
      <c r="I262" s="24">
        <v>0</v>
      </c>
      <c r="J262" s="24">
        <v>0</v>
      </c>
      <c r="K262" s="24">
        <v>0</v>
      </c>
      <c r="L262" s="24">
        <v>0</v>
      </c>
      <c r="M262" s="24">
        <v>0</v>
      </c>
    </row>
    <row r="263" spans="2:13" ht="14" x14ac:dyDescent="0.2">
      <c r="B263" s="24">
        <v>20</v>
      </c>
      <c r="C263" s="24">
        <v>74</v>
      </c>
      <c r="D263" s="24">
        <v>4</v>
      </c>
      <c r="E263" s="24">
        <v>2.6</v>
      </c>
      <c r="F263" s="24">
        <v>0</v>
      </c>
      <c r="G263" s="24">
        <v>0</v>
      </c>
      <c r="H263" s="24">
        <v>104</v>
      </c>
      <c r="I263" s="24">
        <v>0</v>
      </c>
      <c r="J263" s="24">
        <v>0</v>
      </c>
      <c r="K263" s="24">
        <v>1</v>
      </c>
      <c r="L263" s="24">
        <v>0</v>
      </c>
      <c r="M263" s="24">
        <v>0</v>
      </c>
    </row>
    <row r="264" spans="2:13" ht="14" x14ac:dyDescent="0.2">
      <c r="B264" s="24">
        <v>39</v>
      </c>
      <c r="C264" s="24">
        <v>101</v>
      </c>
      <c r="D264" s="24">
        <v>1</v>
      </c>
      <c r="E264" s="24">
        <v>3.9</v>
      </c>
      <c r="F264" s="24">
        <v>1</v>
      </c>
      <c r="G264" s="24">
        <v>0</v>
      </c>
      <c r="H264" s="24">
        <v>0</v>
      </c>
      <c r="I264" s="24">
        <v>1</v>
      </c>
      <c r="J264" s="24">
        <v>1</v>
      </c>
      <c r="K264" s="24">
        <v>1</v>
      </c>
      <c r="L264" s="24">
        <v>0</v>
      </c>
      <c r="M264" s="24">
        <v>1</v>
      </c>
    </row>
    <row r="265" spans="2:13" ht="14" x14ac:dyDescent="0.2">
      <c r="B265" s="24">
        <v>28</v>
      </c>
      <c r="C265" s="24">
        <v>161</v>
      </c>
      <c r="D265" s="24">
        <v>1</v>
      </c>
      <c r="E265" s="24">
        <v>2.9</v>
      </c>
      <c r="F265" s="24">
        <v>1</v>
      </c>
      <c r="G265" s="24">
        <v>0</v>
      </c>
      <c r="H265" s="24">
        <v>0</v>
      </c>
      <c r="I265" s="24">
        <v>0</v>
      </c>
      <c r="J265" s="24">
        <v>0</v>
      </c>
      <c r="K265" s="24">
        <v>1</v>
      </c>
      <c r="L265" s="24">
        <v>0</v>
      </c>
      <c r="M265" s="24">
        <v>0</v>
      </c>
    </row>
    <row r="266" spans="2:13" ht="14" x14ac:dyDescent="0.2">
      <c r="B266" s="24">
        <v>0</v>
      </c>
      <c r="C266" s="24">
        <v>179</v>
      </c>
      <c r="D266" s="24">
        <v>4</v>
      </c>
      <c r="E266" s="24">
        <v>2.1</v>
      </c>
      <c r="F266" s="24">
        <v>0</v>
      </c>
      <c r="G266" s="24">
        <v>1</v>
      </c>
      <c r="H266" s="24">
        <v>0</v>
      </c>
      <c r="I266" s="24">
        <v>0</v>
      </c>
      <c r="J266" s="24">
        <v>0</v>
      </c>
      <c r="K266" s="24">
        <v>0</v>
      </c>
      <c r="L266" s="24">
        <v>0</v>
      </c>
      <c r="M266" s="24">
        <v>1</v>
      </c>
    </row>
    <row r="267" spans="2:13" ht="14" x14ac:dyDescent="0.2">
      <c r="B267" s="24">
        <v>23</v>
      </c>
      <c r="C267" s="24">
        <v>178</v>
      </c>
      <c r="D267" s="24">
        <v>1</v>
      </c>
      <c r="E267" s="24">
        <v>6.5</v>
      </c>
      <c r="F267" s="24">
        <v>0</v>
      </c>
      <c r="G267" s="24">
        <v>0</v>
      </c>
      <c r="H267" s="24">
        <v>0</v>
      </c>
      <c r="I267" s="24">
        <v>0</v>
      </c>
      <c r="J267" s="24">
        <v>0</v>
      </c>
      <c r="K267" s="24">
        <v>0</v>
      </c>
      <c r="L267" s="24">
        <v>0</v>
      </c>
      <c r="M267" s="24">
        <v>1</v>
      </c>
    </row>
    <row r="268" spans="2:13" ht="14" x14ac:dyDescent="0.2">
      <c r="B268" s="24">
        <v>33</v>
      </c>
      <c r="C268" s="24">
        <v>71</v>
      </c>
      <c r="D268" s="24">
        <v>2</v>
      </c>
      <c r="E268" s="24">
        <v>2.2999999999999998</v>
      </c>
      <c r="F268" s="24">
        <v>0</v>
      </c>
      <c r="G268" s="24">
        <v>0</v>
      </c>
      <c r="H268" s="24">
        <v>150</v>
      </c>
      <c r="I268" s="24">
        <v>0</v>
      </c>
      <c r="J268" s="24">
        <v>0</v>
      </c>
      <c r="K268" s="24">
        <v>1</v>
      </c>
      <c r="L268" s="24">
        <v>1</v>
      </c>
      <c r="M268" s="24">
        <v>0</v>
      </c>
    </row>
    <row r="269" spans="2:13" ht="14" x14ac:dyDescent="0.2">
      <c r="B269" s="24">
        <v>13</v>
      </c>
      <c r="C269" s="24">
        <v>140</v>
      </c>
      <c r="D269" s="24">
        <v>4</v>
      </c>
      <c r="E269" s="24">
        <v>0.5</v>
      </c>
      <c r="F269" s="24">
        <v>1</v>
      </c>
      <c r="G269" s="24">
        <v>0</v>
      </c>
      <c r="H269" s="24">
        <v>0</v>
      </c>
      <c r="I269" s="24">
        <v>0</v>
      </c>
      <c r="J269" s="24">
        <v>0</v>
      </c>
      <c r="K269" s="24">
        <v>0</v>
      </c>
      <c r="L269" s="24">
        <v>0</v>
      </c>
      <c r="M269" s="24">
        <v>1</v>
      </c>
    </row>
    <row r="270" spans="2:13" ht="14" x14ac:dyDescent="0.2">
      <c r="B270" s="24">
        <v>9</v>
      </c>
      <c r="C270" s="24">
        <v>178</v>
      </c>
      <c r="D270" s="24">
        <v>1</v>
      </c>
      <c r="E270" s="24">
        <v>0.8</v>
      </c>
      <c r="F270" s="24">
        <v>0</v>
      </c>
      <c r="G270" s="24">
        <v>0</v>
      </c>
      <c r="H270" s="24">
        <v>0</v>
      </c>
      <c r="I270" s="24">
        <v>0</v>
      </c>
      <c r="J270" s="24">
        <v>0</v>
      </c>
      <c r="K270" s="24">
        <v>0</v>
      </c>
      <c r="L270" s="24">
        <v>0</v>
      </c>
      <c r="M270" s="24">
        <v>1</v>
      </c>
    </row>
    <row r="271" spans="2:13" ht="14" x14ac:dyDescent="0.2">
      <c r="B271" s="24">
        <v>36</v>
      </c>
      <c r="C271" s="24">
        <v>145</v>
      </c>
      <c r="D271" s="24">
        <v>4</v>
      </c>
      <c r="E271" s="24">
        <v>6.9</v>
      </c>
      <c r="F271" s="24">
        <v>1</v>
      </c>
      <c r="G271" s="24">
        <v>0</v>
      </c>
      <c r="H271" s="24">
        <v>380</v>
      </c>
      <c r="I271" s="24">
        <v>0</v>
      </c>
      <c r="J271" s="24">
        <v>0</v>
      </c>
      <c r="K271" s="24">
        <v>0</v>
      </c>
      <c r="L271" s="24">
        <v>1</v>
      </c>
      <c r="M271" s="24">
        <v>1</v>
      </c>
    </row>
    <row r="272" spans="2:13" ht="14" x14ac:dyDescent="0.2">
      <c r="B272" s="24">
        <v>36</v>
      </c>
      <c r="C272" s="24">
        <v>153</v>
      </c>
      <c r="D272" s="24">
        <v>1</v>
      </c>
      <c r="E272" s="24">
        <v>2.6</v>
      </c>
      <c r="F272" s="24">
        <v>0</v>
      </c>
      <c r="G272" s="24">
        <v>1</v>
      </c>
      <c r="H272" s="24">
        <v>0</v>
      </c>
      <c r="I272" s="24">
        <v>1</v>
      </c>
      <c r="J272" s="24">
        <v>1</v>
      </c>
      <c r="K272" s="24">
        <v>0</v>
      </c>
      <c r="L272" s="24">
        <v>1</v>
      </c>
      <c r="M272" s="24">
        <v>1</v>
      </c>
    </row>
    <row r="273" spans="2:13" ht="14" x14ac:dyDescent="0.2">
      <c r="B273" s="24">
        <v>30</v>
      </c>
      <c r="C273" s="24">
        <v>69</v>
      </c>
      <c r="D273" s="24">
        <v>4</v>
      </c>
      <c r="E273" s="24">
        <v>1.3</v>
      </c>
      <c r="F273" s="24">
        <v>0</v>
      </c>
      <c r="G273" s="24">
        <v>0</v>
      </c>
      <c r="H273" s="24">
        <v>0</v>
      </c>
      <c r="I273" s="24">
        <v>1</v>
      </c>
      <c r="J273" s="24">
        <v>1</v>
      </c>
      <c r="K273" s="24">
        <v>1</v>
      </c>
      <c r="L273" s="24">
        <v>1</v>
      </c>
      <c r="M273" s="24">
        <v>0</v>
      </c>
    </row>
    <row r="274" spans="2:13" ht="14" x14ac:dyDescent="0.2">
      <c r="B274" s="24">
        <v>26</v>
      </c>
      <c r="C274" s="24">
        <v>179</v>
      </c>
      <c r="D274" s="24">
        <v>1</v>
      </c>
      <c r="E274" s="24">
        <v>2.9</v>
      </c>
      <c r="F274" s="24">
        <v>0</v>
      </c>
      <c r="G274" s="24">
        <v>0</v>
      </c>
      <c r="H274" s="24">
        <v>0</v>
      </c>
      <c r="I274" s="24">
        <v>0</v>
      </c>
      <c r="J274" s="24">
        <v>0</v>
      </c>
      <c r="K274" s="24">
        <v>0</v>
      </c>
      <c r="L274" s="24">
        <v>1</v>
      </c>
      <c r="M274" s="24">
        <v>1</v>
      </c>
    </row>
    <row r="275" spans="2:13" ht="14" x14ac:dyDescent="0.2">
      <c r="B275" s="24">
        <v>13</v>
      </c>
      <c r="C275" s="24">
        <v>78</v>
      </c>
      <c r="D275" s="24">
        <v>4</v>
      </c>
      <c r="E275" s="24">
        <v>0.1</v>
      </c>
      <c r="F275" s="24">
        <v>0</v>
      </c>
      <c r="G275" s="24">
        <v>1</v>
      </c>
      <c r="H275" s="24">
        <v>0</v>
      </c>
      <c r="I275" s="24">
        <v>0</v>
      </c>
      <c r="J275" s="24">
        <v>0</v>
      </c>
      <c r="K275" s="24">
        <v>1</v>
      </c>
      <c r="L275" s="24">
        <v>0</v>
      </c>
      <c r="M275" s="24">
        <v>0</v>
      </c>
    </row>
    <row r="276" spans="2:13" ht="14" x14ac:dyDescent="0.2">
      <c r="B276" s="24">
        <v>33</v>
      </c>
      <c r="C276" s="24">
        <v>18</v>
      </c>
      <c r="D276" s="24">
        <v>3</v>
      </c>
      <c r="E276" s="24">
        <v>0.1</v>
      </c>
      <c r="F276" s="24">
        <v>0</v>
      </c>
      <c r="G276" s="24">
        <v>1</v>
      </c>
      <c r="H276" s="24">
        <v>110</v>
      </c>
      <c r="I276" s="24">
        <v>0</v>
      </c>
      <c r="J276" s="24">
        <v>0</v>
      </c>
      <c r="K276" s="24">
        <v>1</v>
      </c>
      <c r="L276" s="24">
        <v>0</v>
      </c>
      <c r="M276" s="24">
        <v>0</v>
      </c>
    </row>
    <row r="277" spans="2:13" ht="14" x14ac:dyDescent="0.2">
      <c r="B277" s="24">
        <v>3</v>
      </c>
      <c r="C277" s="24">
        <v>148</v>
      </c>
      <c r="D277" s="24">
        <v>3</v>
      </c>
      <c r="E277" s="24">
        <v>4.0999999999999996</v>
      </c>
      <c r="F277" s="24">
        <v>1</v>
      </c>
      <c r="G277" s="24">
        <v>0</v>
      </c>
      <c r="H277" s="24">
        <v>0</v>
      </c>
      <c r="I277" s="24">
        <v>0</v>
      </c>
      <c r="J277" s="24">
        <v>0</v>
      </c>
      <c r="K277" s="24">
        <v>1</v>
      </c>
      <c r="L277" s="24">
        <v>0</v>
      </c>
      <c r="M277" s="24">
        <v>1</v>
      </c>
    </row>
    <row r="278" spans="2:13" ht="14" x14ac:dyDescent="0.2">
      <c r="B278" s="24">
        <v>33</v>
      </c>
      <c r="C278" s="24">
        <v>154</v>
      </c>
      <c r="D278" s="24">
        <v>1</v>
      </c>
      <c r="E278" s="24">
        <v>3</v>
      </c>
      <c r="F278" s="24">
        <v>0</v>
      </c>
      <c r="G278" s="24">
        <v>1</v>
      </c>
      <c r="H278" s="24">
        <v>0</v>
      </c>
      <c r="I278" s="24">
        <v>1</v>
      </c>
      <c r="J278" s="24">
        <v>1</v>
      </c>
      <c r="K278" s="24">
        <v>1</v>
      </c>
      <c r="L278" s="24">
        <v>0</v>
      </c>
      <c r="M278" s="24">
        <v>1</v>
      </c>
    </row>
    <row r="279" spans="2:13" ht="14" x14ac:dyDescent="0.2">
      <c r="B279" s="24">
        <v>28</v>
      </c>
      <c r="C279" s="24">
        <v>192</v>
      </c>
      <c r="D279" s="24">
        <v>2</v>
      </c>
      <c r="E279" s="24">
        <v>6.4</v>
      </c>
      <c r="F279" s="24">
        <v>0</v>
      </c>
      <c r="G279" s="24">
        <v>0</v>
      </c>
      <c r="H279" s="24">
        <v>0</v>
      </c>
      <c r="I279" s="24">
        <v>0</v>
      </c>
      <c r="J279" s="24">
        <v>0</v>
      </c>
      <c r="K279" s="24">
        <v>0</v>
      </c>
      <c r="L279" s="24">
        <v>0</v>
      </c>
      <c r="M279" s="24">
        <v>1</v>
      </c>
    </row>
    <row r="280" spans="2:13" ht="14" x14ac:dyDescent="0.2">
      <c r="B280" s="24">
        <v>9</v>
      </c>
      <c r="C280" s="24">
        <v>109</v>
      </c>
      <c r="D280" s="24">
        <v>3</v>
      </c>
      <c r="E280" s="24">
        <v>4</v>
      </c>
      <c r="F280" s="24">
        <v>1</v>
      </c>
      <c r="G280" s="24">
        <v>0</v>
      </c>
      <c r="H280" s="24">
        <v>0</v>
      </c>
      <c r="I280" s="24">
        <v>0</v>
      </c>
      <c r="J280" s="24">
        <v>0</v>
      </c>
      <c r="K280" s="24">
        <v>0</v>
      </c>
      <c r="L280" s="24">
        <v>0</v>
      </c>
      <c r="M280" s="24">
        <v>1</v>
      </c>
    </row>
    <row r="281" spans="2:13" ht="14" x14ac:dyDescent="0.2">
      <c r="B281" s="24">
        <v>21</v>
      </c>
      <c r="C281" s="24">
        <v>193</v>
      </c>
      <c r="D281" s="24">
        <v>2</v>
      </c>
      <c r="E281" s="24">
        <v>8.1</v>
      </c>
      <c r="F281" s="24">
        <v>0</v>
      </c>
      <c r="G281" s="24">
        <v>0</v>
      </c>
      <c r="H281" s="24">
        <v>0</v>
      </c>
      <c r="I281" s="24">
        <v>0</v>
      </c>
      <c r="J281" s="24">
        <v>0</v>
      </c>
      <c r="K281" s="24">
        <v>0</v>
      </c>
      <c r="L281" s="24">
        <v>0</v>
      </c>
      <c r="M281" s="24">
        <v>1</v>
      </c>
    </row>
    <row r="282" spans="2:13" ht="14" x14ac:dyDescent="0.2">
      <c r="B282" s="24">
        <v>10</v>
      </c>
      <c r="C282" s="24">
        <v>81</v>
      </c>
      <c r="D282" s="24">
        <v>3</v>
      </c>
      <c r="E282" s="24">
        <v>0.6</v>
      </c>
      <c r="F282" s="24">
        <v>0</v>
      </c>
      <c r="G282" s="24">
        <v>1</v>
      </c>
      <c r="H282" s="24">
        <v>104</v>
      </c>
      <c r="I282" s="24">
        <v>0</v>
      </c>
      <c r="J282" s="24">
        <v>0</v>
      </c>
      <c r="K282" s="24">
        <v>1</v>
      </c>
      <c r="L282" s="24">
        <v>0</v>
      </c>
      <c r="M282" s="24">
        <v>0</v>
      </c>
    </row>
    <row r="283" spans="2:13" ht="14" x14ac:dyDescent="0.2">
      <c r="B283" s="24">
        <v>26</v>
      </c>
      <c r="C283" s="24">
        <v>28</v>
      </c>
      <c r="D283" s="24">
        <v>4</v>
      </c>
      <c r="E283" s="24">
        <v>0.2</v>
      </c>
      <c r="F283" s="24">
        <v>0</v>
      </c>
      <c r="G283" s="24">
        <v>1</v>
      </c>
      <c r="H283" s="24">
        <v>0</v>
      </c>
      <c r="I283" s="24">
        <v>1</v>
      </c>
      <c r="J283" s="24">
        <v>0</v>
      </c>
      <c r="K283" s="24">
        <v>1</v>
      </c>
      <c r="L283" s="24">
        <v>0</v>
      </c>
      <c r="M283" s="24">
        <v>0</v>
      </c>
    </row>
    <row r="284" spans="2:13" ht="14" x14ac:dyDescent="0.2">
      <c r="B284" s="24">
        <v>3</v>
      </c>
      <c r="C284" s="24">
        <v>148</v>
      </c>
      <c r="D284" s="24">
        <v>1</v>
      </c>
      <c r="E284" s="24">
        <v>1.5</v>
      </c>
      <c r="F284" s="24">
        <v>1</v>
      </c>
      <c r="G284" s="24">
        <v>0</v>
      </c>
      <c r="H284" s="24">
        <v>397</v>
      </c>
      <c r="I284" s="24">
        <v>0</v>
      </c>
      <c r="J284" s="24">
        <v>0</v>
      </c>
      <c r="K284" s="24">
        <v>1</v>
      </c>
      <c r="L284" s="24">
        <v>1</v>
      </c>
      <c r="M284" s="24">
        <v>0</v>
      </c>
    </row>
    <row r="285" spans="2:13" ht="14" x14ac:dyDescent="0.2">
      <c r="B285" s="24">
        <v>18</v>
      </c>
      <c r="C285" s="24">
        <v>84</v>
      </c>
      <c r="D285" s="24">
        <v>3</v>
      </c>
      <c r="E285" s="24">
        <v>1.1000000000000001</v>
      </c>
      <c r="F285" s="24">
        <v>1</v>
      </c>
      <c r="G285" s="24">
        <v>0</v>
      </c>
      <c r="H285" s="24">
        <v>0</v>
      </c>
      <c r="I285" s="24">
        <v>0</v>
      </c>
      <c r="J285" s="24">
        <v>0</v>
      </c>
      <c r="K285" s="24">
        <v>0</v>
      </c>
      <c r="L285" s="24">
        <v>0</v>
      </c>
      <c r="M285" s="24">
        <v>0</v>
      </c>
    </row>
    <row r="286" spans="2:13" ht="14" x14ac:dyDescent="0.2">
      <c r="B286" s="24">
        <v>18</v>
      </c>
      <c r="C286" s="24">
        <v>140</v>
      </c>
      <c r="D286" s="24">
        <v>1</v>
      </c>
      <c r="E286" s="24">
        <v>7</v>
      </c>
      <c r="F286" s="24">
        <v>1</v>
      </c>
      <c r="G286" s="24">
        <v>0</v>
      </c>
      <c r="H286" s="24">
        <v>205</v>
      </c>
      <c r="I286" s="24">
        <v>0</v>
      </c>
      <c r="J286" s="24">
        <v>0</v>
      </c>
      <c r="K286" s="24">
        <v>1</v>
      </c>
      <c r="L286" s="24">
        <v>0</v>
      </c>
      <c r="M286" s="24">
        <v>0</v>
      </c>
    </row>
    <row r="287" spans="2:13" ht="14" x14ac:dyDescent="0.2">
      <c r="B287" s="24">
        <v>5</v>
      </c>
      <c r="C287" s="24">
        <v>125</v>
      </c>
      <c r="D287" s="24">
        <v>2</v>
      </c>
      <c r="E287" s="24">
        <v>1.3</v>
      </c>
      <c r="F287" s="24">
        <v>1</v>
      </c>
      <c r="G287" s="24">
        <v>0</v>
      </c>
      <c r="H287" s="24">
        <v>0</v>
      </c>
      <c r="I287" s="24">
        <v>0</v>
      </c>
      <c r="J287" s="24">
        <v>0</v>
      </c>
      <c r="K287" s="24">
        <v>1</v>
      </c>
      <c r="L287" s="24">
        <v>1</v>
      </c>
      <c r="M287" s="24">
        <v>0</v>
      </c>
    </row>
    <row r="288" spans="2:13" ht="14" x14ac:dyDescent="0.2">
      <c r="B288" s="24">
        <v>23</v>
      </c>
      <c r="C288" s="24">
        <v>94</v>
      </c>
      <c r="D288" s="24">
        <v>1</v>
      </c>
      <c r="E288" s="24">
        <v>0.3</v>
      </c>
      <c r="F288" s="24">
        <v>1</v>
      </c>
      <c r="G288" s="24">
        <v>0</v>
      </c>
      <c r="H288" s="24">
        <v>0</v>
      </c>
      <c r="I288" s="24">
        <v>0</v>
      </c>
      <c r="J288" s="24">
        <v>0</v>
      </c>
      <c r="K288" s="24">
        <v>1</v>
      </c>
      <c r="L288" s="24">
        <v>0</v>
      </c>
      <c r="M288" s="24">
        <v>0</v>
      </c>
    </row>
    <row r="289" spans="2:13" ht="14" x14ac:dyDescent="0.2">
      <c r="B289" s="24">
        <v>3</v>
      </c>
      <c r="C289" s="24">
        <v>134</v>
      </c>
      <c r="D289" s="24">
        <v>2</v>
      </c>
      <c r="E289" s="24">
        <v>3.1</v>
      </c>
      <c r="F289" s="24">
        <v>1</v>
      </c>
      <c r="G289" s="24">
        <v>0</v>
      </c>
      <c r="H289" s="24">
        <v>0</v>
      </c>
      <c r="I289" s="24">
        <v>0</v>
      </c>
      <c r="J289" s="24">
        <v>0</v>
      </c>
      <c r="K289" s="24">
        <v>1</v>
      </c>
      <c r="L289" s="24">
        <v>0</v>
      </c>
      <c r="M289" s="24">
        <v>0</v>
      </c>
    </row>
    <row r="290" spans="2:13" ht="14" x14ac:dyDescent="0.2">
      <c r="B290" s="24">
        <v>12</v>
      </c>
      <c r="C290" s="24">
        <v>81</v>
      </c>
      <c r="D290" s="24">
        <v>1</v>
      </c>
      <c r="E290" s="24">
        <v>2.8</v>
      </c>
      <c r="F290" s="24">
        <v>1</v>
      </c>
      <c r="G290" s="24">
        <v>0</v>
      </c>
      <c r="H290" s="24">
        <v>0</v>
      </c>
      <c r="I290" s="24">
        <v>0</v>
      </c>
      <c r="J290" s="24">
        <v>0</v>
      </c>
      <c r="K290" s="24">
        <v>0</v>
      </c>
      <c r="L290" s="24">
        <v>0</v>
      </c>
      <c r="M290" s="24">
        <v>0</v>
      </c>
    </row>
    <row r="291" spans="2:13" ht="14" x14ac:dyDescent="0.2">
      <c r="B291" s="24">
        <v>6</v>
      </c>
      <c r="C291" s="24">
        <v>42</v>
      </c>
      <c r="D291" s="24">
        <v>1</v>
      </c>
      <c r="E291" s="24">
        <v>0.2</v>
      </c>
      <c r="F291" s="24">
        <v>0</v>
      </c>
      <c r="G291" s="24">
        <v>0</v>
      </c>
      <c r="H291" s="24">
        <v>100</v>
      </c>
      <c r="I291" s="24">
        <v>0</v>
      </c>
      <c r="J291" s="24">
        <v>0</v>
      </c>
      <c r="K291" s="24">
        <v>0</v>
      </c>
      <c r="L291" s="24">
        <v>1</v>
      </c>
      <c r="M291" s="24">
        <v>0</v>
      </c>
    </row>
    <row r="292" spans="2:13" ht="14" x14ac:dyDescent="0.2">
      <c r="B292" s="24">
        <v>32</v>
      </c>
      <c r="C292" s="24">
        <v>191</v>
      </c>
      <c r="D292" s="24">
        <v>1</v>
      </c>
      <c r="E292" s="24">
        <v>2.9</v>
      </c>
      <c r="F292" s="24">
        <v>1</v>
      </c>
      <c r="G292" s="24">
        <v>0</v>
      </c>
      <c r="H292" s="24">
        <v>0</v>
      </c>
      <c r="I292" s="24">
        <v>0</v>
      </c>
      <c r="J292" s="24">
        <v>0</v>
      </c>
      <c r="K292" s="24">
        <v>0</v>
      </c>
      <c r="L292" s="24">
        <v>0</v>
      </c>
      <c r="M292" s="24">
        <v>0</v>
      </c>
    </row>
    <row r="293" spans="2:13" ht="14" x14ac:dyDescent="0.2">
      <c r="B293" s="24">
        <v>16</v>
      </c>
      <c r="C293" s="24">
        <v>8</v>
      </c>
      <c r="D293" s="24">
        <v>3</v>
      </c>
      <c r="E293" s="24">
        <v>0.66666666666666696</v>
      </c>
      <c r="F293" s="24">
        <v>0</v>
      </c>
      <c r="G293" s="24">
        <v>1</v>
      </c>
      <c r="H293" s="24">
        <v>88</v>
      </c>
      <c r="I293" s="24">
        <v>0</v>
      </c>
      <c r="J293" s="24">
        <v>0</v>
      </c>
      <c r="K293" s="24">
        <v>1</v>
      </c>
      <c r="L293" s="24">
        <v>0</v>
      </c>
      <c r="M293" s="24">
        <v>0</v>
      </c>
    </row>
    <row r="294" spans="2:13" ht="14" x14ac:dyDescent="0.2">
      <c r="B294" s="24">
        <v>20</v>
      </c>
      <c r="C294" s="24">
        <v>138</v>
      </c>
      <c r="D294" s="24">
        <v>1</v>
      </c>
      <c r="E294" s="24">
        <v>7</v>
      </c>
      <c r="F294" s="24">
        <v>1</v>
      </c>
      <c r="G294" s="24">
        <v>0</v>
      </c>
      <c r="H294" s="24">
        <v>0</v>
      </c>
      <c r="I294" s="24">
        <v>0</v>
      </c>
      <c r="J294" s="24">
        <v>0</v>
      </c>
      <c r="K294" s="24">
        <v>0</v>
      </c>
      <c r="L294" s="24">
        <v>1</v>
      </c>
      <c r="M294" s="24">
        <v>0</v>
      </c>
    </row>
    <row r="295" spans="2:13" ht="14" x14ac:dyDescent="0.2">
      <c r="B295" s="24">
        <v>9</v>
      </c>
      <c r="C295" s="24">
        <v>104</v>
      </c>
      <c r="D295" s="24">
        <v>3</v>
      </c>
      <c r="E295" s="24">
        <v>1.2</v>
      </c>
      <c r="F295" s="24">
        <v>0</v>
      </c>
      <c r="G295" s="24">
        <v>0</v>
      </c>
      <c r="H295" s="24">
        <v>0</v>
      </c>
      <c r="I295" s="24">
        <v>0</v>
      </c>
      <c r="J295" s="24">
        <v>0</v>
      </c>
      <c r="K295" s="24">
        <v>1</v>
      </c>
      <c r="L295" s="24">
        <v>0</v>
      </c>
      <c r="M295" s="24">
        <v>0</v>
      </c>
    </row>
    <row r="296" spans="2:13" ht="14" x14ac:dyDescent="0.2">
      <c r="B296" s="24">
        <v>27</v>
      </c>
      <c r="C296" s="24">
        <v>92</v>
      </c>
      <c r="D296" s="24">
        <v>2</v>
      </c>
      <c r="E296" s="24">
        <v>1.1000000000000001</v>
      </c>
      <c r="F296" s="24">
        <v>1</v>
      </c>
      <c r="G296" s="24">
        <v>0</v>
      </c>
      <c r="H296" s="24">
        <v>0</v>
      </c>
      <c r="I296" s="24">
        <v>1</v>
      </c>
      <c r="J296" s="24">
        <v>0</v>
      </c>
      <c r="K296" s="24">
        <v>0</v>
      </c>
      <c r="L296" s="24">
        <v>0</v>
      </c>
      <c r="M296" s="24">
        <v>0</v>
      </c>
    </row>
    <row r="297" spans="2:13" ht="14" x14ac:dyDescent="0.2">
      <c r="B297" s="24">
        <v>28</v>
      </c>
      <c r="C297" s="24">
        <v>118</v>
      </c>
      <c r="D297" s="24">
        <v>2</v>
      </c>
      <c r="E297" s="24">
        <v>6.8</v>
      </c>
      <c r="F297" s="24">
        <v>1</v>
      </c>
      <c r="G297" s="24">
        <v>0</v>
      </c>
      <c r="H297" s="24">
        <v>112</v>
      </c>
      <c r="I297" s="24">
        <v>0</v>
      </c>
      <c r="J297" s="24">
        <v>0</v>
      </c>
      <c r="K297" s="24">
        <v>1</v>
      </c>
      <c r="L297" s="24">
        <v>0</v>
      </c>
      <c r="M297" s="24">
        <v>0</v>
      </c>
    </row>
    <row r="298" spans="2:13" ht="14" x14ac:dyDescent="0.2">
      <c r="B298" s="24">
        <v>18</v>
      </c>
      <c r="C298" s="24">
        <v>59</v>
      </c>
      <c r="D298" s="24">
        <v>1</v>
      </c>
      <c r="E298" s="24">
        <v>3.7</v>
      </c>
      <c r="F298" s="24">
        <v>0</v>
      </c>
      <c r="G298" s="24">
        <v>0</v>
      </c>
      <c r="H298" s="24">
        <v>0</v>
      </c>
      <c r="I298" s="24">
        <v>0</v>
      </c>
      <c r="J298" s="24">
        <v>0</v>
      </c>
      <c r="K298" s="24">
        <v>1</v>
      </c>
      <c r="L298" s="24">
        <v>0</v>
      </c>
      <c r="M298" s="24">
        <v>0</v>
      </c>
    </row>
    <row r="299" spans="2:13" ht="14" x14ac:dyDescent="0.2">
      <c r="B299" s="24">
        <v>24</v>
      </c>
      <c r="C299" s="24">
        <v>50</v>
      </c>
      <c r="D299" s="24">
        <v>3</v>
      </c>
      <c r="E299" s="24">
        <v>2</v>
      </c>
      <c r="F299" s="24">
        <v>0</v>
      </c>
      <c r="G299" s="24">
        <v>0</v>
      </c>
      <c r="H299" s="24">
        <v>0</v>
      </c>
      <c r="I299" s="24">
        <v>0</v>
      </c>
      <c r="J299" s="24">
        <v>0</v>
      </c>
      <c r="K299" s="24">
        <v>1</v>
      </c>
      <c r="L299" s="24">
        <v>1</v>
      </c>
      <c r="M299" s="24">
        <v>0</v>
      </c>
    </row>
    <row r="300" spans="2:13" ht="14" x14ac:dyDescent="0.2">
      <c r="B300" s="24">
        <v>14</v>
      </c>
      <c r="C300" s="24">
        <v>90</v>
      </c>
      <c r="D300" s="24">
        <v>2</v>
      </c>
      <c r="E300" s="24">
        <v>2.7</v>
      </c>
      <c r="F300" s="24">
        <v>1</v>
      </c>
      <c r="G300" s="24">
        <v>0</v>
      </c>
      <c r="H300" s="24">
        <v>0</v>
      </c>
      <c r="I300" s="24">
        <v>0</v>
      </c>
      <c r="J300" s="24">
        <v>0</v>
      </c>
      <c r="K300" s="24">
        <v>1</v>
      </c>
      <c r="L300" s="24">
        <v>1</v>
      </c>
      <c r="M300" s="24">
        <v>0</v>
      </c>
    </row>
    <row r="301" spans="2:13" ht="14" x14ac:dyDescent="0.2">
      <c r="B301" s="24">
        <v>25</v>
      </c>
      <c r="C301" s="24">
        <v>23</v>
      </c>
      <c r="D301" s="24">
        <v>4</v>
      </c>
      <c r="E301" s="24">
        <v>0.4</v>
      </c>
      <c r="F301" s="24">
        <v>0</v>
      </c>
      <c r="G301" s="24">
        <v>0</v>
      </c>
      <c r="H301" s="24">
        <v>88</v>
      </c>
      <c r="I301" s="24">
        <v>0</v>
      </c>
      <c r="J301" s="24">
        <v>0</v>
      </c>
      <c r="K301" s="24">
        <v>0</v>
      </c>
      <c r="L301" s="24">
        <v>0</v>
      </c>
      <c r="M301" s="24">
        <v>0</v>
      </c>
    </row>
    <row r="302" spans="2:13" ht="14" x14ac:dyDescent="0.2">
      <c r="B302" s="24">
        <v>29</v>
      </c>
      <c r="C302" s="24">
        <v>55</v>
      </c>
      <c r="D302" s="24">
        <v>4</v>
      </c>
      <c r="E302" s="24">
        <v>1.1000000000000001</v>
      </c>
      <c r="F302" s="24">
        <v>0</v>
      </c>
      <c r="G302" s="24">
        <v>1</v>
      </c>
      <c r="H302" s="24">
        <v>0</v>
      </c>
      <c r="I302" s="24">
        <v>0</v>
      </c>
      <c r="J302" s="24">
        <v>0</v>
      </c>
      <c r="K302" s="24">
        <v>1</v>
      </c>
      <c r="L302" s="24">
        <v>0</v>
      </c>
      <c r="M302" s="24">
        <v>0</v>
      </c>
    </row>
    <row r="303" spans="2:13" ht="14" x14ac:dyDescent="0.2">
      <c r="B303" s="24">
        <v>39</v>
      </c>
      <c r="C303" s="24">
        <v>129</v>
      </c>
      <c r="D303" s="24">
        <v>1</v>
      </c>
      <c r="E303" s="24">
        <v>2.5</v>
      </c>
      <c r="F303" s="24">
        <v>1</v>
      </c>
      <c r="G303" s="24">
        <v>0</v>
      </c>
      <c r="H303" s="24">
        <v>0</v>
      </c>
      <c r="I303" s="24">
        <v>0</v>
      </c>
      <c r="J303" s="24">
        <v>0</v>
      </c>
      <c r="K303" s="24">
        <v>1</v>
      </c>
      <c r="L303" s="24">
        <v>0</v>
      </c>
      <c r="M303" s="24">
        <v>0</v>
      </c>
    </row>
    <row r="304" spans="2:13" ht="14" x14ac:dyDescent="0.2">
      <c r="B304" s="24">
        <v>33</v>
      </c>
      <c r="C304" s="24">
        <v>52</v>
      </c>
      <c r="D304" s="24">
        <v>4</v>
      </c>
      <c r="E304" s="24">
        <v>1.6666666666666701</v>
      </c>
      <c r="F304" s="24">
        <v>0</v>
      </c>
      <c r="G304" s="24">
        <v>0</v>
      </c>
      <c r="H304" s="24">
        <v>0</v>
      </c>
      <c r="I304" s="24">
        <v>0</v>
      </c>
      <c r="J304" s="24">
        <v>0</v>
      </c>
      <c r="K304" s="24">
        <v>0</v>
      </c>
      <c r="L304" s="24">
        <v>0</v>
      </c>
      <c r="M304" s="24">
        <v>0</v>
      </c>
    </row>
    <row r="305" spans="2:13" ht="14" x14ac:dyDescent="0.2">
      <c r="B305" s="24">
        <v>38</v>
      </c>
      <c r="C305" s="24">
        <v>111</v>
      </c>
      <c r="D305" s="24">
        <v>2</v>
      </c>
      <c r="E305" s="24">
        <v>3.9</v>
      </c>
      <c r="F305" s="24">
        <v>1</v>
      </c>
      <c r="G305" s="24">
        <v>0</v>
      </c>
      <c r="H305" s="24">
        <v>207</v>
      </c>
      <c r="I305" s="24">
        <v>1</v>
      </c>
      <c r="J305" s="24">
        <v>1</v>
      </c>
      <c r="K305" s="24">
        <v>1</v>
      </c>
      <c r="L305" s="24">
        <v>1</v>
      </c>
      <c r="M305" s="24">
        <v>0</v>
      </c>
    </row>
    <row r="306" spans="2:13" ht="14" x14ac:dyDescent="0.2">
      <c r="B306" s="24">
        <v>25</v>
      </c>
      <c r="C306" s="24">
        <v>83</v>
      </c>
      <c r="D306" s="24">
        <v>4</v>
      </c>
      <c r="E306" s="24">
        <v>3.1</v>
      </c>
      <c r="F306" s="24">
        <v>1</v>
      </c>
      <c r="G306" s="24">
        <v>0</v>
      </c>
      <c r="H306" s="24">
        <v>0</v>
      </c>
      <c r="I306" s="24">
        <v>0</v>
      </c>
      <c r="J306" s="24">
        <v>0</v>
      </c>
      <c r="K306" s="24">
        <v>0</v>
      </c>
      <c r="L306" s="24">
        <v>1</v>
      </c>
      <c r="M306" s="24">
        <v>1</v>
      </c>
    </row>
    <row r="307" spans="2:13" ht="14" x14ac:dyDescent="0.2">
      <c r="B307" s="24">
        <v>37</v>
      </c>
      <c r="C307" s="24">
        <v>44</v>
      </c>
      <c r="D307" s="24">
        <v>2</v>
      </c>
      <c r="E307" s="24">
        <v>1</v>
      </c>
      <c r="F307" s="24">
        <v>0</v>
      </c>
      <c r="G307" s="24">
        <v>0</v>
      </c>
      <c r="H307" s="24">
        <v>0</v>
      </c>
      <c r="I307" s="24">
        <v>0</v>
      </c>
      <c r="J307" s="24">
        <v>0</v>
      </c>
      <c r="K307" s="24">
        <v>1</v>
      </c>
      <c r="L307" s="24">
        <v>0</v>
      </c>
      <c r="M307" s="24">
        <v>0</v>
      </c>
    </row>
    <row r="308" spans="2:13" ht="14" x14ac:dyDescent="0.2">
      <c r="B308" s="24">
        <v>34</v>
      </c>
      <c r="C308" s="24">
        <v>60</v>
      </c>
      <c r="D308" s="24">
        <v>1</v>
      </c>
      <c r="E308" s="24">
        <v>2.5</v>
      </c>
      <c r="F308" s="24">
        <v>0</v>
      </c>
      <c r="G308" s="24">
        <v>0</v>
      </c>
      <c r="H308" s="24">
        <v>103</v>
      </c>
      <c r="I308" s="24">
        <v>0</v>
      </c>
      <c r="J308" s="24">
        <v>0</v>
      </c>
      <c r="K308" s="24">
        <v>0</v>
      </c>
      <c r="L308" s="24">
        <v>0</v>
      </c>
      <c r="M308" s="24">
        <v>0</v>
      </c>
    </row>
    <row r="309" spans="2:13" ht="14" x14ac:dyDescent="0.2">
      <c r="B309" s="24">
        <v>15</v>
      </c>
      <c r="C309" s="24">
        <v>79</v>
      </c>
      <c r="D309" s="24">
        <v>2</v>
      </c>
      <c r="E309" s="24">
        <v>1.8</v>
      </c>
      <c r="F309" s="24">
        <v>0</v>
      </c>
      <c r="G309" s="24">
        <v>1</v>
      </c>
      <c r="H309" s="24">
        <v>219</v>
      </c>
      <c r="I309" s="24">
        <v>0</v>
      </c>
      <c r="J309" s="24">
        <v>0</v>
      </c>
      <c r="K309" s="24">
        <v>0</v>
      </c>
      <c r="L309" s="24">
        <v>0</v>
      </c>
      <c r="M309" s="24">
        <v>0</v>
      </c>
    </row>
    <row r="310" spans="2:13" ht="14" x14ac:dyDescent="0.2">
      <c r="B310" s="24">
        <v>16</v>
      </c>
      <c r="C310" s="24">
        <v>49</v>
      </c>
      <c r="D310" s="24">
        <v>3</v>
      </c>
      <c r="E310" s="24">
        <v>0.5</v>
      </c>
      <c r="F310" s="24">
        <v>0</v>
      </c>
      <c r="G310" s="24">
        <v>0</v>
      </c>
      <c r="H310" s="24">
        <v>0</v>
      </c>
      <c r="I310" s="24">
        <v>0</v>
      </c>
      <c r="J310" s="24">
        <v>0</v>
      </c>
      <c r="K310" s="24">
        <v>1</v>
      </c>
      <c r="L310" s="24">
        <v>0</v>
      </c>
      <c r="M310" s="24">
        <v>0</v>
      </c>
    </row>
    <row r="311" spans="2:13" ht="14" x14ac:dyDescent="0.2">
      <c r="B311" s="24">
        <v>30</v>
      </c>
      <c r="C311" s="24">
        <v>45</v>
      </c>
      <c r="D311" s="24">
        <v>4</v>
      </c>
      <c r="E311" s="24">
        <v>1.5</v>
      </c>
      <c r="F311" s="24">
        <v>0</v>
      </c>
      <c r="G311" s="24">
        <v>0</v>
      </c>
      <c r="H311" s="24">
        <v>0</v>
      </c>
      <c r="I311" s="24">
        <v>0</v>
      </c>
      <c r="J311" s="24">
        <v>0</v>
      </c>
      <c r="K311" s="24">
        <v>0</v>
      </c>
      <c r="L311" s="24">
        <v>0</v>
      </c>
      <c r="M311" s="24">
        <v>0</v>
      </c>
    </row>
    <row r="312" spans="2:13" ht="14" x14ac:dyDescent="0.2">
      <c r="B312" s="24">
        <v>15</v>
      </c>
      <c r="C312" s="24">
        <v>25</v>
      </c>
      <c r="D312" s="24">
        <v>1</v>
      </c>
      <c r="E312" s="24">
        <v>1.4</v>
      </c>
      <c r="F312" s="24">
        <v>0</v>
      </c>
      <c r="G312" s="24">
        <v>0</v>
      </c>
      <c r="H312" s="24">
        <v>0</v>
      </c>
      <c r="I312" s="24">
        <v>0</v>
      </c>
      <c r="J312" s="24">
        <v>0</v>
      </c>
      <c r="K312" s="24">
        <v>0</v>
      </c>
      <c r="L312" s="24">
        <v>0</v>
      </c>
      <c r="M312" s="24">
        <v>0</v>
      </c>
    </row>
    <row r="313" spans="2:13" ht="14" x14ac:dyDescent="0.2">
      <c r="B313" s="24">
        <v>4</v>
      </c>
      <c r="C313" s="24">
        <v>34</v>
      </c>
      <c r="D313" s="24">
        <v>1</v>
      </c>
      <c r="E313" s="24">
        <v>1.8</v>
      </c>
      <c r="F313" s="24">
        <v>0</v>
      </c>
      <c r="G313" s="24">
        <v>1</v>
      </c>
      <c r="H313" s="24">
        <v>0</v>
      </c>
      <c r="I313" s="24">
        <v>0</v>
      </c>
      <c r="J313" s="24">
        <v>0</v>
      </c>
      <c r="K313" s="24">
        <v>1</v>
      </c>
      <c r="L313" s="24">
        <v>0</v>
      </c>
      <c r="M313" s="24">
        <v>0</v>
      </c>
    </row>
    <row r="314" spans="2:13" ht="14" x14ac:dyDescent="0.2">
      <c r="B314" s="24">
        <v>13</v>
      </c>
      <c r="C314" s="24">
        <v>93</v>
      </c>
      <c r="D314" s="24">
        <v>1</v>
      </c>
      <c r="E314" s="24">
        <v>1.5</v>
      </c>
      <c r="F314" s="24">
        <v>0</v>
      </c>
      <c r="G314" s="24">
        <v>0</v>
      </c>
      <c r="H314" s="24">
        <v>0</v>
      </c>
      <c r="I314" s="24">
        <v>0</v>
      </c>
      <c r="J314" s="24">
        <v>0</v>
      </c>
      <c r="K314" s="24">
        <v>0</v>
      </c>
      <c r="L314" s="24">
        <v>1</v>
      </c>
      <c r="M314" s="24">
        <v>0</v>
      </c>
    </row>
    <row r="315" spans="2:13" ht="14" x14ac:dyDescent="0.2">
      <c r="B315" s="24">
        <v>22</v>
      </c>
      <c r="C315" s="24">
        <v>40</v>
      </c>
      <c r="D315" s="24">
        <v>3</v>
      </c>
      <c r="E315" s="24">
        <v>2.7</v>
      </c>
      <c r="F315" s="24">
        <v>0</v>
      </c>
      <c r="G315" s="24">
        <v>1</v>
      </c>
      <c r="H315" s="24">
        <v>0</v>
      </c>
      <c r="I315" s="24">
        <v>0</v>
      </c>
      <c r="J315" s="24">
        <v>0</v>
      </c>
      <c r="K315" s="24">
        <v>1</v>
      </c>
      <c r="L315" s="24">
        <v>0</v>
      </c>
      <c r="M315" s="24">
        <v>0</v>
      </c>
    </row>
    <row r="316" spans="2:13" ht="14" x14ac:dyDescent="0.2">
      <c r="B316" s="24">
        <v>36</v>
      </c>
      <c r="C316" s="24">
        <v>10</v>
      </c>
      <c r="D316" s="24">
        <v>1</v>
      </c>
      <c r="E316" s="24">
        <v>0.1</v>
      </c>
      <c r="F316" s="24">
        <v>1</v>
      </c>
      <c r="G316" s="24">
        <v>0</v>
      </c>
      <c r="H316" s="24">
        <v>0</v>
      </c>
      <c r="I316" s="24">
        <v>0</v>
      </c>
      <c r="J316" s="24">
        <v>0</v>
      </c>
      <c r="K316" s="24">
        <v>0</v>
      </c>
      <c r="L316" s="24">
        <v>0</v>
      </c>
      <c r="M316" s="24">
        <v>0</v>
      </c>
    </row>
    <row r="317" spans="2:13" ht="14" x14ac:dyDescent="0.2">
      <c r="B317" s="24">
        <v>8</v>
      </c>
      <c r="C317" s="24">
        <v>25</v>
      </c>
      <c r="D317" s="24">
        <v>3</v>
      </c>
      <c r="E317" s="24">
        <v>0.9</v>
      </c>
      <c r="F317" s="24">
        <v>0</v>
      </c>
      <c r="G317" s="24">
        <v>0</v>
      </c>
      <c r="H317" s="24">
        <v>0</v>
      </c>
      <c r="I317" s="24">
        <v>0</v>
      </c>
      <c r="J317" s="24">
        <v>0</v>
      </c>
      <c r="K317" s="24">
        <v>1</v>
      </c>
      <c r="L317" s="24">
        <v>1</v>
      </c>
      <c r="M317" s="24">
        <v>0</v>
      </c>
    </row>
    <row r="318" spans="2:13" ht="14" x14ac:dyDescent="0.2">
      <c r="B318" s="24">
        <v>23</v>
      </c>
      <c r="C318" s="24">
        <v>84</v>
      </c>
      <c r="D318" s="24">
        <v>3</v>
      </c>
      <c r="E318" s="24">
        <v>2.1</v>
      </c>
      <c r="F318" s="24">
        <v>1</v>
      </c>
      <c r="G318" s="24">
        <v>0</v>
      </c>
      <c r="H318" s="24">
        <v>134</v>
      </c>
      <c r="I318" s="24">
        <v>1</v>
      </c>
      <c r="J318" s="24">
        <v>0</v>
      </c>
      <c r="K318" s="24">
        <v>1</v>
      </c>
      <c r="L318" s="24">
        <v>0</v>
      </c>
      <c r="M318" s="24">
        <v>0</v>
      </c>
    </row>
    <row r="319" spans="2:13" ht="14" x14ac:dyDescent="0.2">
      <c r="B319" s="24">
        <v>6</v>
      </c>
      <c r="C319" s="24">
        <v>58</v>
      </c>
      <c r="D319" s="24">
        <v>2</v>
      </c>
      <c r="E319" s="24">
        <v>2.5</v>
      </c>
      <c r="F319" s="24">
        <v>1</v>
      </c>
      <c r="G319" s="24">
        <v>0</v>
      </c>
      <c r="H319" s="24">
        <v>0</v>
      </c>
      <c r="I319" s="24">
        <v>0</v>
      </c>
      <c r="J319" s="24">
        <v>0</v>
      </c>
      <c r="K319" s="24">
        <v>0</v>
      </c>
      <c r="L319" s="24">
        <v>1</v>
      </c>
      <c r="M319" s="24">
        <v>0</v>
      </c>
    </row>
    <row r="320" spans="2:13" ht="14" x14ac:dyDescent="0.2">
      <c r="B320" s="24">
        <v>27</v>
      </c>
      <c r="C320" s="24">
        <v>80</v>
      </c>
      <c r="D320" s="24">
        <v>1</v>
      </c>
      <c r="E320" s="24">
        <v>2.6</v>
      </c>
      <c r="F320" s="24">
        <v>0</v>
      </c>
      <c r="G320" s="24">
        <v>1</v>
      </c>
      <c r="H320" s="24">
        <v>0</v>
      </c>
      <c r="I320" s="24">
        <v>0</v>
      </c>
      <c r="J320" s="24">
        <v>0</v>
      </c>
      <c r="K320" s="24">
        <v>1</v>
      </c>
      <c r="L320" s="24">
        <v>1</v>
      </c>
      <c r="M320" s="24">
        <v>0</v>
      </c>
    </row>
    <row r="321" spans="2:13" ht="14" x14ac:dyDescent="0.2">
      <c r="B321" s="24">
        <v>20</v>
      </c>
      <c r="C321" s="24">
        <v>71</v>
      </c>
      <c r="D321" s="24">
        <v>4</v>
      </c>
      <c r="E321" s="24">
        <v>1.9</v>
      </c>
      <c r="F321" s="24">
        <v>1</v>
      </c>
      <c r="G321" s="24">
        <v>0</v>
      </c>
      <c r="H321" s="24">
        <v>207</v>
      </c>
      <c r="I321" s="24">
        <v>0</v>
      </c>
      <c r="J321" s="24">
        <v>0</v>
      </c>
      <c r="K321" s="24">
        <v>1</v>
      </c>
      <c r="L321" s="24">
        <v>0</v>
      </c>
      <c r="M321" s="24">
        <v>0</v>
      </c>
    </row>
    <row r="322" spans="2:13" ht="14" x14ac:dyDescent="0.2">
      <c r="B322" s="24">
        <v>17</v>
      </c>
      <c r="C322" s="24">
        <v>61</v>
      </c>
      <c r="D322" s="24">
        <v>3</v>
      </c>
      <c r="E322" s="24">
        <v>0.5</v>
      </c>
      <c r="F322" s="24">
        <v>0</v>
      </c>
      <c r="G322" s="24">
        <v>0</v>
      </c>
      <c r="H322" s="24">
        <v>0</v>
      </c>
      <c r="I322" s="24">
        <v>0</v>
      </c>
      <c r="J322" s="24">
        <v>0</v>
      </c>
      <c r="K322" s="24">
        <v>1</v>
      </c>
      <c r="L322" s="24">
        <v>0</v>
      </c>
      <c r="M322" s="24">
        <v>0</v>
      </c>
    </row>
    <row r="323" spans="2:13" ht="14" x14ac:dyDescent="0.2">
      <c r="B323" s="24">
        <v>14</v>
      </c>
      <c r="C323" s="24">
        <v>28</v>
      </c>
      <c r="D323" s="24">
        <v>4</v>
      </c>
      <c r="E323" s="24">
        <v>1.5</v>
      </c>
      <c r="F323" s="24">
        <v>0</v>
      </c>
      <c r="G323" s="24">
        <v>0</v>
      </c>
      <c r="H323" s="24">
        <v>0</v>
      </c>
      <c r="I323" s="24">
        <v>0</v>
      </c>
      <c r="J323" s="24">
        <v>0</v>
      </c>
      <c r="K323" s="24">
        <v>0</v>
      </c>
      <c r="L323" s="24">
        <v>1</v>
      </c>
      <c r="M323" s="24">
        <v>0</v>
      </c>
    </row>
    <row r="324" spans="2:13" ht="14" x14ac:dyDescent="0.2">
      <c r="B324" s="24">
        <v>24</v>
      </c>
      <c r="C324" s="24">
        <v>165</v>
      </c>
      <c r="D324" s="24">
        <v>1</v>
      </c>
      <c r="E324" s="24">
        <v>5</v>
      </c>
      <c r="F324" s="24">
        <v>1</v>
      </c>
      <c r="G324" s="24">
        <v>0</v>
      </c>
      <c r="H324" s="24">
        <v>0</v>
      </c>
      <c r="I324" s="24">
        <v>0</v>
      </c>
      <c r="J324" s="24">
        <v>0</v>
      </c>
      <c r="K324" s="24">
        <v>0</v>
      </c>
      <c r="L324" s="24">
        <v>1</v>
      </c>
      <c r="M324" s="24">
        <v>0</v>
      </c>
    </row>
    <row r="325" spans="2:13" ht="14" x14ac:dyDescent="0.2">
      <c r="B325" s="24">
        <v>7</v>
      </c>
      <c r="C325" s="24">
        <v>48</v>
      </c>
      <c r="D325" s="24">
        <v>4</v>
      </c>
      <c r="E325" s="24">
        <v>2.2000000000000002</v>
      </c>
      <c r="F325" s="24">
        <v>0</v>
      </c>
      <c r="G325" s="24">
        <v>1</v>
      </c>
      <c r="H325" s="24">
        <v>207</v>
      </c>
      <c r="I325" s="24">
        <v>0</v>
      </c>
      <c r="J325" s="24">
        <v>0</v>
      </c>
      <c r="K325" s="24">
        <v>0</v>
      </c>
      <c r="L325" s="24">
        <v>0</v>
      </c>
      <c r="M325" s="24">
        <v>0</v>
      </c>
    </row>
    <row r="326" spans="2:13" ht="14" x14ac:dyDescent="0.2">
      <c r="B326" s="24">
        <v>12</v>
      </c>
      <c r="C326" s="24">
        <v>100</v>
      </c>
      <c r="D326" s="24">
        <v>3</v>
      </c>
      <c r="E326" s="24">
        <v>1.2</v>
      </c>
      <c r="F326" s="24">
        <v>0</v>
      </c>
      <c r="G326" s="24">
        <v>0</v>
      </c>
      <c r="H326" s="24">
        <v>341</v>
      </c>
      <c r="I326" s="24">
        <v>0</v>
      </c>
      <c r="J326" s="24">
        <v>0</v>
      </c>
      <c r="K326" s="24">
        <v>1</v>
      </c>
      <c r="L326" s="24">
        <v>1</v>
      </c>
      <c r="M326" s="24">
        <v>0</v>
      </c>
    </row>
    <row r="327" spans="2:13" ht="14" x14ac:dyDescent="0.2">
      <c r="B327" s="24">
        <v>24</v>
      </c>
      <c r="C327" s="24">
        <v>32</v>
      </c>
      <c r="D327" s="24">
        <v>4</v>
      </c>
      <c r="E327" s="24">
        <v>1.8</v>
      </c>
      <c r="F327" s="24">
        <v>1</v>
      </c>
      <c r="G327" s="24">
        <v>0</v>
      </c>
      <c r="H327" s="24">
        <v>109</v>
      </c>
      <c r="I327" s="24">
        <v>0</v>
      </c>
      <c r="J327" s="24">
        <v>0</v>
      </c>
      <c r="K327" s="24">
        <v>1</v>
      </c>
      <c r="L327" s="24">
        <v>0</v>
      </c>
      <c r="M327" s="24">
        <v>0</v>
      </c>
    </row>
    <row r="328" spans="2:13" ht="14" x14ac:dyDescent="0.2">
      <c r="B328" s="24">
        <v>1</v>
      </c>
      <c r="C328" s="24">
        <v>80</v>
      </c>
      <c r="D328" s="24">
        <v>2</v>
      </c>
      <c r="E328" s="24">
        <v>1.6</v>
      </c>
      <c r="F328" s="24">
        <v>0</v>
      </c>
      <c r="G328" s="24">
        <v>0</v>
      </c>
      <c r="H328" s="24">
        <v>185</v>
      </c>
      <c r="I328" s="24">
        <v>0</v>
      </c>
      <c r="J328" s="24">
        <v>0</v>
      </c>
      <c r="K328" s="24">
        <v>1</v>
      </c>
      <c r="L328" s="24">
        <v>1</v>
      </c>
      <c r="M328" s="24">
        <v>0</v>
      </c>
    </row>
    <row r="329" spans="2:13" ht="14" x14ac:dyDescent="0.2">
      <c r="B329" s="24">
        <v>22</v>
      </c>
      <c r="C329" s="24">
        <v>65</v>
      </c>
      <c r="D329" s="24">
        <v>3</v>
      </c>
      <c r="E329" s="24">
        <v>2.7</v>
      </c>
      <c r="F329" s="24">
        <v>0</v>
      </c>
      <c r="G329" s="24">
        <v>1</v>
      </c>
      <c r="H329" s="24">
        <v>0</v>
      </c>
      <c r="I329" s="24">
        <v>0</v>
      </c>
      <c r="J329" s="24">
        <v>0</v>
      </c>
      <c r="K329" s="24">
        <v>1</v>
      </c>
      <c r="L329" s="24">
        <v>0</v>
      </c>
      <c r="M329" s="24">
        <v>0</v>
      </c>
    </row>
    <row r="330" spans="2:13" ht="14" x14ac:dyDescent="0.2">
      <c r="B330" s="24">
        <v>26</v>
      </c>
      <c r="C330" s="24">
        <v>113</v>
      </c>
      <c r="D330" s="24">
        <v>1</v>
      </c>
      <c r="E330" s="24">
        <v>1.3</v>
      </c>
      <c r="F330" s="24">
        <v>0</v>
      </c>
      <c r="G330" s="24">
        <v>0</v>
      </c>
      <c r="H330" s="24">
        <v>161</v>
      </c>
      <c r="I330" s="24">
        <v>0</v>
      </c>
      <c r="J330" s="24">
        <v>0</v>
      </c>
      <c r="K330" s="24">
        <v>1</v>
      </c>
      <c r="L330" s="24">
        <v>0</v>
      </c>
      <c r="M330" s="24">
        <v>0</v>
      </c>
    </row>
    <row r="331" spans="2:13" ht="14" x14ac:dyDescent="0.2">
      <c r="B331" s="24">
        <v>9</v>
      </c>
      <c r="C331" s="24">
        <v>49</v>
      </c>
      <c r="D331" s="24">
        <v>1</v>
      </c>
      <c r="E331" s="24">
        <v>2.5</v>
      </c>
      <c r="F331" s="24">
        <v>0</v>
      </c>
      <c r="G331" s="24">
        <v>0</v>
      </c>
      <c r="H331" s="24">
        <v>0</v>
      </c>
      <c r="I331" s="24">
        <v>0</v>
      </c>
      <c r="J331" s="24">
        <v>0</v>
      </c>
      <c r="K331" s="24">
        <v>0</v>
      </c>
      <c r="L331" s="24">
        <v>0</v>
      </c>
      <c r="M331" s="24">
        <v>0</v>
      </c>
    </row>
    <row r="332" spans="2:13" ht="14" x14ac:dyDescent="0.2">
      <c r="B332" s="24">
        <v>23</v>
      </c>
      <c r="C332" s="24">
        <v>190</v>
      </c>
      <c r="D332" s="24">
        <v>4</v>
      </c>
      <c r="E332" s="24">
        <v>0.3</v>
      </c>
      <c r="F332" s="24">
        <v>0</v>
      </c>
      <c r="G332" s="24">
        <v>0</v>
      </c>
      <c r="H332" s="24">
        <v>305</v>
      </c>
      <c r="I332" s="24">
        <v>0</v>
      </c>
      <c r="J332" s="24">
        <v>0</v>
      </c>
      <c r="K332" s="24">
        <v>0</v>
      </c>
      <c r="L332" s="24">
        <v>0</v>
      </c>
      <c r="M332" s="24">
        <v>1</v>
      </c>
    </row>
    <row r="333" spans="2:13" ht="14" x14ac:dyDescent="0.2">
      <c r="B333" s="24">
        <v>32</v>
      </c>
      <c r="C333" s="24">
        <v>25</v>
      </c>
      <c r="D333" s="24">
        <v>1</v>
      </c>
      <c r="E333" s="24">
        <v>0.1</v>
      </c>
      <c r="F333" s="24">
        <v>0</v>
      </c>
      <c r="G333" s="24">
        <v>1</v>
      </c>
      <c r="H333" s="24">
        <v>136</v>
      </c>
      <c r="I333" s="24">
        <v>0</v>
      </c>
      <c r="J333" s="24">
        <v>0</v>
      </c>
      <c r="K333" s="24">
        <v>1</v>
      </c>
      <c r="L333" s="24">
        <v>0</v>
      </c>
      <c r="M333" s="24">
        <v>0</v>
      </c>
    </row>
    <row r="334" spans="2:13" ht="14" x14ac:dyDescent="0.2">
      <c r="B334" s="24">
        <v>29</v>
      </c>
      <c r="C334" s="24">
        <v>39</v>
      </c>
      <c r="D334" s="24">
        <v>1</v>
      </c>
      <c r="E334" s="24">
        <v>0.2</v>
      </c>
      <c r="F334" s="24">
        <v>1</v>
      </c>
      <c r="G334" s="24">
        <v>0</v>
      </c>
      <c r="H334" s="24">
        <v>0</v>
      </c>
      <c r="I334" s="24">
        <v>0</v>
      </c>
      <c r="J334" s="24">
        <v>0</v>
      </c>
      <c r="K334" s="24">
        <v>0</v>
      </c>
      <c r="L334" s="24">
        <v>1</v>
      </c>
      <c r="M334" s="24">
        <v>0</v>
      </c>
    </row>
    <row r="335" spans="2:13" ht="14" x14ac:dyDescent="0.2">
      <c r="B335" s="24">
        <v>38</v>
      </c>
      <c r="C335" s="24">
        <v>140</v>
      </c>
      <c r="D335" s="24">
        <v>1</v>
      </c>
      <c r="E335" s="24">
        <v>2.5</v>
      </c>
      <c r="F335" s="24">
        <v>1</v>
      </c>
      <c r="G335" s="24">
        <v>0</v>
      </c>
      <c r="H335" s="24">
        <v>0</v>
      </c>
      <c r="I335" s="24">
        <v>0</v>
      </c>
      <c r="J335" s="24">
        <v>0</v>
      </c>
      <c r="K335" s="24">
        <v>0</v>
      </c>
      <c r="L335" s="24">
        <v>0</v>
      </c>
      <c r="M335" s="24">
        <v>0</v>
      </c>
    </row>
    <row r="336" spans="2:13" ht="14" x14ac:dyDescent="0.2">
      <c r="B336" s="24">
        <v>2</v>
      </c>
      <c r="C336" s="24">
        <v>60</v>
      </c>
      <c r="D336" s="24">
        <v>2</v>
      </c>
      <c r="E336" s="24">
        <v>3</v>
      </c>
      <c r="F336" s="24">
        <v>1</v>
      </c>
      <c r="G336" s="24">
        <v>0</v>
      </c>
      <c r="H336" s="24">
        <v>132</v>
      </c>
      <c r="I336" s="24">
        <v>0</v>
      </c>
      <c r="J336" s="24">
        <v>0</v>
      </c>
      <c r="K336" s="24">
        <v>0</v>
      </c>
      <c r="L336" s="24">
        <v>0</v>
      </c>
      <c r="M336" s="24">
        <v>1</v>
      </c>
    </row>
    <row r="337" spans="2:13" ht="14" x14ac:dyDescent="0.2">
      <c r="B337" s="24">
        <v>3</v>
      </c>
      <c r="C337" s="24">
        <v>103</v>
      </c>
      <c r="D337" s="24">
        <v>4</v>
      </c>
      <c r="E337" s="24">
        <v>3.4</v>
      </c>
      <c r="F337" s="24">
        <v>1</v>
      </c>
      <c r="G337" s="24">
        <v>0</v>
      </c>
      <c r="H337" s="24">
        <v>0</v>
      </c>
      <c r="I337" s="24">
        <v>0</v>
      </c>
      <c r="J337" s="24">
        <v>0</v>
      </c>
      <c r="K337" s="24">
        <v>1</v>
      </c>
      <c r="L337" s="24">
        <v>0</v>
      </c>
      <c r="M337" s="24">
        <v>1</v>
      </c>
    </row>
    <row r="338" spans="2:13" ht="14" x14ac:dyDescent="0.2">
      <c r="B338" s="24">
        <v>16</v>
      </c>
      <c r="C338" s="24">
        <v>113</v>
      </c>
      <c r="D338" s="24">
        <v>1</v>
      </c>
      <c r="E338" s="24">
        <v>1</v>
      </c>
      <c r="F338" s="24">
        <v>0</v>
      </c>
      <c r="G338" s="24">
        <v>0</v>
      </c>
      <c r="H338" s="24">
        <v>211</v>
      </c>
      <c r="I338" s="24">
        <v>0</v>
      </c>
      <c r="J338" s="24">
        <v>0</v>
      </c>
      <c r="K338" s="24">
        <v>0</v>
      </c>
      <c r="L338" s="24">
        <v>1</v>
      </c>
      <c r="M338" s="24">
        <v>0</v>
      </c>
    </row>
    <row r="339" spans="2:13" ht="14" x14ac:dyDescent="0.2">
      <c r="B339" s="24">
        <v>38</v>
      </c>
      <c r="C339" s="24">
        <v>40</v>
      </c>
      <c r="D339" s="24">
        <v>1</v>
      </c>
      <c r="E339" s="24">
        <v>2.5</v>
      </c>
      <c r="F339" s="24">
        <v>0</v>
      </c>
      <c r="G339" s="24">
        <v>0</v>
      </c>
      <c r="H339" s="24">
        <v>94</v>
      </c>
      <c r="I339" s="24">
        <v>0</v>
      </c>
      <c r="J339" s="24">
        <v>0</v>
      </c>
      <c r="K339" s="24">
        <v>1</v>
      </c>
      <c r="L339" s="24">
        <v>1</v>
      </c>
      <c r="M339" s="24">
        <v>0</v>
      </c>
    </row>
    <row r="340" spans="2:13" ht="14" x14ac:dyDescent="0.2">
      <c r="B340" s="24">
        <v>25</v>
      </c>
      <c r="C340" s="24">
        <v>20</v>
      </c>
      <c r="D340" s="24">
        <v>4</v>
      </c>
      <c r="E340" s="24">
        <v>1</v>
      </c>
      <c r="F340" s="24">
        <v>1</v>
      </c>
      <c r="G340" s="24">
        <v>0</v>
      </c>
      <c r="H340" s="24">
        <v>111</v>
      </c>
      <c r="I340" s="24">
        <v>0</v>
      </c>
      <c r="J340" s="24">
        <v>0</v>
      </c>
      <c r="K340" s="24">
        <v>1</v>
      </c>
      <c r="L340" s="24">
        <v>1</v>
      </c>
      <c r="M340" s="24">
        <v>0</v>
      </c>
    </row>
    <row r="341" spans="2:13" ht="14" x14ac:dyDescent="0.2">
      <c r="B341" s="24">
        <v>21</v>
      </c>
      <c r="C341" s="24">
        <v>152</v>
      </c>
      <c r="D341" s="24">
        <v>2</v>
      </c>
      <c r="E341" s="24">
        <v>7.5</v>
      </c>
      <c r="F341" s="24">
        <v>1</v>
      </c>
      <c r="G341" s="24">
        <v>0</v>
      </c>
      <c r="H341" s="24">
        <v>0</v>
      </c>
      <c r="I341" s="24">
        <v>0</v>
      </c>
      <c r="J341" s="24">
        <v>0</v>
      </c>
      <c r="K341" s="24">
        <v>1</v>
      </c>
      <c r="L341" s="24">
        <v>0</v>
      </c>
      <c r="M341" s="24">
        <v>0</v>
      </c>
    </row>
    <row r="342" spans="2:13" ht="14" x14ac:dyDescent="0.2">
      <c r="B342" s="24">
        <v>36</v>
      </c>
      <c r="C342" s="24">
        <v>132</v>
      </c>
      <c r="D342" s="24">
        <v>2</v>
      </c>
      <c r="E342" s="24">
        <v>6</v>
      </c>
      <c r="F342" s="24">
        <v>1</v>
      </c>
      <c r="G342" s="24">
        <v>0</v>
      </c>
      <c r="H342" s="24">
        <v>470</v>
      </c>
      <c r="I342" s="24">
        <v>0</v>
      </c>
      <c r="J342" s="24">
        <v>0</v>
      </c>
      <c r="K342" s="24">
        <v>1</v>
      </c>
      <c r="L342" s="24">
        <v>1</v>
      </c>
      <c r="M342" s="24">
        <v>0</v>
      </c>
    </row>
    <row r="343" spans="2:13" ht="14" x14ac:dyDescent="0.2">
      <c r="B343" s="24">
        <v>37</v>
      </c>
      <c r="C343" s="24">
        <v>139</v>
      </c>
      <c r="D343" s="24">
        <v>2</v>
      </c>
      <c r="E343" s="24">
        <v>6.9</v>
      </c>
      <c r="F343" s="24">
        <v>1</v>
      </c>
      <c r="G343" s="24">
        <v>0</v>
      </c>
      <c r="H343" s="24">
        <v>0</v>
      </c>
      <c r="I343" s="24">
        <v>0</v>
      </c>
      <c r="J343" s="24">
        <v>0</v>
      </c>
      <c r="K343" s="24">
        <v>0</v>
      </c>
      <c r="L343" s="24">
        <v>0</v>
      </c>
      <c r="M343" s="24">
        <v>0</v>
      </c>
    </row>
    <row r="344" spans="2:13" ht="14" x14ac:dyDescent="0.2">
      <c r="B344" s="24">
        <v>0</v>
      </c>
      <c r="C344" s="24">
        <v>13</v>
      </c>
      <c r="D344" s="24">
        <v>2</v>
      </c>
      <c r="E344" s="24">
        <v>0.9</v>
      </c>
      <c r="F344" s="24">
        <v>0</v>
      </c>
      <c r="G344" s="24">
        <v>0</v>
      </c>
      <c r="H344" s="24">
        <v>0</v>
      </c>
      <c r="I344" s="24">
        <v>0</v>
      </c>
      <c r="J344" s="24">
        <v>0</v>
      </c>
      <c r="K344" s="24">
        <v>1</v>
      </c>
      <c r="L344" s="24">
        <v>0</v>
      </c>
      <c r="M344" s="24">
        <v>0</v>
      </c>
    </row>
    <row r="345" spans="2:13" ht="14" x14ac:dyDescent="0.2">
      <c r="B345" s="24">
        <v>7</v>
      </c>
      <c r="C345" s="24">
        <v>81</v>
      </c>
      <c r="D345" s="24">
        <v>2</v>
      </c>
      <c r="E345" s="24">
        <v>4.5</v>
      </c>
      <c r="F345" s="24">
        <v>0</v>
      </c>
      <c r="G345" s="24">
        <v>0</v>
      </c>
      <c r="H345" s="24">
        <v>187</v>
      </c>
      <c r="I345" s="24">
        <v>0</v>
      </c>
      <c r="J345" s="24">
        <v>1</v>
      </c>
      <c r="K345" s="24">
        <v>1</v>
      </c>
      <c r="L345" s="24">
        <v>1</v>
      </c>
      <c r="M345" s="24">
        <v>0</v>
      </c>
    </row>
    <row r="346" spans="2:13" ht="14" x14ac:dyDescent="0.2">
      <c r="B346" s="24">
        <v>12</v>
      </c>
      <c r="C346" s="24">
        <v>29</v>
      </c>
      <c r="D346" s="24">
        <v>1</v>
      </c>
      <c r="E346" s="24">
        <v>1.3333333333333299</v>
      </c>
      <c r="F346" s="24">
        <v>1</v>
      </c>
      <c r="G346" s="24">
        <v>0</v>
      </c>
      <c r="H346" s="24">
        <v>81</v>
      </c>
      <c r="I346" s="24">
        <v>0</v>
      </c>
      <c r="J346" s="24">
        <v>0</v>
      </c>
      <c r="K346" s="24">
        <v>1</v>
      </c>
      <c r="L346" s="24">
        <v>0</v>
      </c>
      <c r="M346" s="24">
        <v>0</v>
      </c>
    </row>
    <row r="347" spans="2:13" ht="14" x14ac:dyDescent="0.2">
      <c r="B347" s="24">
        <v>28</v>
      </c>
      <c r="C347" s="24">
        <v>62</v>
      </c>
      <c r="D347" s="24">
        <v>1</v>
      </c>
      <c r="E347" s="24">
        <v>1.8</v>
      </c>
      <c r="F347" s="24">
        <v>0</v>
      </c>
      <c r="G347" s="24">
        <v>0</v>
      </c>
      <c r="H347" s="24">
        <v>231</v>
      </c>
      <c r="I347" s="24">
        <v>0</v>
      </c>
      <c r="J347" s="24">
        <v>0</v>
      </c>
      <c r="K347" s="24">
        <v>1</v>
      </c>
      <c r="L347" s="24">
        <v>0</v>
      </c>
      <c r="M347" s="24">
        <v>0</v>
      </c>
    </row>
    <row r="348" spans="2:13" ht="14" x14ac:dyDescent="0.2">
      <c r="B348" s="24">
        <v>36</v>
      </c>
      <c r="C348" s="24">
        <v>21</v>
      </c>
      <c r="D348" s="24">
        <v>4</v>
      </c>
      <c r="E348" s="24">
        <v>0.4</v>
      </c>
      <c r="F348" s="24">
        <v>0</v>
      </c>
      <c r="G348" s="24">
        <v>1</v>
      </c>
      <c r="H348" s="24">
        <v>123</v>
      </c>
      <c r="I348" s="24">
        <v>0</v>
      </c>
      <c r="J348" s="24">
        <v>0</v>
      </c>
      <c r="K348" s="24">
        <v>0</v>
      </c>
      <c r="L348" s="24">
        <v>0</v>
      </c>
      <c r="M348" s="24">
        <v>0</v>
      </c>
    </row>
    <row r="349" spans="2:13" ht="14" x14ac:dyDescent="0.2">
      <c r="B349" s="24">
        <v>34</v>
      </c>
      <c r="C349" s="24">
        <v>94</v>
      </c>
      <c r="D349" s="24">
        <v>3</v>
      </c>
      <c r="E349" s="24">
        <v>0.5</v>
      </c>
      <c r="F349" s="24">
        <v>1</v>
      </c>
      <c r="G349" s="24">
        <v>0</v>
      </c>
      <c r="H349" s="24">
        <v>0</v>
      </c>
      <c r="I349" s="24">
        <v>0</v>
      </c>
      <c r="J349" s="24">
        <v>0</v>
      </c>
      <c r="K349" s="24">
        <v>0</v>
      </c>
      <c r="L349" s="24">
        <v>1</v>
      </c>
      <c r="M349" s="24">
        <v>0</v>
      </c>
    </row>
    <row r="350" spans="2:13" ht="14" x14ac:dyDescent="0.2">
      <c r="B350" s="24">
        <v>37</v>
      </c>
      <c r="C350" s="24">
        <v>54</v>
      </c>
      <c r="D350" s="24">
        <v>4</v>
      </c>
      <c r="E350" s="24">
        <v>1.2</v>
      </c>
      <c r="F350" s="24">
        <v>0</v>
      </c>
      <c r="G350" s="24">
        <v>1</v>
      </c>
      <c r="H350" s="24">
        <v>129</v>
      </c>
      <c r="I350" s="24">
        <v>0</v>
      </c>
      <c r="J350" s="24">
        <v>0</v>
      </c>
      <c r="K350" s="24">
        <v>1</v>
      </c>
      <c r="L350" s="24">
        <v>1</v>
      </c>
      <c r="M350" s="24">
        <v>0</v>
      </c>
    </row>
    <row r="351" spans="2:13" ht="14" x14ac:dyDescent="0.2">
      <c r="B351" s="24">
        <v>31</v>
      </c>
      <c r="C351" s="24">
        <v>131</v>
      </c>
      <c r="D351" s="24">
        <v>2</v>
      </c>
      <c r="E351" s="24">
        <v>1.2</v>
      </c>
      <c r="F351" s="24">
        <v>0</v>
      </c>
      <c r="G351" s="24">
        <v>0</v>
      </c>
      <c r="H351" s="24">
        <v>0</v>
      </c>
      <c r="I351" s="24">
        <v>0</v>
      </c>
      <c r="J351" s="24">
        <v>0</v>
      </c>
      <c r="K351" s="24">
        <v>0</v>
      </c>
      <c r="L351" s="24">
        <v>0</v>
      </c>
      <c r="M351" s="24">
        <v>1</v>
      </c>
    </row>
    <row r="352" spans="2:13" ht="14" x14ac:dyDescent="0.2">
      <c r="B352" s="24">
        <v>4</v>
      </c>
      <c r="C352" s="24">
        <v>49</v>
      </c>
      <c r="D352" s="24">
        <v>3</v>
      </c>
      <c r="E352" s="24">
        <v>1.1000000000000001</v>
      </c>
      <c r="F352" s="24">
        <v>0</v>
      </c>
      <c r="G352" s="24">
        <v>1</v>
      </c>
      <c r="H352" s="24">
        <v>0</v>
      </c>
      <c r="I352" s="24">
        <v>0</v>
      </c>
      <c r="J352" s="24">
        <v>0</v>
      </c>
      <c r="K352" s="24">
        <v>0</v>
      </c>
      <c r="L352" s="24">
        <v>1</v>
      </c>
      <c r="M352" s="24">
        <v>0</v>
      </c>
    </row>
    <row r="353" spans="2:13" ht="14" x14ac:dyDescent="0.2">
      <c r="B353" s="24">
        <v>19</v>
      </c>
      <c r="C353" s="24">
        <v>84</v>
      </c>
      <c r="D353" s="24">
        <v>1</v>
      </c>
      <c r="E353" s="24">
        <v>2.6666666666666701</v>
      </c>
      <c r="F353" s="24">
        <v>0</v>
      </c>
      <c r="G353" s="24">
        <v>1</v>
      </c>
      <c r="H353" s="24">
        <v>0</v>
      </c>
      <c r="I353" s="24">
        <v>0</v>
      </c>
      <c r="J353" s="24">
        <v>0</v>
      </c>
      <c r="K353" s="24">
        <v>1</v>
      </c>
      <c r="L353" s="24">
        <v>1</v>
      </c>
      <c r="M353" s="24">
        <v>0</v>
      </c>
    </row>
    <row r="354" spans="2:13" ht="14" x14ac:dyDescent="0.2">
      <c r="B354" s="24">
        <v>2</v>
      </c>
      <c r="C354" s="24">
        <v>92</v>
      </c>
      <c r="D354" s="24">
        <v>2</v>
      </c>
      <c r="E354" s="24">
        <v>0.2</v>
      </c>
      <c r="F354" s="24">
        <v>1</v>
      </c>
      <c r="G354" s="24">
        <v>0</v>
      </c>
      <c r="H354" s="24">
        <v>0</v>
      </c>
      <c r="I354" s="24">
        <v>0</v>
      </c>
      <c r="J354" s="24">
        <v>0</v>
      </c>
      <c r="K354" s="24">
        <v>1</v>
      </c>
      <c r="L354" s="24">
        <v>0</v>
      </c>
      <c r="M354" s="24">
        <v>0</v>
      </c>
    </row>
    <row r="355" spans="2:13" ht="14" x14ac:dyDescent="0.2">
      <c r="B355" s="24">
        <v>34</v>
      </c>
      <c r="C355" s="24">
        <v>92</v>
      </c>
      <c r="D355" s="24">
        <v>2</v>
      </c>
      <c r="E355" s="24">
        <v>2.8</v>
      </c>
      <c r="F355" s="24">
        <v>1</v>
      </c>
      <c r="G355" s="24">
        <v>0</v>
      </c>
      <c r="H355" s="24">
        <v>103</v>
      </c>
      <c r="I355" s="24">
        <v>0</v>
      </c>
      <c r="J355" s="24">
        <v>0</v>
      </c>
      <c r="K355" s="24">
        <v>0</v>
      </c>
      <c r="L355" s="24">
        <v>0</v>
      </c>
      <c r="M355" s="24">
        <v>0</v>
      </c>
    </row>
    <row r="356" spans="2:13" ht="14" x14ac:dyDescent="0.2">
      <c r="B356" s="24">
        <v>22</v>
      </c>
      <c r="C356" s="24">
        <v>118</v>
      </c>
      <c r="D356" s="24">
        <v>1</v>
      </c>
      <c r="E356" s="24">
        <v>4.7</v>
      </c>
      <c r="F356" s="24">
        <v>1</v>
      </c>
      <c r="G356" s="24">
        <v>0</v>
      </c>
      <c r="H356" s="24">
        <v>159</v>
      </c>
      <c r="I356" s="24">
        <v>0</v>
      </c>
      <c r="J356" s="24">
        <v>0</v>
      </c>
      <c r="K356" s="24">
        <v>0</v>
      </c>
      <c r="L356" s="24">
        <v>1</v>
      </c>
      <c r="M356" s="24">
        <v>0</v>
      </c>
    </row>
    <row r="357" spans="2:13" ht="14" x14ac:dyDescent="0.2">
      <c r="B357" s="24">
        <v>27</v>
      </c>
      <c r="C357" s="24">
        <v>192</v>
      </c>
      <c r="D357" s="24">
        <v>1</v>
      </c>
      <c r="E357" s="24">
        <v>1.7</v>
      </c>
      <c r="F357" s="24">
        <v>1</v>
      </c>
      <c r="G357" s="24">
        <v>0</v>
      </c>
      <c r="H357" s="24">
        <v>601</v>
      </c>
      <c r="I357" s="24">
        <v>0</v>
      </c>
      <c r="J357" s="24">
        <v>0</v>
      </c>
      <c r="K357" s="24">
        <v>1</v>
      </c>
      <c r="L357" s="24">
        <v>0</v>
      </c>
      <c r="M357" s="24">
        <v>0</v>
      </c>
    </row>
    <row r="358" spans="2:13" ht="14" x14ac:dyDescent="0.2">
      <c r="B358" s="24">
        <v>7</v>
      </c>
      <c r="C358" s="24">
        <v>58</v>
      </c>
      <c r="D358" s="24">
        <v>4</v>
      </c>
      <c r="E358" s="24">
        <v>2.2000000000000002</v>
      </c>
      <c r="F358" s="24">
        <v>0</v>
      </c>
      <c r="G358" s="24">
        <v>1</v>
      </c>
      <c r="H358" s="24">
        <v>0</v>
      </c>
      <c r="I358" s="24">
        <v>0</v>
      </c>
      <c r="J358" s="24">
        <v>0</v>
      </c>
      <c r="K358" s="24">
        <v>1</v>
      </c>
      <c r="L358" s="24">
        <v>1</v>
      </c>
      <c r="M358" s="24">
        <v>0</v>
      </c>
    </row>
    <row r="359" spans="2:13" ht="14" x14ac:dyDescent="0.2">
      <c r="B359" s="24">
        <v>31</v>
      </c>
      <c r="C359" s="24">
        <v>74</v>
      </c>
      <c r="D359" s="24">
        <v>3</v>
      </c>
      <c r="E359" s="24">
        <v>2.6666666666666701</v>
      </c>
      <c r="F359" s="24">
        <v>1</v>
      </c>
      <c r="G359" s="24">
        <v>0</v>
      </c>
      <c r="H359" s="24">
        <v>0</v>
      </c>
      <c r="I359" s="24">
        <v>0</v>
      </c>
      <c r="J359" s="24">
        <v>0</v>
      </c>
      <c r="K359" s="24">
        <v>0</v>
      </c>
      <c r="L359" s="24">
        <v>1</v>
      </c>
      <c r="M359" s="24">
        <v>0</v>
      </c>
    </row>
    <row r="360" spans="2:13" ht="14" x14ac:dyDescent="0.2">
      <c r="B360" s="24">
        <v>18</v>
      </c>
      <c r="C360" s="24">
        <v>58</v>
      </c>
      <c r="D360" s="24">
        <v>1</v>
      </c>
      <c r="E360" s="24">
        <v>2.4</v>
      </c>
      <c r="F360" s="24">
        <v>1</v>
      </c>
      <c r="G360" s="24">
        <v>0</v>
      </c>
      <c r="H360" s="24">
        <v>0</v>
      </c>
      <c r="I360" s="24">
        <v>0</v>
      </c>
      <c r="J360" s="24">
        <v>0</v>
      </c>
      <c r="K360" s="24">
        <v>0</v>
      </c>
      <c r="L360" s="24">
        <v>0</v>
      </c>
      <c r="M360" s="24">
        <v>0</v>
      </c>
    </row>
    <row r="361" spans="2:13" ht="14" x14ac:dyDescent="0.2">
      <c r="B361" s="24">
        <v>24</v>
      </c>
      <c r="C361" s="24">
        <v>75</v>
      </c>
      <c r="D361" s="24">
        <v>2</v>
      </c>
      <c r="E361" s="24">
        <v>4.5</v>
      </c>
      <c r="F361" s="24">
        <v>0</v>
      </c>
      <c r="G361" s="24">
        <v>0</v>
      </c>
      <c r="H361" s="24">
        <v>0</v>
      </c>
      <c r="I361" s="24">
        <v>0</v>
      </c>
      <c r="J361" s="24">
        <v>0</v>
      </c>
      <c r="K361" s="24">
        <v>0</v>
      </c>
      <c r="L361" s="24">
        <v>0</v>
      </c>
      <c r="M361" s="24">
        <v>0</v>
      </c>
    </row>
    <row r="362" spans="2:13" ht="14" x14ac:dyDescent="0.2">
      <c r="B362" s="24">
        <v>35</v>
      </c>
      <c r="C362" s="24">
        <v>22</v>
      </c>
      <c r="D362" s="24">
        <v>1</v>
      </c>
      <c r="E362" s="24">
        <v>1.3</v>
      </c>
      <c r="F362" s="24">
        <v>1</v>
      </c>
      <c r="G362" s="24">
        <v>0</v>
      </c>
      <c r="H362" s="24">
        <v>123</v>
      </c>
      <c r="I362" s="24">
        <v>0</v>
      </c>
      <c r="J362" s="24">
        <v>0</v>
      </c>
      <c r="K362" s="24">
        <v>1</v>
      </c>
      <c r="L362" s="24">
        <v>0</v>
      </c>
      <c r="M362" s="24">
        <v>0</v>
      </c>
    </row>
    <row r="363" spans="2:13" ht="14" x14ac:dyDescent="0.2">
      <c r="B363" s="24">
        <v>18</v>
      </c>
      <c r="C363" s="24">
        <v>55</v>
      </c>
      <c r="D363" s="24">
        <v>1</v>
      </c>
      <c r="E363" s="24">
        <v>0.2</v>
      </c>
      <c r="F363" s="24">
        <v>1</v>
      </c>
      <c r="G363" s="24">
        <v>0</v>
      </c>
      <c r="H363" s="24">
        <v>0</v>
      </c>
      <c r="I363" s="24">
        <v>0</v>
      </c>
      <c r="J363" s="24">
        <v>0</v>
      </c>
      <c r="K363" s="24">
        <v>0</v>
      </c>
      <c r="L363" s="24">
        <v>0</v>
      </c>
      <c r="M363" s="24">
        <v>0</v>
      </c>
    </row>
    <row r="364" spans="2:13" ht="14" x14ac:dyDescent="0.2">
      <c r="B364" s="24">
        <v>3</v>
      </c>
      <c r="C364" s="24">
        <v>154</v>
      </c>
      <c r="D364" s="24">
        <v>2</v>
      </c>
      <c r="E364" s="24">
        <v>2</v>
      </c>
      <c r="F364" s="24">
        <v>1</v>
      </c>
      <c r="G364" s="24">
        <v>0</v>
      </c>
      <c r="H364" s="24">
        <v>130</v>
      </c>
      <c r="I364" s="24">
        <v>0</v>
      </c>
      <c r="J364" s="24">
        <v>0</v>
      </c>
      <c r="K364" s="24">
        <v>0</v>
      </c>
      <c r="L364" s="24">
        <v>0</v>
      </c>
      <c r="M364" s="24">
        <v>0</v>
      </c>
    </row>
    <row r="365" spans="2:13" ht="14" x14ac:dyDescent="0.2">
      <c r="B365" s="24">
        <v>13</v>
      </c>
      <c r="C365" s="24">
        <v>19</v>
      </c>
      <c r="D365" s="24">
        <v>2</v>
      </c>
      <c r="E365" s="24">
        <v>1.4</v>
      </c>
      <c r="F365" s="24">
        <v>0</v>
      </c>
      <c r="G365" s="24">
        <v>1</v>
      </c>
      <c r="H365" s="24">
        <v>120</v>
      </c>
      <c r="I365" s="24">
        <v>0</v>
      </c>
      <c r="J365" s="24">
        <v>0</v>
      </c>
      <c r="K365" s="24">
        <v>0</v>
      </c>
      <c r="L365" s="24">
        <v>1</v>
      </c>
      <c r="M365" s="24">
        <v>0</v>
      </c>
    </row>
    <row r="366" spans="2:13" ht="14" x14ac:dyDescent="0.2">
      <c r="B366" s="24">
        <v>20</v>
      </c>
      <c r="C366" s="24">
        <v>25</v>
      </c>
      <c r="D366" s="24">
        <v>4</v>
      </c>
      <c r="E366" s="24">
        <v>0.6</v>
      </c>
      <c r="F366" s="24">
        <v>0</v>
      </c>
      <c r="G366" s="24">
        <v>0</v>
      </c>
      <c r="H366" s="24">
        <v>125</v>
      </c>
      <c r="I366" s="24">
        <v>0</v>
      </c>
      <c r="J366" s="24">
        <v>0</v>
      </c>
      <c r="K366" s="24">
        <v>0</v>
      </c>
      <c r="L366" s="24">
        <v>0</v>
      </c>
      <c r="M366" s="24">
        <v>0</v>
      </c>
    </row>
    <row r="367" spans="2:13" ht="14" x14ac:dyDescent="0.2">
      <c r="B367" s="24">
        <v>39</v>
      </c>
      <c r="C367" s="24">
        <v>59</v>
      </c>
      <c r="D367" s="24">
        <v>2</v>
      </c>
      <c r="E367" s="24">
        <v>1.5</v>
      </c>
      <c r="F367" s="24">
        <v>1</v>
      </c>
      <c r="G367" s="24">
        <v>0</v>
      </c>
      <c r="H367" s="24">
        <v>139</v>
      </c>
      <c r="I367" s="24">
        <v>0</v>
      </c>
      <c r="J367" s="24">
        <v>0</v>
      </c>
      <c r="K367" s="24">
        <v>1</v>
      </c>
      <c r="L367" s="24">
        <v>0</v>
      </c>
      <c r="M367" s="24">
        <v>0</v>
      </c>
    </row>
    <row r="368" spans="2:13" ht="14" x14ac:dyDescent="0.2">
      <c r="B368" s="24">
        <v>5</v>
      </c>
      <c r="C368" s="24">
        <v>40</v>
      </c>
      <c r="D368" s="24">
        <v>4</v>
      </c>
      <c r="E368" s="24">
        <v>2</v>
      </c>
      <c r="F368" s="24">
        <v>0</v>
      </c>
      <c r="G368" s="24">
        <v>1</v>
      </c>
      <c r="H368" s="24">
        <v>0</v>
      </c>
      <c r="I368" s="24">
        <v>0</v>
      </c>
      <c r="J368" s="24">
        <v>0</v>
      </c>
      <c r="K368" s="24">
        <v>1</v>
      </c>
      <c r="L368" s="24">
        <v>0</v>
      </c>
      <c r="M368" s="24">
        <v>0</v>
      </c>
    </row>
    <row r="369" spans="2:13" ht="14" x14ac:dyDescent="0.2">
      <c r="B369" s="24">
        <v>23</v>
      </c>
      <c r="C369" s="24">
        <v>22</v>
      </c>
      <c r="D369" s="24">
        <v>1</v>
      </c>
      <c r="E369" s="24">
        <v>0.1</v>
      </c>
      <c r="F369" s="24">
        <v>1</v>
      </c>
      <c r="G369" s="24">
        <v>0</v>
      </c>
      <c r="H369" s="24">
        <v>0</v>
      </c>
      <c r="I369" s="24">
        <v>0</v>
      </c>
      <c r="J369" s="24">
        <v>0</v>
      </c>
      <c r="K369" s="24">
        <v>0</v>
      </c>
      <c r="L369" s="24">
        <v>0</v>
      </c>
      <c r="M369" s="24">
        <v>0</v>
      </c>
    </row>
    <row r="370" spans="2:13" ht="14" x14ac:dyDescent="0.2">
      <c r="B370" s="24">
        <v>38</v>
      </c>
      <c r="C370" s="24">
        <v>42</v>
      </c>
      <c r="D370" s="24">
        <v>1</v>
      </c>
      <c r="E370" s="24">
        <v>1.8</v>
      </c>
      <c r="F370" s="24">
        <v>0</v>
      </c>
      <c r="G370" s="24">
        <v>0</v>
      </c>
      <c r="H370" s="24">
        <v>0</v>
      </c>
      <c r="I370" s="24">
        <v>0</v>
      </c>
      <c r="J370" s="24">
        <v>0</v>
      </c>
      <c r="K370" s="24">
        <v>0</v>
      </c>
      <c r="L370" s="24">
        <v>0</v>
      </c>
      <c r="M370" s="24">
        <v>0</v>
      </c>
    </row>
    <row r="371" spans="2:13" ht="14" x14ac:dyDescent="0.2">
      <c r="B371" s="24">
        <v>21</v>
      </c>
      <c r="C371" s="24">
        <v>41</v>
      </c>
      <c r="D371" s="24">
        <v>1</v>
      </c>
      <c r="E371" s="24">
        <v>1.4</v>
      </c>
      <c r="F371" s="24">
        <v>0</v>
      </c>
      <c r="G371" s="24">
        <v>0</v>
      </c>
      <c r="H371" s="24">
        <v>128</v>
      </c>
      <c r="I371" s="24">
        <v>0</v>
      </c>
      <c r="J371" s="24">
        <v>0</v>
      </c>
      <c r="K371" s="24">
        <v>1</v>
      </c>
      <c r="L371" s="24">
        <v>0</v>
      </c>
      <c r="M371" s="24">
        <v>0</v>
      </c>
    </row>
    <row r="372" spans="2:13" ht="14" x14ac:dyDescent="0.2">
      <c r="B372" s="24">
        <v>3</v>
      </c>
      <c r="C372" s="24">
        <v>84</v>
      </c>
      <c r="D372" s="24">
        <v>1</v>
      </c>
      <c r="E372" s="24">
        <v>2.9</v>
      </c>
      <c r="F372" s="24">
        <v>0</v>
      </c>
      <c r="G372" s="24">
        <v>0</v>
      </c>
      <c r="H372" s="24">
        <v>0</v>
      </c>
      <c r="I372" s="24">
        <v>0</v>
      </c>
      <c r="J372" s="24">
        <v>0</v>
      </c>
      <c r="K372" s="24">
        <v>1</v>
      </c>
      <c r="L372" s="24">
        <v>0</v>
      </c>
      <c r="M372" s="24">
        <v>0</v>
      </c>
    </row>
    <row r="373" spans="2:13" ht="14" x14ac:dyDescent="0.2">
      <c r="B373" s="24">
        <v>16</v>
      </c>
      <c r="C373" s="24">
        <v>114</v>
      </c>
      <c r="D373" s="24">
        <v>1</v>
      </c>
      <c r="E373" s="24">
        <v>3.4</v>
      </c>
      <c r="F373" s="24">
        <v>1</v>
      </c>
      <c r="G373" s="24">
        <v>0</v>
      </c>
      <c r="H373" s="24">
        <v>300</v>
      </c>
      <c r="I373" s="24">
        <v>0</v>
      </c>
      <c r="J373" s="24">
        <v>0</v>
      </c>
      <c r="K373" s="24">
        <v>1</v>
      </c>
      <c r="L373" s="24">
        <v>0</v>
      </c>
      <c r="M373" s="24">
        <v>0</v>
      </c>
    </row>
    <row r="374" spans="2:13" ht="14" x14ac:dyDescent="0.2">
      <c r="B374" s="24">
        <v>19</v>
      </c>
      <c r="C374" s="24">
        <v>60</v>
      </c>
      <c r="D374" s="24">
        <v>3</v>
      </c>
      <c r="E374" s="24">
        <v>2.1</v>
      </c>
      <c r="F374" s="24">
        <v>0</v>
      </c>
      <c r="G374" s="24">
        <v>0</v>
      </c>
      <c r="H374" s="24">
        <v>0</v>
      </c>
      <c r="I374" s="24">
        <v>0</v>
      </c>
      <c r="J374" s="24">
        <v>0</v>
      </c>
      <c r="K374" s="24">
        <v>1</v>
      </c>
      <c r="L374" s="24">
        <v>0</v>
      </c>
      <c r="M374" s="24">
        <v>0</v>
      </c>
    </row>
    <row r="375" spans="2:13" ht="14" x14ac:dyDescent="0.2">
      <c r="B375" s="24">
        <v>21</v>
      </c>
      <c r="C375" s="24">
        <v>89</v>
      </c>
      <c r="D375" s="24">
        <v>2</v>
      </c>
      <c r="E375" s="24">
        <v>0.8</v>
      </c>
      <c r="F375" s="24">
        <v>0</v>
      </c>
      <c r="G375" s="24">
        <v>0</v>
      </c>
      <c r="H375" s="24">
        <v>0</v>
      </c>
      <c r="I375" s="24">
        <v>0</v>
      </c>
      <c r="J375" s="24">
        <v>0</v>
      </c>
      <c r="K375" s="24">
        <v>1</v>
      </c>
      <c r="L375" s="24">
        <v>1</v>
      </c>
      <c r="M375" s="24">
        <v>0</v>
      </c>
    </row>
    <row r="376" spans="2:13" ht="14" x14ac:dyDescent="0.2">
      <c r="B376" s="24">
        <v>34</v>
      </c>
      <c r="C376" s="24">
        <v>99</v>
      </c>
      <c r="D376" s="24">
        <v>1</v>
      </c>
      <c r="E376" s="24">
        <v>4.4000000000000004</v>
      </c>
      <c r="F376" s="24">
        <v>1</v>
      </c>
      <c r="G376" s="24">
        <v>0</v>
      </c>
      <c r="H376" s="24">
        <v>0</v>
      </c>
      <c r="I376" s="24">
        <v>0</v>
      </c>
      <c r="J376" s="24">
        <v>0</v>
      </c>
      <c r="K376" s="24">
        <v>0</v>
      </c>
      <c r="L376" s="24">
        <v>0</v>
      </c>
      <c r="M376" s="24">
        <v>1</v>
      </c>
    </row>
    <row r="377" spans="2:13" ht="14" x14ac:dyDescent="0.2">
      <c r="B377" s="24">
        <v>35</v>
      </c>
      <c r="C377" s="24">
        <v>80</v>
      </c>
      <c r="D377" s="24">
        <v>2</v>
      </c>
      <c r="E377" s="24">
        <v>2.8</v>
      </c>
      <c r="F377" s="24">
        <v>1</v>
      </c>
      <c r="G377" s="24">
        <v>0</v>
      </c>
      <c r="H377" s="24">
        <v>0</v>
      </c>
      <c r="I377" s="24">
        <v>0</v>
      </c>
      <c r="J377" s="24">
        <v>0</v>
      </c>
      <c r="K377" s="24">
        <v>1</v>
      </c>
      <c r="L377" s="24">
        <v>0</v>
      </c>
      <c r="M377" s="24">
        <v>0</v>
      </c>
    </row>
    <row r="378" spans="2:13" ht="14" x14ac:dyDescent="0.2">
      <c r="B378" s="24">
        <v>28</v>
      </c>
      <c r="C378" s="24">
        <v>20</v>
      </c>
      <c r="D378" s="24">
        <v>3</v>
      </c>
      <c r="E378" s="24">
        <v>0.1</v>
      </c>
      <c r="F378" s="24">
        <v>0</v>
      </c>
      <c r="G378" s="24">
        <v>1</v>
      </c>
      <c r="H378" s="24">
        <v>0</v>
      </c>
      <c r="I378" s="24">
        <v>0</v>
      </c>
      <c r="J378" s="24">
        <v>0</v>
      </c>
      <c r="K378" s="24">
        <v>0</v>
      </c>
      <c r="L378" s="24">
        <v>0</v>
      </c>
      <c r="M378" s="24">
        <v>0</v>
      </c>
    </row>
    <row r="379" spans="2:13" ht="14" x14ac:dyDescent="0.2">
      <c r="B379" s="24">
        <v>26</v>
      </c>
      <c r="C379" s="24">
        <v>42</v>
      </c>
      <c r="D379" s="24">
        <v>4</v>
      </c>
      <c r="E379" s="24">
        <v>1.1000000000000001</v>
      </c>
      <c r="F379" s="24">
        <v>0</v>
      </c>
      <c r="G379" s="24">
        <v>1</v>
      </c>
      <c r="H379" s="24">
        <v>151</v>
      </c>
      <c r="I379" s="24">
        <v>0</v>
      </c>
      <c r="J379" s="24">
        <v>0</v>
      </c>
      <c r="K379" s="24">
        <v>1</v>
      </c>
      <c r="L379" s="24">
        <v>0</v>
      </c>
      <c r="M379" s="24">
        <v>0</v>
      </c>
    </row>
    <row r="380" spans="2:13" ht="14" x14ac:dyDescent="0.2">
      <c r="B380" s="24">
        <v>25</v>
      </c>
      <c r="C380" s="24">
        <v>128</v>
      </c>
      <c r="D380" s="24">
        <v>2</v>
      </c>
      <c r="E380" s="24">
        <v>0.4</v>
      </c>
      <c r="F380" s="24">
        <v>1</v>
      </c>
      <c r="G380" s="24">
        <v>0</v>
      </c>
      <c r="H380" s="24">
        <v>0</v>
      </c>
      <c r="I380" s="24">
        <v>0</v>
      </c>
      <c r="J380" s="24">
        <v>0</v>
      </c>
      <c r="K380" s="24">
        <v>0</v>
      </c>
      <c r="L380" s="24">
        <v>0</v>
      </c>
      <c r="M380" s="24">
        <v>0</v>
      </c>
    </row>
    <row r="381" spans="2:13" ht="14" x14ac:dyDescent="0.2">
      <c r="B381" s="24">
        <v>27</v>
      </c>
      <c r="C381" s="24">
        <v>93</v>
      </c>
      <c r="D381" s="24">
        <v>1</v>
      </c>
      <c r="E381" s="24">
        <v>2.7</v>
      </c>
      <c r="F381" s="24">
        <v>1</v>
      </c>
      <c r="G381" s="24">
        <v>0</v>
      </c>
      <c r="H381" s="24">
        <v>0</v>
      </c>
      <c r="I381" s="24">
        <v>0</v>
      </c>
      <c r="J381" s="24">
        <v>0</v>
      </c>
      <c r="K381" s="24">
        <v>1</v>
      </c>
      <c r="L381" s="24">
        <v>0</v>
      </c>
      <c r="M381" s="24">
        <v>0</v>
      </c>
    </row>
    <row r="382" spans="2:13" ht="14" x14ac:dyDescent="0.2">
      <c r="B382" s="24">
        <v>6</v>
      </c>
      <c r="C382" s="24">
        <v>50</v>
      </c>
      <c r="D382" s="24">
        <v>4</v>
      </c>
      <c r="E382" s="24">
        <v>2.1</v>
      </c>
      <c r="F382" s="24">
        <v>0</v>
      </c>
      <c r="G382" s="24">
        <v>0</v>
      </c>
      <c r="H382" s="24">
        <v>0</v>
      </c>
      <c r="I382" s="24">
        <v>1</v>
      </c>
      <c r="J382" s="24">
        <v>1</v>
      </c>
      <c r="K382" s="24">
        <v>1</v>
      </c>
      <c r="L382" s="24">
        <v>1</v>
      </c>
      <c r="M382" s="24">
        <v>0</v>
      </c>
    </row>
    <row r="383" spans="2:13" ht="14" x14ac:dyDescent="0.2">
      <c r="B383" s="24">
        <v>33</v>
      </c>
      <c r="C383" s="24">
        <v>50</v>
      </c>
      <c r="D383" s="24">
        <v>2</v>
      </c>
      <c r="E383" s="24">
        <v>2.2999999999999998</v>
      </c>
      <c r="F383" s="24">
        <v>0</v>
      </c>
      <c r="G383" s="24">
        <v>0</v>
      </c>
      <c r="H383" s="24">
        <v>0</v>
      </c>
      <c r="I383" s="24">
        <v>0</v>
      </c>
      <c r="J383" s="24">
        <v>0</v>
      </c>
      <c r="K383" s="24">
        <v>0</v>
      </c>
      <c r="L383" s="24">
        <v>1</v>
      </c>
      <c r="M383" s="24">
        <v>0</v>
      </c>
    </row>
    <row r="384" spans="2:13" ht="14" x14ac:dyDescent="0.2">
      <c r="B384" s="24">
        <v>31</v>
      </c>
      <c r="C384" s="24">
        <v>30</v>
      </c>
      <c r="D384" s="24">
        <v>3</v>
      </c>
      <c r="E384" s="24">
        <v>1.4</v>
      </c>
      <c r="F384" s="24">
        <v>1</v>
      </c>
      <c r="G384" s="24">
        <v>0</v>
      </c>
      <c r="H384" s="24">
        <v>0</v>
      </c>
      <c r="I384" s="24">
        <v>0</v>
      </c>
      <c r="J384" s="24">
        <v>0</v>
      </c>
      <c r="K384" s="24">
        <v>0</v>
      </c>
      <c r="L384" s="24">
        <v>0</v>
      </c>
      <c r="M384" s="24">
        <v>0</v>
      </c>
    </row>
    <row r="385" spans="2:13" ht="14" x14ac:dyDescent="0.2">
      <c r="B385" s="24">
        <v>0</v>
      </c>
      <c r="C385" s="24">
        <v>30</v>
      </c>
      <c r="D385" s="24">
        <v>2</v>
      </c>
      <c r="E385" s="24">
        <v>1.7</v>
      </c>
      <c r="F385" s="24">
        <v>0</v>
      </c>
      <c r="G385" s="24">
        <v>1</v>
      </c>
      <c r="H385" s="24">
        <v>0</v>
      </c>
      <c r="I385" s="24">
        <v>0</v>
      </c>
      <c r="J385" s="24">
        <v>0</v>
      </c>
      <c r="K385" s="24">
        <v>0</v>
      </c>
      <c r="L385" s="24">
        <v>0</v>
      </c>
      <c r="M385" s="24">
        <v>0</v>
      </c>
    </row>
    <row r="386" spans="2:13" ht="14" x14ac:dyDescent="0.2">
      <c r="B386" s="24">
        <v>39</v>
      </c>
      <c r="C386" s="24">
        <v>21</v>
      </c>
      <c r="D386" s="24">
        <v>2</v>
      </c>
      <c r="E386" s="24">
        <v>0.4</v>
      </c>
      <c r="F386" s="24">
        <v>1</v>
      </c>
      <c r="G386" s="24">
        <v>0</v>
      </c>
      <c r="H386" s="24">
        <v>0</v>
      </c>
      <c r="I386" s="24">
        <v>0</v>
      </c>
      <c r="J386" s="24">
        <v>0</v>
      </c>
      <c r="K386" s="24">
        <v>0</v>
      </c>
      <c r="L386" s="24">
        <v>0</v>
      </c>
      <c r="M386" s="24">
        <v>0</v>
      </c>
    </row>
    <row r="387" spans="2:13" ht="14" x14ac:dyDescent="0.2">
      <c r="B387" s="24">
        <v>36</v>
      </c>
      <c r="C387" s="24">
        <v>32</v>
      </c>
      <c r="D387" s="24">
        <v>3</v>
      </c>
      <c r="E387" s="24">
        <v>0.4</v>
      </c>
      <c r="F387" s="24">
        <v>0</v>
      </c>
      <c r="G387" s="24">
        <v>1</v>
      </c>
      <c r="H387" s="24">
        <v>165</v>
      </c>
      <c r="I387" s="24">
        <v>0</v>
      </c>
      <c r="J387" s="24">
        <v>0</v>
      </c>
      <c r="K387" s="24">
        <v>1</v>
      </c>
      <c r="L387" s="24">
        <v>0</v>
      </c>
      <c r="M387" s="24">
        <v>0</v>
      </c>
    </row>
    <row r="388" spans="2:13" ht="14" x14ac:dyDescent="0.2">
      <c r="B388" s="24">
        <v>18</v>
      </c>
      <c r="C388" s="24">
        <v>83</v>
      </c>
      <c r="D388" s="24">
        <v>2</v>
      </c>
      <c r="E388" s="24">
        <v>3.8</v>
      </c>
      <c r="F388" s="24">
        <v>0</v>
      </c>
      <c r="G388" s="24">
        <v>0</v>
      </c>
      <c r="H388" s="24">
        <v>112</v>
      </c>
      <c r="I388" s="24">
        <v>0</v>
      </c>
      <c r="J388" s="24">
        <v>0</v>
      </c>
      <c r="K388" s="24">
        <v>0</v>
      </c>
      <c r="L388" s="24">
        <v>0</v>
      </c>
      <c r="M388" s="24">
        <v>0</v>
      </c>
    </row>
    <row r="389" spans="2:13" ht="14" x14ac:dyDescent="0.2">
      <c r="B389" s="24">
        <v>18</v>
      </c>
      <c r="C389" s="24">
        <v>80</v>
      </c>
      <c r="D389" s="24">
        <v>3</v>
      </c>
      <c r="E389" s="24">
        <v>2.6666666666666701</v>
      </c>
      <c r="F389" s="24">
        <v>0</v>
      </c>
      <c r="G389" s="24">
        <v>1</v>
      </c>
      <c r="H389" s="24">
        <v>0</v>
      </c>
      <c r="I389" s="24">
        <v>0</v>
      </c>
      <c r="J389" s="24">
        <v>0</v>
      </c>
      <c r="K389" s="24">
        <v>0</v>
      </c>
      <c r="L389" s="24">
        <v>0</v>
      </c>
      <c r="M389" s="24">
        <v>0</v>
      </c>
    </row>
    <row r="390" spans="2:13" ht="14" x14ac:dyDescent="0.2">
      <c r="B390" s="24">
        <v>2</v>
      </c>
      <c r="C390" s="24">
        <v>43</v>
      </c>
      <c r="D390" s="24">
        <v>4</v>
      </c>
      <c r="E390" s="24">
        <v>1.3</v>
      </c>
      <c r="F390" s="24">
        <v>0</v>
      </c>
      <c r="G390" s="24">
        <v>0</v>
      </c>
      <c r="H390" s="24">
        <v>0</v>
      </c>
      <c r="I390" s="24">
        <v>0</v>
      </c>
      <c r="J390" s="24">
        <v>0</v>
      </c>
      <c r="K390" s="24">
        <v>1</v>
      </c>
      <c r="L390" s="24">
        <v>1</v>
      </c>
      <c r="M390" s="24">
        <v>0</v>
      </c>
    </row>
    <row r="391" spans="2:13" ht="14" x14ac:dyDescent="0.2">
      <c r="B391" s="24">
        <v>2</v>
      </c>
      <c r="C391" s="24">
        <v>114</v>
      </c>
      <c r="D391" s="24">
        <v>4</v>
      </c>
      <c r="E391" s="24">
        <v>2.1</v>
      </c>
      <c r="F391" s="24">
        <v>0</v>
      </c>
      <c r="G391" s="24">
        <v>0</v>
      </c>
      <c r="H391" s="24">
        <v>0</v>
      </c>
      <c r="I391" s="24">
        <v>0</v>
      </c>
      <c r="J391" s="24">
        <v>0</v>
      </c>
      <c r="K391" s="24">
        <v>1</v>
      </c>
      <c r="L391" s="24">
        <v>0</v>
      </c>
      <c r="M391" s="24">
        <v>0</v>
      </c>
    </row>
    <row r="392" spans="2:13" ht="14" x14ac:dyDescent="0.2">
      <c r="B392" s="24">
        <v>30</v>
      </c>
      <c r="C392" s="24">
        <v>82</v>
      </c>
      <c r="D392" s="24">
        <v>4</v>
      </c>
      <c r="E392" s="24">
        <v>3.8</v>
      </c>
      <c r="F392" s="24">
        <v>0</v>
      </c>
      <c r="G392" s="24">
        <v>1</v>
      </c>
      <c r="H392" s="24">
        <v>0</v>
      </c>
      <c r="I392" s="24">
        <v>0</v>
      </c>
      <c r="J392" s="24">
        <v>0</v>
      </c>
      <c r="K392" s="24">
        <v>1</v>
      </c>
      <c r="L392" s="24">
        <v>0</v>
      </c>
      <c r="M392" s="24">
        <v>0</v>
      </c>
    </row>
    <row r="393" spans="2:13" ht="14" x14ac:dyDescent="0.2">
      <c r="B393" s="24">
        <v>10</v>
      </c>
      <c r="C393" s="24">
        <v>22</v>
      </c>
      <c r="D393" s="24">
        <v>1</v>
      </c>
      <c r="E393" s="24">
        <v>0.5</v>
      </c>
      <c r="F393" s="24">
        <v>0</v>
      </c>
      <c r="G393" s="24">
        <v>0</v>
      </c>
      <c r="H393" s="24">
        <v>85</v>
      </c>
      <c r="I393" s="24">
        <v>0</v>
      </c>
      <c r="J393" s="24">
        <v>0</v>
      </c>
      <c r="K393" s="24">
        <v>0</v>
      </c>
      <c r="L393" s="24">
        <v>0</v>
      </c>
      <c r="M393" s="24">
        <v>0</v>
      </c>
    </row>
    <row r="394" spans="2:13" ht="14" x14ac:dyDescent="0.2">
      <c r="B394" s="24">
        <v>34</v>
      </c>
      <c r="C394" s="24">
        <v>40</v>
      </c>
      <c r="D394" s="24">
        <v>1</v>
      </c>
      <c r="E394" s="24">
        <v>1.6</v>
      </c>
      <c r="F394" s="24">
        <v>1</v>
      </c>
      <c r="G394" s="24">
        <v>0</v>
      </c>
      <c r="H394" s="24">
        <v>0</v>
      </c>
      <c r="I394" s="24">
        <v>0</v>
      </c>
      <c r="J394" s="24">
        <v>0</v>
      </c>
      <c r="K394" s="24">
        <v>1</v>
      </c>
      <c r="L394" s="24">
        <v>0</v>
      </c>
      <c r="M394" s="24">
        <v>0</v>
      </c>
    </row>
    <row r="395" spans="2:13" ht="14" x14ac:dyDescent="0.2">
      <c r="B395" s="24">
        <v>13</v>
      </c>
      <c r="C395" s="24">
        <v>153</v>
      </c>
      <c r="D395" s="24">
        <v>2</v>
      </c>
      <c r="E395" s="24">
        <v>6.5</v>
      </c>
      <c r="F395" s="24">
        <v>1</v>
      </c>
      <c r="G395" s="24">
        <v>0</v>
      </c>
      <c r="H395" s="24">
        <v>0</v>
      </c>
      <c r="I395" s="24">
        <v>0</v>
      </c>
      <c r="J395" s="24">
        <v>0</v>
      </c>
      <c r="K395" s="24">
        <v>1</v>
      </c>
      <c r="L395" s="24">
        <v>1</v>
      </c>
      <c r="M395" s="24">
        <v>0</v>
      </c>
    </row>
    <row r="396" spans="2:13" ht="14" x14ac:dyDescent="0.2">
      <c r="B396" s="24">
        <v>18</v>
      </c>
      <c r="C396" s="24">
        <v>115</v>
      </c>
      <c r="D396" s="24">
        <v>1</v>
      </c>
      <c r="E396" s="24">
        <v>3.5</v>
      </c>
      <c r="F396" s="24">
        <v>1</v>
      </c>
      <c r="G396" s="24">
        <v>0</v>
      </c>
      <c r="H396" s="24">
        <v>0</v>
      </c>
      <c r="I396" s="24">
        <v>0</v>
      </c>
      <c r="J396" s="24">
        <v>0</v>
      </c>
      <c r="K396" s="24">
        <v>0</v>
      </c>
      <c r="L396" s="24">
        <v>1</v>
      </c>
      <c r="M396" s="24">
        <v>0</v>
      </c>
    </row>
    <row r="397" spans="2:13" ht="14" x14ac:dyDescent="0.2">
      <c r="B397" s="24">
        <v>14</v>
      </c>
      <c r="C397" s="24">
        <v>60</v>
      </c>
      <c r="D397" s="24">
        <v>2</v>
      </c>
      <c r="E397" s="24">
        <v>0.6</v>
      </c>
      <c r="F397" s="24">
        <v>0</v>
      </c>
      <c r="G397" s="24">
        <v>0</v>
      </c>
      <c r="H397" s="24">
        <v>0</v>
      </c>
      <c r="I397" s="24">
        <v>0</v>
      </c>
      <c r="J397" s="24">
        <v>0</v>
      </c>
      <c r="K397" s="24">
        <v>1</v>
      </c>
      <c r="L397" s="24">
        <v>1</v>
      </c>
      <c r="M397" s="24">
        <v>0</v>
      </c>
    </row>
    <row r="398" spans="2:13" ht="14" x14ac:dyDescent="0.2">
      <c r="B398" s="24">
        <v>30</v>
      </c>
      <c r="C398" s="24">
        <v>28</v>
      </c>
      <c r="D398" s="24">
        <v>1</v>
      </c>
      <c r="E398" s="24">
        <v>1.5</v>
      </c>
      <c r="F398" s="24">
        <v>0</v>
      </c>
      <c r="G398" s="24">
        <v>1</v>
      </c>
      <c r="H398" s="24">
        <v>0</v>
      </c>
      <c r="I398" s="24">
        <v>0</v>
      </c>
      <c r="J398" s="24">
        <v>0</v>
      </c>
      <c r="K398" s="24">
        <v>0</v>
      </c>
      <c r="L398" s="24">
        <v>0</v>
      </c>
      <c r="M398" s="24">
        <v>0</v>
      </c>
    </row>
    <row r="399" spans="2:13" ht="14" x14ac:dyDescent="0.2">
      <c r="B399" s="24">
        <v>23</v>
      </c>
      <c r="C399" s="24">
        <v>160</v>
      </c>
      <c r="D399" s="24">
        <v>2</v>
      </c>
      <c r="E399" s="24">
        <v>6.6666666666666696</v>
      </c>
      <c r="F399" s="24">
        <v>1</v>
      </c>
      <c r="G399" s="24">
        <v>0</v>
      </c>
      <c r="H399" s="24">
        <v>0</v>
      </c>
      <c r="I399" s="24">
        <v>0</v>
      </c>
      <c r="J399" s="24">
        <v>0</v>
      </c>
      <c r="K399" s="24">
        <v>0</v>
      </c>
      <c r="L399" s="24">
        <v>0</v>
      </c>
      <c r="M399" s="24">
        <v>0</v>
      </c>
    </row>
    <row r="400" spans="2:13" ht="14" x14ac:dyDescent="0.2">
      <c r="B400" s="24">
        <v>11</v>
      </c>
      <c r="C400" s="24">
        <v>98</v>
      </c>
      <c r="D400" s="24">
        <v>3</v>
      </c>
      <c r="E400" s="24">
        <v>1.2</v>
      </c>
      <c r="F400" s="24">
        <v>0</v>
      </c>
      <c r="G400" s="24">
        <v>0</v>
      </c>
      <c r="H400" s="24">
        <v>0</v>
      </c>
      <c r="I400" s="24">
        <v>1</v>
      </c>
      <c r="J400" s="24">
        <v>0</v>
      </c>
      <c r="K400" s="24">
        <v>0</v>
      </c>
      <c r="L400" s="24">
        <v>1</v>
      </c>
      <c r="M400" s="24">
        <v>0</v>
      </c>
    </row>
    <row r="401" spans="2:13" ht="14" x14ac:dyDescent="0.2">
      <c r="B401" s="24">
        <v>33</v>
      </c>
      <c r="C401" s="24">
        <v>142</v>
      </c>
      <c r="D401" s="24">
        <v>2</v>
      </c>
      <c r="E401" s="24">
        <v>3.9</v>
      </c>
      <c r="F401" s="24">
        <v>1</v>
      </c>
      <c r="G401" s="24">
        <v>0</v>
      </c>
      <c r="H401" s="24">
        <v>193</v>
      </c>
      <c r="I401" s="24">
        <v>0</v>
      </c>
      <c r="J401" s="24">
        <v>0</v>
      </c>
      <c r="K401" s="24">
        <v>1</v>
      </c>
      <c r="L401" s="24">
        <v>1</v>
      </c>
      <c r="M401" s="24">
        <v>0</v>
      </c>
    </row>
    <row r="402" spans="2:13" ht="14" x14ac:dyDescent="0.2">
      <c r="B402" s="24">
        <v>13</v>
      </c>
      <c r="C402" s="24">
        <v>172</v>
      </c>
      <c r="D402" s="24">
        <v>2</v>
      </c>
      <c r="E402" s="24">
        <v>6.5</v>
      </c>
      <c r="F402" s="24">
        <v>1</v>
      </c>
      <c r="G402" s="24">
        <v>0</v>
      </c>
      <c r="H402" s="24">
        <v>0</v>
      </c>
      <c r="I402" s="24">
        <v>0</v>
      </c>
      <c r="J402" s="24">
        <v>0</v>
      </c>
      <c r="K402" s="24">
        <v>0</v>
      </c>
      <c r="L402" s="24">
        <v>0</v>
      </c>
      <c r="M402" s="24">
        <v>0</v>
      </c>
    </row>
    <row r="403" spans="2:13" ht="14" x14ac:dyDescent="0.2">
      <c r="B403" s="24">
        <v>31</v>
      </c>
      <c r="C403" s="24">
        <v>43</v>
      </c>
      <c r="D403" s="24">
        <v>1</v>
      </c>
      <c r="E403" s="24">
        <v>0.2</v>
      </c>
      <c r="F403" s="24">
        <v>1</v>
      </c>
      <c r="G403" s="24">
        <v>0</v>
      </c>
      <c r="H403" s="24">
        <v>0</v>
      </c>
      <c r="I403" s="24">
        <v>0</v>
      </c>
      <c r="J403" s="24">
        <v>0</v>
      </c>
      <c r="K403" s="24">
        <v>0</v>
      </c>
      <c r="L403" s="24">
        <v>0</v>
      </c>
      <c r="M403" s="24">
        <v>0</v>
      </c>
    </row>
    <row r="404" spans="2:13" ht="14" x14ac:dyDescent="0.2">
      <c r="B404" s="24">
        <v>9</v>
      </c>
      <c r="C404" s="24">
        <v>62</v>
      </c>
      <c r="D404" s="24">
        <v>3</v>
      </c>
      <c r="E404" s="24">
        <v>2.2999999999999998</v>
      </c>
      <c r="F404" s="24">
        <v>1</v>
      </c>
      <c r="G404" s="24">
        <v>0</v>
      </c>
      <c r="H404" s="24">
        <v>0</v>
      </c>
      <c r="I404" s="24">
        <v>0</v>
      </c>
      <c r="J404" s="24">
        <v>0</v>
      </c>
      <c r="K404" s="24">
        <v>0</v>
      </c>
      <c r="L404" s="24">
        <v>0</v>
      </c>
      <c r="M404" s="24">
        <v>0</v>
      </c>
    </row>
    <row r="405" spans="2:13" ht="14" x14ac:dyDescent="0.2">
      <c r="B405" s="24">
        <v>24</v>
      </c>
      <c r="C405" s="24">
        <v>84</v>
      </c>
      <c r="D405" s="24">
        <v>4</v>
      </c>
      <c r="E405" s="24">
        <v>4.9000000000000004</v>
      </c>
      <c r="F405" s="24">
        <v>1</v>
      </c>
      <c r="G405" s="24">
        <v>0</v>
      </c>
      <c r="H405" s="24">
        <v>0</v>
      </c>
      <c r="I405" s="24">
        <v>0</v>
      </c>
      <c r="J405" s="24">
        <v>0</v>
      </c>
      <c r="K405" s="24">
        <v>1</v>
      </c>
      <c r="L405" s="24">
        <v>0</v>
      </c>
      <c r="M405" s="24">
        <v>0</v>
      </c>
    </row>
    <row r="406" spans="2:13" ht="14" x14ac:dyDescent="0.2">
      <c r="B406" s="24">
        <v>2</v>
      </c>
      <c r="C406" s="24">
        <v>104</v>
      </c>
      <c r="D406" s="24">
        <v>3</v>
      </c>
      <c r="E406" s="24">
        <v>2.5</v>
      </c>
      <c r="F406" s="24">
        <v>1</v>
      </c>
      <c r="G406" s="24">
        <v>0</v>
      </c>
      <c r="H406" s="24">
        <v>0</v>
      </c>
      <c r="I406" s="24">
        <v>0</v>
      </c>
      <c r="J406" s="24">
        <v>0</v>
      </c>
      <c r="K406" s="24">
        <v>0</v>
      </c>
      <c r="L406" s="24">
        <v>0</v>
      </c>
      <c r="M406" s="24">
        <v>0</v>
      </c>
    </row>
    <row r="407" spans="2:13" ht="14" x14ac:dyDescent="0.2">
      <c r="B407" s="24">
        <v>14</v>
      </c>
      <c r="C407" s="24">
        <v>130</v>
      </c>
      <c r="D407" s="24">
        <v>4</v>
      </c>
      <c r="E407" s="24">
        <v>4.7</v>
      </c>
      <c r="F407" s="24">
        <v>0</v>
      </c>
      <c r="G407" s="24">
        <v>0</v>
      </c>
      <c r="H407" s="24">
        <v>134</v>
      </c>
      <c r="I407" s="24">
        <v>0</v>
      </c>
      <c r="J407" s="24">
        <v>0</v>
      </c>
      <c r="K407" s="24">
        <v>0</v>
      </c>
      <c r="L407" s="24">
        <v>0</v>
      </c>
      <c r="M407" s="24">
        <v>1</v>
      </c>
    </row>
    <row r="408" spans="2:13" ht="14" x14ac:dyDescent="0.2">
      <c r="B408" s="24">
        <v>36</v>
      </c>
      <c r="C408" s="24">
        <v>130</v>
      </c>
      <c r="D408" s="24">
        <v>1</v>
      </c>
      <c r="E408" s="24">
        <v>1.3</v>
      </c>
      <c r="F408" s="24">
        <v>1</v>
      </c>
      <c r="G408" s="24">
        <v>0</v>
      </c>
      <c r="H408" s="24">
        <v>257</v>
      </c>
      <c r="I408" s="24">
        <v>0</v>
      </c>
      <c r="J408" s="24">
        <v>0</v>
      </c>
      <c r="K408" s="24">
        <v>0</v>
      </c>
      <c r="L408" s="24">
        <v>0</v>
      </c>
      <c r="M408" s="24">
        <v>0</v>
      </c>
    </row>
    <row r="409" spans="2:13" ht="14" x14ac:dyDescent="0.2">
      <c r="B409" s="24">
        <v>14</v>
      </c>
      <c r="C409" s="24">
        <v>58</v>
      </c>
      <c r="D409" s="24">
        <v>4</v>
      </c>
      <c r="E409" s="24">
        <v>2</v>
      </c>
      <c r="F409" s="24">
        <v>0</v>
      </c>
      <c r="G409" s="24">
        <v>0</v>
      </c>
      <c r="H409" s="24">
        <v>153</v>
      </c>
      <c r="I409" s="24">
        <v>1</v>
      </c>
      <c r="J409" s="24">
        <v>0</v>
      </c>
      <c r="K409" s="24">
        <v>0</v>
      </c>
      <c r="L409" s="24">
        <v>0</v>
      </c>
      <c r="M409" s="24">
        <v>0</v>
      </c>
    </row>
    <row r="410" spans="2:13" ht="14" x14ac:dyDescent="0.2">
      <c r="B410" s="24">
        <v>19</v>
      </c>
      <c r="C410" s="24">
        <v>72</v>
      </c>
      <c r="D410" s="24">
        <v>2</v>
      </c>
      <c r="E410" s="24">
        <v>1.7</v>
      </c>
      <c r="F410" s="24">
        <v>1</v>
      </c>
      <c r="G410" s="24">
        <v>0</v>
      </c>
      <c r="H410" s="24">
        <v>0</v>
      </c>
      <c r="I410" s="24">
        <v>0</v>
      </c>
      <c r="J410" s="24">
        <v>0</v>
      </c>
      <c r="K410" s="24">
        <v>1</v>
      </c>
      <c r="L410" s="24">
        <v>0</v>
      </c>
      <c r="M410" s="24">
        <v>0</v>
      </c>
    </row>
    <row r="411" spans="2:13" ht="14" x14ac:dyDescent="0.2">
      <c r="B411" s="24">
        <v>28</v>
      </c>
      <c r="C411" s="24">
        <v>52</v>
      </c>
      <c r="D411" s="24">
        <v>4</v>
      </c>
      <c r="E411" s="24">
        <v>2.5</v>
      </c>
      <c r="F411" s="24">
        <v>1</v>
      </c>
      <c r="G411" s="24">
        <v>0</v>
      </c>
      <c r="H411" s="24">
        <v>0</v>
      </c>
      <c r="I411" s="24">
        <v>0</v>
      </c>
      <c r="J411" s="24">
        <v>0</v>
      </c>
      <c r="K411" s="24">
        <v>1</v>
      </c>
      <c r="L411" s="24">
        <v>0</v>
      </c>
      <c r="M411" s="24">
        <v>0</v>
      </c>
    </row>
    <row r="412" spans="2:13" ht="14" x14ac:dyDescent="0.2">
      <c r="B412" s="24">
        <v>9</v>
      </c>
      <c r="C412" s="24">
        <v>41</v>
      </c>
      <c r="D412" s="24">
        <v>2</v>
      </c>
      <c r="E412" s="24">
        <v>0.1</v>
      </c>
      <c r="F412" s="24">
        <v>1</v>
      </c>
      <c r="G412" s="24">
        <v>0</v>
      </c>
      <c r="H412" s="24">
        <v>161</v>
      </c>
      <c r="I412" s="24">
        <v>0</v>
      </c>
      <c r="J412" s="24">
        <v>0</v>
      </c>
      <c r="K412" s="24">
        <v>1</v>
      </c>
      <c r="L412" s="24">
        <v>1</v>
      </c>
      <c r="M412" s="24">
        <v>0</v>
      </c>
    </row>
    <row r="413" spans="2:13" ht="14" x14ac:dyDescent="0.2">
      <c r="B413" s="24">
        <v>29</v>
      </c>
      <c r="C413" s="24">
        <v>131</v>
      </c>
      <c r="D413" s="24">
        <v>2</v>
      </c>
      <c r="E413" s="24">
        <v>2.7</v>
      </c>
      <c r="F413" s="24">
        <v>1</v>
      </c>
      <c r="G413" s="24">
        <v>0</v>
      </c>
      <c r="H413" s="24">
        <v>0</v>
      </c>
      <c r="I413" s="24">
        <v>1</v>
      </c>
      <c r="J413" s="24">
        <v>0</v>
      </c>
      <c r="K413" s="24">
        <v>0</v>
      </c>
      <c r="L413" s="24">
        <v>0</v>
      </c>
      <c r="M413" s="24">
        <v>0</v>
      </c>
    </row>
    <row r="414" spans="2:13" ht="14" x14ac:dyDescent="0.2">
      <c r="B414" s="24">
        <v>21</v>
      </c>
      <c r="C414" s="24">
        <v>120</v>
      </c>
      <c r="D414" s="24">
        <v>1</v>
      </c>
      <c r="E414" s="24">
        <v>0</v>
      </c>
      <c r="F414" s="24">
        <v>1</v>
      </c>
      <c r="G414" s="24">
        <v>0</v>
      </c>
      <c r="H414" s="24">
        <v>135</v>
      </c>
      <c r="I414" s="24">
        <v>0</v>
      </c>
      <c r="J414" s="24">
        <v>0</v>
      </c>
      <c r="K414" s="24">
        <v>0</v>
      </c>
      <c r="L414" s="24">
        <v>0</v>
      </c>
      <c r="M414" s="24">
        <v>0</v>
      </c>
    </row>
    <row r="415" spans="2:13" ht="14" x14ac:dyDescent="0.2">
      <c r="B415" s="24">
        <v>33</v>
      </c>
      <c r="C415" s="24">
        <v>170</v>
      </c>
      <c r="D415" s="24">
        <v>2</v>
      </c>
      <c r="E415" s="24">
        <v>2.1</v>
      </c>
      <c r="F415" s="24">
        <v>0</v>
      </c>
      <c r="G415" s="24">
        <v>1</v>
      </c>
      <c r="H415" s="24">
        <v>0</v>
      </c>
      <c r="I415" s="24">
        <v>0</v>
      </c>
      <c r="J415" s="24">
        <v>0</v>
      </c>
      <c r="K415" s="24">
        <v>0</v>
      </c>
      <c r="L415" s="24">
        <v>0</v>
      </c>
      <c r="M415" s="24">
        <v>1</v>
      </c>
    </row>
    <row r="416" spans="2:13" ht="14" x14ac:dyDescent="0.2">
      <c r="B416" s="24">
        <v>29</v>
      </c>
      <c r="C416" s="24">
        <v>79</v>
      </c>
      <c r="D416" s="24">
        <v>3</v>
      </c>
      <c r="E416" s="24">
        <v>0.8</v>
      </c>
      <c r="F416" s="24">
        <v>1</v>
      </c>
      <c r="G416" s="24">
        <v>0</v>
      </c>
      <c r="H416" s="24">
        <v>0</v>
      </c>
      <c r="I416" s="24">
        <v>0</v>
      </c>
      <c r="J416" s="24">
        <v>0</v>
      </c>
      <c r="K416" s="24">
        <v>1</v>
      </c>
      <c r="L416" s="24">
        <v>1</v>
      </c>
      <c r="M416" s="24">
        <v>0</v>
      </c>
    </row>
    <row r="417" spans="2:13" ht="14" x14ac:dyDescent="0.2">
      <c r="B417" s="24">
        <v>17</v>
      </c>
      <c r="C417" s="24">
        <v>85</v>
      </c>
      <c r="D417" s="24">
        <v>4</v>
      </c>
      <c r="E417" s="24">
        <v>0.2</v>
      </c>
      <c r="F417" s="24">
        <v>0</v>
      </c>
      <c r="G417" s="24">
        <v>0</v>
      </c>
      <c r="H417" s="24">
        <v>229</v>
      </c>
      <c r="I417" s="24">
        <v>0</v>
      </c>
      <c r="J417" s="24">
        <v>0</v>
      </c>
      <c r="K417" s="24">
        <v>0</v>
      </c>
      <c r="L417" s="24">
        <v>0</v>
      </c>
      <c r="M417" s="24">
        <v>0</v>
      </c>
    </row>
    <row r="418" spans="2:13" ht="14" x14ac:dyDescent="0.2">
      <c r="B418" s="24">
        <v>23</v>
      </c>
      <c r="C418" s="24">
        <v>8</v>
      </c>
      <c r="D418" s="24">
        <v>4</v>
      </c>
      <c r="E418" s="24">
        <v>0.2</v>
      </c>
      <c r="F418" s="24">
        <v>1</v>
      </c>
      <c r="G418" s="24">
        <v>0</v>
      </c>
      <c r="H418" s="24">
        <v>0</v>
      </c>
      <c r="I418" s="24">
        <v>0</v>
      </c>
      <c r="J418" s="24">
        <v>0</v>
      </c>
      <c r="K418" s="24">
        <v>1</v>
      </c>
      <c r="L418" s="24">
        <v>0</v>
      </c>
      <c r="M418" s="24">
        <v>0</v>
      </c>
    </row>
    <row r="419" spans="2:13" ht="14" x14ac:dyDescent="0.2">
      <c r="B419" s="24">
        <v>38</v>
      </c>
      <c r="C419" s="24">
        <v>99</v>
      </c>
      <c r="D419" s="24">
        <v>4</v>
      </c>
      <c r="E419" s="24">
        <v>1.7</v>
      </c>
      <c r="F419" s="24">
        <v>0</v>
      </c>
      <c r="G419" s="24">
        <v>1</v>
      </c>
      <c r="H419" s="24">
        <v>0</v>
      </c>
      <c r="I419" s="24">
        <v>0</v>
      </c>
      <c r="J419" s="24">
        <v>0</v>
      </c>
      <c r="K419" s="24">
        <v>0</v>
      </c>
      <c r="L419" s="24">
        <v>0</v>
      </c>
      <c r="M419" s="24">
        <v>0</v>
      </c>
    </row>
    <row r="420" spans="2:13" ht="14" x14ac:dyDescent="0.2">
      <c r="B420" s="24">
        <v>26</v>
      </c>
      <c r="C420" s="24">
        <v>101</v>
      </c>
      <c r="D420" s="24">
        <v>2</v>
      </c>
      <c r="E420" s="24">
        <v>2.4</v>
      </c>
      <c r="F420" s="24">
        <v>0</v>
      </c>
      <c r="G420" s="24">
        <v>1</v>
      </c>
      <c r="H420" s="24">
        <v>0</v>
      </c>
      <c r="I420" s="24">
        <v>0</v>
      </c>
      <c r="J420" s="24">
        <v>0</v>
      </c>
      <c r="K420" s="24">
        <v>1</v>
      </c>
      <c r="L420" s="24">
        <v>0</v>
      </c>
      <c r="M420" s="24">
        <v>0</v>
      </c>
    </row>
    <row r="421" spans="2:13" ht="14" x14ac:dyDescent="0.2">
      <c r="B421" s="24">
        <v>12</v>
      </c>
      <c r="C421" s="24">
        <v>79</v>
      </c>
      <c r="D421" s="24">
        <v>2</v>
      </c>
      <c r="E421" s="24">
        <v>2.2000000000000002</v>
      </c>
      <c r="F421" s="24">
        <v>1</v>
      </c>
      <c r="G421" s="24">
        <v>0</v>
      </c>
      <c r="H421" s="24">
        <v>0</v>
      </c>
      <c r="I421" s="24">
        <v>0</v>
      </c>
      <c r="J421" s="24">
        <v>0</v>
      </c>
      <c r="K421" s="24">
        <v>1</v>
      </c>
      <c r="L421" s="24">
        <v>0</v>
      </c>
      <c r="M421" s="24">
        <v>0</v>
      </c>
    </row>
    <row r="422" spans="2:13" ht="14" x14ac:dyDescent="0.2">
      <c r="B422" s="24">
        <v>1</v>
      </c>
      <c r="C422" s="24">
        <v>118</v>
      </c>
      <c r="D422" s="24">
        <v>1</v>
      </c>
      <c r="E422" s="24">
        <v>5.4</v>
      </c>
      <c r="F422" s="24">
        <v>1</v>
      </c>
      <c r="G422" s="24">
        <v>0</v>
      </c>
      <c r="H422" s="24">
        <v>0</v>
      </c>
      <c r="I422" s="24">
        <v>0</v>
      </c>
      <c r="J422" s="24">
        <v>0</v>
      </c>
      <c r="K422" s="24">
        <v>1</v>
      </c>
      <c r="L422" s="24">
        <v>1</v>
      </c>
      <c r="M422" s="24">
        <v>0</v>
      </c>
    </row>
    <row r="423" spans="2:13" ht="14" x14ac:dyDescent="0.2">
      <c r="B423" s="24">
        <v>36</v>
      </c>
      <c r="C423" s="24">
        <v>29</v>
      </c>
      <c r="D423" s="24">
        <v>2</v>
      </c>
      <c r="E423" s="24">
        <v>0.5</v>
      </c>
      <c r="F423" s="24">
        <v>0</v>
      </c>
      <c r="G423" s="24">
        <v>1</v>
      </c>
      <c r="H423" s="24">
        <v>0</v>
      </c>
      <c r="I423" s="24">
        <v>0</v>
      </c>
      <c r="J423" s="24">
        <v>0</v>
      </c>
      <c r="K423" s="24">
        <v>1</v>
      </c>
      <c r="L423" s="24">
        <v>0</v>
      </c>
      <c r="M423" s="24">
        <v>0</v>
      </c>
    </row>
    <row r="424" spans="2:13" ht="14" x14ac:dyDescent="0.2">
      <c r="B424" s="24">
        <v>29</v>
      </c>
      <c r="C424" s="24">
        <v>39</v>
      </c>
      <c r="D424" s="24">
        <v>3</v>
      </c>
      <c r="E424" s="24">
        <v>1.5</v>
      </c>
      <c r="F424" s="24">
        <v>1</v>
      </c>
      <c r="G424" s="24">
        <v>0</v>
      </c>
      <c r="H424" s="24">
        <v>0</v>
      </c>
      <c r="I424" s="24">
        <v>0</v>
      </c>
      <c r="J424" s="24">
        <v>0</v>
      </c>
      <c r="K424" s="24">
        <v>1</v>
      </c>
      <c r="L424" s="24">
        <v>0</v>
      </c>
      <c r="M424" s="24">
        <v>0</v>
      </c>
    </row>
    <row r="425" spans="2:13" ht="14" x14ac:dyDescent="0.2">
      <c r="B425" s="24">
        <v>18</v>
      </c>
      <c r="C425" s="24">
        <v>84</v>
      </c>
      <c r="D425" s="24">
        <v>1</v>
      </c>
      <c r="E425" s="24">
        <v>4</v>
      </c>
      <c r="F425" s="24">
        <v>0</v>
      </c>
      <c r="G425" s="24">
        <v>0</v>
      </c>
      <c r="H425" s="24">
        <v>0</v>
      </c>
      <c r="I425" s="24">
        <v>0</v>
      </c>
      <c r="J425" s="24">
        <v>0</v>
      </c>
      <c r="K425" s="24">
        <v>0</v>
      </c>
      <c r="L425" s="24">
        <v>0</v>
      </c>
      <c r="M425" s="24">
        <v>0</v>
      </c>
    </row>
    <row r="426" spans="2:13" ht="14" x14ac:dyDescent="0.2">
      <c r="B426" s="24">
        <v>21</v>
      </c>
      <c r="C426" s="24">
        <v>183</v>
      </c>
      <c r="D426" s="24">
        <v>2</v>
      </c>
      <c r="E426" s="24">
        <v>1.4</v>
      </c>
      <c r="F426" s="24">
        <v>1</v>
      </c>
      <c r="G426" s="24">
        <v>0</v>
      </c>
      <c r="H426" s="24">
        <v>354</v>
      </c>
      <c r="I426" s="24">
        <v>0</v>
      </c>
      <c r="J426" s="24">
        <v>0</v>
      </c>
      <c r="K426" s="24">
        <v>0</v>
      </c>
      <c r="L426" s="24">
        <v>0</v>
      </c>
      <c r="M426" s="24">
        <v>0</v>
      </c>
    </row>
    <row r="427" spans="2:13" ht="14" x14ac:dyDescent="0.2">
      <c r="B427" s="24">
        <v>9</v>
      </c>
      <c r="C427" s="24">
        <v>58</v>
      </c>
      <c r="D427" s="24">
        <v>1</v>
      </c>
      <c r="E427" s="24">
        <v>2.5</v>
      </c>
      <c r="F427" s="24">
        <v>1</v>
      </c>
      <c r="G427" s="24">
        <v>0</v>
      </c>
      <c r="H427" s="24">
        <v>0</v>
      </c>
      <c r="I427" s="24">
        <v>0</v>
      </c>
      <c r="J427" s="24">
        <v>0</v>
      </c>
      <c r="K427" s="24">
        <v>1</v>
      </c>
      <c r="L427" s="24">
        <v>1</v>
      </c>
      <c r="M427" s="24">
        <v>0</v>
      </c>
    </row>
    <row r="428" spans="2:13" ht="14" x14ac:dyDescent="0.2">
      <c r="B428" s="24">
        <v>24</v>
      </c>
      <c r="C428" s="24">
        <v>21</v>
      </c>
      <c r="D428" s="24">
        <v>4</v>
      </c>
      <c r="E428" s="24">
        <v>0.6</v>
      </c>
      <c r="F428" s="24">
        <v>1</v>
      </c>
      <c r="G428" s="24">
        <v>0</v>
      </c>
      <c r="H428" s="24">
        <v>0</v>
      </c>
      <c r="I428" s="24">
        <v>0</v>
      </c>
      <c r="J428" s="24">
        <v>0</v>
      </c>
      <c r="K428" s="24">
        <v>1</v>
      </c>
      <c r="L428" s="24">
        <v>1</v>
      </c>
      <c r="M428" s="24">
        <v>0</v>
      </c>
    </row>
    <row r="429" spans="2:13" ht="14" x14ac:dyDescent="0.2">
      <c r="B429" s="24">
        <v>35</v>
      </c>
      <c r="C429" s="24">
        <v>49</v>
      </c>
      <c r="D429" s="24">
        <v>3</v>
      </c>
      <c r="E429" s="24">
        <v>0.5</v>
      </c>
      <c r="F429" s="24">
        <v>0</v>
      </c>
      <c r="G429" s="24">
        <v>1</v>
      </c>
      <c r="H429" s="24">
        <v>0</v>
      </c>
      <c r="I429" s="24">
        <v>0</v>
      </c>
      <c r="J429" s="24">
        <v>0</v>
      </c>
      <c r="K429" s="24">
        <v>1</v>
      </c>
      <c r="L429" s="24">
        <v>1</v>
      </c>
      <c r="M429" s="24">
        <v>0</v>
      </c>
    </row>
    <row r="430" spans="2:13" ht="14" x14ac:dyDescent="0.2">
      <c r="B430" s="24">
        <v>10</v>
      </c>
      <c r="C430" s="24">
        <v>35</v>
      </c>
      <c r="D430" s="24">
        <v>2</v>
      </c>
      <c r="E430" s="24">
        <v>0.3</v>
      </c>
      <c r="F430" s="24">
        <v>1</v>
      </c>
      <c r="G430" s="24">
        <v>0</v>
      </c>
      <c r="H430" s="24">
        <v>98</v>
      </c>
      <c r="I430" s="24">
        <v>0</v>
      </c>
      <c r="J430" s="24">
        <v>0</v>
      </c>
      <c r="K430" s="24">
        <v>1</v>
      </c>
      <c r="L430" s="24">
        <v>0</v>
      </c>
      <c r="M430" s="24">
        <v>0</v>
      </c>
    </row>
    <row r="431" spans="2:13" ht="14" x14ac:dyDescent="0.2">
      <c r="B431" s="24">
        <v>29</v>
      </c>
      <c r="C431" s="24">
        <v>144</v>
      </c>
      <c r="D431" s="24">
        <v>2</v>
      </c>
      <c r="E431" s="24">
        <v>6.8</v>
      </c>
      <c r="F431" s="24">
        <v>1</v>
      </c>
      <c r="G431" s="24">
        <v>0</v>
      </c>
      <c r="H431" s="24">
        <v>0</v>
      </c>
      <c r="I431" s="24">
        <v>0</v>
      </c>
      <c r="J431" s="24">
        <v>0</v>
      </c>
      <c r="K431" s="24">
        <v>1</v>
      </c>
      <c r="L431" s="24">
        <v>0</v>
      </c>
      <c r="M431" s="24">
        <v>0</v>
      </c>
    </row>
    <row r="432" spans="2:13" ht="14" x14ac:dyDescent="0.2">
      <c r="B432" s="24">
        <v>28</v>
      </c>
      <c r="C432" s="24">
        <v>149</v>
      </c>
      <c r="D432" s="24">
        <v>2</v>
      </c>
      <c r="E432" s="24">
        <v>6.8</v>
      </c>
      <c r="F432" s="24">
        <v>1</v>
      </c>
      <c r="G432" s="24">
        <v>0</v>
      </c>
      <c r="H432" s="24">
        <v>0</v>
      </c>
      <c r="I432" s="24">
        <v>0</v>
      </c>
      <c r="J432" s="24">
        <v>0</v>
      </c>
      <c r="K432" s="24">
        <v>1</v>
      </c>
      <c r="L432" s="24">
        <v>0</v>
      </c>
      <c r="M432" s="24">
        <v>0</v>
      </c>
    </row>
    <row r="433" spans="2:13" ht="14" x14ac:dyDescent="0.2">
      <c r="B433" s="24">
        <v>23</v>
      </c>
      <c r="C433" s="24">
        <v>59</v>
      </c>
      <c r="D433" s="24">
        <v>3</v>
      </c>
      <c r="E433" s="24">
        <v>2.1</v>
      </c>
      <c r="F433" s="24">
        <v>1</v>
      </c>
      <c r="G433" s="24">
        <v>0</v>
      </c>
      <c r="H433" s="24">
        <v>0</v>
      </c>
      <c r="I433" s="24">
        <v>0</v>
      </c>
      <c r="J433" s="24">
        <v>0</v>
      </c>
      <c r="K433" s="24">
        <v>0</v>
      </c>
      <c r="L433" s="24">
        <v>0</v>
      </c>
      <c r="M433" s="24">
        <v>0</v>
      </c>
    </row>
    <row r="434" spans="2:13" ht="14" x14ac:dyDescent="0.2">
      <c r="B434" s="24">
        <v>39</v>
      </c>
      <c r="C434" s="24">
        <v>84</v>
      </c>
      <c r="D434" s="24">
        <v>1</v>
      </c>
      <c r="E434" s="24">
        <v>1.8</v>
      </c>
      <c r="F434" s="24">
        <v>0</v>
      </c>
      <c r="G434" s="24">
        <v>0</v>
      </c>
      <c r="H434" s="24">
        <v>0</v>
      </c>
      <c r="I434" s="24">
        <v>0</v>
      </c>
      <c r="J434" s="24">
        <v>0</v>
      </c>
      <c r="K434" s="24">
        <v>0</v>
      </c>
      <c r="L434" s="24">
        <v>0</v>
      </c>
      <c r="M434" s="24">
        <v>0</v>
      </c>
    </row>
    <row r="435" spans="2:13" ht="14" x14ac:dyDescent="0.2">
      <c r="B435" s="24">
        <v>15</v>
      </c>
      <c r="C435" s="24">
        <v>40</v>
      </c>
      <c r="D435" s="24">
        <v>2</v>
      </c>
      <c r="E435" s="24">
        <v>2.2000000000000002</v>
      </c>
      <c r="F435" s="24">
        <v>0</v>
      </c>
      <c r="G435" s="24">
        <v>0</v>
      </c>
      <c r="H435" s="24">
        <v>107</v>
      </c>
      <c r="I435" s="24">
        <v>0</v>
      </c>
      <c r="J435" s="24">
        <v>0</v>
      </c>
      <c r="K435" s="24">
        <v>1</v>
      </c>
      <c r="L435" s="24">
        <v>0</v>
      </c>
      <c r="M435" s="24">
        <v>0</v>
      </c>
    </row>
    <row r="436" spans="2:13" ht="14" x14ac:dyDescent="0.2">
      <c r="B436" s="24">
        <v>37</v>
      </c>
      <c r="C436" s="24">
        <v>50</v>
      </c>
      <c r="D436" s="24">
        <v>3</v>
      </c>
      <c r="E436" s="24">
        <v>2.4</v>
      </c>
      <c r="F436" s="24">
        <v>1</v>
      </c>
      <c r="G436" s="24">
        <v>0</v>
      </c>
      <c r="H436" s="24">
        <v>0</v>
      </c>
      <c r="I436" s="24">
        <v>0</v>
      </c>
      <c r="J436" s="24">
        <v>0</v>
      </c>
      <c r="K436" s="24">
        <v>1</v>
      </c>
      <c r="L436" s="24">
        <v>0</v>
      </c>
      <c r="M436" s="24">
        <v>0</v>
      </c>
    </row>
    <row r="437" spans="2:13" ht="14" x14ac:dyDescent="0.2">
      <c r="B437" s="24">
        <v>30</v>
      </c>
      <c r="C437" s="24">
        <v>112</v>
      </c>
      <c r="D437" s="24">
        <v>2</v>
      </c>
      <c r="E437" s="24">
        <v>6.8</v>
      </c>
      <c r="F437" s="24">
        <v>1</v>
      </c>
      <c r="G437" s="24">
        <v>0</v>
      </c>
      <c r="H437" s="24">
        <v>0</v>
      </c>
      <c r="I437" s="24">
        <v>0</v>
      </c>
      <c r="J437" s="24">
        <v>0</v>
      </c>
      <c r="K437" s="24">
        <v>1</v>
      </c>
      <c r="L437" s="24">
        <v>0</v>
      </c>
      <c r="M437" s="24">
        <v>0</v>
      </c>
    </row>
    <row r="438" spans="2:13" ht="14" x14ac:dyDescent="0.2">
      <c r="B438" s="24">
        <v>14</v>
      </c>
      <c r="C438" s="24">
        <v>39</v>
      </c>
      <c r="D438" s="24">
        <v>3</v>
      </c>
      <c r="E438" s="24">
        <v>0.5</v>
      </c>
      <c r="F438" s="24">
        <v>0</v>
      </c>
      <c r="G438" s="24">
        <v>0</v>
      </c>
      <c r="H438" s="24">
        <v>0</v>
      </c>
      <c r="I438" s="24">
        <v>0</v>
      </c>
      <c r="J438" s="24">
        <v>0</v>
      </c>
      <c r="K438" s="24">
        <v>1</v>
      </c>
      <c r="L438" s="24">
        <v>0</v>
      </c>
      <c r="M438" s="24">
        <v>0</v>
      </c>
    </row>
    <row r="439" spans="2:13" ht="14" x14ac:dyDescent="0.2">
      <c r="B439" s="24">
        <v>19</v>
      </c>
      <c r="C439" s="24">
        <v>34</v>
      </c>
      <c r="D439" s="24">
        <v>3</v>
      </c>
      <c r="E439" s="24">
        <v>1.5</v>
      </c>
      <c r="F439" s="24">
        <v>1</v>
      </c>
      <c r="G439" s="24">
        <v>0</v>
      </c>
      <c r="H439" s="24">
        <v>0</v>
      </c>
      <c r="I439" s="24">
        <v>1</v>
      </c>
      <c r="J439" s="24">
        <v>0</v>
      </c>
      <c r="K439" s="24">
        <v>0</v>
      </c>
      <c r="L439" s="24">
        <v>0</v>
      </c>
      <c r="M439" s="24">
        <v>0</v>
      </c>
    </row>
    <row r="440" spans="2:13" ht="14" x14ac:dyDescent="0.2">
      <c r="B440" s="24">
        <v>0</v>
      </c>
      <c r="C440" s="24">
        <v>80</v>
      </c>
      <c r="D440" s="24">
        <v>2</v>
      </c>
      <c r="E440" s="24">
        <v>1.6</v>
      </c>
      <c r="F440" s="24">
        <v>0</v>
      </c>
      <c r="G440" s="24">
        <v>0</v>
      </c>
      <c r="H440" s="24">
        <v>0</v>
      </c>
      <c r="I440" s="24">
        <v>0</v>
      </c>
      <c r="J440" s="24">
        <v>0</v>
      </c>
      <c r="K440" s="24">
        <v>1</v>
      </c>
      <c r="L440" s="24">
        <v>0</v>
      </c>
      <c r="M440" s="24">
        <v>0</v>
      </c>
    </row>
    <row r="441" spans="2:13" ht="14" x14ac:dyDescent="0.2">
      <c r="B441" s="24">
        <v>19</v>
      </c>
      <c r="C441" s="24">
        <v>71</v>
      </c>
      <c r="D441" s="24">
        <v>4</v>
      </c>
      <c r="E441" s="24">
        <v>2.9</v>
      </c>
      <c r="F441" s="24">
        <v>1</v>
      </c>
      <c r="G441" s="24">
        <v>0</v>
      </c>
      <c r="H441" s="24">
        <v>218</v>
      </c>
      <c r="I441" s="24">
        <v>0</v>
      </c>
      <c r="J441" s="24">
        <v>1</v>
      </c>
      <c r="K441" s="24">
        <v>1</v>
      </c>
      <c r="L441" s="24">
        <v>1</v>
      </c>
      <c r="M441" s="24">
        <v>0</v>
      </c>
    </row>
    <row r="442" spans="2:13" ht="14" x14ac:dyDescent="0.2">
      <c r="B442" s="24">
        <v>36</v>
      </c>
      <c r="C442" s="24">
        <v>38</v>
      </c>
      <c r="D442" s="24">
        <v>3</v>
      </c>
      <c r="E442" s="24">
        <v>0.9</v>
      </c>
      <c r="F442" s="24">
        <v>0</v>
      </c>
      <c r="G442" s="24">
        <v>0</v>
      </c>
      <c r="H442" s="24">
        <v>82</v>
      </c>
      <c r="I442" s="24">
        <v>0</v>
      </c>
      <c r="J442" s="24">
        <v>0</v>
      </c>
      <c r="K442" s="24">
        <v>1</v>
      </c>
      <c r="L442" s="24">
        <v>1</v>
      </c>
      <c r="M442" s="24">
        <v>0</v>
      </c>
    </row>
    <row r="443" spans="2:13" ht="14" x14ac:dyDescent="0.2">
      <c r="B443" s="24">
        <v>0</v>
      </c>
      <c r="C443" s="24">
        <v>38</v>
      </c>
      <c r="D443" s="24">
        <v>2</v>
      </c>
      <c r="E443" s="24">
        <v>1.7</v>
      </c>
      <c r="F443" s="24">
        <v>0</v>
      </c>
      <c r="G443" s="24">
        <v>1</v>
      </c>
      <c r="H443" s="24">
        <v>0</v>
      </c>
      <c r="I443" s="24">
        <v>0</v>
      </c>
      <c r="J443" s="24">
        <v>0</v>
      </c>
      <c r="K443" s="24">
        <v>1</v>
      </c>
      <c r="L443" s="24">
        <v>0</v>
      </c>
      <c r="M443" s="24">
        <v>0</v>
      </c>
    </row>
    <row r="444" spans="2:13" ht="14" x14ac:dyDescent="0.2">
      <c r="B444" s="24">
        <v>7</v>
      </c>
      <c r="C444" s="24">
        <v>83</v>
      </c>
      <c r="D444" s="24">
        <v>1</v>
      </c>
      <c r="E444" s="24">
        <v>2.5</v>
      </c>
      <c r="F444" s="24">
        <v>1</v>
      </c>
      <c r="G444" s="24">
        <v>0</v>
      </c>
      <c r="H444" s="24">
        <v>0</v>
      </c>
      <c r="I444" s="24">
        <v>1</v>
      </c>
      <c r="J444" s="24">
        <v>1</v>
      </c>
      <c r="K444" s="24">
        <v>1</v>
      </c>
      <c r="L444" s="24">
        <v>1</v>
      </c>
      <c r="M444" s="24">
        <v>0</v>
      </c>
    </row>
    <row r="445" spans="2:13" ht="14" x14ac:dyDescent="0.2">
      <c r="B445" s="24">
        <v>0</v>
      </c>
      <c r="C445" s="24">
        <v>149</v>
      </c>
      <c r="D445" s="24">
        <v>2</v>
      </c>
      <c r="E445" s="24">
        <v>7.2</v>
      </c>
      <c r="F445" s="24">
        <v>1</v>
      </c>
      <c r="G445" s="24">
        <v>0</v>
      </c>
      <c r="H445" s="24">
        <v>154</v>
      </c>
      <c r="I445" s="24">
        <v>0</v>
      </c>
      <c r="J445" s="24">
        <v>0</v>
      </c>
      <c r="K445" s="24">
        <v>0</v>
      </c>
      <c r="L445" s="24">
        <v>0</v>
      </c>
      <c r="M445" s="24">
        <v>0</v>
      </c>
    </row>
    <row r="446" spans="2:13" ht="14" x14ac:dyDescent="0.2">
      <c r="B446" s="24">
        <v>8</v>
      </c>
      <c r="C446" s="24">
        <v>23</v>
      </c>
      <c r="D446" s="24">
        <v>1</v>
      </c>
      <c r="E446" s="24">
        <v>0.66666666666666696</v>
      </c>
      <c r="F446" s="24">
        <v>0</v>
      </c>
      <c r="G446" s="24">
        <v>0</v>
      </c>
      <c r="H446" s="24">
        <v>0</v>
      </c>
      <c r="I446" s="24">
        <v>0</v>
      </c>
      <c r="J446" s="24">
        <v>0</v>
      </c>
      <c r="K446" s="24">
        <v>0</v>
      </c>
      <c r="L446" s="24">
        <v>0</v>
      </c>
      <c r="M446" s="24">
        <v>0</v>
      </c>
    </row>
    <row r="447" spans="2:13" ht="14" x14ac:dyDescent="0.2">
      <c r="B447" s="24">
        <v>5</v>
      </c>
      <c r="C447" s="24">
        <v>38</v>
      </c>
      <c r="D447" s="24">
        <v>4</v>
      </c>
      <c r="E447" s="24">
        <v>2</v>
      </c>
      <c r="F447" s="24">
        <v>0</v>
      </c>
      <c r="G447" s="24">
        <v>1</v>
      </c>
      <c r="H447" s="24">
        <v>0</v>
      </c>
      <c r="I447" s="24">
        <v>1</v>
      </c>
      <c r="J447" s="24">
        <v>0</v>
      </c>
      <c r="K447" s="24">
        <v>0</v>
      </c>
      <c r="L447" s="24">
        <v>0</v>
      </c>
      <c r="M447" s="24">
        <v>0</v>
      </c>
    </row>
    <row r="448" spans="2:13" ht="14" x14ac:dyDescent="0.2">
      <c r="B448" s="24">
        <v>40</v>
      </c>
      <c r="C448" s="24">
        <v>53</v>
      </c>
      <c r="D448" s="24">
        <v>3</v>
      </c>
      <c r="E448" s="24">
        <v>2.2000000000000002</v>
      </c>
      <c r="F448" s="24">
        <v>1</v>
      </c>
      <c r="G448" s="24">
        <v>0</v>
      </c>
      <c r="H448" s="24">
        <v>0</v>
      </c>
      <c r="I448" s="24">
        <v>0</v>
      </c>
      <c r="J448" s="24">
        <v>0</v>
      </c>
      <c r="K448" s="24">
        <v>0</v>
      </c>
      <c r="L448" s="24">
        <v>1</v>
      </c>
      <c r="M448" s="24">
        <v>0</v>
      </c>
    </row>
    <row r="449" spans="2:13" ht="14" x14ac:dyDescent="0.2">
      <c r="B449" s="24">
        <v>11</v>
      </c>
      <c r="C449" s="24">
        <v>181</v>
      </c>
      <c r="D449" s="24">
        <v>3</v>
      </c>
      <c r="E449" s="24">
        <v>1.4</v>
      </c>
      <c r="F449" s="24">
        <v>1</v>
      </c>
      <c r="G449" s="24">
        <v>0</v>
      </c>
      <c r="H449" s="24">
        <v>0</v>
      </c>
      <c r="I449" s="24">
        <v>0</v>
      </c>
      <c r="J449" s="24">
        <v>0</v>
      </c>
      <c r="K449" s="24">
        <v>0</v>
      </c>
      <c r="L449" s="24">
        <v>0</v>
      </c>
      <c r="M449" s="24">
        <v>1</v>
      </c>
    </row>
    <row r="450" spans="2:13" ht="14" x14ac:dyDescent="0.2">
      <c r="B450" s="24">
        <v>41</v>
      </c>
      <c r="C450" s="24">
        <v>11</v>
      </c>
      <c r="D450" s="24">
        <v>3</v>
      </c>
      <c r="E450" s="24">
        <v>0.1</v>
      </c>
      <c r="F450" s="24">
        <v>0</v>
      </c>
      <c r="G450" s="24">
        <v>0</v>
      </c>
      <c r="H450" s="24">
        <v>0</v>
      </c>
      <c r="I450" s="24">
        <v>1</v>
      </c>
      <c r="J450" s="24">
        <v>0</v>
      </c>
      <c r="K450" s="24">
        <v>0</v>
      </c>
      <c r="L450" s="24">
        <v>1</v>
      </c>
      <c r="M450" s="24">
        <v>0</v>
      </c>
    </row>
    <row r="451" spans="2:13" ht="14" x14ac:dyDescent="0.2">
      <c r="B451" s="24">
        <v>28</v>
      </c>
      <c r="C451" s="24">
        <v>23</v>
      </c>
      <c r="D451" s="24">
        <v>3</v>
      </c>
      <c r="E451" s="24">
        <v>0.4</v>
      </c>
      <c r="F451" s="24">
        <v>1</v>
      </c>
      <c r="G451" s="24">
        <v>0</v>
      </c>
      <c r="H451" s="24">
        <v>0</v>
      </c>
      <c r="I451" s="24">
        <v>0</v>
      </c>
      <c r="J451" s="24">
        <v>0</v>
      </c>
      <c r="K451" s="24">
        <v>1</v>
      </c>
      <c r="L451" s="24">
        <v>0</v>
      </c>
      <c r="M451" s="24">
        <v>0</v>
      </c>
    </row>
    <row r="452" spans="2:13" ht="14" x14ac:dyDescent="0.2">
      <c r="B452" s="24">
        <v>23</v>
      </c>
      <c r="C452" s="24">
        <v>19</v>
      </c>
      <c r="D452" s="24">
        <v>4</v>
      </c>
      <c r="E452" s="24">
        <v>0.4</v>
      </c>
      <c r="F452" s="24">
        <v>0</v>
      </c>
      <c r="G452" s="24">
        <v>0</v>
      </c>
      <c r="H452" s="24">
        <v>84</v>
      </c>
      <c r="I452" s="24">
        <v>0</v>
      </c>
      <c r="J452" s="24">
        <v>0</v>
      </c>
      <c r="K452" s="24">
        <v>1</v>
      </c>
      <c r="L452" s="24">
        <v>0</v>
      </c>
      <c r="M452" s="24">
        <v>0</v>
      </c>
    </row>
    <row r="453" spans="2:13" ht="14" x14ac:dyDescent="0.2">
      <c r="B453" s="24">
        <v>19</v>
      </c>
      <c r="C453" s="24">
        <v>19</v>
      </c>
      <c r="D453" s="24">
        <v>3</v>
      </c>
      <c r="E453" s="24">
        <v>0.5</v>
      </c>
      <c r="F453" s="24">
        <v>0</v>
      </c>
      <c r="G453" s="24">
        <v>1</v>
      </c>
      <c r="H453" s="24">
        <v>0</v>
      </c>
      <c r="I453" s="24">
        <v>0</v>
      </c>
      <c r="J453" s="24">
        <v>0</v>
      </c>
      <c r="K453" s="24">
        <v>1</v>
      </c>
      <c r="L453" s="24">
        <v>0</v>
      </c>
      <c r="M453" s="24">
        <v>0</v>
      </c>
    </row>
    <row r="454" spans="2:13" ht="14" x14ac:dyDescent="0.2">
      <c r="B454" s="24">
        <v>23</v>
      </c>
      <c r="C454" s="24">
        <v>170</v>
      </c>
      <c r="D454" s="24">
        <v>2</v>
      </c>
      <c r="E454" s="24">
        <v>6.5</v>
      </c>
      <c r="F454" s="24">
        <v>0</v>
      </c>
      <c r="G454" s="24">
        <v>1</v>
      </c>
      <c r="H454" s="24">
        <v>0</v>
      </c>
      <c r="I454" s="24">
        <v>0</v>
      </c>
      <c r="J454" s="24">
        <v>1</v>
      </c>
      <c r="K454" s="24">
        <v>1</v>
      </c>
      <c r="L454" s="24">
        <v>1</v>
      </c>
      <c r="M454" s="24">
        <v>1</v>
      </c>
    </row>
    <row r="455" spans="2:13" ht="14" x14ac:dyDescent="0.2">
      <c r="B455" s="24">
        <v>30</v>
      </c>
      <c r="C455" s="24">
        <v>73</v>
      </c>
      <c r="D455" s="24">
        <v>2</v>
      </c>
      <c r="E455" s="24">
        <v>1.1000000000000001</v>
      </c>
      <c r="F455" s="24">
        <v>1</v>
      </c>
      <c r="G455" s="24">
        <v>0</v>
      </c>
      <c r="H455" s="24">
        <v>0</v>
      </c>
      <c r="I455" s="24">
        <v>0</v>
      </c>
      <c r="J455" s="24">
        <v>0</v>
      </c>
      <c r="K455" s="24">
        <v>0</v>
      </c>
      <c r="L455" s="24">
        <v>0</v>
      </c>
      <c r="M455" s="24">
        <v>0</v>
      </c>
    </row>
    <row r="456" spans="2:13" ht="14" x14ac:dyDescent="0.2">
      <c r="B456" s="24">
        <v>35</v>
      </c>
      <c r="C456" s="24">
        <v>40</v>
      </c>
      <c r="D456" s="24">
        <v>1</v>
      </c>
      <c r="E456" s="24">
        <v>0.8</v>
      </c>
      <c r="F456" s="24">
        <v>0</v>
      </c>
      <c r="G456" s="24">
        <v>1</v>
      </c>
      <c r="H456" s="24">
        <v>128</v>
      </c>
      <c r="I456" s="24">
        <v>0</v>
      </c>
      <c r="J456" s="24">
        <v>0</v>
      </c>
      <c r="K456" s="24">
        <v>1</v>
      </c>
      <c r="L456" s="24">
        <v>0</v>
      </c>
      <c r="M456" s="24">
        <v>0</v>
      </c>
    </row>
    <row r="457" spans="2:13" ht="14" x14ac:dyDescent="0.2">
      <c r="B457" s="24">
        <v>38</v>
      </c>
      <c r="C457" s="24">
        <v>159</v>
      </c>
      <c r="D457" s="24">
        <v>4</v>
      </c>
      <c r="E457" s="24">
        <v>4.9000000000000004</v>
      </c>
      <c r="F457" s="24">
        <v>0</v>
      </c>
      <c r="G457" s="24">
        <v>1</v>
      </c>
      <c r="H457" s="24">
        <v>111</v>
      </c>
      <c r="I457" s="24">
        <v>0</v>
      </c>
      <c r="J457" s="24">
        <v>0</v>
      </c>
      <c r="K457" s="24">
        <v>0</v>
      </c>
      <c r="L457" s="24">
        <v>0</v>
      </c>
      <c r="M457" s="24">
        <v>1</v>
      </c>
    </row>
    <row r="458" spans="2:13" ht="14" x14ac:dyDescent="0.2">
      <c r="B458" s="24">
        <v>31</v>
      </c>
      <c r="C458" s="24">
        <v>165</v>
      </c>
      <c r="D458" s="24">
        <v>1</v>
      </c>
      <c r="E458" s="24">
        <v>1.6</v>
      </c>
      <c r="F458" s="24">
        <v>0</v>
      </c>
      <c r="G458" s="24">
        <v>1</v>
      </c>
      <c r="H458" s="24">
        <v>0</v>
      </c>
      <c r="I458" s="24">
        <v>0</v>
      </c>
      <c r="J458" s="24">
        <v>0</v>
      </c>
      <c r="K458" s="24">
        <v>1</v>
      </c>
      <c r="L458" s="24">
        <v>0</v>
      </c>
      <c r="M458" s="24">
        <v>1</v>
      </c>
    </row>
    <row r="459" spans="2:13" ht="14" x14ac:dyDescent="0.2">
      <c r="B459" s="24">
        <v>23</v>
      </c>
      <c r="C459" s="24">
        <v>45</v>
      </c>
      <c r="D459" s="24">
        <v>4</v>
      </c>
      <c r="E459" s="24">
        <v>2</v>
      </c>
      <c r="F459" s="24">
        <v>0</v>
      </c>
      <c r="G459" s="24">
        <v>0</v>
      </c>
      <c r="H459" s="24">
        <v>132</v>
      </c>
      <c r="I459" s="24">
        <v>1</v>
      </c>
      <c r="J459" s="24">
        <v>0</v>
      </c>
      <c r="K459" s="24">
        <v>0</v>
      </c>
      <c r="L459" s="24">
        <v>0</v>
      </c>
      <c r="M459" s="24">
        <v>0</v>
      </c>
    </row>
    <row r="460" spans="2:13" ht="14" x14ac:dyDescent="0.2">
      <c r="B460" s="24">
        <v>6</v>
      </c>
      <c r="C460" s="24">
        <v>55</v>
      </c>
      <c r="D460" s="24">
        <v>4</v>
      </c>
      <c r="E460" s="24">
        <v>2</v>
      </c>
      <c r="F460" s="24">
        <v>0</v>
      </c>
      <c r="G460" s="24">
        <v>1</v>
      </c>
      <c r="H460" s="24">
        <v>185</v>
      </c>
      <c r="I460" s="24">
        <v>0</v>
      </c>
      <c r="J460" s="24">
        <v>0</v>
      </c>
      <c r="K460" s="24">
        <v>1</v>
      </c>
      <c r="L460" s="24">
        <v>0</v>
      </c>
      <c r="M460" s="24">
        <v>0</v>
      </c>
    </row>
    <row r="461" spans="2:13" ht="14" x14ac:dyDescent="0.2">
      <c r="B461" s="24">
        <v>21</v>
      </c>
      <c r="C461" s="24">
        <v>141</v>
      </c>
      <c r="D461" s="24">
        <v>1</v>
      </c>
      <c r="E461" s="24">
        <v>2.4</v>
      </c>
      <c r="F461" s="24">
        <v>1</v>
      </c>
      <c r="G461" s="24">
        <v>0</v>
      </c>
      <c r="H461" s="24">
        <v>0</v>
      </c>
      <c r="I461" s="24">
        <v>0</v>
      </c>
      <c r="J461" s="24">
        <v>0</v>
      </c>
      <c r="K461" s="24">
        <v>0</v>
      </c>
      <c r="L461" s="24">
        <v>0</v>
      </c>
      <c r="M461" s="24">
        <v>0</v>
      </c>
    </row>
    <row r="462" spans="2:13" ht="14" x14ac:dyDescent="0.2">
      <c r="B462" s="24">
        <v>42</v>
      </c>
      <c r="C462" s="24">
        <v>32</v>
      </c>
      <c r="D462" s="24">
        <v>1</v>
      </c>
      <c r="E462" s="24">
        <v>1.1000000000000001</v>
      </c>
      <c r="F462" s="24">
        <v>0</v>
      </c>
      <c r="G462" s="24">
        <v>0</v>
      </c>
      <c r="H462" s="24">
        <v>0</v>
      </c>
      <c r="I462" s="24">
        <v>0</v>
      </c>
      <c r="J462" s="24">
        <v>0</v>
      </c>
      <c r="K462" s="24">
        <v>0</v>
      </c>
      <c r="L462" s="24">
        <v>1</v>
      </c>
      <c r="M462" s="24">
        <v>0</v>
      </c>
    </row>
    <row r="463" spans="2:13" ht="14" x14ac:dyDescent="0.2">
      <c r="B463" s="24">
        <v>17</v>
      </c>
      <c r="C463" s="24">
        <v>14</v>
      </c>
      <c r="D463" s="24">
        <v>1</v>
      </c>
      <c r="E463" s="24">
        <v>1</v>
      </c>
      <c r="F463" s="24">
        <v>1</v>
      </c>
      <c r="G463" s="24">
        <v>0</v>
      </c>
      <c r="H463" s="24">
        <v>0</v>
      </c>
      <c r="I463" s="24">
        <v>0</v>
      </c>
      <c r="J463" s="24">
        <v>0</v>
      </c>
      <c r="K463" s="24">
        <v>0</v>
      </c>
      <c r="L463" s="24">
        <v>0</v>
      </c>
      <c r="M463" s="24">
        <v>0</v>
      </c>
    </row>
    <row r="464" spans="2:13" ht="14" x14ac:dyDescent="0.2">
      <c r="B464" s="24">
        <v>31</v>
      </c>
      <c r="C464" s="24">
        <v>55</v>
      </c>
      <c r="D464" s="24">
        <v>3</v>
      </c>
      <c r="E464" s="24">
        <v>2.5</v>
      </c>
      <c r="F464" s="24">
        <v>1</v>
      </c>
      <c r="G464" s="24">
        <v>0</v>
      </c>
      <c r="H464" s="24">
        <v>219</v>
      </c>
      <c r="I464" s="24">
        <v>0</v>
      </c>
      <c r="J464" s="24">
        <v>1</v>
      </c>
      <c r="K464" s="24">
        <v>1</v>
      </c>
      <c r="L464" s="24">
        <v>1</v>
      </c>
      <c r="M464" s="24">
        <v>0</v>
      </c>
    </row>
    <row r="465" spans="2:13" ht="14" x14ac:dyDescent="0.2">
      <c r="B465" s="24">
        <v>37</v>
      </c>
      <c r="C465" s="24">
        <v>60</v>
      </c>
      <c r="D465" s="24">
        <v>3</v>
      </c>
      <c r="E465" s="24">
        <v>2</v>
      </c>
      <c r="F465" s="24">
        <v>0</v>
      </c>
      <c r="G465" s="24">
        <v>0</v>
      </c>
      <c r="H465" s="24">
        <v>0</v>
      </c>
      <c r="I465" s="24">
        <v>0</v>
      </c>
      <c r="J465" s="24">
        <v>0</v>
      </c>
      <c r="K465" s="24">
        <v>1</v>
      </c>
      <c r="L465" s="24">
        <v>0</v>
      </c>
      <c r="M465" s="24">
        <v>0</v>
      </c>
    </row>
    <row r="466" spans="2:13" ht="14" x14ac:dyDescent="0.2">
      <c r="B466" s="24">
        <v>28</v>
      </c>
      <c r="C466" s="24">
        <v>43</v>
      </c>
      <c r="D466" s="24">
        <v>2</v>
      </c>
      <c r="E466" s="24">
        <v>2.1</v>
      </c>
      <c r="F466" s="24">
        <v>0</v>
      </c>
      <c r="G466" s="24">
        <v>0</v>
      </c>
      <c r="H466" s="24">
        <v>0</v>
      </c>
      <c r="I466" s="24">
        <v>0</v>
      </c>
      <c r="J466" s="24">
        <v>1</v>
      </c>
      <c r="K466" s="24">
        <v>1</v>
      </c>
      <c r="L466" s="24">
        <v>1</v>
      </c>
      <c r="M466" s="24">
        <v>0</v>
      </c>
    </row>
    <row r="467" spans="2:13" ht="14" x14ac:dyDescent="0.2">
      <c r="B467" s="24">
        <v>9</v>
      </c>
      <c r="C467" s="24">
        <v>64</v>
      </c>
      <c r="D467" s="24">
        <v>2</v>
      </c>
      <c r="E467" s="24">
        <v>0.1</v>
      </c>
      <c r="F467" s="24">
        <v>1</v>
      </c>
      <c r="G467" s="24">
        <v>0</v>
      </c>
      <c r="H467" s="24">
        <v>224</v>
      </c>
      <c r="I467" s="24">
        <v>0</v>
      </c>
      <c r="J467" s="24">
        <v>0</v>
      </c>
      <c r="K467" s="24">
        <v>1</v>
      </c>
      <c r="L467" s="24">
        <v>1</v>
      </c>
      <c r="M467" s="24">
        <v>0</v>
      </c>
    </row>
    <row r="468" spans="2:13" ht="14" x14ac:dyDescent="0.2">
      <c r="B468" s="24">
        <v>36</v>
      </c>
      <c r="C468" s="24">
        <v>60</v>
      </c>
      <c r="D468" s="24">
        <v>3</v>
      </c>
      <c r="E468" s="24">
        <v>0.5</v>
      </c>
      <c r="F468" s="24">
        <v>0</v>
      </c>
      <c r="G468" s="24">
        <v>1</v>
      </c>
      <c r="H468" s="24">
        <v>182</v>
      </c>
      <c r="I468" s="24">
        <v>0</v>
      </c>
      <c r="J468" s="24">
        <v>0</v>
      </c>
      <c r="K468" s="24">
        <v>0</v>
      </c>
      <c r="L468" s="24">
        <v>0</v>
      </c>
      <c r="M468" s="24">
        <v>0</v>
      </c>
    </row>
    <row r="469" spans="2:13" ht="14" x14ac:dyDescent="0.2">
      <c r="B469" s="24">
        <v>40</v>
      </c>
      <c r="C469" s="24">
        <v>128</v>
      </c>
      <c r="D469" s="24">
        <v>1</v>
      </c>
      <c r="E469" s="24">
        <v>2.5</v>
      </c>
      <c r="F469" s="24">
        <v>1</v>
      </c>
      <c r="G469" s="24">
        <v>0</v>
      </c>
      <c r="H469" s="24">
        <v>162</v>
      </c>
      <c r="I469" s="24">
        <v>0</v>
      </c>
      <c r="J469" s="24">
        <v>0</v>
      </c>
      <c r="K469" s="24">
        <v>1</v>
      </c>
      <c r="L469" s="24">
        <v>0</v>
      </c>
      <c r="M469" s="24">
        <v>0</v>
      </c>
    </row>
    <row r="470" spans="2:13" ht="14" x14ac:dyDescent="0.2">
      <c r="B470" s="24">
        <v>27</v>
      </c>
      <c r="C470" s="24">
        <v>58</v>
      </c>
      <c r="D470" s="24">
        <v>4</v>
      </c>
      <c r="E470" s="24">
        <v>1.8</v>
      </c>
      <c r="F470" s="24">
        <v>0</v>
      </c>
      <c r="G470" s="24">
        <v>0</v>
      </c>
      <c r="H470" s="24">
        <v>91</v>
      </c>
      <c r="I470" s="24">
        <v>0</v>
      </c>
      <c r="J470" s="24">
        <v>0</v>
      </c>
      <c r="K470" s="24">
        <v>0</v>
      </c>
      <c r="L470" s="24">
        <v>0</v>
      </c>
      <c r="M470" s="24">
        <v>0</v>
      </c>
    </row>
    <row r="471" spans="2:13" ht="14" x14ac:dyDescent="0.2">
      <c r="B471" s="24">
        <v>2</v>
      </c>
      <c r="C471" s="24">
        <v>103</v>
      </c>
      <c r="D471" s="24">
        <v>1</v>
      </c>
      <c r="E471" s="24">
        <v>1.9</v>
      </c>
      <c r="F471" s="24">
        <v>1</v>
      </c>
      <c r="G471" s="24">
        <v>0</v>
      </c>
      <c r="H471" s="24">
        <v>120</v>
      </c>
      <c r="I471" s="24">
        <v>0</v>
      </c>
      <c r="J471" s="24">
        <v>0</v>
      </c>
      <c r="K471" s="24">
        <v>1</v>
      </c>
      <c r="L471" s="24">
        <v>0</v>
      </c>
      <c r="M471" s="24">
        <v>0</v>
      </c>
    </row>
    <row r="472" spans="2:13" ht="14" x14ac:dyDescent="0.2">
      <c r="B472" s="24">
        <v>26</v>
      </c>
      <c r="C472" s="24">
        <v>28</v>
      </c>
      <c r="D472" s="24">
        <v>1</v>
      </c>
      <c r="E472" s="24">
        <v>0.3</v>
      </c>
      <c r="F472" s="24">
        <v>0</v>
      </c>
      <c r="G472" s="24">
        <v>0</v>
      </c>
      <c r="H472" s="24">
        <v>0</v>
      </c>
      <c r="I472" s="24">
        <v>0</v>
      </c>
      <c r="J472" s="24">
        <v>0</v>
      </c>
      <c r="K472" s="24">
        <v>1</v>
      </c>
      <c r="L472" s="24">
        <v>0</v>
      </c>
      <c r="M472" s="24">
        <v>0</v>
      </c>
    </row>
    <row r="473" spans="2:13" ht="14" x14ac:dyDescent="0.2">
      <c r="B473" s="24">
        <v>23</v>
      </c>
      <c r="C473" s="24">
        <v>33</v>
      </c>
      <c r="D473" s="24">
        <v>1</v>
      </c>
      <c r="E473" s="24">
        <v>0.3</v>
      </c>
      <c r="F473" s="24">
        <v>0</v>
      </c>
      <c r="G473" s="24">
        <v>0</v>
      </c>
      <c r="H473" s="24">
        <v>0</v>
      </c>
      <c r="I473" s="24">
        <v>0</v>
      </c>
      <c r="J473" s="24">
        <v>1</v>
      </c>
      <c r="K473" s="24">
        <v>1</v>
      </c>
      <c r="L473" s="24">
        <v>1</v>
      </c>
      <c r="M473" s="24">
        <v>0</v>
      </c>
    </row>
    <row r="474" spans="2:13" ht="14" x14ac:dyDescent="0.2">
      <c r="B474" s="24">
        <v>24</v>
      </c>
      <c r="C474" s="24">
        <v>29</v>
      </c>
      <c r="D474" s="24">
        <v>3</v>
      </c>
      <c r="E474" s="24">
        <v>0.9</v>
      </c>
      <c r="F474" s="24">
        <v>0</v>
      </c>
      <c r="G474" s="24">
        <v>0</v>
      </c>
      <c r="H474" s="24">
        <v>0</v>
      </c>
      <c r="I474" s="24">
        <v>0</v>
      </c>
      <c r="J474" s="24">
        <v>0</v>
      </c>
      <c r="K474" s="24">
        <v>0</v>
      </c>
      <c r="L474" s="24">
        <v>0</v>
      </c>
      <c r="M474" s="24">
        <v>0</v>
      </c>
    </row>
    <row r="475" spans="2:13" ht="14" x14ac:dyDescent="0.2">
      <c r="B475" s="24">
        <v>17</v>
      </c>
      <c r="C475" s="24">
        <v>28</v>
      </c>
      <c r="D475" s="24">
        <v>1</v>
      </c>
      <c r="E475" s="24">
        <v>0.5</v>
      </c>
      <c r="F475" s="24">
        <v>0</v>
      </c>
      <c r="G475" s="24">
        <v>0</v>
      </c>
      <c r="H475" s="24">
        <v>90</v>
      </c>
      <c r="I475" s="24">
        <v>0</v>
      </c>
      <c r="J475" s="24">
        <v>0</v>
      </c>
      <c r="K475" s="24">
        <v>0</v>
      </c>
      <c r="L475" s="24">
        <v>0</v>
      </c>
      <c r="M475" s="24">
        <v>0</v>
      </c>
    </row>
    <row r="476" spans="2:13" ht="14" x14ac:dyDescent="0.2">
      <c r="B476" s="24">
        <v>9</v>
      </c>
      <c r="C476" s="24">
        <v>49</v>
      </c>
      <c r="D476" s="24">
        <v>1</v>
      </c>
      <c r="E476" s="24">
        <v>2.4</v>
      </c>
      <c r="F476" s="24">
        <v>0</v>
      </c>
      <c r="G476" s="24">
        <v>1</v>
      </c>
      <c r="H476" s="24">
        <v>0</v>
      </c>
      <c r="I476" s="24">
        <v>0</v>
      </c>
      <c r="J476" s="24">
        <v>0</v>
      </c>
      <c r="K476" s="24">
        <v>1</v>
      </c>
      <c r="L476" s="24">
        <v>0</v>
      </c>
      <c r="M476" s="24">
        <v>0</v>
      </c>
    </row>
    <row r="477" spans="2:13" ht="14" x14ac:dyDescent="0.2">
      <c r="B477" s="24">
        <v>2</v>
      </c>
      <c r="C477" s="24">
        <v>130</v>
      </c>
      <c r="D477" s="24">
        <v>3</v>
      </c>
      <c r="E477" s="24">
        <v>4.4000000000000004</v>
      </c>
      <c r="F477" s="24">
        <v>1</v>
      </c>
      <c r="G477" s="24">
        <v>0</v>
      </c>
      <c r="H477" s="24">
        <v>192</v>
      </c>
      <c r="I477" s="24">
        <v>0</v>
      </c>
      <c r="J477" s="24">
        <v>0</v>
      </c>
      <c r="K477" s="24">
        <v>1</v>
      </c>
      <c r="L477" s="24">
        <v>0</v>
      </c>
      <c r="M477" s="24">
        <v>1</v>
      </c>
    </row>
    <row r="478" spans="2:13" ht="14" x14ac:dyDescent="0.2">
      <c r="B478" s="24">
        <v>31</v>
      </c>
      <c r="C478" s="24">
        <v>74</v>
      </c>
      <c r="D478" s="24">
        <v>2</v>
      </c>
      <c r="E478" s="24">
        <v>3.2</v>
      </c>
      <c r="F478" s="24">
        <v>0</v>
      </c>
      <c r="G478" s="24">
        <v>0</v>
      </c>
      <c r="H478" s="24">
        <v>0</v>
      </c>
      <c r="I478" s="24">
        <v>0</v>
      </c>
      <c r="J478" s="24">
        <v>0</v>
      </c>
      <c r="K478" s="24">
        <v>1</v>
      </c>
      <c r="L478" s="24">
        <v>1</v>
      </c>
      <c r="M478" s="24">
        <v>0</v>
      </c>
    </row>
    <row r="479" spans="2:13" ht="14" x14ac:dyDescent="0.2">
      <c r="B479" s="24">
        <v>9</v>
      </c>
      <c r="C479" s="24">
        <v>41</v>
      </c>
      <c r="D479" s="24">
        <v>3</v>
      </c>
      <c r="E479" s="24">
        <v>2.2999999999999998</v>
      </c>
      <c r="F479" s="24">
        <v>1</v>
      </c>
      <c r="G479" s="24">
        <v>0</v>
      </c>
      <c r="H479" s="24">
        <v>0</v>
      </c>
      <c r="I479" s="24">
        <v>0</v>
      </c>
      <c r="J479" s="24">
        <v>0</v>
      </c>
      <c r="K479" s="24">
        <v>0</v>
      </c>
      <c r="L479" s="24">
        <v>1</v>
      </c>
      <c r="M479" s="24">
        <v>0</v>
      </c>
    </row>
    <row r="480" spans="2:13" ht="14" x14ac:dyDescent="0.2">
      <c r="B480" s="24">
        <v>22</v>
      </c>
      <c r="C480" s="24">
        <v>83</v>
      </c>
      <c r="D480" s="24">
        <v>3</v>
      </c>
      <c r="E480" s="24">
        <v>0.7</v>
      </c>
      <c r="F480" s="24">
        <v>1</v>
      </c>
      <c r="G480" s="24">
        <v>0</v>
      </c>
      <c r="H480" s="24">
        <v>0</v>
      </c>
      <c r="I480" s="24">
        <v>0</v>
      </c>
      <c r="J480" s="24">
        <v>0</v>
      </c>
      <c r="K480" s="24">
        <v>0</v>
      </c>
      <c r="L480" s="24">
        <v>0</v>
      </c>
      <c r="M480" s="24">
        <v>0</v>
      </c>
    </row>
    <row r="481" spans="2:13" ht="14" x14ac:dyDescent="0.2">
      <c r="B481" s="24">
        <v>13</v>
      </c>
      <c r="C481" s="24">
        <v>71</v>
      </c>
      <c r="D481" s="24">
        <v>2</v>
      </c>
      <c r="E481" s="24">
        <v>2.7</v>
      </c>
      <c r="F481" s="24">
        <v>1</v>
      </c>
      <c r="G481" s="24">
        <v>0</v>
      </c>
      <c r="H481" s="24">
        <v>94</v>
      </c>
      <c r="I481" s="24">
        <v>0</v>
      </c>
      <c r="J481" s="24">
        <v>0</v>
      </c>
      <c r="K481" s="24">
        <v>1</v>
      </c>
      <c r="L481" s="24">
        <v>0</v>
      </c>
      <c r="M481" s="24">
        <v>0</v>
      </c>
    </row>
    <row r="482" spans="2:13" ht="14" x14ac:dyDescent="0.2">
      <c r="B482" s="24">
        <v>12</v>
      </c>
      <c r="C482" s="24">
        <v>113</v>
      </c>
      <c r="D482" s="24">
        <v>4</v>
      </c>
      <c r="E482" s="24">
        <v>0.2</v>
      </c>
      <c r="F482" s="24">
        <v>1</v>
      </c>
      <c r="G482" s="24">
        <v>0</v>
      </c>
      <c r="H482" s="24">
        <v>0</v>
      </c>
      <c r="I482" s="24">
        <v>0</v>
      </c>
      <c r="J482" s="24">
        <v>0</v>
      </c>
      <c r="K482" s="24">
        <v>0</v>
      </c>
      <c r="L482" s="24">
        <v>0</v>
      </c>
      <c r="M482" s="24">
        <v>1</v>
      </c>
    </row>
    <row r="483" spans="2:13" ht="14" x14ac:dyDescent="0.2">
      <c r="B483" s="24">
        <v>33</v>
      </c>
      <c r="C483" s="24">
        <v>41</v>
      </c>
      <c r="D483" s="24">
        <v>4</v>
      </c>
      <c r="E483" s="24">
        <v>1.6666666666666701</v>
      </c>
      <c r="F483" s="24">
        <v>0</v>
      </c>
      <c r="G483" s="24">
        <v>0</v>
      </c>
      <c r="H483" s="24">
        <v>0</v>
      </c>
      <c r="I483" s="24">
        <v>0</v>
      </c>
      <c r="J483" s="24">
        <v>0</v>
      </c>
      <c r="K483" s="24">
        <v>1</v>
      </c>
      <c r="L483" s="24">
        <v>0</v>
      </c>
      <c r="M483" s="24">
        <v>0</v>
      </c>
    </row>
    <row r="484" spans="2:13" ht="14" x14ac:dyDescent="0.2">
      <c r="B484" s="24">
        <v>17</v>
      </c>
      <c r="C484" s="24">
        <v>78</v>
      </c>
      <c r="D484" s="24">
        <v>4</v>
      </c>
      <c r="E484" s="24">
        <v>0.8</v>
      </c>
      <c r="F484" s="24">
        <v>1</v>
      </c>
      <c r="G484" s="24">
        <v>0</v>
      </c>
      <c r="H484" s="24">
        <v>78</v>
      </c>
      <c r="I484" s="24">
        <v>0</v>
      </c>
      <c r="J484" s="24">
        <v>0</v>
      </c>
      <c r="K484" s="24">
        <v>1</v>
      </c>
      <c r="L484" s="24">
        <v>0</v>
      </c>
      <c r="M484" s="24">
        <v>0</v>
      </c>
    </row>
    <row r="485" spans="2:13" ht="14" x14ac:dyDescent="0.2">
      <c r="B485" s="24">
        <v>29</v>
      </c>
      <c r="C485" s="24">
        <v>48</v>
      </c>
      <c r="D485" s="24">
        <v>4</v>
      </c>
      <c r="E485" s="24">
        <v>1.8</v>
      </c>
      <c r="F485" s="24">
        <v>0</v>
      </c>
      <c r="G485" s="24">
        <v>0</v>
      </c>
      <c r="H485" s="24">
        <v>0</v>
      </c>
      <c r="I485" s="24">
        <v>0</v>
      </c>
      <c r="J485" s="24">
        <v>0</v>
      </c>
      <c r="K485" s="24">
        <v>1</v>
      </c>
      <c r="L485" s="24">
        <v>0</v>
      </c>
      <c r="M485" s="24">
        <v>0</v>
      </c>
    </row>
    <row r="486" spans="2:13" ht="14" x14ac:dyDescent="0.2">
      <c r="B486" s="24">
        <v>20</v>
      </c>
      <c r="C486" s="24">
        <v>81</v>
      </c>
      <c r="D486" s="24">
        <v>4</v>
      </c>
      <c r="E486" s="24">
        <v>2</v>
      </c>
      <c r="F486" s="24">
        <v>0</v>
      </c>
      <c r="G486" s="24">
        <v>0</v>
      </c>
      <c r="H486" s="24">
        <v>277</v>
      </c>
      <c r="I486" s="24">
        <v>0</v>
      </c>
      <c r="J486" s="24">
        <v>0</v>
      </c>
      <c r="K486" s="24">
        <v>1</v>
      </c>
      <c r="L486" s="24">
        <v>0</v>
      </c>
      <c r="M486" s="24">
        <v>0</v>
      </c>
    </row>
    <row r="487" spans="2:13" ht="14" x14ac:dyDescent="0.2">
      <c r="B487" s="24">
        <v>25</v>
      </c>
      <c r="C487" s="24">
        <v>29</v>
      </c>
      <c r="D487" s="24">
        <v>1</v>
      </c>
      <c r="E487" s="24">
        <v>0.3</v>
      </c>
      <c r="F487" s="24">
        <v>0</v>
      </c>
      <c r="G487" s="24">
        <v>0</v>
      </c>
      <c r="H487" s="24">
        <v>140</v>
      </c>
      <c r="I487" s="24">
        <v>0</v>
      </c>
      <c r="J487" s="24">
        <v>0</v>
      </c>
      <c r="K487" s="24">
        <v>0</v>
      </c>
      <c r="L487" s="24">
        <v>0</v>
      </c>
      <c r="M487" s="24">
        <v>0</v>
      </c>
    </row>
    <row r="488" spans="2:13" ht="14" x14ac:dyDescent="0.2">
      <c r="B488" s="24">
        <v>10</v>
      </c>
      <c r="C488" s="24">
        <v>80</v>
      </c>
      <c r="D488" s="24">
        <v>4</v>
      </c>
      <c r="E488" s="24">
        <v>2.2000000000000002</v>
      </c>
      <c r="F488" s="24">
        <v>0</v>
      </c>
      <c r="G488" s="24">
        <v>1</v>
      </c>
      <c r="H488" s="24">
        <v>0</v>
      </c>
      <c r="I488" s="24">
        <v>0</v>
      </c>
      <c r="J488" s="24">
        <v>0</v>
      </c>
      <c r="K488" s="24">
        <v>1</v>
      </c>
      <c r="L488" s="24">
        <v>0</v>
      </c>
      <c r="M488" s="24">
        <v>0</v>
      </c>
    </row>
    <row r="489" spans="2:13" ht="14" x14ac:dyDescent="0.2">
      <c r="B489" s="24">
        <v>30</v>
      </c>
      <c r="C489" s="24">
        <v>64</v>
      </c>
      <c r="D489" s="24">
        <v>1</v>
      </c>
      <c r="E489" s="24">
        <v>1.8</v>
      </c>
      <c r="F489" s="24">
        <v>0</v>
      </c>
      <c r="G489" s="24">
        <v>0</v>
      </c>
      <c r="H489" s="24">
        <v>227</v>
      </c>
      <c r="I489" s="24">
        <v>0</v>
      </c>
      <c r="J489" s="24">
        <v>0</v>
      </c>
      <c r="K489" s="24">
        <v>0</v>
      </c>
      <c r="L489" s="24">
        <v>1</v>
      </c>
      <c r="M489" s="24">
        <v>0</v>
      </c>
    </row>
    <row r="490" spans="2:13" ht="14" x14ac:dyDescent="0.2">
      <c r="B490" s="24">
        <v>27</v>
      </c>
      <c r="C490" s="24">
        <v>42</v>
      </c>
      <c r="D490" s="24">
        <v>4</v>
      </c>
      <c r="E490" s="24">
        <v>0.1</v>
      </c>
      <c r="F490" s="24">
        <v>0</v>
      </c>
      <c r="G490" s="24">
        <v>0</v>
      </c>
      <c r="H490" s="24">
        <v>0</v>
      </c>
      <c r="I490" s="24">
        <v>0</v>
      </c>
      <c r="J490" s="24">
        <v>0</v>
      </c>
      <c r="K490" s="24">
        <v>0</v>
      </c>
      <c r="L490" s="24">
        <v>0</v>
      </c>
      <c r="M490" s="24">
        <v>0</v>
      </c>
    </row>
    <row r="491" spans="2:13" ht="14" x14ac:dyDescent="0.2">
      <c r="B491" s="24">
        <v>21</v>
      </c>
      <c r="C491" s="24">
        <v>61</v>
      </c>
      <c r="D491" s="24">
        <v>3</v>
      </c>
      <c r="E491" s="24">
        <v>0.7</v>
      </c>
      <c r="F491" s="24">
        <v>1</v>
      </c>
      <c r="G491" s="24">
        <v>0</v>
      </c>
      <c r="H491" s="24">
        <v>0</v>
      </c>
      <c r="I491" s="24">
        <v>0</v>
      </c>
      <c r="J491" s="24">
        <v>0</v>
      </c>
      <c r="K491" s="24">
        <v>0</v>
      </c>
      <c r="L491" s="24">
        <v>0</v>
      </c>
      <c r="M491" s="24">
        <v>0</v>
      </c>
    </row>
    <row r="492" spans="2:13" ht="14" x14ac:dyDescent="0.2">
      <c r="B492" s="24">
        <v>37</v>
      </c>
      <c r="C492" s="24">
        <v>55</v>
      </c>
      <c r="D492" s="24">
        <v>3</v>
      </c>
      <c r="E492" s="24">
        <v>0.9</v>
      </c>
      <c r="F492" s="24">
        <v>0</v>
      </c>
      <c r="G492" s="24">
        <v>0</v>
      </c>
      <c r="H492" s="24">
        <v>0</v>
      </c>
      <c r="I492" s="24">
        <v>0</v>
      </c>
      <c r="J492" s="24">
        <v>0</v>
      </c>
      <c r="K492" s="24">
        <v>1</v>
      </c>
      <c r="L492" s="24">
        <v>0</v>
      </c>
      <c r="M492" s="24">
        <v>0</v>
      </c>
    </row>
    <row r="493" spans="2:13" ht="14" x14ac:dyDescent="0.2">
      <c r="B493" s="24">
        <v>19</v>
      </c>
      <c r="C493" s="24">
        <v>62</v>
      </c>
      <c r="D493" s="24">
        <v>3</v>
      </c>
      <c r="E493" s="24">
        <v>0.8</v>
      </c>
      <c r="F493" s="24">
        <v>0</v>
      </c>
      <c r="G493" s="24">
        <v>0</v>
      </c>
      <c r="H493" s="24">
        <v>0</v>
      </c>
      <c r="I493" s="24">
        <v>0</v>
      </c>
      <c r="J493" s="24">
        <v>0</v>
      </c>
      <c r="K493" s="24">
        <v>0</v>
      </c>
      <c r="L493" s="24">
        <v>1</v>
      </c>
      <c r="M493" s="24">
        <v>0</v>
      </c>
    </row>
    <row r="494" spans="2:13" ht="14" x14ac:dyDescent="0.2">
      <c r="B494" s="24">
        <v>26</v>
      </c>
      <c r="C494" s="24">
        <v>19</v>
      </c>
      <c r="D494" s="24">
        <v>2</v>
      </c>
      <c r="E494" s="24">
        <v>0.4</v>
      </c>
      <c r="F494" s="24">
        <v>1</v>
      </c>
      <c r="G494" s="24">
        <v>0</v>
      </c>
      <c r="H494" s="24">
        <v>118</v>
      </c>
      <c r="I494" s="24">
        <v>0</v>
      </c>
      <c r="J494" s="24">
        <v>0</v>
      </c>
      <c r="K494" s="24">
        <v>1</v>
      </c>
      <c r="L494" s="24">
        <v>0</v>
      </c>
      <c r="M494" s="24">
        <v>0</v>
      </c>
    </row>
    <row r="495" spans="2:13" ht="14" x14ac:dyDescent="0.2">
      <c r="B495" s="24">
        <v>19</v>
      </c>
      <c r="C495" s="24">
        <v>83</v>
      </c>
      <c r="D495" s="24">
        <v>4</v>
      </c>
      <c r="E495" s="24">
        <v>0.4</v>
      </c>
      <c r="F495" s="24">
        <v>1</v>
      </c>
      <c r="G495" s="24">
        <v>0</v>
      </c>
      <c r="H495" s="24">
        <v>141</v>
      </c>
      <c r="I495" s="24">
        <v>0</v>
      </c>
      <c r="J495" s="24">
        <v>0</v>
      </c>
      <c r="K495" s="24">
        <v>0</v>
      </c>
      <c r="L495" s="24">
        <v>0</v>
      </c>
      <c r="M495" s="24">
        <v>0</v>
      </c>
    </row>
    <row r="496" spans="2:13" ht="14" x14ac:dyDescent="0.2">
      <c r="B496" s="24">
        <v>1</v>
      </c>
      <c r="C496" s="24">
        <v>113</v>
      </c>
      <c r="D496" s="24">
        <v>2</v>
      </c>
      <c r="E496" s="24">
        <v>0.2</v>
      </c>
      <c r="F496" s="24">
        <v>1</v>
      </c>
      <c r="G496" s="24">
        <v>0</v>
      </c>
      <c r="H496" s="24">
        <v>0</v>
      </c>
      <c r="I496" s="24">
        <v>0</v>
      </c>
      <c r="J496" s="24">
        <v>0</v>
      </c>
      <c r="K496" s="24">
        <v>1</v>
      </c>
      <c r="L496" s="24">
        <v>1</v>
      </c>
      <c r="M496" s="24">
        <v>0</v>
      </c>
    </row>
    <row r="497" spans="2:13" ht="14" x14ac:dyDescent="0.2">
      <c r="B497" s="24">
        <v>32</v>
      </c>
      <c r="C497" s="24">
        <v>31</v>
      </c>
      <c r="D497" s="24">
        <v>3</v>
      </c>
      <c r="E497" s="24">
        <v>1.3</v>
      </c>
      <c r="F497" s="24">
        <v>0</v>
      </c>
      <c r="G497" s="24">
        <v>1</v>
      </c>
      <c r="H497" s="24">
        <v>0</v>
      </c>
      <c r="I497" s="24">
        <v>0</v>
      </c>
      <c r="J497" s="24">
        <v>0</v>
      </c>
      <c r="K497" s="24">
        <v>1</v>
      </c>
      <c r="L497" s="24">
        <v>1</v>
      </c>
      <c r="M497" s="24">
        <v>0</v>
      </c>
    </row>
    <row r="498" spans="2:13" ht="14" x14ac:dyDescent="0.2">
      <c r="B498" s="24">
        <v>37</v>
      </c>
      <c r="C498" s="24">
        <v>41</v>
      </c>
      <c r="D498" s="24">
        <v>1</v>
      </c>
      <c r="E498" s="24">
        <v>0.5</v>
      </c>
      <c r="F498" s="24">
        <v>0</v>
      </c>
      <c r="G498" s="24">
        <v>0</v>
      </c>
      <c r="H498" s="24">
        <v>0</v>
      </c>
      <c r="I498" s="24">
        <v>0</v>
      </c>
      <c r="J498" s="24">
        <v>0</v>
      </c>
      <c r="K498" s="24">
        <v>0</v>
      </c>
      <c r="L498" s="24">
        <v>1</v>
      </c>
      <c r="M498" s="24">
        <v>0</v>
      </c>
    </row>
    <row r="499" spans="2:13" ht="14" x14ac:dyDescent="0.2">
      <c r="B499" s="24">
        <v>34</v>
      </c>
      <c r="C499" s="24">
        <v>83</v>
      </c>
      <c r="D499" s="24">
        <v>2</v>
      </c>
      <c r="E499" s="24">
        <v>3.4</v>
      </c>
      <c r="F499" s="24">
        <v>0</v>
      </c>
      <c r="G499" s="24">
        <v>0</v>
      </c>
      <c r="H499" s="24">
        <v>0</v>
      </c>
      <c r="I499" s="24">
        <v>0</v>
      </c>
      <c r="J499" s="24">
        <v>0</v>
      </c>
      <c r="K499" s="24">
        <v>1</v>
      </c>
      <c r="L499" s="24">
        <v>0</v>
      </c>
      <c r="M499" s="24">
        <v>1</v>
      </c>
    </row>
    <row r="500" spans="2:13" ht="14" x14ac:dyDescent="0.2">
      <c r="B500" s="24">
        <v>29</v>
      </c>
      <c r="C500" s="24">
        <v>21</v>
      </c>
      <c r="D500" s="24">
        <v>4</v>
      </c>
      <c r="E500" s="24">
        <v>0.7</v>
      </c>
      <c r="F500" s="24">
        <v>0</v>
      </c>
      <c r="G500" s="24">
        <v>0</v>
      </c>
      <c r="H500" s="24">
        <v>0</v>
      </c>
      <c r="I500" s="24">
        <v>0</v>
      </c>
      <c r="J500" s="24">
        <v>0</v>
      </c>
      <c r="K500" s="24">
        <v>0</v>
      </c>
      <c r="L500" s="24">
        <v>0</v>
      </c>
      <c r="M500" s="24">
        <v>0</v>
      </c>
    </row>
    <row r="501" spans="2:13" ht="14" x14ac:dyDescent="0.2">
      <c r="B501" s="24">
        <v>10</v>
      </c>
      <c r="C501" s="24">
        <v>72</v>
      </c>
      <c r="D501" s="24">
        <v>3</v>
      </c>
      <c r="E501" s="24">
        <v>2.2999999999999998</v>
      </c>
      <c r="F501" s="24">
        <v>1</v>
      </c>
      <c r="G501" s="24">
        <v>0</v>
      </c>
      <c r="H501" s="24">
        <v>285</v>
      </c>
      <c r="I501" s="24">
        <v>0</v>
      </c>
      <c r="J501" s="24">
        <v>0</v>
      </c>
      <c r="K501" s="24">
        <v>0</v>
      </c>
      <c r="L501" s="24">
        <v>0</v>
      </c>
      <c r="M501" s="24">
        <v>0</v>
      </c>
    </row>
    <row r="502" spans="2:13" ht="14" x14ac:dyDescent="0.2">
      <c r="B502" s="24">
        <v>7</v>
      </c>
      <c r="C502" s="24">
        <v>113</v>
      </c>
      <c r="D502" s="24">
        <v>2</v>
      </c>
      <c r="E502" s="24">
        <v>2</v>
      </c>
      <c r="F502" s="24">
        <v>0</v>
      </c>
      <c r="G502" s="24">
        <v>1</v>
      </c>
      <c r="H502" s="24">
        <v>315</v>
      </c>
      <c r="I502" s="24">
        <v>0</v>
      </c>
      <c r="J502" s="24">
        <v>0</v>
      </c>
      <c r="K502" s="24">
        <v>0</v>
      </c>
      <c r="L502" s="24">
        <v>0</v>
      </c>
      <c r="M502" s="24">
        <v>0</v>
      </c>
    </row>
    <row r="503" spans="2:13" ht="14" x14ac:dyDescent="0.2">
      <c r="B503" s="24">
        <v>16</v>
      </c>
      <c r="C503" s="24">
        <v>10</v>
      </c>
      <c r="D503" s="24">
        <v>2</v>
      </c>
      <c r="E503" s="24">
        <v>0.3</v>
      </c>
      <c r="F503" s="24">
        <v>0</v>
      </c>
      <c r="G503" s="24">
        <v>1</v>
      </c>
      <c r="H503" s="24">
        <v>0</v>
      </c>
      <c r="I503" s="24">
        <v>0</v>
      </c>
      <c r="J503" s="24">
        <v>0</v>
      </c>
      <c r="K503" s="24">
        <v>1</v>
      </c>
      <c r="L503" s="24">
        <v>0</v>
      </c>
      <c r="M503" s="24">
        <v>0</v>
      </c>
    </row>
    <row r="504" spans="2:13" ht="14" x14ac:dyDescent="0.2">
      <c r="B504" s="24">
        <v>14</v>
      </c>
      <c r="C504" s="24">
        <v>91</v>
      </c>
      <c r="D504" s="24">
        <v>2</v>
      </c>
      <c r="E504" s="24">
        <v>0</v>
      </c>
      <c r="F504" s="24">
        <v>1</v>
      </c>
      <c r="G504" s="24">
        <v>0</v>
      </c>
      <c r="H504" s="24">
        <v>0</v>
      </c>
      <c r="I504" s="24">
        <v>0</v>
      </c>
      <c r="J504" s="24">
        <v>0</v>
      </c>
      <c r="K504" s="24">
        <v>1</v>
      </c>
      <c r="L504" s="24">
        <v>0</v>
      </c>
      <c r="M504" s="24">
        <v>0</v>
      </c>
    </row>
    <row r="505" spans="2:13" ht="14" x14ac:dyDescent="0.2">
      <c r="B505" s="24">
        <v>14</v>
      </c>
      <c r="C505" s="24">
        <v>129</v>
      </c>
      <c r="D505" s="24">
        <v>1</v>
      </c>
      <c r="E505" s="24">
        <v>5.9</v>
      </c>
      <c r="F505" s="24">
        <v>0</v>
      </c>
      <c r="G505" s="24">
        <v>0</v>
      </c>
      <c r="H505" s="24">
        <v>0</v>
      </c>
      <c r="I505" s="24">
        <v>0</v>
      </c>
      <c r="J505" s="24">
        <v>0</v>
      </c>
      <c r="K505" s="24">
        <v>1</v>
      </c>
      <c r="L505" s="24">
        <v>0</v>
      </c>
      <c r="M505" s="24">
        <v>1</v>
      </c>
    </row>
    <row r="506" spans="2:13" ht="14" x14ac:dyDescent="0.2">
      <c r="B506" s="24">
        <v>35</v>
      </c>
      <c r="C506" s="24">
        <v>14</v>
      </c>
      <c r="D506" s="24">
        <v>4</v>
      </c>
      <c r="E506" s="24">
        <v>0.7</v>
      </c>
      <c r="F506" s="24">
        <v>1</v>
      </c>
      <c r="G506" s="24">
        <v>0</v>
      </c>
      <c r="H506" s="24">
        <v>0</v>
      </c>
      <c r="I506" s="24">
        <v>0</v>
      </c>
      <c r="J506" s="24">
        <v>0</v>
      </c>
      <c r="K506" s="24">
        <v>1</v>
      </c>
      <c r="L506" s="24">
        <v>0</v>
      </c>
      <c r="M506" s="24">
        <v>0</v>
      </c>
    </row>
    <row r="507" spans="2:13" ht="14" x14ac:dyDescent="0.2">
      <c r="B507" s="24">
        <v>26</v>
      </c>
      <c r="C507" s="24">
        <v>85</v>
      </c>
      <c r="D507" s="24">
        <v>1</v>
      </c>
      <c r="E507" s="24">
        <v>0</v>
      </c>
      <c r="F507" s="24">
        <v>1</v>
      </c>
      <c r="G507" s="24">
        <v>0</v>
      </c>
      <c r="H507" s="24">
        <v>144</v>
      </c>
      <c r="I507" s="24">
        <v>0</v>
      </c>
      <c r="J507" s="24">
        <v>0</v>
      </c>
      <c r="K507" s="24">
        <v>0</v>
      </c>
      <c r="L507" s="24">
        <v>0</v>
      </c>
      <c r="M507" s="24">
        <v>0</v>
      </c>
    </row>
    <row r="508" spans="2:13" ht="14" x14ac:dyDescent="0.2">
      <c r="B508" s="24">
        <v>34</v>
      </c>
      <c r="C508" s="24">
        <v>19</v>
      </c>
      <c r="D508" s="24">
        <v>4</v>
      </c>
      <c r="E508" s="24">
        <v>0.7</v>
      </c>
      <c r="F508" s="24">
        <v>1</v>
      </c>
      <c r="G508" s="24">
        <v>0</v>
      </c>
      <c r="H508" s="24">
        <v>0</v>
      </c>
      <c r="I508" s="24">
        <v>0</v>
      </c>
      <c r="J508" s="24">
        <v>0</v>
      </c>
      <c r="K508" s="24">
        <v>0</v>
      </c>
      <c r="L508" s="24">
        <v>0</v>
      </c>
      <c r="M508" s="24">
        <v>0</v>
      </c>
    </row>
    <row r="509" spans="2:13" ht="14" x14ac:dyDescent="0.2">
      <c r="B509" s="24">
        <v>0</v>
      </c>
      <c r="C509" s="24">
        <v>28</v>
      </c>
      <c r="D509" s="24">
        <v>2</v>
      </c>
      <c r="E509" s="24">
        <v>1.7</v>
      </c>
      <c r="F509" s="24">
        <v>0</v>
      </c>
      <c r="G509" s="24">
        <v>1</v>
      </c>
      <c r="H509" s="24">
        <v>0</v>
      </c>
      <c r="I509" s="24">
        <v>0</v>
      </c>
      <c r="J509" s="24">
        <v>0</v>
      </c>
      <c r="K509" s="24">
        <v>0</v>
      </c>
      <c r="L509" s="24">
        <v>0</v>
      </c>
      <c r="M509" s="24">
        <v>0</v>
      </c>
    </row>
    <row r="510" spans="2:13" ht="14" x14ac:dyDescent="0.2">
      <c r="B510" s="24">
        <v>6</v>
      </c>
      <c r="C510" s="24">
        <v>32</v>
      </c>
      <c r="D510" s="24">
        <v>2</v>
      </c>
      <c r="E510" s="24">
        <v>1</v>
      </c>
      <c r="F510" s="24">
        <v>0</v>
      </c>
      <c r="G510" s="24">
        <v>1</v>
      </c>
      <c r="H510" s="24">
        <v>0</v>
      </c>
      <c r="I510" s="24">
        <v>0</v>
      </c>
      <c r="J510" s="24">
        <v>0</v>
      </c>
      <c r="K510" s="24">
        <v>0</v>
      </c>
      <c r="L510" s="24">
        <v>0</v>
      </c>
      <c r="M510" s="24">
        <v>0</v>
      </c>
    </row>
    <row r="511" spans="2:13" ht="14" x14ac:dyDescent="0.2">
      <c r="B511" s="24">
        <v>3</v>
      </c>
      <c r="C511" s="24">
        <v>115</v>
      </c>
      <c r="D511" s="24">
        <v>4</v>
      </c>
      <c r="E511" s="24">
        <v>3.1</v>
      </c>
      <c r="F511" s="24">
        <v>0</v>
      </c>
      <c r="G511" s="24">
        <v>1</v>
      </c>
      <c r="H511" s="24">
        <v>0</v>
      </c>
      <c r="I511" s="24">
        <v>0</v>
      </c>
      <c r="J511" s="24">
        <v>0</v>
      </c>
      <c r="K511" s="24">
        <v>0</v>
      </c>
      <c r="L511" s="24">
        <v>0</v>
      </c>
      <c r="M511" s="24">
        <v>1</v>
      </c>
    </row>
    <row r="512" spans="2:13" ht="14" x14ac:dyDescent="0.2">
      <c r="B512" s="24">
        <v>15</v>
      </c>
      <c r="C512" s="24">
        <v>22</v>
      </c>
      <c r="D512" s="24">
        <v>4</v>
      </c>
      <c r="E512" s="24">
        <v>1.5</v>
      </c>
      <c r="F512" s="24">
        <v>0</v>
      </c>
      <c r="G512" s="24">
        <v>0</v>
      </c>
      <c r="H512" s="24">
        <v>0</v>
      </c>
      <c r="I512" s="24">
        <v>0</v>
      </c>
      <c r="J512" s="24">
        <v>0</v>
      </c>
      <c r="K512" s="24">
        <v>0</v>
      </c>
      <c r="L512" s="24">
        <v>1</v>
      </c>
      <c r="M512" s="24">
        <v>0</v>
      </c>
    </row>
    <row r="513" spans="2:13" ht="14" x14ac:dyDescent="0.2">
      <c r="B513" s="24">
        <v>16</v>
      </c>
      <c r="C513" s="24">
        <v>25</v>
      </c>
      <c r="D513" s="24">
        <v>2</v>
      </c>
      <c r="E513" s="24">
        <v>0.8</v>
      </c>
      <c r="F513" s="24">
        <v>0</v>
      </c>
      <c r="G513" s="24">
        <v>0</v>
      </c>
      <c r="H513" s="24">
        <v>0</v>
      </c>
      <c r="I513" s="24">
        <v>0</v>
      </c>
      <c r="J513" s="24">
        <v>0</v>
      </c>
      <c r="K513" s="24">
        <v>0</v>
      </c>
      <c r="L513" s="24">
        <v>1</v>
      </c>
      <c r="M513" s="24">
        <v>0</v>
      </c>
    </row>
    <row r="514" spans="2:13" ht="14" x14ac:dyDescent="0.2">
      <c r="B514" s="24">
        <v>8</v>
      </c>
      <c r="C514" s="24">
        <v>128</v>
      </c>
      <c r="D514" s="24">
        <v>2</v>
      </c>
      <c r="E514" s="24">
        <v>4.3333333333333304</v>
      </c>
      <c r="F514" s="24">
        <v>1</v>
      </c>
      <c r="G514" s="24">
        <v>0</v>
      </c>
      <c r="H514" s="24">
        <v>0</v>
      </c>
      <c r="I514" s="24">
        <v>0</v>
      </c>
      <c r="J514" s="24">
        <v>1</v>
      </c>
      <c r="K514" s="24">
        <v>1</v>
      </c>
      <c r="L514" s="24">
        <v>1</v>
      </c>
      <c r="M514" s="24">
        <v>0</v>
      </c>
    </row>
    <row r="515" spans="2:13" ht="14" x14ac:dyDescent="0.2">
      <c r="B515" s="24">
        <v>0</v>
      </c>
      <c r="C515" s="24">
        <v>82</v>
      </c>
      <c r="D515" s="24">
        <v>3</v>
      </c>
      <c r="E515" s="24">
        <v>0.8</v>
      </c>
      <c r="F515" s="24">
        <v>1</v>
      </c>
      <c r="G515" s="24">
        <v>0</v>
      </c>
      <c r="H515" s="24">
        <v>0</v>
      </c>
      <c r="I515" s="24">
        <v>0</v>
      </c>
      <c r="J515" s="24">
        <v>0</v>
      </c>
      <c r="K515" s="24">
        <v>1</v>
      </c>
      <c r="L515" s="24">
        <v>0</v>
      </c>
      <c r="M515" s="24">
        <v>0</v>
      </c>
    </row>
    <row r="516" spans="2:13" ht="14" x14ac:dyDescent="0.2">
      <c r="B516" s="24">
        <v>21</v>
      </c>
      <c r="C516" s="24">
        <v>85</v>
      </c>
      <c r="D516" s="24">
        <v>2</v>
      </c>
      <c r="E516" s="24">
        <v>1.7</v>
      </c>
      <c r="F516" s="24">
        <v>0</v>
      </c>
      <c r="G516" s="24">
        <v>1</v>
      </c>
      <c r="H516" s="24">
        <v>0</v>
      </c>
      <c r="I516" s="24">
        <v>0</v>
      </c>
      <c r="J516" s="24">
        <v>0</v>
      </c>
      <c r="K516" s="24">
        <v>0</v>
      </c>
      <c r="L516" s="24">
        <v>1</v>
      </c>
      <c r="M516" s="24">
        <v>0</v>
      </c>
    </row>
    <row r="517" spans="2:13" ht="14" x14ac:dyDescent="0.2">
      <c r="B517" s="24">
        <v>5</v>
      </c>
      <c r="C517" s="24">
        <v>134</v>
      </c>
      <c r="D517" s="24">
        <v>1</v>
      </c>
      <c r="E517" s="24">
        <v>0</v>
      </c>
      <c r="F517" s="24">
        <v>1</v>
      </c>
      <c r="G517" s="24">
        <v>0</v>
      </c>
      <c r="H517" s="24">
        <v>0</v>
      </c>
      <c r="I517" s="24">
        <v>0</v>
      </c>
      <c r="J517" s="24">
        <v>0</v>
      </c>
      <c r="K517" s="24">
        <v>1</v>
      </c>
      <c r="L517" s="24">
        <v>1</v>
      </c>
      <c r="M517" s="24">
        <v>0</v>
      </c>
    </row>
    <row r="518" spans="2:13" ht="14" x14ac:dyDescent="0.2">
      <c r="B518" s="24">
        <v>0</v>
      </c>
      <c r="C518" s="24">
        <v>82</v>
      </c>
      <c r="D518" s="24">
        <v>2</v>
      </c>
      <c r="E518" s="24">
        <v>1.6</v>
      </c>
      <c r="F518" s="24">
        <v>0</v>
      </c>
      <c r="G518" s="24">
        <v>0</v>
      </c>
      <c r="H518" s="24">
        <v>0</v>
      </c>
      <c r="I518" s="24">
        <v>0</v>
      </c>
      <c r="J518" s="24">
        <v>0</v>
      </c>
      <c r="K518" s="24">
        <v>1</v>
      </c>
      <c r="L518" s="24">
        <v>1</v>
      </c>
      <c r="M518" s="24">
        <v>0</v>
      </c>
    </row>
    <row r="519" spans="2:13" ht="14" x14ac:dyDescent="0.2">
      <c r="B519" s="24">
        <v>9</v>
      </c>
      <c r="C519" s="24">
        <v>84</v>
      </c>
      <c r="D519" s="24">
        <v>3</v>
      </c>
      <c r="E519" s="24">
        <v>0.6</v>
      </c>
      <c r="F519" s="24">
        <v>0</v>
      </c>
      <c r="G519" s="24">
        <v>1</v>
      </c>
      <c r="H519" s="24">
        <v>0</v>
      </c>
      <c r="I519" s="24">
        <v>0</v>
      </c>
      <c r="J519" s="24">
        <v>0</v>
      </c>
      <c r="K519" s="24">
        <v>1</v>
      </c>
      <c r="L519" s="24">
        <v>0</v>
      </c>
      <c r="M519" s="24">
        <v>0</v>
      </c>
    </row>
    <row r="520" spans="2:13" ht="14" x14ac:dyDescent="0.2">
      <c r="B520" s="24">
        <v>24</v>
      </c>
      <c r="C520" s="24">
        <v>188</v>
      </c>
      <c r="D520" s="24">
        <v>3</v>
      </c>
      <c r="E520" s="24">
        <v>1.3</v>
      </c>
      <c r="F520" s="24">
        <v>1</v>
      </c>
      <c r="G520" s="24">
        <v>0</v>
      </c>
      <c r="H520" s="24">
        <v>184</v>
      </c>
      <c r="I520" s="24">
        <v>0</v>
      </c>
      <c r="J520" s="24">
        <v>0</v>
      </c>
      <c r="K520" s="24">
        <v>0</v>
      </c>
      <c r="L520" s="24">
        <v>1</v>
      </c>
      <c r="M520" s="24">
        <v>1</v>
      </c>
    </row>
    <row r="521" spans="2:13" ht="14" x14ac:dyDescent="0.2">
      <c r="B521" s="24">
        <v>4</v>
      </c>
      <c r="C521" s="24">
        <v>35</v>
      </c>
      <c r="D521" s="24">
        <v>2</v>
      </c>
      <c r="E521" s="24">
        <v>0.3</v>
      </c>
      <c r="F521" s="24">
        <v>0</v>
      </c>
      <c r="G521" s="24">
        <v>1</v>
      </c>
      <c r="H521" s="24">
        <v>0</v>
      </c>
      <c r="I521" s="24">
        <v>1</v>
      </c>
      <c r="J521" s="24">
        <v>0</v>
      </c>
      <c r="K521" s="24">
        <v>0</v>
      </c>
      <c r="L521" s="24">
        <v>1</v>
      </c>
      <c r="M521" s="24">
        <v>0</v>
      </c>
    </row>
    <row r="522" spans="2:13" ht="14" x14ac:dyDescent="0.2">
      <c r="B522" s="24">
        <v>30</v>
      </c>
      <c r="C522" s="24">
        <v>133</v>
      </c>
      <c r="D522" s="24">
        <v>2</v>
      </c>
      <c r="E522" s="24">
        <v>2.6</v>
      </c>
      <c r="F522" s="24">
        <v>0</v>
      </c>
      <c r="G522" s="24">
        <v>0</v>
      </c>
      <c r="H522" s="24">
        <v>0</v>
      </c>
      <c r="I522" s="24">
        <v>0</v>
      </c>
      <c r="J522" s="24">
        <v>0</v>
      </c>
      <c r="K522" s="24">
        <v>0</v>
      </c>
      <c r="L522" s="24">
        <v>0</v>
      </c>
      <c r="M522" s="24">
        <v>1</v>
      </c>
    </row>
    <row r="523" spans="2:13" ht="14" x14ac:dyDescent="0.2">
      <c r="B523" s="24">
        <v>37</v>
      </c>
      <c r="C523" s="24">
        <v>9</v>
      </c>
      <c r="D523" s="24">
        <v>1</v>
      </c>
      <c r="E523" s="24">
        <v>0.1</v>
      </c>
      <c r="F523" s="24">
        <v>1</v>
      </c>
      <c r="G523" s="24">
        <v>0</v>
      </c>
      <c r="H523" s="24">
        <v>94</v>
      </c>
      <c r="I523" s="24">
        <v>0</v>
      </c>
      <c r="J523" s="24">
        <v>0</v>
      </c>
      <c r="K523" s="24">
        <v>0</v>
      </c>
      <c r="L523" s="24">
        <v>0</v>
      </c>
      <c r="M523" s="24">
        <v>0</v>
      </c>
    </row>
    <row r="524" spans="2:13" ht="14" x14ac:dyDescent="0.2">
      <c r="B524" s="24">
        <v>39</v>
      </c>
      <c r="C524" s="24">
        <v>40</v>
      </c>
      <c r="D524" s="24">
        <v>1</v>
      </c>
      <c r="E524" s="24">
        <v>0.8</v>
      </c>
      <c r="F524" s="24">
        <v>1</v>
      </c>
      <c r="G524" s="24">
        <v>0</v>
      </c>
      <c r="H524" s="24">
        <v>118</v>
      </c>
      <c r="I524" s="24">
        <v>0</v>
      </c>
      <c r="J524" s="24">
        <v>0</v>
      </c>
      <c r="K524" s="24">
        <v>0</v>
      </c>
      <c r="L524" s="24">
        <v>1</v>
      </c>
      <c r="M524" s="24">
        <v>0</v>
      </c>
    </row>
    <row r="525" spans="2:13" ht="14" x14ac:dyDescent="0.2">
      <c r="B525" s="24">
        <v>20</v>
      </c>
      <c r="C525" s="24">
        <v>194</v>
      </c>
      <c r="D525" s="24">
        <v>2</v>
      </c>
      <c r="E525" s="24">
        <v>8.8000000000000007</v>
      </c>
      <c r="F525" s="24">
        <v>1</v>
      </c>
      <c r="G525" s="24">
        <v>0</v>
      </c>
      <c r="H525" s="24">
        <v>428</v>
      </c>
      <c r="I525" s="24">
        <v>0</v>
      </c>
      <c r="J525" s="24">
        <v>0</v>
      </c>
      <c r="K525" s="24">
        <v>0</v>
      </c>
      <c r="L525" s="24">
        <v>0</v>
      </c>
      <c r="M525" s="24">
        <v>0</v>
      </c>
    </row>
    <row r="526" spans="2:13" ht="14" x14ac:dyDescent="0.2">
      <c r="B526" s="24">
        <v>5</v>
      </c>
      <c r="C526" s="24">
        <v>30</v>
      </c>
      <c r="D526" s="24">
        <v>4</v>
      </c>
      <c r="E526" s="24">
        <v>0.3</v>
      </c>
      <c r="F526" s="24">
        <v>0</v>
      </c>
      <c r="G526" s="24">
        <v>1</v>
      </c>
      <c r="H526" s="24">
        <v>0</v>
      </c>
      <c r="I526" s="24">
        <v>0</v>
      </c>
      <c r="J526" s="24">
        <v>0</v>
      </c>
      <c r="K526" s="24">
        <v>1</v>
      </c>
      <c r="L526" s="24">
        <v>0</v>
      </c>
      <c r="M526" s="24">
        <v>0</v>
      </c>
    </row>
    <row r="527" spans="2:13" ht="14" x14ac:dyDescent="0.2">
      <c r="B527" s="24">
        <v>23</v>
      </c>
      <c r="C527" s="24">
        <v>49</v>
      </c>
      <c r="D527" s="24">
        <v>1</v>
      </c>
      <c r="E527" s="24">
        <v>1.2</v>
      </c>
      <c r="F527" s="24">
        <v>0</v>
      </c>
      <c r="G527" s="24">
        <v>1</v>
      </c>
      <c r="H527" s="24">
        <v>0</v>
      </c>
      <c r="I527" s="24">
        <v>0</v>
      </c>
      <c r="J527" s="24">
        <v>0</v>
      </c>
      <c r="K527" s="24">
        <v>1</v>
      </c>
      <c r="L527" s="24">
        <v>1</v>
      </c>
      <c r="M527" s="24">
        <v>0</v>
      </c>
    </row>
    <row r="528" spans="2:13" ht="14" x14ac:dyDescent="0.2">
      <c r="B528" s="24">
        <v>23</v>
      </c>
      <c r="C528" s="24">
        <v>132</v>
      </c>
      <c r="D528" s="24">
        <v>1</v>
      </c>
      <c r="E528" s="24">
        <v>0.6</v>
      </c>
      <c r="F528" s="24">
        <v>1</v>
      </c>
      <c r="G528" s="24">
        <v>0</v>
      </c>
      <c r="H528" s="24">
        <v>157</v>
      </c>
      <c r="I528" s="24">
        <v>0</v>
      </c>
      <c r="J528" s="24">
        <v>0</v>
      </c>
      <c r="K528" s="24">
        <v>0</v>
      </c>
      <c r="L528" s="24">
        <v>0</v>
      </c>
      <c r="M528" s="24">
        <v>0</v>
      </c>
    </row>
    <row r="529" spans="2:13" ht="14" x14ac:dyDescent="0.2">
      <c r="B529" s="24">
        <v>17</v>
      </c>
      <c r="C529" s="24">
        <v>48</v>
      </c>
      <c r="D529" s="24">
        <v>2</v>
      </c>
      <c r="E529" s="24">
        <v>0.6</v>
      </c>
      <c r="F529" s="24">
        <v>0</v>
      </c>
      <c r="G529" s="24">
        <v>0</v>
      </c>
      <c r="H529" s="24">
        <v>215</v>
      </c>
      <c r="I529" s="24">
        <v>0</v>
      </c>
      <c r="J529" s="24">
        <v>0</v>
      </c>
      <c r="K529" s="24">
        <v>0</v>
      </c>
      <c r="L529" s="24">
        <v>1</v>
      </c>
      <c r="M529" s="24">
        <v>0</v>
      </c>
    </row>
    <row r="530" spans="2:13" ht="14" x14ac:dyDescent="0.2">
      <c r="B530" s="24">
        <v>9</v>
      </c>
      <c r="C530" s="24">
        <v>105</v>
      </c>
      <c r="D530" s="24">
        <v>1</v>
      </c>
      <c r="E530" s="24">
        <v>4</v>
      </c>
      <c r="F530" s="24">
        <v>1</v>
      </c>
      <c r="G530" s="24">
        <v>0</v>
      </c>
      <c r="H530" s="24">
        <v>0</v>
      </c>
      <c r="I530" s="24">
        <v>0</v>
      </c>
      <c r="J530" s="24">
        <v>0</v>
      </c>
      <c r="K530" s="24">
        <v>1</v>
      </c>
      <c r="L530" s="24">
        <v>0</v>
      </c>
      <c r="M530" s="24">
        <v>0</v>
      </c>
    </row>
    <row r="531" spans="2:13" ht="14" x14ac:dyDescent="0.2">
      <c r="B531" s="24">
        <v>17</v>
      </c>
      <c r="C531" s="24">
        <v>92</v>
      </c>
      <c r="D531" s="24">
        <v>2</v>
      </c>
      <c r="E531" s="24">
        <v>1.9</v>
      </c>
      <c r="F531" s="24">
        <v>1</v>
      </c>
      <c r="G531" s="24">
        <v>0</v>
      </c>
      <c r="H531" s="24">
        <v>131</v>
      </c>
      <c r="I531" s="24">
        <v>0</v>
      </c>
      <c r="J531" s="24">
        <v>0</v>
      </c>
      <c r="K531" s="24">
        <v>1</v>
      </c>
      <c r="L531" s="24">
        <v>0</v>
      </c>
      <c r="M531" s="24">
        <v>0</v>
      </c>
    </row>
    <row r="532" spans="2:13" ht="14" x14ac:dyDescent="0.2">
      <c r="B532" s="24">
        <v>24</v>
      </c>
      <c r="C532" s="24">
        <v>29</v>
      </c>
      <c r="D532" s="24">
        <v>1</v>
      </c>
      <c r="E532" s="24">
        <v>1</v>
      </c>
      <c r="F532" s="24">
        <v>1</v>
      </c>
      <c r="G532" s="24">
        <v>0</v>
      </c>
      <c r="H532" s="24">
        <v>0</v>
      </c>
      <c r="I532" s="24">
        <v>0</v>
      </c>
      <c r="J532" s="24">
        <v>0</v>
      </c>
      <c r="K532" s="24">
        <v>0</v>
      </c>
      <c r="L532" s="24">
        <v>0</v>
      </c>
      <c r="M532" s="24">
        <v>0</v>
      </c>
    </row>
    <row r="533" spans="2:13" ht="14" x14ac:dyDescent="0.2">
      <c r="B533" s="24">
        <v>3</v>
      </c>
      <c r="C533" s="24">
        <v>118</v>
      </c>
      <c r="D533" s="24">
        <v>1</v>
      </c>
      <c r="E533" s="24">
        <v>3.3</v>
      </c>
      <c r="F533" s="24">
        <v>0</v>
      </c>
      <c r="G533" s="24">
        <v>1</v>
      </c>
      <c r="H533" s="24">
        <v>0</v>
      </c>
      <c r="I533" s="24">
        <v>0</v>
      </c>
      <c r="J533" s="24">
        <v>0</v>
      </c>
      <c r="K533" s="24">
        <v>1</v>
      </c>
      <c r="L533" s="24">
        <v>0</v>
      </c>
      <c r="M533" s="24">
        <v>1</v>
      </c>
    </row>
    <row r="534" spans="2:13" ht="14" x14ac:dyDescent="0.2">
      <c r="B534" s="24">
        <v>5</v>
      </c>
      <c r="C534" s="24">
        <v>122</v>
      </c>
      <c r="D534" s="24">
        <v>4</v>
      </c>
      <c r="E534" s="24">
        <v>3</v>
      </c>
      <c r="F534" s="24">
        <v>1</v>
      </c>
      <c r="G534" s="24">
        <v>0</v>
      </c>
      <c r="H534" s="24">
        <v>0</v>
      </c>
      <c r="I534" s="24">
        <v>0</v>
      </c>
      <c r="J534" s="24">
        <v>0</v>
      </c>
      <c r="K534" s="24">
        <v>0</v>
      </c>
      <c r="L534" s="24">
        <v>1</v>
      </c>
      <c r="M534" s="24">
        <v>1</v>
      </c>
    </row>
    <row r="535" spans="2:13" ht="14" x14ac:dyDescent="0.2">
      <c r="B535" s="24">
        <v>7</v>
      </c>
      <c r="C535" s="24">
        <v>18</v>
      </c>
      <c r="D535" s="24">
        <v>1</v>
      </c>
      <c r="E535" s="24">
        <v>0.6</v>
      </c>
      <c r="F535" s="24">
        <v>0</v>
      </c>
      <c r="G535" s="24">
        <v>0</v>
      </c>
      <c r="H535" s="24">
        <v>0</v>
      </c>
      <c r="I535" s="24">
        <v>0</v>
      </c>
      <c r="J535" s="24">
        <v>0</v>
      </c>
      <c r="K535" s="24">
        <v>0</v>
      </c>
      <c r="L535" s="24">
        <v>0</v>
      </c>
      <c r="M535" s="24">
        <v>0</v>
      </c>
    </row>
    <row r="536" spans="2:13" ht="14" x14ac:dyDescent="0.2">
      <c r="B536" s="24">
        <v>24</v>
      </c>
      <c r="C536" s="24">
        <v>9</v>
      </c>
      <c r="D536" s="24">
        <v>4</v>
      </c>
      <c r="E536" s="24">
        <v>0.5</v>
      </c>
      <c r="F536" s="24">
        <v>0</v>
      </c>
      <c r="G536" s="24">
        <v>1</v>
      </c>
      <c r="H536" s="24">
        <v>0</v>
      </c>
      <c r="I536" s="24">
        <v>0</v>
      </c>
      <c r="J536" s="24">
        <v>0</v>
      </c>
      <c r="K536" s="24">
        <v>0</v>
      </c>
      <c r="L536" s="24">
        <v>1</v>
      </c>
      <c r="M536" s="24">
        <v>0</v>
      </c>
    </row>
    <row r="537" spans="2:13" ht="14" x14ac:dyDescent="0.2">
      <c r="B537" s="24">
        <v>38</v>
      </c>
      <c r="C537" s="24">
        <v>92</v>
      </c>
      <c r="D537" s="24">
        <v>1</v>
      </c>
      <c r="E537" s="24">
        <v>2</v>
      </c>
      <c r="F537" s="24">
        <v>1</v>
      </c>
      <c r="G537" s="24">
        <v>0</v>
      </c>
      <c r="H537" s="24">
        <v>0</v>
      </c>
      <c r="I537" s="24">
        <v>0</v>
      </c>
      <c r="J537" s="24">
        <v>0</v>
      </c>
      <c r="K537" s="24">
        <v>1</v>
      </c>
      <c r="L537" s="24">
        <v>0</v>
      </c>
      <c r="M537" s="24">
        <v>0</v>
      </c>
    </row>
    <row r="538" spans="2:13" ht="14" x14ac:dyDescent="0.2">
      <c r="B538" s="24">
        <v>28</v>
      </c>
      <c r="C538" s="24">
        <v>38</v>
      </c>
      <c r="D538" s="24">
        <v>2</v>
      </c>
      <c r="E538" s="24">
        <v>0.8</v>
      </c>
      <c r="F538" s="24">
        <v>1</v>
      </c>
      <c r="G538" s="24">
        <v>0</v>
      </c>
      <c r="H538" s="24">
        <v>0</v>
      </c>
      <c r="I538" s="24">
        <v>0</v>
      </c>
      <c r="J538" s="24">
        <v>0</v>
      </c>
      <c r="K538" s="24">
        <v>0</v>
      </c>
      <c r="L538" s="24">
        <v>1</v>
      </c>
      <c r="M538" s="24">
        <v>0</v>
      </c>
    </row>
    <row r="539" spans="2:13" ht="14" x14ac:dyDescent="0.2">
      <c r="B539" s="24">
        <v>31</v>
      </c>
      <c r="C539" s="24">
        <v>54</v>
      </c>
      <c r="D539" s="24">
        <v>4</v>
      </c>
      <c r="E539" s="24">
        <v>2.1</v>
      </c>
      <c r="F539" s="24">
        <v>1</v>
      </c>
      <c r="G539" s="24">
        <v>0</v>
      </c>
      <c r="H539" s="24">
        <v>0</v>
      </c>
      <c r="I539" s="24">
        <v>0</v>
      </c>
      <c r="J539" s="24">
        <v>0</v>
      </c>
      <c r="K539" s="24">
        <v>1</v>
      </c>
      <c r="L539" s="24">
        <v>0</v>
      </c>
      <c r="M539" s="24">
        <v>0</v>
      </c>
    </row>
    <row r="540" spans="2:13" ht="14" x14ac:dyDescent="0.2">
      <c r="B540" s="24">
        <v>34</v>
      </c>
      <c r="C540" s="24">
        <v>55</v>
      </c>
      <c r="D540" s="24">
        <v>1</v>
      </c>
      <c r="E540" s="24">
        <v>0.8</v>
      </c>
      <c r="F540" s="24">
        <v>1</v>
      </c>
      <c r="G540" s="24">
        <v>0</v>
      </c>
      <c r="H540" s="24">
        <v>168</v>
      </c>
      <c r="I540" s="24">
        <v>0</v>
      </c>
      <c r="J540" s="24">
        <v>0</v>
      </c>
      <c r="K540" s="24">
        <v>1</v>
      </c>
      <c r="L540" s="24">
        <v>1</v>
      </c>
      <c r="M540" s="24">
        <v>0</v>
      </c>
    </row>
    <row r="541" spans="2:13" ht="14" x14ac:dyDescent="0.2">
      <c r="B541" s="24">
        <v>8</v>
      </c>
      <c r="C541" s="24">
        <v>38</v>
      </c>
      <c r="D541" s="24">
        <v>4</v>
      </c>
      <c r="E541" s="24">
        <v>0.2</v>
      </c>
      <c r="F541" s="24">
        <v>1</v>
      </c>
      <c r="G541" s="24">
        <v>0</v>
      </c>
      <c r="H541" s="24">
        <v>0</v>
      </c>
      <c r="I541" s="24">
        <v>0</v>
      </c>
      <c r="J541" s="24">
        <v>0</v>
      </c>
      <c r="K541" s="24">
        <v>0</v>
      </c>
      <c r="L541" s="24">
        <v>0</v>
      </c>
      <c r="M541" s="24">
        <v>0</v>
      </c>
    </row>
    <row r="542" spans="2:13" ht="14" x14ac:dyDescent="0.2">
      <c r="B542" s="24">
        <v>37</v>
      </c>
      <c r="C542" s="24">
        <v>115</v>
      </c>
      <c r="D542" s="24">
        <v>4</v>
      </c>
      <c r="E542" s="24">
        <v>3.4</v>
      </c>
      <c r="F542" s="24">
        <v>0</v>
      </c>
      <c r="G542" s="24">
        <v>1</v>
      </c>
      <c r="H542" s="24">
        <v>0</v>
      </c>
      <c r="I542" s="24">
        <v>0</v>
      </c>
      <c r="J542" s="24">
        <v>0</v>
      </c>
      <c r="K542" s="24">
        <v>1</v>
      </c>
      <c r="L542" s="24">
        <v>1</v>
      </c>
      <c r="M542" s="24">
        <v>0</v>
      </c>
    </row>
    <row r="543" spans="2:13" ht="14" x14ac:dyDescent="0.2">
      <c r="B543" s="24">
        <v>11</v>
      </c>
      <c r="C543" s="24">
        <v>190</v>
      </c>
      <c r="D543" s="24">
        <v>3</v>
      </c>
      <c r="E543" s="24">
        <v>3.1</v>
      </c>
      <c r="F543" s="24">
        <v>0</v>
      </c>
      <c r="G543" s="24">
        <v>1</v>
      </c>
      <c r="H543" s="24">
        <v>266</v>
      </c>
      <c r="I543" s="24">
        <v>0</v>
      </c>
      <c r="J543" s="24">
        <v>0</v>
      </c>
      <c r="K543" s="24">
        <v>0</v>
      </c>
      <c r="L543" s="24">
        <v>0</v>
      </c>
      <c r="M543" s="24">
        <v>1</v>
      </c>
    </row>
    <row r="544" spans="2:13" ht="14" x14ac:dyDescent="0.2">
      <c r="B544" s="24">
        <v>24</v>
      </c>
      <c r="C544" s="24">
        <v>103</v>
      </c>
      <c r="D544" s="24">
        <v>1</v>
      </c>
      <c r="E544" s="24">
        <v>0.3</v>
      </c>
      <c r="F544" s="24">
        <v>1</v>
      </c>
      <c r="G544" s="24">
        <v>0</v>
      </c>
      <c r="H544" s="24">
        <v>0</v>
      </c>
      <c r="I544" s="24">
        <v>0</v>
      </c>
      <c r="J544" s="24">
        <v>0</v>
      </c>
      <c r="K544" s="24">
        <v>1</v>
      </c>
      <c r="L544" s="24">
        <v>0</v>
      </c>
      <c r="M544" s="24">
        <v>0</v>
      </c>
    </row>
    <row r="545" spans="2:13" ht="14" x14ac:dyDescent="0.2">
      <c r="B545" s="24">
        <v>25</v>
      </c>
      <c r="C545" s="24">
        <v>82</v>
      </c>
      <c r="D545" s="24">
        <v>1</v>
      </c>
      <c r="E545" s="24">
        <v>1.3</v>
      </c>
      <c r="F545" s="24">
        <v>0</v>
      </c>
      <c r="G545" s="24">
        <v>0</v>
      </c>
      <c r="H545" s="24">
        <v>0</v>
      </c>
      <c r="I545" s="24">
        <v>0</v>
      </c>
      <c r="J545" s="24">
        <v>0</v>
      </c>
      <c r="K545" s="24">
        <v>1</v>
      </c>
      <c r="L545" s="24">
        <v>0</v>
      </c>
      <c r="M545" s="24">
        <v>0</v>
      </c>
    </row>
    <row r="546" spans="2:13" ht="14" x14ac:dyDescent="0.2">
      <c r="B546" s="24">
        <v>31</v>
      </c>
      <c r="C546" s="24">
        <v>82</v>
      </c>
      <c r="D546" s="24">
        <v>2</v>
      </c>
      <c r="E546" s="24">
        <v>2</v>
      </c>
      <c r="F546" s="24">
        <v>1</v>
      </c>
      <c r="G546" s="24">
        <v>0</v>
      </c>
      <c r="H546" s="24">
        <v>83</v>
      </c>
      <c r="I546" s="24">
        <v>0</v>
      </c>
      <c r="J546" s="24">
        <v>0</v>
      </c>
      <c r="K546" s="24">
        <v>0</v>
      </c>
      <c r="L546" s="24">
        <v>1</v>
      </c>
      <c r="M546" s="24">
        <v>0</v>
      </c>
    </row>
    <row r="547" spans="2:13" ht="14" x14ac:dyDescent="0.2">
      <c r="B547" s="24">
        <v>38</v>
      </c>
      <c r="C547" s="24">
        <v>22</v>
      </c>
      <c r="D547" s="24">
        <v>3</v>
      </c>
      <c r="E547" s="24">
        <v>0.1</v>
      </c>
      <c r="F547" s="24">
        <v>0</v>
      </c>
      <c r="G547" s="24">
        <v>0</v>
      </c>
      <c r="H547" s="24">
        <v>90</v>
      </c>
      <c r="I547" s="24">
        <v>0</v>
      </c>
      <c r="J547" s="24">
        <v>0</v>
      </c>
      <c r="K547" s="24">
        <v>1</v>
      </c>
      <c r="L547" s="24">
        <v>0</v>
      </c>
      <c r="M547" s="24">
        <v>0</v>
      </c>
    </row>
    <row r="548" spans="2:13" ht="14" x14ac:dyDescent="0.2">
      <c r="B548" s="24">
        <v>13</v>
      </c>
      <c r="C548" s="24">
        <v>129</v>
      </c>
      <c r="D548" s="24">
        <v>4</v>
      </c>
      <c r="E548" s="24">
        <v>4.4000000000000004</v>
      </c>
      <c r="F548" s="24">
        <v>1</v>
      </c>
      <c r="G548" s="24">
        <v>0</v>
      </c>
      <c r="H548" s="24">
        <v>140</v>
      </c>
      <c r="I548" s="24">
        <v>0</v>
      </c>
      <c r="J548" s="24">
        <v>0</v>
      </c>
      <c r="K548" s="24">
        <v>0</v>
      </c>
      <c r="L548" s="24">
        <v>0</v>
      </c>
      <c r="M548" s="24">
        <v>1</v>
      </c>
    </row>
    <row r="549" spans="2:13" ht="14" x14ac:dyDescent="0.2">
      <c r="B549" s="24">
        <v>31</v>
      </c>
      <c r="C549" s="24">
        <v>90</v>
      </c>
      <c r="D549" s="24">
        <v>1</v>
      </c>
      <c r="E549" s="24">
        <v>2.7</v>
      </c>
      <c r="F549" s="24">
        <v>0</v>
      </c>
      <c r="G549" s="24">
        <v>1</v>
      </c>
      <c r="H549" s="24">
        <v>0</v>
      </c>
      <c r="I549" s="24">
        <v>0</v>
      </c>
      <c r="J549" s="24">
        <v>0</v>
      </c>
      <c r="K549" s="24">
        <v>1</v>
      </c>
      <c r="L549" s="24">
        <v>1</v>
      </c>
      <c r="M549" s="24">
        <v>0</v>
      </c>
    </row>
    <row r="550" spans="2:13" ht="14" x14ac:dyDescent="0.2">
      <c r="B550" s="24">
        <v>4</v>
      </c>
      <c r="C550" s="24">
        <v>40</v>
      </c>
      <c r="D550" s="24">
        <v>1</v>
      </c>
      <c r="E550" s="24">
        <v>0.3</v>
      </c>
      <c r="F550" s="24">
        <v>1</v>
      </c>
      <c r="G550" s="24">
        <v>0</v>
      </c>
      <c r="H550" s="24">
        <v>0</v>
      </c>
      <c r="I550" s="24">
        <v>0</v>
      </c>
      <c r="J550" s="24">
        <v>1</v>
      </c>
      <c r="K550" s="24">
        <v>1</v>
      </c>
      <c r="L550" s="24">
        <v>1</v>
      </c>
      <c r="M550" s="24">
        <v>0</v>
      </c>
    </row>
    <row r="551" spans="2:13" ht="14" x14ac:dyDescent="0.2">
      <c r="B551" s="24">
        <v>7</v>
      </c>
      <c r="C551" s="24">
        <v>99</v>
      </c>
      <c r="D551" s="24">
        <v>1</v>
      </c>
      <c r="E551" s="24">
        <v>4</v>
      </c>
      <c r="F551" s="24">
        <v>1</v>
      </c>
      <c r="G551" s="24">
        <v>0</v>
      </c>
      <c r="H551" s="24">
        <v>0</v>
      </c>
      <c r="I551" s="24">
        <v>0</v>
      </c>
      <c r="J551" s="24">
        <v>0</v>
      </c>
      <c r="K551" s="24">
        <v>1</v>
      </c>
      <c r="L551" s="24">
        <v>0</v>
      </c>
      <c r="M551" s="24">
        <v>0</v>
      </c>
    </row>
    <row r="552" spans="2:13" ht="14" x14ac:dyDescent="0.2">
      <c r="B552" s="24">
        <v>33</v>
      </c>
      <c r="C552" s="24">
        <v>43</v>
      </c>
      <c r="D552" s="24">
        <v>2</v>
      </c>
      <c r="E552" s="24">
        <v>1.6</v>
      </c>
      <c r="F552" s="24">
        <v>0</v>
      </c>
      <c r="G552" s="24">
        <v>0</v>
      </c>
      <c r="H552" s="24">
        <v>0</v>
      </c>
      <c r="I552" s="24">
        <v>0</v>
      </c>
      <c r="J552" s="24">
        <v>0</v>
      </c>
      <c r="K552" s="24">
        <v>1</v>
      </c>
      <c r="L552" s="24">
        <v>0</v>
      </c>
      <c r="M552" s="24">
        <v>0</v>
      </c>
    </row>
    <row r="553" spans="2:13" ht="14" x14ac:dyDescent="0.2">
      <c r="B553" s="24">
        <v>2</v>
      </c>
      <c r="C553" s="24">
        <v>72</v>
      </c>
      <c r="D553" s="24">
        <v>4</v>
      </c>
      <c r="E553" s="24">
        <v>2.6</v>
      </c>
      <c r="F553" s="24">
        <v>1</v>
      </c>
      <c r="G553" s="24">
        <v>0</v>
      </c>
      <c r="H553" s="24">
        <v>0</v>
      </c>
      <c r="I553" s="24">
        <v>1</v>
      </c>
      <c r="J553" s="24">
        <v>1</v>
      </c>
      <c r="K553" s="24">
        <v>1</v>
      </c>
      <c r="L553" s="24">
        <v>0</v>
      </c>
      <c r="M553" s="24">
        <v>0</v>
      </c>
    </row>
    <row r="554" spans="2:13" ht="14" x14ac:dyDescent="0.2">
      <c r="B554" s="24">
        <v>40</v>
      </c>
      <c r="C554" s="24">
        <v>63</v>
      </c>
      <c r="D554" s="24">
        <v>4</v>
      </c>
      <c r="E554" s="24">
        <v>1.2</v>
      </c>
      <c r="F554" s="24">
        <v>0</v>
      </c>
      <c r="G554" s="24">
        <v>1</v>
      </c>
      <c r="H554" s="24">
        <v>0</v>
      </c>
      <c r="I554" s="24">
        <v>1</v>
      </c>
      <c r="J554" s="24">
        <v>0</v>
      </c>
      <c r="K554" s="24">
        <v>0</v>
      </c>
      <c r="L554" s="24">
        <v>1</v>
      </c>
      <c r="M554" s="24">
        <v>0</v>
      </c>
    </row>
    <row r="555" spans="2:13" ht="14" x14ac:dyDescent="0.2">
      <c r="B555" s="24">
        <v>20</v>
      </c>
      <c r="C555" s="24">
        <v>15</v>
      </c>
      <c r="D555" s="24">
        <v>1</v>
      </c>
      <c r="E555" s="24">
        <v>1</v>
      </c>
      <c r="F555" s="24">
        <v>1</v>
      </c>
      <c r="G555" s="24">
        <v>0</v>
      </c>
      <c r="H555" s="24">
        <v>0</v>
      </c>
      <c r="I555" s="24">
        <v>0</v>
      </c>
      <c r="J555" s="24">
        <v>0</v>
      </c>
      <c r="K555" s="24">
        <v>1</v>
      </c>
      <c r="L555" s="24">
        <v>0</v>
      </c>
      <c r="M555" s="24">
        <v>0</v>
      </c>
    </row>
    <row r="556" spans="2:13" ht="14" x14ac:dyDescent="0.2">
      <c r="B556" s="24">
        <v>12</v>
      </c>
      <c r="C556" s="24">
        <v>22</v>
      </c>
      <c r="D556" s="24">
        <v>4</v>
      </c>
      <c r="E556" s="24">
        <v>1</v>
      </c>
      <c r="F556" s="24">
        <v>1</v>
      </c>
      <c r="G556" s="24">
        <v>0</v>
      </c>
      <c r="H556" s="24">
        <v>91</v>
      </c>
      <c r="I556" s="24">
        <v>1</v>
      </c>
      <c r="J556" s="24">
        <v>0</v>
      </c>
      <c r="K556" s="24">
        <v>1</v>
      </c>
      <c r="L556" s="24">
        <v>0</v>
      </c>
      <c r="M556" s="24">
        <v>0</v>
      </c>
    </row>
    <row r="557" spans="2:13" ht="14" x14ac:dyDescent="0.2">
      <c r="B557" s="24">
        <v>30</v>
      </c>
      <c r="C557" s="24">
        <v>38</v>
      </c>
      <c r="D557" s="24">
        <v>1</v>
      </c>
      <c r="E557" s="24">
        <v>0.2</v>
      </c>
      <c r="F557" s="24">
        <v>1</v>
      </c>
      <c r="G557" s="24">
        <v>0</v>
      </c>
      <c r="H557" s="24">
        <v>0</v>
      </c>
      <c r="I557" s="24">
        <v>0</v>
      </c>
      <c r="J557" s="24">
        <v>0</v>
      </c>
      <c r="K557" s="24">
        <v>0</v>
      </c>
      <c r="L557" s="24">
        <v>0</v>
      </c>
      <c r="M557" s="24">
        <v>0</v>
      </c>
    </row>
    <row r="558" spans="2:13" ht="14" x14ac:dyDescent="0.2">
      <c r="B558" s="24">
        <v>35</v>
      </c>
      <c r="C558" s="24">
        <v>131</v>
      </c>
      <c r="D558" s="24">
        <v>1</v>
      </c>
      <c r="E558" s="24">
        <v>3.8</v>
      </c>
      <c r="F558" s="24">
        <v>1</v>
      </c>
      <c r="G558" s="24">
        <v>0</v>
      </c>
      <c r="H558" s="24">
        <v>0</v>
      </c>
      <c r="I558" s="24">
        <v>0</v>
      </c>
      <c r="J558" s="24">
        <v>0</v>
      </c>
      <c r="K558" s="24">
        <v>1</v>
      </c>
      <c r="L558" s="24">
        <v>1</v>
      </c>
      <c r="M558" s="24">
        <v>0</v>
      </c>
    </row>
    <row r="559" spans="2:13" ht="14" x14ac:dyDescent="0.2">
      <c r="B559" s="24">
        <v>0</v>
      </c>
      <c r="C559" s="24">
        <v>52</v>
      </c>
      <c r="D559" s="24">
        <v>3</v>
      </c>
      <c r="E559" s="24">
        <v>2.6</v>
      </c>
      <c r="F559" s="24">
        <v>0</v>
      </c>
      <c r="G559" s="24">
        <v>0</v>
      </c>
      <c r="H559" s="24">
        <v>159</v>
      </c>
      <c r="I559" s="24">
        <v>0</v>
      </c>
      <c r="J559" s="24">
        <v>0</v>
      </c>
      <c r="K559" s="24">
        <v>0</v>
      </c>
      <c r="L559" s="24">
        <v>0</v>
      </c>
      <c r="M559" s="24">
        <v>0</v>
      </c>
    </row>
    <row r="560" spans="2:13" ht="14" x14ac:dyDescent="0.2">
      <c r="B560" s="24">
        <v>5</v>
      </c>
      <c r="C560" s="24">
        <v>39</v>
      </c>
      <c r="D560" s="24">
        <v>4</v>
      </c>
      <c r="E560" s="24">
        <v>1.8</v>
      </c>
      <c r="F560" s="24">
        <v>0</v>
      </c>
      <c r="G560" s="24">
        <v>0</v>
      </c>
      <c r="H560" s="24">
        <v>185</v>
      </c>
      <c r="I560" s="24">
        <v>0</v>
      </c>
      <c r="J560" s="24">
        <v>0</v>
      </c>
      <c r="K560" s="24">
        <v>0</v>
      </c>
      <c r="L560" s="24">
        <v>1</v>
      </c>
      <c r="M560" s="24">
        <v>0</v>
      </c>
    </row>
    <row r="561" spans="2:13" ht="14" x14ac:dyDescent="0.2">
      <c r="B561" s="24">
        <v>9</v>
      </c>
      <c r="C561" s="24">
        <v>29</v>
      </c>
      <c r="D561" s="24">
        <v>3</v>
      </c>
      <c r="E561" s="24">
        <v>2</v>
      </c>
      <c r="F561" s="24">
        <v>0</v>
      </c>
      <c r="G561" s="24">
        <v>0</v>
      </c>
      <c r="H561" s="24">
        <v>151</v>
      </c>
      <c r="I561" s="24">
        <v>1</v>
      </c>
      <c r="J561" s="24">
        <v>0</v>
      </c>
      <c r="K561" s="24">
        <v>0</v>
      </c>
      <c r="L561" s="24">
        <v>0</v>
      </c>
      <c r="M561" s="24">
        <v>0</v>
      </c>
    </row>
    <row r="562" spans="2:13" ht="14" x14ac:dyDescent="0.2">
      <c r="B562" s="24">
        <v>13</v>
      </c>
      <c r="C562" s="24">
        <v>33</v>
      </c>
      <c r="D562" s="24">
        <v>4</v>
      </c>
      <c r="E562" s="24">
        <v>1.5</v>
      </c>
      <c r="F562" s="24">
        <v>0</v>
      </c>
      <c r="G562" s="24">
        <v>0</v>
      </c>
      <c r="H562" s="24">
        <v>0</v>
      </c>
      <c r="I562" s="24">
        <v>0</v>
      </c>
      <c r="J562" s="24">
        <v>0</v>
      </c>
      <c r="K562" s="24">
        <v>0</v>
      </c>
      <c r="L562" s="24">
        <v>0</v>
      </c>
      <c r="M562" s="24">
        <v>0</v>
      </c>
    </row>
    <row r="563" spans="2:13" ht="14" x14ac:dyDescent="0.2">
      <c r="B563" s="24">
        <v>17</v>
      </c>
      <c r="C563" s="24">
        <v>94</v>
      </c>
      <c r="D563" s="24">
        <v>3</v>
      </c>
      <c r="E563" s="24">
        <v>3.8</v>
      </c>
      <c r="F563" s="24">
        <v>0</v>
      </c>
      <c r="G563" s="24">
        <v>1</v>
      </c>
      <c r="H563" s="24">
        <v>327</v>
      </c>
      <c r="I563" s="24">
        <v>1</v>
      </c>
      <c r="J563" s="24">
        <v>1</v>
      </c>
      <c r="K563" s="24">
        <v>1</v>
      </c>
      <c r="L563" s="24">
        <v>0</v>
      </c>
      <c r="M563" s="24">
        <v>1</v>
      </c>
    </row>
    <row r="564" spans="2:13" ht="14" x14ac:dyDescent="0.2">
      <c r="B564" s="24">
        <v>17</v>
      </c>
      <c r="C564" s="24">
        <v>23</v>
      </c>
      <c r="D564" s="24">
        <v>2</v>
      </c>
      <c r="E564" s="24">
        <v>0</v>
      </c>
      <c r="F564" s="24">
        <v>0</v>
      </c>
      <c r="G564" s="24">
        <v>0</v>
      </c>
      <c r="H564" s="24">
        <v>0</v>
      </c>
      <c r="I564" s="24">
        <v>0</v>
      </c>
      <c r="J564" s="24">
        <v>0</v>
      </c>
      <c r="K564" s="24">
        <v>0</v>
      </c>
      <c r="L564" s="24">
        <v>0</v>
      </c>
      <c r="M564" s="24">
        <v>0</v>
      </c>
    </row>
    <row r="565" spans="2:13" ht="14" x14ac:dyDescent="0.2">
      <c r="B565" s="24">
        <v>24</v>
      </c>
      <c r="C565" s="24">
        <v>152</v>
      </c>
      <c r="D565" s="24">
        <v>1</v>
      </c>
      <c r="E565" s="24">
        <v>7.3</v>
      </c>
      <c r="F565" s="24">
        <v>1</v>
      </c>
      <c r="G565" s="24">
        <v>0</v>
      </c>
      <c r="H565" s="24">
        <v>0</v>
      </c>
      <c r="I565" s="24">
        <v>0</v>
      </c>
      <c r="J565" s="24">
        <v>0</v>
      </c>
      <c r="K565" s="24">
        <v>1</v>
      </c>
      <c r="L565" s="24">
        <v>0</v>
      </c>
      <c r="M565" s="24">
        <v>0</v>
      </c>
    </row>
    <row r="566" spans="2:13" ht="14" x14ac:dyDescent="0.2">
      <c r="B566" s="24">
        <v>0</v>
      </c>
      <c r="C566" s="24">
        <v>113</v>
      </c>
      <c r="D566" s="24">
        <v>4</v>
      </c>
      <c r="E566" s="24">
        <v>2.2999999999999998</v>
      </c>
      <c r="F566" s="24">
        <v>0</v>
      </c>
      <c r="G566" s="24">
        <v>0</v>
      </c>
      <c r="H566" s="24">
        <v>0</v>
      </c>
      <c r="I566" s="24">
        <v>0</v>
      </c>
      <c r="J566" s="24">
        <v>0</v>
      </c>
      <c r="K566" s="24">
        <v>0</v>
      </c>
      <c r="L566" s="24">
        <v>1</v>
      </c>
      <c r="M566" s="24">
        <v>0</v>
      </c>
    </row>
    <row r="567" spans="2:13" ht="14" x14ac:dyDescent="0.2">
      <c r="B567" s="24">
        <v>21</v>
      </c>
      <c r="C567" s="24">
        <v>29</v>
      </c>
      <c r="D567" s="24">
        <v>1</v>
      </c>
      <c r="E567" s="24">
        <v>0.3</v>
      </c>
      <c r="F567" s="24">
        <v>0</v>
      </c>
      <c r="G567" s="24">
        <v>0</v>
      </c>
      <c r="H567" s="24">
        <v>0</v>
      </c>
      <c r="I567" s="24">
        <v>0</v>
      </c>
      <c r="J567" s="24">
        <v>0</v>
      </c>
      <c r="K567" s="24">
        <v>1</v>
      </c>
      <c r="L567" s="24">
        <v>0</v>
      </c>
      <c r="M567" s="24">
        <v>0</v>
      </c>
    </row>
    <row r="568" spans="2:13" ht="14" x14ac:dyDescent="0.2">
      <c r="B568" s="24">
        <v>23</v>
      </c>
      <c r="C568" s="24">
        <v>112</v>
      </c>
      <c r="D568" s="24">
        <v>1</v>
      </c>
      <c r="E568" s="24">
        <v>5.0999999999999996</v>
      </c>
      <c r="F568" s="24">
        <v>0</v>
      </c>
      <c r="G568" s="24">
        <v>1</v>
      </c>
      <c r="H568" s="24">
        <v>86</v>
      </c>
      <c r="I568" s="24">
        <v>1</v>
      </c>
      <c r="J568" s="24">
        <v>1</v>
      </c>
      <c r="K568" s="24">
        <v>1</v>
      </c>
      <c r="L568" s="24">
        <v>0</v>
      </c>
      <c r="M568" s="24">
        <v>1</v>
      </c>
    </row>
    <row r="569" spans="2:13" ht="14" x14ac:dyDescent="0.2">
      <c r="B569" s="24">
        <v>32</v>
      </c>
      <c r="C569" s="24">
        <v>163</v>
      </c>
      <c r="D569" s="24">
        <v>2</v>
      </c>
      <c r="E569" s="24">
        <v>0.5</v>
      </c>
      <c r="F569" s="24">
        <v>1</v>
      </c>
      <c r="G569" s="24">
        <v>0</v>
      </c>
      <c r="H569" s="24">
        <v>400</v>
      </c>
      <c r="I569" s="24">
        <v>0</v>
      </c>
      <c r="J569" s="24">
        <v>0</v>
      </c>
      <c r="K569" s="24">
        <v>0</v>
      </c>
      <c r="L569" s="24">
        <v>0</v>
      </c>
      <c r="M569" s="24">
        <v>0</v>
      </c>
    </row>
    <row r="570" spans="2:13" ht="14" x14ac:dyDescent="0.2">
      <c r="B570" s="24">
        <v>12</v>
      </c>
      <c r="C570" s="24">
        <v>29</v>
      </c>
      <c r="D570" s="24">
        <v>4</v>
      </c>
      <c r="E570" s="24">
        <v>0.2</v>
      </c>
      <c r="F570" s="24">
        <v>1</v>
      </c>
      <c r="G570" s="24">
        <v>0</v>
      </c>
      <c r="H570" s="24">
        <v>0</v>
      </c>
      <c r="I570" s="24">
        <v>0</v>
      </c>
      <c r="J570" s="24">
        <v>0</v>
      </c>
      <c r="K570" s="24">
        <v>0</v>
      </c>
      <c r="L570" s="24">
        <v>1</v>
      </c>
      <c r="M570" s="24">
        <v>0</v>
      </c>
    </row>
    <row r="571" spans="2:13" ht="14" x14ac:dyDescent="0.2">
      <c r="B571" s="24">
        <v>19</v>
      </c>
      <c r="C571" s="24">
        <v>70</v>
      </c>
      <c r="D571" s="24">
        <v>1</v>
      </c>
      <c r="E571" s="24">
        <v>0.2</v>
      </c>
      <c r="F571" s="24">
        <v>0</v>
      </c>
      <c r="G571" s="24">
        <v>1</v>
      </c>
      <c r="H571" s="24">
        <v>230</v>
      </c>
      <c r="I571" s="24">
        <v>1</v>
      </c>
      <c r="J571" s="24">
        <v>0</v>
      </c>
      <c r="K571" s="24">
        <v>0</v>
      </c>
      <c r="L571" s="24">
        <v>0</v>
      </c>
      <c r="M571" s="24">
        <v>0</v>
      </c>
    </row>
    <row r="572" spans="2:13" ht="14" x14ac:dyDescent="0.2">
      <c r="B572" s="24">
        <v>14</v>
      </c>
      <c r="C572" s="24">
        <v>54</v>
      </c>
      <c r="D572" s="24">
        <v>3</v>
      </c>
      <c r="E572" s="24">
        <v>3</v>
      </c>
      <c r="F572" s="24">
        <v>1</v>
      </c>
      <c r="G572" s="24">
        <v>0</v>
      </c>
      <c r="H572" s="24">
        <v>108</v>
      </c>
      <c r="I572" s="24">
        <v>0</v>
      </c>
      <c r="J572" s="24">
        <v>0</v>
      </c>
      <c r="K572" s="24">
        <v>0</v>
      </c>
      <c r="L572" s="24">
        <v>1</v>
      </c>
      <c r="M572" s="24">
        <v>0</v>
      </c>
    </row>
    <row r="573" spans="2:13" ht="14" x14ac:dyDescent="0.2">
      <c r="B573" s="24">
        <v>34</v>
      </c>
      <c r="C573" s="24">
        <v>91</v>
      </c>
      <c r="D573" s="24">
        <v>1</v>
      </c>
      <c r="E573" s="24">
        <v>2.6</v>
      </c>
      <c r="F573" s="24">
        <v>1</v>
      </c>
      <c r="G573" s="24">
        <v>0</v>
      </c>
      <c r="H573" s="24">
        <v>0</v>
      </c>
      <c r="I573" s="24">
        <v>0</v>
      </c>
      <c r="J573" s="24">
        <v>0</v>
      </c>
      <c r="K573" s="24">
        <v>1</v>
      </c>
      <c r="L573" s="24">
        <v>1</v>
      </c>
      <c r="M573" s="24">
        <v>0</v>
      </c>
    </row>
    <row r="574" spans="2:13" ht="14" x14ac:dyDescent="0.2">
      <c r="B574" s="24">
        <v>13</v>
      </c>
      <c r="C574" s="24">
        <v>89</v>
      </c>
      <c r="D574" s="24">
        <v>4</v>
      </c>
      <c r="E574" s="24">
        <v>1.4</v>
      </c>
      <c r="F574" s="24">
        <v>0</v>
      </c>
      <c r="G574" s="24">
        <v>1</v>
      </c>
      <c r="H574" s="24">
        <v>0</v>
      </c>
      <c r="I574" s="24">
        <v>0</v>
      </c>
      <c r="J574" s="24">
        <v>0</v>
      </c>
      <c r="K574" s="24">
        <v>0</v>
      </c>
      <c r="L574" s="24">
        <v>0</v>
      </c>
      <c r="M574" s="24">
        <v>0</v>
      </c>
    </row>
    <row r="575" spans="2:13" ht="14" x14ac:dyDescent="0.2">
      <c r="B575" s="24">
        <v>20</v>
      </c>
      <c r="C575" s="24">
        <v>59</v>
      </c>
      <c r="D575" s="24">
        <v>1</v>
      </c>
      <c r="E575" s="24">
        <v>2.4</v>
      </c>
      <c r="F575" s="24">
        <v>1</v>
      </c>
      <c r="G575" s="24">
        <v>0</v>
      </c>
      <c r="H575" s="24">
        <v>0</v>
      </c>
      <c r="I575" s="24">
        <v>1</v>
      </c>
      <c r="J575" s="24">
        <v>1</v>
      </c>
      <c r="K575" s="24">
        <v>1</v>
      </c>
      <c r="L575" s="24">
        <v>0</v>
      </c>
      <c r="M575" s="24">
        <v>0</v>
      </c>
    </row>
    <row r="576" spans="2:13" ht="14" x14ac:dyDescent="0.2">
      <c r="B576" s="24">
        <v>21</v>
      </c>
      <c r="C576" s="24">
        <v>39</v>
      </c>
      <c r="D576" s="24">
        <v>4</v>
      </c>
      <c r="E576" s="24">
        <v>0</v>
      </c>
      <c r="F576" s="24">
        <v>0</v>
      </c>
      <c r="G576" s="24">
        <v>1</v>
      </c>
      <c r="H576" s="24">
        <v>0</v>
      </c>
      <c r="I576" s="24">
        <v>0</v>
      </c>
      <c r="J576" s="24">
        <v>0</v>
      </c>
      <c r="K576" s="24">
        <v>1</v>
      </c>
      <c r="L576" s="24">
        <v>0</v>
      </c>
      <c r="M576" s="24">
        <v>0</v>
      </c>
    </row>
    <row r="577" spans="2:13" ht="14" x14ac:dyDescent="0.2">
      <c r="B577" s="24">
        <v>20</v>
      </c>
      <c r="C577" s="24">
        <v>104</v>
      </c>
      <c r="D577" s="24">
        <v>1</v>
      </c>
      <c r="E577" s="24">
        <v>5.7</v>
      </c>
      <c r="F577" s="24">
        <v>1</v>
      </c>
      <c r="G577" s="24">
        <v>0</v>
      </c>
      <c r="H577" s="24">
        <v>0</v>
      </c>
      <c r="I577" s="24">
        <v>0</v>
      </c>
      <c r="J577" s="24">
        <v>0</v>
      </c>
      <c r="K577" s="24">
        <v>1</v>
      </c>
      <c r="L577" s="24">
        <v>1</v>
      </c>
      <c r="M577" s="24">
        <v>0</v>
      </c>
    </row>
    <row r="578" spans="2:13" ht="14" x14ac:dyDescent="0.2">
      <c r="B578" s="24">
        <v>24</v>
      </c>
      <c r="C578" s="24">
        <v>134</v>
      </c>
      <c r="D578" s="24">
        <v>1</v>
      </c>
      <c r="E578" s="24">
        <v>5</v>
      </c>
      <c r="F578" s="24">
        <v>1</v>
      </c>
      <c r="G578" s="24">
        <v>0</v>
      </c>
      <c r="H578" s="24">
        <v>0</v>
      </c>
      <c r="I578" s="24">
        <v>0</v>
      </c>
      <c r="J578" s="24">
        <v>0</v>
      </c>
      <c r="K578" s="24">
        <v>0</v>
      </c>
      <c r="L578" s="24">
        <v>1</v>
      </c>
      <c r="M578" s="24">
        <v>0</v>
      </c>
    </row>
    <row r="579" spans="2:13" ht="14" x14ac:dyDescent="0.2">
      <c r="B579" s="24">
        <v>27</v>
      </c>
      <c r="C579" s="24">
        <v>38</v>
      </c>
      <c r="D579" s="24">
        <v>4</v>
      </c>
      <c r="E579" s="24">
        <v>2.8</v>
      </c>
      <c r="F579" s="24">
        <v>0</v>
      </c>
      <c r="G579" s="24">
        <v>1</v>
      </c>
      <c r="H579" s="24">
        <v>144</v>
      </c>
      <c r="I579" s="24">
        <v>1</v>
      </c>
      <c r="J579" s="24">
        <v>0</v>
      </c>
      <c r="K579" s="24">
        <v>1</v>
      </c>
      <c r="L579" s="24">
        <v>0</v>
      </c>
      <c r="M579" s="24">
        <v>0</v>
      </c>
    </row>
    <row r="580" spans="2:13" ht="14" x14ac:dyDescent="0.2">
      <c r="B580" s="24">
        <v>26</v>
      </c>
      <c r="C580" s="24">
        <v>45</v>
      </c>
      <c r="D580" s="24">
        <v>3</v>
      </c>
      <c r="E580" s="24">
        <v>0.6</v>
      </c>
      <c r="F580" s="24">
        <v>0</v>
      </c>
      <c r="G580" s="24">
        <v>1</v>
      </c>
      <c r="H580" s="24">
        <v>0</v>
      </c>
      <c r="I580" s="24">
        <v>0</v>
      </c>
      <c r="J580" s="24">
        <v>0</v>
      </c>
      <c r="K580" s="24">
        <v>0</v>
      </c>
      <c r="L580" s="24">
        <v>0</v>
      </c>
      <c r="M580" s="24">
        <v>0</v>
      </c>
    </row>
    <row r="581" spans="2:13" ht="14" x14ac:dyDescent="0.2">
      <c r="B581" s="24">
        <v>30</v>
      </c>
      <c r="C581" s="24">
        <v>64</v>
      </c>
      <c r="D581" s="24">
        <v>2</v>
      </c>
      <c r="E581" s="24">
        <v>1.9</v>
      </c>
      <c r="F581" s="24">
        <v>0</v>
      </c>
      <c r="G581" s="24">
        <v>1</v>
      </c>
      <c r="H581" s="24">
        <v>0</v>
      </c>
      <c r="I581" s="24">
        <v>0</v>
      </c>
      <c r="J581" s="24">
        <v>0</v>
      </c>
      <c r="K581" s="24">
        <v>0</v>
      </c>
      <c r="L581" s="24">
        <v>0</v>
      </c>
      <c r="M581" s="24">
        <v>0</v>
      </c>
    </row>
    <row r="582" spans="2:13" ht="14" x14ac:dyDescent="0.2">
      <c r="B582" s="24">
        <v>31</v>
      </c>
      <c r="C582" s="24">
        <v>114</v>
      </c>
      <c r="D582" s="24">
        <v>4</v>
      </c>
      <c r="E582" s="24">
        <v>5.2</v>
      </c>
      <c r="F582" s="24">
        <v>1</v>
      </c>
      <c r="G582" s="24">
        <v>0</v>
      </c>
      <c r="H582" s="24">
        <v>0</v>
      </c>
      <c r="I582" s="24">
        <v>1</v>
      </c>
      <c r="J582" s="24">
        <v>1</v>
      </c>
      <c r="K582" s="24">
        <v>1</v>
      </c>
      <c r="L582" s="24">
        <v>0</v>
      </c>
      <c r="M582" s="24">
        <v>1</v>
      </c>
    </row>
    <row r="583" spans="2:13" ht="14" x14ac:dyDescent="0.2">
      <c r="B583" s="24">
        <v>38</v>
      </c>
      <c r="C583" s="24">
        <v>153</v>
      </c>
      <c r="D583" s="24">
        <v>1</v>
      </c>
      <c r="E583" s="24">
        <v>1.3</v>
      </c>
      <c r="F583" s="24">
        <v>1</v>
      </c>
      <c r="G583" s="24">
        <v>0</v>
      </c>
      <c r="H583" s="24">
        <v>455</v>
      </c>
      <c r="I583" s="24">
        <v>0</v>
      </c>
      <c r="J583" s="24">
        <v>0</v>
      </c>
      <c r="K583" s="24">
        <v>0</v>
      </c>
      <c r="L583" s="24">
        <v>0</v>
      </c>
      <c r="M583" s="24">
        <v>0</v>
      </c>
    </row>
    <row r="584" spans="2:13" ht="14" x14ac:dyDescent="0.2">
      <c r="B584" s="24">
        <v>37</v>
      </c>
      <c r="C584" s="24">
        <v>8</v>
      </c>
      <c r="D584" s="24">
        <v>1</v>
      </c>
      <c r="E584" s="24">
        <v>0.8</v>
      </c>
      <c r="F584" s="24">
        <v>0</v>
      </c>
      <c r="G584" s="24">
        <v>1</v>
      </c>
      <c r="H584" s="24">
        <v>97</v>
      </c>
      <c r="I584" s="24">
        <v>0</v>
      </c>
      <c r="J584" s="24">
        <v>0</v>
      </c>
      <c r="K584" s="24">
        <v>1</v>
      </c>
      <c r="L584" s="24">
        <v>0</v>
      </c>
      <c r="M584" s="24">
        <v>0</v>
      </c>
    </row>
    <row r="585" spans="2:13" ht="14" x14ac:dyDescent="0.2">
      <c r="B585" s="24">
        <v>16</v>
      </c>
      <c r="C585" s="24">
        <v>79</v>
      </c>
      <c r="D585" s="24">
        <v>1</v>
      </c>
      <c r="E585" s="24">
        <v>1</v>
      </c>
      <c r="F585" s="24">
        <v>0</v>
      </c>
      <c r="G585" s="24">
        <v>0</v>
      </c>
      <c r="H585" s="24">
        <v>233</v>
      </c>
      <c r="I585" s="24">
        <v>0</v>
      </c>
      <c r="J585" s="24">
        <v>0</v>
      </c>
      <c r="K585" s="24">
        <v>1</v>
      </c>
      <c r="L585" s="24">
        <v>0</v>
      </c>
      <c r="M585" s="24">
        <v>0</v>
      </c>
    </row>
    <row r="586" spans="2:13" ht="14" x14ac:dyDescent="0.2">
      <c r="B586" s="24">
        <v>6</v>
      </c>
      <c r="C586" s="24">
        <v>28</v>
      </c>
      <c r="D586" s="24">
        <v>2</v>
      </c>
      <c r="E586" s="24">
        <v>0.3</v>
      </c>
      <c r="F586" s="24">
        <v>0</v>
      </c>
      <c r="G586" s="24">
        <v>1</v>
      </c>
      <c r="H586" s="24">
        <v>88</v>
      </c>
      <c r="I586" s="24">
        <v>0</v>
      </c>
      <c r="J586" s="24">
        <v>0</v>
      </c>
      <c r="K586" s="24">
        <v>1</v>
      </c>
      <c r="L586" s="24">
        <v>0</v>
      </c>
      <c r="M586" s="24">
        <v>0</v>
      </c>
    </row>
    <row r="587" spans="2:13" ht="14" x14ac:dyDescent="0.2">
      <c r="B587" s="24">
        <v>10</v>
      </c>
      <c r="C587" s="24">
        <v>80</v>
      </c>
      <c r="D587" s="24">
        <v>4</v>
      </c>
      <c r="E587" s="24">
        <v>2.2000000000000002</v>
      </c>
      <c r="F587" s="24">
        <v>0</v>
      </c>
      <c r="G587" s="24">
        <v>1</v>
      </c>
      <c r="H587" s="24">
        <v>0</v>
      </c>
      <c r="I587" s="24">
        <v>0</v>
      </c>
      <c r="J587" s="24">
        <v>0</v>
      </c>
      <c r="K587" s="24">
        <v>1</v>
      </c>
      <c r="L587" s="24">
        <v>0</v>
      </c>
      <c r="M587" s="24">
        <v>0</v>
      </c>
    </row>
    <row r="588" spans="2:13" ht="14" x14ac:dyDescent="0.2">
      <c r="B588" s="24">
        <v>5</v>
      </c>
      <c r="C588" s="24">
        <v>78</v>
      </c>
      <c r="D588" s="24">
        <v>1</v>
      </c>
      <c r="E588" s="24">
        <v>2.6</v>
      </c>
      <c r="F588" s="24">
        <v>0</v>
      </c>
      <c r="G588" s="24">
        <v>1</v>
      </c>
      <c r="H588" s="24">
        <v>0</v>
      </c>
      <c r="I588" s="24">
        <v>0</v>
      </c>
      <c r="J588" s="24">
        <v>0</v>
      </c>
      <c r="K588" s="24">
        <v>1</v>
      </c>
      <c r="L588" s="24">
        <v>0</v>
      </c>
      <c r="M588" s="24">
        <v>0</v>
      </c>
    </row>
    <row r="589" spans="2:13" ht="14" x14ac:dyDescent="0.2">
      <c r="B589" s="24">
        <v>11</v>
      </c>
      <c r="C589" s="24">
        <v>133</v>
      </c>
      <c r="D589" s="24">
        <v>1</v>
      </c>
      <c r="E589" s="24">
        <v>3.8</v>
      </c>
      <c r="F589" s="24">
        <v>1</v>
      </c>
      <c r="G589" s="24">
        <v>0</v>
      </c>
      <c r="H589" s="24">
        <v>290</v>
      </c>
      <c r="I589" s="24">
        <v>1</v>
      </c>
      <c r="J589" s="24">
        <v>1</v>
      </c>
      <c r="K589" s="24">
        <v>1</v>
      </c>
      <c r="L589" s="24">
        <v>1</v>
      </c>
      <c r="M589" s="24">
        <v>0</v>
      </c>
    </row>
    <row r="590" spans="2:13" ht="14" x14ac:dyDescent="0.2">
      <c r="B590" s="24">
        <v>7</v>
      </c>
      <c r="C590" s="24">
        <v>90</v>
      </c>
      <c r="D590" s="24">
        <v>3</v>
      </c>
      <c r="E590" s="24">
        <v>1.6</v>
      </c>
      <c r="F590" s="24">
        <v>1</v>
      </c>
      <c r="G590" s="24">
        <v>0</v>
      </c>
      <c r="H590" s="24">
        <v>0</v>
      </c>
      <c r="I590" s="24">
        <v>0</v>
      </c>
      <c r="J590" s="24">
        <v>0</v>
      </c>
      <c r="K590" s="24">
        <v>1</v>
      </c>
      <c r="L590" s="24">
        <v>0</v>
      </c>
      <c r="M590" s="24">
        <v>0</v>
      </c>
    </row>
    <row r="591" spans="2:13" ht="14" x14ac:dyDescent="0.2">
      <c r="B591" s="24">
        <v>10</v>
      </c>
      <c r="C591" s="24">
        <v>139</v>
      </c>
      <c r="D591" s="24">
        <v>2</v>
      </c>
      <c r="E591" s="24">
        <v>7.8</v>
      </c>
      <c r="F591" s="24">
        <v>1</v>
      </c>
      <c r="G591" s="24">
        <v>0</v>
      </c>
      <c r="H591" s="24">
        <v>0</v>
      </c>
      <c r="I591" s="24">
        <v>0</v>
      </c>
      <c r="J591" s="24">
        <v>0</v>
      </c>
      <c r="K591" s="24">
        <v>0</v>
      </c>
      <c r="L591" s="24">
        <v>0</v>
      </c>
      <c r="M591" s="24">
        <v>0</v>
      </c>
    </row>
    <row r="592" spans="2:13" ht="14" x14ac:dyDescent="0.2">
      <c r="B592" s="24">
        <v>10</v>
      </c>
      <c r="C592" s="24">
        <v>44</v>
      </c>
      <c r="D592" s="24">
        <v>3</v>
      </c>
      <c r="E592" s="24">
        <v>2</v>
      </c>
      <c r="F592" s="24">
        <v>0</v>
      </c>
      <c r="G592" s="24">
        <v>0</v>
      </c>
      <c r="H592" s="24">
        <v>0</v>
      </c>
      <c r="I592" s="24">
        <v>0</v>
      </c>
      <c r="J592" s="24">
        <v>0</v>
      </c>
      <c r="K592" s="24">
        <v>1</v>
      </c>
      <c r="L592" s="24">
        <v>0</v>
      </c>
      <c r="M592" s="24">
        <v>0</v>
      </c>
    </row>
    <row r="593" spans="2:13" ht="14" x14ac:dyDescent="0.2">
      <c r="B593" s="24">
        <v>40</v>
      </c>
      <c r="C593" s="24">
        <v>162</v>
      </c>
      <c r="D593" s="24">
        <v>1</v>
      </c>
      <c r="E593" s="24">
        <v>1.3</v>
      </c>
      <c r="F593" s="24">
        <v>1</v>
      </c>
      <c r="G593" s="24">
        <v>0</v>
      </c>
      <c r="H593" s="24">
        <v>0</v>
      </c>
      <c r="I593" s="24">
        <v>0</v>
      </c>
      <c r="J593" s="24">
        <v>0</v>
      </c>
      <c r="K593" s="24">
        <v>1</v>
      </c>
      <c r="L593" s="24">
        <v>0</v>
      </c>
      <c r="M593" s="24">
        <v>0</v>
      </c>
    </row>
    <row r="594" spans="2:13" ht="14" x14ac:dyDescent="0.2">
      <c r="B594" s="24">
        <v>30</v>
      </c>
      <c r="C594" s="24">
        <v>145</v>
      </c>
      <c r="D594" s="24">
        <v>2</v>
      </c>
      <c r="E594" s="24">
        <v>6.8</v>
      </c>
      <c r="F594" s="24">
        <v>1</v>
      </c>
      <c r="G594" s="24">
        <v>0</v>
      </c>
      <c r="H594" s="24">
        <v>0</v>
      </c>
      <c r="I594" s="24">
        <v>1</v>
      </c>
      <c r="J594" s="24">
        <v>0</v>
      </c>
      <c r="K594" s="24">
        <v>0</v>
      </c>
      <c r="L594" s="24">
        <v>0</v>
      </c>
      <c r="M594" s="24">
        <v>0</v>
      </c>
    </row>
    <row r="595" spans="2:13" ht="14" x14ac:dyDescent="0.2">
      <c r="B595" s="24">
        <v>40</v>
      </c>
      <c r="C595" s="24">
        <v>89</v>
      </c>
      <c r="D595" s="24">
        <v>1</v>
      </c>
      <c r="E595" s="24">
        <v>4.0999999999999996</v>
      </c>
      <c r="F595" s="24">
        <v>1</v>
      </c>
      <c r="G595" s="24">
        <v>0</v>
      </c>
      <c r="H595" s="24">
        <v>299</v>
      </c>
      <c r="I595" s="24">
        <v>0</v>
      </c>
      <c r="J595" s="24">
        <v>1</v>
      </c>
      <c r="K595" s="24">
        <v>1</v>
      </c>
      <c r="L595" s="24">
        <v>0</v>
      </c>
      <c r="M595" s="24">
        <v>1</v>
      </c>
    </row>
    <row r="596" spans="2:13" ht="14" x14ac:dyDescent="0.2">
      <c r="B596" s="24">
        <v>20</v>
      </c>
      <c r="C596" s="24">
        <v>91</v>
      </c>
      <c r="D596" s="24">
        <v>4</v>
      </c>
      <c r="E596" s="24">
        <v>2.6</v>
      </c>
      <c r="F596" s="24">
        <v>0</v>
      </c>
      <c r="G596" s="24">
        <v>0</v>
      </c>
      <c r="H596" s="24">
        <v>0</v>
      </c>
      <c r="I596" s="24">
        <v>0</v>
      </c>
      <c r="J596" s="24">
        <v>0</v>
      </c>
      <c r="K596" s="24">
        <v>0</v>
      </c>
      <c r="L596" s="24">
        <v>0</v>
      </c>
      <c r="M596" s="24">
        <v>0</v>
      </c>
    </row>
    <row r="597" spans="2:13" ht="14" x14ac:dyDescent="0.2">
      <c r="B597" s="24">
        <v>22</v>
      </c>
      <c r="C597" s="24">
        <v>84</v>
      </c>
      <c r="D597" s="24">
        <v>4</v>
      </c>
      <c r="E597" s="24">
        <v>2</v>
      </c>
      <c r="F597" s="24">
        <v>0</v>
      </c>
      <c r="G597" s="24">
        <v>0</v>
      </c>
      <c r="H597" s="24">
        <v>0</v>
      </c>
      <c r="I597" s="24">
        <v>0</v>
      </c>
      <c r="J597" s="24">
        <v>0</v>
      </c>
      <c r="K597" s="24">
        <v>1</v>
      </c>
      <c r="L597" s="24">
        <v>0</v>
      </c>
      <c r="M597" s="24">
        <v>0</v>
      </c>
    </row>
    <row r="598" spans="2:13" ht="14" x14ac:dyDescent="0.2">
      <c r="B598" s="24">
        <v>29</v>
      </c>
      <c r="C598" s="24">
        <v>35</v>
      </c>
      <c r="D598" s="24">
        <v>1</v>
      </c>
      <c r="E598" s="24">
        <v>1.5</v>
      </c>
      <c r="F598" s="24">
        <v>0</v>
      </c>
      <c r="G598" s="24">
        <v>1</v>
      </c>
      <c r="H598" s="24">
        <v>0</v>
      </c>
      <c r="I598" s="24">
        <v>0</v>
      </c>
      <c r="J598" s="24">
        <v>0</v>
      </c>
      <c r="K598" s="24">
        <v>1</v>
      </c>
      <c r="L598" s="24">
        <v>0</v>
      </c>
      <c r="M598" s="24">
        <v>0</v>
      </c>
    </row>
    <row r="599" spans="2:13" ht="14" x14ac:dyDescent="0.2">
      <c r="B599" s="24">
        <v>14</v>
      </c>
      <c r="C599" s="24">
        <v>155</v>
      </c>
      <c r="D599" s="24">
        <v>2</v>
      </c>
      <c r="E599" s="24">
        <v>3.9</v>
      </c>
      <c r="F599" s="24">
        <v>1</v>
      </c>
      <c r="G599" s="24">
        <v>0</v>
      </c>
      <c r="H599" s="24">
        <v>0</v>
      </c>
      <c r="I599" s="24">
        <v>0</v>
      </c>
      <c r="J599" s="24">
        <v>0</v>
      </c>
      <c r="K599" s="24">
        <v>1</v>
      </c>
      <c r="L599" s="24">
        <v>0</v>
      </c>
      <c r="M599" s="24">
        <v>0</v>
      </c>
    </row>
    <row r="600" spans="2:13" ht="14" x14ac:dyDescent="0.2">
      <c r="B600" s="24">
        <v>30</v>
      </c>
      <c r="C600" s="24">
        <v>21</v>
      </c>
      <c r="D600" s="24">
        <v>2</v>
      </c>
      <c r="E600" s="24">
        <v>0.2</v>
      </c>
      <c r="F600" s="24">
        <v>1</v>
      </c>
      <c r="G600" s="24">
        <v>0</v>
      </c>
      <c r="H600" s="24">
        <v>0</v>
      </c>
      <c r="I600" s="24">
        <v>0</v>
      </c>
      <c r="J600" s="24">
        <v>0</v>
      </c>
      <c r="K600" s="24">
        <v>0</v>
      </c>
      <c r="L600" s="24">
        <v>1</v>
      </c>
      <c r="M600" s="24">
        <v>0</v>
      </c>
    </row>
    <row r="601" spans="2:13" ht="14" x14ac:dyDescent="0.2">
      <c r="B601" s="24">
        <v>13</v>
      </c>
      <c r="C601" s="24">
        <v>55</v>
      </c>
      <c r="D601" s="24">
        <v>2</v>
      </c>
      <c r="E601" s="24">
        <v>1.1000000000000001</v>
      </c>
      <c r="F601" s="24">
        <v>0</v>
      </c>
      <c r="G601" s="24">
        <v>1</v>
      </c>
      <c r="H601" s="24">
        <v>0</v>
      </c>
      <c r="I601" s="24">
        <v>0</v>
      </c>
      <c r="J601" s="24">
        <v>0</v>
      </c>
      <c r="K601" s="24">
        <v>1</v>
      </c>
      <c r="L601" s="24">
        <v>0</v>
      </c>
      <c r="M601" s="24">
        <v>0</v>
      </c>
    </row>
    <row r="602" spans="2:13" ht="14" x14ac:dyDescent="0.2">
      <c r="B602" s="24">
        <v>22</v>
      </c>
      <c r="C602" s="24">
        <v>22</v>
      </c>
      <c r="D602" s="24">
        <v>4</v>
      </c>
      <c r="E602" s="24">
        <v>0.4</v>
      </c>
      <c r="F602" s="24">
        <v>0</v>
      </c>
      <c r="G602" s="24">
        <v>0</v>
      </c>
      <c r="H602" s="24">
        <v>0</v>
      </c>
      <c r="I602" s="24">
        <v>0</v>
      </c>
      <c r="J602" s="24">
        <v>0</v>
      </c>
      <c r="K602" s="24">
        <v>1</v>
      </c>
      <c r="L602" s="24">
        <v>1</v>
      </c>
      <c r="M602" s="24">
        <v>0</v>
      </c>
    </row>
    <row r="603" spans="2:13" ht="14" x14ac:dyDescent="0.2">
      <c r="B603" s="24">
        <v>20</v>
      </c>
      <c r="C603" s="24">
        <v>101</v>
      </c>
      <c r="D603" s="24">
        <v>3</v>
      </c>
      <c r="E603" s="24">
        <v>4.4000000000000004</v>
      </c>
      <c r="F603" s="24">
        <v>0</v>
      </c>
      <c r="G603" s="24">
        <v>1</v>
      </c>
      <c r="H603" s="24">
        <v>82</v>
      </c>
      <c r="I603" s="24">
        <v>0</v>
      </c>
      <c r="J603" s="24">
        <v>0</v>
      </c>
      <c r="K603" s="24">
        <v>0</v>
      </c>
      <c r="L603" s="24">
        <v>0</v>
      </c>
      <c r="M603" s="24">
        <v>1</v>
      </c>
    </row>
    <row r="604" spans="2:13" ht="14" x14ac:dyDescent="0.2">
      <c r="B604" s="24">
        <v>28</v>
      </c>
      <c r="C604" s="24">
        <v>85</v>
      </c>
      <c r="D604" s="24">
        <v>4</v>
      </c>
      <c r="E604" s="24">
        <v>4.9000000000000004</v>
      </c>
      <c r="F604" s="24">
        <v>1</v>
      </c>
      <c r="G604" s="24">
        <v>0</v>
      </c>
      <c r="H604" s="24">
        <v>0</v>
      </c>
      <c r="I604" s="24">
        <v>0</v>
      </c>
      <c r="J604" s="24">
        <v>0</v>
      </c>
      <c r="K604" s="24">
        <v>1</v>
      </c>
      <c r="L604" s="24">
        <v>0</v>
      </c>
      <c r="M604" s="24">
        <v>0</v>
      </c>
    </row>
    <row r="605" spans="2:13" ht="14" x14ac:dyDescent="0.2">
      <c r="B605" s="24">
        <v>32</v>
      </c>
      <c r="C605" s="24">
        <v>33</v>
      </c>
      <c r="D605" s="24">
        <v>2</v>
      </c>
      <c r="E605" s="24">
        <v>2</v>
      </c>
      <c r="F605" s="24">
        <v>0</v>
      </c>
      <c r="G605" s="24">
        <v>1</v>
      </c>
      <c r="H605" s="24">
        <v>0</v>
      </c>
      <c r="I605" s="24">
        <v>0</v>
      </c>
      <c r="J605" s="24">
        <v>0</v>
      </c>
      <c r="K605" s="24">
        <v>1</v>
      </c>
      <c r="L605" s="24">
        <v>0</v>
      </c>
      <c r="M605" s="24">
        <v>0</v>
      </c>
    </row>
    <row r="606" spans="2:13" ht="14" x14ac:dyDescent="0.2">
      <c r="B606" s="24">
        <v>36</v>
      </c>
      <c r="C606" s="24">
        <v>10</v>
      </c>
      <c r="D606" s="24">
        <v>4</v>
      </c>
      <c r="E606" s="24">
        <v>0.4</v>
      </c>
      <c r="F606" s="24">
        <v>0</v>
      </c>
      <c r="G606" s="24">
        <v>1</v>
      </c>
      <c r="H606" s="24">
        <v>0</v>
      </c>
      <c r="I606" s="24">
        <v>0</v>
      </c>
      <c r="J606" s="24">
        <v>0</v>
      </c>
      <c r="K606" s="24">
        <v>1</v>
      </c>
      <c r="L606" s="24">
        <v>0</v>
      </c>
      <c r="M606" s="24">
        <v>0</v>
      </c>
    </row>
    <row r="607" spans="2:13" ht="14" x14ac:dyDescent="0.2">
      <c r="B607" s="24">
        <v>33</v>
      </c>
      <c r="C607" s="24">
        <v>30</v>
      </c>
      <c r="D607" s="24">
        <v>3</v>
      </c>
      <c r="E607" s="24">
        <v>1.5</v>
      </c>
      <c r="F607" s="24">
        <v>1</v>
      </c>
      <c r="G607" s="24">
        <v>0</v>
      </c>
      <c r="H607" s="24">
        <v>151</v>
      </c>
      <c r="I607" s="24">
        <v>1</v>
      </c>
      <c r="J607" s="24">
        <v>0</v>
      </c>
      <c r="K607" s="24">
        <v>1</v>
      </c>
      <c r="L607" s="24">
        <v>0</v>
      </c>
      <c r="M607" s="24">
        <v>0</v>
      </c>
    </row>
    <row r="608" spans="2:13" ht="14" x14ac:dyDescent="0.2">
      <c r="B608" s="24">
        <v>26</v>
      </c>
      <c r="C608" s="24">
        <v>114</v>
      </c>
      <c r="D608" s="24">
        <v>2</v>
      </c>
      <c r="E608" s="24">
        <v>2.4</v>
      </c>
      <c r="F608" s="24">
        <v>0</v>
      </c>
      <c r="G608" s="24">
        <v>1</v>
      </c>
      <c r="H608" s="24">
        <v>0</v>
      </c>
      <c r="I608" s="24">
        <v>0</v>
      </c>
      <c r="J608" s="24">
        <v>0</v>
      </c>
      <c r="K608" s="24">
        <v>0</v>
      </c>
      <c r="L608" s="24">
        <v>0</v>
      </c>
      <c r="M608" s="24">
        <v>0</v>
      </c>
    </row>
    <row r="609" spans="2:13" ht="14" x14ac:dyDescent="0.2">
      <c r="B609" s="24">
        <v>5</v>
      </c>
      <c r="C609" s="24">
        <v>85</v>
      </c>
      <c r="D609" s="24">
        <v>3</v>
      </c>
      <c r="E609" s="24">
        <v>1.6</v>
      </c>
      <c r="F609" s="24">
        <v>1</v>
      </c>
      <c r="G609" s="24">
        <v>0</v>
      </c>
      <c r="H609" s="24">
        <v>157</v>
      </c>
      <c r="I609" s="24">
        <v>0</v>
      </c>
      <c r="J609" s="24">
        <v>0</v>
      </c>
      <c r="K609" s="24">
        <v>1</v>
      </c>
      <c r="L609" s="24">
        <v>1</v>
      </c>
      <c r="M609" s="24">
        <v>0</v>
      </c>
    </row>
    <row r="610" spans="2:13" ht="14" x14ac:dyDescent="0.2">
      <c r="B610" s="24">
        <v>19</v>
      </c>
      <c r="C610" s="24">
        <v>118</v>
      </c>
      <c r="D610" s="24">
        <v>2</v>
      </c>
      <c r="E610" s="24">
        <v>3.3</v>
      </c>
      <c r="F610" s="24">
        <v>1</v>
      </c>
      <c r="G610" s="24">
        <v>0</v>
      </c>
      <c r="H610" s="24">
        <v>0</v>
      </c>
      <c r="I610" s="24">
        <v>0</v>
      </c>
      <c r="J610" s="24">
        <v>0</v>
      </c>
      <c r="K610" s="24">
        <v>0</v>
      </c>
      <c r="L610" s="24">
        <v>1</v>
      </c>
      <c r="M610" s="24">
        <v>0</v>
      </c>
    </row>
    <row r="611" spans="2:13" ht="14" x14ac:dyDescent="0.2">
      <c r="B611" s="24">
        <v>16</v>
      </c>
      <c r="C611" s="24">
        <v>19</v>
      </c>
      <c r="D611" s="24">
        <v>2</v>
      </c>
      <c r="E611" s="24">
        <v>0.3</v>
      </c>
      <c r="F611" s="24">
        <v>0</v>
      </c>
      <c r="G611" s="24">
        <v>1</v>
      </c>
      <c r="H611" s="24">
        <v>105</v>
      </c>
      <c r="I611" s="24">
        <v>0</v>
      </c>
      <c r="J611" s="24">
        <v>0</v>
      </c>
      <c r="K611" s="24">
        <v>0</v>
      </c>
      <c r="L611" s="24">
        <v>0</v>
      </c>
      <c r="M611" s="24">
        <v>0</v>
      </c>
    </row>
    <row r="612" spans="2:13" ht="14" x14ac:dyDescent="0.2">
      <c r="B612" s="24">
        <v>6</v>
      </c>
      <c r="C612" s="24">
        <v>84</v>
      </c>
      <c r="D612" s="24">
        <v>4</v>
      </c>
      <c r="E612" s="24">
        <v>1.8</v>
      </c>
      <c r="F612" s="24">
        <v>0</v>
      </c>
      <c r="G612" s="24">
        <v>1</v>
      </c>
      <c r="H612" s="24">
        <v>0</v>
      </c>
      <c r="I612" s="24">
        <v>0</v>
      </c>
      <c r="J612" s="24">
        <v>0</v>
      </c>
      <c r="K612" s="24">
        <v>0</v>
      </c>
      <c r="L612" s="24">
        <v>0</v>
      </c>
      <c r="M612" s="24">
        <v>0</v>
      </c>
    </row>
    <row r="613" spans="2:13" ht="14" x14ac:dyDescent="0.2">
      <c r="B613" s="24">
        <v>37</v>
      </c>
      <c r="C613" s="24">
        <v>19</v>
      </c>
      <c r="D613" s="24">
        <v>4</v>
      </c>
      <c r="E613" s="24">
        <v>0.4</v>
      </c>
      <c r="F613" s="24">
        <v>0</v>
      </c>
      <c r="G613" s="24">
        <v>1</v>
      </c>
      <c r="H613" s="24">
        <v>124</v>
      </c>
      <c r="I613" s="24">
        <v>1</v>
      </c>
      <c r="J613" s="24">
        <v>0</v>
      </c>
      <c r="K613" s="24">
        <v>0</v>
      </c>
      <c r="L613" s="24">
        <v>0</v>
      </c>
      <c r="M613" s="24">
        <v>0</v>
      </c>
    </row>
    <row r="614" spans="2:13" ht="14" x14ac:dyDescent="0.2">
      <c r="B614" s="24">
        <v>10</v>
      </c>
      <c r="C614" s="24">
        <v>110</v>
      </c>
      <c r="D614" s="24">
        <v>1</v>
      </c>
      <c r="E614" s="24">
        <v>4</v>
      </c>
      <c r="F614" s="24">
        <v>1</v>
      </c>
      <c r="G614" s="24">
        <v>0</v>
      </c>
      <c r="H614" s="24">
        <v>0</v>
      </c>
      <c r="I614" s="24">
        <v>0</v>
      </c>
      <c r="J614" s="24">
        <v>0</v>
      </c>
      <c r="K614" s="24">
        <v>1</v>
      </c>
      <c r="L614" s="24">
        <v>0</v>
      </c>
      <c r="M614" s="24">
        <v>0</v>
      </c>
    </row>
    <row r="615" spans="2:13" ht="14" x14ac:dyDescent="0.2">
      <c r="B615" s="24">
        <v>16</v>
      </c>
      <c r="C615" s="24">
        <v>99</v>
      </c>
      <c r="D615" s="24">
        <v>1</v>
      </c>
      <c r="E615" s="24">
        <v>1</v>
      </c>
      <c r="F615" s="24">
        <v>0</v>
      </c>
      <c r="G615" s="24">
        <v>0</v>
      </c>
      <c r="H615" s="24">
        <v>0</v>
      </c>
      <c r="I615" s="24">
        <v>0</v>
      </c>
      <c r="J615" s="24">
        <v>0</v>
      </c>
      <c r="K615" s="24">
        <v>1</v>
      </c>
      <c r="L615" s="24">
        <v>0</v>
      </c>
      <c r="M615" s="24">
        <v>0</v>
      </c>
    </row>
    <row r="616" spans="2:13" ht="14" x14ac:dyDescent="0.2">
      <c r="B616" s="24">
        <v>36</v>
      </c>
      <c r="C616" s="24">
        <v>22</v>
      </c>
      <c r="D616" s="24">
        <v>2</v>
      </c>
      <c r="E616" s="24">
        <v>1</v>
      </c>
      <c r="F616" s="24">
        <v>1</v>
      </c>
      <c r="G616" s="24">
        <v>0</v>
      </c>
      <c r="H616" s="24">
        <v>0</v>
      </c>
      <c r="I616" s="24">
        <v>1</v>
      </c>
      <c r="J616" s="24">
        <v>1</v>
      </c>
      <c r="K616" s="24">
        <v>1</v>
      </c>
      <c r="L616" s="24">
        <v>1</v>
      </c>
      <c r="M616" s="24">
        <v>0</v>
      </c>
    </row>
    <row r="617" spans="2:13" ht="14" x14ac:dyDescent="0.2">
      <c r="B617" s="24">
        <v>34</v>
      </c>
      <c r="C617" s="24">
        <v>14</v>
      </c>
      <c r="D617" s="24">
        <v>1</v>
      </c>
      <c r="E617" s="24">
        <v>0.1</v>
      </c>
      <c r="F617" s="24">
        <v>1</v>
      </c>
      <c r="G617" s="24">
        <v>0</v>
      </c>
      <c r="H617" s="24">
        <v>0</v>
      </c>
      <c r="I617" s="24">
        <v>0</v>
      </c>
      <c r="J617" s="24">
        <v>0</v>
      </c>
      <c r="K617" s="24">
        <v>1</v>
      </c>
      <c r="L617" s="24">
        <v>1</v>
      </c>
      <c r="M617" s="24">
        <v>0</v>
      </c>
    </row>
    <row r="618" spans="2:13" ht="14" x14ac:dyDescent="0.2">
      <c r="B618" s="24">
        <v>29</v>
      </c>
      <c r="C618" s="24">
        <v>83</v>
      </c>
      <c r="D618" s="24">
        <v>4</v>
      </c>
      <c r="E618" s="24">
        <v>1</v>
      </c>
      <c r="F618" s="24">
        <v>0</v>
      </c>
      <c r="G618" s="24">
        <v>1</v>
      </c>
      <c r="H618" s="24">
        <v>0</v>
      </c>
      <c r="I618" s="24">
        <v>0</v>
      </c>
      <c r="J618" s="24">
        <v>0</v>
      </c>
      <c r="K618" s="24">
        <v>1</v>
      </c>
      <c r="L618" s="24">
        <v>0</v>
      </c>
      <c r="M618" s="24">
        <v>0</v>
      </c>
    </row>
    <row r="619" spans="2:13" ht="14" x14ac:dyDescent="0.2">
      <c r="B619" s="24">
        <v>24</v>
      </c>
      <c r="C619" s="24">
        <v>38</v>
      </c>
      <c r="D619" s="24">
        <v>1</v>
      </c>
      <c r="E619" s="24">
        <v>1.4</v>
      </c>
      <c r="F619" s="24">
        <v>0</v>
      </c>
      <c r="G619" s="24">
        <v>0</v>
      </c>
      <c r="H619" s="24">
        <v>0</v>
      </c>
      <c r="I619" s="24">
        <v>0</v>
      </c>
      <c r="J619" s="24">
        <v>0</v>
      </c>
      <c r="K619" s="24">
        <v>0</v>
      </c>
      <c r="L619" s="24">
        <v>0</v>
      </c>
      <c r="M619" s="24">
        <v>0</v>
      </c>
    </row>
    <row r="620" spans="2:13" ht="14" x14ac:dyDescent="0.2">
      <c r="B620" s="24">
        <v>31</v>
      </c>
      <c r="C620" s="24">
        <v>51</v>
      </c>
      <c r="D620" s="24">
        <v>1</v>
      </c>
      <c r="E620" s="24">
        <v>1.4</v>
      </c>
      <c r="F620" s="24">
        <v>1</v>
      </c>
      <c r="G620" s="24">
        <v>0</v>
      </c>
      <c r="H620" s="24">
        <v>0</v>
      </c>
      <c r="I620" s="24">
        <v>0</v>
      </c>
      <c r="J620" s="24">
        <v>0</v>
      </c>
      <c r="K620" s="24">
        <v>1</v>
      </c>
      <c r="L620" s="24">
        <v>1</v>
      </c>
      <c r="M620" s="24">
        <v>0</v>
      </c>
    </row>
    <row r="621" spans="2:13" ht="14" x14ac:dyDescent="0.2">
      <c r="B621" s="24">
        <v>20</v>
      </c>
      <c r="C621" s="24">
        <v>12</v>
      </c>
      <c r="D621" s="24">
        <v>4</v>
      </c>
      <c r="E621" s="24">
        <v>0.6</v>
      </c>
      <c r="F621" s="24">
        <v>0</v>
      </c>
      <c r="G621" s="24">
        <v>0</v>
      </c>
      <c r="H621" s="24">
        <v>0</v>
      </c>
      <c r="I621" s="24">
        <v>0</v>
      </c>
      <c r="J621" s="24">
        <v>0</v>
      </c>
      <c r="K621" s="24">
        <v>0</v>
      </c>
      <c r="L621" s="24">
        <v>1</v>
      </c>
      <c r="M621" s="24">
        <v>0</v>
      </c>
    </row>
    <row r="622" spans="2:13" ht="14" x14ac:dyDescent="0.2">
      <c r="B622" s="24">
        <v>28</v>
      </c>
      <c r="C622" s="24">
        <v>98</v>
      </c>
      <c r="D622" s="24">
        <v>1</v>
      </c>
      <c r="E622" s="24">
        <v>1.3</v>
      </c>
      <c r="F622" s="24">
        <v>0</v>
      </c>
      <c r="G622" s="24">
        <v>0</v>
      </c>
      <c r="H622" s="24">
        <v>355</v>
      </c>
      <c r="I622" s="24">
        <v>0</v>
      </c>
      <c r="J622" s="24">
        <v>0</v>
      </c>
      <c r="K622" s="24">
        <v>1</v>
      </c>
      <c r="L622" s="24">
        <v>0</v>
      </c>
      <c r="M622" s="24">
        <v>0</v>
      </c>
    </row>
    <row r="623" spans="2:13" ht="14" x14ac:dyDescent="0.2">
      <c r="B623" s="24">
        <v>23</v>
      </c>
      <c r="C623" s="24">
        <v>68</v>
      </c>
      <c r="D623" s="24">
        <v>1</v>
      </c>
      <c r="E623" s="24">
        <v>1.5</v>
      </c>
      <c r="F623" s="24">
        <v>0</v>
      </c>
      <c r="G623" s="24">
        <v>1</v>
      </c>
      <c r="H623" s="24">
        <v>0</v>
      </c>
      <c r="I623" s="24">
        <v>0</v>
      </c>
      <c r="J623" s="24">
        <v>0</v>
      </c>
      <c r="K623" s="24">
        <v>0</v>
      </c>
      <c r="L623" s="24">
        <v>0</v>
      </c>
      <c r="M623" s="24">
        <v>0</v>
      </c>
    </row>
    <row r="624" spans="2:13" ht="14" x14ac:dyDescent="0.2">
      <c r="B624" s="24">
        <v>6</v>
      </c>
      <c r="C624" s="24">
        <v>83</v>
      </c>
      <c r="D624" s="24">
        <v>4</v>
      </c>
      <c r="E624" s="24">
        <v>3.4</v>
      </c>
      <c r="F624" s="24">
        <v>1</v>
      </c>
      <c r="G624" s="24">
        <v>0</v>
      </c>
      <c r="H624" s="24">
        <v>0</v>
      </c>
      <c r="I624" s="24">
        <v>1</v>
      </c>
      <c r="J624" s="24">
        <v>0</v>
      </c>
      <c r="K624" s="24">
        <v>1</v>
      </c>
      <c r="L624" s="24">
        <v>0</v>
      </c>
      <c r="M624" s="24">
        <v>0</v>
      </c>
    </row>
    <row r="625" spans="2:13" ht="14" x14ac:dyDescent="0.2">
      <c r="B625" s="24">
        <v>8</v>
      </c>
      <c r="C625" s="24">
        <v>32</v>
      </c>
      <c r="D625" s="24">
        <v>2</v>
      </c>
      <c r="E625" s="24">
        <v>1</v>
      </c>
      <c r="F625" s="24">
        <v>0</v>
      </c>
      <c r="G625" s="24">
        <v>1</v>
      </c>
      <c r="H625" s="24">
        <v>103</v>
      </c>
      <c r="I625" s="24">
        <v>0</v>
      </c>
      <c r="J625" s="24">
        <v>1</v>
      </c>
      <c r="K625" s="24">
        <v>1</v>
      </c>
      <c r="L625" s="24">
        <v>1</v>
      </c>
      <c r="M625" s="24">
        <v>0</v>
      </c>
    </row>
    <row r="626" spans="2:13" ht="14" x14ac:dyDescent="0.2">
      <c r="B626" s="24">
        <v>7</v>
      </c>
      <c r="C626" s="24">
        <v>94</v>
      </c>
      <c r="D626" s="24">
        <v>2</v>
      </c>
      <c r="E626" s="24">
        <v>3.1</v>
      </c>
      <c r="F626" s="24">
        <v>1</v>
      </c>
      <c r="G626" s="24">
        <v>0</v>
      </c>
      <c r="H626" s="24">
        <v>0</v>
      </c>
      <c r="I626" s="24">
        <v>0</v>
      </c>
      <c r="J626" s="24">
        <v>0</v>
      </c>
      <c r="K626" s="24">
        <v>1</v>
      </c>
      <c r="L626" s="24">
        <v>0</v>
      </c>
      <c r="M626" s="24">
        <v>0</v>
      </c>
    </row>
    <row r="627" spans="2:13" ht="14" x14ac:dyDescent="0.2">
      <c r="B627" s="24">
        <v>12</v>
      </c>
      <c r="C627" s="24">
        <v>160</v>
      </c>
      <c r="D627" s="24">
        <v>2</v>
      </c>
      <c r="E627" s="24">
        <v>3.3</v>
      </c>
      <c r="F627" s="24">
        <v>1</v>
      </c>
      <c r="G627" s="24">
        <v>0</v>
      </c>
      <c r="H627" s="24">
        <v>0</v>
      </c>
      <c r="I627" s="24">
        <v>0</v>
      </c>
      <c r="J627" s="24">
        <v>0</v>
      </c>
      <c r="K627" s="24">
        <v>0</v>
      </c>
      <c r="L627" s="24">
        <v>0</v>
      </c>
      <c r="M627" s="24">
        <v>0</v>
      </c>
    </row>
    <row r="628" spans="2:13" ht="14" x14ac:dyDescent="0.2">
      <c r="B628" s="24">
        <v>5</v>
      </c>
      <c r="C628" s="24">
        <v>79</v>
      </c>
      <c r="D628" s="24">
        <v>4</v>
      </c>
      <c r="E628" s="24">
        <v>2.2000000000000002</v>
      </c>
      <c r="F628" s="24">
        <v>0</v>
      </c>
      <c r="G628" s="24">
        <v>1</v>
      </c>
      <c r="H628" s="24">
        <v>0</v>
      </c>
      <c r="I628" s="24">
        <v>0</v>
      </c>
      <c r="J628" s="24">
        <v>0</v>
      </c>
      <c r="K628" s="24">
        <v>0</v>
      </c>
      <c r="L628" s="24">
        <v>0</v>
      </c>
      <c r="M628" s="24">
        <v>0</v>
      </c>
    </row>
    <row r="629" spans="2:13" ht="14" x14ac:dyDescent="0.2">
      <c r="B629" s="24">
        <v>9</v>
      </c>
      <c r="C629" s="24">
        <v>48</v>
      </c>
      <c r="D629" s="24">
        <v>1</v>
      </c>
      <c r="E629" s="24">
        <v>2.5</v>
      </c>
      <c r="F629" s="24">
        <v>0</v>
      </c>
      <c r="G629" s="24">
        <v>0</v>
      </c>
      <c r="H629" s="24">
        <v>105</v>
      </c>
      <c r="I629" s="24">
        <v>0</v>
      </c>
      <c r="J629" s="24">
        <v>0</v>
      </c>
      <c r="K629" s="24">
        <v>1</v>
      </c>
      <c r="L629" s="24">
        <v>0</v>
      </c>
      <c r="M629" s="24">
        <v>0</v>
      </c>
    </row>
    <row r="630" spans="2:13" ht="14" x14ac:dyDescent="0.2">
      <c r="B630" s="24">
        <v>30</v>
      </c>
      <c r="C630" s="24">
        <v>24</v>
      </c>
      <c r="D630" s="24">
        <v>2</v>
      </c>
      <c r="E630" s="24">
        <v>0.4</v>
      </c>
      <c r="F630" s="24">
        <v>0</v>
      </c>
      <c r="G630" s="24">
        <v>0</v>
      </c>
      <c r="H630" s="24">
        <v>88</v>
      </c>
      <c r="I630" s="24">
        <v>0</v>
      </c>
      <c r="J630" s="24">
        <v>0</v>
      </c>
      <c r="K630" s="24">
        <v>0</v>
      </c>
      <c r="L630" s="24">
        <v>0</v>
      </c>
      <c r="M630" s="24">
        <v>0</v>
      </c>
    </row>
    <row r="631" spans="2:13" ht="14" x14ac:dyDescent="0.2">
      <c r="B631" s="24">
        <v>20</v>
      </c>
      <c r="C631" s="24">
        <v>54</v>
      </c>
      <c r="D631" s="24">
        <v>1</v>
      </c>
      <c r="E631" s="24">
        <v>0.7</v>
      </c>
      <c r="F631" s="24">
        <v>0</v>
      </c>
      <c r="G631" s="24">
        <v>0</v>
      </c>
      <c r="H631" s="24">
        <v>154</v>
      </c>
      <c r="I631" s="24">
        <v>0</v>
      </c>
      <c r="J631" s="24">
        <v>0</v>
      </c>
      <c r="K631" s="24">
        <v>1</v>
      </c>
      <c r="L631" s="24">
        <v>1</v>
      </c>
      <c r="M631" s="24">
        <v>0</v>
      </c>
    </row>
    <row r="632" spans="2:13" ht="14" x14ac:dyDescent="0.2">
      <c r="B632" s="24">
        <v>6</v>
      </c>
      <c r="C632" s="24">
        <v>48</v>
      </c>
      <c r="D632" s="24">
        <v>1</v>
      </c>
      <c r="E632" s="24">
        <v>2.1</v>
      </c>
      <c r="F632" s="24">
        <v>0</v>
      </c>
      <c r="G632" s="24">
        <v>0</v>
      </c>
      <c r="H632" s="24">
        <v>0</v>
      </c>
      <c r="I632" s="24">
        <v>0</v>
      </c>
      <c r="J632" s="24">
        <v>0</v>
      </c>
      <c r="K632" s="24">
        <v>0</v>
      </c>
      <c r="L632" s="24">
        <v>0</v>
      </c>
      <c r="M632" s="24">
        <v>0</v>
      </c>
    </row>
    <row r="633" spans="2:13" ht="14" x14ac:dyDescent="0.2">
      <c r="B633" s="24">
        <v>32</v>
      </c>
      <c r="C633" s="24">
        <v>19</v>
      </c>
      <c r="D633" s="24">
        <v>4</v>
      </c>
      <c r="E633" s="24">
        <v>0.9</v>
      </c>
      <c r="F633" s="24">
        <v>0</v>
      </c>
      <c r="G633" s="24">
        <v>1</v>
      </c>
      <c r="H633" s="24">
        <v>0</v>
      </c>
      <c r="I633" s="24">
        <v>0</v>
      </c>
      <c r="J633" s="24">
        <v>0</v>
      </c>
      <c r="K633" s="24">
        <v>1</v>
      </c>
      <c r="L633" s="24">
        <v>0</v>
      </c>
      <c r="M633" s="24">
        <v>0</v>
      </c>
    </row>
    <row r="634" spans="2:13" ht="14" x14ac:dyDescent="0.2">
      <c r="B634" s="24">
        <v>27</v>
      </c>
      <c r="C634" s="24">
        <v>25</v>
      </c>
      <c r="D634" s="24">
        <v>2</v>
      </c>
      <c r="E634" s="24">
        <v>0</v>
      </c>
      <c r="F634" s="24">
        <v>1</v>
      </c>
      <c r="G634" s="24">
        <v>0</v>
      </c>
      <c r="H634" s="24">
        <v>0</v>
      </c>
      <c r="I634" s="24">
        <v>0</v>
      </c>
      <c r="J634" s="24">
        <v>0</v>
      </c>
      <c r="K634" s="24">
        <v>1</v>
      </c>
      <c r="L634" s="24">
        <v>1</v>
      </c>
      <c r="M634" s="24">
        <v>0</v>
      </c>
    </row>
    <row r="635" spans="2:13" ht="14" x14ac:dyDescent="0.2">
      <c r="B635" s="24">
        <v>4</v>
      </c>
      <c r="C635" s="24">
        <v>110</v>
      </c>
      <c r="D635" s="24">
        <v>4</v>
      </c>
      <c r="E635" s="24">
        <v>2.5</v>
      </c>
      <c r="F635" s="24">
        <v>0</v>
      </c>
      <c r="G635" s="24">
        <v>0</v>
      </c>
      <c r="H635" s="24">
        <v>0</v>
      </c>
      <c r="I635" s="24">
        <v>0</v>
      </c>
      <c r="J635" s="24">
        <v>0</v>
      </c>
      <c r="K635" s="24">
        <v>0</v>
      </c>
      <c r="L635" s="24">
        <v>0</v>
      </c>
      <c r="M635" s="24">
        <v>1</v>
      </c>
    </row>
    <row r="636" spans="2:13" ht="14" x14ac:dyDescent="0.2">
      <c r="B636" s="24">
        <v>6</v>
      </c>
      <c r="C636" s="24">
        <v>78</v>
      </c>
      <c r="D636" s="24">
        <v>4</v>
      </c>
      <c r="E636" s="24">
        <v>1.8</v>
      </c>
      <c r="F636" s="24">
        <v>0</v>
      </c>
      <c r="G636" s="24">
        <v>0</v>
      </c>
      <c r="H636" s="24">
        <v>163</v>
      </c>
      <c r="I636" s="24">
        <v>0</v>
      </c>
      <c r="J636" s="24">
        <v>0</v>
      </c>
      <c r="K636" s="24">
        <v>0</v>
      </c>
      <c r="L636" s="24">
        <v>0</v>
      </c>
      <c r="M636" s="24">
        <v>0</v>
      </c>
    </row>
    <row r="637" spans="2:13" ht="14" x14ac:dyDescent="0.2">
      <c r="B637" s="24">
        <v>17</v>
      </c>
      <c r="C637" s="24">
        <v>164</v>
      </c>
      <c r="D637" s="24">
        <v>1</v>
      </c>
      <c r="E637" s="24">
        <v>2.4</v>
      </c>
      <c r="F637" s="24">
        <v>1</v>
      </c>
      <c r="G637" s="24">
        <v>0</v>
      </c>
      <c r="H637" s="24">
        <v>449</v>
      </c>
      <c r="I637" s="24">
        <v>0</v>
      </c>
      <c r="J637" s="24">
        <v>0</v>
      </c>
      <c r="K637" s="24">
        <v>1</v>
      </c>
      <c r="L637" s="24">
        <v>0</v>
      </c>
      <c r="M637" s="24">
        <v>0</v>
      </c>
    </row>
    <row r="638" spans="2:13" ht="14" x14ac:dyDescent="0.2">
      <c r="B638" s="24">
        <v>19</v>
      </c>
      <c r="C638" s="24">
        <v>141</v>
      </c>
      <c r="D638" s="24">
        <v>1</v>
      </c>
      <c r="E638" s="24">
        <v>2.4</v>
      </c>
      <c r="F638" s="24">
        <v>1</v>
      </c>
      <c r="G638" s="24">
        <v>0</v>
      </c>
      <c r="H638" s="24">
        <v>0</v>
      </c>
      <c r="I638" s="24">
        <v>0</v>
      </c>
      <c r="J638" s="24">
        <v>0</v>
      </c>
      <c r="K638" s="24">
        <v>1</v>
      </c>
      <c r="L638" s="24">
        <v>0</v>
      </c>
      <c r="M638" s="24">
        <v>0</v>
      </c>
    </row>
    <row r="639" spans="2:13" ht="14" x14ac:dyDescent="0.2">
      <c r="B639" s="24">
        <v>22</v>
      </c>
      <c r="C639" s="24">
        <v>149</v>
      </c>
      <c r="D639" s="24">
        <v>2</v>
      </c>
      <c r="E639" s="24">
        <v>5.5</v>
      </c>
      <c r="F639" s="24">
        <v>0</v>
      </c>
      <c r="G639" s="24">
        <v>1</v>
      </c>
      <c r="H639" s="24">
        <v>0</v>
      </c>
      <c r="I639" s="24">
        <v>1</v>
      </c>
      <c r="J639" s="24">
        <v>1</v>
      </c>
      <c r="K639" s="24">
        <v>1</v>
      </c>
      <c r="L639" s="24">
        <v>0</v>
      </c>
      <c r="M639" s="24">
        <v>1</v>
      </c>
    </row>
    <row r="640" spans="2:13" ht="14" x14ac:dyDescent="0.2">
      <c r="B640" s="24">
        <v>9</v>
      </c>
      <c r="C640" s="24">
        <v>100</v>
      </c>
      <c r="D640" s="24">
        <v>1</v>
      </c>
      <c r="E640" s="24">
        <v>2.7</v>
      </c>
      <c r="F640" s="24">
        <v>0</v>
      </c>
      <c r="G640" s="24">
        <v>1</v>
      </c>
      <c r="H640" s="24">
        <v>0</v>
      </c>
      <c r="I640" s="24">
        <v>0</v>
      </c>
      <c r="J640" s="24">
        <v>0</v>
      </c>
      <c r="K640" s="24">
        <v>0</v>
      </c>
      <c r="L640" s="24">
        <v>0</v>
      </c>
      <c r="M640" s="24">
        <v>0</v>
      </c>
    </row>
    <row r="641" spans="2:13" ht="14" x14ac:dyDescent="0.2">
      <c r="B641" s="24">
        <v>25</v>
      </c>
      <c r="C641" s="24">
        <v>43</v>
      </c>
      <c r="D641" s="24">
        <v>1</v>
      </c>
      <c r="E641" s="24">
        <v>1.4</v>
      </c>
      <c r="F641" s="24">
        <v>0</v>
      </c>
      <c r="G641" s="24">
        <v>0</v>
      </c>
      <c r="H641" s="24">
        <v>137</v>
      </c>
      <c r="I641" s="24">
        <v>0</v>
      </c>
      <c r="J641" s="24">
        <v>0</v>
      </c>
      <c r="K641" s="24">
        <v>1</v>
      </c>
      <c r="L641" s="24">
        <v>0</v>
      </c>
      <c r="M641" s="24">
        <v>0</v>
      </c>
    </row>
    <row r="642" spans="2:13" ht="14" x14ac:dyDescent="0.2">
      <c r="B642" s="24">
        <v>17</v>
      </c>
      <c r="C642" s="24">
        <v>63</v>
      </c>
      <c r="D642" s="24">
        <v>2</v>
      </c>
      <c r="E642" s="24">
        <v>2.2000000000000002</v>
      </c>
      <c r="F642" s="24">
        <v>0</v>
      </c>
      <c r="G642" s="24">
        <v>0</v>
      </c>
      <c r="H642" s="24">
        <v>0</v>
      </c>
      <c r="I642" s="24">
        <v>0</v>
      </c>
      <c r="J642" s="24">
        <v>0</v>
      </c>
      <c r="K642" s="24">
        <v>1</v>
      </c>
      <c r="L642" s="24">
        <v>0</v>
      </c>
      <c r="M642" s="24">
        <v>0</v>
      </c>
    </row>
    <row r="643" spans="2:13" ht="14" x14ac:dyDescent="0.2">
      <c r="B643" s="24">
        <v>0</v>
      </c>
      <c r="C643" s="24">
        <v>43</v>
      </c>
      <c r="D643" s="24">
        <v>2</v>
      </c>
      <c r="E643" s="24">
        <v>1.6</v>
      </c>
      <c r="F643" s="24">
        <v>0</v>
      </c>
      <c r="G643" s="24">
        <v>0</v>
      </c>
      <c r="H643" s="24">
        <v>0</v>
      </c>
      <c r="I643" s="24">
        <v>1</v>
      </c>
      <c r="J643" s="24">
        <v>1</v>
      </c>
      <c r="K643" s="24">
        <v>1</v>
      </c>
      <c r="L643" s="24">
        <v>1</v>
      </c>
      <c r="M643" s="24">
        <v>0</v>
      </c>
    </row>
    <row r="644" spans="2:13" ht="14" x14ac:dyDescent="0.2">
      <c r="B644" s="24">
        <v>9</v>
      </c>
      <c r="C644" s="24">
        <v>40</v>
      </c>
      <c r="D644" s="24">
        <v>3</v>
      </c>
      <c r="E644" s="24">
        <v>0.9</v>
      </c>
      <c r="F644" s="24">
        <v>1</v>
      </c>
      <c r="G644" s="24">
        <v>0</v>
      </c>
      <c r="H644" s="24">
        <v>0</v>
      </c>
      <c r="I644" s="24">
        <v>0</v>
      </c>
      <c r="J644" s="24">
        <v>0</v>
      </c>
      <c r="K644" s="24">
        <v>1</v>
      </c>
      <c r="L644" s="24">
        <v>0</v>
      </c>
      <c r="M644" s="24">
        <v>0</v>
      </c>
    </row>
    <row r="645" spans="2:13" ht="14" x14ac:dyDescent="0.2">
      <c r="B645" s="24">
        <v>24</v>
      </c>
      <c r="C645" s="24">
        <v>13</v>
      </c>
      <c r="D645" s="24">
        <v>1</v>
      </c>
      <c r="E645" s="24">
        <v>0.4</v>
      </c>
      <c r="F645" s="24">
        <v>0</v>
      </c>
      <c r="G645" s="24">
        <v>0</v>
      </c>
      <c r="H645" s="24">
        <v>101</v>
      </c>
      <c r="I645" s="24">
        <v>1</v>
      </c>
      <c r="J645" s="24">
        <v>0</v>
      </c>
      <c r="K645" s="24">
        <v>0</v>
      </c>
      <c r="L645" s="24">
        <v>0</v>
      </c>
      <c r="M645" s="24">
        <v>0</v>
      </c>
    </row>
    <row r="646" spans="2:13" ht="14" x14ac:dyDescent="0.2">
      <c r="B646" s="24">
        <v>20</v>
      </c>
      <c r="C646" s="24">
        <v>154</v>
      </c>
      <c r="D646" s="24">
        <v>2</v>
      </c>
      <c r="E646" s="24">
        <v>2.8</v>
      </c>
      <c r="F646" s="24">
        <v>1</v>
      </c>
      <c r="G646" s="24">
        <v>0</v>
      </c>
      <c r="H646" s="24">
        <v>0</v>
      </c>
      <c r="I646" s="24">
        <v>1</v>
      </c>
      <c r="J646" s="24">
        <v>0</v>
      </c>
      <c r="K646" s="24">
        <v>1</v>
      </c>
      <c r="L646" s="24">
        <v>0</v>
      </c>
      <c r="M646" s="24">
        <v>0</v>
      </c>
    </row>
    <row r="647" spans="2:13" ht="14" x14ac:dyDescent="0.2">
      <c r="B647" s="24">
        <v>33</v>
      </c>
      <c r="C647" s="24">
        <v>100</v>
      </c>
      <c r="D647" s="24">
        <v>2</v>
      </c>
      <c r="E647" s="24">
        <v>2</v>
      </c>
      <c r="F647" s="24">
        <v>1</v>
      </c>
      <c r="G647" s="24">
        <v>0</v>
      </c>
      <c r="H647" s="24">
        <v>127</v>
      </c>
      <c r="I647" s="24">
        <v>0</v>
      </c>
      <c r="J647" s="24">
        <v>0</v>
      </c>
      <c r="K647" s="24">
        <v>0</v>
      </c>
      <c r="L647" s="24">
        <v>0</v>
      </c>
      <c r="M647" s="24">
        <v>0</v>
      </c>
    </row>
    <row r="648" spans="2:13" ht="14" x14ac:dyDescent="0.2">
      <c r="B648" s="24">
        <v>31</v>
      </c>
      <c r="C648" s="24">
        <v>30</v>
      </c>
      <c r="D648" s="24">
        <v>2</v>
      </c>
      <c r="E648" s="24">
        <v>0.7</v>
      </c>
      <c r="F648" s="24">
        <v>0</v>
      </c>
      <c r="G648" s="24">
        <v>1</v>
      </c>
      <c r="H648" s="24">
        <v>145</v>
      </c>
      <c r="I648" s="24">
        <v>0</v>
      </c>
      <c r="J648" s="24">
        <v>0</v>
      </c>
      <c r="K648" s="24">
        <v>0</v>
      </c>
      <c r="L648" s="24">
        <v>0</v>
      </c>
      <c r="M648" s="24">
        <v>0</v>
      </c>
    </row>
    <row r="649" spans="2:13" ht="14" x14ac:dyDescent="0.2">
      <c r="B649" s="24">
        <v>26</v>
      </c>
      <c r="C649" s="24">
        <v>88</v>
      </c>
      <c r="D649" s="24">
        <v>1</v>
      </c>
      <c r="E649" s="24">
        <v>2.7</v>
      </c>
      <c r="F649" s="24">
        <v>1</v>
      </c>
      <c r="G649" s="24">
        <v>0</v>
      </c>
      <c r="H649" s="24">
        <v>0</v>
      </c>
      <c r="I649" s="24">
        <v>0</v>
      </c>
      <c r="J649" s="24">
        <v>0</v>
      </c>
      <c r="K649" s="24">
        <v>1</v>
      </c>
      <c r="L649" s="24">
        <v>0</v>
      </c>
      <c r="M649" s="24">
        <v>0</v>
      </c>
    </row>
    <row r="650" spans="2:13" ht="14" x14ac:dyDescent="0.2">
      <c r="B650" s="24">
        <v>18</v>
      </c>
      <c r="C650" s="24">
        <v>22</v>
      </c>
      <c r="D650" s="24">
        <v>2</v>
      </c>
      <c r="E650" s="24">
        <v>0.3</v>
      </c>
      <c r="F650" s="24">
        <v>0</v>
      </c>
      <c r="G650" s="24">
        <v>1</v>
      </c>
      <c r="H650" s="24">
        <v>0</v>
      </c>
      <c r="I650" s="24">
        <v>0</v>
      </c>
      <c r="J650" s="24">
        <v>0</v>
      </c>
      <c r="K650" s="24">
        <v>1</v>
      </c>
      <c r="L650" s="24">
        <v>0</v>
      </c>
      <c r="M650" s="24">
        <v>0</v>
      </c>
    </row>
    <row r="651" spans="2:13" ht="14" x14ac:dyDescent="0.2">
      <c r="B651" s="24">
        <v>3</v>
      </c>
      <c r="C651" s="24">
        <v>84</v>
      </c>
      <c r="D651" s="24">
        <v>4</v>
      </c>
      <c r="E651" s="24">
        <v>0.2</v>
      </c>
      <c r="F651" s="24">
        <v>1</v>
      </c>
      <c r="G651" s="24">
        <v>0</v>
      </c>
      <c r="H651" s="24">
        <v>0</v>
      </c>
      <c r="I651" s="24">
        <v>0</v>
      </c>
      <c r="J651" s="24">
        <v>0</v>
      </c>
      <c r="K651" s="24">
        <v>1</v>
      </c>
      <c r="L651" s="24">
        <v>1</v>
      </c>
      <c r="M651" s="24">
        <v>0</v>
      </c>
    </row>
    <row r="652" spans="2:13" ht="14" x14ac:dyDescent="0.2">
      <c r="B652" s="24">
        <v>26</v>
      </c>
      <c r="C652" s="24">
        <v>180</v>
      </c>
      <c r="D652" s="24">
        <v>1</v>
      </c>
      <c r="E652" s="24">
        <v>1</v>
      </c>
      <c r="F652" s="24">
        <v>1</v>
      </c>
      <c r="G652" s="24">
        <v>0</v>
      </c>
      <c r="H652" s="24">
        <v>0</v>
      </c>
      <c r="I652" s="24">
        <v>0</v>
      </c>
      <c r="J652" s="24">
        <v>0</v>
      </c>
      <c r="K652" s="24">
        <v>1</v>
      </c>
      <c r="L652" s="24">
        <v>1</v>
      </c>
      <c r="M652" s="24">
        <v>0</v>
      </c>
    </row>
    <row r="653" spans="2:13" ht="14" x14ac:dyDescent="0.2">
      <c r="B653" s="24">
        <v>3</v>
      </c>
      <c r="C653" s="24">
        <v>98</v>
      </c>
      <c r="D653" s="24">
        <v>2</v>
      </c>
      <c r="E653" s="24">
        <v>2.5</v>
      </c>
      <c r="F653" s="24">
        <v>1</v>
      </c>
      <c r="G653" s="24">
        <v>0</v>
      </c>
      <c r="H653" s="24">
        <v>361</v>
      </c>
      <c r="I653" s="24">
        <v>1</v>
      </c>
      <c r="J653" s="24">
        <v>1</v>
      </c>
      <c r="K653" s="24">
        <v>1</v>
      </c>
      <c r="L653" s="24">
        <v>1</v>
      </c>
      <c r="M653" s="24">
        <v>0</v>
      </c>
    </row>
    <row r="654" spans="2:13" ht="14" x14ac:dyDescent="0.2">
      <c r="B654" s="24">
        <v>22</v>
      </c>
      <c r="C654" s="24">
        <v>144</v>
      </c>
      <c r="D654" s="24">
        <v>2</v>
      </c>
      <c r="E654" s="24">
        <v>3.3</v>
      </c>
      <c r="F654" s="24">
        <v>1</v>
      </c>
      <c r="G654" s="24">
        <v>0</v>
      </c>
      <c r="H654" s="24">
        <v>0</v>
      </c>
      <c r="I654" s="24">
        <v>0</v>
      </c>
      <c r="J654" s="24">
        <v>0</v>
      </c>
      <c r="K654" s="24">
        <v>1</v>
      </c>
      <c r="L654" s="24">
        <v>1</v>
      </c>
      <c r="M654" s="24">
        <v>0</v>
      </c>
    </row>
    <row r="655" spans="2:13" ht="14" x14ac:dyDescent="0.2">
      <c r="B655" s="24">
        <v>32</v>
      </c>
      <c r="C655" s="24">
        <v>174</v>
      </c>
      <c r="D655" s="24">
        <v>1</v>
      </c>
      <c r="E655" s="24">
        <v>6.8</v>
      </c>
      <c r="F655" s="24">
        <v>0</v>
      </c>
      <c r="G655" s="24">
        <v>1</v>
      </c>
      <c r="H655" s="24">
        <v>466</v>
      </c>
      <c r="I655" s="24">
        <v>0</v>
      </c>
      <c r="J655" s="24">
        <v>0</v>
      </c>
      <c r="K655" s="24">
        <v>1</v>
      </c>
      <c r="L655" s="24">
        <v>0</v>
      </c>
      <c r="M655" s="24">
        <v>1</v>
      </c>
    </row>
    <row r="656" spans="2:13" ht="14" x14ac:dyDescent="0.2">
      <c r="B656" s="24">
        <v>3</v>
      </c>
      <c r="C656" s="24">
        <v>170</v>
      </c>
      <c r="D656" s="24">
        <v>1</v>
      </c>
      <c r="E656" s="24">
        <v>0.1</v>
      </c>
      <c r="F656" s="24">
        <v>0</v>
      </c>
      <c r="G656" s="24">
        <v>0</v>
      </c>
      <c r="H656" s="24">
        <v>0</v>
      </c>
      <c r="I656" s="24">
        <v>0</v>
      </c>
      <c r="J656" s="24">
        <v>0</v>
      </c>
      <c r="K656" s="24">
        <v>0</v>
      </c>
      <c r="L656" s="24">
        <v>0</v>
      </c>
      <c r="M656" s="24">
        <v>1</v>
      </c>
    </row>
    <row r="657" spans="2:13" ht="14" x14ac:dyDescent="0.2">
      <c r="B657" s="24">
        <v>35</v>
      </c>
      <c r="C657" s="24">
        <v>102</v>
      </c>
      <c r="D657" s="24">
        <v>4</v>
      </c>
      <c r="E657" s="24">
        <v>3</v>
      </c>
      <c r="F657" s="24">
        <v>0</v>
      </c>
      <c r="G657" s="24">
        <v>1</v>
      </c>
      <c r="H657" s="24">
        <v>115</v>
      </c>
      <c r="I657" s="24">
        <v>0</v>
      </c>
      <c r="J657" s="24">
        <v>0</v>
      </c>
      <c r="K657" s="24">
        <v>1</v>
      </c>
      <c r="L657" s="24">
        <v>0</v>
      </c>
      <c r="M657" s="24">
        <v>1</v>
      </c>
    </row>
    <row r="658" spans="2:13" ht="14" x14ac:dyDescent="0.2">
      <c r="B658" s="24">
        <v>30</v>
      </c>
      <c r="C658" s="24">
        <v>40</v>
      </c>
      <c r="D658" s="24">
        <v>2</v>
      </c>
      <c r="E658" s="24">
        <v>2.2999999999999998</v>
      </c>
      <c r="F658" s="24">
        <v>0</v>
      </c>
      <c r="G658" s="24">
        <v>0</v>
      </c>
      <c r="H658" s="24">
        <v>0</v>
      </c>
      <c r="I658" s="24">
        <v>0</v>
      </c>
      <c r="J658" s="24">
        <v>0</v>
      </c>
      <c r="K658" s="24">
        <v>1</v>
      </c>
      <c r="L658" s="24">
        <v>0</v>
      </c>
      <c r="M658" s="24">
        <v>0</v>
      </c>
    </row>
    <row r="659" spans="2:13" ht="14" x14ac:dyDescent="0.2">
      <c r="B659" s="24">
        <v>38</v>
      </c>
      <c r="C659" s="24">
        <v>103</v>
      </c>
      <c r="D659" s="24">
        <v>1</v>
      </c>
      <c r="E659" s="24">
        <v>2.5</v>
      </c>
      <c r="F659" s="24">
        <v>1</v>
      </c>
      <c r="G659" s="24">
        <v>0</v>
      </c>
      <c r="H659" s="24">
        <v>0</v>
      </c>
      <c r="I659" s="24">
        <v>0</v>
      </c>
      <c r="J659" s="24">
        <v>0</v>
      </c>
      <c r="K659" s="24">
        <v>1</v>
      </c>
      <c r="L659" s="24">
        <v>0</v>
      </c>
      <c r="M659" s="24">
        <v>0</v>
      </c>
    </row>
    <row r="660" spans="2:13" ht="14" x14ac:dyDescent="0.2">
      <c r="B660" s="24">
        <v>12</v>
      </c>
      <c r="C660" s="24">
        <v>150</v>
      </c>
      <c r="D660" s="24">
        <v>4</v>
      </c>
      <c r="E660" s="24">
        <v>5.4</v>
      </c>
      <c r="F660" s="24">
        <v>1</v>
      </c>
      <c r="G660" s="24">
        <v>0</v>
      </c>
      <c r="H660" s="24">
        <v>0</v>
      </c>
      <c r="I660" s="24">
        <v>1</v>
      </c>
      <c r="J660" s="24">
        <v>1</v>
      </c>
      <c r="K660" s="24">
        <v>1</v>
      </c>
      <c r="L660" s="24">
        <v>0</v>
      </c>
      <c r="M660" s="24">
        <v>1</v>
      </c>
    </row>
    <row r="661" spans="2:13" ht="14" x14ac:dyDescent="0.2">
      <c r="B661" s="24">
        <v>22</v>
      </c>
      <c r="C661" s="24">
        <v>139</v>
      </c>
      <c r="D661" s="24">
        <v>1</v>
      </c>
      <c r="E661" s="24">
        <v>0</v>
      </c>
      <c r="F661" s="24">
        <v>1</v>
      </c>
      <c r="G661" s="24">
        <v>0</v>
      </c>
      <c r="H661" s="24">
        <v>0</v>
      </c>
      <c r="I661" s="24">
        <v>0</v>
      </c>
      <c r="J661" s="24">
        <v>1</v>
      </c>
      <c r="K661" s="24">
        <v>1</v>
      </c>
      <c r="L661" s="24">
        <v>1</v>
      </c>
      <c r="M661" s="24">
        <v>0</v>
      </c>
    </row>
    <row r="662" spans="2:13" ht="14" x14ac:dyDescent="0.2">
      <c r="B662" s="24">
        <v>3</v>
      </c>
      <c r="C662" s="24">
        <v>201</v>
      </c>
      <c r="D662" s="24">
        <v>1</v>
      </c>
      <c r="E662" s="24">
        <v>6.3333333333333304</v>
      </c>
      <c r="F662" s="24">
        <v>1</v>
      </c>
      <c r="G662" s="24">
        <v>0</v>
      </c>
      <c r="H662" s="24">
        <v>158</v>
      </c>
      <c r="I662" s="24">
        <v>0</v>
      </c>
      <c r="J662" s="24">
        <v>0</v>
      </c>
      <c r="K662" s="24">
        <v>1</v>
      </c>
      <c r="L662" s="24">
        <v>0</v>
      </c>
      <c r="M662" s="24">
        <v>0</v>
      </c>
    </row>
    <row r="663" spans="2:13" ht="14" x14ac:dyDescent="0.2">
      <c r="B663" s="24">
        <v>20</v>
      </c>
      <c r="C663" s="24">
        <v>25</v>
      </c>
      <c r="D663" s="24">
        <v>4</v>
      </c>
      <c r="E663" s="24">
        <v>0.4</v>
      </c>
      <c r="F663" s="24">
        <v>0</v>
      </c>
      <c r="G663" s="24">
        <v>0</v>
      </c>
      <c r="H663" s="24">
        <v>0</v>
      </c>
      <c r="I663" s="24">
        <v>0</v>
      </c>
      <c r="J663" s="24">
        <v>0</v>
      </c>
      <c r="K663" s="24">
        <v>1</v>
      </c>
      <c r="L663" s="24">
        <v>0</v>
      </c>
      <c r="M663" s="24">
        <v>0</v>
      </c>
    </row>
    <row r="664" spans="2:13" ht="14" x14ac:dyDescent="0.2">
      <c r="B664" s="24">
        <v>6</v>
      </c>
      <c r="C664" s="24">
        <v>99</v>
      </c>
      <c r="D664" s="24">
        <v>2</v>
      </c>
      <c r="E664" s="24">
        <v>1.5</v>
      </c>
      <c r="F664" s="24">
        <v>0</v>
      </c>
      <c r="G664" s="24">
        <v>0</v>
      </c>
      <c r="H664" s="24">
        <v>0</v>
      </c>
      <c r="I664" s="24">
        <v>0</v>
      </c>
      <c r="J664" s="24">
        <v>0</v>
      </c>
      <c r="K664" s="24">
        <v>0</v>
      </c>
      <c r="L664" s="24">
        <v>1</v>
      </c>
      <c r="M664" s="24">
        <v>0</v>
      </c>
    </row>
    <row r="665" spans="2:13" ht="14" x14ac:dyDescent="0.2">
      <c r="B665" s="24">
        <v>18</v>
      </c>
      <c r="C665" s="24">
        <v>50</v>
      </c>
      <c r="D665" s="24">
        <v>4</v>
      </c>
      <c r="E665" s="24">
        <v>2.2000000000000002</v>
      </c>
      <c r="F665" s="24">
        <v>0</v>
      </c>
      <c r="G665" s="24">
        <v>1</v>
      </c>
      <c r="H665" s="24">
        <v>0</v>
      </c>
      <c r="I665" s="24">
        <v>0</v>
      </c>
      <c r="J665" s="24">
        <v>0</v>
      </c>
      <c r="K665" s="24">
        <v>0</v>
      </c>
      <c r="L665" s="24">
        <v>0</v>
      </c>
      <c r="M665" s="24">
        <v>0</v>
      </c>
    </row>
    <row r="666" spans="2:13" ht="14" x14ac:dyDescent="0.2">
      <c r="B666" s="24">
        <v>35</v>
      </c>
      <c r="C666" s="24">
        <v>154</v>
      </c>
      <c r="D666" s="24">
        <v>2</v>
      </c>
      <c r="E666" s="24">
        <v>6.9</v>
      </c>
      <c r="F666" s="24">
        <v>1</v>
      </c>
      <c r="G666" s="24">
        <v>0</v>
      </c>
      <c r="H666" s="24">
        <v>0</v>
      </c>
      <c r="I666" s="24">
        <v>0</v>
      </c>
      <c r="J666" s="24">
        <v>0</v>
      </c>
      <c r="K666" s="24">
        <v>0</v>
      </c>
      <c r="L666" s="24">
        <v>0</v>
      </c>
      <c r="M666" s="24">
        <v>0</v>
      </c>
    </row>
    <row r="667" spans="2:13" ht="14" x14ac:dyDescent="0.2">
      <c r="B667" s="24">
        <v>12</v>
      </c>
      <c r="C667" s="24">
        <v>125</v>
      </c>
      <c r="D667" s="24">
        <v>2</v>
      </c>
      <c r="E667" s="24">
        <v>3.9</v>
      </c>
      <c r="F667" s="24">
        <v>1</v>
      </c>
      <c r="G667" s="24">
        <v>0</v>
      </c>
      <c r="H667" s="24">
        <v>0</v>
      </c>
      <c r="I667" s="24">
        <v>0</v>
      </c>
      <c r="J667" s="24">
        <v>0</v>
      </c>
      <c r="K667" s="24">
        <v>1</v>
      </c>
      <c r="L667" s="24">
        <v>1</v>
      </c>
      <c r="M667" s="24">
        <v>0</v>
      </c>
    </row>
    <row r="668" spans="2:13" ht="14" x14ac:dyDescent="0.2">
      <c r="B668" s="24">
        <v>28</v>
      </c>
      <c r="C668" s="24">
        <v>74</v>
      </c>
      <c r="D668" s="24">
        <v>3</v>
      </c>
      <c r="E668" s="24">
        <v>2</v>
      </c>
      <c r="F668" s="24">
        <v>0</v>
      </c>
      <c r="G668" s="24">
        <v>1</v>
      </c>
      <c r="H668" s="24">
        <v>0</v>
      </c>
      <c r="I668" s="24">
        <v>1</v>
      </c>
      <c r="J668" s="24">
        <v>0</v>
      </c>
      <c r="K668" s="24">
        <v>0</v>
      </c>
      <c r="L668" s="24">
        <v>0</v>
      </c>
      <c r="M668" s="24">
        <v>0</v>
      </c>
    </row>
    <row r="669" spans="2:13" ht="14" x14ac:dyDescent="0.2">
      <c r="B669" s="24">
        <v>17</v>
      </c>
      <c r="C669" s="24">
        <v>51</v>
      </c>
      <c r="D669" s="24">
        <v>2</v>
      </c>
      <c r="E669" s="24">
        <v>0.6</v>
      </c>
      <c r="F669" s="24">
        <v>0</v>
      </c>
      <c r="G669" s="24">
        <v>0</v>
      </c>
      <c r="H669" s="24">
        <v>0</v>
      </c>
      <c r="I669" s="24">
        <v>0</v>
      </c>
      <c r="J669" s="24">
        <v>0</v>
      </c>
      <c r="K669" s="24">
        <v>0</v>
      </c>
      <c r="L669" s="24">
        <v>1</v>
      </c>
      <c r="M669" s="24">
        <v>0</v>
      </c>
    </row>
    <row r="670" spans="2:13" ht="14" x14ac:dyDescent="0.2">
      <c r="B670" s="24">
        <v>7</v>
      </c>
      <c r="C670" s="24">
        <v>52</v>
      </c>
      <c r="D670" s="24">
        <v>2</v>
      </c>
      <c r="E670" s="24">
        <v>0.1</v>
      </c>
      <c r="F670" s="24">
        <v>1</v>
      </c>
      <c r="G670" s="24">
        <v>0</v>
      </c>
      <c r="H670" s="24">
        <v>0</v>
      </c>
      <c r="I670" s="24">
        <v>0</v>
      </c>
      <c r="J670" s="24">
        <v>0</v>
      </c>
      <c r="K670" s="24">
        <v>1</v>
      </c>
      <c r="L670" s="24">
        <v>0</v>
      </c>
      <c r="M670" s="24">
        <v>0</v>
      </c>
    </row>
    <row r="671" spans="2:13" ht="14" x14ac:dyDescent="0.2">
      <c r="B671" s="24">
        <v>10</v>
      </c>
      <c r="C671" s="24">
        <v>134</v>
      </c>
      <c r="D671" s="24">
        <v>1</v>
      </c>
      <c r="E671" s="24">
        <v>4</v>
      </c>
      <c r="F671" s="24">
        <v>1</v>
      </c>
      <c r="G671" s="24">
        <v>0</v>
      </c>
      <c r="H671" s="24">
        <v>0</v>
      </c>
      <c r="I671" s="24">
        <v>0</v>
      </c>
      <c r="J671" s="24">
        <v>0</v>
      </c>
      <c r="K671" s="24">
        <v>0</v>
      </c>
      <c r="L671" s="24">
        <v>0</v>
      </c>
      <c r="M671" s="24">
        <v>0</v>
      </c>
    </row>
    <row r="672" spans="2:13" ht="14" x14ac:dyDescent="0.2">
      <c r="B672" s="24">
        <v>15</v>
      </c>
      <c r="C672" s="24">
        <v>173</v>
      </c>
      <c r="D672" s="24">
        <v>4</v>
      </c>
      <c r="E672" s="24">
        <v>6.6</v>
      </c>
      <c r="F672" s="24">
        <v>1</v>
      </c>
      <c r="G672" s="24">
        <v>0</v>
      </c>
      <c r="H672" s="24">
        <v>0</v>
      </c>
      <c r="I672" s="24">
        <v>0</v>
      </c>
      <c r="J672" s="24">
        <v>1</v>
      </c>
      <c r="K672" s="24">
        <v>1</v>
      </c>
      <c r="L672" s="24">
        <v>1</v>
      </c>
      <c r="M672" s="24">
        <v>1</v>
      </c>
    </row>
    <row r="673" spans="2:13" ht="14" x14ac:dyDescent="0.2">
      <c r="B673" s="24">
        <v>38</v>
      </c>
      <c r="C673" s="24">
        <v>115</v>
      </c>
      <c r="D673" s="24">
        <v>1</v>
      </c>
      <c r="E673" s="24">
        <v>2</v>
      </c>
      <c r="F673" s="24">
        <v>1</v>
      </c>
      <c r="G673" s="24">
        <v>0</v>
      </c>
      <c r="H673" s="24">
        <v>0</v>
      </c>
      <c r="I673" s="24">
        <v>0</v>
      </c>
      <c r="J673" s="24">
        <v>0</v>
      </c>
      <c r="K673" s="24">
        <v>1</v>
      </c>
      <c r="L673" s="24">
        <v>1</v>
      </c>
      <c r="M673" s="24">
        <v>0</v>
      </c>
    </row>
    <row r="674" spans="2:13" ht="14" x14ac:dyDescent="0.2">
      <c r="B674" s="24">
        <v>18</v>
      </c>
      <c r="C674" s="24">
        <v>83</v>
      </c>
      <c r="D674" s="24">
        <v>3</v>
      </c>
      <c r="E674" s="24">
        <v>0.5</v>
      </c>
      <c r="F674" s="24">
        <v>0</v>
      </c>
      <c r="G674" s="24">
        <v>0</v>
      </c>
      <c r="H674" s="24">
        <v>0</v>
      </c>
      <c r="I674" s="24">
        <v>0</v>
      </c>
      <c r="J674" s="24">
        <v>0</v>
      </c>
      <c r="K674" s="24">
        <v>0</v>
      </c>
      <c r="L674" s="24">
        <v>1</v>
      </c>
      <c r="M674" s="24">
        <v>0</v>
      </c>
    </row>
    <row r="675" spans="2:13" ht="14" x14ac:dyDescent="0.2">
      <c r="B675" s="24">
        <v>30</v>
      </c>
      <c r="C675" s="24">
        <v>45</v>
      </c>
      <c r="D675" s="24">
        <v>4</v>
      </c>
      <c r="E675" s="24">
        <v>1.1000000000000001</v>
      </c>
      <c r="F675" s="24">
        <v>0</v>
      </c>
      <c r="G675" s="24">
        <v>1</v>
      </c>
      <c r="H675" s="24">
        <v>205</v>
      </c>
      <c r="I675" s="24">
        <v>0</v>
      </c>
      <c r="J675" s="24">
        <v>0</v>
      </c>
      <c r="K675" s="24">
        <v>1</v>
      </c>
      <c r="L675" s="24">
        <v>0</v>
      </c>
      <c r="M675" s="24">
        <v>0</v>
      </c>
    </row>
    <row r="676" spans="2:13" ht="14" x14ac:dyDescent="0.2">
      <c r="B676" s="24">
        <v>11</v>
      </c>
      <c r="C676" s="24">
        <v>40</v>
      </c>
      <c r="D676" s="24">
        <v>2</v>
      </c>
      <c r="E676" s="24">
        <v>1.1000000000000001</v>
      </c>
      <c r="F676" s="24">
        <v>0</v>
      </c>
      <c r="G676" s="24">
        <v>1</v>
      </c>
      <c r="H676" s="24">
        <v>166</v>
      </c>
      <c r="I676" s="24">
        <v>1</v>
      </c>
      <c r="J676" s="24">
        <v>0</v>
      </c>
      <c r="K676" s="24">
        <v>0</v>
      </c>
      <c r="L676" s="24">
        <v>0</v>
      </c>
      <c r="M676" s="24">
        <v>0</v>
      </c>
    </row>
    <row r="677" spans="2:13" ht="14" x14ac:dyDescent="0.2">
      <c r="B677" s="24">
        <v>0</v>
      </c>
      <c r="C677" s="24">
        <v>65</v>
      </c>
      <c r="D677" s="24">
        <v>4</v>
      </c>
      <c r="E677" s="24">
        <v>0.2</v>
      </c>
      <c r="F677" s="24">
        <v>1</v>
      </c>
      <c r="G677" s="24">
        <v>0</v>
      </c>
      <c r="H677" s="24">
        <v>0</v>
      </c>
      <c r="I677" s="24">
        <v>1</v>
      </c>
      <c r="J677" s="24">
        <v>0</v>
      </c>
      <c r="K677" s="24">
        <v>0</v>
      </c>
      <c r="L677" s="24">
        <v>0</v>
      </c>
      <c r="M677" s="24">
        <v>0</v>
      </c>
    </row>
    <row r="678" spans="2:13" ht="14" x14ac:dyDescent="0.2">
      <c r="B678" s="24">
        <v>28</v>
      </c>
      <c r="C678" s="24">
        <v>145</v>
      </c>
      <c r="D678" s="24">
        <v>2</v>
      </c>
      <c r="E678" s="24">
        <v>6.8</v>
      </c>
      <c r="F678" s="24">
        <v>1</v>
      </c>
      <c r="G678" s="24">
        <v>0</v>
      </c>
      <c r="H678" s="24">
        <v>0</v>
      </c>
      <c r="I678" s="24">
        <v>0</v>
      </c>
      <c r="J678" s="24">
        <v>0</v>
      </c>
      <c r="K678" s="24">
        <v>1</v>
      </c>
      <c r="L678" s="24">
        <v>0</v>
      </c>
      <c r="M678" s="24">
        <v>0</v>
      </c>
    </row>
    <row r="679" spans="2:13" ht="14" x14ac:dyDescent="0.2">
      <c r="B679" s="24">
        <v>19</v>
      </c>
      <c r="C679" s="24">
        <v>22</v>
      </c>
      <c r="D679" s="24">
        <v>1</v>
      </c>
      <c r="E679" s="24">
        <v>0.2</v>
      </c>
      <c r="F679" s="24">
        <v>1</v>
      </c>
      <c r="G679" s="24">
        <v>0</v>
      </c>
      <c r="H679" s="24">
        <v>0</v>
      </c>
      <c r="I679" s="24">
        <v>0</v>
      </c>
      <c r="J679" s="24">
        <v>0</v>
      </c>
      <c r="K679" s="24">
        <v>1</v>
      </c>
      <c r="L679" s="24">
        <v>0</v>
      </c>
      <c r="M679" s="24">
        <v>0</v>
      </c>
    </row>
    <row r="680" spans="2:13" ht="14" x14ac:dyDescent="0.2">
      <c r="B680" s="24">
        <v>22</v>
      </c>
      <c r="C680" s="24">
        <v>71</v>
      </c>
      <c r="D680" s="24">
        <v>1</v>
      </c>
      <c r="E680" s="24">
        <v>1.4</v>
      </c>
      <c r="F680" s="24">
        <v>0</v>
      </c>
      <c r="G680" s="24">
        <v>0</v>
      </c>
      <c r="H680" s="24">
        <v>0</v>
      </c>
      <c r="I680" s="24">
        <v>0</v>
      </c>
      <c r="J680" s="24">
        <v>0</v>
      </c>
      <c r="K680" s="24">
        <v>0</v>
      </c>
      <c r="L680" s="24">
        <v>1</v>
      </c>
      <c r="M680" s="24">
        <v>0</v>
      </c>
    </row>
    <row r="681" spans="2:13" ht="14" x14ac:dyDescent="0.2">
      <c r="B681" s="24">
        <v>22</v>
      </c>
      <c r="C681" s="24">
        <v>93</v>
      </c>
      <c r="D681" s="24">
        <v>1</v>
      </c>
      <c r="E681" s="24">
        <v>0.2</v>
      </c>
      <c r="F681" s="24">
        <v>0</v>
      </c>
      <c r="G681" s="24">
        <v>1</v>
      </c>
      <c r="H681" s="24">
        <v>309</v>
      </c>
      <c r="I681" s="24">
        <v>0</v>
      </c>
      <c r="J681" s="24">
        <v>0</v>
      </c>
      <c r="K681" s="24">
        <v>1</v>
      </c>
      <c r="L681" s="24">
        <v>0</v>
      </c>
      <c r="M681" s="24">
        <v>0</v>
      </c>
    </row>
    <row r="682" spans="2:13" ht="14" x14ac:dyDescent="0.2">
      <c r="B682" s="24">
        <v>18</v>
      </c>
      <c r="C682" s="24">
        <v>40</v>
      </c>
      <c r="D682" s="24">
        <v>3</v>
      </c>
      <c r="E682" s="24">
        <v>1</v>
      </c>
      <c r="F682" s="24">
        <v>0</v>
      </c>
      <c r="G682" s="24">
        <v>1</v>
      </c>
      <c r="H682" s="24">
        <v>0</v>
      </c>
      <c r="I682" s="24">
        <v>0</v>
      </c>
      <c r="J682" s="24">
        <v>0</v>
      </c>
      <c r="K682" s="24">
        <v>1</v>
      </c>
      <c r="L682" s="24">
        <v>0</v>
      </c>
      <c r="M682" s="24">
        <v>0</v>
      </c>
    </row>
    <row r="683" spans="2:13" ht="14" x14ac:dyDescent="0.2">
      <c r="B683" s="24">
        <v>25</v>
      </c>
      <c r="C683" s="24">
        <v>53</v>
      </c>
      <c r="D683" s="24">
        <v>2</v>
      </c>
      <c r="E683" s="24">
        <v>1</v>
      </c>
      <c r="F683" s="24">
        <v>0</v>
      </c>
      <c r="G683" s="24">
        <v>0</v>
      </c>
      <c r="H683" s="24">
        <v>181</v>
      </c>
      <c r="I683" s="24">
        <v>0</v>
      </c>
      <c r="J683" s="24">
        <v>0</v>
      </c>
      <c r="K683" s="24">
        <v>0</v>
      </c>
      <c r="L683" s="24">
        <v>0</v>
      </c>
      <c r="M683" s="24">
        <v>0</v>
      </c>
    </row>
    <row r="684" spans="2:13" ht="14" x14ac:dyDescent="0.2">
      <c r="B684" s="24">
        <v>5</v>
      </c>
      <c r="C684" s="24">
        <v>32</v>
      </c>
      <c r="D684" s="24">
        <v>2</v>
      </c>
      <c r="E684" s="24">
        <v>0.3</v>
      </c>
      <c r="F684" s="24">
        <v>0</v>
      </c>
      <c r="G684" s="24">
        <v>1</v>
      </c>
      <c r="H684" s="24">
        <v>130</v>
      </c>
      <c r="I684" s="24">
        <v>0</v>
      </c>
      <c r="J684" s="24">
        <v>0</v>
      </c>
      <c r="K684" s="24">
        <v>1</v>
      </c>
      <c r="L684" s="24">
        <v>0</v>
      </c>
      <c r="M684" s="24">
        <v>0</v>
      </c>
    </row>
    <row r="685" spans="2:13" ht="14" x14ac:dyDescent="0.2">
      <c r="B685" s="24">
        <v>11</v>
      </c>
      <c r="C685" s="24">
        <v>42</v>
      </c>
      <c r="D685" s="24">
        <v>1</v>
      </c>
      <c r="E685" s="24">
        <v>1.5</v>
      </c>
      <c r="F685" s="24">
        <v>0</v>
      </c>
      <c r="G685" s="24">
        <v>0</v>
      </c>
      <c r="H685" s="24">
        <v>0</v>
      </c>
      <c r="I685" s="24">
        <v>0</v>
      </c>
      <c r="J685" s="24">
        <v>0</v>
      </c>
      <c r="K685" s="24">
        <v>1</v>
      </c>
      <c r="L685" s="24">
        <v>0</v>
      </c>
      <c r="M685" s="24">
        <v>0</v>
      </c>
    </row>
    <row r="686" spans="2:13" ht="14" x14ac:dyDescent="0.2">
      <c r="B686" s="24">
        <v>5</v>
      </c>
      <c r="C686" s="24">
        <v>82</v>
      </c>
      <c r="D686" s="24">
        <v>4</v>
      </c>
      <c r="E686" s="24">
        <v>2.2000000000000002</v>
      </c>
      <c r="F686" s="24">
        <v>0</v>
      </c>
      <c r="G686" s="24">
        <v>1</v>
      </c>
      <c r="H686" s="24">
        <v>0</v>
      </c>
      <c r="I686" s="24">
        <v>0</v>
      </c>
      <c r="J686" s="24">
        <v>0</v>
      </c>
      <c r="K686" s="24">
        <v>0</v>
      </c>
      <c r="L686" s="24">
        <v>0</v>
      </c>
      <c r="M686" s="24">
        <v>0</v>
      </c>
    </row>
    <row r="687" spans="2:13" ht="14" x14ac:dyDescent="0.2">
      <c r="B687" s="24">
        <v>13</v>
      </c>
      <c r="C687" s="24">
        <v>58</v>
      </c>
      <c r="D687" s="24">
        <v>2</v>
      </c>
      <c r="E687" s="24">
        <v>2.4</v>
      </c>
      <c r="F687" s="24">
        <v>0</v>
      </c>
      <c r="G687" s="24">
        <v>1</v>
      </c>
      <c r="H687" s="24">
        <v>0</v>
      </c>
      <c r="I687" s="24">
        <v>0</v>
      </c>
      <c r="J687" s="24">
        <v>0</v>
      </c>
      <c r="K687" s="24">
        <v>1</v>
      </c>
      <c r="L687" s="24">
        <v>0</v>
      </c>
      <c r="M687" s="24">
        <v>0</v>
      </c>
    </row>
    <row r="688" spans="2:13" ht="14" x14ac:dyDescent="0.2">
      <c r="B688" s="24">
        <v>32</v>
      </c>
      <c r="C688" s="24">
        <v>34</v>
      </c>
      <c r="D688" s="24">
        <v>2</v>
      </c>
      <c r="E688" s="24">
        <v>2</v>
      </c>
      <c r="F688" s="24">
        <v>0</v>
      </c>
      <c r="G688" s="24">
        <v>1</v>
      </c>
      <c r="H688" s="24">
        <v>0</v>
      </c>
      <c r="I688" s="24">
        <v>1</v>
      </c>
      <c r="J688" s="24">
        <v>0</v>
      </c>
      <c r="K688" s="24">
        <v>0</v>
      </c>
      <c r="L688" s="24">
        <v>0</v>
      </c>
      <c r="M688" s="24">
        <v>0</v>
      </c>
    </row>
    <row r="689" spans="2:13" ht="14" x14ac:dyDescent="0.2">
      <c r="B689" s="24">
        <v>35</v>
      </c>
      <c r="C689" s="24">
        <v>121</v>
      </c>
      <c r="D689" s="24">
        <v>1</v>
      </c>
      <c r="E689" s="24">
        <v>2.9</v>
      </c>
      <c r="F689" s="24">
        <v>1</v>
      </c>
      <c r="G689" s="24">
        <v>0</v>
      </c>
      <c r="H689" s="24">
        <v>0</v>
      </c>
      <c r="I689" s="24">
        <v>0</v>
      </c>
      <c r="J689" s="24">
        <v>0</v>
      </c>
      <c r="K689" s="24">
        <v>0</v>
      </c>
      <c r="L689" s="24">
        <v>1</v>
      </c>
      <c r="M689" s="24">
        <v>0</v>
      </c>
    </row>
    <row r="690" spans="2:13" ht="14" x14ac:dyDescent="0.2">
      <c r="B690" s="24">
        <v>11</v>
      </c>
      <c r="C690" s="24">
        <v>183</v>
      </c>
      <c r="D690" s="24">
        <v>1</v>
      </c>
      <c r="E690" s="24">
        <v>3</v>
      </c>
      <c r="F690" s="24">
        <v>0</v>
      </c>
      <c r="G690" s="24">
        <v>0</v>
      </c>
      <c r="H690" s="24">
        <v>0</v>
      </c>
      <c r="I690" s="24">
        <v>0</v>
      </c>
      <c r="J690" s="24">
        <v>1</v>
      </c>
      <c r="K690" s="24">
        <v>1</v>
      </c>
      <c r="L690" s="24">
        <v>1</v>
      </c>
      <c r="M690" s="24">
        <v>1</v>
      </c>
    </row>
    <row r="691" spans="2:13" ht="14" x14ac:dyDescent="0.2">
      <c r="B691" s="24">
        <v>5</v>
      </c>
      <c r="C691" s="24">
        <v>121</v>
      </c>
      <c r="D691" s="24">
        <v>2</v>
      </c>
      <c r="E691" s="24">
        <v>3.3</v>
      </c>
      <c r="F691" s="24">
        <v>1</v>
      </c>
      <c r="G691" s="24">
        <v>0</v>
      </c>
      <c r="H691" s="24">
        <v>0</v>
      </c>
      <c r="I691" s="24">
        <v>0</v>
      </c>
      <c r="J691" s="24">
        <v>0</v>
      </c>
      <c r="K691" s="24">
        <v>0</v>
      </c>
      <c r="L691" s="24">
        <v>1</v>
      </c>
      <c r="M691" s="24">
        <v>0</v>
      </c>
    </row>
    <row r="692" spans="2:13" ht="14" x14ac:dyDescent="0.2">
      <c r="B692" s="24">
        <v>39</v>
      </c>
      <c r="C692" s="24">
        <v>38</v>
      </c>
      <c r="D692" s="24">
        <v>1</v>
      </c>
      <c r="E692" s="24">
        <v>1.1000000000000001</v>
      </c>
      <c r="F692" s="24">
        <v>0</v>
      </c>
      <c r="G692" s="24">
        <v>0</v>
      </c>
      <c r="H692" s="24">
        <v>108</v>
      </c>
      <c r="I692" s="24">
        <v>0</v>
      </c>
      <c r="J692" s="24">
        <v>0</v>
      </c>
      <c r="K692" s="24">
        <v>0</v>
      </c>
      <c r="L692" s="24">
        <v>0</v>
      </c>
      <c r="M692" s="24">
        <v>0</v>
      </c>
    </row>
    <row r="693" spans="2:13" ht="14" x14ac:dyDescent="0.2">
      <c r="B693" s="24">
        <v>6</v>
      </c>
      <c r="C693" s="24">
        <v>49</v>
      </c>
      <c r="D693" s="24">
        <v>3</v>
      </c>
      <c r="E693" s="24">
        <v>0.7</v>
      </c>
      <c r="F693" s="24">
        <v>0</v>
      </c>
      <c r="G693" s="24">
        <v>1</v>
      </c>
      <c r="H693" s="24">
        <v>196</v>
      </c>
      <c r="I693" s="24">
        <v>0</v>
      </c>
      <c r="J693" s="24">
        <v>0</v>
      </c>
      <c r="K693" s="24">
        <v>0</v>
      </c>
      <c r="L693" s="24">
        <v>1</v>
      </c>
      <c r="M693" s="24">
        <v>0</v>
      </c>
    </row>
    <row r="694" spans="2:13" ht="14" x14ac:dyDescent="0.2">
      <c r="B694" s="24">
        <v>31</v>
      </c>
      <c r="C694" s="24">
        <v>62</v>
      </c>
      <c r="D694" s="24">
        <v>1</v>
      </c>
      <c r="E694" s="24">
        <v>1.8</v>
      </c>
      <c r="F694" s="24">
        <v>0</v>
      </c>
      <c r="G694" s="24">
        <v>0</v>
      </c>
      <c r="H694" s="24">
        <v>0</v>
      </c>
      <c r="I694" s="24">
        <v>0</v>
      </c>
      <c r="J694" s="24">
        <v>0</v>
      </c>
      <c r="K694" s="24">
        <v>1</v>
      </c>
      <c r="L694" s="24">
        <v>0</v>
      </c>
      <c r="M694" s="24">
        <v>0</v>
      </c>
    </row>
    <row r="695" spans="2:13" ht="14" x14ac:dyDescent="0.2">
      <c r="B695" s="24">
        <v>38</v>
      </c>
      <c r="C695" s="24">
        <v>53</v>
      </c>
      <c r="D695" s="24">
        <v>1</v>
      </c>
      <c r="E695" s="24">
        <v>0</v>
      </c>
      <c r="F695" s="24">
        <v>0</v>
      </c>
      <c r="G695" s="24">
        <v>1</v>
      </c>
      <c r="H695" s="24">
        <v>0</v>
      </c>
      <c r="I695" s="24">
        <v>0</v>
      </c>
      <c r="J695" s="24">
        <v>0</v>
      </c>
      <c r="K695" s="24">
        <v>0</v>
      </c>
      <c r="L695" s="24">
        <v>0</v>
      </c>
      <c r="M695" s="24">
        <v>0</v>
      </c>
    </row>
    <row r="696" spans="2:13" ht="14" x14ac:dyDescent="0.2">
      <c r="B696" s="24">
        <v>36</v>
      </c>
      <c r="C696" s="24">
        <v>51</v>
      </c>
      <c r="D696" s="24">
        <v>3</v>
      </c>
      <c r="E696" s="24">
        <v>1.5</v>
      </c>
      <c r="F696" s="24">
        <v>1</v>
      </c>
      <c r="G696" s="24">
        <v>0</v>
      </c>
      <c r="H696" s="24">
        <v>0</v>
      </c>
      <c r="I696" s="24">
        <v>0</v>
      </c>
      <c r="J696" s="24">
        <v>0</v>
      </c>
      <c r="K696" s="24">
        <v>0</v>
      </c>
      <c r="L696" s="24">
        <v>1</v>
      </c>
      <c r="M696" s="24">
        <v>0</v>
      </c>
    </row>
    <row r="697" spans="2:13" ht="14" x14ac:dyDescent="0.2">
      <c r="B697" s="24">
        <v>24</v>
      </c>
      <c r="C697" s="24">
        <v>173</v>
      </c>
      <c r="D697" s="24">
        <v>1</v>
      </c>
      <c r="E697" s="24">
        <v>1</v>
      </c>
      <c r="F697" s="24">
        <v>1</v>
      </c>
      <c r="G697" s="24">
        <v>0</v>
      </c>
      <c r="H697" s="24">
        <v>0</v>
      </c>
      <c r="I697" s="24">
        <v>0</v>
      </c>
      <c r="J697" s="24">
        <v>0</v>
      </c>
      <c r="K697" s="24">
        <v>1</v>
      </c>
      <c r="L697" s="24">
        <v>1</v>
      </c>
      <c r="M697" s="24">
        <v>0</v>
      </c>
    </row>
    <row r="698" spans="2:13" ht="14" x14ac:dyDescent="0.2">
      <c r="B698" s="24">
        <v>1</v>
      </c>
      <c r="C698" s="24">
        <v>70</v>
      </c>
      <c r="D698" s="24">
        <v>4</v>
      </c>
      <c r="E698" s="24">
        <v>2.6</v>
      </c>
      <c r="F698" s="24">
        <v>1</v>
      </c>
      <c r="G698" s="24">
        <v>0</v>
      </c>
      <c r="H698" s="24">
        <v>218</v>
      </c>
      <c r="I698" s="24">
        <v>0</v>
      </c>
      <c r="J698" s="24">
        <v>0</v>
      </c>
      <c r="K698" s="24">
        <v>1</v>
      </c>
      <c r="L698" s="24">
        <v>0</v>
      </c>
      <c r="M698" s="24">
        <v>0</v>
      </c>
    </row>
    <row r="699" spans="2:13" ht="14" x14ac:dyDescent="0.2">
      <c r="B699" s="24">
        <v>15</v>
      </c>
      <c r="C699" s="24">
        <v>38</v>
      </c>
      <c r="D699" s="24">
        <v>2</v>
      </c>
      <c r="E699" s="24">
        <v>0.7</v>
      </c>
      <c r="F699" s="24">
        <v>1</v>
      </c>
      <c r="G699" s="24">
        <v>0</v>
      </c>
      <c r="H699" s="24">
        <v>91</v>
      </c>
      <c r="I699" s="24">
        <v>0</v>
      </c>
      <c r="J699" s="24">
        <v>0</v>
      </c>
      <c r="K699" s="24">
        <v>1</v>
      </c>
      <c r="L699" s="24">
        <v>0</v>
      </c>
      <c r="M699" s="24">
        <v>0</v>
      </c>
    </row>
    <row r="700" spans="2:13" ht="14" x14ac:dyDescent="0.2">
      <c r="B700" s="24">
        <v>39</v>
      </c>
      <c r="C700" s="24">
        <v>23</v>
      </c>
      <c r="D700" s="24">
        <v>3</v>
      </c>
      <c r="E700" s="24">
        <v>0.7</v>
      </c>
      <c r="F700" s="24">
        <v>0</v>
      </c>
      <c r="G700" s="24">
        <v>1</v>
      </c>
      <c r="H700" s="24">
        <v>0</v>
      </c>
      <c r="I700" s="24">
        <v>0</v>
      </c>
      <c r="J700" s="24">
        <v>0</v>
      </c>
      <c r="K700" s="24">
        <v>0</v>
      </c>
      <c r="L700" s="24">
        <v>1</v>
      </c>
      <c r="M700" s="24">
        <v>0</v>
      </c>
    </row>
    <row r="701" spans="2:13" ht="14" x14ac:dyDescent="0.2">
      <c r="B701" s="24">
        <v>16</v>
      </c>
      <c r="C701" s="24">
        <v>155</v>
      </c>
      <c r="D701" s="24">
        <v>4</v>
      </c>
      <c r="E701" s="24">
        <v>0.1</v>
      </c>
      <c r="F701" s="24">
        <v>0</v>
      </c>
      <c r="G701" s="24">
        <v>0</v>
      </c>
      <c r="H701" s="24">
        <v>0</v>
      </c>
      <c r="I701" s="24">
        <v>0</v>
      </c>
      <c r="J701" s="24">
        <v>1</v>
      </c>
      <c r="K701" s="24">
        <v>1</v>
      </c>
      <c r="L701" s="24">
        <v>1</v>
      </c>
      <c r="M701" s="24">
        <v>1</v>
      </c>
    </row>
    <row r="702" spans="2:13" ht="14" x14ac:dyDescent="0.2">
      <c r="B702" s="24">
        <v>23</v>
      </c>
      <c r="C702" s="24">
        <v>22</v>
      </c>
      <c r="D702" s="24">
        <v>1</v>
      </c>
      <c r="E702" s="24">
        <v>1</v>
      </c>
      <c r="F702" s="24">
        <v>1</v>
      </c>
      <c r="G702" s="24">
        <v>0</v>
      </c>
      <c r="H702" s="24">
        <v>0</v>
      </c>
      <c r="I702" s="24">
        <v>0</v>
      </c>
      <c r="J702" s="24">
        <v>0</v>
      </c>
      <c r="K702" s="24">
        <v>0</v>
      </c>
      <c r="L702" s="24">
        <v>1</v>
      </c>
      <c r="M702" s="24">
        <v>0</v>
      </c>
    </row>
    <row r="703" spans="2:13" ht="14" x14ac:dyDescent="0.2">
      <c r="B703" s="24">
        <v>34</v>
      </c>
      <c r="C703" s="24">
        <v>61</v>
      </c>
      <c r="D703" s="24">
        <v>4</v>
      </c>
      <c r="E703" s="24">
        <v>1.7</v>
      </c>
      <c r="F703" s="24">
        <v>0</v>
      </c>
      <c r="G703" s="24">
        <v>1</v>
      </c>
      <c r="H703" s="24">
        <v>229</v>
      </c>
      <c r="I703" s="24">
        <v>0</v>
      </c>
      <c r="J703" s="24">
        <v>0</v>
      </c>
      <c r="K703" s="24">
        <v>0</v>
      </c>
      <c r="L703" s="24">
        <v>0</v>
      </c>
      <c r="M703" s="24">
        <v>0</v>
      </c>
    </row>
    <row r="704" spans="2:13" ht="14" x14ac:dyDescent="0.2">
      <c r="B704" s="24">
        <v>5</v>
      </c>
      <c r="C704" s="24">
        <v>138</v>
      </c>
      <c r="D704" s="24">
        <v>2</v>
      </c>
      <c r="E704" s="24">
        <v>4.3333333333333304</v>
      </c>
      <c r="F704" s="24">
        <v>1</v>
      </c>
      <c r="G704" s="24">
        <v>0</v>
      </c>
      <c r="H704" s="24">
        <v>0</v>
      </c>
      <c r="I704" s="24">
        <v>0</v>
      </c>
      <c r="J704" s="24">
        <v>0</v>
      </c>
      <c r="K704" s="24">
        <v>1</v>
      </c>
      <c r="L704" s="24">
        <v>0</v>
      </c>
      <c r="M704" s="24">
        <v>0</v>
      </c>
    </row>
    <row r="705" spans="2:13" ht="14" x14ac:dyDescent="0.2">
      <c r="B705" s="24">
        <v>33</v>
      </c>
      <c r="C705" s="24">
        <v>23</v>
      </c>
      <c r="D705" s="24">
        <v>3</v>
      </c>
      <c r="E705" s="24">
        <v>0.2</v>
      </c>
      <c r="F705" s="24">
        <v>1</v>
      </c>
      <c r="G705" s="24">
        <v>0</v>
      </c>
      <c r="H705" s="24">
        <v>0</v>
      </c>
      <c r="I705" s="24">
        <v>0</v>
      </c>
      <c r="J705" s="24">
        <v>0</v>
      </c>
      <c r="K705" s="24">
        <v>0</v>
      </c>
      <c r="L705" s="24">
        <v>0</v>
      </c>
      <c r="M705" s="24">
        <v>0</v>
      </c>
    </row>
    <row r="706" spans="2:13" ht="14" x14ac:dyDescent="0.2">
      <c r="B706" s="24">
        <v>36</v>
      </c>
      <c r="C706" s="24">
        <v>23</v>
      </c>
      <c r="D706" s="24">
        <v>2</v>
      </c>
      <c r="E706" s="24">
        <v>0.5</v>
      </c>
      <c r="F706" s="24">
        <v>0</v>
      </c>
      <c r="G706" s="24">
        <v>1</v>
      </c>
      <c r="H706" s="24">
        <v>103</v>
      </c>
      <c r="I706" s="24">
        <v>0</v>
      </c>
      <c r="J706" s="24">
        <v>0</v>
      </c>
      <c r="K706" s="24">
        <v>1</v>
      </c>
      <c r="L706" s="24">
        <v>0</v>
      </c>
      <c r="M706" s="24">
        <v>0</v>
      </c>
    </row>
    <row r="707" spans="2:13" ht="14" x14ac:dyDescent="0.2">
      <c r="B707" s="24">
        <v>17</v>
      </c>
      <c r="C707" s="24">
        <v>121</v>
      </c>
      <c r="D707" s="24">
        <v>1</v>
      </c>
      <c r="E707" s="24">
        <v>0.3</v>
      </c>
      <c r="F707" s="24">
        <v>1</v>
      </c>
      <c r="G707" s="24">
        <v>0</v>
      </c>
      <c r="H707" s="24">
        <v>0</v>
      </c>
      <c r="I707" s="24">
        <v>0</v>
      </c>
      <c r="J707" s="24">
        <v>0</v>
      </c>
      <c r="K707" s="24">
        <v>1</v>
      </c>
      <c r="L707" s="24">
        <v>0</v>
      </c>
      <c r="M707" s="24">
        <v>0</v>
      </c>
    </row>
    <row r="708" spans="2:13" ht="14" x14ac:dyDescent="0.2">
      <c r="B708" s="24">
        <v>23</v>
      </c>
      <c r="C708" s="24">
        <v>84</v>
      </c>
      <c r="D708" s="24">
        <v>4</v>
      </c>
      <c r="E708" s="24">
        <v>3.1</v>
      </c>
      <c r="F708" s="24">
        <v>0</v>
      </c>
      <c r="G708" s="24">
        <v>1</v>
      </c>
      <c r="H708" s="24">
        <v>0</v>
      </c>
      <c r="I708" s="24">
        <v>1</v>
      </c>
      <c r="J708" s="24">
        <v>1</v>
      </c>
      <c r="K708" s="24">
        <v>1</v>
      </c>
      <c r="L708" s="24">
        <v>0</v>
      </c>
      <c r="M708" s="24">
        <v>1</v>
      </c>
    </row>
    <row r="709" spans="2:13" ht="14" x14ac:dyDescent="0.2">
      <c r="B709" s="24">
        <v>13</v>
      </c>
      <c r="C709" s="24">
        <v>62</v>
      </c>
      <c r="D709" s="24">
        <v>3</v>
      </c>
      <c r="E709" s="24">
        <v>0.7</v>
      </c>
      <c r="F709" s="24">
        <v>0</v>
      </c>
      <c r="G709" s="24">
        <v>1</v>
      </c>
      <c r="H709" s="24">
        <v>0</v>
      </c>
      <c r="I709" s="24">
        <v>1</v>
      </c>
      <c r="J709" s="24">
        <v>0</v>
      </c>
      <c r="K709" s="24">
        <v>1</v>
      </c>
      <c r="L709" s="24">
        <v>0</v>
      </c>
      <c r="M709" s="24">
        <v>0</v>
      </c>
    </row>
    <row r="710" spans="2:13" ht="14" x14ac:dyDescent="0.2">
      <c r="B710" s="24">
        <v>3</v>
      </c>
      <c r="C710" s="24">
        <v>121</v>
      </c>
      <c r="D710" s="24">
        <v>2</v>
      </c>
      <c r="E710" s="24">
        <v>1.3</v>
      </c>
      <c r="F710" s="24">
        <v>1</v>
      </c>
      <c r="G710" s="24">
        <v>0</v>
      </c>
      <c r="H710" s="24">
        <v>0</v>
      </c>
      <c r="I710" s="24">
        <v>0</v>
      </c>
      <c r="J710" s="24">
        <v>0</v>
      </c>
      <c r="K710" s="24">
        <v>0</v>
      </c>
      <c r="L710" s="24">
        <v>0</v>
      </c>
      <c r="M710" s="24">
        <v>0</v>
      </c>
    </row>
    <row r="711" spans="2:13" ht="14" x14ac:dyDescent="0.2">
      <c r="B711" s="24">
        <v>30</v>
      </c>
      <c r="C711" s="24">
        <v>39</v>
      </c>
      <c r="D711" s="24">
        <v>2</v>
      </c>
      <c r="E711" s="24">
        <v>0.8</v>
      </c>
      <c r="F711" s="24">
        <v>1</v>
      </c>
      <c r="G711" s="24">
        <v>0</v>
      </c>
      <c r="H711" s="24">
        <v>0</v>
      </c>
      <c r="I711" s="24">
        <v>0</v>
      </c>
      <c r="J711" s="24">
        <v>0</v>
      </c>
      <c r="K711" s="24">
        <v>0</v>
      </c>
      <c r="L711" s="24">
        <v>1</v>
      </c>
      <c r="M711" s="24">
        <v>0</v>
      </c>
    </row>
    <row r="712" spans="2:13" ht="14" x14ac:dyDescent="0.2">
      <c r="B712" s="24">
        <v>5</v>
      </c>
      <c r="C712" s="24">
        <v>115</v>
      </c>
      <c r="D712" s="24">
        <v>2</v>
      </c>
      <c r="E712" s="24">
        <v>1.3</v>
      </c>
      <c r="F712" s="24">
        <v>1</v>
      </c>
      <c r="G712" s="24">
        <v>0</v>
      </c>
      <c r="H712" s="24">
        <v>101</v>
      </c>
      <c r="I712" s="24">
        <v>0</v>
      </c>
      <c r="J712" s="24">
        <v>0</v>
      </c>
      <c r="K712" s="24">
        <v>1</v>
      </c>
      <c r="L712" s="24">
        <v>1</v>
      </c>
      <c r="M712" s="24">
        <v>0</v>
      </c>
    </row>
    <row r="713" spans="2:13" ht="14" x14ac:dyDescent="0.2">
      <c r="B713" s="24">
        <v>38</v>
      </c>
      <c r="C713" s="24">
        <v>83</v>
      </c>
      <c r="D713" s="24">
        <v>3</v>
      </c>
      <c r="E713" s="24">
        <v>1.8</v>
      </c>
      <c r="F713" s="24">
        <v>0</v>
      </c>
      <c r="G713" s="24">
        <v>1</v>
      </c>
      <c r="H713" s="24">
        <v>0</v>
      </c>
      <c r="I713" s="24">
        <v>0</v>
      </c>
      <c r="J713" s="24">
        <v>0</v>
      </c>
      <c r="K713" s="24">
        <v>1</v>
      </c>
      <c r="L713" s="24">
        <v>0</v>
      </c>
      <c r="M713" s="24">
        <v>0</v>
      </c>
    </row>
    <row r="714" spans="2:13" ht="14" x14ac:dyDescent="0.2">
      <c r="B714" s="24">
        <v>14</v>
      </c>
      <c r="C714" s="24">
        <v>74</v>
      </c>
      <c r="D714" s="24">
        <v>1</v>
      </c>
      <c r="E714" s="24">
        <v>3.6</v>
      </c>
      <c r="F714" s="24">
        <v>0</v>
      </c>
      <c r="G714" s="24">
        <v>1</v>
      </c>
      <c r="H714" s="24">
        <v>0</v>
      </c>
      <c r="I714" s="24">
        <v>0</v>
      </c>
      <c r="J714" s="24">
        <v>0</v>
      </c>
      <c r="K714" s="24">
        <v>1</v>
      </c>
      <c r="L714" s="24">
        <v>1</v>
      </c>
      <c r="M714" s="24">
        <v>0</v>
      </c>
    </row>
    <row r="715" spans="2:13" ht="14" x14ac:dyDescent="0.2">
      <c r="B715" s="24">
        <v>25</v>
      </c>
      <c r="C715" s="24">
        <v>85</v>
      </c>
      <c r="D715" s="24">
        <v>4</v>
      </c>
      <c r="E715" s="24">
        <v>4.9000000000000004</v>
      </c>
      <c r="F715" s="24">
        <v>1</v>
      </c>
      <c r="G715" s="24">
        <v>0</v>
      </c>
      <c r="H715" s="24">
        <v>0</v>
      </c>
      <c r="I715" s="24">
        <v>0</v>
      </c>
      <c r="J715" s="24">
        <v>0</v>
      </c>
      <c r="K715" s="24">
        <v>1</v>
      </c>
      <c r="L715" s="24">
        <v>1</v>
      </c>
      <c r="M715" s="24">
        <v>0</v>
      </c>
    </row>
    <row r="716" spans="2:13" ht="14" x14ac:dyDescent="0.2">
      <c r="B716" s="24">
        <v>18</v>
      </c>
      <c r="C716" s="24">
        <v>72</v>
      </c>
      <c r="D716" s="24">
        <v>1</v>
      </c>
      <c r="E716" s="24">
        <v>0.7</v>
      </c>
      <c r="F716" s="24">
        <v>0</v>
      </c>
      <c r="G716" s="24">
        <v>0</v>
      </c>
      <c r="H716" s="24">
        <v>155</v>
      </c>
      <c r="I716" s="24">
        <v>0</v>
      </c>
      <c r="J716" s="24">
        <v>0</v>
      </c>
      <c r="K716" s="24">
        <v>0</v>
      </c>
      <c r="L716" s="24">
        <v>0</v>
      </c>
      <c r="M716" s="24">
        <v>0</v>
      </c>
    </row>
    <row r="717" spans="2:13" ht="14" x14ac:dyDescent="0.2">
      <c r="B717" s="24">
        <v>35</v>
      </c>
      <c r="C717" s="24">
        <v>30</v>
      </c>
      <c r="D717" s="24">
        <v>2</v>
      </c>
      <c r="E717" s="24">
        <v>0.2</v>
      </c>
      <c r="F717" s="24">
        <v>0</v>
      </c>
      <c r="G717" s="24">
        <v>0</v>
      </c>
      <c r="H717" s="24">
        <v>0</v>
      </c>
      <c r="I717" s="24">
        <v>0</v>
      </c>
      <c r="J717" s="24">
        <v>0</v>
      </c>
      <c r="K717" s="24">
        <v>1</v>
      </c>
      <c r="L717" s="24">
        <v>0</v>
      </c>
      <c r="M717" s="24">
        <v>0</v>
      </c>
    </row>
    <row r="718" spans="2:13" ht="14" x14ac:dyDescent="0.2">
      <c r="B718" s="24">
        <v>4</v>
      </c>
      <c r="C718" s="24">
        <v>130</v>
      </c>
      <c r="D718" s="24">
        <v>2</v>
      </c>
      <c r="E718" s="24">
        <v>6.7</v>
      </c>
      <c r="F718" s="24">
        <v>1</v>
      </c>
      <c r="G718" s="24">
        <v>0</v>
      </c>
      <c r="H718" s="24">
        <v>0</v>
      </c>
      <c r="I718" s="24">
        <v>0</v>
      </c>
      <c r="J718" s="24">
        <v>0</v>
      </c>
      <c r="K718" s="24">
        <v>0</v>
      </c>
      <c r="L718" s="24">
        <v>1</v>
      </c>
      <c r="M718" s="24">
        <v>0</v>
      </c>
    </row>
    <row r="719" spans="2:13" ht="14" x14ac:dyDescent="0.2">
      <c r="B719" s="24">
        <v>19</v>
      </c>
      <c r="C719" s="24">
        <v>153</v>
      </c>
      <c r="D719" s="24">
        <v>2</v>
      </c>
      <c r="E719" s="24">
        <v>7.5</v>
      </c>
      <c r="F719" s="24">
        <v>1</v>
      </c>
      <c r="G719" s="24">
        <v>0</v>
      </c>
      <c r="H719" s="24">
        <v>0</v>
      </c>
      <c r="I719" s="24">
        <v>0</v>
      </c>
      <c r="J719" s="24">
        <v>0</v>
      </c>
      <c r="K719" s="24">
        <v>1</v>
      </c>
      <c r="L719" s="24">
        <v>0</v>
      </c>
      <c r="M719" s="24">
        <v>0</v>
      </c>
    </row>
    <row r="720" spans="2:13" ht="14" x14ac:dyDescent="0.2">
      <c r="B720" s="24">
        <v>26</v>
      </c>
      <c r="C720" s="24">
        <v>48</v>
      </c>
      <c r="D720" s="24">
        <v>1</v>
      </c>
      <c r="E720" s="24">
        <v>1.6</v>
      </c>
      <c r="F720" s="24">
        <v>0</v>
      </c>
      <c r="G720" s="24">
        <v>1</v>
      </c>
      <c r="H720" s="24">
        <v>0</v>
      </c>
      <c r="I720" s="24">
        <v>0</v>
      </c>
      <c r="J720" s="24">
        <v>0</v>
      </c>
      <c r="K720" s="24">
        <v>0</v>
      </c>
      <c r="L720" s="24">
        <v>1</v>
      </c>
      <c r="M720" s="24">
        <v>0</v>
      </c>
    </row>
    <row r="721" spans="2:13" ht="14" x14ac:dyDescent="0.2">
      <c r="B721" s="24">
        <v>16</v>
      </c>
      <c r="C721" s="24">
        <v>120</v>
      </c>
      <c r="D721" s="24">
        <v>2</v>
      </c>
      <c r="E721" s="24">
        <v>6.1</v>
      </c>
      <c r="F721" s="24">
        <v>1</v>
      </c>
      <c r="G721" s="24">
        <v>0</v>
      </c>
      <c r="H721" s="24">
        <v>196</v>
      </c>
      <c r="I721" s="24">
        <v>0</v>
      </c>
      <c r="J721" s="24">
        <v>0</v>
      </c>
      <c r="K721" s="24">
        <v>1</v>
      </c>
      <c r="L721" s="24">
        <v>0</v>
      </c>
      <c r="M721" s="24">
        <v>0</v>
      </c>
    </row>
    <row r="722" spans="2:13" ht="14" x14ac:dyDescent="0.2">
      <c r="B722" s="24">
        <v>0</v>
      </c>
      <c r="C722" s="24">
        <v>14</v>
      </c>
      <c r="D722" s="24">
        <v>4</v>
      </c>
      <c r="E722" s="24">
        <v>0.4</v>
      </c>
      <c r="F722" s="24">
        <v>1</v>
      </c>
      <c r="G722" s="24">
        <v>0</v>
      </c>
      <c r="H722" s="24">
        <v>94</v>
      </c>
      <c r="I722" s="24">
        <v>0</v>
      </c>
      <c r="J722" s="24">
        <v>0</v>
      </c>
      <c r="K722" s="24">
        <v>1</v>
      </c>
      <c r="L722" s="24">
        <v>0</v>
      </c>
      <c r="M722" s="24">
        <v>0</v>
      </c>
    </row>
    <row r="723" spans="2:13" ht="14" x14ac:dyDescent="0.2">
      <c r="B723" s="24">
        <v>27</v>
      </c>
      <c r="C723" s="24">
        <v>58</v>
      </c>
      <c r="D723" s="24">
        <v>1</v>
      </c>
      <c r="E723" s="24">
        <v>0</v>
      </c>
      <c r="F723" s="24">
        <v>1</v>
      </c>
      <c r="G723" s="24">
        <v>0</v>
      </c>
      <c r="H723" s="24">
        <v>0</v>
      </c>
      <c r="I723" s="24">
        <v>0</v>
      </c>
      <c r="J723" s="24">
        <v>0</v>
      </c>
      <c r="K723" s="24">
        <v>0</v>
      </c>
      <c r="L723" s="24">
        <v>1</v>
      </c>
      <c r="M723" s="24">
        <v>0</v>
      </c>
    </row>
    <row r="724" spans="2:13" ht="14" x14ac:dyDescent="0.2">
      <c r="B724" s="24">
        <v>24</v>
      </c>
      <c r="C724" s="24">
        <v>189</v>
      </c>
      <c r="D724" s="24">
        <v>4</v>
      </c>
      <c r="E724" s="24">
        <v>4.75</v>
      </c>
      <c r="F724" s="24">
        <v>0</v>
      </c>
      <c r="G724" s="24">
        <v>1</v>
      </c>
      <c r="H724" s="24">
        <v>0</v>
      </c>
      <c r="I724" s="24">
        <v>0</v>
      </c>
      <c r="J724" s="24">
        <v>0</v>
      </c>
      <c r="K724" s="24">
        <v>1</v>
      </c>
      <c r="L724" s="24">
        <v>0</v>
      </c>
      <c r="M724" s="24">
        <v>1</v>
      </c>
    </row>
    <row r="725" spans="2:13" ht="14" x14ac:dyDescent="0.2">
      <c r="B725" s="24">
        <v>14</v>
      </c>
      <c r="C725" s="24">
        <v>70</v>
      </c>
      <c r="D725" s="24">
        <v>3</v>
      </c>
      <c r="E725" s="24">
        <v>2.1</v>
      </c>
      <c r="F725" s="24">
        <v>1</v>
      </c>
      <c r="G725" s="24">
        <v>0</v>
      </c>
      <c r="H725" s="24">
        <v>185</v>
      </c>
      <c r="I725" s="24">
        <v>0</v>
      </c>
      <c r="J725" s="24">
        <v>0</v>
      </c>
      <c r="K725" s="24">
        <v>0</v>
      </c>
      <c r="L725" s="24">
        <v>0</v>
      </c>
      <c r="M725" s="24">
        <v>0</v>
      </c>
    </row>
    <row r="726" spans="2:13" ht="14" x14ac:dyDescent="0.2">
      <c r="B726" s="24">
        <v>3</v>
      </c>
      <c r="C726" s="24">
        <v>123</v>
      </c>
      <c r="D726" s="24">
        <v>1</v>
      </c>
      <c r="E726" s="24">
        <v>5.4</v>
      </c>
      <c r="F726" s="24">
        <v>1</v>
      </c>
      <c r="G726" s="24">
        <v>0</v>
      </c>
      <c r="H726" s="24">
        <v>0</v>
      </c>
      <c r="I726" s="24">
        <v>0</v>
      </c>
      <c r="J726" s="24">
        <v>0</v>
      </c>
      <c r="K726" s="24">
        <v>0</v>
      </c>
      <c r="L726" s="24">
        <v>0</v>
      </c>
      <c r="M726" s="24">
        <v>0</v>
      </c>
    </row>
    <row r="727" spans="2:13" ht="14" x14ac:dyDescent="0.2">
      <c r="B727" s="24">
        <v>30</v>
      </c>
      <c r="C727" s="24">
        <v>58</v>
      </c>
      <c r="D727" s="24">
        <v>2</v>
      </c>
      <c r="E727" s="24">
        <v>3.2</v>
      </c>
      <c r="F727" s="24">
        <v>0</v>
      </c>
      <c r="G727" s="24">
        <v>0</v>
      </c>
      <c r="H727" s="24">
        <v>0</v>
      </c>
      <c r="I727" s="24">
        <v>0</v>
      </c>
      <c r="J727" s="24">
        <v>0</v>
      </c>
      <c r="K727" s="24">
        <v>0</v>
      </c>
      <c r="L727" s="24">
        <v>0</v>
      </c>
      <c r="M727" s="24">
        <v>0</v>
      </c>
    </row>
    <row r="728" spans="2:13" ht="14" x14ac:dyDescent="0.2">
      <c r="B728" s="24">
        <v>19</v>
      </c>
      <c r="C728" s="24">
        <v>49</v>
      </c>
      <c r="D728" s="24">
        <v>3</v>
      </c>
      <c r="E728" s="24">
        <v>2.5</v>
      </c>
      <c r="F728" s="24">
        <v>0</v>
      </c>
      <c r="G728" s="24">
        <v>1</v>
      </c>
      <c r="H728" s="24">
        <v>0</v>
      </c>
      <c r="I728" s="24">
        <v>0</v>
      </c>
      <c r="J728" s="24">
        <v>0</v>
      </c>
      <c r="K728" s="24">
        <v>1</v>
      </c>
      <c r="L728" s="24">
        <v>1</v>
      </c>
      <c r="M728" s="24">
        <v>0</v>
      </c>
    </row>
    <row r="729" spans="2:13" ht="14" x14ac:dyDescent="0.2">
      <c r="B729" s="24">
        <v>27</v>
      </c>
      <c r="C729" s="24">
        <v>78</v>
      </c>
      <c r="D729" s="24">
        <v>4</v>
      </c>
      <c r="E729" s="24">
        <v>3.6</v>
      </c>
      <c r="F729" s="24">
        <v>0</v>
      </c>
      <c r="G729" s="24">
        <v>0</v>
      </c>
      <c r="H729" s="24">
        <v>141</v>
      </c>
      <c r="I729" s="24">
        <v>0</v>
      </c>
      <c r="J729" s="24">
        <v>0</v>
      </c>
      <c r="K729" s="24">
        <v>1</v>
      </c>
      <c r="L729" s="24">
        <v>0</v>
      </c>
      <c r="M729" s="24">
        <v>0</v>
      </c>
    </row>
    <row r="730" spans="2:13" ht="14" x14ac:dyDescent="0.2">
      <c r="B730" s="24">
        <v>26</v>
      </c>
      <c r="C730" s="24">
        <v>79</v>
      </c>
      <c r="D730" s="24">
        <v>3</v>
      </c>
      <c r="E730" s="24">
        <v>0.8</v>
      </c>
      <c r="F730" s="24">
        <v>1</v>
      </c>
      <c r="G730" s="24">
        <v>0</v>
      </c>
      <c r="H730" s="24">
        <v>183</v>
      </c>
      <c r="I730" s="24">
        <v>0</v>
      </c>
      <c r="J730" s="24">
        <v>0</v>
      </c>
      <c r="K730" s="24">
        <v>0</v>
      </c>
      <c r="L730" s="24">
        <v>0</v>
      </c>
      <c r="M730" s="24">
        <v>0</v>
      </c>
    </row>
    <row r="731" spans="2:13" ht="14" x14ac:dyDescent="0.2">
      <c r="B731" s="24">
        <v>20</v>
      </c>
      <c r="C731" s="24">
        <v>175</v>
      </c>
      <c r="D731" s="24">
        <v>2</v>
      </c>
      <c r="E731" s="24">
        <v>1.4</v>
      </c>
      <c r="F731" s="24">
        <v>1</v>
      </c>
      <c r="G731" s="24">
        <v>0</v>
      </c>
      <c r="H731" s="24">
        <v>0</v>
      </c>
      <c r="I731" s="24">
        <v>0</v>
      </c>
      <c r="J731" s="24">
        <v>0</v>
      </c>
      <c r="K731" s="24">
        <v>1</v>
      </c>
      <c r="L731" s="24">
        <v>1</v>
      </c>
      <c r="M731" s="24">
        <v>0</v>
      </c>
    </row>
    <row r="732" spans="2:13" ht="14" x14ac:dyDescent="0.2">
      <c r="B732" s="24">
        <v>5</v>
      </c>
      <c r="C732" s="24">
        <v>54</v>
      </c>
      <c r="D732" s="24">
        <v>4</v>
      </c>
      <c r="E732" s="24">
        <v>2.2000000000000002</v>
      </c>
      <c r="F732" s="24">
        <v>0</v>
      </c>
      <c r="G732" s="24">
        <v>1</v>
      </c>
      <c r="H732" s="24">
        <v>0</v>
      </c>
      <c r="I732" s="24">
        <v>0</v>
      </c>
      <c r="J732" s="24">
        <v>0</v>
      </c>
      <c r="K732" s="24">
        <v>0</v>
      </c>
      <c r="L732" s="24">
        <v>0</v>
      </c>
      <c r="M732" s="24">
        <v>0</v>
      </c>
    </row>
    <row r="733" spans="2:13" ht="14" x14ac:dyDescent="0.2">
      <c r="B733" s="24">
        <v>3</v>
      </c>
      <c r="C733" s="24">
        <v>92</v>
      </c>
      <c r="D733" s="24">
        <v>2</v>
      </c>
      <c r="E733" s="24">
        <v>1.3</v>
      </c>
      <c r="F733" s="24">
        <v>1</v>
      </c>
      <c r="G733" s="24">
        <v>0</v>
      </c>
      <c r="H733" s="24">
        <v>287</v>
      </c>
      <c r="I733" s="24">
        <v>0</v>
      </c>
      <c r="J733" s="24">
        <v>0</v>
      </c>
      <c r="K733" s="24">
        <v>1</v>
      </c>
      <c r="L733" s="24">
        <v>0</v>
      </c>
      <c r="M733" s="24">
        <v>0</v>
      </c>
    </row>
    <row r="734" spans="2:13" ht="14" x14ac:dyDescent="0.2">
      <c r="B734" s="24">
        <v>33</v>
      </c>
      <c r="C734" s="24">
        <v>140</v>
      </c>
      <c r="D734" s="24">
        <v>2</v>
      </c>
      <c r="E734" s="24">
        <v>0.5</v>
      </c>
      <c r="F734" s="24">
        <v>1</v>
      </c>
      <c r="G734" s="24">
        <v>0</v>
      </c>
      <c r="H734" s="24">
        <v>262</v>
      </c>
      <c r="I734" s="24">
        <v>0</v>
      </c>
      <c r="J734" s="24">
        <v>0</v>
      </c>
      <c r="K734" s="24">
        <v>1</v>
      </c>
      <c r="L734" s="24">
        <v>0</v>
      </c>
      <c r="M734" s="24">
        <v>0</v>
      </c>
    </row>
    <row r="735" spans="2:13" ht="14" x14ac:dyDescent="0.2">
      <c r="B735" s="24">
        <v>31</v>
      </c>
      <c r="C735" s="24">
        <v>11</v>
      </c>
      <c r="D735" s="24">
        <v>2</v>
      </c>
      <c r="E735" s="24">
        <v>0.2</v>
      </c>
      <c r="F735" s="24">
        <v>0</v>
      </c>
      <c r="G735" s="24">
        <v>0</v>
      </c>
      <c r="H735" s="24">
        <v>90</v>
      </c>
      <c r="I735" s="24">
        <v>0</v>
      </c>
      <c r="J735" s="24">
        <v>0</v>
      </c>
      <c r="K735" s="24">
        <v>0</v>
      </c>
      <c r="L735" s="24">
        <v>0</v>
      </c>
      <c r="M735" s="24">
        <v>0</v>
      </c>
    </row>
    <row r="736" spans="2:13" ht="14" x14ac:dyDescent="0.2">
      <c r="B736" s="24">
        <v>12</v>
      </c>
      <c r="C736" s="24">
        <v>179</v>
      </c>
      <c r="D736" s="24">
        <v>2</v>
      </c>
      <c r="E736" s="24">
        <v>0</v>
      </c>
      <c r="F736" s="24">
        <v>1</v>
      </c>
      <c r="G736" s="24">
        <v>0</v>
      </c>
      <c r="H736" s="24">
        <v>380</v>
      </c>
      <c r="I736" s="24">
        <v>0</v>
      </c>
      <c r="J736" s="24">
        <v>0</v>
      </c>
      <c r="K736" s="24">
        <v>0</v>
      </c>
      <c r="L736" s="24">
        <v>0</v>
      </c>
      <c r="M736" s="24">
        <v>0</v>
      </c>
    </row>
    <row r="737" spans="2:13" ht="14" x14ac:dyDescent="0.2">
      <c r="B737" s="24">
        <v>3</v>
      </c>
      <c r="C737" s="24">
        <v>55</v>
      </c>
      <c r="D737" s="24">
        <v>4</v>
      </c>
      <c r="E737" s="24">
        <v>2.2000000000000002</v>
      </c>
      <c r="F737" s="24">
        <v>1</v>
      </c>
      <c r="G737" s="24">
        <v>0</v>
      </c>
      <c r="H737" s="24">
        <v>0</v>
      </c>
      <c r="I737" s="24">
        <v>0</v>
      </c>
      <c r="J737" s="24">
        <v>0</v>
      </c>
      <c r="K737" s="24">
        <v>1</v>
      </c>
      <c r="L737" s="24">
        <v>1</v>
      </c>
      <c r="M737" s="24">
        <v>0</v>
      </c>
    </row>
    <row r="738" spans="2:13" ht="14" x14ac:dyDescent="0.2">
      <c r="B738" s="24">
        <v>16</v>
      </c>
      <c r="C738" s="24">
        <v>69</v>
      </c>
      <c r="D738" s="24">
        <v>4</v>
      </c>
      <c r="E738" s="24">
        <v>2.4</v>
      </c>
      <c r="F738" s="24">
        <v>1</v>
      </c>
      <c r="G738" s="24">
        <v>0</v>
      </c>
      <c r="H738" s="24">
        <v>0</v>
      </c>
      <c r="I738" s="24">
        <v>0</v>
      </c>
      <c r="J738" s="24">
        <v>0</v>
      </c>
      <c r="K738" s="24">
        <v>1</v>
      </c>
      <c r="L738" s="24">
        <v>0</v>
      </c>
      <c r="M738" s="24">
        <v>0</v>
      </c>
    </row>
    <row r="739" spans="2:13" ht="14" x14ac:dyDescent="0.2">
      <c r="B739" s="24">
        <v>20</v>
      </c>
      <c r="C739" s="24">
        <v>114</v>
      </c>
      <c r="D739" s="24">
        <v>2</v>
      </c>
      <c r="E739" s="24">
        <v>4.4000000000000004</v>
      </c>
      <c r="F739" s="24">
        <v>0</v>
      </c>
      <c r="G739" s="24">
        <v>1</v>
      </c>
      <c r="H739" s="24">
        <v>0</v>
      </c>
      <c r="I739" s="24">
        <v>0</v>
      </c>
      <c r="J739" s="24">
        <v>0</v>
      </c>
      <c r="K739" s="24">
        <v>0</v>
      </c>
      <c r="L739" s="24">
        <v>0</v>
      </c>
      <c r="M739" s="24">
        <v>1</v>
      </c>
    </row>
    <row r="740" spans="2:13" ht="14" x14ac:dyDescent="0.2">
      <c r="B740" s="24">
        <v>2</v>
      </c>
      <c r="C740" s="24">
        <v>140</v>
      </c>
      <c r="D740" s="24">
        <v>2</v>
      </c>
      <c r="E740" s="24">
        <v>2</v>
      </c>
      <c r="F740" s="24">
        <v>1</v>
      </c>
      <c r="G740" s="24">
        <v>0</v>
      </c>
      <c r="H740" s="24">
        <v>0</v>
      </c>
      <c r="I740" s="24">
        <v>0</v>
      </c>
      <c r="J740" s="24">
        <v>0</v>
      </c>
      <c r="K740" s="24">
        <v>1</v>
      </c>
      <c r="L740" s="24">
        <v>0</v>
      </c>
      <c r="M740" s="24">
        <v>0</v>
      </c>
    </row>
    <row r="741" spans="2:13" ht="14" x14ac:dyDescent="0.2">
      <c r="B741" s="24">
        <v>21</v>
      </c>
      <c r="C741" s="24">
        <v>138</v>
      </c>
      <c r="D741" s="24">
        <v>1</v>
      </c>
      <c r="E741" s="24">
        <v>0</v>
      </c>
      <c r="F741" s="24">
        <v>1</v>
      </c>
      <c r="G741" s="24">
        <v>0</v>
      </c>
      <c r="H741" s="24">
        <v>0</v>
      </c>
      <c r="I741" s="24">
        <v>0</v>
      </c>
      <c r="J741" s="24">
        <v>0</v>
      </c>
      <c r="K741" s="24">
        <v>0</v>
      </c>
      <c r="L741" s="24">
        <v>0</v>
      </c>
      <c r="M741" s="24">
        <v>0</v>
      </c>
    </row>
    <row r="742" spans="2:13" ht="14" x14ac:dyDescent="0.2">
      <c r="B742" s="24">
        <v>28</v>
      </c>
      <c r="C742" s="24">
        <v>18</v>
      </c>
      <c r="D742" s="24">
        <v>4</v>
      </c>
      <c r="E742" s="24">
        <v>0.1</v>
      </c>
      <c r="F742" s="24">
        <v>0</v>
      </c>
      <c r="G742" s="24">
        <v>0</v>
      </c>
      <c r="H742" s="24">
        <v>109</v>
      </c>
      <c r="I742" s="24">
        <v>1</v>
      </c>
      <c r="J742" s="24">
        <v>1</v>
      </c>
      <c r="K742" s="24">
        <v>1</v>
      </c>
      <c r="L742" s="24">
        <v>1</v>
      </c>
      <c r="M742" s="24">
        <v>0</v>
      </c>
    </row>
    <row r="743" spans="2:13" ht="14" x14ac:dyDescent="0.2">
      <c r="B743" s="24">
        <v>8</v>
      </c>
      <c r="C743" s="24">
        <v>29</v>
      </c>
      <c r="D743" s="24">
        <v>2</v>
      </c>
      <c r="E743" s="24">
        <v>2</v>
      </c>
      <c r="F743" s="24">
        <v>0</v>
      </c>
      <c r="G743" s="24">
        <v>0</v>
      </c>
      <c r="H743" s="24">
        <v>0</v>
      </c>
      <c r="I743" s="24">
        <v>0</v>
      </c>
      <c r="J743" s="24">
        <v>0</v>
      </c>
      <c r="K743" s="24">
        <v>1</v>
      </c>
      <c r="L743" s="24">
        <v>1</v>
      </c>
      <c r="M743" s="24">
        <v>0</v>
      </c>
    </row>
    <row r="744" spans="2:13" ht="14" x14ac:dyDescent="0.2">
      <c r="B744" s="24">
        <v>5</v>
      </c>
      <c r="C744" s="24">
        <v>80</v>
      </c>
      <c r="D744" s="24">
        <v>2</v>
      </c>
      <c r="E744" s="24">
        <v>2</v>
      </c>
      <c r="F744" s="24">
        <v>0</v>
      </c>
      <c r="G744" s="24">
        <v>1</v>
      </c>
      <c r="H744" s="24">
        <v>0</v>
      </c>
      <c r="I744" s="24">
        <v>0</v>
      </c>
      <c r="J744" s="24">
        <v>0</v>
      </c>
      <c r="K744" s="24">
        <v>1</v>
      </c>
      <c r="L744" s="24">
        <v>1</v>
      </c>
      <c r="M744" s="24">
        <v>0</v>
      </c>
    </row>
    <row r="745" spans="2:13" ht="14" x14ac:dyDescent="0.2">
      <c r="B745" s="24">
        <v>2</v>
      </c>
      <c r="C745" s="24">
        <v>33</v>
      </c>
      <c r="D745" s="24">
        <v>1</v>
      </c>
      <c r="E745" s="24">
        <v>2</v>
      </c>
      <c r="F745" s="24">
        <v>0</v>
      </c>
      <c r="G745" s="24">
        <v>1</v>
      </c>
      <c r="H745" s="24">
        <v>160</v>
      </c>
      <c r="I745" s="24">
        <v>0</v>
      </c>
      <c r="J745" s="24">
        <v>0</v>
      </c>
      <c r="K745" s="24">
        <v>0</v>
      </c>
      <c r="L745" s="24">
        <v>0</v>
      </c>
      <c r="M745" s="24">
        <v>0</v>
      </c>
    </row>
    <row r="746" spans="2:13" ht="14" x14ac:dyDescent="0.2">
      <c r="B746" s="24">
        <v>11</v>
      </c>
      <c r="C746" s="24">
        <v>34</v>
      </c>
      <c r="D746" s="24">
        <v>3</v>
      </c>
      <c r="E746" s="24">
        <v>0.9</v>
      </c>
      <c r="F746" s="24">
        <v>1</v>
      </c>
      <c r="G746" s="24">
        <v>0</v>
      </c>
      <c r="H746" s="24">
        <v>0</v>
      </c>
      <c r="I746" s="24">
        <v>0</v>
      </c>
      <c r="J746" s="24">
        <v>0</v>
      </c>
      <c r="K746" s="24">
        <v>1</v>
      </c>
      <c r="L746" s="24">
        <v>0</v>
      </c>
      <c r="M746" s="24">
        <v>0</v>
      </c>
    </row>
    <row r="747" spans="2:13" ht="14" x14ac:dyDescent="0.2">
      <c r="B747" s="24">
        <v>23</v>
      </c>
      <c r="C747" s="24">
        <v>71</v>
      </c>
      <c r="D747" s="24">
        <v>1</v>
      </c>
      <c r="E747" s="24">
        <v>1.4</v>
      </c>
      <c r="F747" s="24">
        <v>0</v>
      </c>
      <c r="G747" s="24">
        <v>0</v>
      </c>
      <c r="H747" s="24">
        <v>0</v>
      </c>
      <c r="I747" s="24">
        <v>0</v>
      </c>
      <c r="J747" s="24">
        <v>0</v>
      </c>
      <c r="K747" s="24">
        <v>0</v>
      </c>
      <c r="L747" s="24">
        <v>0</v>
      </c>
      <c r="M747" s="24">
        <v>0</v>
      </c>
    </row>
    <row r="748" spans="2:13" ht="14" x14ac:dyDescent="0.2">
      <c r="B748" s="24">
        <v>11</v>
      </c>
      <c r="C748" s="24">
        <v>14</v>
      </c>
      <c r="D748" s="24">
        <v>4</v>
      </c>
      <c r="E748" s="24">
        <v>0.2</v>
      </c>
      <c r="F748" s="24">
        <v>0</v>
      </c>
      <c r="G748" s="24">
        <v>0</v>
      </c>
      <c r="H748" s="24">
        <v>100</v>
      </c>
      <c r="I748" s="24">
        <v>0</v>
      </c>
      <c r="J748" s="24">
        <v>0</v>
      </c>
      <c r="K748" s="24">
        <v>1</v>
      </c>
      <c r="L748" s="24">
        <v>1</v>
      </c>
      <c r="M748" s="24">
        <v>0</v>
      </c>
    </row>
    <row r="749" spans="2:13" ht="14" x14ac:dyDescent="0.2">
      <c r="B749" s="24">
        <v>27</v>
      </c>
      <c r="C749" s="24">
        <v>45</v>
      </c>
      <c r="D749" s="24">
        <v>2</v>
      </c>
      <c r="E749" s="24">
        <v>2</v>
      </c>
      <c r="F749" s="24">
        <v>0</v>
      </c>
      <c r="G749" s="24">
        <v>1</v>
      </c>
      <c r="H749" s="24">
        <v>121</v>
      </c>
      <c r="I749" s="24">
        <v>0</v>
      </c>
      <c r="J749" s="24">
        <v>0</v>
      </c>
      <c r="K749" s="24">
        <v>0</v>
      </c>
      <c r="L749" s="24">
        <v>1</v>
      </c>
      <c r="M749" s="24">
        <v>0</v>
      </c>
    </row>
    <row r="750" spans="2:13" ht="14" x14ac:dyDescent="0.2">
      <c r="B750" s="24">
        <v>3</v>
      </c>
      <c r="C750" s="24">
        <v>71</v>
      </c>
      <c r="D750" s="24">
        <v>1</v>
      </c>
      <c r="E750" s="24">
        <v>3.3</v>
      </c>
      <c r="F750" s="24">
        <v>0</v>
      </c>
      <c r="G750" s="24">
        <v>1</v>
      </c>
      <c r="H750" s="24">
        <v>149</v>
      </c>
      <c r="I750" s="24">
        <v>1</v>
      </c>
      <c r="J750" s="24">
        <v>1</v>
      </c>
      <c r="K750" s="24">
        <v>1</v>
      </c>
      <c r="L750" s="24">
        <v>0</v>
      </c>
      <c r="M750" s="24">
        <v>1</v>
      </c>
    </row>
    <row r="751" spans="2:13" ht="14" x14ac:dyDescent="0.2">
      <c r="B751" s="24">
        <v>14</v>
      </c>
      <c r="C751" s="24">
        <v>24</v>
      </c>
      <c r="D751" s="24">
        <v>2</v>
      </c>
      <c r="E751" s="24">
        <v>0.3</v>
      </c>
      <c r="F751" s="24">
        <v>0</v>
      </c>
      <c r="G751" s="24">
        <v>1</v>
      </c>
      <c r="H751" s="24">
        <v>0</v>
      </c>
      <c r="I751" s="24">
        <v>0</v>
      </c>
      <c r="J751" s="24">
        <v>0</v>
      </c>
      <c r="K751" s="24">
        <v>1</v>
      </c>
      <c r="L751" s="24">
        <v>0</v>
      </c>
      <c r="M751" s="24">
        <v>0</v>
      </c>
    </row>
    <row r="752" spans="2:13" ht="14" x14ac:dyDescent="0.2">
      <c r="B752" s="24">
        <v>29</v>
      </c>
      <c r="C752" s="24">
        <v>51</v>
      </c>
      <c r="D752" s="24">
        <v>3</v>
      </c>
      <c r="E752" s="24">
        <v>1</v>
      </c>
      <c r="F752" s="24">
        <v>0</v>
      </c>
      <c r="G752" s="24">
        <v>1</v>
      </c>
      <c r="H752" s="24">
        <v>0</v>
      </c>
      <c r="I752" s="24">
        <v>0</v>
      </c>
      <c r="J752" s="24">
        <v>0</v>
      </c>
      <c r="K752" s="24">
        <v>1</v>
      </c>
      <c r="L752" s="24">
        <v>0</v>
      </c>
      <c r="M752" s="24">
        <v>0</v>
      </c>
    </row>
    <row r="753" spans="2:13" ht="14" x14ac:dyDescent="0.2">
      <c r="B753" s="24">
        <v>31</v>
      </c>
      <c r="C753" s="24">
        <v>64</v>
      </c>
      <c r="D753" s="24">
        <v>3</v>
      </c>
      <c r="E753" s="24">
        <v>2.5</v>
      </c>
      <c r="F753" s="24">
        <v>1</v>
      </c>
      <c r="G753" s="24">
        <v>0</v>
      </c>
      <c r="H753" s="24">
        <v>208</v>
      </c>
      <c r="I753" s="24">
        <v>0</v>
      </c>
      <c r="J753" s="24">
        <v>0</v>
      </c>
      <c r="K753" s="24">
        <v>0</v>
      </c>
      <c r="L753" s="24">
        <v>1</v>
      </c>
      <c r="M753" s="24">
        <v>0</v>
      </c>
    </row>
    <row r="754" spans="2:13" ht="14" x14ac:dyDescent="0.2">
      <c r="B754" s="24">
        <v>14</v>
      </c>
      <c r="C754" s="24">
        <v>123</v>
      </c>
      <c r="D754" s="24">
        <v>1</v>
      </c>
      <c r="E754" s="24">
        <v>5.2</v>
      </c>
      <c r="F754" s="24">
        <v>1</v>
      </c>
      <c r="G754" s="24">
        <v>0</v>
      </c>
      <c r="H754" s="24">
        <v>0</v>
      </c>
      <c r="I754" s="24">
        <v>0</v>
      </c>
      <c r="J754" s="24">
        <v>0</v>
      </c>
      <c r="K754" s="24">
        <v>1</v>
      </c>
      <c r="L754" s="24">
        <v>0</v>
      </c>
      <c r="M754" s="24">
        <v>0</v>
      </c>
    </row>
    <row r="755" spans="2:13" ht="14" x14ac:dyDescent="0.2">
      <c r="B755" s="24">
        <v>38</v>
      </c>
      <c r="C755" s="24">
        <v>45</v>
      </c>
      <c r="D755" s="24">
        <v>4</v>
      </c>
      <c r="E755" s="24">
        <v>1.3</v>
      </c>
      <c r="F755" s="24">
        <v>0</v>
      </c>
      <c r="G755" s="24">
        <v>1</v>
      </c>
      <c r="H755" s="24">
        <v>0</v>
      </c>
      <c r="I755" s="24">
        <v>0</v>
      </c>
      <c r="J755" s="24">
        <v>0</v>
      </c>
      <c r="K755" s="24">
        <v>1</v>
      </c>
      <c r="L755" s="24">
        <v>0</v>
      </c>
      <c r="M755" s="24">
        <v>0</v>
      </c>
    </row>
    <row r="756" spans="2:13" ht="14" x14ac:dyDescent="0.2">
      <c r="B756" s="24">
        <v>6</v>
      </c>
      <c r="C756" s="24">
        <v>62</v>
      </c>
      <c r="D756" s="24">
        <v>1</v>
      </c>
      <c r="E756" s="24">
        <v>1</v>
      </c>
      <c r="F756" s="24">
        <v>1</v>
      </c>
      <c r="G756" s="24">
        <v>0</v>
      </c>
      <c r="H756" s="24">
        <v>0</v>
      </c>
      <c r="I756" s="24">
        <v>1</v>
      </c>
      <c r="J756" s="24">
        <v>0</v>
      </c>
      <c r="K756" s="24">
        <v>1</v>
      </c>
      <c r="L756" s="24">
        <v>0</v>
      </c>
      <c r="M756" s="24">
        <v>0</v>
      </c>
    </row>
    <row r="757" spans="2:13" ht="14" x14ac:dyDescent="0.2">
      <c r="B757" s="24">
        <v>9</v>
      </c>
      <c r="C757" s="24">
        <v>55</v>
      </c>
      <c r="D757" s="24">
        <v>1</v>
      </c>
      <c r="E757" s="24">
        <v>2</v>
      </c>
      <c r="F757" s="24">
        <v>1</v>
      </c>
      <c r="G757" s="24">
        <v>0</v>
      </c>
      <c r="H757" s="24">
        <v>0</v>
      </c>
      <c r="I757" s="24">
        <v>0</v>
      </c>
      <c r="J757" s="24">
        <v>0</v>
      </c>
      <c r="K757" s="24">
        <v>1</v>
      </c>
      <c r="L757" s="24">
        <v>0</v>
      </c>
      <c r="M757" s="24">
        <v>0</v>
      </c>
    </row>
    <row r="758" spans="2:13" ht="14" x14ac:dyDescent="0.2">
      <c r="B758" s="24">
        <v>17</v>
      </c>
      <c r="C758" s="24">
        <v>82</v>
      </c>
      <c r="D758" s="24">
        <v>1</v>
      </c>
      <c r="E758" s="24">
        <v>3.7</v>
      </c>
      <c r="F758" s="24">
        <v>0</v>
      </c>
      <c r="G758" s="24">
        <v>0</v>
      </c>
      <c r="H758" s="24">
        <v>0</v>
      </c>
      <c r="I758" s="24">
        <v>0</v>
      </c>
      <c r="J758" s="24">
        <v>0</v>
      </c>
      <c r="K758" s="24">
        <v>1</v>
      </c>
      <c r="L758" s="24">
        <v>0</v>
      </c>
      <c r="M758" s="24">
        <v>0</v>
      </c>
    </row>
    <row r="759" spans="2:13" ht="14" x14ac:dyDescent="0.2">
      <c r="B759" s="24">
        <v>26</v>
      </c>
      <c r="C759" s="24">
        <v>91</v>
      </c>
      <c r="D759" s="24">
        <v>1</v>
      </c>
      <c r="E759" s="24">
        <v>4.3</v>
      </c>
      <c r="F759" s="24">
        <v>0</v>
      </c>
      <c r="G759" s="24">
        <v>1</v>
      </c>
      <c r="H759" s="24">
        <v>0</v>
      </c>
      <c r="I759" s="24">
        <v>0</v>
      </c>
      <c r="J759" s="24">
        <v>1</v>
      </c>
      <c r="K759" s="24">
        <v>1</v>
      </c>
      <c r="L759" s="24">
        <v>1</v>
      </c>
      <c r="M759" s="24">
        <v>1</v>
      </c>
    </row>
    <row r="760" spans="2:13" ht="14" x14ac:dyDescent="0.2">
      <c r="B760" s="24">
        <v>34</v>
      </c>
      <c r="C760" s="24">
        <v>33</v>
      </c>
      <c r="D760" s="24">
        <v>3</v>
      </c>
      <c r="E760" s="24">
        <v>0.2</v>
      </c>
      <c r="F760" s="24">
        <v>1</v>
      </c>
      <c r="G760" s="24">
        <v>0</v>
      </c>
      <c r="H760" s="24">
        <v>0</v>
      </c>
      <c r="I760" s="24">
        <v>1</v>
      </c>
      <c r="J760" s="24">
        <v>0</v>
      </c>
      <c r="K760" s="24">
        <v>0</v>
      </c>
      <c r="L760" s="24">
        <v>0</v>
      </c>
      <c r="M760" s="24">
        <v>0</v>
      </c>
    </row>
    <row r="761" spans="2:13" ht="14" x14ac:dyDescent="0.2">
      <c r="B761" s="24">
        <v>39</v>
      </c>
      <c r="C761" s="24">
        <v>122</v>
      </c>
      <c r="D761" s="24">
        <v>4</v>
      </c>
      <c r="E761" s="24">
        <v>0.2</v>
      </c>
      <c r="F761" s="24">
        <v>1</v>
      </c>
      <c r="G761" s="24">
        <v>0</v>
      </c>
      <c r="H761" s="24">
        <v>378</v>
      </c>
      <c r="I761" s="24">
        <v>0</v>
      </c>
      <c r="J761" s="24">
        <v>0</v>
      </c>
      <c r="K761" s="24">
        <v>1</v>
      </c>
      <c r="L761" s="24">
        <v>0</v>
      </c>
      <c r="M761" s="24">
        <v>1</v>
      </c>
    </row>
    <row r="762" spans="2:13" ht="14" x14ac:dyDescent="0.2">
      <c r="B762" s="24">
        <v>12</v>
      </c>
      <c r="C762" s="24">
        <v>180</v>
      </c>
      <c r="D762" s="24">
        <v>1</v>
      </c>
      <c r="E762" s="24">
        <v>8.6</v>
      </c>
      <c r="F762" s="24">
        <v>1</v>
      </c>
      <c r="G762" s="24">
        <v>0</v>
      </c>
      <c r="H762" s="24">
        <v>0</v>
      </c>
      <c r="I762" s="24">
        <v>0</v>
      </c>
      <c r="J762" s="24">
        <v>0</v>
      </c>
      <c r="K762" s="24">
        <v>1</v>
      </c>
      <c r="L762" s="24">
        <v>1</v>
      </c>
      <c r="M762" s="24">
        <v>0</v>
      </c>
    </row>
    <row r="763" spans="2:13" ht="14" x14ac:dyDescent="0.2">
      <c r="B763" s="24">
        <v>23</v>
      </c>
      <c r="C763" s="24">
        <v>148</v>
      </c>
      <c r="D763" s="24">
        <v>2</v>
      </c>
      <c r="E763" s="24">
        <v>7.5</v>
      </c>
      <c r="F763" s="24">
        <v>1</v>
      </c>
      <c r="G763" s="24">
        <v>0</v>
      </c>
      <c r="H763" s="24">
        <v>0</v>
      </c>
      <c r="I763" s="24">
        <v>0</v>
      </c>
      <c r="J763" s="24">
        <v>1</v>
      </c>
      <c r="K763" s="24">
        <v>1</v>
      </c>
      <c r="L763" s="24">
        <v>1</v>
      </c>
      <c r="M763" s="24">
        <v>0</v>
      </c>
    </row>
    <row r="764" spans="2:13" ht="14" x14ac:dyDescent="0.2">
      <c r="B764" s="24">
        <v>2</v>
      </c>
      <c r="C764" s="24">
        <v>51</v>
      </c>
      <c r="D764" s="24">
        <v>4</v>
      </c>
      <c r="E764" s="24">
        <v>1.8</v>
      </c>
      <c r="F764" s="24">
        <v>0</v>
      </c>
      <c r="G764" s="24">
        <v>1</v>
      </c>
      <c r="H764" s="24">
        <v>0</v>
      </c>
      <c r="I764" s="24">
        <v>1</v>
      </c>
      <c r="J764" s="24">
        <v>0</v>
      </c>
      <c r="K764" s="24">
        <v>0</v>
      </c>
      <c r="L764" s="24">
        <v>0</v>
      </c>
      <c r="M764" s="24">
        <v>0</v>
      </c>
    </row>
    <row r="765" spans="2:13" ht="14" x14ac:dyDescent="0.2">
      <c r="B765" s="24">
        <v>25</v>
      </c>
      <c r="C765" s="24">
        <v>71</v>
      </c>
      <c r="D765" s="24">
        <v>1</v>
      </c>
      <c r="E765" s="24">
        <v>1.4</v>
      </c>
      <c r="F765" s="24">
        <v>0</v>
      </c>
      <c r="G765" s="24">
        <v>0</v>
      </c>
      <c r="H765" s="24">
        <v>198</v>
      </c>
      <c r="I765" s="24">
        <v>0</v>
      </c>
      <c r="J765" s="24">
        <v>0</v>
      </c>
      <c r="K765" s="24">
        <v>0</v>
      </c>
      <c r="L765" s="24">
        <v>0</v>
      </c>
      <c r="M765" s="24">
        <v>0</v>
      </c>
    </row>
    <row r="766" spans="2:13" ht="14" x14ac:dyDescent="0.2">
      <c r="B766" s="24">
        <v>9</v>
      </c>
      <c r="C766" s="24">
        <v>60</v>
      </c>
      <c r="D766" s="24">
        <v>3</v>
      </c>
      <c r="E766" s="24">
        <v>2.2999999999999998</v>
      </c>
      <c r="F766" s="24">
        <v>1</v>
      </c>
      <c r="G766" s="24">
        <v>0</v>
      </c>
      <c r="H766" s="24">
        <v>0</v>
      </c>
      <c r="I766" s="24">
        <v>0</v>
      </c>
      <c r="J766" s="24">
        <v>0</v>
      </c>
      <c r="K766" s="24">
        <v>0</v>
      </c>
      <c r="L766" s="24">
        <v>0</v>
      </c>
      <c r="M766" s="24">
        <v>0</v>
      </c>
    </row>
    <row r="767" spans="2:13" ht="14" x14ac:dyDescent="0.2">
      <c r="B767" s="24">
        <v>24</v>
      </c>
      <c r="C767" s="24">
        <v>150</v>
      </c>
      <c r="D767" s="24">
        <v>1</v>
      </c>
      <c r="E767" s="24">
        <v>7.3</v>
      </c>
      <c r="F767" s="24">
        <v>1</v>
      </c>
      <c r="G767" s="24">
        <v>0</v>
      </c>
      <c r="H767" s="24">
        <v>0</v>
      </c>
      <c r="I767" s="24">
        <v>0</v>
      </c>
      <c r="J767" s="24">
        <v>0</v>
      </c>
      <c r="K767" s="24">
        <v>1</v>
      </c>
      <c r="L767" s="24">
        <v>1</v>
      </c>
      <c r="M767" s="24">
        <v>0</v>
      </c>
    </row>
    <row r="768" spans="2:13" ht="14" x14ac:dyDescent="0.2">
      <c r="B768" s="24">
        <v>34</v>
      </c>
      <c r="C768" s="24">
        <v>84</v>
      </c>
      <c r="D768" s="24">
        <v>2</v>
      </c>
      <c r="E768" s="24">
        <v>2.8</v>
      </c>
      <c r="F768" s="24">
        <v>1</v>
      </c>
      <c r="G768" s="24">
        <v>0</v>
      </c>
      <c r="H768" s="24">
        <v>0</v>
      </c>
      <c r="I768" s="24">
        <v>0</v>
      </c>
      <c r="J768" s="24">
        <v>0</v>
      </c>
      <c r="K768" s="24">
        <v>1</v>
      </c>
      <c r="L768" s="24">
        <v>1</v>
      </c>
      <c r="M768" s="24">
        <v>0</v>
      </c>
    </row>
    <row r="769" spans="2:13" ht="14" x14ac:dyDescent="0.2">
      <c r="B769" s="24">
        <v>29</v>
      </c>
      <c r="C769" s="24">
        <v>69</v>
      </c>
      <c r="D769" s="24">
        <v>4</v>
      </c>
      <c r="E769" s="24">
        <v>1</v>
      </c>
      <c r="F769" s="24">
        <v>0</v>
      </c>
      <c r="G769" s="24">
        <v>1</v>
      </c>
      <c r="H769" s="24">
        <v>0</v>
      </c>
      <c r="I769" s="24">
        <v>0</v>
      </c>
      <c r="J769" s="24">
        <v>0</v>
      </c>
      <c r="K769" s="24">
        <v>1</v>
      </c>
      <c r="L769" s="24">
        <v>0</v>
      </c>
      <c r="M769" s="24">
        <v>0</v>
      </c>
    </row>
    <row r="770" spans="2:13" ht="14" x14ac:dyDescent="0.2">
      <c r="B770" s="24">
        <v>7</v>
      </c>
      <c r="C770" s="24">
        <v>112</v>
      </c>
      <c r="D770" s="24">
        <v>1</v>
      </c>
      <c r="E770" s="24">
        <v>4.5999999999999996</v>
      </c>
      <c r="F770" s="24">
        <v>1</v>
      </c>
      <c r="G770" s="24">
        <v>0</v>
      </c>
      <c r="H770" s="24">
        <v>366</v>
      </c>
      <c r="I770" s="24">
        <v>0</v>
      </c>
      <c r="J770" s="24">
        <v>0</v>
      </c>
      <c r="K770" s="24">
        <v>0</v>
      </c>
      <c r="L770" s="24">
        <v>0</v>
      </c>
      <c r="M770" s="24">
        <v>0</v>
      </c>
    </row>
    <row r="771" spans="2:13" ht="14" x14ac:dyDescent="0.2">
      <c r="B771" s="24">
        <v>9</v>
      </c>
      <c r="C771" s="24">
        <v>28</v>
      </c>
      <c r="D771" s="24">
        <v>4</v>
      </c>
      <c r="E771" s="24">
        <v>1</v>
      </c>
      <c r="F771" s="24">
        <v>1</v>
      </c>
      <c r="G771" s="24">
        <v>0</v>
      </c>
      <c r="H771" s="24">
        <v>75</v>
      </c>
      <c r="I771" s="24">
        <v>0</v>
      </c>
      <c r="J771" s="24">
        <v>0</v>
      </c>
      <c r="K771" s="24">
        <v>1</v>
      </c>
      <c r="L771" s="24">
        <v>0</v>
      </c>
      <c r="M771" s="24">
        <v>0</v>
      </c>
    </row>
    <row r="772" spans="2:13" ht="14" x14ac:dyDescent="0.2">
      <c r="B772" s="24">
        <v>25</v>
      </c>
      <c r="C772" s="24">
        <v>14</v>
      </c>
      <c r="D772" s="24">
        <v>4</v>
      </c>
      <c r="E772" s="24">
        <v>0.8</v>
      </c>
      <c r="F772" s="24">
        <v>1</v>
      </c>
      <c r="G772" s="24">
        <v>0</v>
      </c>
      <c r="H772" s="24">
        <v>0</v>
      </c>
      <c r="I772" s="24">
        <v>0</v>
      </c>
      <c r="J772" s="24">
        <v>0</v>
      </c>
      <c r="K772" s="24">
        <v>1</v>
      </c>
      <c r="L772" s="24">
        <v>0</v>
      </c>
      <c r="M772" s="24">
        <v>0</v>
      </c>
    </row>
    <row r="773" spans="2:13" ht="14" x14ac:dyDescent="0.2">
      <c r="B773" s="24">
        <v>37</v>
      </c>
      <c r="C773" s="24">
        <v>40</v>
      </c>
      <c r="D773" s="24">
        <v>2</v>
      </c>
      <c r="E773" s="24">
        <v>1</v>
      </c>
      <c r="F773" s="24">
        <v>0</v>
      </c>
      <c r="G773" s="24">
        <v>0</v>
      </c>
      <c r="H773" s="24">
        <v>167</v>
      </c>
      <c r="I773" s="24">
        <v>0</v>
      </c>
      <c r="J773" s="24">
        <v>0</v>
      </c>
      <c r="K773" s="24">
        <v>0</v>
      </c>
      <c r="L773" s="24">
        <v>0</v>
      </c>
      <c r="M773" s="24">
        <v>0</v>
      </c>
    </row>
    <row r="774" spans="2:13" ht="14" x14ac:dyDescent="0.2">
      <c r="B774" s="24">
        <v>38</v>
      </c>
      <c r="C774" s="24">
        <v>39</v>
      </c>
      <c r="D774" s="24">
        <v>4</v>
      </c>
      <c r="E774" s="24">
        <v>2.2000000000000002</v>
      </c>
      <c r="F774" s="24">
        <v>1</v>
      </c>
      <c r="G774" s="24">
        <v>0</v>
      </c>
      <c r="H774" s="24">
        <v>0</v>
      </c>
      <c r="I774" s="24">
        <v>1</v>
      </c>
      <c r="J774" s="24">
        <v>0</v>
      </c>
      <c r="K774" s="24">
        <v>1</v>
      </c>
      <c r="L774" s="24">
        <v>0</v>
      </c>
      <c r="M774" s="24">
        <v>0</v>
      </c>
    </row>
    <row r="775" spans="2:13" ht="14" x14ac:dyDescent="0.2">
      <c r="B775" s="24">
        <v>25</v>
      </c>
      <c r="C775" s="24">
        <v>33</v>
      </c>
      <c r="D775" s="24">
        <v>1</v>
      </c>
      <c r="E775" s="24">
        <v>1.4</v>
      </c>
      <c r="F775" s="24">
        <v>0</v>
      </c>
      <c r="G775" s="24">
        <v>0</v>
      </c>
      <c r="H775" s="24">
        <v>0</v>
      </c>
      <c r="I775" s="24">
        <v>0</v>
      </c>
      <c r="J775" s="24">
        <v>0</v>
      </c>
      <c r="K775" s="24">
        <v>1</v>
      </c>
      <c r="L775" s="24">
        <v>1</v>
      </c>
      <c r="M775" s="24">
        <v>0</v>
      </c>
    </row>
    <row r="776" spans="2:13" ht="14" x14ac:dyDescent="0.2">
      <c r="B776" s="24">
        <v>13</v>
      </c>
      <c r="C776" s="24">
        <v>119</v>
      </c>
      <c r="D776" s="24">
        <v>2</v>
      </c>
      <c r="E776" s="24">
        <v>7.8</v>
      </c>
      <c r="F776" s="24">
        <v>1</v>
      </c>
      <c r="G776" s="24">
        <v>0</v>
      </c>
      <c r="H776" s="24">
        <v>221</v>
      </c>
      <c r="I776" s="24">
        <v>0</v>
      </c>
      <c r="J776" s="24">
        <v>0</v>
      </c>
      <c r="K776" s="24">
        <v>0</v>
      </c>
      <c r="L776" s="24">
        <v>0</v>
      </c>
      <c r="M776" s="24">
        <v>0</v>
      </c>
    </row>
    <row r="777" spans="2:13" ht="14" x14ac:dyDescent="0.2">
      <c r="B777" s="24">
        <v>19</v>
      </c>
      <c r="C777" s="24">
        <v>69</v>
      </c>
      <c r="D777" s="24">
        <v>4</v>
      </c>
      <c r="E777" s="24">
        <v>0.4</v>
      </c>
      <c r="F777" s="24">
        <v>1</v>
      </c>
      <c r="G777" s="24">
        <v>0</v>
      </c>
      <c r="H777" s="24">
        <v>0</v>
      </c>
      <c r="I777" s="24">
        <v>0</v>
      </c>
      <c r="J777" s="24">
        <v>0</v>
      </c>
      <c r="K777" s="24">
        <v>0</v>
      </c>
      <c r="L777" s="24">
        <v>0</v>
      </c>
      <c r="M777" s="24">
        <v>0</v>
      </c>
    </row>
    <row r="778" spans="2:13" ht="14" x14ac:dyDescent="0.2">
      <c r="B778" s="24">
        <v>6</v>
      </c>
      <c r="C778" s="24">
        <v>32</v>
      </c>
      <c r="D778" s="24">
        <v>2</v>
      </c>
      <c r="E778" s="24">
        <v>0.3</v>
      </c>
      <c r="F778" s="24">
        <v>1</v>
      </c>
      <c r="G778" s="24">
        <v>0</v>
      </c>
      <c r="H778" s="24">
        <v>0</v>
      </c>
      <c r="I778" s="24">
        <v>0</v>
      </c>
      <c r="J778" s="24">
        <v>0</v>
      </c>
      <c r="K778" s="24">
        <v>0</v>
      </c>
      <c r="L778" s="24">
        <v>0</v>
      </c>
      <c r="M778" s="24">
        <v>0</v>
      </c>
    </row>
    <row r="779" spans="2:13" ht="14" x14ac:dyDescent="0.2">
      <c r="B779" s="24">
        <v>19</v>
      </c>
      <c r="C779" s="24">
        <v>38</v>
      </c>
      <c r="D779" s="24">
        <v>3</v>
      </c>
      <c r="E779" s="24">
        <v>2.5</v>
      </c>
      <c r="F779" s="24">
        <v>0</v>
      </c>
      <c r="G779" s="24">
        <v>1</v>
      </c>
      <c r="H779" s="24">
        <v>135</v>
      </c>
      <c r="I779" s="24">
        <v>0</v>
      </c>
      <c r="J779" s="24">
        <v>0</v>
      </c>
      <c r="K779" s="24">
        <v>0</v>
      </c>
      <c r="L779" s="24">
        <v>0</v>
      </c>
      <c r="M779" s="24">
        <v>0</v>
      </c>
    </row>
    <row r="780" spans="2:13" ht="14" x14ac:dyDescent="0.2">
      <c r="B780" s="24">
        <v>32</v>
      </c>
      <c r="C780" s="24">
        <v>63</v>
      </c>
      <c r="D780" s="24">
        <v>4</v>
      </c>
      <c r="E780" s="24">
        <v>0.7</v>
      </c>
      <c r="F780" s="24">
        <v>1</v>
      </c>
      <c r="G780" s="24">
        <v>0</v>
      </c>
      <c r="H780" s="24">
        <v>0</v>
      </c>
      <c r="I780" s="24">
        <v>0</v>
      </c>
      <c r="J780" s="24">
        <v>0</v>
      </c>
      <c r="K780" s="24">
        <v>1</v>
      </c>
      <c r="L780" s="24">
        <v>0</v>
      </c>
      <c r="M780" s="24">
        <v>0</v>
      </c>
    </row>
    <row r="781" spans="2:13" ht="14" x14ac:dyDescent="0.2">
      <c r="B781" s="24">
        <v>38</v>
      </c>
      <c r="C781" s="24">
        <v>54</v>
      </c>
      <c r="D781" s="24">
        <v>3</v>
      </c>
      <c r="E781" s="24">
        <v>2.4</v>
      </c>
      <c r="F781" s="24">
        <v>1</v>
      </c>
      <c r="G781" s="24">
        <v>0</v>
      </c>
      <c r="H781" s="24">
        <v>90</v>
      </c>
      <c r="I781" s="24">
        <v>0</v>
      </c>
      <c r="J781" s="24">
        <v>0</v>
      </c>
      <c r="K781" s="24">
        <v>0</v>
      </c>
      <c r="L781" s="24">
        <v>1</v>
      </c>
      <c r="M781" s="24">
        <v>0</v>
      </c>
    </row>
    <row r="782" spans="2:13" ht="14" x14ac:dyDescent="0.2">
      <c r="B782" s="24">
        <v>11</v>
      </c>
      <c r="C782" s="24">
        <v>65</v>
      </c>
      <c r="D782" s="24">
        <v>3</v>
      </c>
      <c r="E782" s="24">
        <v>2.8</v>
      </c>
      <c r="F782" s="24">
        <v>1</v>
      </c>
      <c r="G782" s="24">
        <v>0</v>
      </c>
      <c r="H782" s="24">
        <v>240</v>
      </c>
      <c r="I782" s="24">
        <v>0</v>
      </c>
      <c r="J782" s="24">
        <v>0</v>
      </c>
      <c r="K782" s="24">
        <v>1</v>
      </c>
      <c r="L782" s="24">
        <v>0</v>
      </c>
      <c r="M782" s="24">
        <v>0</v>
      </c>
    </row>
    <row r="783" spans="2:13" ht="14" x14ac:dyDescent="0.2">
      <c r="B783" s="24">
        <v>13</v>
      </c>
      <c r="C783" s="24">
        <v>29</v>
      </c>
      <c r="D783" s="24">
        <v>4</v>
      </c>
      <c r="E783" s="24">
        <v>0.4</v>
      </c>
      <c r="F783" s="24">
        <v>0</v>
      </c>
      <c r="G783" s="24">
        <v>1</v>
      </c>
      <c r="H783" s="24">
        <v>155</v>
      </c>
      <c r="I783" s="24">
        <v>0</v>
      </c>
      <c r="J783" s="24">
        <v>0</v>
      </c>
      <c r="K783" s="24">
        <v>1</v>
      </c>
      <c r="L783" s="24">
        <v>0</v>
      </c>
      <c r="M783" s="24">
        <v>0</v>
      </c>
    </row>
    <row r="784" spans="2:13" ht="14" x14ac:dyDescent="0.2">
      <c r="B784" s="24">
        <v>12</v>
      </c>
      <c r="C784" s="24">
        <v>25</v>
      </c>
      <c r="D784" s="24">
        <v>4</v>
      </c>
      <c r="E784" s="24">
        <v>1</v>
      </c>
      <c r="F784" s="24">
        <v>1</v>
      </c>
      <c r="G784" s="24">
        <v>0</v>
      </c>
      <c r="H784" s="24">
        <v>0</v>
      </c>
      <c r="I784" s="24">
        <v>0</v>
      </c>
      <c r="J784" s="24">
        <v>0</v>
      </c>
      <c r="K784" s="24">
        <v>1</v>
      </c>
      <c r="L784" s="24">
        <v>0</v>
      </c>
      <c r="M784" s="24">
        <v>0</v>
      </c>
    </row>
    <row r="785" spans="2:13" ht="14" x14ac:dyDescent="0.2">
      <c r="B785" s="24">
        <v>28</v>
      </c>
      <c r="C785" s="24">
        <v>50</v>
      </c>
      <c r="D785" s="24">
        <v>3</v>
      </c>
      <c r="E785" s="24">
        <v>1</v>
      </c>
      <c r="F785" s="24">
        <v>0</v>
      </c>
      <c r="G785" s="24">
        <v>1</v>
      </c>
      <c r="H785" s="24">
        <v>0</v>
      </c>
      <c r="I785" s="24">
        <v>0</v>
      </c>
      <c r="J785" s="24">
        <v>0</v>
      </c>
      <c r="K785" s="24">
        <v>1</v>
      </c>
      <c r="L785" s="24">
        <v>1</v>
      </c>
      <c r="M785" s="24">
        <v>0</v>
      </c>
    </row>
    <row r="786" spans="2:13" ht="14" x14ac:dyDescent="0.2">
      <c r="B786" s="24">
        <v>5</v>
      </c>
      <c r="C786" s="24">
        <v>38</v>
      </c>
      <c r="D786" s="24">
        <v>4</v>
      </c>
      <c r="E786" s="24">
        <v>0.8</v>
      </c>
      <c r="F786" s="24">
        <v>1</v>
      </c>
      <c r="G786" s="24">
        <v>0</v>
      </c>
      <c r="H786" s="24">
        <v>129</v>
      </c>
      <c r="I786" s="24">
        <v>0</v>
      </c>
      <c r="J786" s="24">
        <v>0</v>
      </c>
      <c r="K786" s="24">
        <v>1</v>
      </c>
      <c r="L786" s="24">
        <v>1</v>
      </c>
      <c r="M786" s="24">
        <v>0</v>
      </c>
    </row>
    <row r="787" spans="2:13" ht="14" x14ac:dyDescent="0.2">
      <c r="B787" s="24">
        <v>21</v>
      </c>
      <c r="C787" s="24">
        <v>20</v>
      </c>
      <c r="D787" s="24">
        <v>1</v>
      </c>
      <c r="E787" s="24">
        <v>0.2</v>
      </c>
      <c r="F787" s="24">
        <v>1</v>
      </c>
      <c r="G787" s="24">
        <v>0</v>
      </c>
      <c r="H787" s="24">
        <v>0</v>
      </c>
      <c r="I787" s="24">
        <v>0</v>
      </c>
      <c r="J787" s="24">
        <v>0</v>
      </c>
      <c r="K787" s="24">
        <v>1</v>
      </c>
      <c r="L787" s="24">
        <v>1</v>
      </c>
      <c r="M787" s="24">
        <v>0</v>
      </c>
    </row>
    <row r="788" spans="2:13" ht="14" x14ac:dyDescent="0.2">
      <c r="B788" s="24">
        <v>20</v>
      </c>
      <c r="C788" s="24">
        <v>69</v>
      </c>
      <c r="D788" s="24">
        <v>1</v>
      </c>
      <c r="E788" s="24">
        <v>0.8</v>
      </c>
      <c r="F788" s="24">
        <v>0</v>
      </c>
      <c r="G788" s="24">
        <v>0</v>
      </c>
      <c r="H788" s="24">
        <v>184</v>
      </c>
      <c r="I788" s="24">
        <v>0</v>
      </c>
      <c r="J788" s="24">
        <v>1</v>
      </c>
      <c r="K788" s="24">
        <v>1</v>
      </c>
      <c r="L788" s="24">
        <v>1</v>
      </c>
      <c r="M788" s="24">
        <v>0</v>
      </c>
    </row>
    <row r="789" spans="2:13" ht="14" x14ac:dyDescent="0.2">
      <c r="B789" s="24">
        <v>34</v>
      </c>
      <c r="C789" s="24">
        <v>64</v>
      </c>
      <c r="D789" s="24">
        <v>2</v>
      </c>
      <c r="E789" s="24">
        <v>1.7</v>
      </c>
      <c r="F789" s="24">
        <v>0</v>
      </c>
      <c r="G789" s="24">
        <v>0</v>
      </c>
      <c r="H789" s="24">
        <v>236</v>
      </c>
      <c r="I789" s="24">
        <v>1</v>
      </c>
      <c r="J789" s="24">
        <v>0</v>
      </c>
      <c r="K789" s="24">
        <v>1</v>
      </c>
      <c r="L789" s="24">
        <v>0</v>
      </c>
      <c r="M789" s="24">
        <v>0</v>
      </c>
    </row>
    <row r="790" spans="2:13" ht="14" x14ac:dyDescent="0.2">
      <c r="B790" s="24">
        <v>12</v>
      </c>
      <c r="C790" s="24">
        <v>40</v>
      </c>
      <c r="D790" s="24">
        <v>2</v>
      </c>
      <c r="E790" s="24">
        <v>0.6</v>
      </c>
      <c r="F790" s="24">
        <v>0</v>
      </c>
      <c r="G790" s="24">
        <v>0</v>
      </c>
      <c r="H790" s="24">
        <v>0</v>
      </c>
      <c r="I790" s="24">
        <v>0</v>
      </c>
      <c r="J790" s="24">
        <v>0</v>
      </c>
      <c r="K790" s="24">
        <v>1</v>
      </c>
      <c r="L790" s="24">
        <v>1</v>
      </c>
      <c r="M790" s="24">
        <v>0</v>
      </c>
    </row>
    <row r="791" spans="2:13" ht="14" x14ac:dyDescent="0.2">
      <c r="B791" s="24">
        <v>34</v>
      </c>
      <c r="C791" s="24">
        <v>42</v>
      </c>
      <c r="D791" s="24">
        <v>3</v>
      </c>
      <c r="E791" s="24">
        <v>1.5</v>
      </c>
      <c r="F791" s="24">
        <v>1</v>
      </c>
      <c r="G791" s="24">
        <v>0</v>
      </c>
      <c r="H791" s="24">
        <v>0</v>
      </c>
      <c r="I791" s="24">
        <v>1</v>
      </c>
      <c r="J791" s="24">
        <v>1</v>
      </c>
      <c r="K791" s="24">
        <v>0</v>
      </c>
      <c r="L791" s="24">
        <v>1</v>
      </c>
      <c r="M791" s="24">
        <v>0</v>
      </c>
    </row>
    <row r="792" spans="2:13" ht="14" x14ac:dyDescent="0.2">
      <c r="B792" s="24">
        <v>8</v>
      </c>
      <c r="C792" s="24">
        <v>39</v>
      </c>
      <c r="D792" s="24">
        <v>1</v>
      </c>
      <c r="E792" s="24">
        <v>1.7</v>
      </c>
      <c r="F792" s="24">
        <v>1</v>
      </c>
      <c r="G792" s="24">
        <v>0</v>
      </c>
      <c r="H792" s="24">
        <v>0</v>
      </c>
      <c r="I792" s="24">
        <v>0</v>
      </c>
      <c r="J792" s="24">
        <v>0</v>
      </c>
      <c r="K792" s="24">
        <v>1</v>
      </c>
      <c r="L792" s="24">
        <v>1</v>
      </c>
      <c r="M792" s="24">
        <v>0</v>
      </c>
    </row>
    <row r="793" spans="2:13" ht="14" x14ac:dyDescent="0.2">
      <c r="B793" s="24">
        <v>34</v>
      </c>
      <c r="C793" s="24">
        <v>84</v>
      </c>
      <c r="D793" s="24">
        <v>3</v>
      </c>
      <c r="E793" s="24">
        <v>1.6</v>
      </c>
      <c r="F793" s="24">
        <v>0</v>
      </c>
      <c r="G793" s="24">
        <v>0</v>
      </c>
      <c r="H793" s="24">
        <v>0</v>
      </c>
      <c r="I793" s="24">
        <v>0</v>
      </c>
      <c r="J793" s="24">
        <v>0</v>
      </c>
      <c r="K793" s="24">
        <v>1</v>
      </c>
      <c r="L793" s="24">
        <v>0</v>
      </c>
      <c r="M793" s="24">
        <v>0</v>
      </c>
    </row>
    <row r="794" spans="2:13" ht="14" x14ac:dyDescent="0.2">
      <c r="B794" s="24">
        <v>0</v>
      </c>
      <c r="C794" s="24">
        <v>73</v>
      </c>
      <c r="D794" s="24">
        <v>4</v>
      </c>
      <c r="E794" s="24">
        <v>2.6</v>
      </c>
      <c r="F794" s="24">
        <v>1</v>
      </c>
      <c r="G794" s="24">
        <v>0</v>
      </c>
      <c r="H794" s="24">
        <v>0</v>
      </c>
      <c r="I794" s="24">
        <v>0</v>
      </c>
      <c r="J794" s="24">
        <v>0</v>
      </c>
      <c r="K794" s="24">
        <v>1</v>
      </c>
      <c r="L794" s="24">
        <v>0</v>
      </c>
      <c r="M794" s="24">
        <v>0</v>
      </c>
    </row>
    <row r="795" spans="2:13" ht="14" x14ac:dyDescent="0.2">
      <c r="B795" s="24">
        <v>6</v>
      </c>
      <c r="C795" s="24">
        <v>118</v>
      </c>
      <c r="D795" s="24">
        <v>2</v>
      </c>
      <c r="E795" s="24">
        <v>2.8</v>
      </c>
      <c r="F795" s="24">
        <v>0</v>
      </c>
      <c r="G795" s="24">
        <v>1</v>
      </c>
      <c r="H795" s="24">
        <v>0</v>
      </c>
      <c r="I795" s="24">
        <v>0</v>
      </c>
      <c r="J795" s="24">
        <v>0</v>
      </c>
      <c r="K795" s="24">
        <v>0</v>
      </c>
      <c r="L795" s="24">
        <v>0</v>
      </c>
      <c r="M795" s="24">
        <v>1</v>
      </c>
    </row>
    <row r="796" spans="2:13" ht="14" x14ac:dyDescent="0.2">
      <c r="B796" s="24">
        <v>6</v>
      </c>
      <c r="C796" s="24">
        <v>18</v>
      </c>
      <c r="D796" s="24">
        <v>3</v>
      </c>
      <c r="E796" s="24">
        <v>0.9</v>
      </c>
      <c r="F796" s="24">
        <v>0</v>
      </c>
      <c r="G796" s="24">
        <v>0</v>
      </c>
      <c r="H796" s="24">
        <v>0</v>
      </c>
      <c r="I796" s="24">
        <v>0</v>
      </c>
      <c r="J796" s="24">
        <v>0</v>
      </c>
      <c r="K796" s="24">
        <v>0</v>
      </c>
      <c r="L796" s="24">
        <v>0</v>
      </c>
      <c r="M796" s="24">
        <v>0</v>
      </c>
    </row>
    <row r="797" spans="2:13" ht="14" x14ac:dyDescent="0.2">
      <c r="B797" s="24">
        <v>31</v>
      </c>
      <c r="C797" s="24">
        <v>32</v>
      </c>
      <c r="D797" s="24">
        <v>3</v>
      </c>
      <c r="E797" s="24">
        <v>1.4</v>
      </c>
      <c r="F797" s="24">
        <v>1</v>
      </c>
      <c r="G797" s="24">
        <v>0</v>
      </c>
      <c r="H797" s="24">
        <v>0</v>
      </c>
      <c r="I797" s="24">
        <v>1</v>
      </c>
      <c r="J797" s="24">
        <v>1</v>
      </c>
      <c r="K797" s="24">
        <v>1</v>
      </c>
      <c r="L797" s="24">
        <v>1</v>
      </c>
      <c r="M797" s="24">
        <v>0</v>
      </c>
    </row>
    <row r="798" spans="2:13" ht="14" x14ac:dyDescent="0.2">
      <c r="B798" s="24">
        <v>2</v>
      </c>
      <c r="C798" s="24">
        <v>51</v>
      </c>
      <c r="D798" s="24">
        <v>4</v>
      </c>
      <c r="E798" s="24">
        <v>1.8</v>
      </c>
      <c r="F798" s="24">
        <v>0</v>
      </c>
      <c r="G798" s="24">
        <v>0</v>
      </c>
      <c r="H798" s="24">
        <v>0</v>
      </c>
      <c r="I798" s="24">
        <v>0</v>
      </c>
      <c r="J798" s="24">
        <v>0</v>
      </c>
      <c r="K798" s="24">
        <v>0</v>
      </c>
      <c r="L798" s="24">
        <v>1</v>
      </c>
      <c r="M798" s="24">
        <v>0</v>
      </c>
    </row>
    <row r="799" spans="2:13" ht="14" x14ac:dyDescent="0.2">
      <c r="B799" s="24">
        <v>23</v>
      </c>
      <c r="C799" s="24">
        <v>58</v>
      </c>
      <c r="D799" s="24">
        <v>4</v>
      </c>
      <c r="E799" s="24">
        <v>2</v>
      </c>
      <c r="F799" s="24">
        <v>0</v>
      </c>
      <c r="G799" s="24">
        <v>0</v>
      </c>
      <c r="H799" s="24">
        <v>0</v>
      </c>
      <c r="I799" s="24">
        <v>0</v>
      </c>
      <c r="J799" s="24">
        <v>0</v>
      </c>
      <c r="K799" s="24">
        <v>1</v>
      </c>
      <c r="L799" s="24">
        <v>1</v>
      </c>
      <c r="M799" s="24">
        <v>0</v>
      </c>
    </row>
    <row r="800" spans="2:13" ht="14" x14ac:dyDescent="0.2">
      <c r="B800" s="24">
        <v>32</v>
      </c>
      <c r="C800" s="24">
        <v>65</v>
      </c>
      <c r="D800" s="24">
        <v>3</v>
      </c>
      <c r="E800" s="24">
        <v>2.5</v>
      </c>
      <c r="F800" s="24">
        <v>1</v>
      </c>
      <c r="G800" s="24">
        <v>0</v>
      </c>
      <c r="H800" s="24">
        <v>222</v>
      </c>
      <c r="I800" s="24">
        <v>0</v>
      </c>
      <c r="J800" s="24">
        <v>0</v>
      </c>
      <c r="K800" s="24">
        <v>1</v>
      </c>
      <c r="L800" s="24">
        <v>0</v>
      </c>
      <c r="M800" s="24">
        <v>0</v>
      </c>
    </row>
    <row r="801" spans="2:13" ht="14" x14ac:dyDescent="0.2">
      <c r="B801" s="24">
        <v>21</v>
      </c>
      <c r="C801" s="24">
        <v>23</v>
      </c>
      <c r="D801" s="24">
        <v>3</v>
      </c>
      <c r="E801" s="24">
        <v>0.66666666666666696</v>
      </c>
      <c r="F801" s="24">
        <v>0</v>
      </c>
      <c r="G801" s="24">
        <v>1</v>
      </c>
      <c r="H801" s="24">
        <v>0</v>
      </c>
      <c r="I801" s="24">
        <v>0</v>
      </c>
      <c r="J801" s="24">
        <v>0</v>
      </c>
      <c r="K801" s="24">
        <v>1</v>
      </c>
      <c r="L801" s="24">
        <v>0</v>
      </c>
      <c r="M801" s="24">
        <v>0</v>
      </c>
    </row>
    <row r="802" spans="2:13" ht="14" x14ac:dyDescent="0.2">
      <c r="B802" s="24">
        <v>5</v>
      </c>
      <c r="C802" s="24">
        <v>72</v>
      </c>
      <c r="D802" s="24">
        <v>3</v>
      </c>
      <c r="E802" s="24">
        <v>0.7</v>
      </c>
      <c r="F802" s="24">
        <v>0</v>
      </c>
      <c r="G802" s="24">
        <v>1</v>
      </c>
      <c r="H802" s="24">
        <v>81</v>
      </c>
      <c r="I802" s="24">
        <v>0</v>
      </c>
      <c r="J802" s="24">
        <v>0</v>
      </c>
      <c r="K802" s="24">
        <v>0</v>
      </c>
      <c r="L802" s="24">
        <v>0</v>
      </c>
      <c r="M802" s="24">
        <v>0</v>
      </c>
    </row>
    <row r="803" spans="2:13" ht="14" x14ac:dyDescent="0.2">
      <c r="B803" s="24">
        <v>37</v>
      </c>
      <c r="C803" s="24">
        <v>85</v>
      </c>
      <c r="D803" s="24">
        <v>4</v>
      </c>
      <c r="E803" s="24">
        <v>3.4</v>
      </c>
      <c r="F803" s="24">
        <v>0</v>
      </c>
      <c r="G803" s="24">
        <v>1</v>
      </c>
      <c r="H803" s="24">
        <v>0</v>
      </c>
      <c r="I803" s="24">
        <v>0</v>
      </c>
      <c r="J803" s="24">
        <v>0</v>
      </c>
      <c r="K803" s="24">
        <v>1</v>
      </c>
      <c r="L803" s="24">
        <v>0</v>
      </c>
      <c r="M803" s="24">
        <v>0</v>
      </c>
    </row>
    <row r="804" spans="2:13" ht="14" x14ac:dyDescent="0.2">
      <c r="B804" s="24">
        <v>9</v>
      </c>
      <c r="C804" s="24">
        <v>20</v>
      </c>
      <c r="D804" s="24">
        <v>4</v>
      </c>
      <c r="E804" s="24">
        <v>1.1000000000000001</v>
      </c>
      <c r="F804" s="24">
        <v>0</v>
      </c>
      <c r="G804" s="24">
        <v>0</v>
      </c>
      <c r="H804" s="24">
        <v>0</v>
      </c>
      <c r="I804" s="24">
        <v>0</v>
      </c>
      <c r="J804" s="24">
        <v>0</v>
      </c>
      <c r="K804" s="24">
        <v>1</v>
      </c>
      <c r="L804" s="24">
        <v>0</v>
      </c>
      <c r="M804" s="24">
        <v>0</v>
      </c>
    </row>
    <row r="805" spans="2:13" ht="14" x14ac:dyDescent="0.2">
      <c r="B805" s="24">
        <v>26</v>
      </c>
      <c r="C805" s="24">
        <v>39</v>
      </c>
      <c r="D805" s="24">
        <v>3</v>
      </c>
      <c r="E805" s="24">
        <v>1.9</v>
      </c>
      <c r="F805" s="24">
        <v>0</v>
      </c>
      <c r="G805" s="24">
        <v>1</v>
      </c>
      <c r="H805" s="24">
        <v>0</v>
      </c>
      <c r="I805" s="24">
        <v>0</v>
      </c>
      <c r="J805" s="24">
        <v>0</v>
      </c>
      <c r="K805" s="24">
        <v>1</v>
      </c>
      <c r="L805" s="24">
        <v>0</v>
      </c>
      <c r="M805" s="24">
        <v>0</v>
      </c>
    </row>
    <row r="806" spans="2:13" ht="14" x14ac:dyDescent="0.2">
      <c r="B806" s="24">
        <v>32</v>
      </c>
      <c r="C806" s="24">
        <v>122</v>
      </c>
      <c r="D806" s="24">
        <v>2</v>
      </c>
      <c r="E806" s="24">
        <v>0.3</v>
      </c>
      <c r="F806" s="24">
        <v>1</v>
      </c>
      <c r="G806" s="24">
        <v>0</v>
      </c>
      <c r="H806" s="24">
        <v>360</v>
      </c>
      <c r="I806" s="24">
        <v>0</v>
      </c>
      <c r="J806" s="24">
        <v>1</v>
      </c>
      <c r="K806" s="24">
        <v>1</v>
      </c>
      <c r="L806" s="24">
        <v>1</v>
      </c>
      <c r="M806" s="24">
        <v>0</v>
      </c>
    </row>
    <row r="807" spans="2:13" ht="14" x14ac:dyDescent="0.2">
      <c r="B807" s="24">
        <v>27</v>
      </c>
      <c r="C807" s="24">
        <v>195</v>
      </c>
      <c r="D807" s="24">
        <v>1</v>
      </c>
      <c r="E807" s="24">
        <v>8.1</v>
      </c>
      <c r="F807" s="24">
        <v>1</v>
      </c>
      <c r="G807" s="24">
        <v>0</v>
      </c>
      <c r="H807" s="24">
        <v>0</v>
      </c>
      <c r="I807" s="24">
        <v>0</v>
      </c>
      <c r="J807" s="24">
        <v>0</v>
      </c>
      <c r="K807" s="24">
        <v>0</v>
      </c>
      <c r="L807" s="24">
        <v>0</v>
      </c>
      <c r="M807" s="24">
        <v>0</v>
      </c>
    </row>
    <row r="808" spans="2:13" ht="14" x14ac:dyDescent="0.2">
      <c r="B808" s="24">
        <v>36</v>
      </c>
      <c r="C808" s="24">
        <v>135</v>
      </c>
      <c r="D808" s="24">
        <v>2</v>
      </c>
      <c r="E808" s="24">
        <v>5.2</v>
      </c>
      <c r="F808" s="24">
        <v>0</v>
      </c>
      <c r="G808" s="24">
        <v>1</v>
      </c>
      <c r="H808" s="24">
        <v>0</v>
      </c>
      <c r="I808" s="24">
        <v>0</v>
      </c>
      <c r="J808" s="24">
        <v>0</v>
      </c>
      <c r="K808" s="24">
        <v>1</v>
      </c>
      <c r="L808" s="24">
        <v>0</v>
      </c>
      <c r="M808" s="24">
        <v>1</v>
      </c>
    </row>
    <row r="809" spans="2:13" ht="14" x14ac:dyDescent="0.2">
      <c r="B809" s="24">
        <v>13</v>
      </c>
      <c r="C809" s="24">
        <v>82</v>
      </c>
      <c r="D809" s="24">
        <v>2</v>
      </c>
      <c r="E809" s="24">
        <v>2.2000000000000002</v>
      </c>
      <c r="F809" s="24">
        <v>1</v>
      </c>
      <c r="G809" s="24">
        <v>0</v>
      </c>
      <c r="H809" s="24">
        <v>0</v>
      </c>
      <c r="I809" s="24">
        <v>0</v>
      </c>
      <c r="J809" s="24">
        <v>0</v>
      </c>
      <c r="K809" s="24">
        <v>0</v>
      </c>
      <c r="L809" s="24">
        <v>0</v>
      </c>
      <c r="M809" s="24">
        <v>0</v>
      </c>
    </row>
    <row r="810" spans="2:13" ht="14" x14ac:dyDescent="0.2">
      <c r="B810" s="24">
        <v>36</v>
      </c>
      <c r="C810" s="24">
        <v>29</v>
      </c>
      <c r="D810" s="24">
        <v>2</v>
      </c>
      <c r="E810" s="24">
        <v>0.7</v>
      </c>
      <c r="F810" s="24">
        <v>0</v>
      </c>
      <c r="G810" s="24">
        <v>0</v>
      </c>
      <c r="H810" s="24">
        <v>0</v>
      </c>
      <c r="I810" s="24">
        <v>0</v>
      </c>
      <c r="J810" s="24">
        <v>0</v>
      </c>
      <c r="K810" s="24">
        <v>0</v>
      </c>
      <c r="L810" s="24">
        <v>0</v>
      </c>
      <c r="M810" s="24">
        <v>0</v>
      </c>
    </row>
    <row r="811" spans="2:13" ht="14" x14ac:dyDescent="0.2">
      <c r="B811" s="24">
        <v>1</v>
      </c>
      <c r="C811" s="24">
        <v>41</v>
      </c>
      <c r="D811" s="24">
        <v>1</v>
      </c>
      <c r="E811" s="24">
        <v>1.9</v>
      </c>
      <c r="F811" s="24">
        <v>0</v>
      </c>
      <c r="G811" s="24">
        <v>0</v>
      </c>
      <c r="H811" s="24">
        <v>0</v>
      </c>
      <c r="I811" s="24">
        <v>0</v>
      </c>
      <c r="J811" s="24">
        <v>0</v>
      </c>
      <c r="K811" s="24">
        <v>0</v>
      </c>
      <c r="L811" s="24">
        <v>1</v>
      </c>
      <c r="M811" s="24">
        <v>0</v>
      </c>
    </row>
    <row r="812" spans="2:13" ht="14" x14ac:dyDescent="0.2">
      <c r="B812" s="24">
        <v>38</v>
      </c>
      <c r="C812" s="24">
        <v>22</v>
      </c>
      <c r="D812" s="24">
        <v>2</v>
      </c>
      <c r="E812" s="24">
        <v>0.2</v>
      </c>
      <c r="F812" s="24">
        <v>0</v>
      </c>
      <c r="G812" s="24">
        <v>0</v>
      </c>
      <c r="H812" s="24">
        <v>0</v>
      </c>
      <c r="I812" s="24">
        <v>1</v>
      </c>
      <c r="J812" s="24">
        <v>0</v>
      </c>
      <c r="K812" s="24">
        <v>0</v>
      </c>
      <c r="L812" s="24">
        <v>0</v>
      </c>
      <c r="M812" s="24">
        <v>0</v>
      </c>
    </row>
    <row r="813" spans="2:13" ht="14" x14ac:dyDescent="0.2">
      <c r="B813" s="24">
        <v>27</v>
      </c>
      <c r="C813" s="24">
        <v>23</v>
      </c>
      <c r="D813" s="24">
        <v>1</v>
      </c>
      <c r="E813" s="24">
        <v>0.2</v>
      </c>
      <c r="F813" s="24">
        <v>1</v>
      </c>
      <c r="G813" s="24">
        <v>0</v>
      </c>
      <c r="H813" s="24">
        <v>0</v>
      </c>
      <c r="I813" s="24">
        <v>0</v>
      </c>
      <c r="J813" s="24">
        <v>0</v>
      </c>
      <c r="K813" s="24">
        <v>1</v>
      </c>
      <c r="L813" s="24">
        <v>0</v>
      </c>
      <c r="M813" s="24">
        <v>0</v>
      </c>
    </row>
    <row r="814" spans="2:13" ht="14" x14ac:dyDescent="0.2">
      <c r="B814" s="24">
        <v>29</v>
      </c>
      <c r="C814" s="24">
        <v>79</v>
      </c>
      <c r="D814" s="24">
        <v>4</v>
      </c>
      <c r="E814" s="24">
        <v>3.8</v>
      </c>
      <c r="F814" s="24">
        <v>0</v>
      </c>
      <c r="G814" s="24">
        <v>1</v>
      </c>
      <c r="H814" s="24">
        <v>0</v>
      </c>
      <c r="I814" s="24">
        <v>1</v>
      </c>
      <c r="J814" s="24">
        <v>0</v>
      </c>
      <c r="K814" s="24">
        <v>1</v>
      </c>
      <c r="L814" s="24">
        <v>0</v>
      </c>
      <c r="M814" s="24">
        <v>0</v>
      </c>
    </row>
    <row r="815" spans="2:13" ht="14" x14ac:dyDescent="0.2">
      <c r="B815" s="24">
        <v>30</v>
      </c>
      <c r="C815" s="24">
        <v>164</v>
      </c>
      <c r="D815" s="24">
        <v>4</v>
      </c>
      <c r="E815" s="24">
        <v>0.5</v>
      </c>
      <c r="F815" s="24">
        <v>0</v>
      </c>
      <c r="G815" s="24">
        <v>1</v>
      </c>
      <c r="H815" s="24">
        <v>234</v>
      </c>
      <c r="I815" s="24">
        <v>0</v>
      </c>
      <c r="J815" s="24">
        <v>1</v>
      </c>
      <c r="K815" s="24">
        <v>1</v>
      </c>
      <c r="L815" s="24">
        <v>1</v>
      </c>
      <c r="M815" s="24">
        <v>1</v>
      </c>
    </row>
    <row r="816" spans="2:13" ht="14" x14ac:dyDescent="0.2">
      <c r="B816" s="24">
        <v>20</v>
      </c>
      <c r="C816" s="24">
        <v>39</v>
      </c>
      <c r="D816" s="24">
        <v>1</v>
      </c>
      <c r="E816" s="24">
        <v>0.2</v>
      </c>
      <c r="F816" s="24">
        <v>1</v>
      </c>
      <c r="G816" s="24">
        <v>0</v>
      </c>
      <c r="H816" s="24">
        <v>0</v>
      </c>
      <c r="I816" s="24">
        <v>0</v>
      </c>
      <c r="J816" s="24">
        <v>0</v>
      </c>
      <c r="K816" s="24">
        <v>0</v>
      </c>
      <c r="L816" s="24">
        <v>0</v>
      </c>
      <c r="M816" s="24">
        <v>0</v>
      </c>
    </row>
    <row r="817" spans="2:13" ht="14" x14ac:dyDescent="0.2">
      <c r="B817" s="24">
        <v>19</v>
      </c>
      <c r="C817" s="24">
        <v>93</v>
      </c>
      <c r="D817" s="24">
        <v>4</v>
      </c>
      <c r="E817" s="24">
        <v>2.6</v>
      </c>
      <c r="F817" s="24">
        <v>0</v>
      </c>
      <c r="G817" s="24">
        <v>0</v>
      </c>
      <c r="H817" s="24">
        <v>0</v>
      </c>
      <c r="I817" s="24">
        <v>0</v>
      </c>
      <c r="J817" s="24">
        <v>0</v>
      </c>
      <c r="K817" s="24">
        <v>0</v>
      </c>
      <c r="L817" s="24">
        <v>0</v>
      </c>
      <c r="M817" s="24">
        <v>0</v>
      </c>
    </row>
    <row r="818" spans="2:13" ht="14" x14ac:dyDescent="0.2">
      <c r="B818" s="24">
        <v>2</v>
      </c>
      <c r="C818" s="24">
        <v>101</v>
      </c>
      <c r="D818" s="24">
        <v>1</v>
      </c>
      <c r="E818" s="24">
        <v>1.9</v>
      </c>
      <c r="F818" s="24">
        <v>1</v>
      </c>
      <c r="G818" s="24">
        <v>0</v>
      </c>
      <c r="H818" s="24">
        <v>0</v>
      </c>
      <c r="I818" s="24">
        <v>0</v>
      </c>
      <c r="J818" s="24">
        <v>0</v>
      </c>
      <c r="K818" s="24">
        <v>0</v>
      </c>
      <c r="L818" s="24">
        <v>0</v>
      </c>
      <c r="M818" s="24">
        <v>0</v>
      </c>
    </row>
    <row r="819" spans="2:13" ht="14" x14ac:dyDescent="0.2">
      <c r="B819" s="24">
        <v>30</v>
      </c>
      <c r="C819" s="24">
        <v>55</v>
      </c>
      <c r="D819" s="24">
        <v>4</v>
      </c>
      <c r="E819" s="24">
        <v>0.9</v>
      </c>
      <c r="F819" s="24">
        <v>1</v>
      </c>
      <c r="G819" s="24">
        <v>0</v>
      </c>
      <c r="H819" s="24">
        <v>215</v>
      </c>
      <c r="I819" s="24">
        <v>0</v>
      </c>
      <c r="J819" s="24">
        <v>0</v>
      </c>
      <c r="K819" s="24">
        <v>1</v>
      </c>
      <c r="L819" s="24">
        <v>1</v>
      </c>
      <c r="M819" s="24">
        <v>0</v>
      </c>
    </row>
    <row r="820" spans="2:13" ht="14" x14ac:dyDescent="0.2">
      <c r="B820" s="24">
        <v>10</v>
      </c>
      <c r="C820" s="24">
        <v>38</v>
      </c>
      <c r="D820" s="24">
        <v>4</v>
      </c>
      <c r="E820" s="24">
        <v>1.7</v>
      </c>
      <c r="F820" s="24">
        <v>1</v>
      </c>
      <c r="G820" s="24">
        <v>0</v>
      </c>
      <c r="H820" s="24">
        <v>0</v>
      </c>
      <c r="I820" s="24">
        <v>0</v>
      </c>
      <c r="J820" s="24">
        <v>0</v>
      </c>
      <c r="K820" s="24">
        <v>1</v>
      </c>
      <c r="L820" s="24">
        <v>1</v>
      </c>
      <c r="M820" s="24">
        <v>0</v>
      </c>
    </row>
    <row r="821" spans="2:13" ht="14" x14ac:dyDescent="0.2">
      <c r="B821" s="24">
        <v>20</v>
      </c>
      <c r="C821" s="24">
        <v>20</v>
      </c>
      <c r="D821" s="24">
        <v>1</v>
      </c>
      <c r="E821" s="24">
        <v>1.4</v>
      </c>
      <c r="F821" s="24">
        <v>0</v>
      </c>
      <c r="G821" s="24">
        <v>0</v>
      </c>
      <c r="H821" s="24">
        <v>0</v>
      </c>
      <c r="I821" s="24">
        <v>0</v>
      </c>
      <c r="J821" s="24">
        <v>0</v>
      </c>
      <c r="K821" s="24">
        <v>0</v>
      </c>
      <c r="L821" s="24">
        <v>0</v>
      </c>
      <c r="M821" s="24">
        <v>0</v>
      </c>
    </row>
    <row r="822" spans="2:13" ht="14" x14ac:dyDescent="0.2">
      <c r="B822" s="24">
        <v>4</v>
      </c>
      <c r="C822" s="24">
        <v>62</v>
      </c>
      <c r="D822" s="24">
        <v>2</v>
      </c>
      <c r="E822" s="24">
        <v>2.5</v>
      </c>
      <c r="F822" s="24">
        <v>1</v>
      </c>
      <c r="G822" s="24">
        <v>0</v>
      </c>
      <c r="H822" s="24">
        <v>184</v>
      </c>
      <c r="I822" s="24">
        <v>0</v>
      </c>
      <c r="J822" s="24">
        <v>0</v>
      </c>
      <c r="K822" s="24">
        <v>1</v>
      </c>
      <c r="L822" s="24">
        <v>0</v>
      </c>
      <c r="M822" s="24">
        <v>0</v>
      </c>
    </row>
    <row r="823" spans="2:13" ht="14" x14ac:dyDescent="0.2">
      <c r="B823" s="24">
        <v>41</v>
      </c>
      <c r="C823" s="24">
        <v>18</v>
      </c>
      <c r="D823" s="24">
        <v>3</v>
      </c>
      <c r="E823" s="24">
        <v>0.5</v>
      </c>
      <c r="F823" s="24">
        <v>1</v>
      </c>
      <c r="G823" s="24">
        <v>0</v>
      </c>
      <c r="H823" s="24">
        <v>0</v>
      </c>
      <c r="I823" s="24">
        <v>0</v>
      </c>
      <c r="J823" s="24">
        <v>0</v>
      </c>
      <c r="K823" s="24">
        <v>0</v>
      </c>
      <c r="L823" s="24">
        <v>0</v>
      </c>
      <c r="M823" s="24">
        <v>0</v>
      </c>
    </row>
    <row r="824" spans="2:13" ht="14" x14ac:dyDescent="0.2">
      <c r="B824" s="24">
        <v>36</v>
      </c>
      <c r="C824" s="24">
        <v>169</v>
      </c>
      <c r="D824" s="24">
        <v>2</v>
      </c>
      <c r="E824" s="24">
        <v>6.1</v>
      </c>
      <c r="F824" s="24">
        <v>0</v>
      </c>
      <c r="G824" s="24">
        <v>0</v>
      </c>
      <c r="H824" s="24">
        <v>106</v>
      </c>
      <c r="I824" s="24">
        <v>0</v>
      </c>
      <c r="J824" s="24">
        <v>1</v>
      </c>
      <c r="K824" s="24">
        <v>1</v>
      </c>
      <c r="L824" s="24">
        <v>1</v>
      </c>
      <c r="M824" s="24">
        <v>1</v>
      </c>
    </row>
    <row r="825" spans="2:13" ht="14" x14ac:dyDescent="0.2">
      <c r="B825" s="24">
        <v>7</v>
      </c>
      <c r="C825" s="24">
        <v>64</v>
      </c>
      <c r="D825" s="24">
        <v>1</v>
      </c>
      <c r="E825" s="24">
        <v>1.2</v>
      </c>
      <c r="F825" s="24">
        <v>1</v>
      </c>
      <c r="G825" s="24">
        <v>0</v>
      </c>
      <c r="H825" s="24">
        <v>0</v>
      </c>
      <c r="I825" s="24">
        <v>0</v>
      </c>
      <c r="J825" s="24">
        <v>0</v>
      </c>
      <c r="K825" s="24">
        <v>1</v>
      </c>
      <c r="L825" s="24">
        <v>0</v>
      </c>
      <c r="M825" s="24">
        <v>0</v>
      </c>
    </row>
    <row r="826" spans="2:13" ht="14" x14ac:dyDescent="0.2">
      <c r="B826" s="24">
        <v>25</v>
      </c>
      <c r="C826" s="24">
        <v>40</v>
      </c>
      <c r="D826" s="24">
        <v>1</v>
      </c>
      <c r="E826" s="24">
        <v>1.3</v>
      </c>
      <c r="F826" s="24">
        <v>0</v>
      </c>
      <c r="G826" s="24">
        <v>1</v>
      </c>
      <c r="H826" s="24">
        <v>0</v>
      </c>
      <c r="I826" s="24">
        <v>0</v>
      </c>
      <c r="J826" s="24">
        <v>0</v>
      </c>
      <c r="K826" s="24">
        <v>1</v>
      </c>
      <c r="L826" s="24">
        <v>1</v>
      </c>
      <c r="M826" s="24">
        <v>0</v>
      </c>
    </row>
    <row r="827" spans="2:13" ht="14" x14ac:dyDescent="0.2">
      <c r="B827" s="24">
        <v>40</v>
      </c>
      <c r="C827" s="24">
        <v>92</v>
      </c>
      <c r="D827" s="24">
        <v>2</v>
      </c>
      <c r="E827" s="24">
        <v>0</v>
      </c>
      <c r="F827" s="24">
        <v>0</v>
      </c>
      <c r="G827" s="24">
        <v>0</v>
      </c>
      <c r="H827" s="24">
        <v>185</v>
      </c>
      <c r="I827" s="24">
        <v>1</v>
      </c>
      <c r="J827" s="24">
        <v>0</v>
      </c>
      <c r="K827" s="24">
        <v>1</v>
      </c>
      <c r="L827" s="24">
        <v>0</v>
      </c>
      <c r="M827" s="24">
        <v>0</v>
      </c>
    </row>
    <row r="828" spans="2:13" ht="14" x14ac:dyDescent="0.2">
      <c r="B828" s="24">
        <v>9</v>
      </c>
      <c r="C828" s="24">
        <v>180</v>
      </c>
      <c r="D828" s="24">
        <v>1</v>
      </c>
      <c r="E828" s="24">
        <v>8.9</v>
      </c>
      <c r="F828" s="24">
        <v>0</v>
      </c>
      <c r="G828" s="24">
        <v>0</v>
      </c>
      <c r="H828" s="24">
        <v>0</v>
      </c>
      <c r="I828" s="24">
        <v>0</v>
      </c>
      <c r="J828" s="24">
        <v>0</v>
      </c>
      <c r="K828" s="24">
        <v>0</v>
      </c>
      <c r="L828" s="24">
        <v>0</v>
      </c>
      <c r="M828" s="24">
        <v>1</v>
      </c>
    </row>
    <row r="829" spans="2:13" ht="14" x14ac:dyDescent="0.2">
      <c r="B829" s="24">
        <v>21</v>
      </c>
      <c r="C829" s="24">
        <v>83</v>
      </c>
      <c r="D829" s="24">
        <v>1</v>
      </c>
      <c r="E829" s="24">
        <v>3.8</v>
      </c>
      <c r="F829" s="24">
        <v>1</v>
      </c>
      <c r="G829" s="24">
        <v>0</v>
      </c>
      <c r="H829" s="24">
        <v>97</v>
      </c>
      <c r="I829" s="24">
        <v>0</v>
      </c>
      <c r="J829" s="24">
        <v>0</v>
      </c>
      <c r="K829" s="24">
        <v>0</v>
      </c>
      <c r="L829" s="24">
        <v>0</v>
      </c>
      <c r="M829" s="24">
        <v>1</v>
      </c>
    </row>
    <row r="830" spans="2:13" ht="14" x14ac:dyDescent="0.2">
      <c r="B830" s="24">
        <v>28</v>
      </c>
      <c r="C830" s="24">
        <v>175</v>
      </c>
      <c r="D830" s="24">
        <v>3</v>
      </c>
      <c r="E830" s="24">
        <v>3.6</v>
      </c>
      <c r="F830" s="24">
        <v>0</v>
      </c>
      <c r="G830" s="24">
        <v>0</v>
      </c>
      <c r="H830" s="24">
        <v>0</v>
      </c>
      <c r="I830" s="24">
        <v>0</v>
      </c>
      <c r="J830" s="24">
        <v>1</v>
      </c>
      <c r="K830" s="24">
        <v>1</v>
      </c>
      <c r="L830" s="24">
        <v>1</v>
      </c>
      <c r="M830" s="24">
        <v>1</v>
      </c>
    </row>
    <row r="831" spans="2:13" ht="14" x14ac:dyDescent="0.2">
      <c r="B831" s="24">
        <v>17</v>
      </c>
      <c r="C831" s="24">
        <v>128</v>
      </c>
      <c r="D831" s="24">
        <v>2</v>
      </c>
      <c r="E831" s="24">
        <v>3.25</v>
      </c>
      <c r="F831" s="24">
        <v>0</v>
      </c>
      <c r="G831" s="24">
        <v>1</v>
      </c>
      <c r="H831" s="24">
        <v>0</v>
      </c>
      <c r="I831" s="24">
        <v>0</v>
      </c>
      <c r="J831" s="24">
        <v>0</v>
      </c>
      <c r="K831" s="24">
        <v>0</v>
      </c>
      <c r="L831" s="24">
        <v>1</v>
      </c>
      <c r="M831" s="24">
        <v>1</v>
      </c>
    </row>
    <row r="832" spans="2:13" ht="14" x14ac:dyDescent="0.2">
      <c r="B832" s="24">
        <v>32</v>
      </c>
      <c r="C832" s="24">
        <v>28</v>
      </c>
      <c r="D832" s="24">
        <v>3</v>
      </c>
      <c r="E832" s="24">
        <v>0.2</v>
      </c>
      <c r="F832" s="24">
        <v>1</v>
      </c>
      <c r="G832" s="24">
        <v>0</v>
      </c>
      <c r="H832" s="24">
        <v>0</v>
      </c>
      <c r="I832" s="24">
        <v>0</v>
      </c>
      <c r="J832" s="24">
        <v>0</v>
      </c>
      <c r="K832" s="24">
        <v>1</v>
      </c>
      <c r="L832" s="24">
        <v>1</v>
      </c>
      <c r="M832" s="24">
        <v>0</v>
      </c>
    </row>
    <row r="833" spans="2:13" ht="14" x14ac:dyDescent="0.2">
      <c r="B833" s="24">
        <v>14</v>
      </c>
      <c r="C833" s="24">
        <v>49</v>
      </c>
      <c r="D833" s="24">
        <v>1</v>
      </c>
      <c r="E833" s="24">
        <v>1.8</v>
      </c>
      <c r="F833" s="24">
        <v>1</v>
      </c>
      <c r="G833" s="24">
        <v>0</v>
      </c>
      <c r="H833" s="24">
        <v>0</v>
      </c>
      <c r="I833" s="24">
        <v>0</v>
      </c>
      <c r="J833" s="24">
        <v>0</v>
      </c>
      <c r="K833" s="24">
        <v>0</v>
      </c>
      <c r="L833" s="24">
        <v>0</v>
      </c>
      <c r="M833" s="24">
        <v>0</v>
      </c>
    </row>
    <row r="834" spans="2:13" ht="14" x14ac:dyDescent="0.2">
      <c r="B834" s="24">
        <v>15</v>
      </c>
      <c r="C834" s="24">
        <v>159</v>
      </c>
      <c r="D834" s="24">
        <v>1</v>
      </c>
      <c r="E834" s="24">
        <v>5.5</v>
      </c>
      <c r="F834" s="24">
        <v>0</v>
      </c>
      <c r="G834" s="24">
        <v>0</v>
      </c>
      <c r="H834" s="24">
        <v>0</v>
      </c>
      <c r="I834" s="24">
        <v>0</v>
      </c>
      <c r="J834" s="24">
        <v>1</v>
      </c>
      <c r="K834" s="24">
        <v>1</v>
      </c>
      <c r="L834" s="24">
        <v>0</v>
      </c>
      <c r="M834" s="24">
        <v>1</v>
      </c>
    </row>
    <row r="835" spans="2:13" ht="14" x14ac:dyDescent="0.2">
      <c r="B835" s="24">
        <v>0</v>
      </c>
      <c r="C835" s="24">
        <v>44</v>
      </c>
      <c r="D835" s="24">
        <v>4</v>
      </c>
      <c r="E835" s="24">
        <v>0.6</v>
      </c>
      <c r="F835" s="24">
        <v>0</v>
      </c>
      <c r="G835" s="24">
        <v>1</v>
      </c>
      <c r="H835" s="24">
        <v>0</v>
      </c>
      <c r="I835" s="24">
        <v>0</v>
      </c>
      <c r="J835" s="24">
        <v>0</v>
      </c>
      <c r="K835" s="24">
        <v>1</v>
      </c>
      <c r="L835" s="24">
        <v>1</v>
      </c>
      <c r="M835" s="24">
        <v>0</v>
      </c>
    </row>
    <row r="836" spans="2:13" ht="14" x14ac:dyDescent="0.2">
      <c r="B836" s="24">
        <v>37</v>
      </c>
      <c r="C836" s="24">
        <v>84</v>
      </c>
      <c r="D836" s="24">
        <v>4</v>
      </c>
      <c r="E836" s="24">
        <v>1.9</v>
      </c>
      <c r="F836" s="24">
        <v>0</v>
      </c>
      <c r="G836" s="24">
        <v>1</v>
      </c>
      <c r="H836" s="24">
        <v>0</v>
      </c>
      <c r="I836" s="24">
        <v>0</v>
      </c>
      <c r="J836" s="24">
        <v>0</v>
      </c>
      <c r="K836" s="24">
        <v>1</v>
      </c>
      <c r="L836" s="24">
        <v>0</v>
      </c>
      <c r="M836" s="24">
        <v>0</v>
      </c>
    </row>
    <row r="837" spans="2:13" ht="14" x14ac:dyDescent="0.2">
      <c r="B837" s="24">
        <v>19</v>
      </c>
      <c r="C837" s="24">
        <v>58</v>
      </c>
      <c r="D837" s="24">
        <v>2</v>
      </c>
      <c r="E837" s="24">
        <v>0.4</v>
      </c>
      <c r="F837" s="24">
        <v>0</v>
      </c>
      <c r="G837" s="24">
        <v>0</v>
      </c>
      <c r="H837" s="24">
        <v>0</v>
      </c>
      <c r="I837" s="24">
        <v>1</v>
      </c>
      <c r="J837" s="24">
        <v>0</v>
      </c>
      <c r="K837" s="24">
        <v>0</v>
      </c>
      <c r="L837" s="24">
        <v>1</v>
      </c>
      <c r="M837" s="24">
        <v>0</v>
      </c>
    </row>
    <row r="838" spans="2:13" ht="14" x14ac:dyDescent="0.2">
      <c r="B838" s="24">
        <v>7</v>
      </c>
      <c r="C838" s="24">
        <v>42</v>
      </c>
      <c r="D838" s="24">
        <v>3</v>
      </c>
      <c r="E838" s="24">
        <v>2.2999999999999998</v>
      </c>
      <c r="F838" s="24">
        <v>1</v>
      </c>
      <c r="G838" s="24">
        <v>0</v>
      </c>
      <c r="H838" s="24">
        <v>0</v>
      </c>
      <c r="I838" s="24">
        <v>0</v>
      </c>
      <c r="J838" s="24">
        <v>0</v>
      </c>
      <c r="K838" s="24">
        <v>1</v>
      </c>
      <c r="L838" s="24">
        <v>0</v>
      </c>
      <c r="M838" s="24">
        <v>0</v>
      </c>
    </row>
    <row r="839" spans="2:13" ht="14" x14ac:dyDescent="0.2">
      <c r="B839" s="24">
        <v>33</v>
      </c>
      <c r="C839" s="24">
        <v>53</v>
      </c>
      <c r="D839" s="24">
        <v>4</v>
      </c>
      <c r="E839" s="24">
        <v>2.1</v>
      </c>
      <c r="F839" s="24">
        <v>1</v>
      </c>
      <c r="G839" s="24">
        <v>0</v>
      </c>
      <c r="H839" s="24">
        <v>0</v>
      </c>
      <c r="I839" s="24">
        <v>0</v>
      </c>
      <c r="J839" s="24">
        <v>0</v>
      </c>
      <c r="K839" s="24">
        <v>1</v>
      </c>
      <c r="L839" s="24">
        <v>0</v>
      </c>
      <c r="M839" s="24">
        <v>0</v>
      </c>
    </row>
    <row r="840" spans="2:13" ht="14" x14ac:dyDescent="0.2">
      <c r="B840" s="24">
        <v>39</v>
      </c>
      <c r="C840" s="24">
        <v>101</v>
      </c>
      <c r="D840" s="24">
        <v>2</v>
      </c>
      <c r="E840" s="24">
        <v>3.9</v>
      </c>
      <c r="F840" s="24">
        <v>0</v>
      </c>
      <c r="G840" s="24">
        <v>0</v>
      </c>
      <c r="H840" s="24">
        <v>294</v>
      </c>
      <c r="I840" s="24">
        <v>0</v>
      </c>
      <c r="J840" s="24">
        <v>0</v>
      </c>
      <c r="K840" s="24">
        <v>1</v>
      </c>
      <c r="L840" s="24">
        <v>0</v>
      </c>
      <c r="M840" s="24">
        <v>1</v>
      </c>
    </row>
    <row r="841" spans="2:13" ht="14" x14ac:dyDescent="0.2">
      <c r="B841" s="24">
        <v>12</v>
      </c>
      <c r="C841" s="24">
        <v>35</v>
      </c>
      <c r="D841" s="24">
        <v>4</v>
      </c>
      <c r="E841" s="24">
        <v>0.4</v>
      </c>
      <c r="F841" s="24">
        <v>0</v>
      </c>
      <c r="G841" s="24">
        <v>1</v>
      </c>
      <c r="H841" s="24">
        <v>0</v>
      </c>
      <c r="I841" s="24">
        <v>0</v>
      </c>
      <c r="J841" s="24">
        <v>0</v>
      </c>
      <c r="K841" s="24">
        <v>1</v>
      </c>
      <c r="L841" s="24">
        <v>0</v>
      </c>
      <c r="M841" s="24">
        <v>0</v>
      </c>
    </row>
    <row r="842" spans="2:13" ht="14" x14ac:dyDescent="0.2">
      <c r="B842" s="24">
        <v>32</v>
      </c>
      <c r="C842" s="24">
        <v>21</v>
      </c>
      <c r="D842" s="24">
        <v>1</v>
      </c>
      <c r="E842" s="24">
        <v>0.3</v>
      </c>
      <c r="F842" s="24">
        <v>0</v>
      </c>
      <c r="G842" s="24">
        <v>0</v>
      </c>
      <c r="H842" s="24">
        <v>117</v>
      </c>
      <c r="I842" s="24">
        <v>0</v>
      </c>
      <c r="J842" s="24">
        <v>0</v>
      </c>
      <c r="K842" s="24">
        <v>0</v>
      </c>
      <c r="L842" s="24">
        <v>0</v>
      </c>
      <c r="M842" s="24">
        <v>0</v>
      </c>
    </row>
    <row r="843" spans="2:13" ht="14" x14ac:dyDescent="0.2">
      <c r="B843" s="24">
        <v>29</v>
      </c>
      <c r="C843" s="24">
        <v>29</v>
      </c>
      <c r="D843" s="24">
        <v>1</v>
      </c>
      <c r="E843" s="24">
        <v>1.5</v>
      </c>
      <c r="F843" s="24">
        <v>0</v>
      </c>
      <c r="G843" s="24">
        <v>1</v>
      </c>
      <c r="H843" s="24">
        <v>97</v>
      </c>
      <c r="I843" s="24">
        <v>0</v>
      </c>
      <c r="J843" s="24">
        <v>0</v>
      </c>
      <c r="K843" s="24">
        <v>1</v>
      </c>
      <c r="L843" s="24">
        <v>0</v>
      </c>
      <c r="M843" s="24">
        <v>0</v>
      </c>
    </row>
    <row r="844" spans="2:13" ht="14" x14ac:dyDescent="0.2">
      <c r="B844" s="24">
        <v>34</v>
      </c>
      <c r="C844" s="24">
        <v>149</v>
      </c>
      <c r="D844" s="24">
        <v>4</v>
      </c>
      <c r="E844" s="24">
        <v>7.2</v>
      </c>
      <c r="F844" s="24">
        <v>0</v>
      </c>
      <c r="G844" s="24">
        <v>1</v>
      </c>
      <c r="H844" s="24">
        <v>0</v>
      </c>
      <c r="I844" s="24">
        <v>0</v>
      </c>
      <c r="J844" s="24">
        <v>1</v>
      </c>
      <c r="K844" s="24">
        <v>1</v>
      </c>
      <c r="L844" s="24">
        <v>1</v>
      </c>
      <c r="M844" s="24">
        <v>1</v>
      </c>
    </row>
    <row r="845" spans="2:13" ht="14" x14ac:dyDescent="0.2">
      <c r="B845" s="24">
        <v>0</v>
      </c>
      <c r="C845" s="24">
        <v>75</v>
      </c>
      <c r="D845" s="24">
        <v>4</v>
      </c>
      <c r="E845" s="24">
        <v>0.2</v>
      </c>
      <c r="F845" s="24">
        <v>1</v>
      </c>
      <c r="G845" s="24">
        <v>0</v>
      </c>
      <c r="H845" s="24">
        <v>0</v>
      </c>
      <c r="I845" s="24">
        <v>0</v>
      </c>
      <c r="J845" s="24">
        <v>0</v>
      </c>
      <c r="K845" s="24">
        <v>1</v>
      </c>
      <c r="L845" s="24">
        <v>0</v>
      </c>
      <c r="M845" s="24">
        <v>0</v>
      </c>
    </row>
    <row r="846" spans="2:13" ht="14" x14ac:dyDescent="0.2">
      <c r="B846" s="24">
        <v>29</v>
      </c>
      <c r="C846" s="24">
        <v>45</v>
      </c>
      <c r="D846" s="24">
        <v>3</v>
      </c>
      <c r="E846" s="24">
        <v>2</v>
      </c>
      <c r="F846" s="24">
        <v>0</v>
      </c>
      <c r="G846" s="24">
        <v>0</v>
      </c>
      <c r="H846" s="24">
        <v>0</v>
      </c>
      <c r="I846" s="24">
        <v>0</v>
      </c>
      <c r="J846" s="24">
        <v>0</v>
      </c>
      <c r="K846" s="24">
        <v>1</v>
      </c>
      <c r="L846" s="24">
        <v>0</v>
      </c>
      <c r="M846" s="24">
        <v>0</v>
      </c>
    </row>
    <row r="847" spans="2:13" ht="14" x14ac:dyDescent="0.2">
      <c r="B847" s="24">
        <v>17</v>
      </c>
      <c r="C847" s="24">
        <v>49</v>
      </c>
      <c r="D847" s="24">
        <v>1</v>
      </c>
      <c r="E847" s="24">
        <v>2.8</v>
      </c>
      <c r="F847" s="24">
        <v>1</v>
      </c>
      <c r="G847" s="24">
        <v>0</v>
      </c>
      <c r="H847" s="24">
        <v>0</v>
      </c>
      <c r="I847" s="24">
        <v>0</v>
      </c>
      <c r="J847" s="24">
        <v>0</v>
      </c>
      <c r="K847" s="24">
        <v>1</v>
      </c>
      <c r="L847" s="24">
        <v>0</v>
      </c>
      <c r="M847" s="24">
        <v>0</v>
      </c>
    </row>
    <row r="848" spans="2:13" ht="14" x14ac:dyDescent="0.2">
      <c r="B848" s="24">
        <v>18</v>
      </c>
      <c r="C848" s="24">
        <v>43</v>
      </c>
      <c r="D848" s="24">
        <v>1</v>
      </c>
      <c r="E848" s="24">
        <v>0.3</v>
      </c>
      <c r="F848" s="24">
        <v>0</v>
      </c>
      <c r="G848" s="24">
        <v>0</v>
      </c>
      <c r="H848" s="24">
        <v>158</v>
      </c>
      <c r="I848" s="24">
        <v>0</v>
      </c>
      <c r="J848" s="24">
        <v>0</v>
      </c>
      <c r="K848" s="24">
        <v>0</v>
      </c>
      <c r="L848" s="24">
        <v>0</v>
      </c>
      <c r="M848" s="24">
        <v>0</v>
      </c>
    </row>
    <row r="849" spans="2:13" ht="14" x14ac:dyDescent="0.2">
      <c r="B849" s="24">
        <v>35</v>
      </c>
      <c r="C849" s="24">
        <v>64</v>
      </c>
      <c r="D849" s="24">
        <v>2</v>
      </c>
      <c r="E849" s="24">
        <v>2.8</v>
      </c>
      <c r="F849" s="24">
        <v>1</v>
      </c>
      <c r="G849" s="24">
        <v>0</v>
      </c>
      <c r="H849" s="24">
        <v>0</v>
      </c>
      <c r="I849" s="24">
        <v>0</v>
      </c>
      <c r="J849" s="24">
        <v>0</v>
      </c>
      <c r="K849" s="24">
        <v>0</v>
      </c>
      <c r="L849" s="24">
        <v>0</v>
      </c>
      <c r="M849" s="24">
        <v>0</v>
      </c>
    </row>
    <row r="850" spans="2:13" ht="14" x14ac:dyDescent="0.2">
      <c r="B850" s="24">
        <v>24</v>
      </c>
      <c r="C850" s="24">
        <v>43</v>
      </c>
      <c r="D850" s="24">
        <v>4</v>
      </c>
      <c r="E850" s="24">
        <v>1.9</v>
      </c>
      <c r="F850" s="24">
        <v>0</v>
      </c>
      <c r="G850" s="24">
        <v>0</v>
      </c>
      <c r="H850" s="24">
        <v>0</v>
      </c>
      <c r="I850" s="24">
        <v>0</v>
      </c>
      <c r="J850" s="24">
        <v>0</v>
      </c>
      <c r="K850" s="24">
        <v>1</v>
      </c>
      <c r="L850" s="24">
        <v>0</v>
      </c>
      <c r="M850" s="24">
        <v>0</v>
      </c>
    </row>
    <row r="851" spans="2:13" ht="14" x14ac:dyDescent="0.2">
      <c r="B851" s="24">
        <v>4</v>
      </c>
      <c r="C851" s="24">
        <v>129</v>
      </c>
      <c r="D851" s="24">
        <v>1</v>
      </c>
      <c r="E851" s="24">
        <v>1.5</v>
      </c>
      <c r="F851" s="24">
        <v>1</v>
      </c>
      <c r="G851" s="24">
        <v>0</v>
      </c>
      <c r="H851" s="24">
        <v>0</v>
      </c>
      <c r="I851" s="24">
        <v>0</v>
      </c>
      <c r="J851" s="24">
        <v>0</v>
      </c>
      <c r="K851" s="24">
        <v>0</v>
      </c>
      <c r="L851" s="24">
        <v>1</v>
      </c>
      <c r="M851" s="24">
        <v>0</v>
      </c>
    </row>
    <row r="852" spans="2:13" ht="14" x14ac:dyDescent="0.2">
      <c r="B852" s="24">
        <v>34</v>
      </c>
      <c r="C852" s="24">
        <v>53</v>
      </c>
      <c r="D852" s="24">
        <v>1</v>
      </c>
      <c r="E852" s="24">
        <v>0.8</v>
      </c>
      <c r="F852" s="24">
        <v>0</v>
      </c>
      <c r="G852" s="24">
        <v>1</v>
      </c>
      <c r="H852" s="24">
        <v>0</v>
      </c>
      <c r="I852" s="24">
        <v>1</v>
      </c>
      <c r="J852" s="24">
        <v>0</v>
      </c>
      <c r="K852" s="24">
        <v>0</v>
      </c>
      <c r="L852" s="24">
        <v>1</v>
      </c>
      <c r="M852" s="24">
        <v>0</v>
      </c>
    </row>
    <row r="853" spans="2:13" ht="14" x14ac:dyDescent="0.2">
      <c r="B853" s="24">
        <v>39</v>
      </c>
      <c r="C853" s="24">
        <v>24</v>
      </c>
      <c r="D853" s="24">
        <v>4</v>
      </c>
      <c r="E853" s="24">
        <v>0.4</v>
      </c>
      <c r="F853" s="24">
        <v>0</v>
      </c>
      <c r="G853" s="24">
        <v>1</v>
      </c>
      <c r="H853" s="24">
        <v>78</v>
      </c>
      <c r="I853" s="24">
        <v>0</v>
      </c>
      <c r="J853" s="24">
        <v>0</v>
      </c>
      <c r="K853" s="24">
        <v>1</v>
      </c>
      <c r="L853" s="24">
        <v>0</v>
      </c>
      <c r="M853" s="24">
        <v>0</v>
      </c>
    </row>
    <row r="854" spans="2:13" ht="14" x14ac:dyDescent="0.2">
      <c r="B854" s="24">
        <v>16</v>
      </c>
      <c r="C854" s="24">
        <v>35</v>
      </c>
      <c r="D854" s="24">
        <v>1</v>
      </c>
      <c r="E854" s="24">
        <v>1.4</v>
      </c>
      <c r="F854" s="24">
        <v>0</v>
      </c>
      <c r="G854" s="24">
        <v>0</v>
      </c>
      <c r="H854" s="24">
        <v>0</v>
      </c>
      <c r="I854" s="24">
        <v>0</v>
      </c>
      <c r="J854" s="24">
        <v>0</v>
      </c>
      <c r="K854" s="24">
        <v>1</v>
      </c>
      <c r="L854" s="24">
        <v>1</v>
      </c>
      <c r="M854" s="24">
        <v>0</v>
      </c>
    </row>
    <row r="855" spans="2:13" ht="14" x14ac:dyDescent="0.2">
      <c r="B855" s="24">
        <v>36</v>
      </c>
      <c r="C855" s="24">
        <v>79</v>
      </c>
      <c r="D855" s="24">
        <v>1</v>
      </c>
      <c r="E855" s="24">
        <v>1.8</v>
      </c>
      <c r="F855" s="24">
        <v>0</v>
      </c>
      <c r="G855" s="24">
        <v>0</v>
      </c>
      <c r="H855" s="24">
        <v>0</v>
      </c>
      <c r="I855" s="24">
        <v>0</v>
      </c>
      <c r="J855" s="24">
        <v>0</v>
      </c>
      <c r="K855" s="24">
        <v>0</v>
      </c>
      <c r="L855" s="24">
        <v>1</v>
      </c>
      <c r="M855" s="24">
        <v>0</v>
      </c>
    </row>
    <row r="856" spans="2:13" ht="14" x14ac:dyDescent="0.2">
      <c r="B856" s="24">
        <v>13</v>
      </c>
      <c r="C856" s="24">
        <v>139</v>
      </c>
      <c r="D856" s="24">
        <v>3</v>
      </c>
      <c r="E856" s="24">
        <v>3.4</v>
      </c>
      <c r="F856" s="24">
        <v>1</v>
      </c>
      <c r="G856" s="24">
        <v>0</v>
      </c>
      <c r="H856" s="24">
        <v>483</v>
      </c>
      <c r="I856" s="24">
        <v>0</v>
      </c>
      <c r="J856" s="24">
        <v>0</v>
      </c>
      <c r="K856" s="24">
        <v>1</v>
      </c>
      <c r="L856" s="24">
        <v>0</v>
      </c>
      <c r="M856" s="24">
        <v>1</v>
      </c>
    </row>
    <row r="857" spans="2:13" ht="14" x14ac:dyDescent="0.2">
      <c r="B857" s="24">
        <v>38</v>
      </c>
      <c r="C857" s="24">
        <v>123</v>
      </c>
      <c r="D857" s="24">
        <v>1</v>
      </c>
      <c r="E857" s="24">
        <v>2.9</v>
      </c>
      <c r="F857" s="24">
        <v>1</v>
      </c>
      <c r="G857" s="24">
        <v>0</v>
      </c>
      <c r="H857" s="24">
        <v>0</v>
      </c>
      <c r="I857" s="24">
        <v>0</v>
      </c>
      <c r="J857" s="24">
        <v>0</v>
      </c>
      <c r="K857" s="24">
        <v>0</v>
      </c>
      <c r="L857" s="24">
        <v>0</v>
      </c>
      <c r="M857" s="24">
        <v>0</v>
      </c>
    </row>
    <row r="858" spans="2:13" ht="14" x14ac:dyDescent="0.2">
      <c r="B858" s="24">
        <v>9</v>
      </c>
      <c r="C858" s="24">
        <v>134</v>
      </c>
      <c r="D858" s="24">
        <v>1</v>
      </c>
      <c r="E858" s="24">
        <v>4.5999999999999996</v>
      </c>
      <c r="F858" s="24">
        <v>1</v>
      </c>
      <c r="G858" s="24">
        <v>0</v>
      </c>
      <c r="H858" s="24">
        <v>164</v>
      </c>
      <c r="I858" s="24">
        <v>1</v>
      </c>
      <c r="J858" s="24">
        <v>0</v>
      </c>
      <c r="K858" s="24">
        <v>1</v>
      </c>
      <c r="L858" s="24">
        <v>0</v>
      </c>
      <c r="M858" s="24">
        <v>0</v>
      </c>
    </row>
    <row r="859" spans="2:13" ht="14" x14ac:dyDescent="0.2">
      <c r="B859" s="24">
        <v>24</v>
      </c>
      <c r="C859" s="24">
        <v>35</v>
      </c>
      <c r="D859" s="24">
        <v>1</v>
      </c>
      <c r="E859" s="24">
        <v>0.3</v>
      </c>
      <c r="F859" s="24">
        <v>0</v>
      </c>
      <c r="G859" s="24">
        <v>0</v>
      </c>
      <c r="H859" s="24">
        <v>0</v>
      </c>
      <c r="I859" s="24">
        <v>0</v>
      </c>
      <c r="J859" s="24">
        <v>0</v>
      </c>
      <c r="K859" s="24">
        <v>1</v>
      </c>
      <c r="L859" s="24">
        <v>0</v>
      </c>
      <c r="M859" s="24">
        <v>0</v>
      </c>
    </row>
    <row r="860" spans="2:13" ht="14" x14ac:dyDescent="0.2">
      <c r="B860" s="24">
        <v>36</v>
      </c>
      <c r="C860" s="24">
        <v>131</v>
      </c>
      <c r="D860" s="24">
        <v>1</v>
      </c>
      <c r="E860" s="24">
        <v>0.9</v>
      </c>
      <c r="F860" s="24">
        <v>1</v>
      </c>
      <c r="G860" s="24">
        <v>0</v>
      </c>
      <c r="H860" s="24">
        <v>0</v>
      </c>
      <c r="I860" s="24">
        <v>0</v>
      </c>
      <c r="J860" s="24">
        <v>0</v>
      </c>
      <c r="K860" s="24">
        <v>1</v>
      </c>
      <c r="L860" s="24">
        <v>0</v>
      </c>
      <c r="M860" s="24">
        <v>0</v>
      </c>
    </row>
    <row r="861" spans="2:13" ht="14" x14ac:dyDescent="0.2">
      <c r="B861" s="24">
        <v>4</v>
      </c>
      <c r="C861" s="24">
        <v>43</v>
      </c>
      <c r="D861" s="24">
        <v>1</v>
      </c>
      <c r="E861" s="24">
        <v>1.8</v>
      </c>
      <c r="F861" s="24">
        <v>0</v>
      </c>
      <c r="G861" s="24">
        <v>1</v>
      </c>
      <c r="H861" s="24">
        <v>0</v>
      </c>
      <c r="I861" s="24">
        <v>0</v>
      </c>
      <c r="J861" s="24">
        <v>0</v>
      </c>
      <c r="K861" s="24">
        <v>1</v>
      </c>
      <c r="L861" s="24">
        <v>1</v>
      </c>
      <c r="M861" s="24">
        <v>0</v>
      </c>
    </row>
    <row r="862" spans="2:13" ht="14" x14ac:dyDescent="0.2">
      <c r="B862" s="24">
        <v>7</v>
      </c>
      <c r="C862" s="24">
        <v>31</v>
      </c>
      <c r="D862" s="24">
        <v>4</v>
      </c>
      <c r="E862" s="24">
        <v>0.4</v>
      </c>
      <c r="F862" s="24">
        <v>0</v>
      </c>
      <c r="G862" s="24">
        <v>1</v>
      </c>
      <c r="H862" s="24">
        <v>79</v>
      </c>
      <c r="I862" s="24">
        <v>0</v>
      </c>
      <c r="J862" s="24">
        <v>0</v>
      </c>
      <c r="K862" s="24">
        <v>0</v>
      </c>
      <c r="L862" s="24">
        <v>0</v>
      </c>
      <c r="M862" s="24">
        <v>0</v>
      </c>
    </row>
    <row r="863" spans="2:13" ht="14" x14ac:dyDescent="0.2">
      <c r="B863" s="24">
        <v>15</v>
      </c>
      <c r="C863" s="24">
        <v>28</v>
      </c>
      <c r="D863" s="24">
        <v>1</v>
      </c>
      <c r="E863" s="24">
        <v>0.75</v>
      </c>
      <c r="F863" s="24">
        <v>0</v>
      </c>
      <c r="G863" s="24">
        <v>0</v>
      </c>
      <c r="H863" s="24">
        <v>0</v>
      </c>
      <c r="I863" s="24">
        <v>1</v>
      </c>
      <c r="J863" s="24">
        <v>0</v>
      </c>
      <c r="K863" s="24">
        <v>0</v>
      </c>
      <c r="L863" s="24">
        <v>0</v>
      </c>
      <c r="M863" s="24">
        <v>0</v>
      </c>
    </row>
    <row r="864" spans="2:13" ht="14" x14ac:dyDescent="0.2">
      <c r="B864" s="24">
        <v>15</v>
      </c>
      <c r="C864" s="24">
        <v>21</v>
      </c>
      <c r="D864" s="24">
        <v>2</v>
      </c>
      <c r="E864" s="24">
        <v>0</v>
      </c>
      <c r="F864" s="24">
        <v>0</v>
      </c>
      <c r="G864" s="24">
        <v>0</v>
      </c>
      <c r="H864" s="24">
        <v>0</v>
      </c>
      <c r="I864" s="24">
        <v>0</v>
      </c>
      <c r="J864" s="24">
        <v>0</v>
      </c>
      <c r="K864" s="24">
        <v>1</v>
      </c>
      <c r="L864" s="24">
        <v>0</v>
      </c>
      <c r="M864" s="24">
        <v>0</v>
      </c>
    </row>
    <row r="865" spans="2:13" ht="14" x14ac:dyDescent="0.2">
      <c r="B865" s="24">
        <v>22</v>
      </c>
      <c r="C865" s="24">
        <v>35</v>
      </c>
      <c r="D865" s="24">
        <v>1</v>
      </c>
      <c r="E865" s="24">
        <v>1.4</v>
      </c>
      <c r="F865" s="24">
        <v>0</v>
      </c>
      <c r="G865" s="24">
        <v>0</v>
      </c>
      <c r="H865" s="24">
        <v>0</v>
      </c>
      <c r="I865" s="24">
        <v>0</v>
      </c>
      <c r="J865" s="24">
        <v>0</v>
      </c>
      <c r="K865" s="24">
        <v>1</v>
      </c>
      <c r="L865" s="24">
        <v>0</v>
      </c>
      <c r="M865" s="24">
        <v>0</v>
      </c>
    </row>
    <row r="866" spans="2:13" ht="14" x14ac:dyDescent="0.2">
      <c r="B866" s="24">
        <v>36</v>
      </c>
      <c r="C866" s="24">
        <v>59</v>
      </c>
      <c r="D866" s="24">
        <v>4</v>
      </c>
      <c r="E866" s="24">
        <v>1.7</v>
      </c>
      <c r="F866" s="24">
        <v>1</v>
      </c>
      <c r="G866" s="24">
        <v>0</v>
      </c>
      <c r="H866" s="24">
        <v>148</v>
      </c>
      <c r="I866" s="24">
        <v>0</v>
      </c>
      <c r="J866" s="24">
        <v>0</v>
      </c>
      <c r="K866" s="24">
        <v>0</v>
      </c>
      <c r="L866" s="24">
        <v>0</v>
      </c>
      <c r="M866" s="24">
        <v>0</v>
      </c>
    </row>
    <row r="867" spans="2:13" ht="14" x14ac:dyDescent="0.2">
      <c r="B867" s="24">
        <v>8</v>
      </c>
      <c r="C867" s="24">
        <v>78</v>
      </c>
      <c r="D867" s="24">
        <v>4</v>
      </c>
      <c r="E867" s="24">
        <v>0.1</v>
      </c>
      <c r="F867" s="24">
        <v>0</v>
      </c>
      <c r="G867" s="24">
        <v>1</v>
      </c>
      <c r="H867" s="24">
        <v>0</v>
      </c>
      <c r="I867" s="24">
        <v>0</v>
      </c>
      <c r="J867" s="24">
        <v>0</v>
      </c>
      <c r="K867" s="24">
        <v>1</v>
      </c>
      <c r="L867" s="24">
        <v>0</v>
      </c>
      <c r="M867" s="24">
        <v>0</v>
      </c>
    </row>
    <row r="868" spans="2:13" ht="14" x14ac:dyDescent="0.2">
      <c r="B868" s="24">
        <v>27</v>
      </c>
      <c r="C868" s="24">
        <v>184</v>
      </c>
      <c r="D868" s="24">
        <v>1</v>
      </c>
      <c r="E868" s="24">
        <v>8.1</v>
      </c>
      <c r="F868" s="24">
        <v>1</v>
      </c>
      <c r="G868" s="24">
        <v>0</v>
      </c>
      <c r="H868" s="24">
        <v>0</v>
      </c>
      <c r="I868" s="24">
        <v>0</v>
      </c>
      <c r="J868" s="24">
        <v>0</v>
      </c>
      <c r="K868" s="24">
        <v>0</v>
      </c>
      <c r="L868" s="24">
        <v>0</v>
      </c>
      <c r="M868" s="24">
        <v>0</v>
      </c>
    </row>
    <row r="869" spans="2:13" ht="14" x14ac:dyDescent="0.2">
      <c r="B869" s="24">
        <v>1</v>
      </c>
      <c r="C869" s="24">
        <v>112</v>
      </c>
      <c r="D869" s="24">
        <v>4</v>
      </c>
      <c r="E869" s="24">
        <v>2.1</v>
      </c>
      <c r="F869" s="24">
        <v>0</v>
      </c>
      <c r="G869" s="24">
        <v>0</v>
      </c>
      <c r="H869" s="24">
        <v>0</v>
      </c>
      <c r="I869" s="24">
        <v>0</v>
      </c>
      <c r="J869" s="24">
        <v>0</v>
      </c>
      <c r="K869" s="24">
        <v>0</v>
      </c>
      <c r="L869" s="24">
        <v>1</v>
      </c>
      <c r="M869" s="24">
        <v>0</v>
      </c>
    </row>
    <row r="870" spans="2:13" ht="14" x14ac:dyDescent="0.2">
      <c r="B870" s="24">
        <v>33</v>
      </c>
      <c r="C870" s="24">
        <v>9</v>
      </c>
      <c r="D870" s="24">
        <v>1</v>
      </c>
      <c r="E870" s="24">
        <v>0.1</v>
      </c>
      <c r="F870" s="24">
        <v>0</v>
      </c>
      <c r="G870" s="24">
        <v>1</v>
      </c>
      <c r="H870" s="24">
        <v>91</v>
      </c>
      <c r="I870" s="24">
        <v>1</v>
      </c>
      <c r="J870" s="24">
        <v>0</v>
      </c>
      <c r="K870" s="24">
        <v>1</v>
      </c>
      <c r="L870" s="24">
        <v>0</v>
      </c>
      <c r="M870" s="24">
        <v>0</v>
      </c>
    </row>
    <row r="871" spans="2:13" ht="14" x14ac:dyDescent="0.2">
      <c r="B871" s="24">
        <v>13</v>
      </c>
      <c r="C871" s="24">
        <v>23</v>
      </c>
      <c r="D871" s="24">
        <v>4</v>
      </c>
      <c r="E871" s="24">
        <v>0.2</v>
      </c>
      <c r="F871" s="24">
        <v>0</v>
      </c>
      <c r="G871" s="24">
        <v>0</v>
      </c>
      <c r="H871" s="24">
        <v>0</v>
      </c>
      <c r="I871" s="24">
        <v>0</v>
      </c>
      <c r="J871" s="24">
        <v>0</v>
      </c>
      <c r="K871" s="24">
        <v>1</v>
      </c>
      <c r="L871" s="24">
        <v>0</v>
      </c>
      <c r="M871" s="24">
        <v>0</v>
      </c>
    </row>
    <row r="872" spans="2:13" ht="14" x14ac:dyDescent="0.2">
      <c r="B872" s="24">
        <v>28</v>
      </c>
      <c r="C872" s="24">
        <v>94</v>
      </c>
      <c r="D872" s="24">
        <v>1</v>
      </c>
      <c r="E872" s="24">
        <v>1.9</v>
      </c>
      <c r="F872" s="24">
        <v>0</v>
      </c>
      <c r="G872" s="24">
        <v>1</v>
      </c>
      <c r="H872" s="24">
        <v>0</v>
      </c>
      <c r="I872" s="24">
        <v>0</v>
      </c>
      <c r="J872" s="24">
        <v>0</v>
      </c>
      <c r="K872" s="24">
        <v>0</v>
      </c>
      <c r="L872" s="24">
        <v>0</v>
      </c>
      <c r="M872" s="24">
        <v>0</v>
      </c>
    </row>
    <row r="873" spans="2:13" ht="14" x14ac:dyDescent="0.2">
      <c r="B873" s="24">
        <v>17</v>
      </c>
      <c r="C873" s="24">
        <v>70</v>
      </c>
      <c r="D873" s="24">
        <v>3</v>
      </c>
      <c r="E873" s="24">
        <v>2.6666666666666701</v>
      </c>
      <c r="F873" s="24">
        <v>0</v>
      </c>
      <c r="G873" s="24">
        <v>1</v>
      </c>
      <c r="H873" s="24">
        <v>0</v>
      </c>
      <c r="I873" s="24">
        <v>0</v>
      </c>
      <c r="J873" s="24">
        <v>0</v>
      </c>
      <c r="K873" s="24">
        <v>0</v>
      </c>
      <c r="L873" s="24">
        <v>0</v>
      </c>
      <c r="M873" s="24">
        <v>0</v>
      </c>
    </row>
    <row r="874" spans="2:13" ht="14" x14ac:dyDescent="0.2">
      <c r="B874" s="24">
        <v>17</v>
      </c>
      <c r="C874" s="24">
        <v>85</v>
      </c>
      <c r="D874" s="24">
        <v>1</v>
      </c>
      <c r="E874" s="24">
        <v>3.7</v>
      </c>
      <c r="F874" s="24">
        <v>0</v>
      </c>
      <c r="G874" s="24">
        <v>0</v>
      </c>
      <c r="H874" s="24">
        <v>0</v>
      </c>
      <c r="I874" s="24">
        <v>0</v>
      </c>
      <c r="J874" s="24">
        <v>0</v>
      </c>
      <c r="K874" s="24">
        <v>1</v>
      </c>
      <c r="L874" s="24">
        <v>0</v>
      </c>
      <c r="M874" s="24">
        <v>0</v>
      </c>
    </row>
    <row r="875" spans="2:13" ht="14" x14ac:dyDescent="0.2">
      <c r="B875" s="24">
        <v>37</v>
      </c>
      <c r="C875" s="24">
        <v>90</v>
      </c>
      <c r="D875" s="24">
        <v>4</v>
      </c>
      <c r="E875" s="24">
        <v>1.9</v>
      </c>
      <c r="F875" s="24">
        <v>0</v>
      </c>
      <c r="G875" s="24">
        <v>1</v>
      </c>
      <c r="H875" s="24">
        <v>106</v>
      </c>
      <c r="I875" s="24">
        <v>1</v>
      </c>
      <c r="J875" s="24">
        <v>0</v>
      </c>
      <c r="K875" s="24">
        <v>1</v>
      </c>
      <c r="L875" s="24">
        <v>0</v>
      </c>
      <c r="M875" s="24">
        <v>0</v>
      </c>
    </row>
    <row r="876" spans="2:13" ht="14" x14ac:dyDescent="0.2">
      <c r="B876" s="24">
        <v>33</v>
      </c>
      <c r="C876" s="24">
        <v>34</v>
      </c>
      <c r="D876" s="24">
        <v>3</v>
      </c>
      <c r="E876" s="24">
        <v>0.2</v>
      </c>
      <c r="F876" s="24">
        <v>1</v>
      </c>
      <c r="G876" s="24">
        <v>0</v>
      </c>
      <c r="H876" s="24">
        <v>83</v>
      </c>
      <c r="I876" s="24">
        <v>0</v>
      </c>
      <c r="J876" s="24">
        <v>0</v>
      </c>
      <c r="K876" s="24">
        <v>1</v>
      </c>
      <c r="L876" s="24">
        <v>0</v>
      </c>
      <c r="M876" s="24">
        <v>0</v>
      </c>
    </row>
    <row r="877" spans="2:13" ht="14" x14ac:dyDescent="0.2">
      <c r="B877" s="24">
        <v>30</v>
      </c>
      <c r="C877" s="24">
        <v>113</v>
      </c>
      <c r="D877" s="24">
        <v>2</v>
      </c>
      <c r="E877" s="24">
        <v>2.7</v>
      </c>
      <c r="F877" s="24">
        <v>1</v>
      </c>
      <c r="G877" s="24">
        <v>0</v>
      </c>
      <c r="H877" s="24">
        <v>352</v>
      </c>
      <c r="I877" s="24">
        <v>0</v>
      </c>
      <c r="J877" s="24">
        <v>0</v>
      </c>
      <c r="K877" s="24">
        <v>0</v>
      </c>
      <c r="L877" s="24">
        <v>1</v>
      </c>
      <c r="M877" s="24">
        <v>0</v>
      </c>
    </row>
    <row r="878" spans="2:13" ht="14" x14ac:dyDescent="0.2">
      <c r="B878" s="24">
        <v>8</v>
      </c>
      <c r="C878" s="24">
        <v>35</v>
      </c>
      <c r="D878" s="24">
        <v>4</v>
      </c>
      <c r="E878" s="24">
        <v>0.8</v>
      </c>
      <c r="F878" s="24">
        <v>1</v>
      </c>
      <c r="G878" s="24">
        <v>0</v>
      </c>
      <c r="H878" s="24">
        <v>137</v>
      </c>
      <c r="I878" s="24">
        <v>0</v>
      </c>
      <c r="J878" s="24">
        <v>1</v>
      </c>
      <c r="K878" s="24">
        <v>1</v>
      </c>
      <c r="L878" s="24">
        <v>1</v>
      </c>
      <c r="M878" s="24">
        <v>0</v>
      </c>
    </row>
    <row r="879" spans="2:13" ht="14" x14ac:dyDescent="0.2">
      <c r="B879" s="24">
        <v>10</v>
      </c>
      <c r="C879" s="24">
        <v>79</v>
      </c>
      <c r="D879" s="24">
        <v>4</v>
      </c>
      <c r="E879" s="24">
        <v>2.1</v>
      </c>
      <c r="F879" s="24">
        <v>0</v>
      </c>
      <c r="G879" s="24">
        <v>0</v>
      </c>
      <c r="H879" s="24">
        <v>0</v>
      </c>
      <c r="I879" s="24">
        <v>1</v>
      </c>
      <c r="J879" s="24">
        <v>0</v>
      </c>
      <c r="K879" s="24">
        <v>1</v>
      </c>
      <c r="L879" s="24">
        <v>0</v>
      </c>
      <c r="M879" s="24">
        <v>0</v>
      </c>
    </row>
    <row r="880" spans="2:13" ht="14" x14ac:dyDescent="0.2">
      <c r="B880" s="24">
        <v>26</v>
      </c>
      <c r="C880" s="24">
        <v>19</v>
      </c>
      <c r="D880" s="24">
        <v>2</v>
      </c>
      <c r="E880" s="24">
        <v>0.7</v>
      </c>
      <c r="F880" s="24">
        <v>0</v>
      </c>
      <c r="G880" s="24">
        <v>1</v>
      </c>
      <c r="H880" s="24">
        <v>0</v>
      </c>
      <c r="I880" s="24">
        <v>0</v>
      </c>
      <c r="J880" s="24">
        <v>0</v>
      </c>
      <c r="K880" s="24">
        <v>0</v>
      </c>
      <c r="L880" s="24">
        <v>1</v>
      </c>
      <c r="M880" s="24">
        <v>0</v>
      </c>
    </row>
    <row r="881" spans="2:13" ht="14" x14ac:dyDescent="0.2">
      <c r="B881" s="24">
        <v>35</v>
      </c>
      <c r="C881" s="24">
        <v>135</v>
      </c>
      <c r="D881" s="24">
        <v>3</v>
      </c>
      <c r="E881" s="24">
        <v>0.3</v>
      </c>
      <c r="F881" s="24">
        <v>0</v>
      </c>
      <c r="G881" s="24">
        <v>0</v>
      </c>
      <c r="H881" s="24">
        <v>0</v>
      </c>
      <c r="I881" s="24">
        <v>0</v>
      </c>
      <c r="J881" s="24">
        <v>0</v>
      </c>
      <c r="K881" s="24">
        <v>1</v>
      </c>
      <c r="L881" s="24">
        <v>0</v>
      </c>
      <c r="M881" s="24">
        <v>1</v>
      </c>
    </row>
    <row r="882" spans="2:13" ht="14" x14ac:dyDescent="0.2">
      <c r="B882" s="24">
        <v>24</v>
      </c>
      <c r="C882" s="24">
        <v>29</v>
      </c>
      <c r="D882" s="24">
        <v>3</v>
      </c>
      <c r="E882" s="24">
        <v>1</v>
      </c>
      <c r="F882" s="24">
        <v>0</v>
      </c>
      <c r="G882" s="24">
        <v>0</v>
      </c>
      <c r="H882" s="24">
        <v>148</v>
      </c>
      <c r="I882" s="24">
        <v>0</v>
      </c>
      <c r="J882" s="24">
        <v>0</v>
      </c>
      <c r="K882" s="24">
        <v>0</v>
      </c>
      <c r="L882" s="24">
        <v>1</v>
      </c>
      <c r="M882" s="24">
        <v>0</v>
      </c>
    </row>
    <row r="883" spans="2:13" ht="14" x14ac:dyDescent="0.2">
      <c r="B883" s="24">
        <v>13</v>
      </c>
      <c r="C883" s="24">
        <v>61</v>
      </c>
      <c r="D883" s="24">
        <v>2</v>
      </c>
      <c r="E883" s="24">
        <v>2.4</v>
      </c>
      <c r="F883" s="24">
        <v>0</v>
      </c>
      <c r="G883" s="24">
        <v>1</v>
      </c>
      <c r="H883" s="24">
        <v>90</v>
      </c>
      <c r="I883" s="24">
        <v>0</v>
      </c>
      <c r="J883" s="24">
        <v>0</v>
      </c>
      <c r="K883" s="24">
        <v>1</v>
      </c>
      <c r="L883" s="24">
        <v>0</v>
      </c>
      <c r="M883" s="24">
        <v>0</v>
      </c>
    </row>
    <row r="884" spans="2:13" ht="14" x14ac:dyDescent="0.2">
      <c r="B884" s="24">
        <v>25</v>
      </c>
      <c r="C884" s="24">
        <v>30</v>
      </c>
      <c r="D884" s="24">
        <v>3</v>
      </c>
      <c r="E884" s="24">
        <v>0.6</v>
      </c>
      <c r="F884" s="24">
        <v>0</v>
      </c>
      <c r="G884" s="24">
        <v>1</v>
      </c>
      <c r="H884" s="24">
        <v>144</v>
      </c>
      <c r="I884" s="24">
        <v>0</v>
      </c>
      <c r="J884" s="24">
        <v>0</v>
      </c>
      <c r="K884" s="24">
        <v>0</v>
      </c>
      <c r="L884" s="24">
        <v>1</v>
      </c>
      <c r="M884" s="24">
        <v>0</v>
      </c>
    </row>
    <row r="885" spans="2:13" ht="14" x14ac:dyDescent="0.2">
      <c r="B885" s="24">
        <v>18</v>
      </c>
      <c r="C885" s="24">
        <v>22</v>
      </c>
      <c r="D885" s="24">
        <v>1</v>
      </c>
      <c r="E885" s="24">
        <v>1</v>
      </c>
      <c r="F885" s="24">
        <v>1</v>
      </c>
      <c r="G885" s="24">
        <v>0</v>
      </c>
      <c r="H885" s="24">
        <v>0</v>
      </c>
      <c r="I885" s="24">
        <v>0</v>
      </c>
      <c r="J885" s="24">
        <v>0</v>
      </c>
      <c r="K885" s="24">
        <v>0</v>
      </c>
      <c r="L885" s="24">
        <v>0</v>
      </c>
      <c r="M885" s="24">
        <v>0</v>
      </c>
    </row>
    <row r="886" spans="2:13" ht="14" x14ac:dyDescent="0.2">
      <c r="B886" s="24">
        <v>15</v>
      </c>
      <c r="C886" s="24">
        <v>78</v>
      </c>
      <c r="D886" s="24">
        <v>4</v>
      </c>
      <c r="E886" s="24">
        <v>2.4</v>
      </c>
      <c r="F886" s="24">
        <v>1</v>
      </c>
      <c r="G886" s="24">
        <v>0</v>
      </c>
      <c r="H886" s="24">
        <v>118</v>
      </c>
      <c r="I886" s="24">
        <v>0</v>
      </c>
      <c r="J886" s="24">
        <v>0</v>
      </c>
      <c r="K886" s="24">
        <v>1</v>
      </c>
      <c r="L886" s="24">
        <v>0</v>
      </c>
      <c r="M886" s="24">
        <v>0</v>
      </c>
    </row>
    <row r="887" spans="2:13" ht="14" x14ac:dyDescent="0.2">
      <c r="B887" s="24">
        <v>15</v>
      </c>
      <c r="C887" s="24">
        <v>161</v>
      </c>
      <c r="D887" s="24">
        <v>2</v>
      </c>
      <c r="E887" s="24">
        <v>3.3</v>
      </c>
      <c r="F887" s="24">
        <v>1</v>
      </c>
      <c r="G887" s="24">
        <v>0</v>
      </c>
      <c r="H887" s="24">
        <v>0</v>
      </c>
      <c r="I887" s="24">
        <v>1</v>
      </c>
      <c r="J887" s="24">
        <v>0</v>
      </c>
      <c r="K887" s="24">
        <v>0</v>
      </c>
      <c r="L887" s="24">
        <v>1</v>
      </c>
      <c r="M887" s="24">
        <v>0</v>
      </c>
    </row>
    <row r="888" spans="2:13" ht="14" x14ac:dyDescent="0.2">
      <c r="B888" s="24">
        <v>32</v>
      </c>
      <c r="C888" s="24">
        <v>25</v>
      </c>
      <c r="D888" s="24">
        <v>2</v>
      </c>
      <c r="E888" s="24">
        <v>0.2</v>
      </c>
      <c r="F888" s="24">
        <v>0</v>
      </c>
      <c r="G888" s="24">
        <v>0</v>
      </c>
      <c r="H888" s="24">
        <v>0</v>
      </c>
      <c r="I888" s="24">
        <v>0</v>
      </c>
      <c r="J888" s="24">
        <v>0</v>
      </c>
      <c r="K888" s="24">
        <v>1</v>
      </c>
      <c r="L888" s="24">
        <v>1</v>
      </c>
      <c r="M888" s="24">
        <v>0</v>
      </c>
    </row>
    <row r="889" spans="2:13" ht="14" x14ac:dyDescent="0.2">
      <c r="B889" s="24">
        <v>23</v>
      </c>
      <c r="C889" s="24">
        <v>29</v>
      </c>
      <c r="D889" s="24">
        <v>4</v>
      </c>
      <c r="E889" s="24">
        <v>0.6</v>
      </c>
      <c r="F889" s="24">
        <v>1</v>
      </c>
      <c r="G889" s="24">
        <v>0</v>
      </c>
      <c r="H889" s="24">
        <v>0</v>
      </c>
      <c r="I889" s="24">
        <v>0</v>
      </c>
      <c r="J889" s="24">
        <v>0</v>
      </c>
      <c r="K889" s="24">
        <v>1</v>
      </c>
      <c r="L889" s="24">
        <v>0</v>
      </c>
      <c r="M889" s="24">
        <v>0</v>
      </c>
    </row>
    <row r="890" spans="2:13" ht="14" x14ac:dyDescent="0.2">
      <c r="B890" s="24">
        <v>41</v>
      </c>
      <c r="C890" s="24">
        <v>105</v>
      </c>
      <c r="D890" s="24">
        <v>1</v>
      </c>
      <c r="E890" s="24">
        <v>3</v>
      </c>
      <c r="F890" s="24">
        <v>0</v>
      </c>
      <c r="G890" s="24">
        <v>1</v>
      </c>
      <c r="H890" s="24">
        <v>282</v>
      </c>
      <c r="I890" s="24">
        <v>1</v>
      </c>
      <c r="J890" s="24">
        <v>1</v>
      </c>
      <c r="K890" s="24">
        <v>1</v>
      </c>
      <c r="L890" s="24">
        <v>0</v>
      </c>
      <c r="M890" s="24">
        <v>1</v>
      </c>
    </row>
    <row r="891" spans="2:13" ht="14" x14ac:dyDescent="0.2">
      <c r="B891" s="24">
        <v>0</v>
      </c>
      <c r="C891" s="24">
        <v>81</v>
      </c>
      <c r="D891" s="24">
        <v>2</v>
      </c>
      <c r="E891" s="24">
        <v>1.6</v>
      </c>
      <c r="F891" s="24">
        <v>0</v>
      </c>
      <c r="G891" s="24">
        <v>0</v>
      </c>
      <c r="H891" s="24">
        <v>0</v>
      </c>
      <c r="I891" s="24">
        <v>0</v>
      </c>
      <c r="J891" s="24">
        <v>0</v>
      </c>
      <c r="K891" s="24">
        <v>1</v>
      </c>
      <c r="L891" s="24">
        <v>1</v>
      </c>
      <c r="M891" s="24">
        <v>0</v>
      </c>
    </row>
    <row r="892" spans="2:13" ht="14" x14ac:dyDescent="0.2">
      <c r="B892" s="24">
        <v>19</v>
      </c>
      <c r="C892" s="24">
        <v>172</v>
      </c>
      <c r="D892" s="24">
        <v>2</v>
      </c>
      <c r="E892" s="24">
        <v>4.3</v>
      </c>
      <c r="F892" s="24">
        <v>0</v>
      </c>
      <c r="G892" s="24">
        <v>0</v>
      </c>
      <c r="H892" s="24">
        <v>391</v>
      </c>
      <c r="I892" s="24">
        <v>1</v>
      </c>
      <c r="J892" s="24">
        <v>1</v>
      </c>
      <c r="K892" s="24">
        <v>1</v>
      </c>
      <c r="L892" s="24">
        <v>0</v>
      </c>
      <c r="M892" s="24">
        <v>1</v>
      </c>
    </row>
    <row r="893" spans="2:13" ht="14" x14ac:dyDescent="0.2">
      <c r="B893" s="24">
        <v>12</v>
      </c>
      <c r="C893" s="24">
        <v>91</v>
      </c>
      <c r="D893" s="24">
        <v>4</v>
      </c>
      <c r="E893" s="24">
        <v>1.4</v>
      </c>
      <c r="F893" s="24">
        <v>0</v>
      </c>
      <c r="G893" s="24">
        <v>1</v>
      </c>
      <c r="H893" s="24">
        <v>100</v>
      </c>
      <c r="I893" s="24">
        <v>0</v>
      </c>
      <c r="J893" s="24">
        <v>0</v>
      </c>
      <c r="K893" s="24">
        <v>0</v>
      </c>
      <c r="L893" s="24">
        <v>1</v>
      </c>
      <c r="M893" s="24">
        <v>0</v>
      </c>
    </row>
    <row r="894" spans="2:13" ht="14" x14ac:dyDescent="0.2">
      <c r="B894" s="24">
        <v>35</v>
      </c>
      <c r="C894" s="24">
        <v>90</v>
      </c>
      <c r="D894" s="24">
        <v>4</v>
      </c>
      <c r="E894" s="24">
        <v>1.9</v>
      </c>
      <c r="F894" s="24">
        <v>0</v>
      </c>
      <c r="G894" s="24">
        <v>1</v>
      </c>
      <c r="H894" s="24">
        <v>0</v>
      </c>
      <c r="I894" s="24">
        <v>0</v>
      </c>
      <c r="J894" s="24">
        <v>0</v>
      </c>
      <c r="K894" s="24">
        <v>1</v>
      </c>
      <c r="L894" s="24">
        <v>0</v>
      </c>
      <c r="M894" s="24">
        <v>0</v>
      </c>
    </row>
    <row r="895" spans="2:13" ht="14" x14ac:dyDescent="0.2">
      <c r="B895" s="24">
        <v>11</v>
      </c>
      <c r="C895" s="24">
        <v>64</v>
      </c>
      <c r="D895" s="24">
        <v>4</v>
      </c>
      <c r="E895" s="24">
        <v>2.1</v>
      </c>
      <c r="F895" s="24">
        <v>0</v>
      </c>
      <c r="G895" s="24">
        <v>0</v>
      </c>
      <c r="H895" s="24">
        <v>0</v>
      </c>
      <c r="I895" s="24">
        <v>0</v>
      </c>
      <c r="J895" s="24">
        <v>0</v>
      </c>
      <c r="K895" s="24">
        <v>0</v>
      </c>
      <c r="L895" s="24">
        <v>0</v>
      </c>
      <c r="M895" s="24">
        <v>0</v>
      </c>
    </row>
    <row r="896" spans="2:13" ht="14" x14ac:dyDescent="0.2">
      <c r="B896" s="24">
        <v>37</v>
      </c>
      <c r="C896" s="24">
        <v>29</v>
      </c>
      <c r="D896" s="24">
        <v>1</v>
      </c>
      <c r="E896" s="24">
        <v>0.3</v>
      </c>
      <c r="F896" s="24">
        <v>0</v>
      </c>
      <c r="G896" s="24">
        <v>0</v>
      </c>
      <c r="H896" s="24">
        <v>0</v>
      </c>
      <c r="I896" s="24">
        <v>0</v>
      </c>
      <c r="J896" s="24">
        <v>0</v>
      </c>
      <c r="K896" s="24">
        <v>0</v>
      </c>
      <c r="L896" s="24">
        <v>1</v>
      </c>
      <c r="M896" s="24">
        <v>0</v>
      </c>
    </row>
    <row r="897" spans="2:13" ht="14" x14ac:dyDescent="0.2">
      <c r="B897" s="24">
        <v>22</v>
      </c>
      <c r="C897" s="24">
        <v>73</v>
      </c>
      <c r="D897" s="24">
        <v>1</v>
      </c>
      <c r="E897" s="24">
        <v>0.8</v>
      </c>
      <c r="F897" s="24">
        <v>0</v>
      </c>
      <c r="G897" s="24">
        <v>0</v>
      </c>
      <c r="H897" s="24">
        <v>117</v>
      </c>
      <c r="I897" s="24">
        <v>0</v>
      </c>
      <c r="J897" s="24">
        <v>0</v>
      </c>
      <c r="K897" s="24">
        <v>0</v>
      </c>
      <c r="L897" s="24">
        <v>0</v>
      </c>
      <c r="M897" s="24">
        <v>0</v>
      </c>
    </row>
    <row r="898" spans="2:13" ht="14" x14ac:dyDescent="0.2">
      <c r="B898" s="24">
        <v>3</v>
      </c>
      <c r="C898" s="24">
        <v>80</v>
      </c>
      <c r="D898" s="24">
        <v>4</v>
      </c>
      <c r="E898" s="24">
        <v>1.8</v>
      </c>
      <c r="F898" s="24">
        <v>0</v>
      </c>
      <c r="G898" s="24">
        <v>1</v>
      </c>
      <c r="H898" s="24">
        <v>0</v>
      </c>
      <c r="I898" s="24">
        <v>0</v>
      </c>
      <c r="J898" s="24">
        <v>0</v>
      </c>
      <c r="K898" s="24">
        <v>1</v>
      </c>
      <c r="L898" s="24">
        <v>1</v>
      </c>
      <c r="M898" s="24">
        <v>0</v>
      </c>
    </row>
    <row r="899" spans="2:13" ht="14" x14ac:dyDescent="0.2">
      <c r="B899" s="24">
        <v>5</v>
      </c>
      <c r="C899" s="24">
        <v>62</v>
      </c>
      <c r="D899" s="24">
        <v>1</v>
      </c>
      <c r="E899" s="24">
        <v>1.2</v>
      </c>
      <c r="F899" s="24">
        <v>1</v>
      </c>
      <c r="G899" s="24">
        <v>0</v>
      </c>
      <c r="H899" s="24">
        <v>260</v>
      </c>
      <c r="I899" s="24">
        <v>0</v>
      </c>
      <c r="J899" s="24">
        <v>0</v>
      </c>
      <c r="K899" s="24">
        <v>1</v>
      </c>
      <c r="L899" s="24">
        <v>0</v>
      </c>
      <c r="M899" s="24">
        <v>0</v>
      </c>
    </row>
    <row r="900" spans="2:13" ht="14" x14ac:dyDescent="0.2">
      <c r="B900" s="24">
        <v>29</v>
      </c>
      <c r="C900" s="24">
        <v>61</v>
      </c>
      <c r="D900" s="24">
        <v>4</v>
      </c>
      <c r="E900" s="24">
        <v>2.8</v>
      </c>
      <c r="F900" s="24">
        <v>0</v>
      </c>
      <c r="G900" s="24">
        <v>1</v>
      </c>
      <c r="H900" s="24">
        <v>0</v>
      </c>
      <c r="I900" s="24">
        <v>0</v>
      </c>
      <c r="J900" s="24">
        <v>0</v>
      </c>
      <c r="K900" s="24">
        <v>1</v>
      </c>
      <c r="L900" s="24">
        <v>1</v>
      </c>
      <c r="M900" s="24">
        <v>0</v>
      </c>
    </row>
    <row r="901" spans="2:13" ht="14" x14ac:dyDescent="0.2">
      <c r="B901" s="24">
        <v>24</v>
      </c>
      <c r="C901" s="24">
        <v>70</v>
      </c>
      <c r="D901" s="24">
        <v>1</v>
      </c>
      <c r="E901" s="24">
        <v>2.9</v>
      </c>
      <c r="F901" s="24">
        <v>1</v>
      </c>
      <c r="G901" s="24">
        <v>0</v>
      </c>
      <c r="H901" s="24">
        <v>0</v>
      </c>
      <c r="I901" s="24">
        <v>0</v>
      </c>
      <c r="J901" s="24">
        <v>0</v>
      </c>
      <c r="K901" s="24">
        <v>0</v>
      </c>
      <c r="L901" s="24">
        <v>0</v>
      </c>
      <c r="M901" s="24">
        <v>0</v>
      </c>
    </row>
    <row r="902" spans="2:13" ht="14" x14ac:dyDescent="0.2">
      <c r="B902" s="24">
        <v>16</v>
      </c>
      <c r="C902" s="24">
        <v>125</v>
      </c>
      <c r="D902" s="24">
        <v>2</v>
      </c>
      <c r="E902" s="24">
        <v>2.2000000000000002</v>
      </c>
      <c r="F902" s="24">
        <v>1</v>
      </c>
      <c r="G902" s="24">
        <v>0</v>
      </c>
      <c r="H902" s="24">
        <v>0</v>
      </c>
      <c r="I902" s="24">
        <v>0</v>
      </c>
      <c r="J902" s="24">
        <v>0</v>
      </c>
      <c r="K902" s="24">
        <v>1</v>
      </c>
      <c r="L902" s="24">
        <v>0</v>
      </c>
      <c r="M902" s="24">
        <v>0</v>
      </c>
    </row>
    <row r="903" spans="2:13" ht="14" x14ac:dyDescent="0.2">
      <c r="B903" s="24">
        <v>35</v>
      </c>
      <c r="C903" s="24">
        <v>124</v>
      </c>
      <c r="D903" s="24">
        <v>1</v>
      </c>
      <c r="E903" s="24">
        <v>7.4</v>
      </c>
      <c r="F903" s="24">
        <v>1</v>
      </c>
      <c r="G903" s="24">
        <v>0</v>
      </c>
      <c r="H903" s="24">
        <v>0</v>
      </c>
      <c r="I903" s="24">
        <v>0</v>
      </c>
      <c r="J903" s="24">
        <v>0</v>
      </c>
      <c r="K903" s="24">
        <v>0</v>
      </c>
      <c r="L903" s="24">
        <v>1</v>
      </c>
      <c r="M903" s="24">
        <v>0</v>
      </c>
    </row>
    <row r="904" spans="2:13" ht="14" x14ac:dyDescent="0.2">
      <c r="B904" s="24">
        <v>41</v>
      </c>
      <c r="C904" s="24">
        <v>144</v>
      </c>
      <c r="D904" s="24">
        <v>1</v>
      </c>
      <c r="E904" s="24">
        <v>2.5</v>
      </c>
      <c r="F904" s="24">
        <v>1</v>
      </c>
      <c r="G904" s="24">
        <v>0</v>
      </c>
      <c r="H904" s="24">
        <v>0</v>
      </c>
      <c r="I904" s="24">
        <v>1</v>
      </c>
      <c r="J904" s="24">
        <v>1</v>
      </c>
      <c r="K904" s="24">
        <v>1</v>
      </c>
      <c r="L904" s="24">
        <v>1</v>
      </c>
      <c r="M904" s="24">
        <v>0</v>
      </c>
    </row>
    <row r="905" spans="2:13" ht="14" x14ac:dyDescent="0.2">
      <c r="B905" s="24">
        <v>17</v>
      </c>
      <c r="C905" s="24">
        <v>84</v>
      </c>
      <c r="D905" s="24">
        <v>4</v>
      </c>
      <c r="E905" s="24">
        <v>2.6</v>
      </c>
      <c r="F905" s="24">
        <v>0</v>
      </c>
      <c r="G905" s="24">
        <v>0</v>
      </c>
      <c r="H905" s="24">
        <v>289</v>
      </c>
      <c r="I905" s="24">
        <v>1</v>
      </c>
      <c r="J905" s="24">
        <v>1</v>
      </c>
      <c r="K905" s="24">
        <v>1</v>
      </c>
      <c r="L905" s="24">
        <v>1</v>
      </c>
      <c r="M905" s="24">
        <v>0</v>
      </c>
    </row>
    <row r="906" spans="2:13" ht="14" x14ac:dyDescent="0.2">
      <c r="B906" s="24">
        <v>6</v>
      </c>
      <c r="C906" s="24">
        <v>141</v>
      </c>
      <c r="D906" s="24">
        <v>2</v>
      </c>
      <c r="E906" s="24">
        <v>4.3333333333333304</v>
      </c>
      <c r="F906" s="24">
        <v>1</v>
      </c>
      <c r="G906" s="24">
        <v>0</v>
      </c>
      <c r="H906" s="24">
        <v>0</v>
      </c>
      <c r="I906" s="24">
        <v>0</v>
      </c>
      <c r="J906" s="24">
        <v>0</v>
      </c>
      <c r="K906" s="24">
        <v>1</v>
      </c>
      <c r="L906" s="24">
        <v>0</v>
      </c>
      <c r="M906" s="24">
        <v>0</v>
      </c>
    </row>
    <row r="907" spans="2:13" ht="14" x14ac:dyDescent="0.2">
      <c r="B907" s="24">
        <v>26</v>
      </c>
      <c r="C907" s="24">
        <v>68</v>
      </c>
      <c r="D907" s="24">
        <v>1</v>
      </c>
      <c r="E907" s="24">
        <v>0.8</v>
      </c>
      <c r="F907" s="24">
        <v>0</v>
      </c>
      <c r="G907" s="24">
        <v>0</v>
      </c>
      <c r="H907" s="24">
        <v>0</v>
      </c>
      <c r="I907" s="24">
        <v>0</v>
      </c>
      <c r="J907" s="24">
        <v>0</v>
      </c>
      <c r="K907" s="24">
        <v>1</v>
      </c>
      <c r="L907" s="24">
        <v>1</v>
      </c>
      <c r="M907" s="24">
        <v>0</v>
      </c>
    </row>
    <row r="908" spans="2:13" ht="14" x14ac:dyDescent="0.2">
      <c r="B908" s="24">
        <v>25</v>
      </c>
      <c r="C908" s="24">
        <v>30</v>
      </c>
      <c r="D908" s="24">
        <v>4</v>
      </c>
      <c r="E908" s="24">
        <v>0.2</v>
      </c>
      <c r="F908" s="24">
        <v>1</v>
      </c>
      <c r="G908" s="24">
        <v>0</v>
      </c>
      <c r="H908" s="24">
        <v>0</v>
      </c>
      <c r="I908" s="24">
        <v>0</v>
      </c>
      <c r="J908" s="24">
        <v>1</v>
      </c>
      <c r="K908" s="24">
        <v>1</v>
      </c>
      <c r="L908" s="24">
        <v>1</v>
      </c>
      <c r="M908" s="24">
        <v>0</v>
      </c>
    </row>
    <row r="909" spans="2:13" ht="14" x14ac:dyDescent="0.2">
      <c r="B909" s="24">
        <v>29</v>
      </c>
      <c r="C909" s="24">
        <v>73</v>
      </c>
      <c r="D909" s="24">
        <v>2</v>
      </c>
      <c r="E909" s="24">
        <v>2.2999999999999998</v>
      </c>
      <c r="F909" s="24">
        <v>0</v>
      </c>
      <c r="G909" s="24">
        <v>0</v>
      </c>
      <c r="H909" s="24">
        <v>0</v>
      </c>
      <c r="I909" s="24">
        <v>0</v>
      </c>
      <c r="J909" s="24">
        <v>0</v>
      </c>
      <c r="K909" s="24">
        <v>1</v>
      </c>
      <c r="L909" s="24">
        <v>1</v>
      </c>
      <c r="M909" s="24">
        <v>0</v>
      </c>
    </row>
    <row r="910" spans="2:13" ht="14" x14ac:dyDescent="0.2">
      <c r="B910" s="24">
        <v>19</v>
      </c>
      <c r="C910" s="24">
        <v>128</v>
      </c>
      <c r="D910" s="24">
        <v>1</v>
      </c>
      <c r="E910" s="24">
        <v>4.7</v>
      </c>
      <c r="F910" s="24">
        <v>1</v>
      </c>
      <c r="G910" s="24">
        <v>0</v>
      </c>
      <c r="H910" s="24">
        <v>0</v>
      </c>
      <c r="I910" s="24">
        <v>0</v>
      </c>
      <c r="J910" s="24">
        <v>0</v>
      </c>
      <c r="K910" s="24">
        <v>1</v>
      </c>
      <c r="L910" s="24">
        <v>0</v>
      </c>
      <c r="M910" s="24">
        <v>0</v>
      </c>
    </row>
    <row r="911" spans="2:13" ht="14" x14ac:dyDescent="0.2">
      <c r="B911" s="24">
        <v>14</v>
      </c>
      <c r="C911" s="24">
        <v>75</v>
      </c>
      <c r="D911" s="24">
        <v>3</v>
      </c>
      <c r="E911" s="24">
        <v>3</v>
      </c>
      <c r="F911" s="24">
        <v>1</v>
      </c>
      <c r="G911" s="24">
        <v>0</v>
      </c>
      <c r="H911" s="24">
        <v>0</v>
      </c>
      <c r="I911" s="24">
        <v>0</v>
      </c>
      <c r="J911" s="24">
        <v>0</v>
      </c>
      <c r="K911" s="24">
        <v>0</v>
      </c>
      <c r="L911" s="24">
        <v>1</v>
      </c>
      <c r="M911" s="24">
        <v>0</v>
      </c>
    </row>
    <row r="912" spans="2:13" ht="14" x14ac:dyDescent="0.2">
      <c r="B912" s="24">
        <v>20</v>
      </c>
      <c r="C912" s="24">
        <v>94</v>
      </c>
      <c r="D912" s="24">
        <v>3</v>
      </c>
      <c r="E912" s="24">
        <v>0.5</v>
      </c>
      <c r="F912" s="24">
        <v>0</v>
      </c>
      <c r="G912" s="24">
        <v>0</v>
      </c>
      <c r="H912" s="24">
        <v>0</v>
      </c>
      <c r="I912" s="24">
        <v>0</v>
      </c>
      <c r="J912" s="24">
        <v>0</v>
      </c>
      <c r="K912" s="24">
        <v>1</v>
      </c>
      <c r="L912" s="24">
        <v>0</v>
      </c>
      <c r="M912" s="24">
        <v>0</v>
      </c>
    </row>
    <row r="913" spans="2:13" ht="14" x14ac:dyDescent="0.2">
      <c r="B913" s="24">
        <v>25</v>
      </c>
      <c r="C913" s="24">
        <v>31</v>
      </c>
      <c r="D913" s="24">
        <v>1</v>
      </c>
      <c r="E913" s="24">
        <v>1</v>
      </c>
      <c r="F913" s="24">
        <v>1</v>
      </c>
      <c r="G913" s="24">
        <v>0</v>
      </c>
      <c r="H913" s="24">
        <v>0</v>
      </c>
      <c r="I913" s="24">
        <v>1</v>
      </c>
      <c r="J913" s="24">
        <v>0</v>
      </c>
      <c r="K913" s="24">
        <v>1</v>
      </c>
      <c r="L913" s="24">
        <v>0</v>
      </c>
      <c r="M913" s="24">
        <v>0</v>
      </c>
    </row>
    <row r="914" spans="2:13" ht="14" x14ac:dyDescent="0.2">
      <c r="B914" s="24">
        <v>31</v>
      </c>
      <c r="C914" s="24">
        <v>23</v>
      </c>
      <c r="D914" s="24">
        <v>2</v>
      </c>
      <c r="E914" s="24">
        <v>0.2</v>
      </c>
      <c r="F914" s="24">
        <v>1</v>
      </c>
      <c r="G914" s="24">
        <v>0</v>
      </c>
      <c r="H914" s="24">
        <v>0</v>
      </c>
      <c r="I914" s="24">
        <v>0</v>
      </c>
      <c r="J914" s="24">
        <v>0</v>
      </c>
      <c r="K914" s="24">
        <v>1</v>
      </c>
      <c r="L914" s="24">
        <v>0</v>
      </c>
      <c r="M914" s="24">
        <v>0</v>
      </c>
    </row>
    <row r="915" spans="2:13" ht="14" x14ac:dyDescent="0.2">
      <c r="B915" s="24">
        <v>41</v>
      </c>
      <c r="C915" s="24">
        <v>45</v>
      </c>
      <c r="D915" s="24">
        <v>3</v>
      </c>
      <c r="E915" s="24">
        <v>0.1</v>
      </c>
      <c r="F915" s="24">
        <v>0</v>
      </c>
      <c r="G915" s="24">
        <v>0</v>
      </c>
      <c r="H915" s="24">
        <v>0</v>
      </c>
      <c r="I915" s="24">
        <v>0</v>
      </c>
      <c r="J915" s="24">
        <v>0</v>
      </c>
      <c r="K915" s="24">
        <v>1</v>
      </c>
      <c r="L915" s="24">
        <v>0</v>
      </c>
      <c r="M915" s="24">
        <v>0</v>
      </c>
    </row>
    <row r="916" spans="2:13" ht="14" x14ac:dyDescent="0.2">
      <c r="B916" s="24">
        <v>36</v>
      </c>
      <c r="C916" s="24">
        <v>55</v>
      </c>
      <c r="D916" s="24">
        <v>4</v>
      </c>
      <c r="E916" s="24">
        <v>1.6666666666666701</v>
      </c>
      <c r="F916" s="24">
        <v>0</v>
      </c>
      <c r="G916" s="24">
        <v>0</v>
      </c>
      <c r="H916" s="24">
        <v>0</v>
      </c>
      <c r="I916" s="24">
        <v>0</v>
      </c>
      <c r="J916" s="24">
        <v>0</v>
      </c>
      <c r="K916" s="24">
        <v>0</v>
      </c>
      <c r="L916" s="24">
        <v>1</v>
      </c>
      <c r="M916" s="24">
        <v>0</v>
      </c>
    </row>
    <row r="917" spans="2:13" ht="14" x14ac:dyDescent="0.2">
      <c r="B917" s="24">
        <v>25</v>
      </c>
      <c r="C917" s="24">
        <v>70</v>
      </c>
      <c r="D917" s="24">
        <v>1</v>
      </c>
      <c r="E917" s="24">
        <v>0.8</v>
      </c>
      <c r="F917" s="24">
        <v>0</v>
      </c>
      <c r="G917" s="24">
        <v>0</v>
      </c>
      <c r="H917" s="24">
        <v>0</v>
      </c>
      <c r="I917" s="24">
        <v>1</v>
      </c>
      <c r="J917" s="24">
        <v>0</v>
      </c>
      <c r="K917" s="24">
        <v>1</v>
      </c>
      <c r="L917" s="24">
        <v>0</v>
      </c>
      <c r="M917" s="24">
        <v>0</v>
      </c>
    </row>
    <row r="918" spans="2:13" ht="14" x14ac:dyDescent="0.2">
      <c r="B918" s="24">
        <v>8</v>
      </c>
      <c r="C918" s="24">
        <v>164</v>
      </c>
      <c r="D918" s="24">
        <v>4</v>
      </c>
      <c r="E918" s="24">
        <v>7.4</v>
      </c>
      <c r="F918" s="24">
        <v>0</v>
      </c>
      <c r="G918" s="24">
        <v>0</v>
      </c>
      <c r="H918" s="24">
        <v>0</v>
      </c>
      <c r="I918" s="24">
        <v>0</v>
      </c>
      <c r="J918" s="24">
        <v>0</v>
      </c>
      <c r="K918" s="24">
        <v>1</v>
      </c>
      <c r="L918" s="24">
        <v>0</v>
      </c>
      <c r="M918" s="24">
        <v>1</v>
      </c>
    </row>
    <row r="919" spans="2:13" ht="14" x14ac:dyDescent="0.2">
      <c r="B919" s="24">
        <v>26</v>
      </c>
      <c r="C919" s="24">
        <v>178</v>
      </c>
      <c r="D919" s="24">
        <v>1</v>
      </c>
      <c r="E919" s="24">
        <v>1</v>
      </c>
      <c r="F919" s="24">
        <v>1</v>
      </c>
      <c r="G919" s="24">
        <v>0</v>
      </c>
      <c r="H919" s="24">
        <v>0</v>
      </c>
      <c r="I919" s="24">
        <v>0</v>
      </c>
      <c r="J919" s="24">
        <v>0</v>
      </c>
      <c r="K919" s="24">
        <v>0</v>
      </c>
      <c r="L919" s="24">
        <v>0</v>
      </c>
      <c r="M919" s="24">
        <v>0</v>
      </c>
    </row>
    <row r="920" spans="2:13" ht="14" x14ac:dyDescent="0.2">
      <c r="B920" s="24">
        <v>27</v>
      </c>
      <c r="C920" s="24">
        <v>45</v>
      </c>
      <c r="D920" s="24">
        <v>1</v>
      </c>
      <c r="E920" s="24">
        <v>1.3</v>
      </c>
      <c r="F920" s="24">
        <v>0</v>
      </c>
      <c r="G920" s="24">
        <v>1</v>
      </c>
      <c r="H920" s="24">
        <v>0</v>
      </c>
      <c r="I920" s="24">
        <v>0</v>
      </c>
      <c r="J920" s="24">
        <v>0</v>
      </c>
      <c r="K920" s="24">
        <v>0</v>
      </c>
      <c r="L920" s="24">
        <v>0</v>
      </c>
      <c r="M920" s="24">
        <v>0</v>
      </c>
    </row>
    <row r="921" spans="2:13" ht="14" x14ac:dyDescent="0.2">
      <c r="B921" s="24">
        <v>13</v>
      </c>
      <c r="C921" s="24">
        <v>169</v>
      </c>
      <c r="D921" s="24">
        <v>1</v>
      </c>
      <c r="E921" s="24">
        <v>6.8</v>
      </c>
      <c r="F921" s="24">
        <v>0</v>
      </c>
      <c r="G921" s="24">
        <v>0</v>
      </c>
      <c r="H921" s="24">
        <v>0</v>
      </c>
      <c r="I921" s="24">
        <v>0</v>
      </c>
      <c r="J921" s="24">
        <v>1</v>
      </c>
      <c r="K921" s="24">
        <v>1</v>
      </c>
      <c r="L921" s="24">
        <v>1</v>
      </c>
      <c r="M921" s="24">
        <v>1</v>
      </c>
    </row>
    <row r="922" spans="2:13" ht="14" x14ac:dyDescent="0.2">
      <c r="B922" s="24">
        <v>18</v>
      </c>
      <c r="C922" s="24">
        <v>89</v>
      </c>
      <c r="D922" s="24">
        <v>3</v>
      </c>
      <c r="E922" s="24">
        <v>0.5</v>
      </c>
      <c r="F922" s="24">
        <v>0</v>
      </c>
      <c r="G922" s="24">
        <v>0</v>
      </c>
      <c r="H922" s="24">
        <v>0</v>
      </c>
      <c r="I922" s="24">
        <v>0</v>
      </c>
      <c r="J922" s="24">
        <v>0</v>
      </c>
      <c r="K922" s="24">
        <v>1</v>
      </c>
      <c r="L922" s="24">
        <v>1</v>
      </c>
      <c r="M922" s="24">
        <v>0</v>
      </c>
    </row>
    <row r="923" spans="2:13" ht="14" x14ac:dyDescent="0.2">
      <c r="B923" s="24">
        <v>25</v>
      </c>
      <c r="C923" s="24">
        <v>185</v>
      </c>
      <c r="D923" s="24">
        <v>1</v>
      </c>
      <c r="E923" s="24">
        <v>1.7</v>
      </c>
      <c r="F923" s="24">
        <v>1</v>
      </c>
      <c r="G923" s="24">
        <v>0</v>
      </c>
      <c r="H923" s="24">
        <v>0</v>
      </c>
      <c r="I923" s="24">
        <v>0</v>
      </c>
      <c r="J923" s="24">
        <v>0</v>
      </c>
      <c r="K923" s="24">
        <v>0</v>
      </c>
      <c r="L923" s="24">
        <v>0</v>
      </c>
      <c r="M923" s="24">
        <v>0</v>
      </c>
    </row>
    <row r="924" spans="2:13" ht="14" x14ac:dyDescent="0.2">
      <c r="B924" s="24">
        <v>19</v>
      </c>
      <c r="C924" s="24">
        <v>50</v>
      </c>
      <c r="D924" s="24">
        <v>3</v>
      </c>
      <c r="E924" s="24">
        <v>2.7</v>
      </c>
      <c r="F924" s="24">
        <v>0</v>
      </c>
      <c r="G924" s="24">
        <v>1</v>
      </c>
      <c r="H924" s="24">
        <v>0</v>
      </c>
      <c r="I924" s="24">
        <v>0</v>
      </c>
      <c r="J924" s="24">
        <v>0</v>
      </c>
      <c r="K924" s="24">
        <v>1</v>
      </c>
      <c r="L924" s="24">
        <v>0</v>
      </c>
      <c r="M924" s="24">
        <v>0</v>
      </c>
    </row>
    <row r="925" spans="2:13" ht="14" x14ac:dyDescent="0.2">
      <c r="B925" s="24">
        <v>12</v>
      </c>
      <c r="C925" s="24">
        <v>190</v>
      </c>
      <c r="D925" s="24">
        <v>2</v>
      </c>
      <c r="E925" s="24">
        <v>3</v>
      </c>
      <c r="F925" s="24">
        <v>1</v>
      </c>
      <c r="G925" s="24">
        <v>0</v>
      </c>
      <c r="H925" s="24">
        <v>475</v>
      </c>
      <c r="I925" s="24">
        <v>0</v>
      </c>
      <c r="J925" s="24">
        <v>0</v>
      </c>
      <c r="K925" s="24">
        <v>1</v>
      </c>
      <c r="L925" s="24">
        <v>0</v>
      </c>
      <c r="M925" s="24">
        <v>0</v>
      </c>
    </row>
    <row r="926" spans="2:13" ht="14" x14ac:dyDescent="0.2">
      <c r="B926" s="24">
        <v>29</v>
      </c>
      <c r="C926" s="24">
        <v>29</v>
      </c>
      <c r="D926" s="24">
        <v>4</v>
      </c>
      <c r="E926" s="24">
        <v>1.5</v>
      </c>
      <c r="F926" s="24">
        <v>0</v>
      </c>
      <c r="G926" s="24">
        <v>0</v>
      </c>
      <c r="H926" s="24">
        <v>79</v>
      </c>
      <c r="I926" s="24">
        <v>0</v>
      </c>
      <c r="J926" s="24">
        <v>0</v>
      </c>
      <c r="K926" s="24">
        <v>1</v>
      </c>
      <c r="L926" s="24">
        <v>0</v>
      </c>
      <c r="M926" s="24">
        <v>0</v>
      </c>
    </row>
    <row r="927" spans="2:13" ht="14" x14ac:dyDescent="0.2">
      <c r="B927" s="24">
        <v>30</v>
      </c>
      <c r="C927" s="24">
        <v>44</v>
      </c>
      <c r="D927" s="24">
        <v>4</v>
      </c>
      <c r="E927" s="24">
        <v>0.7</v>
      </c>
      <c r="F927" s="24">
        <v>0</v>
      </c>
      <c r="G927" s="24">
        <v>1</v>
      </c>
      <c r="H927" s="24">
        <v>174</v>
      </c>
      <c r="I927" s="24">
        <v>0</v>
      </c>
      <c r="J927" s="24">
        <v>0</v>
      </c>
      <c r="K927" s="24">
        <v>1</v>
      </c>
      <c r="L927" s="24">
        <v>0</v>
      </c>
      <c r="M927" s="24">
        <v>0</v>
      </c>
    </row>
    <row r="928" spans="2:13" ht="14" x14ac:dyDescent="0.2">
      <c r="B928" s="24">
        <v>9</v>
      </c>
      <c r="C928" s="24">
        <v>84</v>
      </c>
      <c r="D928" s="24">
        <v>4</v>
      </c>
      <c r="E928" s="24">
        <v>2.2000000000000002</v>
      </c>
      <c r="F928" s="24">
        <v>0</v>
      </c>
      <c r="G928" s="24">
        <v>1</v>
      </c>
      <c r="H928" s="24">
        <v>322</v>
      </c>
      <c r="I928" s="24">
        <v>0</v>
      </c>
      <c r="J928" s="24">
        <v>0</v>
      </c>
      <c r="K928" s="24">
        <v>0</v>
      </c>
      <c r="L928" s="24">
        <v>0</v>
      </c>
      <c r="M928" s="24">
        <v>0</v>
      </c>
    </row>
    <row r="929" spans="2:13" ht="14" x14ac:dyDescent="0.2">
      <c r="B929" s="24">
        <v>8</v>
      </c>
      <c r="C929" s="24">
        <v>130</v>
      </c>
      <c r="D929" s="24">
        <v>3</v>
      </c>
      <c r="E929" s="24">
        <v>6.3</v>
      </c>
      <c r="F929" s="24">
        <v>0</v>
      </c>
      <c r="G929" s="24">
        <v>1</v>
      </c>
      <c r="H929" s="24">
        <v>99</v>
      </c>
      <c r="I929" s="24">
        <v>0</v>
      </c>
      <c r="J929" s="24">
        <v>0</v>
      </c>
      <c r="K929" s="24">
        <v>0</v>
      </c>
      <c r="L929" s="24">
        <v>1</v>
      </c>
      <c r="M929" s="24">
        <v>1</v>
      </c>
    </row>
    <row r="930" spans="2:13" ht="14" x14ac:dyDescent="0.2">
      <c r="B930" s="24">
        <v>36</v>
      </c>
      <c r="C930" s="24">
        <v>55</v>
      </c>
      <c r="D930" s="24">
        <v>3</v>
      </c>
      <c r="E930" s="24">
        <v>0.9</v>
      </c>
      <c r="F930" s="24">
        <v>0</v>
      </c>
      <c r="G930" s="24">
        <v>0</v>
      </c>
      <c r="H930" s="24">
        <v>197</v>
      </c>
      <c r="I930" s="24">
        <v>0</v>
      </c>
      <c r="J930" s="24">
        <v>0</v>
      </c>
      <c r="K930" s="24">
        <v>0</v>
      </c>
      <c r="L930" s="24">
        <v>0</v>
      </c>
      <c r="M930" s="24">
        <v>0</v>
      </c>
    </row>
    <row r="931" spans="2:13" ht="14" x14ac:dyDescent="0.2">
      <c r="B931" s="24">
        <v>27</v>
      </c>
      <c r="C931" s="24">
        <v>34</v>
      </c>
      <c r="D931" s="24">
        <v>2</v>
      </c>
      <c r="E931" s="24">
        <v>0.7</v>
      </c>
      <c r="F931" s="24">
        <v>0</v>
      </c>
      <c r="G931" s="24">
        <v>1</v>
      </c>
      <c r="H931" s="24">
        <v>114</v>
      </c>
      <c r="I931" s="24">
        <v>0</v>
      </c>
      <c r="J931" s="24">
        <v>0</v>
      </c>
      <c r="K931" s="24">
        <v>1</v>
      </c>
      <c r="L931" s="24">
        <v>1</v>
      </c>
      <c r="M931" s="24">
        <v>0</v>
      </c>
    </row>
    <row r="932" spans="2:13" ht="14" x14ac:dyDescent="0.2">
      <c r="B932" s="24">
        <v>31</v>
      </c>
      <c r="C932" s="24">
        <v>45</v>
      </c>
      <c r="D932" s="24">
        <v>3</v>
      </c>
      <c r="E932" s="24">
        <v>1.4</v>
      </c>
      <c r="F932" s="24">
        <v>1</v>
      </c>
      <c r="G932" s="24">
        <v>0</v>
      </c>
      <c r="H932" s="24">
        <v>198</v>
      </c>
      <c r="I932" s="24">
        <v>0</v>
      </c>
      <c r="J932" s="24">
        <v>0</v>
      </c>
      <c r="K932" s="24">
        <v>1</v>
      </c>
      <c r="L932" s="24">
        <v>0</v>
      </c>
      <c r="M932" s="24">
        <v>0</v>
      </c>
    </row>
    <row r="933" spans="2:13" ht="14" x14ac:dyDescent="0.2">
      <c r="B933" s="24">
        <v>5</v>
      </c>
      <c r="C933" s="24">
        <v>49</v>
      </c>
      <c r="D933" s="24">
        <v>4</v>
      </c>
      <c r="E933" s="24">
        <v>1.8</v>
      </c>
      <c r="F933" s="24">
        <v>0</v>
      </c>
      <c r="G933" s="24">
        <v>0</v>
      </c>
      <c r="H933" s="24">
        <v>0</v>
      </c>
      <c r="I933" s="24">
        <v>0</v>
      </c>
      <c r="J933" s="24">
        <v>0</v>
      </c>
      <c r="K933" s="24">
        <v>1</v>
      </c>
      <c r="L933" s="24">
        <v>1</v>
      </c>
      <c r="M933" s="24">
        <v>0</v>
      </c>
    </row>
    <row r="934" spans="2:13" ht="14" x14ac:dyDescent="0.2">
      <c r="B934" s="24">
        <v>10</v>
      </c>
      <c r="C934" s="24">
        <v>104</v>
      </c>
      <c r="D934" s="24">
        <v>3</v>
      </c>
      <c r="E934" s="24">
        <v>0.6</v>
      </c>
      <c r="F934" s="24">
        <v>0</v>
      </c>
      <c r="G934" s="24">
        <v>1</v>
      </c>
      <c r="H934" s="24">
        <v>0</v>
      </c>
      <c r="I934" s="24">
        <v>0</v>
      </c>
      <c r="J934" s="24">
        <v>0</v>
      </c>
      <c r="K934" s="24">
        <v>0</v>
      </c>
      <c r="L934" s="24">
        <v>1</v>
      </c>
      <c r="M934" s="24">
        <v>0</v>
      </c>
    </row>
    <row r="935" spans="2:13" ht="14" x14ac:dyDescent="0.2">
      <c r="B935" s="24">
        <v>31</v>
      </c>
      <c r="C935" s="24">
        <v>73</v>
      </c>
      <c r="D935" s="24">
        <v>4</v>
      </c>
      <c r="E935" s="24">
        <v>1.6</v>
      </c>
      <c r="F935" s="24">
        <v>0</v>
      </c>
      <c r="G935" s="24">
        <v>1</v>
      </c>
      <c r="H935" s="24">
        <v>0</v>
      </c>
      <c r="I935" s="24">
        <v>0</v>
      </c>
      <c r="J935" s="24">
        <v>0</v>
      </c>
      <c r="K935" s="24">
        <v>0</v>
      </c>
      <c r="L935" s="24">
        <v>0</v>
      </c>
      <c r="M935" s="24">
        <v>0</v>
      </c>
    </row>
    <row r="936" spans="2:13" ht="14" x14ac:dyDescent="0.2">
      <c r="B936" s="24">
        <v>20</v>
      </c>
      <c r="C936" s="24">
        <v>81</v>
      </c>
      <c r="D936" s="24">
        <v>1</v>
      </c>
      <c r="E936" s="24">
        <v>2.6666666666666701</v>
      </c>
      <c r="F936" s="24">
        <v>0</v>
      </c>
      <c r="G936" s="24">
        <v>1</v>
      </c>
      <c r="H936" s="24">
        <v>0</v>
      </c>
      <c r="I936" s="24">
        <v>0</v>
      </c>
      <c r="J936" s="24">
        <v>0</v>
      </c>
      <c r="K936" s="24">
        <v>1</v>
      </c>
      <c r="L936" s="24">
        <v>0</v>
      </c>
      <c r="M936" s="24">
        <v>0</v>
      </c>
    </row>
    <row r="937" spans="2:13" ht="14" x14ac:dyDescent="0.2">
      <c r="B937" s="24">
        <v>11</v>
      </c>
      <c r="C937" s="24">
        <v>139</v>
      </c>
      <c r="D937" s="24">
        <v>2</v>
      </c>
      <c r="E937" s="24">
        <v>0.8</v>
      </c>
      <c r="F937" s="24">
        <v>0</v>
      </c>
      <c r="G937" s="24">
        <v>1</v>
      </c>
      <c r="H937" s="24">
        <v>421</v>
      </c>
      <c r="I937" s="24">
        <v>0</v>
      </c>
      <c r="J937" s="24">
        <v>0</v>
      </c>
      <c r="K937" s="24">
        <v>1</v>
      </c>
      <c r="L937" s="24">
        <v>0</v>
      </c>
      <c r="M937" s="24">
        <v>1</v>
      </c>
    </row>
    <row r="938" spans="2:13" ht="14" x14ac:dyDescent="0.2">
      <c r="B938" s="24">
        <v>1</v>
      </c>
      <c r="C938" s="24">
        <v>83</v>
      </c>
      <c r="D938" s="24">
        <v>4</v>
      </c>
      <c r="E938" s="24">
        <v>2.1</v>
      </c>
      <c r="F938" s="24">
        <v>0</v>
      </c>
      <c r="G938" s="24">
        <v>0</v>
      </c>
      <c r="H938" s="24">
        <v>0</v>
      </c>
      <c r="I938" s="24">
        <v>0</v>
      </c>
      <c r="J938" s="24">
        <v>0</v>
      </c>
      <c r="K938" s="24">
        <v>1</v>
      </c>
      <c r="L938" s="24">
        <v>1</v>
      </c>
      <c r="M938" s="24">
        <v>0</v>
      </c>
    </row>
    <row r="939" spans="2:13" ht="14" x14ac:dyDescent="0.2">
      <c r="B939" s="24">
        <v>30</v>
      </c>
      <c r="C939" s="24">
        <v>73</v>
      </c>
      <c r="D939" s="24">
        <v>4</v>
      </c>
      <c r="E939" s="24">
        <v>3.8</v>
      </c>
      <c r="F939" s="24">
        <v>0</v>
      </c>
      <c r="G939" s="24">
        <v>1</v>
      </c>
      <c r="H939" s="24">
        <v>0</v>
      </c>
      <c r="I939" s="24">
        <v>0</v>
      </c>
      <c r="J939" s="24">
        <v>0</v>
      </c>
      <c r="K939" s="24">
        <v>1</v>
      </c>
      <c r="L939" s="24">
        <v>0</v>
      </c>
      <c r="M939" s="24">
        <v>0</v>
      </c>
    </row>
    <row r="940" spans="2:13" ht="14" x14ac:dyDescent="0.2">
      <c r="B940" s="24">
        <v>3</v>
      </c>
      <c r="C940" s="24">
        <v>61</v>
      </c>
      <c r="D940" s="24">
        <v>4</v>
      </c>
      <c r="E940" s="24">
        <v>2</v>
      </c>
      <c r="F940" s="24">
        <v>0</v>
      </c>
      <c r="G940" s="24">
        <v>1</v>
      </c>
      <c r="H940" s="24">
        <v>0</v>
      </c>
      <c r="I940" s="24">
        <v>0</v>
      </c>
      <c r="J940" s="24">
        <v>0</v>
      </c>
      <c r="K940" s="24">
        <v>1</v>
      </c>
      <c r="L940" s="24">
        <v>0</v>
      </c>
      <c r="M940" s="24">
        <v>0</v>
      </c>
    </row>
    <row r="941" spans="2:13" ht="14" x14ac:dyDescent="0.2">
      <c r="B941" s="24">
        <v>5</v>
      </c>
      <c r="C941" s="24">
        <v>45</v>
      </c>
      <c r="D941" s="24">
        <v>3</v>
      </c>
      <c r="E941" s="24">
        <v>0.1</v>
      </c>
      <c r="F941" s="24">
        <v>0</v>
      </c>
      <c r="G941" s="24">
        <v>1</v>
      </c>
      <c r="H941" s="24">
        <v>0</v>
      </c>
      <c r="I941" s="24">
        <v>0</v>
      </c>
      <c r="J941" s="24">
        <v>0</v>
      </c>
      <c r="K941" s="24">
        <v>1</v>
      </c>
      <c r="L941" s="24">
        <v>0</v>
      </c>
      <c r="M941" s="24">
        <v>0</v>
      </c>
    </row>
    <row r="942" spans="2:13" ht="14" x14ac:dyDescent="0.2">
      <c r="B942" s="24">
        <v>8</v>
      </c>
      <c r="C942" s="24">
        <v>133</v>
      </c>
      <c r="D942" s="24">
        <v>1</v>
      </c>
      <c r="E942" s="24">
        <v>0</v>
      </c>
      <c r="F942" s="24">
        <v>1</v>
      </c>
      <c r="G942" s="24">
        <v>0</v>
      </c>
      <c r="H942" s="24">
        <v>0</v>
      </c>
      <c r="I942" s="24">
        <v>0</v>
      </c>
      <c r="J942" s="24">
        <v>0</v>
      </c>
      <c r="K942" s="24">
        <v>1</v>
      </c>
      <c r="L942" s="24">
        <v>0</v>
      </c>
      <c r="M942" s="24">
        <v>0</v>
      </c>
    </row>
    <row r="943" spans="2:13" ht="14" x14ac:dyDescent="0.2">
      <c r="B943" s="24">
        <v>11</v>
      </c>
      <c r="C943" s="24">
        <v>72</v>
      </c>
      <c r="D943" s="24">
        <v>3</v>
      </c>
      <c r="E943" s="24">
        <v>2.6</v>
      </c>
      <c r="F943" s="24">
        <v>0</v>
      </c>
      <c r="G943" s="24">
        <v>1</v>
      </c>
      <c r="H943" s="24">
        <v>0</v>
      </c>
      <c r="I943" s="24">
        <v>0</v>
      </c>
      <c r="J943" s="24">
        <v>0</v>
      </c>
      <c r="K943" s="24">
        <v>1</v>
      </c>
      <c r="L943" s="24">
        <v>0</v>
      </c>
      <c r="M943" s="24">
        <v>0</v>
      </c>
    </row>
    <row r="944" spans="2:13" ht="14" x14ac:dyDescent="0.2">
      <c r="B944" s="24">
        <v>3</v>
      </c>
      <c r="C944" s="24">
        <v>105</v>
      </c>
      <c r="D944" s="24">
        <v>1</v>
      </c>
      <c r="E944" s="24">
        <v>3</v>
      </c>
      <c r="F944" s="24">
        <v>0</v>
      </c>
      <c r="G944" s="24">
        <v>1</v>
      </c>
      <c r="H944" s="24">
        <v>0</v>
      </c>
      <c r="I944" s="24">
        <v>1</v>
      </c>
      <c r="J944" s="24">
        <v>0</v>
      </c>
      <c r="K944" s="24">
        <v>0</v>
      </c>
      <c r="L944" s="24">
        <v>0</v>
      </c>
      <c r="M944" s="24">
        <v>1</v>
      </c>
    </row>
    <row r="945" spans="2:13" ht="14" x14ac:dyDescent="0.2">
      <c r="B945" s="24">
        <v>6</v>
      </c>
      <c r="C945" s="24">
        <v>64</v>
      </c>
      <c r="D945" s="24">
        <v>4</v>
      </c>
      <c r="E945" s="24">
        <v>3.4</v>
      </c>
      <c r="F945" s="24">
        <v>1</v>
      </c>
      <c r="G945" s="24">
        <v>0</v>
      </c>
      <c r="H945" s="24">
        <v>117</v>
      </c>
      <c r="I945" s="24">
        <v>0</v>
      </c>
      <c r="J945" s="24">
        <v>0</v>
      </c>
      <c r="K945" s="24">
        <v>0</v>
      </c>
      <c r="L945" s="24">
        <v>0</v>
      </c>
      <c r="M945" s="24">
        <v>0</v>
      </c>
    </row>
    <row r="946" spans="2:13" ht="14" x14ac:dyDescent="0.2">
      <c r="B946" s="24">
        <v>3</v>
      </c>
      <c r="C946" s="24">
        <v>112</v>
      </c>
      <c r="D946" s="24">
        <v>3</v>
      </c>
      <c r="E946" s="24">
        <v>2.5</v>
      </c>
      <c r="F946" s="24">
        <v>1</v>
      </c>
      <c r="G946" s="24">
        <v>0</v>
      </c>
      <c r="H946" s="24">
        <v>389</v>
      </c>
      <c r="I946" s="24">
        <v>1</v>
      </c>
      <c r="J946" s="24">
        <v>0</v>
      </c>
      <c r="K946" s="24">
        <v>1</v>
      </c>
      <c r="L946" s="24">
        <v>0</v>
      </c>
      <c r="M946" s="24">
        <v>0</v>
      </c>
    </row>
    <row r="947" spans="2:13" ht="14" x14ac:dyDescent="0.2">
      <c r="B947" s="24">
        <v>32</v>
      </c>
      <c r="C947" s="24">
        <v>15</v>
      </c>
      <c r="D947" s="24">
        <v>1</v>
      </c>
      <c r="E947" s="24">
        <v>0.1</v>
      </c>
      <c r="F947" s="24">
        <v>0</v>
      </c>
      <c r="G947" s="24">
        <v>1</v>
      </c>
      <c r="H947" s="24">
        <v>0</v>
      </c>
      <c r="I947" s="24">
        <v>0</v>
      </c>
      <c r="J947" s="24">
        <v>0</v>
      </c>
      <c r="K947" s="24">
        <v>1</v>
      </c>
      <c r="L947" s="24">
        <v>0</v>
      </c>
      <c r="M947" s="24">
        <v>0</v>
      </c>
    </row>
    <row r="948" spans="2:13" ht="14" x14ac:dyDescent="0.2">
      <c r="B948" s="24">
        <v>23</v>
      </c>
      <c r="C948" s="24">
        <v>34</v>
      </c>
      <c r="D948" s="24">
        <v>4</v>
      </c>
      <c r="E948" s="24">
        <v>0.6</v>
      </c>
      <c r="F948" s="24">
        <v>1</v>
      </c>
      <c r="G948" s="24">
        <v>0</v>
      </c>
      <c r="H948" s="24">
        <v>0</v>
      </c>
      <c r="I948" s="24">
        <v>0</v>
      </c>
      <c r="J948" s="24">
        <v>1</v>
      </c>
      <c r="K948" s="24">
        <v>1</v>
      </c>
      <c r="L948" s="24">
        <v>1</v>
      </c>
      <c r="M948" s="24">
        <v>0</v>
      </c>
    </row>
    <row r="949" spans="2:13" ht="14" x14ac:dyDescent="0.2">
      <c r="B949" s="24">
        <v>30</v>
      </c>
      <c r="C949" s="24">
        <v>100</v>
      </c>
      <c r="D949" s="24">
        <v>4</v>
      </c>
      <c r="E949" s="24">
        <v>3.4</v>
      </c>
      <c r="F949" s="24">
        <v>0</v>
      </c>
      <c r="G949" s="24">
        <v>0</v>
      </c>
      <c r="H949" s="24">
        <v>0</v>
      </c>
      <c r="I949" s="24">
        <v>0</v>
      </c>
      <c r="J949" s="24">
        <v>0</v>
      </c>
      <c r="K949" s="24">
        <v>0</v>
      </c>
      <c r="L949" s="24">
        <v>0</v>
      </c>
      <c r="M949" s="24">
        <v>1</v>
      </c>
    </row>
    <row r="950" spans="2:13" ht="14" x14ac:dyDescent="0.2">
      <c r="B950" s="24">
        <v>5</v>
      </c>
      <c r="C950" s="24">
        <v>44</v>
      </c>
      <c r="D950" s="24">
        <v>1</v>
      </c>
      <c r="E950" s="24">
        <v>0.2</v>
      </c>
      <c r="F950" s="24">
        <v>0</v>
      </c>
      <c r="G950" s="24">
        <v>0</v>
      </c>
      <c r="H950" s="24">
        <v>0</v>
      </c>
      <c r="I950" s="24">
        <v>0</v>
      </c>
      <c r="J950" s="24">
        <v>0</v>
      </c>
      <c r="K950" s="24">
        <v>1</v>
      </c>
      <c r="L950" s="24">
        <v>0</v>
      </c>
      <c r="M950" s="24">
        <v>0</v>
      </c>
    </row>
    <row r="951" spans="2:13" ht="14" x14ac:dyDescent="0.2">
      <c r="B951" s="24">
        <v>34</v>
      </c>
      <c r="C951" s="24">
        <v>52</v>
      </c>
      <c r="D951" s="24">
        <v>2</v>
      </c>
      <c r="E951" s="24">
        <v>1.6</v>
      </c>
      <c r="F951" s="24">
        <v>0</v>
      </c>
      <c r="G951" s="24">
        <v>0</v>
      </c>
      <c r="H951" s="24">
        <v>75</v>
      </c>
      <c r="I951" s="24">
        <v>0</v>
      </c>
      <c r="J951" s="24">
        <v>0</v>
      </c>
      <c r="K951" s="24">
        <v>1</v>
      </c>
      <c r="L951" s="24">
        <v>0</v>
      </c>
      <c r="M951" s="24">
        <v>0</v>
      </c>
    </row>
    <row r="952" spans="2:13" ht="14" x14ac:dyDescent="0.2">
      <c r="B952" s="24">
        <v>37</v>
      </c>
      <c r="C952" s="24">
        <v>109</v>
      </c>
      <c r="D952" s="24">
        <v>1</v>
      </c>
      <c r="E952" s="24">
        <v>2</v>
      </c>
      <c r="F952" s="24">
        <v>1</v>
      </c>
      <c r="G952" s="24">
        <v>0</v>
      </c>
      <c r="H952" s="24">
        <v>0</v>
      </c>
      <c r="I952" s="24">
        <v>0</v>
      </c>
      <c r="J952" s="24">
        <v>0</v>
      </c>
      <c r="K952" s="24">
        <v>1</v>
      </c>
      <c r="L952" s="24">
        <v>0</v>
      </c>
      <c r="M952" s="24">
        <v>0</v>
      </c>
    </row>
    <row r="953" spans="2:13" ht="14" x14ac:dyDescent="0.2">
      <c r="B953" s="24">
        <v>17</v>
      </c>
      <c r="C953" s="24">
        <v>11</v>
      </c>
      <c r="D953" s="24">
        <v>1</v>
      </c>
      <c r="E953" s="24">
        <v>1</v>
      </c>
      <c r="F953" s="24">
        <v>1</v>
      </c>
      <c r="G953" s="24">
        <v>0</v>
      </c>
      <c r="H953" s="24">
        <v>0</v>
      </c>
      <c r="I953" s="24">
        <v>0</v>
      </c>
      <c r="J953" s="24">
        <v>0</v>
      </c>
      <c r="K953" s="24">
        <v>0</v>
      </c>
      <c r="L953" s="24">
        <v>0</v>
      </c>
      <c r="M953" s="24">
        <v>0</v>
      </c>
    </row>
    <row r="954" spans="2:13" ht="14" x14ac:dyDescent="0.2">
      <c r="B954" s="24">
        <v>26</v>
      </c>
      <c r="C954" s="24">
        <v>92</v>
      </c>
      <c r="D954" s="24">
        <v>2</v>
      </c>
      <c r="E954" s="24">
        <v>4.5</v>
      </c>
      <c r="F954" s="24">
        <v>0</v>
      </c>
      <c r="G954" s="24">
        <v>0</v>
      </c>
      <c r="H954" s="24">
        <v>0</v>
      </c>
      <c r="I954" s="24">
        <v>1</v>
      </c>
      <c r="J954" s="24">
        <v>0</v>
      </c>
      <c r="K954" s="24">
        <v>0</v>
      </c>
      <c r="L954" s="24">
        <v>1</v>
      </c>
      <c r="M954" s="24">
        <v>0</v>
      </c>
    </row>
    <row r="955" spans="2:13" ht="14" x14ac:dyDescent="0.2">
      <c r="B955" s="24">
        <v>12</v>
      </c>
      <c r="C955" s="24">
        <v>73</v>
      </c>
      <c r="D955" s="24">
        <v>4</v>
      </c>
      <c r="E955" s="24">
        <v>2</v>
      </c>
      <c r="F955" s="24">
        <v>0</v>
      </c>
      <c r="G955" s="24">
        <v>0</v>
      </c>
      <c r="H955" s="24">
        <v>188</v>
      </c>
      <c r="I955" s="24">
        <v>0</v>
      </c>
      <c r="J955" s="24">
        <v>0</v>
      </c>
      <c r="K955" s="24">
        <v>1</v>
      </c>
      <c r="L955" s="24">
        <v>0</v>
      </c>
      <c r="M955" s="24">
        <v>0</v>
      </c>
    </row>
    <row r="956" spans="2:13" ht="14" x14ac:dyDescent="0.2">
      <c r="B956" s="24">
        <v>22</v>
      </c>
      <c r="C956" s="24">
        <v>81</v>
      </c>
      <c r="D956" s="24">
        <v>1</v>
      </c>
      <c r="E956" s="24">
        <v>2.9</v>
      </c>
      <c r="F956" s="24">
        <v>1</v>
      </c>
      <c r="G956" s="24">
        <v>0</v>
      </c>
      <c r="H956" s="24">
        <v>138</v>
      </c>
      <c r="I956" s="24">
        <v>0</v>
      </c>
      <c r="J956" s="24">
        <v>0</v>
      </c>
      <c r="K956" s="24">
        <v>0</v>
      </c>
      <c r="L956" s="24">
        <v>0</v>
      </c>
      <c r="M956" s="24">
        <v>0</v>
      </c>
    </row>
    <row r="957" spans="2:13" ht="14" x14ac:dyDescent="0.2">
      <c r="B957" s="24">
        <v>37</v>
      </c>
      <c r="C957" s="24">
        <v>141</v>
      </c>
      <c r="D957" s="24">
        <v>2</v>
      </c>
      <c r="E957" s="24">
        <v>6.9</v>
      </c>
      <c r="F957" s="24">
        <v>1</v>
      </c>
      <c r="G957" s="24">
        <v>0</v>
      </c>
      <c r="H957" s="24">
        <v>0</v>
      </c>
      <c r="I957" s="24">
        <v>0</v>
      </c>
      <c r="J957" s="24">
        <v>0</v>
      </c>
      <c r="K957" s="24">
        <v>1</v>
      </c>
      <c r="L957" s="24">
        <v>1</v>
      </c>
      <c r="M957" s="24">
        <v>0</v>
      </c>
    </row>
    <row r="958" spans="2:13" ht="14" x14ac:dyDescent="0.2">
      <c r="B958" s="24">
        <v>15</v>
      </c>
      <c r="C958" s="24">
        <v>52</v>
      </c>
      <c r="D958" s="24">
        <v>3</v>
      </c>
      <c r="E958" s="24">
        <v>0.8</v>
      </c>
      <c r="F958" s="24">
        <v>0</v>
      </c>
      <c r="G958" s="24">
        <v>0</v>
      </c>
      <c r="H958" s="24">
        <v>113</v>
      </c>
      <c r="I958" s="24">
        <v>0</v>
      </c>
      <c r="J958" s="24">
        <v>0</v>
      </c>
      <c r="K958" s="24">
        <v>1</v>
      </c>
      <c r="L958" s="24">
        <v>0</v>
      </c>
      <c r="M958" s="24">
        <v>0</v>
      </c>
    </row>
    <row r="959" spans="2:13" ht="14" x14ac:dyDescent="0.2">
      <c r="B959" s="24">
        <v>37</v>
      </c>
      <c r="C959" s="24">
        <v>92</v>
      </c>
      <c r="D959" s="24">
        <v>3</v>
      </c>
      <c r="E959" s="24">
        <v>0.5</v>
      </c>
      <c r="F959" s="24">
        <v>1</v>
      </c>
      <c r="G959" s="24">
        <v>0</v>
      </c>
      <c r="H959" s="24">
        <v>310</v>
      </c>
      <c r="I959" s="24">
        <v>0</v>
      </c>
      <c r="J959" s="24">
        <v>0</v>
      </c>
      <c r="K959" s="24">
        <v>1</v>
      </c>
      <c r="L959" s="24">
        <v>0</v>
      </c>
      <c r="M959" s="24">
        <v>0</v>
      </c>
    </row>
    <row r="960" spans="2:13" ht="14" x14ac:dyDescent="0.2">
      <c r="B960" s="24">
        <v>17</v>
      </c>
      <c r="C960" s="24">
        <v>38</v>
      </c>
      <c r="D960" s="24">
        <v>4</v>
      </c>
      <c r="E960" s="24">
        <v>2.2000000000000002</v>
      </c>
      <c r="F960" s="24">
        <v>0</v>
      </c>
      <c r="G960" s="24">
        <v>1</v>
      </c>
      <c r="H960" s="24">
        <v>180</v>
      </c>
      <c r="I960" s="24">
        <v>0</v>
      </c>
      <c r="J960" s="24">
        <v>0</v>
      </c>
      <c r="K960" s="24">
        <v>0</v>
      </c>
      <c r="L960" s="24">
        <v>1</v>
      </c>
      <c r="M960" s="24">
        <v>0</v>
      </c>
    </row>
    <row r="961" spans="2:13" ht="14" x14ac:dyDescent="0.2">
      <c r="B961" s="24">
        <v>5</v>
      </c>
      <c r="C961" s="24">
        <v>28</v>
      </c>
      <c r="D961" s="24">
        <v>3</v>
      </c>
      <c r="E961" s="24">
        <v>1</v>
      </c>
      <c r="F961" s="24">
        <v>1</v>
      </c>
      <c r="G961" s="24">
        <v>0</v>
      </c>
      <c r="H961" s="24">
        <v>0</v>
      </c>
      <c r="I961" s="24">
        <v>0</v>
      </c>
      <c r="J961" s="24">
        <v>0</v>
      </c>
      <c r="K961" s="24">
        <v>1</v>
      </c>
      <c r="L961" s="24">
        <v>0</v>
      </c>
      <c r="M961" s="24">
        <v>0</v>
      </c>
    </row>
    <row r="962" spans="2:13" ht="14" x14ac:dyDescent="0.2">
      <c r="B962" s="24">
        <v>35</v>
      </c>
      <c r="C962" s="24">
        <v>31</v>
      </c>
      <c r="D962" s="24">
        <v>3</v>
      </c>
      <c r="E962" s="24">
        <v>0.4</v>
      </c>
      <c r="F962" s="24">
        <v>0</v>
      </c>
      <c r="G962" s="24">
        <v>1</v>
      </c>
      <c r="H962" s="24">
        <v>0</v>
      </c>
      <c r="I962" s="24">
        <v>0</v>
      </c>
      <c r="J962" s="24">
        <v>0</v>
      </c>
      <c r="K962" s="24">
        <v>1</v>
      </c>
      <c r="L962" s="24">
        <v>1</v>
      </c>
      <c r="M962" s="24">
        <v>0</v>
      </c>
    </row>
    <row r="963" spans="2:13" ht="14" x14ac:dyDescent="0.2">
      <c r="B963" s="24">
        <v>23</v>
      </c>
      <c r="C963" s="24">
        <v>32</v>
      </c>
      <c r="D963" s="24">
        <v>4</v>
      </c>
      <c r="E963" s="24">
        <v>1.8</v>
      </c>
      <c r="F963" s="24">
        <v>1</v>
      </c>
      <c r="G963" s="24">
        <v>0</v>
      </c>
      <c r="H963" s="24">
        <v>83</v>
      </c>
      <c r="I963" s="24">
        <v>0</v>
      </c>
      <c r="J963" s="24">
        <v>0</v>
      </c>
      <c r="K963" s="24">
        <v>0</v>
      </c>
      <c r="L963" s="24">
        <v>0</v>
      </c>
      <c r="M963" s="24">
        <v>0</v>
      </c>
    </row>
    <row r="964" spans="2:13" ht="14" x14ac:dyDescent="0.2">
      <c r="B964" s="24">
        <v>36</v>
      </c>
      <c r="C964" s="24">
        <v>44</v>
      </c>
      <c r="D964" s="24">
        <v>2</v>
      </c>
      <c r="E964" s="24">
        <v>1</v>
      </c>
      <c r="F964" s="24">
        <v>0</v>
      </c>
      <c r="G964" s="24">
        <v>0</v>
      </c>
      <c r="H964" s="24">
        <v>0</v>
      </c>
      <c r="I964" s="24">
        <v>0</v>
      </c>
      <c r="J964" s="24">
        <v>0</v>
      </c>
      <c r="K964" s="24">
        <v>0</v>
      </c>
      <c r="L964" s="24">
        <v>0</v>
      </c>
      <c r="M964" s="24">
        <v>0</v>
      </c>
    </row>
    <row r="965" spans="2:13" ht="14" x14ac:dyDescent="0.2">
      <c r="B965" s="24">
        <v>18</v>
      </c>
      <c r="C965" s="24">
        <v>89</v>
      </c>
      <c r="D965" s="24">
        <v>4</v>
      </c>
      <c r="E965" s="24">
        <v>0.8</v>
      </c>
      <c r="F965" s="24">
        <v>1</v>
      </c>
      <c r="G965" s="24">
        <v>0</v>
      </c>
      <c r="H965" s="24">
        <v>184</v>
      </c>
      <c r="I965" s="24">
        <v>0</v>
      </c>
      <c r="J965" s="24">
        <v>0</v>
      </c>
      <c r="K965" s="24">
        <v>0</v>
      </c>
      <c r="L965" s="24">
        <v>0</v>
      </c>
      <c r="M965" s="24">
        <v>0</v>
      </c>
    </row>
    <row r="966" spans="2:13" ht="14" x14ac:dyDescent="0.2">
      <c r="B966" s="24">
        <v>35</v>
      </c>
      <c r="C966" s="24">
        <v>33</v>
      </c>
      <c r="D966" s="24">
        <v>4</v>
      </c>
      <c r="E966" s="24">
        <v>0.4</v>
      </c>
      <c r="F966" s="24">
        <v>1</v>
      </c>
      <c r="G966" s="24">
        <v>0</v>
      </c>
      <c r="H966" s="24">
        <v>131</v>
      </c>
      <c r="I966" s="24">
        <v>0</v>
      </c>
      <c r="J966" s="24">
        <v>0</v>
      </c>
      <c r="K966" s="24">
        <v>0</v>
      </c>
      <c r="L966" s="24">
        <v>1</v>
      </c>
      <c r="M966" s="24">
        <v>0</v>
      </c>
    </row>
    <row r="967" spans="2:13" ht="14" x14ac:dyDescent="0.2">
      <c r="B967" s="24">
        <v>27</v>
      </c>
      <c r="C967" s="24">
        <v>62</v>
      </c>
      <c r="D967" s="24">
        <v>4</v>
      </c>
      <c r="E967" s="24">
        <v>1.8</v>
      </c>
      <c r="F967" s="24">
        <v>0</v>
      </c>
      <c r="G967" s="24">
        <v>0</v>
      </c>
      <c r="H967" s="24">
        <v>82</v>
      </c>
      <c r="I967" s="24">
        <v>0</v>
      </c>
      <c r="J967" s="24">
        <v>0</v>
      </c>
      <c r="K967" s="24">
        <v>0</v>
      </c>
      <c r="L967" s="24">
        <v>0</v>
      </c>
      <c r="M967" s="24">
        <v>0</v>
      </c>
    </row>
    <row r="968" spans="2:13" ht="14" x14ac:dyDescent="0.2">
      <c r="B968" s="24">
        <v>36</v>
      </c>
      <c r="C968" s="24">
        <v>183</v>
      </c>
      <c r="D968" s="24">
        <v>2</v>
      </c>
      <c r="E968" s="24">
        <v>3.4</v>
      </c>
      <c r="F968" s="24">
        <v>0</v>
      </c>
      <c r="G968" s="24">
        <v>0</v>
      </c>
      <c r="H968" s="24">
        <v>0</v>
      </c>
      <c r="I968" s="24">
        <v>0</v>
      </c>
      <c r="J968" s="24">
        <v>0</v>
      </c>
      <c r="K968" s="24">
        <v>0</v>
      </c>
      <c r="L968" s="24">
        <v>0</v>
      </c>
      <c r="M968" s="24">
        <v>1</v>
      </c>
    </row>
    <row r="969" spans="2:13" ht="14" x14ac:dyDescent="0.2">
      <c r="B969" s="24">
        <v>8</v>
      </c>
      <c r="C969" s="24">
        <v>155</v>
      </c>
      <c r="D969" s="24">
        <v>1</v>
      </c>
      <c r="E969" s="24">
        <v>7.4</v>
      </c>
      <c r="F969" s="24">
        <v>0</v>
      </c>
      <c r="G969" s="24">
        <v>0</v>
      </c>
      <c r="H969" s="24">
        <v>0</v>
      </c>
      <c r="I969" s="24">
        <v>0</v>
      </c>
      <c r="J969" s="24">
        <v>0</v>
      </c>
      <c r="K969" s="24">
        <v>0</v>
      </c>
      <c r="L969" s="24">
        <v>0</v>
      </c>
      <c r="M969" s="24">
        <v>1</v>
      </c>
    </row>
    <row r="970" spans="2:13" ht="14" x14ac:dyDescent="0.2">
      <c r="B970" s="24">
        <v>38</v>
      </c>
      <c r="C970" s="24">
        <v>100</v>
      </c>
      <c r="D970" s="24">
        <v>4</v>
      </c>
      <c r="E970" s="24">
        <v>1.7</v>
      </c>
      <c r="F970" s="24">
        <v>0</v>
      </c>
      <c r="G970" s="24">
        <v>1</v>
      </c>
      <c r="H970" s="24">
        <v>0</v>
      </c>
      <c r="I970" s="24">
        <v>0</v>
      </c>
      <c r="J970" s="24">
        <v>0</v>
      </c>
      <c r="K970" s="24">
        <v>1</v>
      </c>
      <c r="L970" s="24">
        <v>0</v>
      </c>
      <c r="M970" s="24">
        <v>0</v>
      </c>
    </row>
    <row r="971" spans="2:13" ht="14" x14ac:dyDescent="0.2">
      <c r="B971" s="24">
        <v>7</v>
      </c>
      <c r="C971" s="24">
        <v>101</v>
      </c>
      <c r="D971" s="24">
        <v>1</v>
      </c>
      <c r="E971" s="24">
        <v>2.7</v>
      </c>
      <c r="F971" s="24">
        <v>0</v>
      </c>
      <c r="G971" s="24">
        <v>1</v>
      </c>
      <c r="H971" s="24">
        <v>233</v>
      </c>
      <c r="I971" s="24">
        <v>0</v>
      </c>
      <c r="J971" s="24">
        <v>0</v>
      </c>
      <c r="K971" s="24">
        <v>0</v>
      </c>
      <c r="L971" s="24">
        <v>0</v>
      </c>
      <c r="M971" s="24">
        <v>0</v>
      </c>
    </row>
    <row r="972" spans="2:13" ht="14" x14ac:dyDescent="0.2">
      <c r="B972" s="24">
        <v>10</v>
      </c>
      <c r="C972" s="24">
        <v>90</v>
      </c>
      <c r="D972" s="24">
        <v>2</v>
      </c>
      <c r="E972" s="24">
        <v>2.7</v>
      </c>
      <c r="F972" s="24">
        <v>1</v>
      </c>
      <c r="G972" s="24">
        <v>0</v>
      </c>
      <c r="H972" s="24">
        <v>0</v>
      </c>
      <c r="I972" s="24">
        <v>0</v>
      </c>
      <c r="J972" s="24">
        <v>0</v>
      </c>
      <c r="K972" s="24">
        <v>1</v>
      </c>
      <c r="L972" s="24">
        <v>0</v>
      </c>
      <c r="M972" s="24">
        <v>0</v>
      </c>
    </row>
    <row r="973" spans="2:13" ht="14" x14ac:dyDescent="0.2">
      <c r="B973" s="24">
        <v>25</v>
      </c>
      <c r="C973" s="24">
        <v>68</v>
      </c>
      <c r="D973" s="24">
        <v>2</v>
      </c>
      <c r="E973" s="24">
        <v>1.5</v>
      </c>
      <c r="F973" s="24">
        <v>0</v>
      </c>
      <c r="G973" s="24">
        <v>1</v>
      </c>
      <c r="H973" s="24">
        <v>117</v>
      </c>
      <c r="I973" s="24">
        <v>0</v>
      </c>
      <c r="J973" s="24">
        <v>0</v>
      </c>
      <c r="K973" s="24">
        <v>0</v>
      </c>
      <c r="L973" s="24">
        <v>1</v>
      </c>
      <c r="M973" s="24">
        <v>0</v>
      </c>
    </row>
    <row r="974" spans="2:13" ht="14" x14ac:dyDescent="0.2">
      <c r="B974" s="24">
        <v>32</v>
      </c>
      <c r="C974" s="24">
        <v>75</v>
      </c>
      <c r="D974" s="24">
        <v>2</v>
      </c>
      <c r="E974" s="24">
        <v>3.7</v>
      </c>
      <c r="F974" s="24">
        <v>1</v>
      </c>
      <c r="G974" s="24">
        <v>0</v>
      </c>
      <c r="H974" s="24">
        <v>236</v>
      </c>
      <c r="I974" s="24">
        <v>0</v>
      </c>
      <c r="J974" s="24">
        <v>0</v>
      </c>
      <c r="K974" s="24">
        <v>1</v>
      </c>
      <c r="L974" s="24">
        <v>0</v>
      </c>
      <c r="M974" s="24">
        <v>0</v>
      </c>
    </row>
    <row r="975" spans="2:13" ht="14" x14ac:dyDescent="0.2">
      <c r="B975" s="24">
        <v>15</v>
      </c>
      <c r="C975" s="24">
        <v>185</v>
      </c>
      <c r="D975" s="24">
        <v>1</v>
      </c>
      <c r="E975" s="24">
        <v>3.6</v>
      </c>
      <c r="F975" s="24">
        <v>0</v>
      </c>
      <c r="G975" s="24">
        <v>1</v>
      </c>
      <c r="H975" s="24">
        <v>0</v>
      </c>
      <c r="I975" s="24">
        <v>0</v>
      </c>
      <c r="J975" s="24">
        <v>0</v>
      </c>
      <c r="K975" s="24">
        <v>0</v>
      </c>
      <c r="L975" s="24">
        <v>0</v>
      </c>
      <c r="M975" s="24">
        <v>1</v>
      </c>
    </row>
    <row r="976" spans="2:13" ht="14" x14ac:dyDescent="0.2">
      <c r="B976" s="24">
        <v>6</v>
      </c>
      <c r="C976" s="24">
        <v>21</v>
      </c>
      <c r="D976" s="24">
        <v>1</v>
      </c>
      <c r="E976" s="24">
        <v>0.66666666666666696</v>
      </c>
      <c r="F976" s="24">
        <v>0</v>
      </c>
      <c r="G976" s="24">
        <v>0</v>
      </c>
      <c r="H976" s="24">
        <v>0</v>
      </c>
      <c r="I976" s="24">
        <v>1</v>
      </c>
      <c r="J976" s="24">
        <v>0</v>
      </c>
      <c r="K976" s="24">
        <v>1</v>
      </c>
      <c r="L976" s="24">
        <v>0</v>
      </c>
      <c r="M976" s="24">
        <v>0</v>
      </c>
    </row>
    <row r="977" spans="2:13" ht="14" x14ac:dyDescent="0.2">
      <c r="B977" s="24">
        <v>4</v>
      </c>
      <c r="C977" s="24">
        <v>22</v>
      </c>
      <c r="D977" s="24">
        <v>2</v>
      </c>
      <c r="E977" s="24">
        <v>0.9</v>
      </c>
      <c r="F977" s="24">
        <v>0</v>
      </c>
      <c r="G977" s="24">
        <v>0</v>
      </c>
      <c r="H977" s="24">
        <v>110</v>
      </c>
      <c r="I977" s="24">
        <v>0</v>
      </c>
      <c r="J977" s="24">
        <v>0</v>
      </c>
      <c r="K977" s="24">
        <v>0</v>
      </c>
      <c r="L977" s="24">
        <v>0</v>
      </c>
      <c r="M977" s="24">
        <v>0</v>
      </c>
    </row>
    <row r="978" spans="2:13" ht="14" x14ac:dyDescent="0.2">
      <c r="B978" s="24">
        <v>5</v>
      </c>
      <c r="C978" s="24">
        <v>35</v>
      </c>
      <c r="D978" s="24">
        <v>1</v>
      </c>
      <c r="E978" s="24">
        <v>0.6</v>
      </c>
      <c r="F978" s="24">
        <v>0</v>
      </c>
      <c r="G978" s="24">
        <v>0</v>
      </c>
      <c r="H978" s="24">
        <v>171</v>
      </c>
      <c r="I978" s="24">
        <v>0</v>
      </c>
      <c r="J978" s="24">
        <v>0</v>
      </c>
      <c r="K978" s="24">
        <v>0</v>
      </c>
      <c r="L978" s="24">
        <v>0</v>
      </c>
      <c r="M978" s="24">
        <v>0</v>
      </c>
    </row>
    <row r="979" spans="2:13" ht="14" x14ac:dyDescent="0.2">
      <c r="B979" s="24">
        <v>28</v>
      </c>
      <c r="C979" s="24">
        <v>39</v>
      </c>
      <c r="D979" s="24">
        <v>3</v>
      </c>
      <c r="E979" s="24">
        <v>1.9</v>
      </c>
      <c r="F979" s="24">
        <v>0</v>
      </c>
      <c r="G979" s="24">
        <v>1</v>
      </c>
      <c r="H979" s="24">
        <v>83</v>
      </c>
      <c r="I979" s="24">
        <v>0</v>
      </c>
      <c r="J979" s="24">
        <v>1</v>
      </c>
      <c r="K979" s="24">
        <v>1</v>
      </c>
      <c r="L979" s="24">
        <v>1</v>
      </c>
      <c r="M979" s="24">
        <v>0</v>
      </c>
    </row>
    <row r="980" spans="2:13" ht="14" x14ac:dyDescent="0.2">
      <c r="B980" s="24">
        <v>4</v>
      </c>
      <c r="C980" s="24">
        <v>38</v>
      </c>
      <c r="D980" s="24">
        <v>4</v>
      </c>
      <c r="E980" s="24">
        <v>1.6</v>
      </c>
      <c r="F980" s="24">
        <v>1</v>
      </c>
      <c r="G980" s="24">
        <v>0</v>
      </c>
      <c r="H980" s="24">
        <v>0</v>
      </c>
      <c r="I980" s="24">
        <v>0</v>
      </c>
      <c r="J980" s="24">
        <v>0</v>
      </c>
      <c r="K980" s="24">
        <v>0</v>
      </c>
      <c r="L980" s="24">
        <v>0</v>
      </c>
      <c r="M980" s="24">
        <v>0</v>
      </c>
    </row>
    <row r="981" spans="2:13" ht="14" x14ac:dyDescent="0.2">
      <c r="B981" s="24">
        <v>10</v>
      </c>
      <c r="C981" s="24">
        <v>43</v>
      </c>
      <c r="D981" s="24">
        <v>1</v>
      </c>
      <c r="E981" s="24">
        <v>1.7</v>
      </c>
      <c r="F981" s="24">
        <v>1</v>
      </c>
      <c r="G981" s="24">
        <v>0</v>
      </c>
      <c r="H981" s="24">
        <v>142</v>
      </c>
      <c r="I981" s="24">
        <v>0</v>
      </c>
      <c r="J981" s="24">
        <v>0</v>
      </c>
      <c r="K981" s="24">
        <v>0</v>
      </c>
      <c r="L981" s="24">
        <v>1</v>
      </c>
      <c r="M981" s="24">
        <v>0</v>
      </c>
    </row>
    <row r="982" spans="2:13" ht="14" x14ac:dyDescent="0.2">
      <c r="B982" s="24">
        <v>21</v>
      </c>
      <c r="C982" s="24">
        <v>109</v>
      </c>
      <c r="D982" s="24">
        <v>4</v>
      </c>
      <c r="E982" s="24">
        <v>1.8</v>
      </c>
      <c r="F982" s="24">
        <v>1</v>
      </c>
      <c r="G982" s="24">
        <v>0</v>
      </c>
      <c r="H982" s="24">
        <v>0</v>
      </c>
      <c r="I982" s="24">
        <v>0</v>
      </c>
      <c r="J982" s="24">
        <v>0</v>
      </c>
      <c r="K982" s="24">
        <v>0</v>
      </c>
      <c r="L982" s="24">
        <v>0</v>
      </c>
      <c r="M982" s="24">
        <v>1</v>
      </c>
    </row>
    <row r="983" spans="2:13" ht="14" x14ac:dyDescent="0.2">
      <c r="B983" s="24">
        <v>12</v>
      </c>
      <c r="C983" s="24">
        <v>89</v>
      </c>
      <c r="D983" s="24">
        <v>4</v>
      </c>
      <c r="E983" s="24">
        <v>1.4</v>
      </c>
      <c r="F983" s="24">
        <v>0</v>
      </c>
      <c r="G983" s="24">
        <v>1</v>
      </c>
      <c r="H983" s="24">
        <v>0</v>
      </c>
      <c r="I983" s="24">
        <v>0</v>
      </c>
      <c r="J983" s="24">
        <v>0</v>
      </c>
      <c r="K983" s="24">
        <v>0</v>
      </c>
      <c r="L983" s="24">
        <v>0</v>
      </c>
      <c r="M983" s="24">
        <v>0</v>
      </c>
    </row>
    <row r="984" spans="2:13" ht="14" x14ac:dyDescent="0.2">
      <c r="B984" s="24">
        <v>16</v>
      </c>
      <c r="C984" s="24">
        <v>35</v>
      </c>
      <c r="D984" s="24">
        <v>3</v>
      </c>
      <c r="E984" s="24">
        <v>1.5</v>
      </c>
      <c r="F984" s="24">
        <v>1</v>
      </c>
      <c r="G984" s="24">
        <v>0</v>
      </c>
      <c r="H984" s="24">
        <v>0</v>
      </c>
      <c r="I984" s="24">
        <v>0</v>
      </c>
      <c r="J984" s="24">
        <v>0</v>
      </c>
      <c r="K984" s="24">
        <v>0</v>
      </c>
      <c r="L984" s="24">
        <v>0</v>
      </c>
      <c r="M984" s="24">
        <v>0</v>
      </c>
    </row>
    <row r="985" spans="2:13" ht="14" x14ac:dyDescent="0.2">
      <c r="B985" s="24">
        <v>6</v>
      </c>
      <c r="C985" s="24">
        <v>82</v>
      </c>
      <c r="D985" s="24">
        <v>2</v>
      </c>
      <c r="E985" s="24">
        <v>2.5</v>
      </c>
      <c r="F985" s="24">
        <v>1</v>
      </c>
      <c r="G985" s="24">
        <v>0</v>
      </c>
      <c r="H985" s="24">
        <v>0</v>
      </c>
      <c r="I985" s="24">
        <v>0</v>
      </c>
      <c r="J985" s="24">
        <v>0</v>
      </c>
      <c r="K985" s="24">
        <v>0</v>
      </c>
      <c r="L985" s="24">
        <v>0</v>
      </c>
      <c r="M985" s="24">
        <v>0</v>
      </c>
    </row>
    <row r="986" spans="2:13" ht="14" x14ac:dyDescent="0.2">
      <c r="B986" s="24">
        <v>11</v>
      </c>
      <c r="C986" s="24">
        <v>72</v>
      </c>
      <c r="D986" s="24">
        <v>1</v>
      </c>
      <c r="E986" s="24">
        <v>2.8</v>
      </c>
      <c r="F986" s="24">
        <v>1</v>
      </c>
      <c r="G986" s="24">
        <v>0</v>
      </c>
      <c r="H986" s="24">
        <v>224</v>
      </c>
      <c r="I986" s="24">
        <v>0</v>
      </c>
      <c r="J986" s="24">
        <v>0</v>
      </c>
      <c r="K986" s="24">
        <v>0</v>
      </c>
      <c r="L986" s="24">
        <v>0</v>
      </c>
      <c r="M986" s="24">
        <v>0</v>
      </c>
    </row>
    <row r="987" spans="2:13" ht="14" x14ac:dyDescent="0.2">
      <c r="B987" s="24">
        <v>17</v>
      </c>
      <c r="C987" s="24">
        <v>9</v>
      </c>
      <c r="D987" s="24">
        <v>2</v>
      </c>
      <c r="E987" s="24">
        <v>0</v>
      </c>
      <c r="F987" s="24">
        <v>0</v>
      </c>
      <c r="G987" s="24">
        <v>0</v>
      </c>
      <c r="H987" s="24">
        <v>0</v>
      </c>
      <c r="I987" s="24">
        <v>0</v>
      </c>
      <c r="J987" s="24">
        <v>0</v>
      </c>
      <c r="K987" s="24">
        <v>0</v>
      </c>
      <c r="L987" s="24">
        <v>0</v>
      </c>
      <c r="M987" s="24">
        <v>0</v>
      </c>
    </row>
    <row r="988" spans="2:13" ht="14" x14ac:dyDescent="0.2">
      <c r="B988" s="24">
        <v>37</v>
      </c>
      <c r="C988" s="24">
        <v>53</v>
      </c>
      <c r="D988" s="24">
        <v>2</v>
      </c>
      <c r="E988" s="24">
        <v>2.8</v>
      </c>
      <c r="F988" s="24">
        <v>1</v>
      </c>
      <c r="G988" s="24">
        <v>0</v>
      </c>
      <c r="H988" s="24">
        <v>0</v>
      </c>
      <c r="I988" s="24">
        <v>0</v>
      </c>
      <c r="J988" s="24">
        <v>0</v>
      </c>
      <c r="K988" s="24">
        <v>1</v>
      </c>
      <c r="L988" s="24">
        <v>0</v>
      </c>
      <c r="M988" s="24">
        <v>0</v>
      </c>
    </row>
    <row r="989" spans="2:13" ht="14" x14ac:dyDescent="0.2">
      <c r="B989" s="24">
        <v>13</v>
      </c>
      <c r="C989" s="24">
        <v>119</v>
      </c>
      <c r="D989" s="24">
        <v>1</v>
      </c>
      <c r="E989" s="24">
        <v>3.3</v>
      </c>
      <c r="F989" s="24">
        <v>0</v>
      </c>
      <c r="G989" s="24">
        <v>1</v>
      </c>
      <c r="H989" s="24">
        <v>0</v>
      </c>
      <c r="I989" s="24">
        <v>0</v>
      </c>
      <c r="J989" s="24">
        <v>1</v>
      </c>
      <c r="K989" s="24">
        <v>1</v>
      </c>
      <c r="L989" s="24">
        <v>1</v>
      </c>
      <c r="M989" s="24">
        <v>1</v>
      </c>
    </row>
    <row r="990" spans="2:13" ht="14" x14ac:dyDescent="0.2">
      <c r="B990" s="24">
        <v>8</v>
      </c>
      <c r="C990" s="24">
        <v>60</v>
      </c>
      <c r="D990" s="24">
        <v>4</v>
      </c>
      <c r="E990" s="24">
        <v>2.2000000000000002</v>
      </c>
      <c r="F990" s="24">
        <v>0</v>
      </c>
      <c r="G990" s="24">
        <v>1</v>
      </c>
      <c r="H990" s="24">
        <v>0</v>
      </c>
      <c r="I990" s="24">
        <v>0</v>
      </c>
      <c r="J990" s="24">
        <v>0</v>
      </c>
      <c r="K990" s="24">
        <v>0</v>
      </c>
      <c r="L990" s="24">
        <v>1</v>
      </c>
      <c r="M990" s="24">
        <v>0</v>
      </c>
    </row>
    <row r="991" spans="2:13" ht="14" x14ac:dyDescent="0.2">
      <c r="B991" s="24">
        <v>13</v>
      </c>
      <c r="C991" s="24">
        <v>89</v>
      </c>
      <c r="D991" s="24">
        <v>2</v>
      </c>
      <c r="E991" s="24">
        <v>1.7</v>
      </c>
      <c r="F991" s="24">
        <v>0</v>
      </c>
      <c r="G991" s="24">
        <v>1</v>
      </c>
      <c r="H991" s="24">
        <v>314</v>
      </c>
      <c r="I991" s="24">
        <v>0</v>
      </c>
      <c r="J991" s="24">
        <v>0</v>
      </c>
      <c r="K991" s="24">
        <v>0</v>
      </c>
      <c r="L991" s="24">
        <v>1</v>
      </c>
      <c r="M991" s="24">
        <v>0</v>
      </c>
    </row>
    <row r="992" spans="2:13" ht="14" x14ac:dyDescent="0.2">
      <c r="B992" s="24">
        <v>6</v>
      </c>
      <c r="C992" s="24">
        <v>179</v>
      </c>
      <c r="D992" s="24">
        <v>3</v>
      </c>
      <c r="E992" s="24">
        <v>4.9000000000000004</v>
      </c>
      <c r="F992" s="24">
        <v>1</v>
      </c>
      <c r="G992" s="24">
        <v>0</v>
      </c>
      <c r="H992" s="24">
        <v>142</v>
      </c>
      <c r="I992" s="24">
        <v>0</v>
      </c>
      <c r="J992" s="24">
        <v>0</v>
      </c>
      <c r="K992" s="24">
        <v>1</v>
      </c>
      <c r="L992" s="24">
        <v>0</v>
      </c>
      <c r="M992" s="24">
        <v>1</v>
      </c>
    </row>
    <row r="993" spans="2:13" ht="14" x14ac:dyDescent="0.2">
      <c r="B993" s="24">
        <v>6</v>
      </c>
      <c r="C993" s="24">
        <v>29</v>
      </c>
      <c r="D993" s="24">
        <v>1</v>
      </c>
      <c r="E993" s="24">
        <v>1.9</v>
      </c>
      <c r="F993" s="24">
        <v>0</v>
      </c>
      <c r="G993" s="24">
        <v>0</v>
      </c>
      <c r="H993" s="24">
        <v>0</v>
      </c>
      <c r="I993" s="24">
        <v>0</v>
      </c>
      <c r="J993" s="24">
        <v>0</v>
      </c>
      <c r="K993" s="24">
        <v>1</v>
      </c>
      <c r="L993" s="24">
        <v>1</v>
      </c>
      <c r="M993" s="24">
        <v>0</v>
      </c>
    </row>
    <row r="994" spans="2:13" ht="14" x14ac:dyDescent="0.2">
      <c r="B994" s="24">
        <v>28</v>
      </c>
      <c r="C994" s="24">
        <v>168</v>
      </c>
      <c r="D994" s="24">
        <v>3</v>
      </c>
      <c r="E994" s="24">
        <v>6.5</v>
      </c>
      <c r="F994" s="24">
        <v>0</v>
      </c>
      <c r="G994" s="24">
        <v>0</v>
      </c>
      <c r="H994" s="24">
        <v>118</v>
      </c>
      <c r="I994" s="24">
        <v>0</v>
      </c>
      <c r="J994" s="24">
        <v>0</v>
      </c>
      <c r="K994" s="24">
        <v>1</v>
      </c>
      <c r="L994" s="24">
        <v>0</v>
      </c>
      <c r="M994" s="24">
        <v>1</v>
      </c>
    </row>
    <row r="995" spans="2:13" ht="14" x14ac:dyDescent="0.2">
      <c r="B995" s="24">
        <v>28</v>
      </c>
      <c r="C995" s="24">
        <v>81</v>
      </c>
      <c r="D995" s="24">
        <v>3</v>
      </c>
      <c r="E995" s="24">
        <v>1.8</v>
      </c>
      <c r="F995" s="24">
        <v>0</v>
      </c>
      <c r="G995" s="24">
        <v>1</v>
      </c>
      <c r="H995" s="24">
        <v>0</v>
      </c>
      <c r="I995" s="24">
        <v>1</v>
      </c>
      <c r="J995" s="24">
        <v>0</v>
      </c>
      <c r="K995" s="24">
        <v>0</v>
      </c>
      <c r="L995" s="24">
        <v>0</v>
      </c>
      <c r="M995" s="24">
        <v>0</v>
      </c>
    </row>
    <row r="996" spans="2:13" ht="14" x14ac:dyDescent="0.2">
      <c r="B996" s="24">
        <v>4</v>
      </c>
      <c r="C996" s="24">
        <v>115</v>
      </c>
      <c r="D996" s="24">
        <v>1</v>
      </c>
      <c r="E996" s="24">
        <v>1.9</v>
      </c>
      <c r="F996" s="24">
        <v>1</v>
      </c>
      <c r="G996" s="24">
        <v>0</v>
      </c>
      <c r="H996" s="24">
        <v>0</v>
      </c>
      <c r="I996" s="24">
        <v>0</v>
      </c>
      <c r="J996" s="24">
        <v>0</v>
      </c>
      <c r="K996" s="24">
        <v>0</v>
      </c>
      <c r="L996" s="24">
        <v>0</v>
      </c>
      <c r="M996" s="24">
        <v>0</v>
      </c>
    </row>
    <row r="997" spans="2:13" ht="14" x14ac:dyDescent="0.2">
      <c r="B997" s="24">
        <v>23</v>
      </c>
      <c r="C997" s="24">
        <v>90</v>
      </c>
      <c r="D997" s="24">
        <v>1</v>
      </c>
      <c r="E997" s="24">
        <v>2.7</v>
      </c>
      <c r="F997" s="24">
        <v>1</v>
      </c>
      <c r="G997" s="24">
        <v>0</v>
      </c>
      <c r="H997" s="24">
        <v>323</v>
      </c>
      <c r="I997" s="24">
        <v>0</v>
      </c>
      <c r="J997" s="24">
        <v>0</v>
      </c>
      <c r="K997" s="24">
        <v>0</v>
      </c>
      <c r="L997" s="24">
        <v>0</v>
      </c>
      <c r="M997" s="24">
        <v>0</v>
      </c>
    </row>
    <row r="998" spans="2:13" ht="14" x14ac:dyDescent="0.2">
      <c r="B998" s="24">
        <v>36</v>
      </c>
      <c r="C998" s="24">
        <v>30</v>
      </c>
      <c r="D998" s="24">
        <v>3</v>
      </c>
      <c r="E998" s="24">
        <v>1.3</v>
      </c>
      <c r="F998" s="24">
        <v>0</v>
      </c>
      <c r="G998" s="24">
        <v>1</v>
      </c>
      <c r="H998" s="24">
        <v>0</v>
      </c>
      <c r="I998" s="24">
        <v>0</v>
      </c>
      <c r="J998" s="24">
        <v>0</v>
      </c>
      <c r="K998" s="24">
        <v>0</v>
      </c>
      <c r="L998" s="24">
        <v>0</v>
      </c>
      <c r="M998" s="24">
        <v>0</v>
      </c>
    </row>
    <row r="999" spans="2:13" ht="14" x14ac:dyDescent="0.2">
      <c r="B999" s="24">
        <v>1</v>
      </c>
      <c r="C999" s="24">
        <v>85</v>
      </c>
      <c r="D999" s="24">
        <v>2</v>
      </c>
      <c r="E999" s="24">
        <v>1.6</v>
      </c>
      <c r="F999" s="24">
        <v>0</v>
      </c>
      <c r="G999" s="24">
        <v>0</v>
      </c>
      <c r="H999" s="24">
        <v>0</v>
      </c>
      <c r="I999" s="24">
        <v>0</v>
      </c>
      <c r="J999" s="24">
        <v>0</v>
      </c>
      <c r="K999" s="24">
        <v>0</v>
      </c>
      <c r="L999" s="24">
        <v>0</v>
      </c>
      <c r="M999" s="24">
        <v>0</v>
      </c>
    </row>
    <row r="1000" spans="2:13" ht="14" x14ac:dyDescent="0.2">
      <c r="B1000" s="24">
        <v>16</v>
      </c>
      <c r="C1000" s="24">
        <v>33</v>
      </c>
      <c r="D1000" s="24">
        <v>4</v>
      </c>
      <c r="E1000" s="24">
        <v>0</v>
      </c>
      <c r="F1000" s="24">
        <v>0</v>
      </c>
      <c r="G1000" s="24">
        <v>1</v>
      </c>
      <c r="H1000" s="24">
        <v>0</v>
      </c>
      <c r="I1000" s="24">
        <v>0</v>
      </c>
      <c r="J1000" s="24">
        <v>0</v>
      </c>
      <c r="K1000" s="24">
        <v>1</v>
      </c>
      <c r="L1000" s="24">
        <v>0</v>
      </c>
      <c r="M1000" s="24">
        <v>0</v>
      </c>
    </row>
    <row r="1001" spans="2:13" ht="14" x14ac:dyDescent="0.2">
      <c r="B1001" s="24">
        <v>16</v>
      </c>
      <c r="C1001" s="24">
        <v>13</v>
      </c>
      <c r="D1001" s="24">
        <v>2</v>
      </c>
      <c r="E1001" s="24">
        <v>0</v>
      </c>
      <c r="F1001" s="24">
        <v>0</v>
      </c>
      <c r="G1001" s="24">
        <v>0</v>
      </c>
      <c r="H1001" s="24">
        <v>0</v>
      </c>
      <c r="I1001" s="24">
        <v>0</v>
      </c>
      <c r="J1001" s="24">
        <v>0</v>
      </c>
      <c r="K1001" s="24">
        <v>1</v>
      </c>
      <c r="L1001" s="24">
        <v>0</v>
      </c>
      <c r="M1001" s="24">
        <v>0</v>
      </c>
    </row>
    <row r="1002" spans="2:13" ht="14" x14ac:dyDescent="0.2">
      <c r="B1002" s="24">
        <v>10</v>
      </c>
      <c r="C1002" s="24">
        <v>75</v>
      </c>
      <c r="D1002" s="24">
        <v>4</v>
      </c>
      <c r="E1002" s="24">
        <v>0.7</v>
      </c>
      <c r="F1002" s="24">
        <v>0</v>
      </c>
      <c r="G1002" s="24">
        <v>0</v>
      </c>
      <c r="H1002" s="24">
        <v>0</v>
      </c>
      <c r="I1002" s="24">
        <v>0</v>
      </c>
      <c r="J1002" s="24">
        <v>0</v>
      </c>
      <c r="K1002" s="24">
        <v>1</v>
      </c>
      <c r="L1002" s="24">
        <v>1</v>
      </c>
      <c r="M1002" s="24">
        <v>0</v>
      </c>
    </row>
    <row r="1003" spans="2:13" ht="14" x14ac:dyDescent="0.2">
      <c r="B1003" s="24">
        <v>15</v>
      </c>
      <c r="C1003" s="24">
        <v>41</v>
      </c>
      <c r="D1003" s="24">
        <v>3</v>
      </c>
      <c r="E1003" s="24">
        <v>2.5</v>
      </c>
      <c r="F1003" s="24">
        <v>0</v>
      </c>
      <c r="G1003" s="24">
        <v>1</v>
      </c>
      <c r="H1003" s="24">
        <v>0</v>
      </c>
      <c r="I1003" s="24">
        <v>0</v>
      </c>
      <c r="J1003" s="24">
        <v>0</v>
      </c>
      <c r="K1003" s="24">
        <v>1</v>
      </c>
      <c r="L1003" s="24">
        <v>0</v>
      </c>
      <c r="M1003" s="24">
        <v>0</v>
      </c>
    </row>
    <row r="1004" spans="2:13" ht="14" x14ac:dyDescent="0.2">
      <c r="B1004" s="24">
        <v>20</v>
      </c>
      <c r="C1004" s="24">
        <v>173</v>
      </c>
      <c r="D1004" s="24">
        <v>2</v>
      </c>
      <c r="E1004" s="24">
        <v>1.4</v>
      </c>
      <c r="F1004" s="24">
        <v>1</v>
      </c>
      <c r="G1004" s="24">
        <v>0</v>
      </c>
      <c r="H1004" s="24">
        <v>419</v>
      </c>
      <c r="I1004" s="24">
        <v>0</v>
      </c>
      <c r="J1004" s="24">
        <v>0</v>
      </c>
      <c r="K1004" s="24">
        <v>1</v>
      </c>
      <c r="L1004" s="24">
        <v>0</v>
      </c>
      <c r="M1004" s="24">
        <v>0</v>
      </c>
    </row>
    <row r="1005" spans="2:13" ht="14" x14ac:dyDescent="0.2">
      <c r="B1005" s="24">
        <v>12</v>
      </c>
      <c r="C1005" s="24">
        <v>169</v>
      </c>
      <c r="D1005" s="24">
        <v>2</v>
      </c>
      <c r="E1005" s="24">
        <v>5.2</v>
      </c>
      <c r="F1005" s="24">
        <v>0</v>
      </c>
      <c r="G1005" s="24">
        <v>0</v>
      </c>
      <c r="H1005" s="24">
        <v>249</v>
      </c>
      <c r="I1005" s="24">
        <v>0</v>
      </c>
      <c r="J1005" s="24">
        <v>0</v>
      </c>
      <c r="K1005" s="24">
        <v>1</v>
      </c>
      <c r="L1005" s="24">
        <v>0</v>
      </c>
      <c r="M1005" s="24">
        <v>1</v>
      </c>
    </row>
    <row r="1006" spans="2:13" ht="14" x14ac:dyDescent="0.2">
      <c r="B1006" s="24">
        <v>15</v>
      </c>
      <c r="C1006" s="24">
        <v>32</v>
      </c>
      <c r="D1006" s="24">
        <v>1</v>
      </c>
      <c r="E1006" s="24">
        <v>0.75</v>
      </c>
      <c r="F1006" s="24">
        <v>0</v>
      </c>
      <c r="G1006" s="24">
        <v>0</v>
      </c>
      <c r="H1006" s="24">
        <v>105</v>
      </c>
      <c r="I1006" s="24">
        <v>0</v>
      </c>
      <c r="J1006" s="24">
        <v>0</v>
      </c>
      <c r="K1006" s="24">
        <v>1</v>
      </c>
      <c r="L1006" s="24">
        <v>0</v>
      </c>
      <c r="M1006" s="24">
        <v>0</v>
      </c>
    </row>
    <row r="1007" spans="2:13" ht="14" x14ac:dyDescent="0.2">
      <c r="B1007" s="24">
        <v>10</v>
      </c>
      <c r="C1007" s="24">
        <v>74</v>
      </c>
      <c r="D1007" s="24">
        <v>4</v>
      </c>
      <c r="E1007" s="24">
        <v>1.3</v>
      </c>
      <c r="F1007" s="24">
        <v>1</v>
      </c>
      <c r="G1007" s="24">
        <v>0</v>
      </c>
      <c r="H1007" s="24">
        <v>0</v>
      </c>
      <c r="I1007" s="24">
        <v>0</v>
      </c>
      <c r="J1007" s="24">
        <v>0</v>
      </c>
      <c r="K1007" s="24">
        <v>1</v>
      </c>
      <c r="L1007" s="24">
        <v>0</v>
      </c>
      <c r="M1007" s="24">
        <v>0</v>
      </c>
    </row>
    <row r="1008" spans="2:13" ht="14" x14ac:dyDescent="0.2">
      <c r="B1008" s="24">
        <v>34</v>
      </c>
      <c r="C1008" s="24">
        <v>35</v>
      </c>
      <c r="D1008" s="24">
        <v>1</v>
      </c>
      <c r="E1008" s="24">
        <v>0.2</v>
      </c>
      <c r="F1008" s="24">
        <v>1</v>
      </c>
      <c r="G1008" s="24">
        <v>0</v>
      </c>
      <c r="H1008" s="24">
        <v>0</v>
      </c>
      <c r="I1008" s="24">
        <v>0</v>
      </c>
      <c r="J1008" s="24">
        <v>0</v>
      </c>
      <c r="K1008" s="24">
        <v>1</v>
      </c>
      <c r="L1008" s="24">
        <v>0</v>
      </c>
      <c r="M1008" s="24">
        <v>0</v>
      </c>
    </row>
    <row r="1009" spans="2:13" ht="14" x14ac:dyDescent="0.2">
      <c r="B1009" s="24">
        <v>25</v>
      </c>
      <c r="C1009" s="24">
        <v>31</v>
      </c>
      <c r="D1009" s="24">
        <v>2</v>
      </c>
      <c r="E1009" s="24">
        <v>0.4</v>
      </c>
      <c r="F1009" s="24">
        <v>0</v>
      </c>
      <c r="G1009" s="24">
        <v>0</v>
      </c>
      <c r="H1009" s="24">
        <v>161</v>
      </c>
      <c r="I1009" s="24">
        <v>0</v>
      </c>
      <c r="J1009" s="24">
        <v>0</v>
      </c>
      <c r="K1009" s="24">
        <v>1</v>
      </c>
      <c r="L1009" s="24">
        <v>1</v>
      </c>
      <c r="M1009" s="24">
        <v>0</v>
      </c>
    </row>
    <row r="1010" spans="2:13" ht="14" x14ac:dyDescent="0.2">
      <c r="B1010" s="24">
        <v>20</v>
      </c>
      <c r="C1010" s="24">
        <v>68</v>
      </c>
      <c r="D1010" s="24">
        <v>1</v>
      </c>
      <c r="E1010" s="24">
        <v>0.8</v>
      </c>
      <c r="F1010" s="24">
        <v>0</v>
      </c>
      <c r="G1010" s="24">
        <v>0</v>
      </c>
      <c r="H1010" s="24">
        <v>91</v>
      </c>
      <c r="I1010" s="24">
        <v>0</v>
      </c>
      <c r="J1010" s="24">
        <v>0</v>
      </c>
      <c r="K1010" s="24">
        <v>0</v>
      </c>
      <c r="L1010" s="24">
        <v>0</v>
      </c>
      <c r="M1010" s="24">
        <v>0</v>
      </c>
    </row>
    <row r="1011" spans="2:13" ht="14" x14ac:dyDescent="0.2">
      <c r="B1011" s="24">
        <v>3</v>
      </c>
      <c r="C1011" s="24">
        <v>193</v>
      </c>
      <c r="D1011" s="24">
        <v>3</v>
      </c>
      <c r="E1011" s="24">
        <v>4</v>
      </c>
      <c r="F1011" s="24">
        <v>0</v>
      </c>
      <c r="G1011" s="24">
        <v>1</v>
      </c>
      <c r="H1011" s="24">
        <v>0</v>
      </c>
      <c r="I1011" s="24">
        <v>0</v>
      </c>
      <c r="J1011" s="24">
        <v>0</v>
      </c>
      <c r="K1011" s="24">
        <v>1</v>
      </c>
      <c r="L1011" s="24">
        <v>0</v>
      </c>
      <c r="M1011" s="24">
        <v>1</v>
      </c>
    </row>
    <row r="1012" spans="2:13" ht="14" x14ac:dyDescent="0.2">
      <c r="B1012" s="24">
        <v>6</v>
      </c>
      <c r="C1012" s="24">
        <v>25</v>
      </c>
      <c r="D1012" s="24">
        <v>1</v>
      </c>
      <c r="E1012" s="24">
        <v>0.66666666666666696</v>
      </c>
      <c r="F1012" s="24">
        <v>0</v>
      </c>
      <c r="G1012" s="24">
        <v>0</v>
      </c>
      <c r="H1012" s="24">
        <v>0</v>
      </c>
      <c r="I1012" s="24">
        <v>0</v>
      </c>
      <c r="J1012" s="24">
        <v>0</v>
      </c>
      <c r="K1012" s="24">
        <v>1</v>
      </c>
      <c r="L1012" s="24">
        <v>0</v>
      </c>
      <c r="M1012" s="24">
        <v>0</v>
      </c>
    </row>
    <row r="1013" spans="2:13" ht="14" x14ac:dyDescent="0.2">
      <c r="B1013" s="24">
        <v>34</v>
      </c>
      <c r="C1013" s="24">
        <v>12</v>
      </c>
      <c r="D1013" s="24">
        <v>1</v>
      </c>
      <c r="E1013" s="24">
        <v>0.1</v>
      </c>
      <c r="F1013" s="24">
        <v>0</v>
      </c>
      <c r="G1013" s="24">
        <v>1</v>
      </c>
      <c r="H1013" s="24">
        <v>0</v>
      </c>
      <c r="I1013" s="24">
        <v>0</v>
      </c>
      <c r="J1013" s="24">
        <v>0</v>
      </c>
      <c r="K1013" s="24">
        <v>0</v>
      </c>
      <c r="L1013" s="24">
        <v>1</v>
      </c>
      <c r="M1013" s="24">
        <v>0</v>
      </c>
    </row>
    <row r="1014" spans="2:13" ht="14" x14ac:dyDescent="0.2">
      <c r="B1014" s="24">
        <v>27</v>
      </c>
      <c r="C1014" s="24">
        <v>162</v>
      </c>
      <c r="D1014" s="24">
        <v>1</v>
      </c>
      <c r="E1014" s="24">
        <v>8.1</v>
      </c>
      <c r="F1014" s="24">
        <v>1</v>
      </c>
      <c r="G1014" s="24">
        <v>0</v>
      </c>
      <c r="H1014" s="24">
        <v>0</v>
      </c>
      <c r="I1014" s="24">
        <v>0</v>
      </c>
      <c r="J1014" s="24">
        <v>0</v>
      </c>
      <c r="K1014" s="24">
        <v>1</v>
      </c>
      <c r="L1014" s="24">
        <v>0</v>
      </c>
      <c r="M1014" s="24">
        <v>0</v>
      </c>
    </row>
    <row r="1015" spans="2:13" ht="14" x14ac:dyDescent="0.2">
      <c r="B1015" s="24">
        <v>20</v>
      </c>
      <c r="C1015" s="24">
        <v>38</v>
      </c>
      <c r="D1015" s="24">
        <v>4</v>
      </c>
      <c r="E1015" s="24">
        <v>1.9</v>
      </c>
      <c r="F1015" s="24">
        <v>0</v>
      </c>
      <c r="G1015" s="24">
        <v>0</v>
      </c>
      <c r="H1015" s="24">
        <v>144</v>
      </c>
      <c r="I1015" s="24">
        <v>0</v>
      </c>
      <c r="J1015" s="24">
        <v>0</v>
      </c>
      <c r="K1015" s="24">
        <v>1</v>
      </c>
      <c r="L1015" s="24">
        <v>1</v>
      </c>
      <c r="M1015" s="24">
        <v>0</v>
      </c>
    </row>
    <row r="1016" spans="2:13" ht="14" x14ac:dyDescent="0.2">
      <c r="B1016" s="24">
        <v>18</v>
      </c>
      <c r="C1016" s="24">
        <v>21</v>
      </c>
      <c r="D1016" s="24">
        <v>2</v>
      </c>
      <c r="E1016" s="24">
        <v>1.4</v>
      </c>
      <c r="F1016" s="24">
        <v>0</v>
      </c>
      <c r="G1016" s="24">
        <v>1</v>
      </c>
      <c r="H1016" s="24">
        <v>0</v>
      </c>
      <c r="I1016" s="24">
        <v>0</v>
      </c>
      <c r="J1016" s="24">
        <v>0</v>
      </c>
      <c r="K1016" s="24">
        <v>1</v>
      </c>
      <c r="L1016" s="24">
        <v>1</v>
      </c>
      <c r="M1016" s="24">
        <v>0</v>
      </c>
    </row>
    <row r="1017" spans="2:13" ht="14" x14ac:dyDescent="0.2">
      <c r="B1017" s="24">
        <v>17</v>
      </c>
      <c r="C1017" s="24">
        <v>155</v>
      </c>
      <c r="D1017" s="24">
        <v>1</v>
      </c>
      <c r="E1017" s="24">
        <v>7</v>
      </c>
      <c r="F1017" s="24">
        <v>1</v>
      </c>
      <c r="G1017" s="24">
        <v>0</v>
      </c>
      <c r="H1017" s="24">
        <v>0</v>
      </c>
      <c r="I1017" s="24">
        <v>0</v>
      </c>
      <c r="J1017" s="24">
        <v>0</v>
      </c>
      <c r="K1017" s="24">
        <v>0</v>
      </c>
      <c r="L1017" s="24">
        <v>1</v>
      </c>
      <c r="M1017" s="24">
        <v>0</v>
      </c>
    </row>
    <row r="1018" spans="2:13" ht="14" x14ac:dyDescent="0.2">
      <c r="B1018" s="24">
        <v>16</v>
      </c>
      <c r="C1018" s="24">
        <v>119</v>
      </c>
      <c r="D1018" s="24">
        <v>2</v>
      </c>
      <c r="E1018" s="24">
        <v>4.2</v>
      </c>
      <c r="F1018" s="24">
        <v>0</v>
      </c>
      <c r="G1018" s="24">
        <v>1</v>
      </c>
      <c r="H1018" s="24">
        <v>0</v>
      </c>
      <c r="I1018" s="24">
        <v>0</v>
      </c>
      <c r="J1018" s="24">
        <v>0</v>
      </c>
      <c r="K1018" s="24">
        <v>1</v>
      </c>
      <c r="L1018" s="24">
        <v>0</v>
      </c>
      <c r="M1018" s="24">
        <v>1</v>
      </c>
    </row>
    <row r="1019" spans="2:13" ht="14" x14ac:dyDescent="0.2">
      <c r="B1019" s="24">
        <v>38</v>
      </c>
      <c r="C1019" s="24">
        <v>83</v>
      </c>
      <c r="D1019" s="24">
        <v>2</v>
      </c>
      <c r="E1019" s="24">
        <v>3.4</v>
      </c>
      <c r="F1019" s="24">
        <v>1</v>
      </c>
      <c r="G1019" s="24">
        <v>0</v>
      </c>
      <c r="H1019" s="24">
        <v>0</v>
      </c>
      <c r="I1019" s="24">
        <v>0</v>
      </c>
      <c r="J1019" s="24">
        <v>0</v>
      </c>
      <c r="K1019" s="24">
        <v>0</v>
      </c>
      <c r="L1019" s="24">
        <v>0</v>
      </c>
      <c r="M1019" s="24">
        <v>1</v>
      </c>
    </row>
    <row r="1020" spans="2:13" ht="14" x14ac:dyDescent="0.2">
      <c r="B1020" s="24">
        <v>34</v>
      </c>
      <c r="C1020" s="24">
        <v>41</v>
      </c>
      <c r="D1020" s="24">
        <v>4</v>
      </c>
      <c r="E1020" s="24">
        <v>1.3</v>
      </c>
      <c r="F1020" s="24">
        <v>1</v>
      </c>
      <c r="G1020" s="24">
        <v>0</v>
      </c>
      <c r="H1020" s="24">
        <v>0</v>
      </c>
      <c r="I1020" s="24">
        <v>0</v>
      </c>
      <c r="J1020" s="24">
        <v>0</v>
      </c>
      <c r="K1020" s="24">
        <v>1</v>
      </c>
      <c r="L1020" s="24">
        <v>0</v>
      </c>
      <c r="M1020" s="24">
        <v>0</v>
      </c>
    </row>
    <row r="1021" spans="2:13" ht="14" x14ac:dyDescent="0.2">
      <c r="B1021" s="24">
        <v>32</v>
      </c>
      <c r="C1021" s="24">
        <v>19</v>
      </c>
      <c r="D1021" s="24">
        <v>1</v>
      </c>
      <c r="E1021" s="24">
        <v>1.3</v>
      </c>
      <c r="F1021" s="24">
        <v>1</v>
      </c>
      <c r="G1021" s="24">
        <v>0</v>
      </c>
      <c r="H1021" s="24">
        <v>0</v>
      </c>
      <c r="I1021" s="24">
        <v>0</v>
      </c>
      <c r="J1021" s="24">
        <v>0</v>
      </c>
      <c r="K1021" s="24">
        <v>1</v>
      </c>
      <c r="L1021" s="24">
        <v>0</v>
      </c>
      <c r="M1021" s="24">
        <v>0</v>
      </c>
    </row>
    <row r="1022" spans="2:13" ht="14" x14ac:dyDescent="0.2">
      <c r="B1022" s="24">
        <v>4</v>
      </c>
      <c r="C1022" s="24">
        <v>73</v>
      </c>
      <c r="D1022" s="24">
        <v>1</v>
      </c>
      <c r="E1022" s="24">
        <v>0.8</v>
      </c>
      <c r="F1022" s="24">
        <v>0</v>
      </c>
      <c r="G1022" s="24">
        <v>1</v>
      </c>
      <c r="H1022" s="24">
        <v>0</v>
      </c>
      <c r="I1022" s="24">
        <v>0</v>
      </c>
      <c r="J1022" s="24">
        <v>0</v>
      </c>
      <c r="K1022" s="24">
        <v>1</v>
      </c>
      <c r="L1022" s="24">
        <v>0</v>
      </c>
      <c r="M1022" s="24">
        <v>0</v>
      </c>
    </row>
    <row r="1023" spans="2:13" ht="14" x14ac:dyDescent="0.2">
      <c r="B1023" s="24">
        <v>9</v>
      </c>
      <c r="C1023" s="24">
        <v>160</v>
      </c>
      <c r="D1023" s="24">
        <v>4</v>
      </c>
      <c r="E1023" s="24">
        <v>8</v>
      </c>
      <c r="F1023" s="24">
        <v>0</v>
      </c>
      <c r="G1023" s="24">
        <v>0</v>
      </c>
      <c r="H1023" s="24">
        <v>0</v>
      </c>
      <c r="I1023" s="24">
        <v>0</v>
      </c>
      <c r="J1023" s="24">
        <v>0</v>
      </c>
      <c r="K1023" s="24">
        <v>0</v>
      </c>
      <c r="L1023" s="24">
        <v>1</v>
      </c>
      <c r="M1023" s="24">
        <v>1</v>
      </c>
    </row>
    <row r="1024" spans="2:13" ht="14" x14ac:dyDescent="0.2">
      <c r="B1024" s="24">
        <v>6</v>
      </c>
      <c r="C1024" s="24">
        <v>51</v>
      </c>
      <c r="D1024" s="24">
        <v>4</v>
      </c>
      <c r="E1024" s="24">
        <v>0.2</v>
      </c>
      <c r="F1024" s="24">
        <v>1</v>
      </c>
      <c r="G1024" s="24">
        <v>0</v>
      </c>
      <c r="H1024" s="24">
        <v>154</v>
      </c>
      <c r="I1024" s="24">
        <v>1</v>
      </c>
      <c r="J1024" s="24">
        <v>0</v>
      </c>
      <c r="K1024" s="24">
        <v>0</v>
      </c>
      <c r="L1024" s="24">
        <v>1</v>
      </c>
      <c r="M1024" s="24">
        <v>0</v>
      </c>
    </row>
    <row r="1025" spans="2:13" ht="14" x14ac:dyDescent="0.2">
      <c r="B1025" s="24">
        <v>28</v>
      </c>
      <c r="C1025" s="24">
        <v>83</v>
      </c>
      <c r="D1025" s="24">
        <v>1</v>
      </c>
      <c r="E1025" s="24">
        <v>0</v>
      </c>
      <c r="F1025" s="24">
        <v>1</v>
      </c>
      <c r="G1025" s="24">
        <v>0</v>
      </c>
      <c r="H1025" s="24">
        <v>0</v>
      </c>
      <c r="I1025" s="24">
        <v>0</v>
      </c>
      <c r="J1025" s="24">
        <v>0</v>
      </c>
      <c r="K1025" s="24">
        <v>1</v>
      </c>
      <c r="L1025" s="24">
        <v>0</v>
      </c>
      <c r="M1025" s="24">
        <v>0</v>
      </c>
    </row>
    <row r="1026" spans="2:13" ht="14" x14ac:dyDescent="0.2">
      <c r="B1026" s="24">
        <v>11</v>
      </c>
      <c r="C1026" s="24">
        <v>60</v>
      </c>
      <c r="D1026" s="24">
        <v>2</v>
      </c>
      <c r="E1026" s="24">
        <v>2.8</v>
      </c>
      <c r="F1026" s="24">
        <v>1</v>
      </c>
      <c r="G1026" s="24">
        <v>0</v>
      </c>
      <c r="H1026" s="24">
        <v>181</v>
      </c>
      <c r="I1026" s="24">
        <v>0</v>
      </c>
      <c r="J1026" s="24">
        <v>0</v>
      </c>
      <c r="K1026" s="24">
        <v>0</v>
      </c>
      <c r="L1026" s="24">
        <v>1</v>
      </c>
      <c r="M1026" s="24">
        <v>0</v>
      </c>
    </row>
    <row r="1027" spans="2:13" ht="14" x14ac:dyDescent="0.2">
      <c r="B1027" s="24">
        <v>37</v>
      </c>
      <c r="C1027" s="24">
        <v>48</v>
      </c>
      <c r="D1027" s="24">
        <v>1</v>
      </c>
      <c r="E1027" s="24">
        <v>0.8</v>
      </c>
      <c r="F1027" s="24">
        <v>1</v>
      </c>
      <c r="G1027" s="24">
        <v>0</v>
      </c>
      <c r="H1027" s="24">
        <v>158</v>
      </c>
      <c r="I1027" s="24">
        <v>0</v>
      </c>
      <c r="J1027" s="24">
        <v>0</v>
      </c>
      <c r="K1027" s="24">
        <v>1</v>
      </c>
      <c r="L1027" s="24">
        <v>0</v>
      </c>
      <c r="M1027" s="24">
        <v>0</v>
      </c>
    </row>
    <row r="1028" spans="2:13" ht="14" x14ac:dyDescent="0.2">
      <c r="B1028" s="24">
        <v>35</v>
      </c>
      <c r="C1028" s="24">
        <v>11</v>
      </c>
      <c r="D1028" s="24">
        <v>2</v>
      </c>
      <c r="E1028" s="24">
        <v>1</v>
      </c>
      <c r="F1028" s="24">
        <v>1</v>
      </c>
      <c r="G1028" s="24">
        <v>0</v>
      </c>
      <c r="H1028" s="24">
        <v>0</v>
      </c>
      <c r="I1028" s="24">
        <v>0</v>
      </c>
      <c r="J1028" s="24">
        <v>0</v>
      </c>
      <c r="K1028" s="24">
        <v>0</v>
      </c>
      <c r="L1028" s="24">
        <v>1</v>
      </c>
      <c r="M1028" s="24">
        <v>0</v>
      </c>
    </row>
    <row r="1029" spans="2:13" ht="14" x14ac:dyDescent="0.2">
      <c r="B1029" s="24">
        <v>21</v>
      </c>
      <c r="C1029" s="24">
        <v>68</v>
      </c>
      <c r="D1029" s="24">
        <v>4</v>
      </c>
      <c r="E1029" s="24">
        <v>2.6</v>
      </c>
      <c r="F1029" s="24">
        <v>0</v>
      </c>
      <c r="G1029" s="24">
        <v>0</v>
      </c>
      <c r="H1029" s="24">
        <v>0</v>
      </c>
      <c r="I1029" s="24">
        <v>0</v>
      </c>
      <c r="J1029" s="24">
        <v>0</v>
      </c>
      <c r="K1029" s="24">
        <v>0</v>
      </c>
      <c r="L1029" s="24">
        <v>0</v>
      </c>
      <c r="M1029" s="24">
        <v>0</v>
      </c>
    </row>
    <row r="1030" spans="2:13" ht="14" x14ac:dyDescent="0.2">
      <c r="B1030" s="24">
        <v>13</v>
      </c>
      <c r="C1030" s="24">
        <v>43</v>
      </c>
      <c r="D1030" s="24">
        <v>3</v>
      </c>
      <c r="E1030" s="24">
        <v>2.8</v>
      </c>
      <c r="F1030" s="24">
        <v>1</v>
      </c>
      <c r="G1030" s="24">
        <v>0</v>
      </c>
      <c r="H1030" s="24">
        <v>0</v>
      </c>
      <c r="I1030" s="24">
        <v>0</v>
      </c>
      <c r="J1030" s="24">
        <v>0</v>
      </c>
      <c r="K1030" s="24">
        <v>1</v>
      </c>
      <c r="L1030" s="24">
        <v>0</v>
      </c>
      <c r="M1030" s="24">
        <v>0</v>
      </c>
    </row>
    <row r="1031" spans="2:13" ht="14" x14ac:dyDescent="0.2">
      <c r="B1031" s="24">
        <v>25</v>
      </c>
      <c r="C1031" s="24">
        <v>13</v>
      </c>
      <c r="D1031" s="24">
        <v>2</v>
      </c>
      <c r="E1031" s="24">
        <v>0.7</v>
      </c>
      <c r="F1031" s="24">
        <v>0</v>
      </c>
      <c r="G1031" s="24">
        <v>0</v>
      </c>
      <c r="H1031" s="24">
        <v>0</v>
      </c>
      <c r="I1031" s="24">
        <v>0</v>
      </c>
      <c r="J1031" s="24">
        <v>0</v>
      </c>
      <c r="K1031" s="24">
        <v>0</v>
      </c>
      <c r="L1031" s="24">
        <v>0</v>
      </c>
      <c r="M1031" s="24">
        <v>0</v>
      </c>
    </row>
    <row r="1032" spans="2:13" ht="14" x14ac:dyDescent="0.2">
      <c r="B1032" s="24">
        <v>4</v>
      </c>
      <c r="C1032" s="24">
        <v>204</v>
      </c>
      <c r="D1032" s="24">
        <v>2</v>
      </c>
      <c r="E1032" s="24">
        <v>4.5</v>
      </c>
      <c r="F1032" s="24">
        <v>1</v>
      </c>
      <c r="G1032" s="24">
        <v>0</v>
      </c>
      <c r="H1032" s="24">
        <v>0</v>
      </c>
      <c r="I1032" s="24">
        <v>0</v>
      </c>
      <c r="J1032" s="24">
        <v>0</v>
      </c>
      <c r="K1032" s="24">
        <v>1</v>
      </c>
      <c r="L1032" s="24">
        <v>0</v>
      </c>
      <c r="M1032" s="24">
        <v>0</v>
      </c>
    </row>
    <row r="1033" spans="2:13" ht="14" x14ac:dyDescent="0.2">
      <c r="B1033" s="24">
        <v>37</v>
      </c>
      <c r="C1033" s="24">
        <v>13</v>
      </c>
      <c r="D1033" s="24">
        <v>2</v>
      </c>
      <c r="E1033" s="24">
        <v>0.3</v>
      </c>
      <c r="F1033" s="24">
        <v>0</v>
      </c>
      <c r="G1033" s="24">
        <v>0</v>
      </c>
      <c r="H1033" s="24">
        <v>0</v>
      </c>
      <c r="I1033" s="24">
        <v>0</v>
      </c>
      <c r="J1033" s="24">
        <v>0</v>
      </c>
      <c r="K1033" s="24">
        <v>1</v>
      </c>
      <c r="L1033" s="24">
        <v>0</v>
      </c>
      <c r="M1033" s="24">
        <v>0</v>
      </c>
    </row>
    <row r="1034" spans="2:13" ht="14" x14ac:dyDescent="0.2">
      <c r="B1034" s="24">
        <v>19</v>
      </c>
      <c r="C1034" s="24">
        <v>201</v>
      </c>
      <c r="D1034" s="24">
        <v>2</v>
      </c>
      <c r="E1034" s="24">
        <v>6.6666666666666696</v>
      </c>
      <c r="F1034" s="24">
        <v>1</v>
      </c>
      <c r="G1034" s="24">
        <v>0</v>
      </c>
      <c r="H1034" s="24">
        <v>0</v>
      </c>
      <c r="I1034" s="24">
        <v>1</v>
      </c>
      <c r="J1034" s="24">
        <v>0</v>
      </c>
      <c r="K1034" s="24">
        <v>1</v>
      </c>
      <c r="L1034" s="24">
        <v>0</v>
      </c>
      <c r="M1034" s="24">
        <v>0</v>
      </c>
    </row>
    <row r="1035" spans="2:13" ht="14" x14ac:dyDescent="0.2">
      <c r="B1035" s="24">
        <v>37</v>
      </c>
      <c r="C1035" s="24">
        <v>15</v>
      </c>
      <c r="D1035" s="24">
        <v>3</v>
      </c>
      <c r="E1035" s="24">
        <v>0.1</v>
      </c>
      <c r="F1035" s="24">
        <v>0</v>
      </c>
      <c r="G1035" s="24">
        <v>0</v>
      </c>
      <c r="H1035" s="24">
        <v>91</v>
      </c>
      <c r="I1035" s="24">
        <v>0</v>
      </c>
      <c r="J1035" s="24">
        <v>0</v>
      </c>
      <c r="K1035" s="24">
        <v>0</v>
      </c>
      <c r="L1035" s="24">
        <v>0</v>
      </c>
      <c r="M1035" s="24">
        <v>0</v>
      </c>
    </row>
    <row r="1036" spans="2:13" ht="14" x14ac:dyDescent="0.2">
      <c r="B1036" s="24">
        <v>40</v>
      </c>
      <c r="C1036" s="24">
        <v>20</v>
      </c>
      <c r="D1036" s="24">
        <v>3</v>
      </c>
      <c r="E1036" s="24">
        <v>0.5</v>
      </c>
      <c r="F1036" s="24">
        <v>1</v>
      </c>
      <c r="G1036" s="24">
        <v>0</v>
      </c>
      <c r="H1036" s="24">
        <v>102</v>
      </c>
      <c r="I1036" s="24">
        <v>0</v>
      </c>
      <c r="J1036" s="24">
        <v>0</v>
      </c>
      <c r="K1036" s="24">
        <v>1</v>
      </c>
      <c r="L1036" s="24">
        <v>1</v>
      </c>
      <c r="M1036" s="24">
        <v>0</v>
      </c>
    </row>
    <row r="1037" spans="2:13" ht="14" x14ac:dyDescent="0.2">
      <c r="B1037" s="24">
        <v>26</v>
      </c>
      <c r="C1037" s="24">
        <v>13</v>
      </c>
      <c r="D1037" s="24">
        <v>4</v>
      </c>
      <c r="E1037" s="24">
        <v>1</v>
      </c>
      <c r="F1037" s="24">
        <v>1</v>
      </c>
      <c r="G1037" s="24">
        <v>0</v>
      </c>
      <c r="H1037" s="24">
        <v>0</v>
      </c>
      <c r="I1037" s="24">
        <v>0</v>
      </c>
      <c r="J1037" s="24">
        <v>0</v>
      </c>
      <c r="K1037" s="24">
        <v>1</v>
      </c>
      <c r="L1037" s="24">
        <v>0</v>
      </c>
      <c r="M1037" s="24">
        <v>0</v>
      </c>
    </row>
    <row r="1038" spans="2:13" ht="14" x14ac:dyDescent="0.2">
      <c r="B1038" s="24">
        <v>17</v>
      </c>
      <c r="C1038" s="24">
        <v>74</v>
      </c>
      <c r="D1038" s="24">
        <v>3</v>
      </c>
      <c r="E1038" s="24">
        <v>3</v>
      </c>
      <c r="F1038" s="24">
        <v>1</v>
      </c>
      <c r="G1038" s="24">
        <v>0</v>
      </c>
      <c r="H1038" s="24">
        <v>0</v>
      </c>
      <c r="I1038" s="24">
        <v>0</v>
      </c>
      <c r="J1038" s="24">
        <v>0</v>
      </c>
      <c r="K1038" s="24">
        <v>0</v>
      </c>
      <c r="L1038" s="24">
        <v>1</v>
      </c>
      <c r="M1038" s="24">
        <v>0</v>
      </c>
    </row>
    <row r="1039" spans="2:13" ht="14" x14ac:dyDescent="0.2">
      <c r="B1039" s="24">
        <v>39</v>
      </c>
      <c r="C1039" s="24">
        <v>92</v>
      </c>
      <c r="D1039" s="24">
        <v>2</v>
      </c>
      <c r="E1039" s="24">
        <v>0</v>
      </c>
      <c r="F1039" s="24">
        <v>0</v>
      </c>
      <c r="G1039" s="24">
        <v>0</v>
      </c>
      <c r="H1039" s="24">
        <v>0</v>
      </c>
      <c r="I1039" s="24">
        <v>0</v>
      </c>
      <c r="J1039" s="24">
        <v>0</v>
      </c>
      <c r="K1039" s="24">
        <v>1</v>
      </c>
      <c r="L1039" s="24">
        <v>0</v>
      </c>
      <c r="M1039" s="24">
        <v>0</v>
      </c>
    </row>
    <row r="1040" spans="2:13" ht="14" x14ac:dyDescent="0.2">
      <c r="B1040" s="24">
        <v>40</v>
      </c>
      <c r="C1040" s="24">
        <v>171</v>
      </c>
      <c r="D1040" s="24">
        <v>2</v>
      </c>
      <c r="E1040" s="24">
        <v>2.1</v>
      </c>
      <c r="F1040" s="24">
        <v>1</v>
      </c>
      <c r="G1040" s="24">
        <v>0</v>
      </c>
      <c r="H1040" s="24">
        <v>433</v>
      </c>
      <c r="I1040" s="24">
        <v>0</v>
      </c>
      <c r="J1040" s="24">
        <v>0</v>
      </c>
      <c r="K1040" s="24">
        <v>0</v>
      </c>
      <c r="L1040" s="24">
        <v>0</v>
      </c>
      <c r="M1040" s="24">
        <v>0</v>
      </c>
    </row>
    <row r="1041" spans="2:13" ht="14" x14ac:dyDescent="0.2">
      <c r="B1041" s="24">
        <v>17</v>
      </c>
      <c r="C1041" s="24">
        <v>72</v>
      </c>
      <c r="D1041" s="24">
        <v>4</v>
      </c>
      <c r="E1041" s="24">
        <v>1.1000000000000001</v>
      </c>
      <c r="F1041" s="24">
        <v>0</v>
      </c>
      <c r="G1041" s="24">
        <v>1</v>
      </c>
      <c r="H1041" s="24">
        <v>203</v>
      </c>
      <c r="I1041" s="24">
        <v>0</v>
      </c>
      <c r="J1041" s="24">
        <v>0</v>
      </c>
      <c r="K1041" s="24">
        <v>0</v>
      </c>
      <c r="L1041" s="24">
        <v>1</v>
      </c>
      <c r="M1041" s="24">
        <v>0</v>
      </c>
    </row>
    <row r="1042" spans="2:13" ht="14" x14ac:dyDescent="0.2">
      <c r="B1042" s="24">
        <v>19</v>
      </c>
      <c r="C1042" s="24">
        <v>83</v>
      </c>
      <c r="D1042" s="24">
        <v>4</v>
      </c>
      <c r="E1042" s="24">
        <v>3.6</v>
      </c>
      <c r="F1042" s="24">
        <v>0</v>
      </c>
      <c r="G1042" s="24">
        <v>0</v>
      </c>
      <c r="H1042" s="24">
        <v>0</v>
      </c>
      <c r="I1042" s="24">
        <v>0</v>
      </c>
      <c r="J1042" s="24">
        <v>0</v>
      </c>
      <c r="K1042" s="24">
        <v>0</v>
      </c>
      <c r="L1042" s="24">
        <v>1</v>
      </c>
      <c r="M1042" s="24">
        <v>1</v>
      </c>
    </row>
    <row r="1043" spans="2:13" ht="14" x14ac:dyDescent="0.2">
      <c r="B1043" s="24">
        <v>29</v>
      </c>
      <c r="C1043" s="24">
        <v>60</v>
      </c>
      <c r="D1043" s="24">
        <v>3</v>
      </c>
      <c r="E1043" s="24">
        <v>2.2000000000000002</v>
      </c>
      <c r="F1043" s="24">
        <v>0</v>
      </c>
      <c r="G1043" s="24">
        <v>0</v>
      </c>
      <c r="H1043" s="24">
        <v>84</v>
      </c>
      <c r="I1043" s="24">
        <v>0</v>
      </c>
      <c r="J1043" s="24">
        <v>0</v>
      </c>
      <c r="K1043" s="24">
        <v>1</v>
      </c>
      <c r="L1043" s="24">
        <v>0</v>
      </c>
      <c r="M1043" s="24">
        <v>0</v>
      </c>
    </row>
    <row r="1044" spans="2:13" ht="14" x14ac:dyDescent="0.2">
      <c r="B1044" s="24">
        <v>28</v>
      </c>
      <c r="C1044" s="24">
        <v>59</v>
      </c>
      <c r="D1044" s="24">
        <v>2</v>
      </c>
      <c r="E1044" s="24">
        <v>1.9</v>
      </c>
      <c r="F1044" s="24">
        <v>0</v>
      </c>
      <c r="G1044" s="24">
        <v>1</v>
      </c>
      <c r="H1044" s="24">
        <v>0</v>
      </c>
      <c r="I1044" s="24">
        <v>0</v>
      </c>
      <c r="J1044" s="24">
        <v>0</v>
      </c>
      <c r="K1044" s="24">
        <v>1</v>
      </c>
      <c r="L1044" s="24">
        <v>0</v>
      </c>
      <c r="M1044" s="24">
        <v>0</v>
      </c>
    </row>
    <row r="1045" spans="2:13" ht="14" x14ac:dyDescent="0.2">
      <c r="B1045" s="24">
        <v>18</v>
      </c>
      <c r="C1045" s="24">
        <v>115</v>
      </c>
      <c r="D1045" s="24">
        <v>1</v>
      </c>
      <c r="E1045" s="24">
        <v>0.3</v>
      </c>
      <c r="F1045" s="24">
        <v>1</v>
      </c>
      <c r="G1045" s="24">
        <v>0</v>
      </c>
      <c r="H1045" s="24">
        <v>0</v>
      </c>
      <c r="I1045" s="24">
        <v>0</v>
      </c>
      <c r="J1045" s="24">
        <v>0</v>
      </c>
      <c r="K1045" s="24">
        <v>0</v>
      </c>
      <c r="L1045" s="24">
        <v>0</v>
      </c>
      <c r="M1045" s="24">
        <v>0</v>
      </c>
    </row>
    <row r="1046" spans="2:13" ht="14" x14ac:dyDescent="0.2">
      <c r="B1046" s="24">
        <v>31</v>
      </c>
      <c r="C1046" s="24">
        <v>61</v>
      </c>
      <c r="D1046" s="24">
        <v>2</v>
      </c>
      <c r="E1046" s="24">
        <v>1.9</v>
      </c>
      <c r="F1046" s="24">
        <v>0</v>
      </c>
      <c r="G1046" s="24">
        <v>1</v>
      </c>
      <c r="H1046" s="24">
        <v>105</v>
      </c>
      <c r="I1046" s="24">
        <v>0</v>
      </c>
      <c r="J1046" s="24">
        <v>0</v>
      </c>
      <c r="K1046" s="24">
        <v>0</v>
      </c>
      <c r="L1046" s="24">
        <v>0</v>
      </c>
      <c r="M1046" s="24">
        <v>0</v>
      </c>
    </row>
    <row r="1047" spans="2:13" ht="14" x14ac:dyDescent="0.2">
      <c r="B1047" s="24">
        <v>18</v>
      </c>
      <c r="C1047" s="24">
        <v>43</v>
      </c>
      <c r="D1047" s="24">
        <v>2</v>
      </c>
      <c r="E1047" s="24">
        <v>0.7</v>
      </c>
      <c r="F1047" s="24">
        <v>1</v>
      </c>
      <c r="G1047" s="24">
        <v>0</v>
      </c>
      <c r="H1047" s="24">
        <v>163</v>
      </c>
      <c r="I1047" s="24">
        <v>1</v>
      </c>
      <c r="J1047" s="24">
        <v>0</v>
      </c>
      <c r="K1047" s="24">
        <v>0</v>
      </c>
      <c r="L1047" s="24">
        <v>0</v>
      </c>
      <c r="M1047" s="24">
        <v>0</v>
      </c>
    </row>
    <row r="1048" spans="2:13" ht="14" x14ac:dyDescent="0.2">
      <c r="B1048" s="24">
        <v>39</v>
      </c>
      <c r="C1048" s="24">
        <v>83</v>
      </c>
      <c r="D1048" s="24">
        <v>3</v>
      </c>
      <c r="E1048" s="24">
        <v>1.8</v>
      </c>
      <c r="F1048" s="24">
        <v>0</v>
      </c>
      <c r="G1048" s="24">
        <v>1</v>
      </c>
      <c r="H1048" s="24">
        <v>0</v>
      </c>
      <c r="I1048" s="24">
        <v>0</v>
      </c>
      <c r="J1048" s="24">
        <v>0</v>
      </c>
      <c r="K1048" s="24">
        <v>1</v>
      </c>
      <c r="L1048" s="24">
        <v>0</v>
      </c>
      <c r="M1048" s="24">
        <v>0</v>
      </c>
    </row>
    <row r="1049" spans="2:13" ht="14" x14ac:dyDescent="0.2">
      <c r="B1049" s="24">
        <v>3</v>
      </c>
      <c r="C1049" s="24">
        <v>123</v>
      </c>
      <c r="D1049" s="24">
        <v>1</v>
      </c>
      <c r="E1049" s="24">
        <v>0.8</v>
      </c>
      <c r="F1049" s="24">
        <v>1</v>
      </c>
      <c r="G1049" s="24">
        <v>0</v>
      </c>
      <c r="H1049" s="24">
        <v>146</v>
      </c>
      <c r="I1049" s="24">
        <v>0</v>
      </c>
      <c r="J1049" s="24">
        <v>0</v>
      </c>
      <c r="K1049" s="24">
        <v>0</v>
      </c>
      <c r="L1049" s="24">
        <v>0</v>
      </c>
      <c r="M1049" s="24">
        <v>0</v>
      </c>
    </row>
    <row r="1050" spans="2:13" ht="14" x14ac:dyDescent="0.2">
      <c r="B1050" s="24">
        <v>0</v>
      </c>
      <c r="C1050" s="24">
        <v>150</v>
      </c>
      <c r="D1050" s="24">
        <v>2</v>
      </c>
      <c r="E1050" s="24">
        <v>2</v>
      </c>
      <c r="F1050" s="24">
        <v>1</v>
      </c>
      <c r="G1050" s="24">
        <v>0</v>
      </c>
      <c r="H1050" s="24">
        <v>0</v>
      </c>
      <c r="I1050" s="24">
        <v>0</v>
      </c>
      <c r="J1050" s="24">
        <v>0</v>
      </c>
      <c r="K1050" s="24">
        <v>1</v>
      </c>
      <c r="L1050" s="24">
        <v>0</v>
      </c>
      <c r="M1050" s="24">
        <v>0</v>
      </c>
    </row>
    <row r="1051" spans="2:13" ht="14" x14ac:dyDescent="0.2">
      <c r="B1051" s="24">
        <v>4</v>
      </c>
      <c r="C1051" s="24">
        <v>39</v>
      </c>
      <c r="D1051" s="24">
        <v>1</v>
      </c>
      <c r="E1051" s="24">
        <v>1.5</v>
      </c>
      <c r="F1051" s="24">
        <v>1</v>
      </c>
      <c r="G1051" s="24">
        <v>0</v>
      </c>
      <c r="H1051" s="24">
        <v>0</v>
      </c>
      <c r="I1051" s="24">
        <v>0</v>
      </c>
      <c r="J1051" s="24">
        <v>0</v>
      </c>
      <c r="K1051" s="24">
        <v>1</v>
      </c>
      <c r="L1051" s="24">
        <v>0</v>
      </c>
      <c r="M1051" s="24">
        <v>0</v>
      </c>
    </row>
    <row r="1052" spans="2:13" ht="14" x14ac:dyDescent="0.2">
      <c r="B1052" s="24">
        <v>30</v>
      </c>
      <c r="C1052" s="24">
        <v>78</v>
      </c>
      <c r="D1052" s="24">
        <v>4</v>
      </c>
      <c r="E1052" s="24">
        <v>1.6</v>
      </c>
      <c r="F1052" s="24">
        <v>0</v>
      </c>
      <c r="G1052" s="24">
        <v>1</v>
      </c>
      <c r="H1052" s="24">
        <v>0</v>
      </c>
      <c r="I1052" s="24">
        <v>0</v>
      </c>
      <c r="J1052" s="24">
        <v>0</v>
      </c>
      <c r="K1052" s="24">
        <v>1</v>
      </c>
      <c r="L1052" s="24">
        <v>1</v>
      </c>
      <c r="M1052" s="24">
        <v>0</v>
      </c>
    </row>
    <row r="1053" spans="2:13" ht="14" x14ac:dyDescent="0.2">
      <c r="B1053" s="24">
        <v>25</v>
      </c>
      <c r="C1053" s="24">
        <v>80</v>
      </c>
      <c r="D1053" s="24">
        <v>1</v>
      </c>
      <c r="E1053" s="24">
        <v>4.9000000000000004</v>
      </c>
      <c r="F1053" s="24">
        <v>1</v>
      </c>
      <c r="G1053" s="24">
        <v>0</v>
      </c>
      <c r="H1053" s="24">
        <v>0</v>
      </c>
      <c r="I1053" s="24">
        <v>0</v>
      </c>
      <c r="J1053" s="24">
        <v>0</v>
      </c>
      <c r="K1053" s="24">
        <v>0</v>
      </c>
      <c r="L1053" s="24">
        <v>0</v>
      </c>
      <c r="M1053" s="24">
        <v>0</v>
      </c>
    </row>
    <row r="1054" spans="2:13" ht="14" x14ac:dyDescent="0.2">
      <c r="B1054" s="24">
        <v>12</v>
      </c>
      <c r="C1054" s="24">
        <v>93</v>
      </c>
      <c r="D1054" s="24">
        <v>1</v>
      </c>
      <c r="E1054" s="24">
        <v>5.2</v>
      </c>
      <c r="F1054" s="24">
        <v>1</v>
      </c>
      <c r="G1054" s="24">
        <v>0</v>
      </c>
      <c r="H1054" s="24">
        <v>267</v>
      </c>
      <c r="I1054" s="24">
        <v>0</v>
      </c>
      <c r="J1054" s="24">
        <v>0</v>
      </c>
      <c r="K1054" s="24">
        <v>1</v>
      </c>
      <c r="L1054" s="24">
        <v>0</v>
      </c>
      <c r="M1054" s="24">
        <v>0</v>
      </c>
    </row>
    <row r="1055" spans="2:13" ht="14" x14ac:dyDescent="0.2">
      <c r="B1055" s="24">
        <v>5</v>
      </c>
      <c r="C1055" s="24">
        <v>40</v>
      </c>
      <c r="D1055" s="24">
        <v>4</v>
      </c>
      <c r="E1055" s="24">
        <v>1.3</v>
      </c>
      <c r="F1055" s="24">
        <v>0</v>
      </c>
      <c r="G1055" s="24">
        <v>0</v>
      </c>
      <c r="H1055" s="24">
        <v>170</v>
      </c>
      <c r="I1055" s="24">
        <v>0</v>
      </c>
      <c r="J1055" s="24">
        <v>0</v>
      </c>
      <c r="K1055" s="24">
        <v>0</v>
      </c>
      <c r="L1055" s="24">
        <v>0</v>
      </c>
      <c r="M1055" s="24">
        <v>0</v>
      </c>
    </row>
    <row r="1056" spans="2:13" ht="14" x14ac:dyDescent="0.2">
      <c r="B1056" s="24">
        <v>20</v>
      </c>
      <c r="C1056" s="24">
        <v>69</v>
      </c>
      <c r="D1056" s="24">
        <v>3</v>
      </c>
      <c r="E1056" s="24">
        <v>2.1</v>
      </c>
      <c r="F1056" s="24">
        <v>1</v>
      </c>
      <c r="G1056" s="24">
        <v>0</v>
      </c>
      <c r="H1056" s="24">
        <v>0</v>
      </c>
      <c r="I1056" s="24">
        <v>0</v>
      </c>
      <c r="J1056" s="24">
        <v>0</v>
      </c>
      <c r="K1056" s="24">
        <v>0</v>
      </c>
      <c r="L1056" s="24">
        <v>0</v>
      </c>
      <c r="M1056" s="24">
        <v>0</v>
      </c>
    </row>
    <row r="1057" spans="2:13" ht="14" x14ac:dyDescent="0.2">
      <c r="B1057" s="24">
        <v>1</v>
      </c>
      <c r="C1057" s="24">
        <v>54</v>
      </c>
      <c r="D1057" s="24">
        <v>4</v>
      </c>
      <c r="E1057" s="24">
        <v>1.6</v>
      </c>
      <c r="F1057" s="24">
        <v>1</v>
      </c>
      <c r="G1057" s="24">
        <v>0</v>
      </c>
      <c r="H1057" s="24">
        <v>0</v>
      </c>
      <c r="I1057" s="24">
        <v>0</v>
      </c>
      <c r="J1057" s="24">
        <v>0</v>
      </c>
      <c r="K1057" s="24">
        <v>1</v>
      </c>
      <c r="L1057" s="24">
        <v>1</v>
      </c>
      <c r="M1057" s="24">
        <v>0</v>
      </c>
    </row>
    <row r="1058" spans="2:13" ht="14" x14ac:dyDescent="0.2">
      <c r="B1058" s="24">
        <v>30</v>
      </c>
      <c r="C1058" s="24">
        <v>39</v>
      </c>
      <c r="D1058" s="24">
        <v>3</v>
      </c>
      <c r="E1058" s="24">
        <v>1.4</v>
      </c>
      <c r="F1058" s="24">
        <v>1</v>
      </c>
      <c r="G1058" s="24">
        <v>0</v>
      </c>
      <c r="H1058" s="24">
        <v>131</v>
      </c>
      <c r="I1058" s="24">
        <v>0</v>
      </c>
      <c r="J1058" s="24">
        <v>0</v>
      </c>
      <c r="K1058" s="24">
        <v>0</v>
      </c>
      <c r="L1058" s="24">
        <v>1</v>
      </c>
      <c r="M1058" s="24">
        <v>0</v>
      </c>
    </row>
    <row r="1059" spans="2:13" ht="14" x14ac:dyDescent="0.2">
      <c r="B1059" s="24">
        <v>6</v>
      </c>
      <c r="C1059" s="24">
        <v>112</v>
      </c>
      <c r="D1059" s="24">
        <v>4</v>
      </c>
      <c r="E1059" s="24">
        <v>1.8</v>
      </c>
      <c r="F1059" s="24">
        <v>0</v>
      </c>
      <c r="G1059" s="24">
        <v>1</v>
      </c>
      <c r="H1059" s="24">
        <v>0</v>
      </c>
      <c r="I1059" s="24">
        <v>0</v>
      </c>
      <c r="J1059" s="24">
        <v>0</v>
      </c>
      <c r="K1059" s="24">
        <v>1</v>
      </c>
      <c r="L1059" s="24">
        <v>0</v>
      </c>
      <c r="M1059" s="24">
        <v>0</v>
      </c>
    </row>
    <row r="1060" spans="2:13" ht="14" x14ac:dyDescent="0.2">
      <c r="B1060" s="24">
        <v>9</v>
      </c>
      <c r="C1060" s="24">
        <v>31</v>
      </c>
      <c r="D1060" s="24">
        <v>4</v>
      </c>
      <c r="E1060" s="24">
        <v>1.1000000000000001</v>
      </c>
      <c r="F1060" s="24">
        <v>0</v>
      </c>
      <c r="G1060" s="24">
        <v>0</v>
      </c>
      <c r="H1060" s="24">
        <v>0</v>
      </c>
      <c r="I1060" s="24">
        <v>0</v>
      </c>
      <c r="J1060" s="24">
        <v>0</v>
      </c>
      <c r="K1060" s="24">
        <v>1</v>
      </c>
      <c r="L1060" s="24">
        <v>1</v>
      </c>
      <c r="M1060" s="24">
        <v>0</v>
      </c>
    </row>
    <row r="1061" spans="2:13" ht="14" x14ac:dyDescent="0.2">
      <c r="B1061" s="24">
        <v>15</v>
      </c>
      <c r="C1061" s="24">
        <v>168</v>
      </c>
      <c r="D1061" s="24">
        <v>2</v>
      </c>
      <c r="E1061" s="24">
        <v>8</v>
      </c>
      <c r="F1061" s="24">
        <v>1</v>
      </c>
      <c r="G1061" s="24">
        <v>0</v>
      </c>
      <c r="H1061" s="24">
        <v>152</v>
      </c>
      <c r="I1061" s="24">
        <v>1</v>
      </c>
      <c r="J1061" s="24">
        <v>0</v>
      </c>
      <c r="K1061" s="24">
        <v>0</v>
      </c>
      <c r="L1061" s="24">
        <v>0</v>
      </c>
      <c r="M1061" s="24">
        <v>0</v>
      </c>
    </row>
    <row r="1062" spans="2:13" ht="14" x14ac:dyDescent="0.2">
      <c r="B1062" s="24">
        <v>0</v>
      </c>
      <c r="C1062" s="24">
        <v>88</v>
      </c>
      <c r="D1062" s="24">
        <v>2</v>
      </c>
      <c r="E1062" s="24">
        <v>1.8</v>
      </c>
      <c r="F1062" s="24">
        <v>0</v>
      </c>
      <c r="G1062" s="24">
        <v>1</v>
      </c>
      <c r="H1062" s="24">
        <v>319</v>
      </c>
      <c r="I1062" s="24">
        <v>0</v>
      </c>
      <c r="J1062" s="24">
        <v>0</v>
      </c>
      <c r="K1062" s="24">
        <v>1</v>
      </c>
      <c r="L1062" s="24">
        <v>1</v>
      </c>
      <c r="M1062" s="24">
        <v>0</v>
      </c>
    </row>
    <row r="1063" spans="2:13" ht="14" x14ac:dyDescent="0.2">
      <c r="B1063" s="24">
        <v>30</v>
      </c>
      <c r="C1063" s="24">
        <v>141</v>
      </c>
      <c r="D1063" s="24">
        <v>2</v>
      </c>
      <c r="E1063" s="24">
        <v>0.5</v>
      </c>
      <c r="F1063" s="24">
        <v>1</v>
      </c>
      <c r="G1063" s="24">
        <v>0</v>
      </c>
      <c r="H1063" s="24">
        <v>0</v>
      </c>
      <c r="I1063" s="24">
        <v>0</v>
      </c>
      <c r="J1063" s="24">
        <v>0</v>
      </c>
      <c r="K1063" s="24">
        <v>1</v>
      </c>
      <c r="L1063" s="24">
        <v>0</v>
      </c>
      <c r="M1063" s="24">
        <v>0</v>
      </c>
    </row>
    <row r="1064" spans="2:13" ht="14" x14ac:dyDescent="0.2">
      <c r="B1064" s="24">
        <v>15</v>
      </c>
      <c r="C1064" s="24">
        <v>41</v>
      </c>
      <c r="D1064" s="24">
        <v>1</v>
      </c>
      <c r="E1064" s="24">
        <v>2</v>
      </c>
      <c r="F1064" s="24">
        <v>0</v>
      </c>
      <c r="G1064" s="24">
        <v>1</v>
      </c>
      <c r="H1064" s="24">
        <v>176</v>
      </c>
      <c r="I1064" s="24">
        <v>0</v>
      </c>
      <c r="J1064" s="24">
        <v>0</v>
      </c>
      <c r="K1064" s="24">
        <v>1</v>
      </c>
      <c r="L1064" s="24">
        <v>0</v>
      </c>
      <c r="M1064" s="24">
        <v>0</v>
      </c>
    </row>
    <row r="1065" spans="2:13" ht="14" x14ac:dyDescent="0.2">
      <c r="B1065" s="24">
        <v>19</v>
      </c>
      <c r="C1065" s="24">
        <v>113</v>
      </c>
      <c r="D1065" s="24">
        <v>1</v>
      </c>
      <c r="E1065" s="24">
        <v>1.7</v>
      </c>
      <c r="F1065" s="24">
        <v>1</v>
      </c>
      <c r="G1065" s="24">
        <v>0</v>
      </c>
      <c r="H1065" s="24">
        <v>0</v>
      </c>
      <c r="I1065" s="24">
        <v>0</v>
      </c>
      <c r="J1065" s="24">
        <v>0</v>
      </c>
      <c r="K1065" s="24">
        <v>0</v>
      </c>
      <c r="L1065" s="24">
        <v>0</v>
      </c>
      <c r="M1065" s="24">
        <v>0</v>
      </c>
    </row>
    <row r="1066" spans="2:13" ht="14" x14ac:dyDescent="0.2">
      <c r="B1066" s="24">
        <v>23</v>
      </c>
      <c r="C1066" s="24">
        <v>88</v>
      </c>
      <c r="D1066" s="24">
        <v>4</v>
      </c>
      <c r="E1066" s="24">
        <v>1.4</v>
      </c>
      <c r="F1066" s="24">
        <v>0</v>
      </c>
      <c r="G1066" s="24">
        <v>1</v>
      </c>
      <c r="H1066" s="24">
        <v>0</v>
      </c>
      <c r="I1066" s="24">
        <v>0</v>
      </c>
      <c r="J1066" s="24">
        <v>0</v>
      </c>
      <c r="K1066" s="24">
        <v>0</v>
      </c>
      <c r="L1066" s="24">
        <v>0</v>
      </c>
      <c r="M1066" s="24">
        <v>0</v>
      </c>
    </row>
    <row r="1067" spans="2:13" ht="14" x14ac:dyDescent="0.2">
      <c r="B1067" s="24">
        <v>30</v>
      </c>
      <c r="C1067" s="24">
        <v>23</v>
      </c>
      <c r="D1067" s="24">
        <v>2</v>
      </c>
      <c r="E1067" s="24">
        <v>0.4</v>
      </c>
      <c r="F1067" s="24">
        <v>1</v>
      </c>
      <c r="G1067" s="24">
        <v>0</v>
      </c>
      <c r="H1067" s="24">
        <v>0</v>
      </c>
      <c r="I1067" s="24">
        <v>0</v>
      </c>
      <c r="J1067" s="24">
        <v>0</v>
      </c>
      <c r="K1067" s="24">
        <v>0</v>
      </c>
      <c r="L1067" s="24">
        <v>0</v>
      </c>
      <c r="M1067" s="24">
        <v>0</v>
      </c>
    </row>
    <row r="1068" spans="2:13" ht="14" x14ac:dyDescent="0.2">
      <c r="B1068" s="24">
        <v>31</v>
      </c>
      <c r="C1068" s="24">
        <v>53</v>
      </c>
      <c r="D1068" s="24">
        <v>1</v>
      </c>
      <c r="E1068" s="24">
        <v>0.8</v>
      </c>
      <c r="F1068" s="24">
        <v>0</v>
      </c>
      <c r="G1068" s="24">
        <v>1</v>
      </c>
      <c r="H1068" s="24">
        <v>120</v>
      </c>
      <c r="I1068" s="24">
        <v>0</v>
      </c>
      <c r="J1068" s="24">
        <v>0</v>
      </c>
      <c r="K1068" s="24">
        <v>0</v>
      </c>
      <c r="L1068" s="24">
        <v>0</v>
      </c>
      <c r="M1068" s="24">
        <v>0</v>
      </c>
    </row>
    <row r="1069" spans="2:13" ht="14" x14ac:dyDescent="0.2">
      <c r="B1069" s="24">
        <v>6</v>
      </c>
      <c r="C1069" s="24">
        <v>53</v>
      </c>
      <c r="D1069" s="24">
        <v>4</v>
      </c>
      <c r="E1069" s="24">
        <v>2.2000000000000002</v>
      </c>
      <c r="F1069" s="24">
        <v>1</v>
      </c>
      <c r="G1069" s="24">
        <v>0</v>
      </c>
      <c r="H1069" s="24">
        <v>114</v>
      </c>
      <c r="I1069" s="24">
        <v>0</v>
      </c>
      <c r="J1069" s="24">
        <v>0</v>
      </c>
      <c r="K1069" s="24">
        <v>1</v>
      </c>
      <c r="L1069" s="24">
        <v>0</v>
      </c>
      <c r="M1069" s="24">
        <v>0</v>
      </c>
    </row>
    <row r="1070" spans="2:13" ht="14" x14ac:dyDescent="0.2">
      <c r="B1070" s="24">
        <v>6</v>
      </c>
      <c r="C1070" s="24">
        <v>193</v>
      </c>
      <c r="D1070" s="24">
        <v>3</v>
      </c>
      <c r="E1070" s="24">
        <v>6.3</v>
      </c>
      <c r="F1070" s="24">
        <v>0</v>
      </c>
      <c r="G1070" s="24">
        <v>0</v>
      </c>
      <c r="H1070" s="24">
        <v>0</v>
      </c>
      <c r="I1070" s="24">
        <v>0</v>
      </c>
      <c r="J1070" s="24">
        <v>0</v>
      </c>
      <c r="K1070" s="24">
        <v>1</v>
      </c>
      <c r="L1070" s="24">
        <v>0</v>
      </c>
      <c r="M1070" s="24">
        <v>1</v>
      </c>
    </row>
    <row r="1071" spans="2:13" ht="14" x14ac:dyDescent="0.2">
      <c r="B1071" s="24">
        <v>11</v>
      </c>
      <c r="C1071" s="24">
        <v>44</v>
      </c>
      <c r="D1071" s="24">
        <v>2</v>
      </c>
      <c r="E1071" s="24">
        <v>1.1000000000000001</v>
      </c>
      <c r="F1071" s="24">
        <v>0</v>
      </c>
      <c r="G1071" s="24">
        <v>1</v>
      </c>
      <c r="H1071" s="24">
        <v>85</v>
      </c>
      <c r="I1071" s="24">
        <v>0</v>
      </c>
      <c r="J1071" s="24">
        <v>0</v>
      </c>
      <c r="K1071" s="24">
        <v>1</v>
      </c>
      <c r="L1071" s="24">
        <v>0</v>
      </c>
      <c r="M1071" s="24">
        <v>0</v>
      </c>
    </row>
    <row r="1072" spans="2:13" ht="14" x14ac:dyDescent="0.2">
      <c r="B1072" s="24">
        <v>34</v>
      </c>
      <c r="C1072" s="24">
        <v>19</v>
      </c>
      <c r="D1072" s="24">
        <v>1</v>
      </c>
      <c r="E1072" s="24">
        <v>1.2</v>
      </c>
      <c r="F1072" s="24">
        <v>0</v>
      </c>
      <c r="G1072" s="24">
        <v>0</v>
      </c>
      <c r="H1072" s="24">
        <v>0</v>
      </c>
      <c r="I1072" s="24">
        <v>0</v>
      </c>
      <c r="J1072" s="24">
        <v>0</v>
      </c>
      <c r="K1072" s="24">
        <v>0</v>
      </c>
      <c r="L1072" s="24">
        <v>0</v>
      </c>
      <c r="M1072" s="24">
        <v>0</v>
      </c>
    </row>
    <row r="1073" spans="2:13" ht="14" x14ac:dyDescent="0.2">
      <c r="B1073" s="24">
        <v>13</v>
      </c>
      <c r="C1073" s="24">
        <v>168</v>
      </c>
      <c r="D1073" s="24">
        <v>2</v>
      </c>
      <c r="E1073" s="24">
        <v>1.3</v>
      </c>
      <c r="F1073" s="24">
        <v>0</v>
      </c>
      <c r="G1073" s="24">
        <v>0</v>
      </c>
      <c r="H1073" s="24">
        <v>0</v>
      </c>
      <c r="I1073" s="24">
        <v>0</v>
      </c>
      <c r="J1073" s="24">
        <v>0</v>
      </c>
      <c r="K1073" s="24">
        <v>0</v>
      </c>
      <c r="L1073" s="24">
        <v>0</v>
      </c>
      <c r="M1073" s="24">
        <v>1</v>
      </c>
    </row>
    <row r="1074" spans="2:13" ht="14" x14ac:dyDescent="0.2">
      <c r="B1074" s="24">
        <v>10</v>
      </c>
      <c r="C1074" s="24">
        <v>54</v>
      </c>
      <c r="D1074" s="24">
        <v>3</v>
      </c>
      <c r="E1074" s="24">
        <v>2</v>
      </c>
      <c r="F1074" s="24">
        <v>1</v>
      </c>
      <c r="G1074" s="24">
        <v>0</v>
      </c>
      <c r="H1074" s="24">
        <v>0</v>
      </c>
      <c r="I1074" s="24">
        <v>0</v>
      </c>
      <c r="J1074" s="24">
        <v>0</v>
      </c>
      <c r="K1074" s="24">
        <v>0</v>
      </c>
      <c r="L1074" s="24">
        <v>0</v>
      </c>
      <c r="M1074" s="24">
        <v>0</v>
      </c>
    </row>
    <row r="1075" spans="2:13" ht="14" x14ac:dyDescent="0.2">
      <c r="B1075" s="24">
        <v>15</v>
      </c>
      <c r="C1075" s="24">
        <v>72</v>
      </c>
      <c r="D1075" s="24">
        <v>4</v>
      </c>
      <c r="E1075" s="24">
        <v>2.4</v>
      </c>
      <c r="F1075" s="24">
        <v>1</v>
      </c>
      <c r="G1075" s="24">
        <v>0</v>
      </c>
      <c r="H1075" s="24">
        <v>0</v>
      </c>
      <c r="I1075" s="24">
        <v>1</v>
      </c>
      <c r="J1075" s="24">
        <v>0</v>
      </c>
      <c r="K1075" s="24">
        <v>1</v>
      </c>
      <c r="L1075" s="24">
        <v>0</v>
      </c>
      <c r="M1075" s="24">
        <v>0</v>
      </c>
    </row>
    <row r="1076" spans="2:13" ht="14" x14ac:dyDescent="0.2">
      <c r="B1076" s="24">
        <v>19</v>
      </c>
      <c r="C1076" s="24">
        <v>81</v>
      </c>
      <c r="D1076" s="24">
        <v>1</v>
      </c>
      <c r="E1076" s="24">
        <v>0.3</v>
      </c>
      <c r="F1076" s="24">
        <v>1</v>
      </c>
      <c r="G1076" s="24">
        <v>0</v>
      </c>
      <c r="H1076" s="24">
        <v>218</v>
      </c>
      <c r="I1076" s="24">
        <v>0</v>
      </c>
      <c r="J1076" s="24">
        <v>0</v>
      </c>
      <c r="K1076" s="24">
        <v>1</v>
      </c>
      <c r="L1076" s="24">
        <v>0</v>
      </c>
      <c r="M1076" s="24">
        <v>0</v>
      </c>
    </row>
    <row r="1077" spans="2:13" ht="14" x14ac:dyDescent="0.2">
      <c r="B1077" s="24">
        <v>41</v>
      </c>
      <c r="C1077" s="24">
        <v>112</v>
      </c>
      <c r="D1077" s="24">
        <v>1</v>
      </c>
      <c r="E1077" s="24">
        <v>2</v>
      </c>
      <c r="F1077" s="24">
        <v>1</v>
      </c>
      <c r="G1077" s="24">
        <v>0</v>
      </c>
      <c r="H1077" s="24">
        <v>0</v>
      </c>
      <c r="I1077" s="24">
        <v>1</v>
      </c>
      <c r="J1077" s="24">
        <v>0</v>
      </c>
      <c r="K1077" s="24">
        <v>0</v>
      </c>
      <c r="L1077" s="24">
        <v>0</v>
      </c>
      <c r="M1077" s="24">
        <v>0</v>
      </c>
    </row>
    <row r="1078" spans="2:13" ht="14" x14ac:dyDescent="0.2">
      <c r="B1078" s="24">
        <v>35</v>
      </c>
      <c r="C1078" s="24">
        <v>63</v>
      </c>
      <c r="D1078" s="24">
        <v>1</v>
      </c>
      <c r="E1078" s="24">
        <v>1.6</v>
      </c>
      <c r="F1078" s="24">
        <v>1</v>
      </c>
      <c r="G1078" s="24">
        <v>0</v>
      </c>
      <c r="H1078" s="24">
        <v>0</v>
      </c>
      <c r="I1078" s="24">
        <v>0</v>
      </c>
      <c r="J1078" s="24">
        <v>0</v>
      </c>
      <c r="K1078" s="24">
        <v>1</v>
      </c>
      <c r="L1078" s="24">
        <v>0</v>
      </c>
      <c r="M1078" s="24">
        <v>0</v>
      </c>
    </row>
    <row r="1079" spans="2:13" ht="14" x14ac:dyDescent="0.2">
      <c r="B1079" s="24">
        <v>2</v>
      </c>
      <c r="C1079" s="24">
        <v>155</v>
      </c>
      <c r="D1079" s="24">
        <v>1</v>
      </c>
      <c r="E1079" s="24">
        <v>0.8</v>
      </c>
      <c r="F1079" s="24">
        <v>1</v>
      </c>
      <c r="G1079" s="24">
        <v>0</v>
      </c>
      <c r="H1079" s="24">
        <v>0</v>
      </c>
      <c r="I1079" s="24">
        <v>0</v>
      </c>
      <c r="J1079" s="24">
        <v>0</v>
      </c>
      <c r="K1079" s="24">
        <v>0</v>
      </c>
      <c r="L1079" s="24">
        <v>0</v>
      </c>
      <c r="M1079" s="24">
        <v>0</v>
      </c>
    </row>
    <row r="1080" spans="2:13" ht="14" x14ac:dyDescent="0.2">
      <c r="B1080" s="24">
        <v>15</v>
      </c>
      <c r="C1080" s="24">
        <v>14</v>
      </c>
      <c r="D1080" s="24">
        <v>3</v>
      </c>
      <c r="E1080" s="24">
        <v>1</v>
      </c>
      <c r="F1080" s="24">
        <v>0</v>
      </c>
      <c r="G1080" s="24">
        <v>1</v>
      </c>
      <c r="H1080" s="24">
        <v>0</v>
      </c>
      <c r="I1080" s="24">
        <v>1</v>
      </c>
      <c r="J1080" s="24">
        <v>0</v>
      </c>
      <c r="K1080" s="24">
        <v>0</v>
      </c>
      <c r="L1080" s="24">
        <v>0</v>
      </c>
      <c r="M1080" s="24">
        <v>0</v>
      </c>
    </row>
    <row r="1081" spans="2:13" ht="14" x14ac:dyDescent="0.2">
      <c r="B1081" s="24">
        <v>33</v>
      </c>
      <c r="C1081" s="24">
        <v>49</v>
      </c>
      <c r="D1081" s="24">
        <v>4</v>
      </c>
      <c r="E1081" s="24">
        <v>1.7</v>
      </c>
      <c r="F1081" s="24">
        <v>0</v>
      </c>
      <c r="G1081" s="24">
        <v>1</v>
      </c>
      <c r="H1081" s="24">
        <v>104</v>
      </c>
      <c r="I1081" s="24">
        <v>0</v>
      </c>
      <c r="J1081" s="24">
        <v>0</v>
      </c>
      <c r="K1081" s="24">
        <v>1</v>
      </c>
      <c r="L1081" s="24">
        <v>0</v>
      </c>
      <c r="M1081" s="24">
        <v>0</v>
      </c>
    </row>
    <row r="1082" spans="2:13" ht="14" x14ac:dyDescent="0.2">
      <c r="B1082" s="24">
        <v>21</v>
      </c>
      <c r="C1082" s="24">
        <v>15</v>
      </c>
      <c r="D1082" s="24">
        <v>4</v>
      </c>
      <c r="E1082" s="24">
        <v>0.6</v>
      </c>
      <c r="F1082" s="24">
        <v>0</v>
      </c>
      <c r="G1082" s="24">
        <v>0</v>
      </c>
      <c r="H1082" s="24">
        <v>77</v>
      </c>
      <c r="I1082" s="24">
        <v>0</v>
      </c>
      <c r="J1082" s="24">
        <v>0</v>
      </c>
      <c r="K1082" s="24">
        <v>1</v>
      </c>
      <c r="L1082" s="24">
        <v>0</v>
      </c>
      <c r="M1082" s="24">
        <v>0</v>
      </c>
    </row>
    <row r="1083" spans="2:13" ht="14" x14ac:dyDescent="0.2">
      <c r="B1083" s="24">
        <v>37</v>
      </c>
      <c r="C1083" s="24">
        <v>68</v>
      </c>
      <c r="D1083" s="24">
        <v>4</v>
      </c>
      <c r="E1083" s="24">
        <v>2.2999999999999998</v>
      </c>
      <c r="F1083" s="24">
        <v>0</v>
      </c>
      <c r="G1083" s="24">
        <v>0</v>
      </c>
      <c r="H1083" s="24">
        <v>0</v>
      </c>
      <c r="I1083" s="24">
        <v>0</v>
      </c>
      <c r="J1083" s="24">
        <v>0</v>
      </c>
      <c r="K1083" s="24">
        <v>0</v>
      </c>
      <c r="L1083" s="24">
        <v>0</v>
      </c>
      <c r="M1083" s="24">
        <v>0</v>
      </c>
    </row>
    <row r="1084" spans="2:13" ht="14" x14ac:dyDescent="0.2">
      <c r="B1084" s="24">
        <v>10</v>
      </c>
      <c r="C1084" s="24">
        <v>78</v>
      </c>
      <c r="D1084" s="24">
        <v>1</v>
      </c>
      <c r="E1084" s="24">
        <v>2.6</v>
      </c>
      <c r="F1084" s="24">
        <v>0</v>
      </c>
      <c r="G1084" s="24">
        <v>1</v>
      </c>
      <c r="H1084" s="24">
        <v>0</v>
      </c>
      <c r="I1084" s="24">
        <v>0</v>
      </c>
      <c r="J1084" s="24">
        <v>0</v>
      </c>
      <c r="K1084" s="24">
        <v>0</v>
      </c>
      <c r="L1084" s="24">
        <v>0</v>
      </c>
      <c r="M1084" s="24">
        <v>0</v>
      </c>
    </row>
    <row r="1085" spans="2:13" ht="14" x14ac:dyDescent="0.2">
      <c r="B1085" s="24">
        <v>14</v>
      </c>
      <c r="C1085" s="24">
        <v>92</v>
      </c>
      <c r="D1085" s="24">
        <v>2</v>
      </c>
      <c r="E1085" s="24">
        <v>0</v>
      </c>
      <c r="F1085" s="24">
        <v>1</v>
      </c>
      <c r="G1085" s="24">
        <v>0</v>
      </c>
      <c r="H1085" s="24">
        <v>249</v>
      </c>
      <c r="I1085" s="24">
        <v>0</v>
      </c>
      <c r="J1085" s="24">
        <v>0</v>
      </c>
      <c r="K1085" s="24">
        <v>1</v>
      </c>
      <c r="L1085" s="24">
        <v>1</v>
      </c>
      <c r="M1085" s="24">
        <v>0</v>
      </c>
    </row>
    <row r="1086" spans="2:13" ht="14" x14ac:dyDescent="0.2">
      <c r="B1086" s="24">
        <v>27</v>
      </c>
      <c r="C1086" s="24">
        <v>44</v>
      </c>
      <c r="D1086" s="24">
        <v>4</v>
      </c>
      <c r="E1086" s="24">
        <v>1.5</v>
      </c>
      <c r="F1086" s="24">
        <v>0</v>
      </c>
      <c r="G1086" s="24">
        <v>0</v>
      </c>
      <c r="H1086" s="24">
        <v>0</v>
      </c>
      <c r="I1086" s="24">
        <v>0</v>
      </c>
      <c r="J1086" s="24">
        <v>0</v>
      </c>
      <c r="K1086" s="24">
        <v>0</v>
      </c>
      <c r="L1086" s="24">
        <v>0</v>
      </c>
      <c r="M1086" s="24">
        <v>0</v>
      </c>
    </row>
    <row r="1087" spans="2:13" ht="14" x14ac:dyDescent="0.2">
      <c r="B1087" s="24">
        <v>27</v>
      </c>
      <c r="C1087" s="24">
        <v>88</v>
      </c>
      <c r="D1087" s="24">
        <v>1</v>
      </c>
      <c r="E1087" s="24">
        <v>2.6</v>
      </c>
      <c r="F1087" s="24">
        <v>0</v>
      </c>
      <c r="G1087" s="24">
        <v>1</v>
      </c>
      <c r="H1087" s="24">
        <v>0</v>
      </c>
      <c r="I1087" s="24">
        <v>1</v>
      </c>
      <c r="J1087" s="24">
        <v>0</v>
      </c>
      <c r="K1087" s="24">
        <v>0</v>
      </c>
      <c r="L1087" s="24">
        <v>1</v>
      </c>
      <c r="M1087" s="24">
        <v>0</v>
      </c>
    </row>
    <row r="1088" spans="2:13" ht="14" x14ac:dyDescent="0.2">
      <c r="B1088" s="24">
        <v>32</v>
      </c>
      <c r="C1088" s="24">
        <v>53</v>
      </c>
      <c r="D1088" s="24">
        <v>4</v>
      </c>
      <c r="E1088" s="24">
        <v>1.6666666666666701</v>
      </c>
      <c r="F1088" s="24">
        <v>0</v>
      </c>
      <c r="G1088" s="24">
        <v>0</v>
      </c>
      <c r="H1088" s="24">
        <v>142</v>
      </c>
      <c r="I1088" s="24">
        <v>0</v>
      </c>
      <c r="J1088" s="24">
        <v>0</v>
      </c>
      <c r="K1088" s="24">
        <v>0</v>
      </c>
      <c r="L1088" s="24">
        <v>0</v>
      </c>
      <c r="M1088" s="24">
        <v>0</v>
      </c>
    </row>
    <row r="1089" spans="2:13" ht="14" x14ac:dyDescent="0.2">
      <c r="B1089" s="24">
        <v>36</v>
      </c>
      <c r="C1089" s="24">
        <v>48</v>
      </c>
      <c r="D1089" s="24">
        <v>3</v>
      </c>
      <c r="E1089" s="24">
        <v>1.5</v>
      </c>
      <c r="F1089" s="24">
        <v>1</v>
      </c>
      <c r="G1089" s="24">
        <v>0</v>
      </c>
      <c r="H1089" s="24">
        <v>0</v>
      </c>
      <c r="I1089" s="24">
        <v>0</v>
      </c>
      <c r="J1089" s="24">
        <v>0</v>
      </c>
      <c r="K1089" s="24">
        <v>0</v>
      </c>
      <c r="L1089" s="24">
        <v>1</v>
      </c>
      <c r="M1089" s="24">
        <v>0</v>
      </c>
    </row>
    <row r="1090" spans="2:13" ht="14" x14ac:dyDescent="0.2">
      <c r="B1090" s="24">
        <v>2</v>
      </c>
      <c r="C1090" s="24">
        <v>30</v>
      </c>
      <c r="D1090" s="24">
        <v>4</v>
      </c>
      <c r="E1090" s="24">
        <v>1.5</v>
      </c>
      <c r="F1090" s="24">
        <v>0</v>
      </c>
      <c r="G1090" s="24">
        <v>1</v>
      </c>
      <c r="H1090" s="24">
        <v>112</v>
      </c>
      <c r="I1090" s="24">
        <v>0</v>
      </c>
      <c r="J1090" s="24">
        <v>0</v>
      </c>
      <c r="K1090" s="24">
        <v>0</v>
      </c>
      <c r="L1090" s="24">
        <v>1</v>
      </c>
      <c r="M1090" s="24">
        <v>0</v>
      </c>
    </row>
    <row r="1091" spans="2:13" ht="14" x14ac:dyDescent="0.2">
      <c r="B1091" s="24">
        <v>20</v>
      </c>
      <c r="C1091" s="24">
        <v>40</v>
      </c>
      <c r="D1091" s="24">
        <v>1</v>
      </c>
      <c r="E1091" s="24">
        <v>0.5</v>
      </c>
      <c r="F1091" s="24">
        <v>0</v>
      </c>
      <c r="G1091" s="24">
        <v>0</v>
      </c>
      <c r="H1091" s="24">
        <v>0</v>
      </c>
      <c r="I1091" s="24">
        <v>1</v>
      </c>
      <c r="J1091" s="24">
        <v>0</v>
      </c>
      <c r="K1091" s="24">
        <v>1</v>
      </c>
      <c r="L1091" s="24">
        <v>0</v>
      </c>
      <c r="M1091" s="24">
        <v>0</v>
      </c>
    </row>
    <row r="1092" spans="2:13" ht="14" x14ac:dyDescent="0.2">
      <c r="B1092" s="24">
        <v>30</v>
      </c>
      <c r="C1092" s="24">
        <v>44</v>
      </c>
      <c r="D1092" s="24">
        <v>2</v>
      </c>
      <c r="E1092" s="24">
        <v>2</v>
      </c>
      <c r="F1092" s="24">
        <v>0</v>
      </c>
      <c r="G1092" s="24">
        <v>1</v>
      </c>
      <c r="H1092" s="24">
        <v>0</v>
      </c>
      <c r="I1092" s="24">
        <v>0</v>
      </c>
      <c r="J1092" s="24">
        <v>0</v>
      </c>
      <c r="K1092" s="24">
        <v>1</v>
      </c>
      <c r="L1092" s="24">
        <v>0</v>
      </c>
      <c r="M1092" s="24">
        <v>0</v>
      </c>
    </row>
    <row r="1093" spans="2:13" ht="14" x14ac:dyDescent="0.2">
      <c r="B1093" s="24">
        <v>24</v>
      </c>
      <c r="C1093" s="24">
        <v>45</v>
      </c>
      <c r="D1093" s="24">
        <v>3</v>
      </c>
      <c r="E1093" s="24">
        <v>0.6</v>
      </c>
      <c r="F1093" s="24">
        <v>0</v>
      </c>
      <c r="G1093" s="24">
        <v>1</v>
      </c>
      <c r="H1093" s="24">
        <v>117</v>
      </c>
      <c r="I1093" s="24">
        <v>0</v>
      </c>
      <c r="J1093" s="24">
        <v>0</v>
      </c>
      <c r="K1093" s="24">
        <v>1</v>
      </c>
      <c r="L1093" s="24">
        <v>0</v>
      </c>
      <c r="M1093" s="24">
        <v>0</v>
      </c>
    </row>
    <row r="1094" spans="2:13" ht="14" x14ac:dyDescent="0.2">
      <c r="B1094" s="24">
        <v>3</v>
      </c>
      <c r="C1094" s="24">
        <v>30</v>
      </c>
      <c r="D1094" s="24">
        <v>1</v>
      </c>
      <c r="E1094" s="24">
        <v>1</v>
      </c>
      <c r="F1094" s="24">
        <v>0</v>
      </c>
      <c r="G1094" s="24">
        <v>0</v>
      </c>
      <c r="H1094" s="24">
        <v>80</v>
      </c>
      <c r="I1094" s="24">
        <v>0</v>
      </c>
      <c r="J1094" s="24">
        <v>0</v>
      </c>
      <c r="K1094" s="24">
        <v>0</v>
      </c>
      <c r="L1094" s="24">
        <v>0</v>
      </c>
      <c r="M1094" s="24">
        <v>0</v>
      </c>
    </row>
    <row r="1095" spans="2:13" ht="14" x14ac:dyDescent="0.2">
      <c r="B1095" s="24">
        <v>30</v>
      </c>
      <c r="C1095" s="24">
        <v>59</v>
      </c>
      <c r="D1095" s="24">
        <v>3</v>
      </c>
      <c r="E1095" s="24">
        <v>0.8</v>
      </c>
      <c r="F1095" s="24">
        <v>1</v>
      </c>
      <c r="G1095" s="24">
        <v>0</v>
      </c>
      <c r="H1095" s="24">
        <v>159</v>
      </c>
      <c r="I1095" s="24">
        <v>1</v>
      </c>
      <c r="J1095" s="24">
        <v>0</v>
      </c>
      <c r="K1095" s="24">
        <v>1</v>
      </c>
      <c r="L1095" s="24">
        <v>0</v>
      </c>
      <c r="M1095" s="24">
        <v>0</v>
      </c>
    </row>
    <row r="1096" spans="2:13" ht="14" x14ac:dyDescent="0.2">
      <c r="B1096" s="24">
        <v>9</v>
      </c>
      <c r="C1096" s="24">
        <v>45</v>
      </c>
      <c r="D1096" s="24">
        <v>1</v>
      </c>
      <c r="E1096" s="24">
        <v>2</v>
      </c>
      <c r="F1096" s="24">
        <v>1</v>
      </c>
      <c r="G1096" s="24">
        <v>0</v>
      </c>
      <c r="H1096" s="24">
        <v>0</v>
      </c>
      <c r="I1096" s="24">
        <v>0</v>
      </c>
      <c r="J1096" s="24">
        <v>0</v>
      </c>
      <c r="K1096" s="24">
        <v>1</v>
      </c>
      <c r="L1096" s="24">
        <v>1</v>
      </c>
      <c r="M1096" s="24">
        <v>0</v>
      </c>
    </row>
    <row r="1097" spans="2:13" ht="14" x14ac:dyDescent="0.2">
      <c r="B1097" s="24">
        <v>17</v>
      </c>
      <c r="C1097" s="24">
        <v>59</v>
      </c>
      <c r="D1097" s="24">
        <v>3</v>
      </c>
      <c r="E1097" s="24">
        <v>0.9</v>
      </c>
      <c r="F1097" s="24">
        <v>0</v>
      </c>
      <c r="G1097" s="24">
        <v>0</v>
      </c>
      <c r="H1097" s="24">
        <v>87</v>
      </c>
      <c r="I1097" s="24">
        <v>0</v>
      </c>
      <c r="J1097" s="24">
        <v>0</v>
      </c>
      <c r="K1097" s="24">
        <v>1</v>
      </c>
      <c r="L1097" s="24">
        <v>1</v>
      </c>
      <c r="M1097" s="24">
        <v>0</v>
      </c>
    </row>
    <row r="1098" spans="2:13" ht="14" x14ac:dyDescent="0.2">
      <c r="B1098" s="24">
        <v>3</v>
      </c>
      <c r="C1098" s="24">
        <v>39</v>
      </c>
      <c r="D1098" s="24">
        <v>4</v>
      </c>
      <c r="E1098" s="24">
        <v>0.2</v>
      </c>
      <c r="F1098" s="24">
        <v>1</v>
      </c>
      <c r="G1098" s="24">
        <v>0</v>
      </c>
      <c r="H1098" s="24">
        <v>137</v>
      </c>
      <c r="I1098" s="24">
        <v>0</v>
      </c>
      <c r="J1098" s="24">
        <v>0</v>
      </c>
      <c r="K1098" s="24">
        <v>1</v>
      </c>
      <c r="L1098" s="24">
        <v>1</v>
      </c>
      <c r="M1098" s="24">
        <v>0</v>
      </c>
    </row>
    <row r="1099" spans="2:13" ht="14" x14ac:dyDescent="0.2">
      <c r="B1099" s="24">
        <v>6</v>
      </c>
      <c r="C1099" s="24">
        <v>13</v>
      </c>
      <c r="D1099" s="24">
        <v>4</v>
      </c>
      <c r="E1099" s="24">
        <v>0.3</v>
      </c>
      <c r="F1099" s="24">
        <v>1</v>
      </c>
      <c r="G1099" s="24">
        <v>0</v>
      </c>
      <c r="H1099" s="24">
        <v>0</v>
      </c>
      <c r="I1099" s="24">
        <v>0</v>
      </c>
      <c r="J1099" s="24">
        <v>0</v>
      </c>
      <c r="K1099" s="24">
        <v>1</v>
      </c>
      <c r="L1099" s="24">
        <v>1</v>
      </c>
      <c r="M1099" s="24">
        <v>0</v>
      </c>
    </row>
    <row r="1100" spans="2:13" ht="14" x14ac:dyDescent="0.2">
      <c r="B1100" s="24">
        <v>12</v>
      </c>
      <c r="C1100" s="24">
        <v>123</v>
      </c>
      <c r="D1100" s="24">
        <v>2</v>
      </c>
      <c r="E1100" s="24">
        <v>5.6</v>
      </c>
      <c r="F1100" s="24">
        <v>0</v>
      </c>
      <c r="G1100" s="24">
        <v>1</v>
      </c>
      <c r="H1100" s="24">
        <v>0</v>
      </c>
      <c r="I1100" s="24">
        <v>0</v>
      </c>
      <c r="J1100" s="24">
        <v>1</v>
      </c>
      <c r="K1100" s="24">
        <v>1</v>
      </c>
      <c r="L1100" s="24">
        <v>1</v>
      </c>
      <c r="M1100" s="24">
        <v>1</v>
      </c>
    </row>
    <row r="1101" spans="2:13" ht="14" x14ac:dyDescent="0.2">
      <c r="B1101" s="24">
        <v>18</v>
      </c>
      <c r="C1101" s="24">
        <v>141</v>
      </c>
      <c r="D1101" s="24">
        <v>3</v>
      </c>
      <c r="E1101" s="24">
        <v>5</v>
      </c>
      <c r="F1101" s="24">
        <v>0</v>
      </c>
      <c r="G1101" s="24">
        <v>0</v>
      </c>
      <c r="H1101" s="24">
        <v>0</v>
      </c>
      <c r="I1101" s="24">
        <v>1</v>
      </c>
      <c r="J1101" s="24">
        <v>1</v>
      </c>
      <c r="K1101" s="24">
        <v>1</v>
      </c>
      <c r="L1101" s="24">
        <v>0</v>
      </c>
      <c r="M1101" s="24">
        <v>1</v>
      </c>
    </row>
    <row r="1102" spans="2:13" ht="14" x14ac:dyDescent="0.2">
      <c r="B1102" s="24">
        <v>13</v>
      </c>
      <c r="C1102" s="24">
        <v>69</v>
      </c>
      <c r="D1102" s="24">
        <v>3</v>
      </c>
      <c r="E1102" s="24">
        <v>2.3333333333333299</v>
      </c>
      <c r="F1102" s="24">
        <v>0</v>
      </c>
      <c r="G1102" s="24">
        <v>1</v>
      </c>
      <c r="H1102" s="24">
        <v>0</v>
      </c>
      <c r="I1102" s="24">
        <v>0</v>
      </c>
      <c r="J1102" s="24">
        <v>0</v>
      </c>
      <c r="K1102" s="24">
        <v>0</v>
      </c>
      <c r="L1102" s="24">
        <v>0</v>
      </c>
      <c r="M1102" s="24">
        <v>0</v>
      </c>
    </row>
    <row r="1103" spans="2:13" ht="14" x14ac:dyDescent="0.2">
      <c r="B1103" s="24">
        <v>15</v>
      </c>
      <c r="C1103" s="24">
        <v>11</v>
      </c>
      <c r="D1103" s="24">
        <v>1</v>
      </c>
      <c r="E1103" s="24">
        <v>1</v>
      </c>
      <c r="F1103" s="24">
        <v>1</v>
      </c>
      <c r="G1103" s="24">
        <v>0</v>
      </c>
      <c r="H1103" s="24">
        <v>0</v>
      </c>
      <c r="I1103" s="24">
        <v>0</v>
      </c>
      <c r="J1103" s="24">
        <v>0</v>
      </c>
      <c r="K1103" s="24">
        <v>0</v>
      </c>
      <c r="L1103" s="24">
        <v>0</v>
      </c>
      <c r="M1103" s="24">
        <v>0</v>
      </c>
    </row>
    <row r="1104" spans="2:13" ht="14" x14ac:dyDescent="0.2">
      <c r="B1104" s="24">
        <v>17</v>
      </c>
      <c r="C1104" s="24">
        <v>33</v>
      </c>
      <c r="D1104" s="24">
        <v>1</v>
      </c>
      <c r="E1104" s="24">
        <v>0.7</v>
      </c>
      <c r="F1104" s="24">
        <v>1</v>
      </c>
      <c r="G1104" s="24">
        <v>0</v>
      </c>
      <c r="H1104" s="24">
        <v>104</v>
      </c>
      <c r="I1104" s="24">
        <v>0</v>
      </c>
      <c r="J1104" s="24">
        <v>0</v>
      </c>
      <c r="K1104" s="24">
        <v>0</v>
      </c>
      <c r="L1104" s="24">
        <v>0</v>
      </c>
      <c r="M1104" s="24">
        <v>0</v>
      </c>
    </row>
    <row r="1105" spans="2:13" ht="14" x14ac:dyDescent="0.2">
      <c r="B1105" s="24">
        <v>17</v>
      </c>
      <c r="C1105" s="24">
        <v>168</v>
      </c>
      <c r="D1105" s="24">
        <v>2</v>
      </c>
      <c r="E1105" s="24">
        <v>7.9</v>
      </c>
      <c r="F1105" s="24">
        <v>0</v>
      </c>
      <c r="G1105" s="24">
        <v>1</v>
      </c>
      <c r="H1105" s="24">
        <v>0</v>
      </c>
      <c r="I1105" s="24">
        <v>0</v>
      </c>
      <c r="J1105" s="24">
        <v>0</v>
      </c>
      <c r="K1105" s="24">
        <v>1</v>
      </c>
      <c r="L1105" s="24">
        <v>0</v>
      </c>
      <c r="M1105" s="24">
        <v>1</v>
      </c>
    </row>
    <row r="1106" spans="2:13" ht="14" x14ac:dyDescent="0.2">
      <c r="B1106" s="24">
        <v>0</v>
      </c>
      <c r="C1106" s="24">
        <v>48</v>
      </c>
      <c r="D1106" s="24">
        <v>3</v>
      </c>
      <c r="E1106" s="24">
        <v>0.3</v>
      </c>
      <c r="F1106" s="24">
        <v>0</v>
      </c>
      <c r="G1106" s="24">
        <v>0</v>
      </c>
      <c r="H1106" s="24">
        <v>0</v>
      </c>
      <c r="I1106" s="24">
        <v>0</v>
      </c>
      <c r="J1106" s="24">
        <v>0</v>
      </c>
      <c r="K1106" s="24">
        <v>0</v>
      </c>
      <c r="L1106" s="24">
        <v>1</v>
      </c>
      <c r="M1106" s="24">
        <v>0</v>
      </c>
    </row>
    <row r="1107" spans="2:13" ht="14" x14ac:dyDescent="0.2">
      <c r="B1107" s="24">
        <v>10</v>
      </c>
      <c r="C1107" s="24">
        <v>23</v>
      </c>
      <c r="D1107" s="24">
        <v>4</v>
      </c>
      <c r="E1107" s="24">
        <v>0.2</v>
      </c>
      <c r="F1107" s="24">
        <v>0</v>
      </c>
      <c r="G1107" s="24">
        <v>0</v>
      </c>
      <c r="H1107" s="24">
        <v>0</v>
      </c>
      <c r="I1107" s="24">
        <v>0</v>
      </c>
      <c r="J1107" s="24">
        <v>0</v>
      </c>
      <c r="K1107" s="24">
        <v>1</v>
      </c>
      <c r="L1107" s="24">
        <v>0</v>
      </c>
      <c r="M1107" s="24">
        <v>0</v>
      </c>
    </row>
    <row r="1108" spans="2:13" ht="14" x14ac:dyDescent="0.2">
      <c r="B1108" s="24">
        <v>35</v>
      </c>
      <c r="C1108" s="24">
        <v>35</v>
      </c>
      <c r="D1108" s="24">
        <v>3</v>
      </c>
      <c r="E1108" s="24">
        <v>0.2</v>
      </c>
      <c r="F1108" s="24">
        <v>1</v>
      </c>
      <c r="G1108" s="24">
        <v>0</v>
      </c>
      <c r="H1108" s="24">
        <v>169</v>
      </c>
      <c r="I1108" s="24">
        <v>0</v>
      </c>
      <c r="J1108" s="24">
        <v>0</v>
      </c>
      <c r="K1108" s="24">
        <v>1</v>
      </c>
      <c r="L1108" s="24">
        <v>0</v>
      </c>
      <c r="M1108" s="24">
        <v>0</v>
      </c>
    </row>
    <row r="1109" spans="2:13" ht="14" x14ac:dyDescent="0.2">
      <c r="B1109" s="24">
        <v>1</v>
      </c>
      <c r="C1109" s="24">
        <v>102</v>
      </c>
      <c r="D1109" s="24">
        <v>1</v>
      </c>
      <c r="E1109" s="24">
        <v>1.9</v>
      </c>
      <c r="F1109" s="24">
        <v>1</v>
      </c>
      <c r="G1109" s="24">
        <v>0</v>
      </c>
      <c r="H1109" s="24">
        <v>0</v>
      </c>
      <c r="I1109" s="24">
        <v>0</v>
      </c>
      <c r="J1109" s="24">
        <v>0</v>
      </c>
      <c r="K1109" s="24">
        <v>0</v>
      </c>
      <c r="L1109" s="24">
        <v>0</v>
      </c>
      <c r="M1109" s="24">
        <v>0</v>
      </c>
    </row>
    <row r="1110" spans="2:13" ht="14" x14ac:dyDescent="0.2">
      <c r="B1110" s="24">
        <v>5</v>
      </c>
      <c r="C1110" s="24">
        <v>28</v>
      </c>
      <c r="D1110" s="24">
        <v>4</v>
      </c>
      <c r="E1110" s="24">
        <v>0.8</v>
      </c>
      <c r="F1110" s="24">
        <v>1</v>
      </c>
      <c r="G1110" s="24">
        <v>0</v>
      </c>
      <c r="H1110" s="24">
        <v>0</v>
      </c>
      <c r="I1110" s="24">
        <v>0</v>
      </c>
      <c r="J1110" s="24">
        <v>0</v>
      </c>
      <c r="K1110" s="24">
        <v>0</v>
      </c>
      <c r="L1110" s="24">
        <v>0</v>
      </c>
      <c r="M1110" s="24">
        <v>0</v>
      </c>
    </row>
    <row r="1111" spans="2:13" ht="14" x14ac:dyDescent="0.2">
      <c r="B1111" s="24">
        <v>4</v>
      </c>
      <c r="C1111" s="24">
        <v>155</v>
      </c>
      <c r="D1111" s="24">
        <v>1</v>
      </c>
      <c r="E1111" s="24">
        <v>6.3333333333333304</v>
      </c>
      <c r="F1111" s="24">
        <v>1</v>
      </c>
      <c r="G1111" s="24">
        <v>0</v>
      </c>
      <c r="H1111" s="24">
        <v>0</v>
      </c>
      <c r="I1111" s="24">
        <v>0</v>
      </c>
      <c r="J1111" s="24">
        <v>0</v>
      </c>
      <c r="K1111" s="24">
        <v>0</v>
      </c>
      <c r="L1111" s="24">
        <v>0</v>
      </c>
      <c r="M1111" s="24">
        <v>0</v>
      </c>
    </row>
    <row r="1112" spans="2:13" ht="14" x14ac:dyDescent="0.2">
      <c r="B1112" s="24">
        <v>1</v>
      </c>
      <c r="C1112" s="24">
        <v>80</v>
      </c>
      <c r="D1112" s="24">
        <v>1</v>
      </c>
      <c r="E1112" s="24">
        <v>0.8</v>
      </c>
      <c r="F1112" s="24">
        <v>0</v>
      </c>
      <c r="G1112" s="24">
        <v>1</v>
      </c>
      <c r="H1112" s="24">
        <v>150</v>
      </c>
      <c r="I1112" s="24">
        <v>0</v>
      </c>
      <c r="J1112" s="24">
        <v>0</v>
      </c>
      <c r="K1112" s="24">
        <v>0</v>
      </c>
      <c r="L1112" s="24">
        <v>0</v>
      </c>
      <c r="M1112" s="24">
        <v>0</v>
      </c>
    </row>
    <row r="1113" spans="2:13" ht="14" x14ac:dyDescent="0.2">
      <c r="B1113" s="24">
        <v>20</v>
      </c>
      <c r="C1113" s="24">
        <v>131</v>
      </c>
      <c r="D1113" s="24">
        <v>1</v>
      </c>
      <c r="E1113" s="24">
        <v>4.9000000000000004</v>
      </c>
      <c r="F1113" s="24">
        <v>0</v>
      </c>
      <c r="G1113" s="24">
        <v>0</v>
      </c>
      <c r="H1113" s="24">
        <v>0</v>
      </c>
      <c r="I1113" s="24">
        <v>0</v>
      </c>
      <c r="J1113" s="24">
        <v>0</v>
      </c>
      <c r="K1113" s="24">
        <v>1</v>
      </c>
      <c r="L1113" s="24">
        <v>0</v>
      </c>
      <c r="M1113" s="24">
        <v>1</v>
      </c>
    </row>
    <row r="1114" spans="2:13" ht="14" x14ac:dyDescent="0.2">
      <c r="B1114" s="24">
        <v>5</v>
      </c>
      <c r="C1114" s="24">
        <v>82</v>
      </c>
      <c r="D1114" s="24">
        <v>4</v>
      </c>
      <c r="E1114" s="24">
        <v>1.8</v>
      </c>
      <c r="F1114" s="24">
        <v>0</v>
      </c>
      <c r="G1114" s="24">
        <v>1</v>
      </c>
      <c r="H1114" s="24">
        <v>0</v>
      </c>
      <c r="I1114" s="24">
        <v>0</v>
      </c>
      <c r="J1114" s="24">
        <v>0</v>
      </c>
      <c r="K1114" s="24">
        <v>1</v>
      </c>
      <c r="L1114" s="24">
        <v>0</v>
      </c>
      <c r="M1114" s="24">
        <v>0</v>
      </c>
    </row>
    <row r="1115" spans="2:13" ht="14" x14ac:dyDescent="0.2">
      <c r="B1115" s="24">
        <v>4</v>
      </c>
      <c r="C1115" s="24">
        <v>35</v>
      </c>
      <c r="D1115" s="24">
        <v>4</v>
      </c>
      <c r="E1115" s="24">
        <v>0.8</v>
      </c>
      <c r="F1115" s="24">
        <v>1</v>
      </c>
      <c r="G1115" s="24">
        <v>0</v>
      </c>
      <c r="H1115" s="24">
        <v>0</v>
      </c>
      <c r="I1115" s="24">
        <v>0</v>
      </c>
      <c r="J1115" s="24">
        <v>0</v>
      </c>
      <c r="K1115" s="24">
        <v>1</v>
      </c>
      <c r="L1115" s="24">
        <v>1</v>
      </c>
      <c r="M1115" s="24">
        <v>0</v>
      </c>
    </row>
    <row r="1116" spans="2:13" ht="14" x14ac:dyDescent="0.2">
      <c r="B1116" s="24">
        <v>11</v>
      </c>
      <c r="C1116" s="24">
        <v>82</v>
      </c>
      <c r="D1116" s="24">
        <v>3</v>
      </c>
      <c r="E1116" s="24">
        <v>0.9</v>
      </c>
      <c r="F1116" s="24">
        <v>0</v>
      </c>
      <c r="G1116" s="24">
        <v>1</v>
      </c>
      <c r="H1116" s="24">
        <v>218</v>
      </c>
      <c r="I1116" s="24">
        <v>0</v>
      </c>
      <c r="J1116" s="24">
        <v>0</v>
      </c>
      <c r="K1116" s="24">
        <v>1</v>
      </c>
      <c r="L1116" s="24">
        <v>1</v>
      </c>
      <c r="M1116" s="24">
        <v>0</v>
      </c>
    </row>
    <row r="1117" spans="2:13" ht="14" x14ac:dyDescent="0.2">
      <c r="B1117" s="24">
        <v>2</v>
      </c>
      <c r="C1117" s="24">
        <v>55</v>
      </c>
      <c r="D1117" s="24">
        <v>4</v>
      </c>
      <c r="E1117" s="24">
        <v>1.7</v>
      </c>
      <c r="F1117" s="24">
        <v>0</v>
      </c>
      <c r="G1117" s="24">
        <v>1</v>
      </c>
      <c r="H1117" s="24">
        <v>0</v>
      </c>
      <c r="I1117" s="24">
        <v>0</v>
      </c>
      <c r="J1117" s="24">
        <v>0</v>
      </c>
      <c r="K1117" s="24">
        <v>1</v>
      </c>
      <c r="L1117" s="24">
        <v>0</v>
      </c>
      <c r="M1117" s="24">
        <v>0</v>
      </c>
    </row>
    <row r="1118" spans="2:13" ht="14" x14ac:dyDescent="0.2">
      <c r="B1118" s="24">
        <v>35</v>
      </c>
      <c r="C1118" s="24">
        <v>88</v>
      </c>
      <c r="D1118" s="24">
        <v>2</v>
      </c>
      <c r="E1118" s="24">
        <v>1.6</v>
      </c>
      <c r="F1118" s="24">
        <v>1</v>
      </c>
      <c r="G1118" s="24">
        <v>0</v>
      </c>
      <c r="H1118" s="24">
        <v>0</v>
      </c>
      <c r="I1118" s="24">
        <v>0</v>
      </c>
      <c r="J1118" s="24">
        <v>0</v>
      </c>
      <c r="K1118" s="24">
        <v>0</v>
      </c>
      <c r="L1118" s="24">
        <v>1</v>
      </c>
      <c r="M1118" s="24">
        <v>0</v>
      </c>
    </row>
    <row r="1119" spans="2:13" ht="14" x14ac:dyDescent="0.2">
      <c r="B1119" s="24">
        <v>38</v>
      </c>
      <c r="C1119" s="24">
        <v>132</v>
      </c>
      <c r="D1119" s="24">
        <v>1</v>
      </c>
      <c r="E1119" s="24">
        <v>2.9</v>
      </c>
      <c r="F1119" s="24">
        <v>1</v>
      </c>
      <c r="G1119" s="24">
        <v>0</v>
      </c>
      <c r="H1119" s="24">
        <v>0</v>
      </c>
      <c r="I1119" s="24">
        <v>0</v>
      </c>
      <c r="J1119" s="24">
        <v>0</v>
      </c>
      <c r="K1119" s="24">
        <v>0</v>
      </c>
      <c r="L1119" s="24">
        <v>0</v>
      </c>
      <c r="M1119" s="24">
        <v>0</v>
      </c>
    </row>
    <row r="1120" spans="2:13" ht="14" x14ac:dyDescent="0.2">
      <c r="B1120" s="24">
        <v>35</v>
      </c>
      <c r="C1120" s="24">
        <v>99</v>
      </c>
      <c r="D1120" s="24">
        <v>1</v>
      </c>
      <c r="E1120" s="24">
        <v>4.8</v>
      </c>
      <c r="F1120" s="24">
        <v>0</v>
      </c>
      <c r="G1120" s="24">
        <v>0</v>
      </c>
      <c r="H1120" s="24">
        <v>255</v>
      </c>
      <c r="I1120" s="24">
        <v>0</v>
      </c>
      <c r="J1120" s="24">
        <v>0</v>
      </c>
      <c r="K1120" s="24">
        <v>0</v>
      </c>
      <c r="L1120" s="24">
        <v>1</v>
      </c>
      <c r="M1120" s="24">
        <v>1</v>
      </c>
    </row>
    <row r="1121" spans="2:13" ht="14" x14ac:dyDescent="0.2">
      <c r="B1121" s="24">
        <v>40</v>
      </c>
      <c r="C1121" s="24">
        <v>114</v>
      </c>
      <c r="D1121" s="24">
        <v>4</v>
      </c>
      <c r="E1121" s="24">
        <v>3.4</v>
      </c>
      <c r="F1121" s="24">
        <v>0</v>
      </c>
      <c r="G1121" s="24">
        <v>1</v>
      </c>
      <c r="H1121" s="24">
        <v>0</v>
      </c>
      <c r="I1121" s="24">
        <v>0</v>
      </c>
      <c r="J1121" s="24">
        <v>0</v>
      </c>
      <c r="K1121" s="24">
        <v>0</v>
      </c>
      <c r="L1121" s="24">
        <v>1</v>
      </c>
      <c r="M1121" s="24">
        <v>0</v>
      </c>
    </row>
    <row r="1122" spans="2:13" ht="14" x14ac:dyDescent="0.2">
      <c r="B1122" s="24">
        <v>8</v>
      </c>
      <c r="C1122" s="24">
        <v>38</v>
      </c>
      <c r="D1122" s="24">
        <v>4</v>
      </c>
      <c r="E1122" s="24">
        <v>1</v>
      </c>
      <c r="F1122" s="24">
        <v>0</v>
      </c>
      <c r="G1122" s="24">
        <v>1</v>
      </c>
      <c r="H1122" s="24">
        <v>0</v>
      </c>
      <c r="I1122" s="24">
        <v>0</v>
      </c>
      <c r="J1122" s="24">
        <v>0</v>
      </c>
      <c r="K1122" s="24">
        <v>1</v>
      </c>
      <c r="L1122" s="24">
        <v>0</v>
      </c>
      <c r="M1122" s="24">
        <v>0</v>
      </c>
    </row>
    <row r="1123" spans="2:13" ht="14" x14ac:dyDescent="0.2">
      <c r="B1123" s="24">
        <v>5</v>
      </c>
      <c r="C1123" s="24">
        <v>85</v>
      </c>
      <c r="D1123" s="24">
        <v>1</v>
      </c>
      <c r="E1123" s="24">
        <v>2.6</v>
      </c>
      <c r="F1123" s="24">
        <v>0</v>
      </c>
      <c r="G1123" s="24">
        <v>1</v>
      </c>
      <c r="H1123" s="24">
        <v>0</v>
      </c>
      <c r="I1123" s="24">
        <v>0</v>
      </c>
      <c r="J1123" s="24">
        <v>0</v>
      </c>
      <c r="K1123" s="24">
        <v>1</v>
      </c>
      <c r="L1123" s="24">
        <v>0</v>
      </c>
      <c r="M1123" s="24">
        <v>0</v>
      </c>
    </row>
    <row r="1124" spans="2:13" ht="14" x14ac:dyDescent="0.2">
      <c r="B1124" s="24">
        <v>29</v>
      </c>
      <c r="C1124" s="24">
        <v>65</v>
      </c>
      <c r="D1124" s="24">
        <v>4</v>
      </c>
      <c r="E1124" s="24">
        <v>1.8</v>
      </c>
      <c r="F1124" s="24">
        <v>0</v>
      </c>
      <c r="G1124" s="24">
        <v>0</v>
      </c>
      <c r="H1124" s="24">
        <v>0</v>
      </c>
      <c r="I1124" s="24">
        <v>0</v>
      </c>
      <c r="J1124" s="24">
        <v>0</v>
      </c>
      <c r="K1124" s="24">
        <v>0</v>
      </c>
      <c r="L1124" s="24">
        <v>1</v>
      </c>
      <c r="M1124" s="24">
        <v>0</v>
      </c>
    </row>
    <row r="1125" spans="2:13" ht="14" x14ac:dyDescent="0.2">
      <c r="B1125" s="24">
        <v>37</v>
      </c>
      <c r="C1125" s="24">
        <v>20</v>
      </c>
      <c r="D1125" s="24">
        <v>1</v>
      </c>
      <c r="E1125" s="24">
        <v>0.8</v>
      </c>
      <c r="F1125" s="24">
        <v>0</v>
      </c>
      <c r="G1125" s="24">
        <v>1</v>
      </c>
      <c r="H1125" s="24">
        <v>0</v>
      </c>
      <c r="I1125" s="24">
        <v>1</v>
      </c>
      <c r="J1125" s="24">
        <v>0</v>
      </c>
      <c r="K1125" s="24">
        <v>0</v>
      </c>
      <c r="L1125" s="24">
        <v>1</v>
      </c>
      <c r="M1125" s="24">
        <v>0</v>
      </c>
    </row>
    <row r="1126" spans="2:13" ht="14" x14ac:dyDescent="0.2">
      <c r="B1126" s="24">
        <v>27</v>
      </c>
      <c r="C1126" s="24">
        <v>43</v>
      </c>
      <c r="D1126" s="24">
        <v>3</v>
      </c>
      <c r="E1126" s="24">
        <v>1</v>
      </c>
      <c r="F1126" s="24">
        <v>0</v>
      </c>
      <c r="G1126" s="24">
        <v>1</v>
      </c>
      <c r="H1126" s="24">
        <v>169</v>
      </c>
      <c r="I1126" s="24">
        <v>0</v>
      </c>
      <c r="J1126" s="24">
        <v>0</v>
      </c>
      <c r="K1126" s="24">
        <v>0</v>
      </c>
      <c r="L1126" s="24">
        <v>0</v>
      </c>
      <c r="M1126" s="24">
        <v>0</v>
      </c>
    </row>
    <row r="1127" spans="2:13" ht="14" x14ac:dyDescent="0.2">
      <c r="B1127" s="24">
        <v>34</v>
      </c>
      <c r="C1127" s="24">
        <v>25</v>
      </c>
      <c r="D1127" s="24">
        <v>2</v>
      </c>
      <c r="E1127" s="24">
        <v>0.3</v>
      </c>
      <c r="F1127" s="24">
        <v>1</v>
      </c>
      <c r="G1127" s="24">
        <v>0</v>
      </c>
      <c r="H1127" s="24">
        <v>123</v>
      </c>
      <c r="I1127" s="24">
        <v>0</v>
      </c>
      <c r="J1127" s="24">
        <v>0</v>
      </c>
      <c r="K1127" s="24">
        <v>1</v>
      </c>
      <c r="L1127" s="24">
        <v>0</v>
      </c>
      <c r="M1127" s="24">
        <v>0</v>
      </c>
    </row>
    <row r="1128" spans="2:13" ht="14" x14ac:dyDescent="0.2">
      <c r="B1128" s="24">
        <v>14</v>
      </c>
      <c r="C1128" s="24">
        <v>54</v>
      </c>
      <c r="D1128" s="24">
        <v>2</v>
      </c>
      <c r="E1128" s="24">
        <v>0.7</v>
      </c>
      <c r="F1128" s="24">
        <v>1</v>
      </c>
      <c r="G1128" s="24">
        <v>0</v>
      </c>
      <c r="H1128" s="24">
        <v>0</v>
      </c>
      <c r="I1128" s="24">
        <v>0</v>
      </c>
      <c r="J1128" s="24">
        <v>0</v>
      </c>
      <c r="K1128" s="24">
        <v>0</v>
      </c>
      <c r="L1128" s="24">
        <v>0</v>
      </c>
      <c r="M1128" s="24">
        <v>0</v>
      </c>
    </row>
    <row r="1129" spans="2:13" ht="14" x14ac:dyDescent="0.2">
      <c r="B1129" s="24">
        <v>36</v>
      </c>
      <c r="C1129" s="24">
        <v>141</v>
      </c>
      <c r="D1129" s="24">
        <v>2</v>
      </c>
      <c r="E1129" s="24">
        <v>2.1</v>
      </c>
      <c r="F1129" s="24">
        <v>1</v>
      </c>
      <c r="G1129" s="24">
        <v>0</v>
      </c>
      <c r="H1129" s="24">
        <v>0</v>
      </c>
      <c r="I1129" s="24">
        <v>0</v>
      </c>
      <c r="J1129" s="24">
        <v>0</v>
      </c>
      <c r="K1129" s="24">
        <v>1</v>
      </c>
      <c r="L1129" s="24">
        <v>1</v>
      </c>
      <c r="M1129" s="24">
        <v>0</v>
      </c>
    </row>
    <row r="1130" spans="2:13" ht="14" x14ac:dyDescent="0.2">
      <c r="B1130" s="24">
        <v>32</v>
      </c>
      <c r="C1130" s="24">
        <v>38</v>
      </c>
      <c r="D1130" s="24">
        <v>1</v>
      </c>
      <c r="E1130" s="24">
        <v>2.2000000000000002</v>
      </c>
      <c r="F1130" s="24">
        <v>0</v>
      </c>
      <c r="G1130" s="24">
        <v>0</v>
      </c>
      <c r="H1130" s="24">
        <v>0</v>
      </c>
      <c r="I1130" s="24">
        <v>0</v>
      </c>
      <c r="J1130" s="24">
        <v>0</v>
      </c>
      <c r="K1130" s="24">
        <v>0</v>
      </c>
      <c r="L1130" s="24">
        <v>0</v>
      </c>
      <c r="M1130" s="24">
        <v>0</v>
      </c>
    </row>
    <row r="1131" spans="2:13" ht="14" x14ac:dyDescent="0.2">
      <c r="B1131" s="24">
        <v>16</v>
      </c>
      <c r="C1131" s="24">
        <v>111</v>
      </c>
      <c r="D1131" s="24">
        <v>2</v>
      </c>
      <c r="E1131" s="24">
        <v>0.4</v>
      </c>
      <c r="F1131" s="24">
        <v>1</v>
      </c>
      <c r="G1131" s="24">
        <v>0</v>
      </c>
      <c r="H1131" s="24">
        <v>0</v>
      </c>
      <c r="I1131" s="24">
        <v>0</v>
      </c>
      <c r="J1131" s="24">
        <v>0</v>
      </c>
      <c r="K1131" s="24">
        <v>0</v>
      </c>
      <c r="L1131" s="24">
        <v>0</v>
      </c>
      <c r="M1131" s="24">
        <v>0</v>
      </c>
    </row>
    <row r="1132" spans="2:13" ht="14" x14ac:dyDescent="0.2">
      <c r="B1132" s="24">
        <v>28</v>
      </c>
      <c r="C1132" s="24">
        <v>60</v>
      </c>
      <c r="D1132" s="24">
        <v>4</v>
      </c>
      <c r="E1132" s="24">
        <v>2.6</v>
      </c>
      <c r="F1132" s="24">
        <v>0</v>
      </c>
      <c r="G1132" s="24">
        <v>0</v>
      </c>
      <c r="H1132" s="24">
        <v>0</v>
      </c>
      <c r="I1132" s="24">
        <v>0</v>
      </c>
      <c r="J1132" s="24">
        <v>0</v>
      </c>
      <c r="K1132" s="24">
        <v>0</v>
      </c>
      <c r="L1132" s="24">
        <v>0</v>
      </c>
      <c r="M1132" s="24">
        <v>0</v>
      </c>
    </row>
    <row r="1133" spans="2:13" ht="14" x14ac:dyDescent="0.2">
      <c r="B1133" s="24">
        <v>28</v>
      </c>
      <c r="C1133" s="24">
        <v>93</v>
      </c>
      <c r="D1133" s="24">
        <v>1</v>
      </c>
      <c r="E1133" s="24">
        <v>4.9000000000000004</v>
      </c>
      <c r="F1133" s="24">
        <v>1</v>
      </c>
      <c r="G1133" s="24">
        <v>0</v>
      </c>
      <c r="H1133" s="24">
        <v>133</v>
      </c>
      <c r="I1133" s="24">
        <v>0</v>
      </c>
      <c r="J1133" s="24">
        <v>1</v>
      </c>
      <c r="K1133" s="24">
        <v>1</v>
      </c>
      <c r="L1133" s="24">
        <v>1</v>
      </c>
      <c r="M1133" s="24">
        <v>0</v>
      </c>
    </row>
    <row r="1134" spans="2:13" ht="14" x14ac:dyDescent="0.2">
      <c r="B1134" s="24">
        <v>19</v>
      </c>
      <c r="C1134" s="24">
        <v>125</v>
      </c>
      <c r="D1134" s="24">
        <v>3</v>
      </c>
      <c r="E1134" s="24">
        <v>2.4</v>
      </c>
      <c r="F1134" s="24">
        <v>1</v>
      </c>
      <c r="G1134" s="24">
        <v>0</v>
      </c>
      <c r="H1134" s="24">
        <v>0</v>
      </c>
      <c r="I1134" s="24">
        <v>0</v>
      </c>
      <c r="J1134" s="24">
        <v>0</v>
      </c>
      <c r="K1134" s="24">
        <v>1</v>
      </c>
      <c r="L1134" s="24">
        <v>0</v>
      </c>
      <c r="M1134" s="24">
        <v>1</v>
      </c>
    </row>
    <row r="1135" spans="2:13" ht="14" x14ac:dyDescent="0.2">
      <c r="B1135" s="24">
        <v>25</v>
      </c>
      <c r="C1135" s="24">
        <v>29</v>
      </c>
      <c r="D1135" s="24">
        <v>2</v>
      </c>
      <c r="E1135" s="24">
        <v>1.3</v>
      </c>
      <c r="F1135" s="24">
        <v>1</v>
      </c>
      <c r="G1135" s="24">
        <v>0</v>
      </c>
      <c r="H1135" s="24">
        <v>0</v>
      </c>
      <c r="I1135" s="24">
        <v>0</v>
      </c>
      <c r="J1135" s="24">
        <v>0</v>
      </c>
      <c r="K1135" s="24">
        <v>0</v>
      </c>
      <c r="L1135" s="24">
        <v>0</v>
      </c>
      <c r="M1135" s="24">
        <v>0</v>
      </c>
    </row>
    <row r="1136" spans="2:13" ht="14" x14ac:dyDescent="0.2">
      <c r="B1136" s="24">
        <v>28</v>
      </c>
      <c r="C1136" s="24">
        <v>79</v>
      </c>
      <c r="D1136" s="24">
        <v>3</v>
      </c>
      <c r="E1136" s="24">
        <v>1.7</v>
      </c>
      <c r="F1136" s="24">
        <v>0</v>
      </c>
      <c r="G1136" s="24">
        <v>1</v>
      </c>
      <c r="H1136" s="24">
        <v>150</v>
      </c>
      <c r="I1136" s="24">
        <v>0</v>
      </c>
      <c r="J1136" s="24">
        <v>0</v>
      </c>
      <c r="K1136" s="24">
        <v>1</v>
      </c>
      <c r="L1136" s="24">
        <v>1</v>
      </c>
      <c r="M1136" s="24">
        <v>0</v>
      </c>
    </row>
    <row r="1137" spans="2:13" ht="14" x14ac:dyDescent="0.2">
      <c r="B1137" s="24">
        <v>27</v>
      </c>
      <c r="C1137" s="24">
        <v>101</v>
      </c>
      <c r="D1137" s="24">
        <v>4</v>
      </c>
      <c r="E1137" s="24">
        <v>4.9000000000000004</v>
      </c>
      <c r="F1137" s="24">
        <v>1</v>
      </c>
      <c r="G1137" s="24">
        <v>0</v>
      </c>
      <c r="H1137" s="24">
        <v>0</v>
      </c>
      <c r="I1137" s="24">
        <v>0</v>
      </c>
      <c r="J1137" s="24">
        <v>0</v>
      </c>
      <c r="K1137" s="24">
        <v>1</v>
      </c>
      <c r="L1137" s="24">
        <v>0</v>
      </c>
      <c r="M1137" s="24">
        <v>0</v>
      </c>
    </row>
    <row r="1138" spans="2:13" ht="14" x14ac:dyDescent="0.2">
      <c r="B1138" s="24">
        <v>23</v>
      </c>
      <c r="C1138" s="24">
        <v>12</v>
      </c>
      <c r="D1138" s="24">
        <v>2</v>
      </c>
      <c r="E1138" s="24">
        <v>0.1</v>
      </c>
      <c r="F1138" s="24">
        <v>0</v>
      </c>
      <c r="G1138" s="24">
        <v>0</v>
      </c>
      <c r="H1138" s="24">
        <v>0</v>
      </c>
      <c r="I1138" s="24">
        <v>1</v>
      </c>
      <c r="J1138" s="24">
        <v>1</v>
      </c>
      <c r="K1138" s="24">
        <v>1</v>
      </c>
      <c r="L1138" s="24">
        <v>0</v>
      </c>
      <c r="M1138" s="24">
        <v>0</v>
      </c>
    </row>
    <row r="1139" spans="2:13" ht="14" x14ac:dyDescent="0.2">
      <c r="B1139" s="24">
        <v>39</v>
      </c>
      <c r="C1139" s="24">
        <v>113</v>
      </c>
      <c r="D1139" s="24">
        <v>1</v>
      </c>
      <c r="E1139" s="24">
        <v>2</v>
      </c>
      <c r="F1139" s="24">
        <v>1</v>
      </c>
      <c r="G1139" s="24">
        <v>0</v>
      </c>
      <c r="H1139" s="24">
        <v>0</v>
      </c>
      <c r="I1139" s="24">
        <v>0</v>
      </c>
      <c r="J1139" s="24">
        <v>0</v>
      </c>
      <c r="K1139" s="24">
        <v>1</v>
      </c>
      <c r="L1139" s="24">
        <v>1</v>
      </c>
      <c r="M1139" s="24">
        <v>0</v>
      </c>
    </row>
    <row r="1140" spans="2:13" ht="14" x14ac:dyDescent="0.2">
      <c r="B1140" s="24">
        <v>8</v>
      </c>
      <c r="C1140" s="24">
        <v>71</v>
      </c>
      <c r="D1140" s="24">
        <v>4</v>
      </c>
      <c r="E1140" s="24">
        <v>1.8</v>
      </c>
      <c r="F1140" s="24">
        <v>0</v>
      </c>
      <c r="G1140" s="24">
        <v>0</v>
      </c>
      <c r="H1140" s="24">
        <v>0</v>
      </c>
      <c r="I1140" s="24">
        <v>0</v>
      </c>
      <c r="J1140" s="24">
        <v>0</v>
      </c>
      <c r="K1140" s="24">
        <v>1</v>
      </c>
      <c r="L1140" s="24">
        <v>0</v>
      </c>
      <c r="M1140" s="24">
        <v>0</v>
      </c>
    </row>
    <row r="1141" spans="2:13" ht="14" x14ac:dyDescent="0.2">
      <c r="B1141" s="24">
        <v>39</v>
      </c>
      <c r="C1141" s="24">
        <v>150</v>
      </c>
      <c r="D1141" s="24">
        <v>2</v>
      </c>
      <c r="E1141" s="24">
        <v>6.9</v>
      </c>
      <c r="F1141" s="24">
        <v>1</v>
      </c>
      <c r="G1141" s="24">
        <v>0</v>
      </c>
      <c r="H1141" s="24">
        <v>196</v>
      </c>
      <c r="I1141" s="24">
        <v>0</v>
      </c>
      <c r="J1141" s="24">
        <v>0</v>
      </c>
      <c r="K1141" s="24">
        <v>0</v>
      </c>
      <c r="L1141" s="24">
        <v>0</v>
      </c>
      <c r="M1141" s="24">
        <v>0</v>
      </c>
    </row>
    <row r="1142" spans="2:13" ht="14" x14ac:dyDescent="0.2">
      <c r="B1142" s="24">
        <v>35</v>
      </c>
      <c r="C1142" s="24">
        <v>59</v>
      </c>
      <c r="D1142" s="24">
        <v>4</v>
      </c>
      <c r="E1142" s="24">
        <v>1.2</v>
      </c>
      <c r="F1142" s="24">
        <v>0</v>
      </c>
      <c r="G1142" s="24">
        <v>1</v>
      </c>
      <c r="H1142" s="24">
        <v>0</v>
      </c>
      <c r="I1142" s="24">
        <v>0</v>
      </c>
      <c r="J1142" s="24">
        <v>0</v>
      </c>
      <c r="K1142" s="24">
        <v>1</v>
      </c>
      <c r="L1142" s="24">
        <v>0</v>
      </c>
      <c r="M1142" s="24">
        <v>0</v>
      </c>
    </row>
    <row r="1143" spans="2:13" ht="14" x14ac:dyDescent="0.2">
      <c r="B1143" s="24">
        <v>19</v>
      </c>
      <c r="C1143" s="24">
        <v>73</v>
      </c>
      <c r="D1143" s="24">
        <v>4</v>
      </c>
      <c r="E1143" s="24">
        <v>2.9</v>
      </c>
      <c r="F1143" s="24">
        <v>1</v>
      </c>
      <c r="G1143" s="24">
        <v>0</v>
      </c>
      <c r="H1143" s="24">
        <v>0</v>
      </c>
      <c r="I1143" s="24">
        <v>0</v>
      </c>
      <c r="J1143" s="24">
        <v>0</v>
      </c>
      <c r="K1143" s="24">
        <v>0</v>
      </c>
      <c r="L1143" s="24">
        <v>0</v>
      </c>
      <c r="M1143" s="24">
        <v>0</v>
      </c>
    </row>
    <row r="1144" spans="2:13" ht="14" x14ac:dyDescent="0.2">
      <c r="B1144" s="24">
        <v>8</v>
      </c>
      <c r="C1144" s="24">
        <v>64</v>
      </c>
      <c r="D1144" s="24">
        <v>4</v>
      </c>
      <c r="E1144" s="24">
        <v>2.1</v>
      </c>
      <c r="F1144" s="24">
        <v>0</v>
      </c>
      <c r="G1144" s="24">
        <v>0</v>
      </c>
      <c r="H1144" s="24">
        <v>164</v>
      </c>
      <c r="I1144" s="24">
        <v>0</v>
      </c>
      <c r="J1144" s="24">
        <v>0</v>
      </c>
      <c r="K1144" s="24">
        <v>1</v>
      </c>
      <c r="L1144" s="24">
        <v>0</v>
      </c>
      <c r="M1144" s="24">
        <v>0</v>
      </c>
    </row>
    <row r="1145" spans="2:13" ht="14" x14ac:dyDescent="0.2">
      <c r="B1145" s="24">
        <v>30</v>
      </c>
      <c r="C1145" s="24">
        <v>40</v>
      </c>
      <c r="D1145" s="24">
        <v>2</v>
      </c>
      <c r="E1145" s="24">
        <v>1</v>
      </c>
      <c r="F1145" s="24">
        <v>0</v>
      </c>
      <c r="G1145" s="24">
        <v>0</v>
      </c>
      <c r="H1145" s="24">
        <v>0</v>
      </c>
      <c r="I1145" s="24">
        <v>0</v>
      </c>
      <c r="J1145" s="24">
        <v>0</v>
      </c>
      <c r="K1145" s="24">
        <v>0</v>
      </c>
      <c r="L1145" s="24">
        <v>0</v>
      </c>
      <c r="M1145" s="24">
        <v>0</v>
      </c>
    </row>
    <row r="1146" spans="2:13" ht="14" x14ac:dyDescent="0.2">
      <c r="B1146" s="24">
        <v>18</v>
      </c>
      <c r="C1146" s="24">
        <v>43</v>
      </c>
      <c r="D1146" s="24">
        <v>1</v>
      </c>
      <c r="E1146" s="24">
        <v>0.7</v>
      </c>
      <c r="F1146" s="24">
        <v>1</v>
      </c>
      <c r="G1146" s="24">
        <v>0</v>
      </c>
      <c r="H1146" s="24">
        <v>136</v>
      </c>
      <c r="I1146" s="24">
        <v>0</v>
      </c>
      <c r="J1146" s="24">
        <v>0</v>
      </c>
      <c r="K1146" s="24">
        <v>0</v>
      </c>
      <c r="L1146" s="24">
        <v>0</v>
      </c>
      <c r="M1146" s="24">
        <v>0</v>
      </c>
    </row>
    <row r="1147" spans="2:13" ht="14" x14ac:dyDescent="0.2">
      <c r="B1147" s="24">
        <v>12</v>
      </c>
      <c r="C1147" s="24">
        <v>48</v>
      </c>
      <c r="D1147" s="24">
        <v>4</v>
      </c>
      <c r="E1147" s="24">
        <v>0.2</v>
      </c>
      <c r="F1147" s="24">
        <v>0</v>
      </c>
      <c r="G1147" s="24">
        <v>0</v>
      </c>
      <c r="H1147" s="24">
        <v>0</v>
      </c>
      <c r="I1147" s="24">
        <v>0</v>
      </c>
      <c r="J1147" s="24">
        <v>0</v>
      </c>
      <c r="K1147" s="24">
        <v>1</v>
      </c>
      <c r="L1147" s="24">
        <v>0</v>
      </c>
      <c r="M1147" s="24">
        <v>0</v>
      </c>
    </row>
    <row r="1148" spans="2:13" ht="14" x14ac:dyDescent="0.2">
      <c r="B1148" s="24">
        <v>28</v>
      </c>
      <c r="C1148" s="24">
        <v>65</v>
      </c>
      <c r="D1148" s="24">
        <v>1</v>
      </c>
      <c r="E1148" s="24">
        <v>0.2</v>
      </c>
      <c r="F1148" s="24">
        <v>1</v>
      </c>
      <c r="G1148" s="24">
        <v>0</v>
      </c>
      <c r="H1148" s="24">
        <v>0</v>
      </c>
      <c r="I1148" s="24">
        <v>0</v>
      </c>
      <c r="J1148" s="24">
        <v>0</v>
      </c>
      <c r="K1148" s="24">
        <v>0</v>
      </c>
      <c r="L1148" s="24">
        <v>1</v>
      </c>
      <c r="M1148" s="24">
        <v>0</v>
      </c>
    </row>
    <row r="1149" spans="2:13" ht="14" x14ac:dyDescent="0.2">
      <c r="B1149" s="24">
        <v>19</v>
      </c>
      <c r="C1149" s="24">
        <v>35</v>
      </c>
      <c r="D1149" s="24">
        <v>3</v>
      </c>
      <c r="E1149" s="24">
        <v>0.5</v>
      </c>
      <c r="F1149" s="24">
        <v>1</v>
      </c>
      <c r="G1149" s="24">
        <v>0</v>
      </c>
      <c r="H1149" s="24">
        <v>0</v>
      </c>
      <c r="I1149" s="24">
        <v>0</v>
      </c>
      <c r="J1149" s="24">
        <v>0</v>
      </c>
      <c r="K1149" s="24">
        <v>1</v>
      </c>
      <c r="L1149" s="24">
        <v>0</v>
      </c>
      <c r="M1149" s="24">
        <v>0</v>
      </c>
    </row>
    <row r="1150" spans="2:13" ht="14" x14ac:dyDescent="0.2">
      <c r="B1150" s="24">
        <v>18</v>
      </c>
      <c r="C1150" s="24">
        <v>85</v>
      </c>
      <c r="D1150" s="24">
        <v>1</v>
      </c>
      <c r="E1150" s="24">
        <v>3.7</v>
      </c>
      <c r="F1150" s="24">
        <v>0</v>
      </c>
      <c r="G1150" s="24">
        <v>0</v>
      </c>
      <c r="H1150" s="24">
        <v>327</v>
      </c>
      <c r="I1150" s="24">
        <v>1</v>
      </c>
      <c r="J1150" s="24">
        <v>0</v>
      </c>
      <c r="K1150" s="24">
        <v>1</v>
      </c>
      <c r="L1150" s="24">
        <v>0</v>
      </c>
      <c r="M1150" s="24">
        <v>0</v>
      </c>
    </row>
    <row r="1151" spans="2:13" ht="14" x14ac:dyDescent="0.2">
      <c r="B1151" s="24">
        <v>5</v>
      </c>
      <c r="C1151" s="24">
        <v>85</v>
      </c>
      <c r="D1151" s="24">
        <v>4</v>
      </c>
      <c r="E1151" s="24">
        <v>4</v>
      </c>
      <c r="F1151" s="24">
        <v>0</v>
      </c>
      <c r="G1151" s="24">
        <v>0</v>
      </c>
      <c r="H1151" s="24">
        <v>0</v>
      </c>
      <c r="I1151" s="24">
        <v>0</v>
      </c>
      <c r="J1151" s="24">
        <v>0</v>
      </c>
      <c r="K1151" s="24">
        <v>1</v>
      </c>
      <c r="L1151" s="24">
        <v>0</v>
      </c>
      <c r="M1151" s="24">
        <v>0</v>
      </c>
    </row>
    <row r="1152" spans="2:13" ht="14" x14ac:dyDescent="0.2">
      <c r="B1152" s="24">
        <v>34</v>
      </c>
      <c r="C1152" s="24">
        <v>22</v>
      </c>
      <c r="D1152" s="24">
        <v>3</v>
      </c>
      <c r="E1152" s="24">
        <v>0.3</v>
      </c>
      <c r="F1152" s="24">
        <v>0</v>
      </c>
      <c r="G1152" s="24">
        <v>0</v>
      </c>
      <c r="H1152" s="24">
        <v>139</v>
      </c>
      <c r="I1152" s="24">
        <v>0</v>
      </c>
      <c r="J1152" s="24">
        <v>0</v>
      </c>
      <c r="K1152" s="24">
        <v>1</v>
      </c>
      <c r="L1152" s="24">
        <v>1</v>
      </c>
      <c r="M1152" s="24">
        <v>0</v>
      </c>
    </row>
    <row r="1153" spans="2:13" ht="14" x14ac:dyDescent="0.2">
      <c r="B1153" s="24">
        <v>9</v>
      </c>
      <c r="C1153" s="24">
        <v>123</v>
      </c>
      <c r="D1153" s="24">
        <v>1</v>
      </c>
      <c r="E1153" s="24">
        <v>1.6</v>
      </c>
      <c r="F1153" s="24">
        <v>0</v>
      </c>
      <c r="G1153" s="24">
        <v>1</v>
      </c>
      <c r="H1153" s="24">
        <v>0</v>
      </c>
      <c r="I1153" s="24">
        <v>0</v>
      </c>
      <c r="J1153" s="24">
        <v>0</v>
      </c>
      <c r="K1153" s="24">
        <v>1</v>
      </c>
      <c r="L1153" s="24">
        <v>0</v>
      </c>
      <c r="M1153" s="24">
        <v>1</v>
      </c>
    </row>
    <row r="1154" spans="2:13" ht="14" x14ac:dyDescent="0.2">
      <c r="B1154" s="24">
        <v>17</v>
      </c>
      <c r="C1154" s="24">
        <v>90</v>
      </c>
      <c r="D1154" s="24">
        <v>1</v>
      </c>
      <c r="E1154" s="24">
        <v>0.1</v>
      </c>
      <c r="F1154" s="24">
        <v>0</v>
      </c>
      <c r="G1154" s="24">
        <v>1</v>
      </c>
      <c r="H1154" s="24">
        <v>0</v>
      </c>
      <c r="I1154" s="24">
        <v>0</v>
      </c>
      <c r="J1154" s="24">
        <v>0</v>
      </c>
      <c r="K1154" s="24">
        <v>0</v>
      </c>
      <c r="L1154" s="24">
        <v>1</v>
      </c>
      <c r="M1154" s="24">
        <v>0</v>
      </c>
    </row>
    <row r="1155" spans="2:13" ht="14" x14ac:dyDescent="0.2">
      <c r="B1155" s="24">
        <v>33</v>
      </c>
      <c r="C1155" s="24">
        <v>80</v>
      </c>
      <c r="D1155" s="24">
        <v>2</v>
      </c>
      <c r="E1155" s="24">
        <v>0.7</v>
      </c>
      <c r="F1155" s="24">
        <v>0</v>
      </c>
      <c r="G1155" s="24">
        <v>1</v>
      </c>
      <c r="H1155" s="24">
        <v>0</v>
      </c>
      <c r="I1155" s="24">
        <v>0</v>
      </c>
      <c r="J1155" s="24">
        <v>0</v>
      </c>
      <c r="K1155" s="24">
        <v>1</v>
      </c>
      <c r="L1155" s="24">
        <v>0</v>
      </c>
      <c r="M1155" s="24">
        <v>0</v>
      </c>
    </row>
    <row r="1156" spans="2:13" ht="14" x14ac:dyDescent="0.2">
      <c r="B1156" s="24">
        <v>13</v>
      </c>
      <c r="C1156" s="24">
        <v>50</v>
      </c>
      <c r="D1156" s="24">
        <v>3</v>
      </c>
      <c r="E1156" s="24">
        <v>0.5</v>
      </c>
      <c r="F1156" s="24">
        <v>0</v>
      </c>
      <c r="G1156" s="24">
        <v>0</v>
      </c>
      <c r="H1156" s="24">
        <v>0</v>
      </c>
      <c r="I1156" s="24">
        <v>0</v>
      </c>
      <c r="J1156" s="24">
        <v>0</v>
      </c>
      <c r="K1156" s="24">
        <v>0</v>
      </c>
      <c r="L1156" s="24">
        <v>0</v>
      </c>
      <c r="M1156" s="24">
        <v>0</v>
      </c>
    </row>
    <row r="1157" spans="2:13" ht="14" x14ac:dyDescent="0.2">
      <c r="B1157" s="24">
        <v>1</v>
      </c>
      <c r="C1157" s="24">
        <v>28</v>
      </c>
      <c r="D1157" s="24">
        <v>1</v>
      </c>
      <c r="E1157" s="24">
        <v>1</v>
      </c>
      <c r="F1157" s="24">
        <v>0</v>
      </c>
      <c r="G1157" s="24">
        <v>0</v>
      </c>
      <c r="H1157" s="24">
        <v>0</v>
      </c>
      <c r="I1157" s="24">
        <v>0</v>
      </c>
      <c r="J1157" s="24">
        <v>0</v>
      </c>
      <c r="K1157" s="24">
        <v>1</v>
      </c>
      <c r="L1157" s="24">
        <v>0</v>
      </c>
      <c r="M1157" s="24">
        <v>0</v>
      </c>
    </row>
    <row r="1158" spans="2:13" ht="14" x14ac:dyDescent="0.2">
      <c r="B1158" s="24">
        <v>39</v>
      </c>
      <c r="C1158" s="24">
        <v>170</v>
      </c>
      <c r="D1158" s="24">
        <v>3</v>
      </c>
      <c r="E1158" s="24">
        <v>7.9</v>
      </c>
      <c r="F1158" s="24">
        <v>0</v>
      </c>
      <c r="G1158" s="24">
        <v>0</v>
      </c>
      <c r="H1158" s="24">
        <v>99</v>
      </c>
      <c r="I1158" s="24">
        <v>0</v>
      </c>
      <c r="J1158" s="24">
        <v>1</v>
      </c>
      <c r="K1158" s="24">
        <v>1</v>
      </c>
      <c r="L1158" s="24">
        <v>0</v>
      </c>
      <c r="M1158" s="24">
        <v>1</v>
      </c>
    </row>
    <row r="1159" spans="2:13" ht="14" x14ac:dyDescent="0.2">
      <c r="B1159" s="24">
        <v>18</v>
      </c>
      <c r="C1159" s="24">
        <v>31</v>
      </c>
      <c r="D1159" s="24">
        <v>1</v>
      </c>
      <c r="E1159" s="24">
        <v>0.3</v>
      </c>
      <c r="F1159" s="24">
        <v>0</v>
      </c>
      <c r="G1159" s="24">
        <v>0</v>
      </c>
      <c r="H1159" s="24">
        <v>0</v>
      </c>
      <c r="I1159" s="24">
        <v>0</v>
      </c>
      <c r="J1159" s="24">
        <v>0</v>
      </c>
      <c r="K1159" s="24">
        <v>0</v>
      </c>
      <c r="L1159" s="24">
        <v>1</v>
      </c>
      <c r="M1159" s="24">
        <v>0</v>
      </c>
    </row>
    <row r="1160" spans="2:13" ht="14" x14ac:dyDescent="0.2">
      <c r="B1160" s="24">
        <v>20</v>
      </c>
      <c r="C1160" s="24">
        <v>85</v>
      </c>
      <c r="D1160" s="24">
        <v>4</v>
      </c>
      <c r="E1160" s="24">
        <v>1.1000000000000001</v>
      </c>
      <c r="F1160" s="24">
        <v>0</v>
      </c>
      <c r="G1160" s="24">
        <v>1</v>
      </c>
      <c r="H1160" s="24">
        <v>0</v>
      </c>
      <c r="I1160" s="24">
        <v>1</v>
      </c>
      <c r="J1160" s="24">
        <v>0</v>
      </c>
      <c r="K1160" s="24">
        <v>1</v>
      </c>
      <c r="L1160" s="24">
        <v>0</v>
      </c>
      <c r="M1160" s="24">
        <v>0</v>
      </c>
    </row>
    <row r="1161" spans="2:13" ht="14" x14ac:dyDescent="0.2">
      <c r="B1161" s="24">
        <v>21</v>
      </c>
      <c r="C1161" s="24">
        <v>69</v>
      </c>
      <c r="D1161" s="24">
        <v>4</v>
      </c>
      <c r="E1161" s="24">
        <v>1.9</v>
      </c>
      <c r="F1161" s="24">
        <v>1</v>
      </c>
      <c r="G1161" s="24">
        <v>0</v>
      </c>
      <c r="H1161" s="24">
        <v>0</v>
      </c>
      <c r="I1161" s="24">
        <v>0</v>
      </c>
      <c r="J1161" s="24">
        <v>0</v>
      </c>
      <c r="K1161" s="24">
        <v>0</v>
      </c>
      <c r="L1161" s="24">
        <v>0</v>
      </c>
      <c r="M1161" s="24">
        <v>0</v>
      </c>
    </row>
    <row r="1162" spans="2:13" ht="14" x14ac:dyDescent="0.2">
      <c r="B1162" s="24">
        <v>23</v>
      </c>
      <c r="C1162" s="24">
        <v>83</v>
      </c>
      <c r="D1162" s="24">
        <v>1</v>
      </c>
      <c r="E1162" s="24">
        <v>0.3</v>
      </c>
      <c r="F1162" s="24">
        <v>1</v>
      </c>
      <c r="G1162" s="24">
        <v>0</v>
      </c>
      <c r="H1162" s="24">
        <v>0</v>
      </c>
      <c r="I1162" s="24">
        <v>0</v>
      </c>
      <c r="J1162" s="24">
        <v>0</v>
      </c>
      <c r="K1162" s="24">
        <v>1</v>
      </c>
      <c r="L1162" s="24">
        <v>1</v>
      </c>
      <c r="M1162" s="24">
        <v>0</v>
      </c>
    </row>
    <row r="1163" spans="2:13" ht="14" x14ac:dyDescent="0.2">
      <c r="B1163" s="24">
        <v>17</v>
      </c>
      <c r="C1163" s="24">
        <v>44</v>
      </c>
      <c r="D1163" s="24">
        <v>1</v>
      </c>
      <c r="E1163" s="24">
        <v>0.3</v>
      </c>
      <c r="F1163" s="24">
        <v>0</v>
      </c>
      <c r="G1163" s="24">
        <v>0</v>
      </c>
      <c r="H1163" s="24">
        <v>0</v>
      </c>
      <c r="I1163" s="24">
        <v>0</v>
      </c>
      <c r="J1163" s="24">
        <v>0</v>
      </c>
      <c r="K1163" s="24">
        <v>1</v>
      </c>
      <c r="L1163" s="24">
        <v>0</v>
      </c>
      <c r="M1163" s="24">
        <v>0</v>
      </c>
    </row>
    <row r="1164" spans="2:13" ht="14" x14ac:dyDescent="0.2">
      <c r="B1164" s="24">
        <v>14</v>
      </c>
      <c r="C1164" s="24">
        <v>51</v>
      </c>
      <c r="D1164" s="24">
        <v>3</v>
      </c>
      <c r="E1164" s="24">
        <v>2.3333333333333299</v>
      </c>
      <c r="F1164" s="24">
        <v>0</v>
      </c>
      <c r="G1164" s="24">
        <v>1</v>
      </c>
      <c r="H1164" s="24">
        <v>0</v>
      </c>
      <c r="I1164" s="24">
        <v>0</v>
      </c>
      <c r="J1164" s="24">
        <v>0</v>
      </c>
      <c r="K1164" s="24">
        <v>1</v>
      </c>
      <c r="L1164" s="24">
        <v>0</v>
      </c>
      <c r="M1164" s="24">
        <v>0</v>
      </c>
    </row>
    <row r="1165" spans="2:13" ht="14" x14ac:dyDescent="0.2">
      <c r="B1165" s="24">
        <v>37</v>
      </c>
      <c r="C1165" s="24">
        <v>42</v>
      </c>
      <c r="D1165" s="24">
        <v>3</v>
      </c>
      <c r="E1165" s="24">
        <v>1.5</v>
      </c>
      <c r="F1165" s="24">
        <v>1</v>
      </c>
      <c r="G1165" s="24">
        <v>0</v>
      </c>
      <c r="H1165" s="24">
        <v>0</v>
      </c>
      <c r="I1165" s="24">
        <v>0</v>
      </c>
      <c r="J1165" s="24">
        <v>0</v>
      </c>
      <c r="K1165" s="24">
        <v>1</v>
      </c>
      <c r="L1165" s="24">
        <v>0</v>
      </c>
      <c r="M1165" s="24">
        <v>0</v>
      </c>
    </row>
    <row r="1166" spans="2:13" ht="14" x14ac:dyDescent="0.2">
      <c r="B1166" s="24">
        <v>14</v>
      </c>
      <c r="C1166" s="24">
        <v>80</v>
      </c>
      <c r="D1166" s="24">
        <v>2</v>
      </c>
      <c r="E1166" s="24">
        <v>2.7</v>
      </c>
      <c r="F1166" s="24">
        <v>1</v>
      </c>
      <c r="G1166" s="24">
        <v>0</v>
      </c>
      <c r="H1166" s="24">
        <v>0</v>
      </c>
      <c r="I1166" s="24">
        <v>0</v>
      </c>
      <c r="J1166" s="24">
        <v>0</v>
      </c>
      <c r="K1166" s="24">
        <v>1</v>
      </c>
      <c r="L1166" s="24">
        <v>0</v>
      </c>
      <c r="M1166" s="24">
        <v>0</v>
      </c>
    </row>
    <row r="1167" spans="2:13" ht="14" x14ac:dyDescent="0.2">
      <c r="B1167" s="24">
        <v>36</v>
      </c>
      <c r="C1167" s="24">
        <v>15</v>
      </c>
      <c r="D1167" s="24">
        <v>4</v>
      </c>
      <c r="E1167" s="24">
        <v>0.4</v>
      </c>
      <c r="F1167" s="24">
        <v>0</v>
      </c>
      <c r="G1167" s="24">
        <v>1</v>
      </c>
      <c r="H1167" s="24">
        <v>0</v>
      </c>
      <c r="I1167" s="24">
        <v>0</v>
      </c>
      <c r="J1167" s="24">
        <v>0</v>
      </c>
      <c r="K1167" s="24">
        <v>0</v>
      </c>
      <c r="L1167" s="24">
        <v>0</v>
      </c>
      <c r="M1167" s="24">
        <v>0</v>
      </c>
    </row>
    <row r="1168" spans="2:13" ht="14" x14ac:dyDescent="0.2">
      <c r="B1168" s="24">
        <v>0</v>
      </c>
      <c r="C1168" s="24">
        <v>33</v>
      </c>
      <c r="D1168" s="24">
        <v>4</v>
      </c>
      <c r="E1168" s="24">
        <v>1</v>
      </c>
      <c r="F1168" s="24">
        <v>0</v>
      </c>
      <c r="G1168" s="24">
        <v>0</v>
      </c>
      <c r="H1168" s="24">
        <v>0</v>
      </c>
      <c r="I1168" s="24">
        <v>0</v>
      </c>
      <c r="J1168" s="24">
        <v>0</v>
      </c>
      <c r="K1168" s="24">
        <v>0</v>
      </c>
      <c r="L1168" s="24">
        <v>0</v>
      </c>
      <c r="M1168" s="24">
        <v>0</v>
      </c>
    </row>
    <row r="1169" spans="2:13" ht="14" x14ac:dyDescent="0.2">
      <c r="B1169" s="24">
        <v>22</v>
      </c>
      <c r="C1169" s="24">
        <v>183</v>
      </c>
      <c r="D1169" s="24">
        <v>1</v>
      </c>
      <c r="E1169" s="24">
        <v>3.1</v>
      </c>
      <c r="F1169" s="24">
        <v>0</v>
      </c>
      <c r="G1169" s="24">
        <v>1</v>
      </c>
      <c r="H1169" s="24">
        <v>0</v>
      </c>
      <c r="I1169" s="24">
        <v>0</v>
      </c>
      <c r="J1169" s="24">
        <v>1</v>
      </c>
      <c r="K1169" s="24">
        <v>1</v>
      </c>
      <c r="L1169" s="24">
        <v>1</v>
      </c>
      <c r="M1169" s="24">
        <v>1</v>
      </c>
    </row>
    <row r="1170" spans="2:13" ht="14" x14ac:dyDescent="0.2">
      <c r="B1170" s="24">
        <v>21</v>
      </c>
      <c r="C1170" s="24">
        <v>174</v>
      </c>
      <c r="D1170" s="24">
        <v>4</v>
      </c>
      <c r="E1170" s="24">
        <v>3.2</v>
      </c>
      <c r="F1170" s="24">
        <v>0</v>
      </c>
      <c r="G1170" s="24">
        <v>0</v>
      </c>
      <c r="H1170" s="24">
        <v>0</v>
      </c>
      <c r="I1170" s="24">
        <v>0</v>
      </c>
      <c r="J1170" s="24">
        <v>0</v>
      </c>
      <c r="K1170" s="24">
        <v>0</v>
      </c>
      <c r="L1170" s="24">
        <v>0</v>
      </c>
      <c r="M1170" s="24">
        <v>1</v>
      </c>
    </row>
    <row r="1171" spans="2:13" ht="14" x14ac:dyDescent="0.2">
      <c r="B1171" s="24">
        <v>19</v>
      </c>
      <c r="C1171" s="24">
        <v>35</v>
      </c>
      <c r="D1171" s="24">
        <v>4</v>
      </c>
      <c r="E1171" s="24">
        <v>0</v>
      </c>
      <c r="F1171" s="24">
        <v>0</v>
      </c>
      <c r="G1171" s="24">
        <v>1</v>
      </c>
      <c r="H1171" s="24">
        <v>0</v>
      </c>
      <c r="I1171" s="24">
        <v>0</v>
      </c>
      <c r="J1171" s="24">
        <v>0</v>
      </c>
      <c r="K1171" s="24">
        <v>1</v>
      </c>
      <c r="L1171" s="24">
        <v>0</v>
      </c>
      <c r="M1171" s="24">
        <v>0</v>
      </c>
    </row>
    <row r="1172" spans="2:13" ht="14" x14ac:dyDescent="0.2">
      <c r="B1172" s="24">
        <v>11</v>
      </c>
      <c r="C1172" s="24">
        <v>152</v>
      </c>
      <c r="D1172" s="24">
        <v>2</v>
      </c>
      <c r="E1172" s="24">
        <v>3.9</v>
      </c>
      <c r="F1172" s="24">
        <v>1</v>
      </c>
      <c r="G1172" s="24">
        <v>0</v>
      </c>
      <c r="H1172" s="24">
        <v>159</v>
      </c>
      <c r="I1172" s="24">
        <v>0</v>
      </c>
      <c r="J1172" s="24">
        <v>0</v>
      </c>
      <c r="K1172" s="24">
        <v>0</v>
      </c>
      <c r="L1172" s="24">
        <v>1</v>
      </c>
      <c r="M1172" s="24">
        <v>0</v>
      </c>
    </row>
    <row r="1173" spans="2:13" ht="14" x14ac:dyDescent="0.2">
      <c r="B1173" s="24">
        <v>40</v>
      </c>
      <c r="C1173" s="24">
        <v>129</v>
      </c>
      <c r="D1173" s="24">
        <v>1</v>
      </c>
      <c r="E1173" s="24">
        <v>1.3</v>
      </c>
      <c r="F1173" s="24">
        <v>1</v>
      </c>
      <c r="G1173" s="24">
        <v>0</v>
      </c>
      <c r="H1173" s="24">
        <v>0</v>
      </c>
      <c r="I1173" s="24">
        <v>0</v>
      </c>
      <c r="J1173" s="24">
        <v>0</v>
      </c>
      <c r="K1173" s="24">
        <v>1</v>
      </c>
      <c r="L1173" s="24">
        <v>1</v>
      </c>
      <c r="M1173" s="24">
        <v>0</v>
      </c>
    </row>
    <row r="1174" spans="2:13" ht="14" x14ac:dyDescent="0.2">
      <c r="B1174" s="24">
        <v>29</v>
      </c>
      <c r="C1174" s="24">
        <v>41</v>
      </c>
      <c r="D1174" s="24">
        <v>4</v>
      </c>
      <c r="E1174" s="24">
        <v>2.5</v>
      </c>
      <c r="F1174" s="24">
        <v>0</v>
      </c>
      <c r="G1174" s="24">
        <v>1</v>
      </c>
      <c r="H1174" s="24">
        <v>0</v>
      </c>
      <c r="I1174" s="24">
        <v>0</v>
      </c>
      <c r="J1174" s="24">
        <v>0</v>
      </c>
      <c r="K1174" s="24">
        <v>0</v>
      </c>
      <c r="L1174" s="24">
        <v>0</v>
      </c>
      <c r="M1174" s="24">
        <v>0</v>
      </c>
    </row>
    <row r="1175" spans="2:13" ht="14" x14ac:dyDescent="0.2">
      <c r="B1175" s="24">
        <v>29</v>
      </c>
      <c r="C1175" s="24">
        <v>59</v>
      </c>
      <c r="D1175" s="24">
        <v>2</v>
      </c>
      <c r="E1175" s="24">
        <v>2.2999999999999998</v>
      </c>
      <c r="F1175" s="24">
        <v>0</v>
      </c>
      <c r="G1175" s="24">
        <v>0</v>
      </c>
      <c r="H1175" s="24">
        <v>152</v>
      </c>
      <c r="I1175" s="24">
        <v>0</v>
      </c>
      <c r="J1175" s="24">
        <v>0</v>
      </c>
      <c r="K1175" s="24">
        <v>1</v>
      </c>
      <c r="L1175" s="24">
        <v>0</v>
      </c>
      <c r="M1175" s="24">
        <v>0</v>
      </c>
    </row>
    <row r="1176" spans="2:13" ht="14" x14ac:dyDescent="0.2">
      <c r="B1176" s="24">
        <v>23</v>
      </c>
      <c r="C1176" s="24">
        <v>45</v>
      </c>
      <c r="D1176" s="24">
        <v>1</v>
      </c>
      <c r="E1176" s="24">
        <v>0.3</v>
      </c>
      <c r="F1176" s="24">
        <v>1</v>
      </c>
      <c r="G1176" s="24">
        <v>0</v>
      </c>
      <c r="H1176" s="24">
        <v>0</v>
      </c>
      <c r="I1176" s="24">
        <v>0</v>
      </c>
      <c r="J1176" s="24">
        <v>0</v>
      </c>
      <c r="K1176" s="24">
        <v>1</v>
      </c>
      <c r="L1176" s="24">
        <v>1</v>
      </c>
      <c r="M1176" s="24">
        <v>0</v>
      </c>
    </row>
    <row r="1177" spans="2:13" ht="14" x14ac:dyDescent="0.2">
      <c r="B1177" s="24">
        <v>4</v>
      </c>
      <c r="C1177" s="24">
        <v>159</v>
      </c>
      <c r="D1177" s="24">
        <v>1</v>
      </c>
      <c r="E1177" s="24">
        <v>1.5</v>
      </c>
      <c r="F1177" s="24">
        <v>1</v>
      </c>
      <c r="G1177" s="24">
        <v>0</v>
      </c>
      <c r="H1177" s="24">
        <v>0</v>
      </c>
      <c r="I1177" s="24">
        <v>0</v>
      </c>
      <c r="J1177" s="24">
        <v>0</v>
      </c>
      <c r="K1177" s="24">
        <v>1</v>
      </c>
      <c r="L1177" s="24">
        <v>1</v>
      </c>
      <c r="M1177" s="24">
        <v>0</v>
      </c>
    </row>
    <row r="1178" spans="2:13" ht="14" x14ac:dyDescent="0.2">
      <c r="B1178" s="24">
        <v>4</v>
      </c>
      <c r="C1178" s="24">
        <v>60</v>
      </c>
      <c r="D1178" s="24">
        <v>4</v>
      </c>
      <c r="E1178" s="24">
        <v>2.2000000000000002</v>
      </c>
      <c r="F1178" s="24">
        <v>0</v>
      </c>
      <c r="G1178" s="24">
        <v>1</v>
      </c>
      <c r="H1178" s="24">
        <v>0</v>
      </c>
      <c r="I1178" s="24">
        <v>0</v>
      </c>
      <c r="J1178" s="24">
        <v>0</v>
      </c>
      <c r="K1178" s="24">
        <v>1</v>
      </c>
      <c r="L1178" s="24">
        <v>0</v>
      </c>
      <c r="M1178" s="24">
        <v>0</v>
      </c>
    </row>
    <row r="1179" spans="2:13" ht="14" x14ac:dyDescent="0.2">
      <c r="B1179" s="24">
        <v>16</v>
      </c>
      <c r="C1179" s="24">
        <v>104</v>
      </c>
      <c r="D1179" s="24">
        <v>1</v>
      </c>
      <c r="E1179" s="24">
        <v>1</v>
      </c>
      <c r="F1179" s="24">
        <v>0</v>
      </c>
      <c r="G1179" s="24">
        <v>0</v>
      </c>
      <c r="H1179" s="24">
        <v>0</v>
      </c>
      <c r="I1179" s="24">
        <v>0</v>
      </c>
      <c r="J1179" s="24">
        <v>0</v>
      </c>
      <c r="K1179" s="24">
        <v>1</v>
      </c>
      <c r="L1179" s="24">
        <v>0</v>
      </c>
      <c r="M1179" s="24">
        <v>0</v>
      </c>
    </row>
    <row r="1180" spans="2:13" ht="14" x14ac:dyDescent="0.2">
      <c r="B1180" s="24">
        <v>12</v>
      </c>
      <c r="C1180" s="24">
        <v>142</v>
      </c>
      <c r="D1180" s="24">
        <v>3</v>
      </c>
      <c r="E1180" s="24">
        <v>2.2999999999999998</v>
      </c>
      <c r="F1180" s="24">
        <v>0</v>
      </c>
      <c r="G1180" s="24">
        <v>1</v>
      </c>
      <c r="H1180" s="24">
        <v>0</v>
      </c>
      <c r="I1180" s="24">
        <v>0</v>
      </c>
      <c r="J1180" s="24">
        <v>1</v>
      </c>
      <c r="K1180" s="24">
        <v>1</v>
      </c>
      <c r="L1180" s="24">
        <v>1</v>
      </c>
      <c r="M1180" s="24">
        <v>1</v>
      </c>
    </row>
    <row r="1181" spans="2:13" ht="14" x14ac:dyDescent="0.2">
      <c r="B1181" s="24">
        <v>31</v>
      </c>
      <c r="C1181" s="24">
        <v>65</v>
      </c>
      <c r="D1181" s="24">
        <v>4</v>
      </c>
      <c r="E1181" s="24">
        <v>2.6</v>
      </c>
      <c r="F1181" s="24">
        <v>0</v>
      </c>
      <c r="G1181" s="24">
        <v>0</v>
      </c>
      <c r="H1181" s="24">
        <v>0</v>
      </c>
      <c r="I1181" s="24">
        <v>0</v>
      </c>
      <c r="J1181" s="24">
        <v>0</v>
      </c>
      <c r="K1181" s="24">
        <v>0</v>
      </c>
      <c r="L1181" s="24">
        <v>1</v>
      </c>
      <c r="M1181" s="24">
        <v>0</v>
      </c>
    </row>
    <row r="1182" spans="2:13" ht="14" x14ac:dyDescent="0.2">
      <c r="B1182" s="24">
        <v>8</v>
      </c>
      <c r="C1182" s="24">
        <v>38</v>
      </c>
      <c r="D1182" s="24">
        <v>4</v>
      </c>
      <c r="E1182" s="24">
        <v>1</v>
      </c>
      <c r="F1182" s="24">
        <v>0</v>
      </c>
      <c r="G1182" s="24">
        <v>1</v>
      </c>
      <c r="H1182" s="24">
        <v>124</v>
      </c>
      <c r="I1182" s="24">
        <v>0</v>
      </c>
      <c r="J1182" s="24">
        <v>0</v>
      </c>
      <c r="K1182" s="24">
        <v>1</v>
      </c>
      <c r="L1182" s="24">
        <v>0</v>
      </c>
      <c r="M1182" s="24">
        <v>0</v>
      </c>
    </row>
    <row r="1183" spans="2:13" ht="14" x14ac:dyDescent="0.2">
      <c r="B1183" s="24">
        <v>3</v>
      </c>
      <c r="C1183" s="24">
        <v>85</v>
      </c>
      <c r="D1183" s="24">
        <v>1</v>
      </c>
      <c r="E1183" s="24">
        <v>0.8</v>
      </c>
      <c r="F1183" s="24">
        <v>0</v>
      </c>
      <c r="G1183" s="24">
        <v>1</v>
      </c>
      <c r="H1183" s="24">
        <v>0</v>
      </c>
      <c r="I1183" s="24">
        <v>0</v>
      </c>
      <c r="J1183" s="24">
        <v>0</v>
      </c>
      <c r="K1183" s="24">
        <v>1</v>
      </c>
      <c r="L1183" s="24">
        <v>1</v>
      </c>
      <c r="M1183" s="24">
        <v>0</v>
      </c>
    </row>
    <row r="1184" spans="2:13" ht="14" x14ac:dyDescent="0.2">
      <c r="B1184" s="24">
        <v>33</v>
      </c>
      <c r="C1184" s="24">
        <v>72</v>
      </c>
      <c r="D1184" s="24">
        <v>2</v>
      </c>
      <c r="E1184" s="24">
        <v>0.7</v>
      </c>
      <c r="F1184" s="24">
        <v>0</v>
      </c>
      <c r="G1184" s="24">
        <v>1</v>
      </c>
      <c r="H1184" s="24">
        <v>226</v>
      </c>
      <c r="I1184" s="24">
        <v>0</v>
      </c>
      <c r="J1184" s="24">
        <v>0</v>
      </c>
      <c r="K1184" s="24">
        <v>0</v>
      </c>
      <c r="L1184" s="24">
        <v>0</v>
      </c>
      <c r="M1184" s="24">
        <v>0</v>
      </c>
    </row>
    <row r="1185" spans="2:13" ht="14" x14ac:dyDescent="0.2">
      <c r="B1185" s="24">
        <v>38</v>
      </c>
      <c r="C1185" s="24">
        <v>30</v>
      </c>
      <c r="D1185" s="24">
        <v>3</v>
      </c>
      <c r="E1185" s="24">
        <v>0.1</v>
      </c>
      <c r="F1185" s="24">
        <v>0</v>
      </c>
      <c r="G1185" s="24">
        <v>0</v>
      </c>
      <c r="H1185" s="24">
        <v>128</v>
      </c>
      <c r="I1185" s="24">
        <v>0</v>
      </c>
      <c r="J1185" s="24">
        <v>0</v>
      </c>
      <c r="K1185" s="24">
        <v>1</v>
      </c>
      <c r="L1185" s="24">
        <v>0</v>
      </c>
      <c r="M1185" s="24">
        <v>0</v>
      </c>
    </row>
    <row r="1186" spans="2:13" ht="14" x14ac:dyDescent="0.2">
      <c r="B1186" s="24">
        <v>4</v>
      </c>
      <c r="C1186" s="24">
        <v>43</v>
      </c>
      <c r="D1186" s="24">
        <v>1</v>
      </c>
      <c r="E1186" s="24">
        <v>1</v>
      </c>
      <c r="F1186" s="24">
        <v>0</v>
      </c>
      <c r="G1186" s="24">
        <v>0</v>
      </c>
      <c r="H1186" s="24">
        <v>102</v>
      </c>
      <c r="I1186" s="24">
        <v>0</v>
      </c>
      <c r="J1186" s="24">
        <v>0</v>
      </c>
      <c r="K1186" s="24">
        <v>0</v>
      </c>
      <c r="L1186" s="24">
        <v>0</v>
      </c>
      <c r="M1186" s="24">
        <v>0</v>
      </c>
    </row>
    <row r="1187" spans="2:13" ht="14" x14ac:dyDescent="0.2">
      <c r="B1187" s="24">
        <v>6</v>
      </c>
      <c r="C1187" s="24">
        <v>35</v>
      </c>
      <c r="D1187" s="24">
        <v>2</v>
      </c>
      <c r="E1187" s="24">
        <v>0.3</v>
      </c>
      <c r="F1187" s="24">
        <v>1</v>
      </c>
      <c r="G1187" s="24">
        <v>0</v>
      </c>
      <c r="H1187" s="24">
        <v>0</v>
      </c>
      <c r="I1187" s="24">
        <v>0</v>
      </c>
      <c r="J1187" s="24">
        <v>0</v>
      </c>
      <c r="K1187" s="24">
        <v>0</v>
      </c>
      <c r="L1187" s="24">
        <v>1</v>
      </c>
      <c r="M1187" s="24">
        <v>0</v>
      </c>
    </row>
    <row r="1188" spans="2:13" ht="14" x14ac:dyDescent="0.2">
      <c r="B1188" s="24">
        <v>20</v>
      </c>
      <c r="C1188" s="24">
        <v>124</v>
      </c>
      <c r="D1188" s="24">
        <v>1</v>
      </c>
      <c r="E1188" s="24">
        <v>4.7</v>
      </c>
      <c r="F1188" s="24">
        <v>1</v>
      </c>
      <c r="G1188" s="24">
        <v>0</v>
      </c>
      <c r="H1188" s="24">
        <v>0</v>
      </c>
      <c r="I1188" s="24">
        <v>0</v>
      </c>
      <c r="J1188" s="24">
        <v>0</v>
      </c>
      <c r="K1188" s="24">
        <v>1</v>
      </c>
      <c r="L1188" s="24">
        <v>1</v>
      </c>
      <c r="M1188" s="24">
        <v>0</v>
      </c>
    </row>
    <row r="1189" spans="2:13" ht="14" x14ac:dyDescent="0.2">
      <c r="B1189" s="24">
        <v>18</v>
      </c>
      <c r="C1189" s="24">
        <v>90</v>
      </c>
      <c r="D1189" s="24">
        <v>4</v>
      </c>
      <c r="E1189" s="24">
        <v>0.8</v>
      </c>
      <c r="F1189" s="24">
        <v>1</v>
      </c>
      <c r="G1189" s="24">
        <v>0</v>
      </c>
      <c r="H1189" s="24">
        <v>245</v>
      </c>
      <c r="I1189" s="24">
        <v>1</v>
      </c>
      <c r="J1189" s="24">
        <v>0</v>
      </c>
      <c r="K1189" s="24">
        <v>0</v>
      </c>
      <c r="L1189" s="24">
        <v>0</v>
      </c>
      <c r="M1189" s="24">
        <v>0</v>
      </c>
    </row>
    <row r="1190" spans="2:13" ht="14" x14ac:dyDescent="0.2">
      <c r="B1190" s="24">
        <v>19</v>
      </c>
      <c r="C1190" s="24">
        <v>81</v>
      </c>
      <c r="D1190" s="24">
        <v>2</v>
      </c>
      <c r="E1190" s="24">
        <v>3.2</v>
      </c>
      <c r="F1190" s="24">
        <v>1</v>
      </c>
      <c r="G1190" s="24">
        <v>0</v>
      </c>
      <c r="H1190" s="24">
        <v>0</v>
      </c>
      <c r="I1190" s="24">
        <v>0</v>
      </c>
      <c r="J1190" s="24">
        <v>0</v>
      </c>
      <c r="K1190" s="24">
        <v>0</v>
      </c>
      <c r="L1190" s="24">
        <v>0</v>
      </c>
      <c r="M1190" s="24">
        <v>0</v>
      </c>
    </row>
    <row r="1191" spans="2:13" ht="14" x14ac:dyDescent="0.2">
      <c r="B1191" s="24">
        <v>24</v>
      </c>
      <c r="C1191" s="24">
        <v>21</v>
      </c>
      <c r="D1191" s="24">
        <v>2</v>
      </c>
      <c r="E1191" s="24">
        <v>1</v>
      </c>
      <c r="F1191" s="24">
        <v>0</v>
      </c>
      <c r="G1191" s="24">
        <v>1</v>
      </c>
      <c r="H1191" s="24">
        <v>0</v>
      </c>
      <c r="I1191" s="24">
        <v>0</v>
      </c>
      <c r="J1191" s="24">
        <v>0</v>
      </c>
      <c r="K1191" s="24">
        <v>1</v>
      </c>
      <c r="L1191" s="24">
        <v>0</v>
      </c>
      <c r="M1191" s="24">
        <v>0</v>
      </c>
    </row>
    <row r="1192" spans="2:13" ht="14" x14ac:dyDescent="0.2">
      <c r="B1192" s="24">
        <v>5</v>
      </c>
      <c r="C1192" s="24">
        <v>68</v>
      </c>
      <c r="D1192" s="24">
        <v>4</v>
      </c>
      <c r="E1192" s="24">
        <v>1.8</v>
      </c>
      <c r="F1192" s="24">
        <v>0</v>
      </c>
      <c r="G1192" s="24">
        <v>0</v>
      </c>
      <c r="H1192" s="24">
        <v>0</v>
      </c>
      <c r="I1192" s="24">
        <v>0</v>
      </c>
      <c r="J1192" s="24">
        <v>0</v>
      </c>
      <c r="K1192" s="24">
        <v>0</v>
      </c>
      <c r="L1192" s="24">
        <v>0</v>
      </c>
      <c r="M1192" s="24">
        <v>0</v>
      </c>
    </row>
    <row r="1193" spans="2:13" ht="14" x14ac:dyDescent="0.2">
      <c r="B1193" s="24">
        <v>20</v>
      </c>
      <c r="C1193" s="24">
        <v>75</v>
      </c>
      <c r="D1193" s="24">
        <v>4</v>
      </c>
      <c r="E1193" s="24">
        <v>1.9</v>
      </c>
      <c r="F1193" s="24">
        <v>1</v>
      </c>
      <c r="G1193" s="24">
        <v>0</v>
      </c>
      <c r="H1193" s="24">
        <v>0</v>
      </c>
      <c r="I1193" s="24">
        <v>0</v>
      </c>
      <c r="J1193" s="24">
        <v>0</v>
      </c>
      <c r="K1193" s="24">
        <v>0</v>
      </c>
      <c r="L1193" s="24">
        <v>0</v>
      </c>
      <c r="M1193" s="24">
        <v>0</v>
      </c>
    </row>
    <row r="1194" spans="2:13" ht="14" x14ac:dyDescent="0.2">
      <c r="B1194" s="24">
        <v>32</v>
      </c>
      <c r="C1194" s="24">
        <v>8</v>
      </c>
      <c r="D1194" s="24">
        <v>2</v>
      </c>
      <c r="E1194" s="24">
        <v>0.3</v>
      </c>
      <c r="F1194" s="24">
        <v>1</v>
      </c>
      <c r="G1194" s="24">
        <v>0</v>
      </c>
      <c r="H1194" s="24">
        <v>0</v>
      </c>
      <c r="I1194" s="24">
        <v>0</v>
      </c>
      <c r="J1194" s="24">
        <v>0</v>
      </c>
      <c r="K1194" s="24">
        <v>1</v>
      </c>
      <c r="L1194" s="24">
        <v>1</v>
      </c>
      <c r="M1194" s="24">
        <v>0</v>
      </c>
    </row>
    <row r="1195" spans="2:13" ht="14" x14ac:dyDescent="0.2">
      <c r="B1195" s="24">
        <v>29</v>
      </c>
      <c r="C1195" s="24">
        <v>74</v>
      </c>
      <c r="D1195" s="24">
        <v>3</v>
      </c>
      <c r="E1195" s="24">
        <v>2</v>
      </c>
      <c r="F1195" s="24">
        <v>0</v>
      </c>
      <c r="G1195" s="24">
        <v>1</v>
      </c>
      <c r="H1195" s="24">
        <v>0</v>
      </c>
      <c r="I1195" s="24">
        <v>0</v>
      </c>
      <c r="J1195" s="24">
        <v>0</v>
      </c>
      <c r="K1195" s="24">
        <v>0</v>
      </c>
      <c r="L1195" s="24">
        <v>0</v>
      </c>
      <c r="M1195" s="24">
        <v>0</v>
      </c>
    </row>
    <row r="1196" spans="2:13" ht="14" x14ac:dyDescent="0.2">
      <c r="B1196" s="24">
        <v>7</v>
      </c>
      <c r="C1196" s="24">
        <v>123</v>
      </c>
      <c r="D1196" s="24">
        <v>2</v>
      </c>
      <c r="E1196" s="24">
        <v>2.9</v>
      </c>
      <c r="F1196" s="24">
        <v>0</v>
      </c>
      <c r="G1196" s="24">
        <v>1</v>
      </c>
      <c r="H1196" s="24">
        <v>0</v>
      </c>
      <c r="I1196" s="24">
        <v>0</v>
      </c>
      <c r="J1196" s="24">
        <v>0</v>
      </c>
      <c r="K1196" s="24">
        <v>1</v>
      </c>
      <c r="L1196" s="24">
        <v>0</v>
      </c>
      <c r="M1196" s="24">
        <v>1</v>
      </c>
    </row>
    <row r="1197" spans="2:13" ht="14" x14ac:dyDescent="0.2">
      <c r="B1197" s="24">
        <v>28</v>
      </c>
      <c r="C1197" s="24">
        <v>81</v>
      </c>
      <c r="D1197" s="24">
        <v>3</v>
      </c>
      <c r="E1197" s="24">
        <v>1.8</v>
      </c>
      <c r="F1197" s="24">
        <v>0</v>
      </c>
      <c r="G1197" s="24">
        <v>1</v>
      </c>
      <c r="H1197" s="24">
        <v>275</v>
      </c>
      <c r="I1197" s="24">
        <v>0</v>
      </c>
      <c r="J1197" s="24">
        <v>0</v>
      </c>
      <c r="K1197" s="24">
        <v>0</v>
      </c>
      <c r="L1197" s="24">
        <v>0</v>
      </c>
      <c r="M1197" s="24">
        <v>0</v>
      </c>
    </row>
    <row r="1198" spans="2:13" ht="14" x14ac:dyDescent="0.2">
      <c r="B1198" s="24">
        <v>3</v>
      </c>
      <c r="C1198" s="24">
        <v>90</v>
      </c>
      <c r="D1198" s="24">
        <v>2</v>
      </c>
      <c r="E1198" s="24">
        <v>3.3</v>
      </c>
      <c r="F1198" s="24">
        <v>1</v>
      </c>
      <c r="G1198" s="24">
        <v>0</v>
      </c>
      <c r="H1198" s="24">
        <v>0</v>
      </c>
      <c r="I1198" s="24">
        <v>0</v>
      </c>
      <c r="J1198" s="24">
        <v>0</v>
      </c>
      <c r="K1198" s="24">
        <v>1</v>
      </c>
      <c r="L1198" s="24">
        <v>1</v>
      </c>
      <c r="M1198" s="24">
        <v>0</v>
      </c>
    </row>
    <row r="1199" spans="2:13" ht="14" x14ac:dyDescent="0.2">
      <c r="B1199" s="24">
        <v>34</v>
      </c>
      <c r="C1199" s="24">
        <v>65</v>
      </c>
      <c r="D1199" s="24">
        <v>4</v>
      </c>
      <c r="E1199" s="24">
        <v>2.2000000000000002</v>
      </c>
      <c r="F1199" s="24">
        <v>1</v>
      </c>
      <c r="G1199" s="24">
        <v>0</v>
      </c>
      <c r="H1199" s="24">
        <v>0</v>
      </c>
      <c r="I1199" s="24">
        <v>0</v>
      </c>
      <c r="J1199" s="24">
        <v>0</v>
      </c>
      <c r="K1199" s="24">
        <v>1</v>
      </c>
      <c r="L1199" s="24">
        <v>0</v>
      </c>
      <c r="M1199" s="24">
        <v>0</v>
      </c>
    </row>
    <row r="1200" spans="2:13" ht="14" x14ac:dyDescent="0.2">
      <c r="B1200" s="24">
        <v>9</v>
      </c>
      <c r="C1200" s="24">
        <v>79</v>
      </c>
      <c r="D1200" s="24">
        <v>1</v>
      </c>
      <c r="E1200" s="24">
        <v>0.1</v>
      </c>
      <c r="F1200" s="24">
        <v>1</v>
      </c>
      <c r="G1200" s="24">
        <v>0</v>
      </c>
      <c r="H1200" s="24">
        <v>0</v>
      </c>
      <c r="I1200" s="24">
        <v>0</v>
      </c>
      <c r="J1200" s="24">
        <v>0</v>
      </c>
      <c r="K1200" s="24">
        <v>1</v>
      </c>
      <c r="L1200" s="24">
        <v>0</v>
      </c>
      <c r="M1200" s="24">
        <v>0</v>
      </c>
    </row>
    <row r="1201" spans="2:13" ht="14" x14ac:dyDescent="0.2">
      <c r="B1201" s="24">
        <v>5</v>
      </c>
      <c r="C1201" s="24">
        <v>85</v>
      </c>
      <c r="D1201" s="24">
        <v>3</v>
      </c>
      <c r="E1201" s="24">
        <v>2.5</v>
      </c>
      <c r="F1201" s="24">
        <v>1</v>
      </c>
      <c r="G1201" s="24">
        <v>0</v>
      </c>
      <c r="H1201" s="24">
        <v>0</v>
      </c>
      <c r="I1201" s="24">
        <v>0</v>
      </c>
      <c r="J1201" s="24">
        <v>0</v>
      </c>
      <c r="K1201" s="24">
        <v>1</v>
      </c>
      <c r="L1201" s="24">
        <v>1</v>
      </c>
      <c r="M1201" s="24">
        <v>0</v>
      </c>
    </row>
    <row r="1202" spans="2:13" ht="14" x14ac:dyDescent="0.2">
      <c r="B1202" s="24">
        <v>19</v>
      </c>
      <c r="C1202" s="24">
        <v>24</v>
      </c>
      <c r="D1202" s="24">
        <v>3</v>
      </c>
      <c r="E1202" s="24">
        <v>0.66666666666666696</v>
      </c>
      <c r="F1202" s="24">
        <v>0</v>
      </c>
      <c r="G1202" s="24">
        <v>1</v>
      </c>
      <c r="H1202" s="24">
        <v>0</v>
      </c>
      <c r="I1202" s="24">
        <v>0</v>
      </c>
      <c r="J1202" s="24">
        <v>0</v>
      </c>
      <c r="K1202" s="24">
        <v>1</v>
      </c>
      <c r="L1202" s="24">
        <v>0</v>
      </c>
      <c r="M1202" s="24">
        <v>0</v>
      </c>
    </row>
    <row r="1203" spans="2:13" ht="14" x14ac:dyDescent="0.2">
      <c r="B1203" s="24">
        <v>29</v>
      </c>
      <c r="C1203" s="24">
        <v>68</v>
      </c>
      <c r="D1203" s="24">
        <v>3</v>
      </c>
      <c r="E1203" s="24">
        <v>1.6</v>
      </c>
      <c r="F1203" s="24">
        <v>0</v>
      </c>
      <c r="G1203" s="24">
        <v>0</v>
      </c>
      <c r="H1203" s="24">
        <v>0</v>
      </c>
      <c r="I1203" s="24">
        <v>0</v>
      </c>
      <c r="J1203" s="24">
        <v>0</v>
      </c>
      <c r="K1203" s="24">
        <v>1</v>
      </c>
      <c r="L1203" s="24">
        <v>1</v>
      </c>
      <c r="M1203" s="24">
        <v>0</v>
      </c>
    </row>
    <row r="1204" spans="2:13" ht="14" x14ac:dyDescent="0.2">
      <c r="B1204" s="24">
        <v>3</v>
      </c>
      <c r="C1204" s="24">
        <v>82</v>
      </c>
      <c r="D1204" s="24">
        <v>2</v>
      </c>
      <c r="E1204" s="24">
        <v>0.2</v>
      </c>
      <c r="F1204" s="24">
        <v>1</v>
      </c>
      <c r="G1204" s="24">
        <v>0</v>
      </c>
      <c r="H1204" s="24">
        <v>0</v>
      </c>
      <c r="I1204" s="24">
        <v>0</v>
      </c>
      <c r="J1204" s="24">
        <v>0</v>
      </c>
      <c r="K1204" s="24">
        <v>0</v>
      </c>
      <c r="L1204" s="24">
        <v>1</v>
      </c>
      <c r="M1204" s="24">
        <v>0</v>
      </c>
    </row>
    <row r="1205" spans="2:13" ht="14" x14ac:dyDescent="0.2">
      <c r="B1205" s="24">
        <v>22</v>
      </c>
      <c r="C1205" s="24">
        <v>33</v>
      </c>
      <c r="D1205" s="24">
        <v>1</v>
      </c>
      <c r="E1205" s="24">
        <v>1.4</v>
      </c>
      <c r="F1205" s="24">
        <v>0</v>
      </c>
      <c r="G1205" s="24">
        <v>0</v>
      </c>
      <c r="H1205" s="24">
        <v>0</v>
      </c>
      <c r="I1205" s="24">
        <v>0</v>
      </c>
      <c r="J1205" s="24">
        <v>0</v>
      </c>
      <c r="K1205" s="24">
        <v>1</v>
      </c>
      <c r="L1205" s="24">
        <v>0</v>
      </c>
      <c r="M1205" s="24">
        <v>0</v>
      </c>
    </row>
    <row r="1206" spans="2:13" ht="14" x14ac:dyDescent="0.2">
      <c r="B1206" s="24">
        <v>32</v>
      </c>
      <c r="C1206" s="24">
        <v>48</v>
      </c>
      <c r="D1206" s="24">
        <v>1</v>
      </c>
      <c r="E1206" s="24">
        <v>1.6</v>
      </c>
      <c r="F1206" s="24">
        <v>0</v>
      </c>
      <c r="G1206" s="24">
        <v>0</v>
      </c>
      <c r="H1206" s="24">
        <v>0</v>
      </c>
      <c r="I1206" s="24">
        <v>0</v>
      </c>
      <c r="J1206" s="24">
        <v>0</v>
      </c>
      <c r="K1206" s="24">
        <v>0</v>
      </c>
      <c r="L1206" s="24">
        <v>1</v>
      </c>
      <c r="M1206" s="24">
        <v>0</v>
      </c>
    </row>
    <row r="1207" spans="2:13" ht="14" x14ac:dyDescent="0.2">
      <c r="B1207" s="24">
        <v>33</v>
      </c>
      <c r="C1207" s="24">
        <v>45</v>
      </c>
      <c r="D1207" s="24">
        <v>1</v>
      </c>
      <c r="E1207" s="24">
        <v>1.8</v>
      </c>
      <c r="F1207" s="24">
        <v>0</v>
      </c>
      <c r="G1207" s="24">
        <v>0</v>
      </c>
      <c r="H1207" s="24">
        <v>195</v>
      </c>
      <c r="I1207" s="24">
        <v>0</v>
      </c>
      <c r="J1207" s="24">
        <v>0</v>
      </c>
      <c r="K1207" s="24">
        <v>0</v>
      </c>
      <c r="L1207" s="24">
        <v>0</v>
      </c>
      <c r="M1207" s="24">
        <v>0</v>
      </c>
    </row>
    <row r="1208" spans="2:13" ht="14" x14ac:dyDescent="0.2">
      <c r="B1208" s="24">
        <v>32</v>
      </c>
      <c r="C1208" s="24">
        <v>173</v>
      </c>
      <c r="D1208" s="24">
        <v>1</v>
      </c>
      <c r="E1208" s="24">
        <v>4.5999999999999996</v>
      </c>
      <c r="F1208" s="24">
        <v>0</v>
      </c>
      <c r="G1208" s="24">
        <v>1</v>
      </c>
      <c r="H1208" s="24">
        <v>88</v>
      </c>
      <c r="I1208" s="24">
        <v>0</v>
      </c>
      <c r="J1208" s="24">
        <v>1</v>
      </c>
      <c r="K1208" s="24">
        <v>1</v>
      </c>
      <c r="L1208" s="24">
        <v>0</v>
      </c>
      <c r="M1208" s="24">
        <v>1</v>
      </c>
    </row>
    <row r="1209" spans="2:13" ht="14" x14ac:dyDescent="0.2">
      <c r="B1209" s="24">
        <v>5</v>
      </c>
      <c r="C1209" s="24">
        <v>112</v>
      </c>
      <c r="D1209" s="24">
        <v>4</v>
      </c>
      <c r="E1209" s="24">
        <v>5</v>
      </c>
      <c r="F1209" s="24">
        <v>0</v>
      </c>
      <c r="G1209" s="24">
        <v>1</v>
      </c>
      <c r="H1209" s="24">
        <v>0</v>
      </c>
      <c r="I1209" s="24">
        <v>0</v>
      </c>
      <c r="J1209" s="24">
        <v>0</v>
      </c>
      <c r="K1209" s="24">
        <v>0</v>
      </c>
      <c r="L1209" s="24">
        <v>1</v>
      </c>
      <c r="M1209" s="24">
        <v>1</v>
      </c>
    </row>
    <row r="1210" spans="2:13" ht="14" x14ac:dyDescent="0.2">
      <c r="B1210" s="24">
        <v>0</v>
      </c>
      <c r="C1210" s="24">
        <v>60</v>
      </c>
      <c r="D1210" s="24">
        <v>4</v>
      </c>
      <c r="E1210" s="24">
        <v>1.6</v>
      </c>
      <c r="F1210" s="24">
        <v>1</v>
      </c>
      <c r="G1210" s="24">
        <v>0</v>
      </c>
      <c r="H1210" s="24">
        <v>0</v>
      </c>
      <c r="I1210" s="24">
        <v>0</v>
      </c>
      <c r="J1210" s="24">
        <v>0</v>
      </c>
      <c r="K1210" s="24">
        <v>1</v>
      </c>
      <c r="L1210" s="24">
        <v>0</v>
      </c>
      <c r="M1210" s="24">
        <v>0</v>
      </c>
    </row>
    <row r="1211" spans="2:13" ht="14" x14ac:dyDescent="0.2">
      <c r="B1211" s="24">
        <v>17</v>
      </c>
      <c r="C1211" s="24">
        <v>44</v>
      </c>
      <c r="D1211" s="24">
        <v>1</v>
      </c>
      <c r="E1211" s="24">
        <v>0.2</v>
      </c>
      <c r="F1211" s="24">
        <v>1</v>
      </c>
      <c r="G1211" s="24">
        <v>0</v>
      </c>
      <c r="H1211" s="24">
        <v>0</v>
      </c>
      <c r="I1211" s="24">
        <v>1</v>
      </c>
      <c r="J1211" s="24">
        <v>1</v>
      </c>
      <c r="K1211" s="24">
        <v>1</v>
      </c>
      <c r="L1211" s="24">
        <v>0</v>
      </c>
      <c r="M1211" s="24">
        <v>0</v>
      </c>
    </row>
    <row r="1212" spans="2:13" ht="14" x14ac:dyDescent="0.2">
      <c r="B1212" s="24">
        <v>7</v>
      </c>
      <c r="C1212" s="24">
        <v>15</v>
      </c>
      <c r="D1212" s="24">
        <v>3</v>
      </c>
      <c r="E1212" s="24">
        <v>0.9</v>
      </c>
      <c r="F1212" s="24">
        <v>0</v>
      </c>
      <c r="G1212" s="24">
        <v>0</v>
      </c>
      <c r="H1212" s="24">
        <v>0</v>
      </c>
      <c r="I1212" s="24">
        <v>0</v>
      </c>
      <c r="J1212" s="24">
        <v>0</v>
      </c>
      <c r="K1212" s="24">
        <v>1</v>
      </c>
      <c r="L1212" s="24">
        <v>0</v>
      </c>
      <c r="M1212" s="24">
        <v>0</v>
      </c>
    </row>
    <row r="1213" spans="2:13" ht="14" x14ac:dyDescent="0.2">
      <c r="B1213" s="24">
        <v>5</v>
      </c>
      <c r="C1213" s="24">
        <v>93</v>
      </c>
      <c r="D1213" s="24">
        <v>2</v>
      </c>
      <c r="E1213" s="24">
        <v>3.1</v>
      </c>
      <c r="F1213" s="24">
        <v>0</v>
      </c>
      <c r="G1213" s="24">
        <v>1</v>
      </c>
      <c r="H1213" s="24">
        <v>0</v>
      </c>
      <c r="I1213" s="24">
        <v>0</v>
      </c>
      <c r="J1213" s="24">
        <v>0</v>
      </c>
      <c r="K1213" s="24">
        <v>1</v>
      </c>
      <c r="L1213" s="24">
        <v>0</v>
      </c>
      <c r="M1213" s="24">
        <v>1</v>
      </c>
    </row>
    <row r="1214" spans="2:13" ht="14" x14ac:dyDescent="0.2">
      <c r="B1214" s="24">
        <v>2</v>
      </c>
      <c r="C1214" s="24">
        <v>78</v>
      </c>
      <c r="D1214" s="24">
        <v>4</v>
      </c>
      <c r="E1214" s="24">
        <v>0.2</v>
      </c>
      <c r="F1214" s="24">
        <v>1</v>
      </c>
      <c r="G1214" s="24">
        <v>0</v>
      </c>
      <c r="H1214" s="24">
        <v>87</v>
      </c>
      <c r="I1214" s="24">
        <v>0</v>
      </c>
      <c r="J1214" s="24">
        <v>0</v>
      </c>
      <c r="K1214" s="24">
        <v>0</v>
      </c>
      <c r="L1214" s="24">
        <v>0</v>
      </c>
      <c r="M1214" s="24">
        <v>0</v>
      </c>
    </row>
    <row r="1215" spans="2:13" ht="14" x14ac:dyDescent="0.2">
      <c r="B1215" s="24">
        <v>25</v>
      </c>
      <c r="C1215" s="24">
        <v>41</v>
      </c>
      <c r="D1215" s="24">
        <v>4</v>
      </c>
      <c r="E1215" s="24">
        <v>1.8</v>
      </c>
      <c r="F1215" s="24">
        <v>1</v>
      </c>
      <c r="G1215" s="24">
        <v>0</v>
      </c>
      <c r="H1215" s="24">
        <v>0</v>
      </c>
      <c r="I1215" s="24">
        <v>0</v>
      </c>
      <c r="J1215" s="24">
        <v>0</v>
      </c>
      <c r="K1215" s="24">
        <v>0</v>
      </c>
      <c r="L1215" s="24">
        <v>0</v>
      </c>
      <c r="M1215" s="24">
        <v>0</v>
      </c>
    </row>
    <row r="1216" spans="2:13" ht="14" x14ac:dyDescent="0.2">
      <c r="B1216" s="24">
        <v>9</v>
      </c>
      <c r="C1216" s="24">
        <v>122</v>
      </c>
      <c r="D1216" s="24">
        <v>1</v>
      </c>
      <c r="E1216" s="24">
        <v>0</v>
      </c>
      <c r="F1216" s="24">
        <v>1</v>
      </c>
      <c r="G1216" s="24">
        <v>0</v>
      </c>
      <c r="H1216" s="24">
        <v>0</v>
      </c>
      <c r="I1216" s="24">
        <v>0</v>
      </c>
      <c r="J1216" s="24">
        <v>0</v>
      </c>
      <c r="K1216" s="24">
        <v>1</v>
      </c>
      <c r="L1216" s="24">
        <v>0</v>
      </c>
      <c r="M1216" s="24">
        <v>0</v>
      </c>
    </row>
    <row r="1217" spans="2:13" ht="14" x14ac:dyDescent="0.2">
      <c r="B1217" s="24">
        <v>29</v>
      </c>
      <c r="C1217" s="24">
        <v>129</v>
      </c>
      <c r="D1217" s="24">
        <v>4</v>
      </c>
      <c r="E1217" s="24">
        <v>4.2</v>
      </c>
      <c r="F1217" s="24">
        <v>0</v>
      </c>
      <c r="G1217" s="24">
        <v>0</v>
      </c>
      <c r="H1217" s="24">
        <v>0</v>
      </c>
      <c r="I1217" s="24">
        <v>0</v>
      </c>
      <c r="J1217" s="24">
        <v>0</v>
      </c>
      <c r="K1217" s="24">
        <v>0</v>
      </c>
      <c r="L1217" s="24">
        <v>0</v>
      </c>
      <c r="M1217" s="24">
        <v>1</v>
      </c>
    </row>
    <row r="1218" spans="2:13" ht="14" x14ac:dyDescent="0.2">
      <c r="B1218" s="24">
        <v>39</v>
      </c>
      <c r="C1218" s="24">
        <v>160</v>
      </c>
      <c r="D1218" s="24">
        <v>2</v>
      </c>
      <c r="E1218" s="24">
        <v>2.1</v>
      </c>
      <c r="F1218" s="24">
        <v>1</v>
      </c>
      <c r="G1218" s="24">
        <v>0</v>
      </c>
      <c r="H1218" s="24">
        <v>0</v>
      </c>
      <c r="I1218" s="24">
        <v>0</v>
      </c>
      <c r="J1218" s="24">
        <v>0</v>
      </c>
      <c r="K1218" s="24">
        <v>1</v>
      </c>
      <c r="L1218" s="24">
        <v>1</v>
      </c>
      <c r="M1218" s="24">
        <v>0</v>
      </c>
    </row>
    <row r="1219" spans="2:13" ht="14" x14ac:dyDescent="0.2">
      <c r="B1219" s="24">
        <v>32</v>
      </c>
      <c r="C1219" s="24">
        <v>23</v>
      </c>
      <c r="D1219" s="24">
        <v>2</v>
      </c>
      <c r="E1219" s="24">
        <v>0.2</v>
      </c>
      <c r="F1219" s="24">
        <v>0</v>
      </c>
      <c r="G1219" s="24">
        <v>0</v>
      </c>
      <c r="H1219" s="24">
        <v>0</v>
      </c>
      <c r="I1219" s="24">
        <v>0</v>
      </c>
      <c r="J1219" s="24">
        <v>0</v>
      </c>
      <c r="K1219" s="24">
        <v>0</v>
      </c>
      <c r="L1219" s="24">
        <v>0</v>
      </c>
      <c r="M1219" s="24">
        <v>0</v>
      </c>
    </row>
    <row r="1220" spans="2:13" ht="14" x14ac:dyDescent="0.2">
      <c r="B1220" s="24">
        <v>18</v>
      </c>
      <c r="C1220" s="24">
        <v>41</v>
      </c>
      <c r="D1220" s="24">
        <v>1</v>
      </c>
      <c r="E1220" s="24">
        <v>1.8</v>
      </c>
      <c r="F1220" s="24">
        <v>1</v>
      </c>
      <c r="G1220" s="24">
        <v>0</v>
      </c>
      <c r="H1220" s="24">
        <v>94</v>
      </c>
      <c r="I1220" s="24">
        <v>0</v>
      </c>
      <c r="J1220" s="24">
        <v>0</v>
      </c>
      <c r="K1220" s="24">
        <v>1</v>
      </c>
      <c r="L1220" s="24">
        <v>0</v>
      </c>
      <c r="M1220" s="24">
        <v>0</v>
      </c>
    </row>
    <row r="1221" spans="2:13" ht="14" x14ac:dyDescent="0.2">
      <c r="B1221" s="24">
        <v>29</v>
      </c>
      <c r="C1221" s="24">
        <v>172</v>
      </c>
      <c r="D1221" s="24">
        <v>1</v>
      </c>
      <c r="E1221" s="24">
        <v>5.2</v>
      </c>
      <c r="F1221" s="24">
        <v>0</v>
      </c>
      <c r="G1221" s="24">
        <v>1</v>
      </c>
      <c r="H1221" s="24">
        <v>0</v>
      </c>
      <c r="I1221" s="24">
        <v>0</v>
      </c>
      <c r="J1221" s="24">
        <v>0</v>
      </c>
      <c r="K1221" s="24">
        <v>0</v>
      </c>
      <c r="L1221" s="24">
        <v>0</v>
      </c>
      <c r="M1221" s="24">
        <v>1</v>
      </c>
    </row>
    <row r="1222" spans="2:13" ht="14" x14ac:dyDescent="0.2">
      <c r="B1222" s="24">
        <v>3</v>
      </c>
      <c r="C1222" s="24">
        <v>52</v>
      </c>
      <c r="D1222" s="24">
        <v>4</v>
      </c>
      <c r="E1222" s="24">
        <v>2.2000000000000002</v>
      </c>
      <c r="F1222" s="24">
        <v>1</v>
      </c>
      <c r="G1222" s="24">
        <v>0</v>
      </c>
      <c r="H1222" s="24">
        <v>230</v>
      </c>
      <c r="I1222" s="24">
        <v>0</v>
      </c>
      <c r="J1222" s="24">
        <v>0</v>
      </c>
      <c r="K1222" s="24">
        <v>1</v>
      </c>
      <c r="L1222" s="24">
        <v>0</v>
      </c>
      <c r="M1222" s="24">
        <v>0</v>
      </c>
    </row>
    <row r="1223" spans="2:13" ht="14" x14ac:dyDescent="0.2">
      <c r="B1223" s="24">
        <v>0</v>
      </c>
      <c r="C1223" s="24">
        <v>88</v>
      </c>
      <c r="D1223" s="24">
        <v>3</v>
      </c>
      <c r="E1223" s="24">
        <v>0.8</v>
      </c>
      <c r="F1223" s="24">
        <v>1</v>
      </c>
      <c r="G1223" s="24">
        <v>0</v>
      </c>
      <c r="H1223" s="24">
        <v>134</v>
      </c>
      <c r="I1223" s="24">
        <v>0</v>
      </c>
      <c r="J1223" s="24">
        <v>0</v>
      </c>
      <c r="K1223" s="24">
        <v>0</v>
      </c>
      <c r="L1223" s="24">
        <v>0</v>
      </c>
      <c r="M1223" s="24">
        <v>0</v>
      </c>
    </row>
    <row r="1224" spans="2:13" ht="14" x14ac:dyDescent="0.2">
      <c r="B1224" s="24">
        <v>32</v>
      </c>
      <c r="C1224" s="24">
        <v>124</v>
      </c>
      <c r="D1224" s="24">
        <v>1</v>
      </c>
      <c r="E1224" s="24">
        <v>0.2</v>
      </c>
      <c r="F1224" s="24">
        <v>0</v>
      </c>
      <c r="G1224" s="24">
        <v>1</v>
      </c>
      <c r="H1224" s="24">
        <v>0</v>
      </c>
      <c r="I1224" s="24">
        <v>0</v>
      </c>
      <c r="J1224" s="24">
        <v>0</v>
      </c>
      <c r="K1224" s="24">
        <v>1</v>
      </c>
      <c r="L1224" s="24">
        <v>0</v>
      </c>
      <c r="M1224" s="24">
        <v>1</v>
      </c>
    </row>
    <row r="1225" spans="2:13" ht="14" x14ac:dyDescent="0.2">
      <c r="B1225" s="24">
        <v>39</v>
      </c>
      <c r="C1225" s="24">
        <v>22</v>
      </c>
      <c r="D1225" s="24">
        <v>4</v>
      </c>
      <c r="E1225" s="24">
        <v>0.6</v>
      </c>
      <c r="F1225" s="24">
        <v>0</v>
      </c>
      <c r="G1225" s="24">
        <v>1</v>
      </c>
      <c r="H1225" s="24">
        <v>0</v>
      </c>
      <c r="I1225" s="24">
        <v>0</v>
      </c>
      <c r="J1225" s="24">
        <v>0</v>
      </c>
      <c r="K1225" s="24">
        <v>0</v>
      </c>
      <c r="L1225" s="24">
        <v>0</v>
      </c>
      <c r="M1225" s="24">
        <v>0</v>
      </c>
    </row>
    <row r="1226" spans="2:13" ht="14" x14ac:dyDescent="0.2">
      <c r="B1226" s="24">
        <v>13</v>
      </c>
      <c r="C1226" s="24">
        <v>105</v>
      </c>
      <c r="D1226" s="24">
        <v>1</v>
      </c>
      <c r="E1226" s="24">
        <v>0.8</v>
      </c>
      <c r="F1226" s="24">
        <v>0</v>
      </c>
      <c r="G1226" s="24">
        <v>1</v>
      </c>
      <c r="H1226" s="24">
        <v>0</v>
      </c>
      <c r="I1226" s="24">
        <v>0</v>
      </c>
      <c r="J1226" s="24">
        <v>0</v>
      </c>
      <c r="K1226" s="24">
        <v>0</v>
      </c>
      <c r="L1226" s="24">
        <v>1</v>
      </c>
      <c r="M1226" s="24">
        <v>0</v>
      </c>
    </row>
    <row r="1227" spans="2:13" ht="14" x14ac:dyDescent="0.2">
      <c r="B1227" s="24">
        <v>9</v>
      </c>
      <c r="C1227" s="24">
        <v>63</v>
      </c>
      <c r="D1227" s="24">
        <v>2</v>
      </c>
      <c r="E1227" s="24">
        <v>1.8</v>
      </c>
      <c r="F1227" s="24">
        <v>1</v>
      </c>
      <c r="G1227" s="24">
        <v>0</v>
      </c>
      <c r="H1227" s="24">
        <v>0</v>
      </c>
      <c r="I1227" s="24">
        <v>0</v>
      </c>
      <c r="J1227" s="24">
        <v>0</v>
      </c>
      <c r="K1227" s="24">
        <v>1</v>
      </c>
      <c r="L1227" s="24">
        <v>0</v>
      </c>
      <c r="M1227" s="24">
        <v>0</v>
      </c>
    </row>
    <row r="1228" spans="2:13" ht="14" x14ac:dyDescent="0.2">
      <c r="B1228" s="24">
        <v>26</v>
      </c>
      <c r="C1228" s="24">
        <v>63</v>
      </c>
      <c r="D1228" s="24">
        <v>2</v>
      </c>
      <c r="E1228" s="24">
        <v>1.5</v>
      </c>
      <c r="F1228" s="24">
        <v>0</v>
      </c>
      <c r="G1228" s="24">
        <v>1</v>
      </c>
      <c r="H1228" s="24">
        <v>0</v>
      </c>
      <c r="I1228" s="24">
        <v>1</v>
      </c>
      <c r="J1228" s="24">
        <v>0</v>
      </c>
      <c r="K1228" s="24">
        <v>1</v>
      </c>
      <c r="L1228" s="24">
        <v>0</v>
      </c>
      <c r="M1228" s="24">
        <v>0</v>
      </c>
    </row>
    <row r="1229" spans="2:13" ht="14" x14ac:dyDescent="0.2">
      <c r="B1229" s="24">
        <v>16</v>
      </c>
      <c r="C1229" s="24">
        <v>64</v>
      </c>
      <c r="D1229" s="24">
        <v>3</v>
      </c>
      <c r="E1229" s="24">
        <v>0.5</v>
      </c>
      <c r="F1229" s="24">
        <v>0</v>
      </c>
      <c r="G1229" s="24">
        <v>0</v>
      </c>
      <c r="H1229" s="24">
        <v>247</v>
      </c>
      <c r="I1229" s="24">
        <v>0</v>
      </c>
      <c r="J1229" s="24">
        <v>0</v>
      </c>
      <c r="K1229" s="24">
        <v>0</v>
      </c>
      <c r="L1229" s="24">
        <v>0</v>
      </c>
      <c r="M1229" s="24">
        <v>0</v>
      </c>
    </row>
    <row r="1230" spans="2:13" ht="14" x14ac:dyDescent="0.2">
      <c r="B1230" s="24">
        <v>2</v>
      </c>
      <c r="C1230" s="24">
        <v>19</v>
      </c>
      <c r="D1230" s="24">
        <v>4</v>
      </c>
      <c r="E1230" s="24">
        <v>0.4</v>
      </c>
      <c r="F1230" s="24">
        <v>1</v>
      </c>
      <c r="G1230" s="24">
        <v>0</v>
      </c>
      <c r="H1230" s="24">
        <v>0</v>
      </c>
      <c r="I1230" s="24">
        <v>0</v>
      </c>
      <c r="J1230" s="24">
        <v>0</v>
      </c>
      <c r="K1230" s="24">
        <v>1</v>
      </c>
      <c r="L1230" s="24">
        <v>1</v>
      </c>
      <c r="M1230" s="24">
        <v>0</v>
      </c>
    </row>
    <row r="1231" spans="2:13" ht="14" x14ac:dyDescent="0.2">
      <c r="B1231" s="24">
        <v>22</v>
      </c>
      <c r="C1231" s="24">
        <v>82</v>
      </c>
      <c r="D1231" s="24">
        <v>1</v>
      </c>
      <c r="E1231" s="24">
        <v>2.6666666666666701</v>
      </c>
      <c r="F1231" s="24">
        <v>0</v>
      </c>
      <c r="G1231" s="24">
        <v>1</v>
      </c>
      <c r="H1231" s="24">
        <v>125</v>
      </c>
      <c r="I1231" s="24">
        <v>0</v>
      </c>
      <c r="J1231" s="24">
        <v>0</v>
      </c>
      <c r="K1231" s="24">
        <v>1</v>
      </c>
      <c r="L1231" s="24">
        <v>0</v>
      </c>
      <c r="M1231" s="24">
        <v>0</v>
      </c>
    </row>
    <row r="1232" spans="2:13" ht="14" x14ac:dyDescent="0.2">
      <c r="B1232" s="24">
        <v>9</v>
      </c>
      <c r="C1232" s="24">
        <v>93</v>
      </c>
      <c r="D1232" s="24">
        <v>1</v>
      </c>
      <c r="E1232" s="24">
        <v>0</v>
      </c>
      <c r="F1232" s="24">
        <v>1</v>
      </c>
      <c r="G1232" s="24">
        <v>0</v>
      </c>
      <c r="H1232" s="24">
        <v>0</v>
      </c>
      <c r="I1232" s="24">
        <v>0</v>
      </c>
      <c r="J1232" s="24">
        <v>0</v>
      </c>
      <c r="K1232" s="24">
        <v>1</v>
      </c>
      <c r="L1232" s="24">
        <v>0</v>
      </c>
      <c r="M1232" s="24">
        <v>0</v>
      </c>
    </row>
    <row r="1233" spans="2:13" ht="14" x14ac:dyDescent="0.2">
      <c r="B1233" s="24">
        <v>5</v>
      </c>
      <c r="C1233" s="24">
        <v>51</v>
      </c>
      <c r="D1233" s="24">
        <v>1</v>
      </c>
      <c r="E1233" s="24">
        <v>1</v>
      </c>
      <c r="F1233" s="24">
        <v>1</v>
      </c>
      <c r="G1233" s="24">
        <v>0</v>
      </c>
      <c r="H1233" s="24">
        <v>0</v>
      </c>
      <c r="I1233" s="24">
        <v>0</v>
      </c>
      <c r="J1233" s="24">
        <v>0</v>
      </c>
      <c r="K1233" s="24">
        <v>1</v>
      </c>
      <c r="L1233" s="24">
        <v>0</v>
      </c>
      <c r="M1233" s="24">
        <v>0</v>
      </c>
    </row>
    <row r="1234" spans="2:13" ht="14" x14ac:dyDescent="0.2">
      <c r="B1234" s="24">
        <v>2</v>
      </c>
      <c r="C1234" s="24">
        <v>29</v>
      </c>
      <c r="D1234" s="24">
        <v>4</v>
      </c>
      <c r="E1234" s="24">
        <v>1.5</v>
      </c>
      <c r="F1234" s="24">
        <v>0</v>
      </c>
      <c r="G1234" s="24">
        <v>1</v>
      </c>
      <c r="H1234" s="24">
        <v>0</v>
      </c>
      <c r="I1234" s="24">
        <v>0</v>
      </c>
      <c r="J1234" s="24">
        <v>0</v>
      </c>
      <c r="K1234" s="24">
        <v>0</v>
      </c>
      <c r="L1234" s="24">
        <v>1</v>
      </c>
      <c r="M1234" s="24">
        <v>0</v>
      </c>
    </row>
    <row r="1235" spans="2:13" ht="14" x14ac:dyDescent="0.2">
      <c r="B1235" s="24">
        <v>25</v>
      </c>
      <c r="C1235" s="24">
        <v>22</v>
      </c>
      <c r="D1235" s="24">
        <v>4</v>
      </c>
      <c r="E1235" s="24">
        <v>0.2</v>
      </c>
      <c r="F1235" s="24">
        <v>1</v>
      </c>
      <c r="G1235" s="24">
        <v>0</v>
      </c>
      <c r="H1235" s="24">
        <v>83</v>
      </c>
      <c r="I1235" s="24">
        <v>0</v>
      </c>
      <c r="J1235" s="24">
        <v>0</v>
      </c>
      <c r="K1235" s="24">
        <v>1</v>
      </c>
      <c r="L1235" s="24">
        <v>0</v>
      </c>
      <c r="M1235" s="24">
        <v>0</v>
      </c>
    </row>
    <row r="1236" spans="2:13" ht="14" x14ac:dyDescent="0.2">
      <c r="B1236" s="24">
        <v>3</v>
      </c>
      <c r="C1236" s="24">
        <v>41</v>
      </c>
      <c r="D1236" s="24">
        <v>4</v>
      </c>
      <c r="E1236" s="24">
        <v>0.2</v>
      </c>
      <c r="F1236" s="24">
        <v>1</v>
      </c>
      <c r="G1236" s="24">
        <v>0</v>
      </c>
      <c r="H1236" s="24">
        <v>0</v>
      </c>
      <c r="I1236" s="24">
        <v>0</v>
      </c>
      <c r="J1236" s="24">
        <v>0</v>
      </c>
      <c r="K1236" s="24">
        <v>1</v>
      </c>
      <c r="L1236" s="24">
        <v>0</v>
      </c>
      <c r="M1236" s="24">
        <v>0</v>
      </c>
    </row>
    <row r="1237" spans="2:13" ht="14" x14ac:dyDescent="0.2">
      <c r="B1237" s="24">
        <v>39</v>
      </c>
      <c r="C1237" s="24">
        <v>42</v>
      </c>
      <c r="D1237" s="24">
        <v>3</v>
      </c>
      <c r="E1237" s="24">
        <v>0.5</v>
      </c>
      <c r="F1237" s="24">
        <v>0</v>
      </c>
      <c r="G1237" s="24">
        <v>1</v>
      </c>
      <c r="H1237" s="24">
        <v>116</v>
      </c>
      <c r="I1237" s="24">
        <v>0</v>
      </c>
      <c r="J1237" s="24">
        <v>0</v>
      </c>
      <c r="K1237" s="24">
        <v>1</v>
      </c>
      <c r="L1237" s="24">
        <v>0</v>
      </c>
      <c r="M1237" s="24">
        <v>0</v>
      </c>
    </row>
    <row r="1238" spans="2:13" ht="14" x14ac:dyDescent="0.2">
      <c r="B1238" s="24">
        <v>35</v>
      </c>
      <c r="C1238" s="24">
        <v>119</v>
      </c>
      <c r="D1238" s="24">
        <v>2</v>
      </c>
      <c r="E1238" s="24">
        <v>3.9</v>
      </c>
      <c r="F1238" s="24">
        <v>1</v>
      </c>
      <c r="G1238" s="24">
        <v>0</v>
      </c>
      <c r="H1238" s="24">
        <v>0</v>
      </c>
      <c r="I1238" s="24">
        <v>1</v>
      </c>
      <c r="J1238" s="24">
        <v>0</v>
      </c>
      <c r="K1238" s="24">
        <v>1</v>
      </c>
      <c r="L1238" s="24">
        <v>0</v>
      </c>
      <c r="M1238" s="24">
        <v>0</v>
      </c>
    </row>
    <row r="1239" spans="2:13" ht="14" x14ac:dyDescent="0.2">
      <c r="B1239" s="24">
        <v>27</v>
      </c>
      <c r="C1239" s="24">
        <v>72</v>
      </c>
      <c r="D1239" s="24">
        <v>2</v>
      </c>
      <c r="E1239" s="24">
        <v>1.5</v>
      </c>
      <c r="F1239" s="24">
        <v>0</v>
      </c>
      <c r="G1239" s="24">
        <v>1</v>
      </c>
      <c r="H1239" s="24">
        <v>0</v>
      </c>
      <c r="I1239" s="24">
        <v>0</v>
      </c>
      <c r="J1239" s="24">
        <v>0</v>
      </c>
      <c r="K1239" s="24">
        <v>1</v>
      </c>
      <c r="L1239" s="24">
        <v>0</v>
      </c>
      <c r="M1239" s="24">
        <v>0</v>
      </c>
    </row>
    <row r="1240" spans="2:13" ht="14" x14ac:dyDescent="0.2">
      <c r="B1240" s="24">
        <v>23</v>
      </c>
      <c r="C1240" s="24">
        <v>58</v>
      </c>
      <c r="D1240" s="24">
        <v>4</v>
      </c>
      <c r="E1240" s="24">
        <v>2.6</v>
      </c>
      <c r="F1240" s="24">
        <v>1</v>
      </c>
      <c r="G1240" s="24">
        <v>0</v>
      </c>
      <c r="H1240" s="24">
        <v>188</v>
      </c>
      <c r="I1240" s="24">
        <v>0</v>
      </c>
      <c r="J1240" s="24">
        <v>0</v>
      </c>
      <c r="K1240" s="24">
        <v>0</v>
      </c>
      <c r="L1240" s="24">
        <v>0</v>
      </c>
      <c r="M1240" s="24">
        <v>0</v>
      </c>
    </row>
    <row r="1241" spans="2:13" ht="14" x14ac:dyDescent="0.2">
      <c r="B1241" s="24">
        <v>3</v>
      </c>
      <c r="C1241" s="24">
        <v>135</v>
      </c>
      <c r="D1241" s="24">
        <v>2</v>
      </c>
      <c r="E1241" s="24">
        <v>3.3</v>
      </c>
      <c r="F1241" s="24">
        <v>1</v>
      </c>
      <c r="G1241" s="24">
        <v>0</v>
      </c>
      <c r="H1241" s="24">
        <v>0</v>
      </c>
      <c r="I1241" s="24">
        <v>0</v>
      </c>
      <c r="J1241" s="24">
        <v>0</v>
      </c>
      <c r="K1241" s="24">
        <v>0</v>
      </c>
      <c r="L1241" s="24">
        <v>1</v>
      </c>
      <c r="M1241" s="24">
        <v>0</v>
      </c>
    </row>
    <row r="1242" spans="2:13" ht="14" x14ac:dyDescent="0.2">
      <c r="B1242" s="24">
        <v>29</v>
      </c>
      <c r="C1242" s="24">
        <v>24</v>
      </c>
      <c r="D1242" s="24">
        <v>2</v>
      </c>
      <c r="E1242" s="24">
        <v>0.2</v>
      </c>
      <c r="F1242" s="24">
        <v>1</v>
      </c>
      <c r="G1242" s="24">
        <v>0</v>
      </c>
      <c r="H1242" s="24">
        <v>0</v>
      </c>
      <c r="I1242" s="24">
        <v>0</v>
      </c>
      <c r="J1242" s="24">
        <v>0</v>
      </c>
      <c r="K1242" s="24">
        <v>0</v>
      </c>
      <c r="L1242" s="24">
        <v>1</v>
      </c>
      <c r="M1242" s="24">
        <v>0</v>
      </c>
    </row>
    <row r="1243" spans="2:13" ht="14" x14ac:dyDescent="0.2">
      <c r="B1243" s="24">
        <v>39</v>
      </c>
      <c r="C1243" s="24">
        <v>73</v>
      </c>
      <c r="D1243" s="24">
        <v>3</v>
      </c>
      <c r="E1243" s="24">
        <v>2.4</v>
      </c>
      <c r="F1243" s="24">
        <v>1</v>
      </c>
      <c r="G1243" s="24">
        <v>0</v>
      </c>
      <c r="H1243" s="24">
        <v>185</v>
      </c>
      <c r="I1243" s="24">
        <v>0</v>
      </c>
      <c r="J1243" s="24">
        <v>0</v>
      </c>
      <c r="K1243" s="24">
        <v>0</v>
      </c>
      <c r="L1243" s="24">
        <v>0</v>
      </c>
      <c r="M1243" s="24">
        <v>0</v>
      </c>
    </row>
    <row r="1244" spans="2:13" ht="14" x14ac:dyDescent="0.2">
      <c r="B1244" s="24">
        <v>12</v>
      </c>
      <c r="C1244" s="24">
        <v>38</v>
      </c>
      <c r="D1244" s="24">
        <v>1</v>
      </c>
      <c r="E1244" s="24">
        <v>1.5</v>
      </c>
      <c r="F1244" s="24">
        <v>0</v>
      </c>
      <c r="G1244" s="24">
        <v>1</v>
      </c>
      <c r="H1244" s="24">
        <v>0</v>
      </c>
      <c r="I1244" s="24">
        <v>0</v>
      </c>
      <c r="J1244" s="24">
        <v>0</v>
      </c>
      <c r="K1244" s="24">
        <v>0</v>
      </c>
      <c r="L1244" s="24">
        <v>0</v>
      </c>
      <c r="M1244" s="24">
        <v>0</v>
      </c>
    </row>
    <row r="1245" spans="2:13" ht="14" x14ac:dyDescent="0.2">
      <c r="B1245" s="24">
        <v>19</v>
      </c>
      <c r="C1245" s="24">
        <v>60</v>
      </c>
      <c r="D1245" s="24">
        <v>1</v>
      </c>
      <c r="E1245" s="24">
        <v>0.7</v>
      </c>
      <c r="F1245" s="24">
        <v>0</v>
      </c>
      <c r="G1245" s="24">
        <v>0</v>
      </c>
      <c r="H1245" s="24">
        <v>159</v>
      </c>
      <c r="I1245" s="24">
        <v>0</v>
      </c>
      <c r="J1245" s="24">
        <v>0</v>
      </c>
      <c r="K1245" s="24">
        <v>1</v>
      </c>
      <c r="L1245" s="24">
        <v>0</v>
      </c>
      <c r="M1245" s="24">
        <v>0</v>
      </c>
    </row>
    <row r="1246" spans="2:13" ht="14" x14ac:dyDescent="0.2">
      <c r="B1246" s="24">
        <v>27</v>
      </c>
      <c r="C1246" s="24">
        <v>33</v>
      </c>
      <c r="D1246" s="24">
        <v>2</v>
      </c>
      <c r="E1246" s="24">
        <v>2</v>
      </c>
      <c r="F1246" s="24">
        <v>0</v>
      </c>
      <c r="G1246" s="24">
        <v>1</v>
      </c>
      <c r="H1246" s="24">
        <v>0</v>
      </c>
      <c r="I1246" s="24">
        <v>0</v>
      </c>
      <c r="J1246" s="24">
        <v>0</v>
      </c>
      <c r="K1246" s="24">
        <v>1</v>
      </c>
      <c r="L1246" s="24">
        <v>0</v>
      </c>
      <c r="M1246" s="24">
        <v>0</v>
      </c>
    </row>
    <row r="1247" spans="2:13" ht="14" x14ac:dyDescent="0.2">
      <c r="B1247" s="24">
        <v>5</v>
      </c>
      <c r="C1247" s="24">
        <v>178</v>
      </c>
      <c r="D1247" s="24">
        <v>2</v>
      </c>
      <c r="E1247" s="24">
        <v>6.7</v>
      </c>
      <c r="F1247" s="24">
        <v>1</v>
      </c>
      <c r="G1247" s="24">
        <v>0</v>
      </c>
      <c r="H1247" s="24">
        <v>0</v>
      </c>
      <c r="I1247" s="24">
        <v>0</v>
      </c>
      <c r="J1247" s="24">
        <v>0</v>
      </c>
      <c r="K1247" s="24">
        <v>0</v>
      </c>
      <c r="L1247" s="24">
        <v>0</v>
      </c>
      <c r="M1247" s="24">
        <v>0</v>
      </c>
    </row>
    <row r="1248" spans="2:13" ht="14" x14ac:dyDescent="0.2">
      <c r="B1248" s="24">
        <v>39</v>
      </c>
      <c r="C1248" s="24">
        <v>35</v>
      </c>
      <c r="D1248" s="24">
        <v>1</v>
      </c>
      <c r="E1248" s="24">
        <v>1.5</v>
      </c>
      <c r="F1248" s="24">
        <v>0</v>
      </c>
      <c r="G1248" s="24">
        <v>1</v>
      </c>
      <c r="H1248" s="24">
        <v>0</v>
      </c>
      <c r="I1248" s="24">
        <v>1</v>
      </c>
      <c r="J1248" s="24">
        <v>0</v>
      </c>
      <c r="K1248" s="24">
        <v>0</v>
      </c>
      <c r="L1248" s="24">
        <v>0</v>
      </c>
      <c r="M1248" s="24">
        <v>0</v>
      </c>
    </row>
    <row r="1249" spans="2:13" ht="14" x14ac:dyDescent="0.2">
      <c r="B1249" s="24">
        <v>0</v>
      </c>
      <c r="C1249" s="24">
        <v>15</v>
      </c>
      <c r="D1249" s="24">
        <v>4</v>
      </c>
      <c r="E1249" s="24">
        <v>0.4</v>
      </c>
      <c r="F1249" s="24">
        <v>1</v>
      </c>
      <c r="G1249" s="24">
        <v>0</v>
      </c>
      <c r="H1249" s="24">
        <v>0</v>
      </c>
      <c r="I1249" s="24">
        <v>0</v>
      </c>
      <c r="J1249" s="24">
        <v>0</v>
      </c>
      <c r="K1249" s="24">
        <v>0</v>
      </c>
      <c r="L1249" s="24">
        <v>1</v>
      </c>
      <c r="M1249" s="24">
        <v>0</v>
      </c>
    </row>
    <row r="1250" spans="2:13" ht="14" x14ac:dyDescent="0.2">
      <c r="B1250" s="24">
        <v>8</v>
      </c>
      <c r="C1250" s="24">
        <v>8</v>
      </c>
      <c r="D1250" s="24">
        <v>3</v>
      </c>
      <c r="E1250" s="24">
        <v>0.1</v>
      </c>
      <c r="F1250" s="24">
        <v>0</v>
      </c>
      <c r="G1250" s="24">
        <v>1</v>
      </c>
      <c r="H1250" s="24">
        <v>83</v>
      </c>
      <c r="I1250" s="24">
        <v>0</v>
      </c>
      <c r="J1250" s="24">
        <v>0</v>
      </c>
      <c r="K1250" s="24">
        <v>1</v>
      </c>
      <c r="L1250" s="24">
        <v>0</v>
      </c>
      <c r="M1250" s="24">
        <v>0</v>
      </c>
    </row>
    <row r="1251" spans="2:13" ht="14" x14ac:dyDescent="0.2">
      <c r="B1251" s="24">
        <v>21</v>
      </c>
      <c r="C1251" s="24">
        <v>52</v>
      </c>
      <c r="D1251" s="24">
        <v>3</v>
      </c>
      <c r="E1251" s="24">
        <v>2.7</v>
      </c>
      <c r="F1251" s="24">
        <v>0</v>
      </c>
      <c r="G1251" s="24">
        <v>1</v>
      </c>
      <c r="H1251" s="24">
        <v>228</v>
      </c>
      <c r="I1251" s="24">
        <v>0</v>
      </c>
      <c r="J1251" s="24">
        <v>0</v>
      </c>
      <c r="K1251" s="24">
        <v>0</v>
      </c>
      <c r="L1251" s="24">
        <v>1</v>
      </c>
      <c r="M1251" s="24">
        <v>0</v>
      </c>
    </row>
    <row r="1252" spans="2:13" ht="14" x14ac:dyDescent="0.2">
      <c r="B1252" s="24">
        <v>17</v>
      </c>
      <c r="C1252" s="24">
        <v>138</v>
      </c>
      <c r="D1252" s="24">
        <v>3</v>
      </c>
      <c r="E1252" s="24">
        <v>6.9</v>
      </c>
      <c r="F1252" s="24">
        <v>0</v>
      </c>
      <c r="G1252" s="24">
        <v>1</v>
      </c>
      <c r="H1252" s="24">
        <v>0</v>
      </c>
      <c r="I1252" s="24">
        <v>0</v>
      </c>
      <c r="J1252" s="24">
        <v>0</v>
      </c>
      <c r="K1252" s="24">
        <v>1</v>
      </c>
      <c r="L1252" s="24">
        <v>0</v>
      </c>
      <c r="M1252" s="24">
        <v>1</v>
      </c>
    </row>
    <row r="1253" spans="2:13" ht="14" x14ac:dyDescent="0.2">
      <c r="B1253" s="24">
        <v>11</v>
      </c>
      <c r="C1253" s="24">
        <v>34</v>
      </c>
      <c r="D1253" s="24">
        <v>3</v>
      </c>
      <c r="E1253" s="24">
        <v>0.2</v>
      </c>
      <c r="F1253" s="24">
        <v>0</v>
      </c>
      <c r="G1253" s="24">
        <v>1</v>
      </c>
      <c r="H1253" s="24">
        <v>0</v>
      </c>
      <c r="I1253" s="24">
        <v>0</v>
      </c>
      <c r="J1253" s="24">
        <v>0</v>
      </c>
      <c r="K1253" s="24">
        <v>0</v>
      </c>
      <c r="L1253" s="24">
        <v>0</v>
      </c>
      <c r="M1253" s="24">
        <v>0</v>
      </c>
    </row>
    <row r="1254" spans="2:13" ht="14" x14ac:dyDescent="0.2">
      <c r="B1254" s="24">
        <v>9</v>
      </c>
      <c r="C1254" s="24">
        <v>68</v>
      </c>
      <c r="D1254" s="24">
        <v>1</v>
      </c>
      <c r="E1254" s="24">
        <v>2.8</v>
      </c>
      <c r="F1254" s="24">
        <v>1</v>
      </c>
      <c r="G1254" s="24">
        <v>0</v>
      </c>
      <c r="H1254" s="24">
        <v>0</v>
      </c>
      <c r="I1254" s="24">
        <v>0</v>
      </c>
      <c r="J1254" s="24">
        <v>0</v>
      </c>
      <c r="K1254" s="24">
        <v>1</v>
      </c>
      <c r="L1254" s="24">
        <v>0</v>
      </c>
      <c r="M1254" s="24">
        <v>0</v>
      </c>
    </row>
    <row r="1255" spans="2:13" ht="14" x14ac:dyDescent="0.2">
      <c r="B1255" s="24">
        <v>33</v>
      </c>
      <c r="C1255" s="24">
        <v>122</v>
      </c>
      <c r="D1255" s="24">
        <v>4</v>
      </c>
      <c r="E1255" s="24">
        <v>0.2</v>
      </c>
      <c r="F1255" s="24">
        <v>0</v>
      </c>
      <c r="G1255" s="24">
        <v>1</v>
      </c>
      <c r="H1255" s="24">
        <v>0</v>
      </c>
      <c r="I1255" s="24">
        <v>0</v>
      </c>
      <c r="J1255" s="24">
        <v>1</v>
      </c>
      <c r="K1255" s="24">
        <v>1</v>
      </c>
      <c r="L1255" s="24">
        <v>0</v>
      </c>
      <c r="M1255" s="24">
        <v>1</v>
      </c>
    </row>
    <row r="1256" spans="2:13" ht="14" x14ac:dyDescent="0.2">
      <c r="B1256" s="24">
        <v>39</v>
      </c>
      <c r="C1256" s="24">
        <v>160</v>
      </c>
      <c r="D1256" s="24">
        <v>2</v>
      </c>
      <c r="E1256" s="24">
        <v>2.1</v>
      </c>
      <c r="F1256" s="24">
        <v>1</v>
      </c>
      <c r="G1256" s="24">
        <v>0</v>
      </c>
      <c r="H1256" s="24">
        <v>0</v>
      </c>
      <c r="I1256" s="24">
        <v>0</v>
      </c>
      <c r="J1256" s="24">
        <v>0</v>
      </c>
      <c r="K1256" s="24">
        <v>0</v>
      </c>
      <c r="L1256" s="24">
        <v>1</v>
      </c>
      <c r="M1256" s="24">
        <v>0</v>
      </c>
    </row>
    <row r="1257" spans="2:13" ht="14" x14ac:dyDescent="0.2">
      <c r="B1257" s="24">
        <v>8</v>
      </c>
      <c r="C1257" s="24">
        <v>8</v>
      </c>
      <c r="D1257" s="24">
        <v>4</v>
      </c>
      <c r="E1257" s="24">
        <v>0.7</v>
      </c>
      <c r="F1257" s="24">
        <v>0</v>
      </c>
      <c r="G1257" s="24">
        <v>1</v>
      </c>
      <c r="H1257" s="24">
        <v>0</v>
      </c>
      <c r="I1257" s="24">
        <v>1</v>
      </c>
      <c r="J1257" s="24">
        <v>0</v>
      </c>
      <c r="K1257" s="24">
        <v>1</v>
      </c>
      <c r="L1257" s="24">
        <v>0</v>
      </c>
      <c r="M1257" s="24">
        <v>0</v>
      </c>
    </row>
    <row r="1258" spans="2:13" ht="14" x14ac:dyDescent="0.2">
      <c r="B1258" s="24">
        <v>33</v>
      </c>
      <c r="C1258" s="24">
        <v>81</v>
      </c>
      <c r="D1258" s="24">
        <v>2</v>
      </c>
      <c r="E1258" s="24">
        <v>0</v>
      </c>
      <c r="F1258" s="24">
        <v>0</v>
      </c>
      <c r="G1258" s="24">
        <v>0</v>
      </c>
      <c r="H1258" s="24">
        <v>0</v>
      </c>
      <c r="I1258" s="24">
        <v>0</v>
      </c>
      <c r="J1258" s="24">
        <v>0</v>
      </c>
      <c r="K1258" s="24">
        <v>1</v>
      </c>
      <c r="L1258" s="24">
        <v>0</v>
      </c>
      <c r="M1258" s="24">
        <v>0</v>
      </c>
    </row>
    <row r="1259" spans="2:13" ht="14" x14ac:dyDescent="0.2">
      <c r="B1259" s="24">
        <v>4</v>
      </c>
      <c r="C1259" s="24">
        <v>59</v>
      </c>
      <c r="D1259" s="24">
        <v>4</v>
      </c>
      <c r="E1259" s="24">
        <v>2.2000000000000002</v>
      </c>
      <c r="F1259" s="24">
        <v>1</v>
      </c>
      <c r="G1259" s="24">
        <v>0</v>
      </c>
      <c r="H1259" s="24">
        <v>232</v>
      </c>
      <c r="I1259" s="24">
        <v>0</v>
      </c>
      <c r="J1259" s="24">
        <v>0</v>
      </c>
      <c r="K1259" s="24">
        <v>1</v>
      </c>
      <c r="L1259" s="24">
        <v>1</v>
      </c>
      <c r="M1259" s="24">
        <v>0</v>
      </c>
    </row>
    <row r="1260" spans="2:13" ht="14" x14ac:dyDescent="0.2">
      <c r="B1260" s="24">
        <v>27</v>
      </c>
      <c r="C1260" s="24">
        <v>90</v>
      </c>
      <c r="D1260" s="24">
        <v>2</v>
      </c>
      <c r="E1260" s="24">
        <v>4.5</v>
      </c>
      <c r="F1260" s="24">
        <v>0</v>
      </c>
      <c r="G1260" s="24">
        <v>0</v>
      </c>
      <c r="H1260" s="24">
        <v>0</v>
      </c>
      <c r="I1260" s="24">
        <v>0</v>
      </c>
      <c r="J1260" s="24">
        <v>0</v>
      </c>
      <c r="K1260" s="24">
        <v>1</v>
      </c>
      <c r="L1260" s="24">
        <v>0</v>
      </c>
      <c r="M1260" s="24">
        <v>0</v>
      </c>
    </row>
    <row r="1261" spans="2:13" ht="14" x14ac:dyDescent="0.2">
      <c r="B1261" s="24">
        <v>17</v>
      </c>
      <c r="C1261" s="24">
        <v>45</v>
      </c>
      <c r="D1261" s="24">
        <v>1</v>
      </c>
      <c r="E1261" s="24">
        <v>1.8</v>
      </c>
      <c r="F1261" s="24">
        <v>1</v>
      </c>
      <c r="G1261" s="24">
        <v>0</v>
      </c>
      <c r="H1261" s="24">
        <v>172</v>
      </c>
      <c r="I1261" s="24">
        <v>1</v>
      </c>
      <c r="J1261" s="24">
        <v>0</v>
      </c>
      <c r="K1261" s="24">
        <v>1</v>
      </c>
      <c r="L1261" s="24">
        <v>0</v>
      </c>
      <c r="M1261" s="24">
        <v>0</v>
      </c>
    </row>
    <row r="1262" spans="2:13" ht="14" x14ac:dyDescent="0.2">
      <c r="B1262" s="24">
        <v>25</v>
      </c>
      <c r="C1262" s="24">
        <v>69</v>
      </c>
      <c r="D1262" s="24">
        <v>1</v>
      </c>
      <c r="E1262" s="24">
        <v>0.3</v>
      </c>
      <c r="F1262" s="24">
        <v>1</v>
      </c>
      <c r="G1262" s="24">
        <v>0</v>
      </c>
      <c r="H1262" s="24">
        <v>0</v>
      </c>
      <c r="I1262" s="24">
        <v>0</v>
      </c>
      <c r="J1262" s="24">
        <v>0</v>
      </c>
      <c r="K1262" s="24">
        <v>1</v>
      </c>
      <c r="L1262" s="24">
        <v>1</v>
      </c>
      <c r="M1262" s="24">
        <v>0</v>
      </c>
    </row>
    <row r="1263" spans="2:13" ht="14" x14ac:dyDescent="0.2">
      <c r="B1263" s="24">
        <v>32</v>
      </c>
      <c r="C1263" s="24">
        <v>39</v>
      </c>
      <c r="D1263" s="24">
        <v>4</v>
      </c>
      <c r="E1263" s="24">
        <v>0.9</v>
      </c>
      <c r="F1263" s="24">
        <v>1</v>
      </c>
      <c r="G1263" s="24">
        <v>0</v>
      </c>
      <c r="H1263" s="24">
        <v>0</v>
      </c>
      <c r="I1263" s="24">
        <v>0</v>
      </c>
      <c r="J1263" s="24">
        <v>0</v>
      </c>
      <c r="K1263" s="24">
        <v>1</v>
      </c>
      <c r="L1263" s="24">
        <v>1</v>
      </c>
      <c r="M1263" s="24">
        <v>0</v>
      </c>
    </row>
    <row r="1264" spans="2:13" ht="14" x14ac:dyDescent="0.2">
      <c r="B1264" s="24">
        <v>15</v>
      </c>
      <c r="C1264" s="24">
        <v>80</v>
      </c>
      <c r="D1264" s="24">
        <v>1</v>
      </c>
      <c r="E1264" s="24">
        <v>5.2</v>
      </c>
      <c r="F1264" s="24">
        <v>1</v>
      </c>
      <c r="G1264" s="24">
        <v>0</v>
      </c>
      <c r="H1264" s="24">
        <v>0</v>
      </c>
      <c r="I1264" s="24">
        <v>0</v>
      </c>
      <c r="J1264" s="24">
        <v>0</v>
      </c>
      <c r="K1264" s="24">
        <v>0</v>
      </c>
      <c r="L1264" s="24">
        <v>0</v>
      </c>
      <c r="M1264" s="24">
        <v>0</v>
      </c>
    </row>
    <row r="1265" spans="2:13" ht="14" x14ac:dyDescent="0.2">
      <c r="B1265" s="24">
        <v>21</v>
      </c>
      <c r="C1265" s="24">
        <v>78</v>
      </c>
      <c r="D1265" s="24">
        <v>3</v>
      </c>
      <c r="E1265" s="24">
        <v>2</v>
      </c>
      <c r="F1265" s="24">
        <v>0</v>
      </c>
      <c r="G1265" s="24">
        <v>1</v>
      </c>
      <c r="H1265" s="24">
        <v>0</v>
      </c>
      <c r="I1265" s="24">
        <v>0</v>
      </c>
      <c r="J1265" s="24">
        <v>0</v>
      </c>
      <c r="K1265" s="24">
        <v>1</v>
      </c>
      <c r="L1265" s="24">
        <v>1</v>
      </c>
      <c r="M1265" s="24">
        <v>0</v>
      </c>
    </row>
    <row r="1266" spans="2:13" ht="14" x14ac:dyDescent="0.2">
      <c r="B1266" s="24">
        <v>36</v>
      </c>
      <c r="C1266" s="24">
        <v>41</v>
      </c>
      <c r="D1266" s="24">
        <v>4</v>
      </c>
      <c r="E1266" s="24">
        <v>1.3</v>
      </c>
      <c r="F1266" s="24">
        <v>1</v>
      </c>
      <c r="G1266" s="24">
        <v>0</v>
      </c>
      <c r="H1266" s="24">
        <v>174</v>
      </c>
      <c r="I1266" s="24">
        <v>0</v>
      </c>
      <c r="J1266" s="24">
        <v>0</v>
      </c>
      <c r="K1266" s="24">
        <v>1</v>
      </c>
      <c r="L1266" s="24">
        <v>1</v>
      </c>
      <c r="M1266" s="24">
        <v>0</v>
      </c>
    </row>
    <row r="1267" spans="2:13" ht="14" x14ac:dyDescent="0.2">
      <c r="B1267" s="24">
        <v>12</v>
      </c>
      <c r="C1267" s="24">
        <v>188</v>
      </c>
      <c r="D1267" s="24">
        <v>2</v>
      </c>
      <c r="E1267" s="24">
        <v>6.5</v>
      </c>
      <c r="F1267" s="24">
        <v>1</v>
      </c>
      <c r="G1267" s="24">
        <v>0</v>
      </c>
      <c r="H1267" s="24">
        <v>0</v>
      </c>
      <c r="I1267" s="24">
        <v>0</v>
      </c>
      <c r="J1267" s="24">
        <v>0</v>
      </c>
      <c r="K1267" s="24">
        <v>1</v>
      </c>
      <c r="L1267" s="24">
        <v>1</v>
      </c>
      <c r="M1267" s="24">
        <v>0</v>
      </c>
    </row>
    <row r="1268" spans="2:13" ht="14" x14ac:dyDescent="0.2">
      <c r="B1268" s="24">
        <v>27</v>
      </c>
      <c r="C1268" s="24">
        <v>89</v>
      </c>
      <c r="D1268" s="24">
        <v>1</v>
      </c>
      <c r="E1268" s="24">
        <v>0.8</v>
      </c>
      <c r="F1268" s="24">
        <v>0</v>
      </c>
      <c r="G1268" s="24">
        <v>0</v>
      </c>
      <c r="H1268" s="24">
        <v>0</v>
      </c>
      <c r="I1268" s="24">
        <v>1</v>
      </c>
      <c r="J1268" s="24">
        <v>0</v>
      </c>
      <c r="K1268" s="24">
        <v>1</v>
      </c>
      <c r="L1268" s="24">
        <v>0</v>
      </c>
      <c r="M1268" s="24">
        <v>0</v>
      </c>
    </row>
    <row r="1269" spans="2:13" ht="14" x14ac:dyDescent="0.2">
      <c r="B1269" s="24">
        <v>25</v>
      </c>
      <c r="C1269" s="24">
        <v>42</v>
      </c>
      <c r="D1269" s="24">
        <v>3</v>
      </c>
      <c r="E1269" s="24">
        <v>1.7</v>
      </c>
      <c r="F1269" s="24">
        <v>0</v>
      </c>
      <c r="G1269" s="24">
        <v>1</v>
      </c>
      <c r="H1269" s="24">
        <v>0</v>
      </c>
      <c r="I1269" s="24">
        <v>0</v>
      </c>
      <c r="J1269" s="24">
        <v>0</v>
      </c>
      <c r="K1269" s="24">
        <v>1</v>
      </c>
      <c r="L1269" s="24">
        <v>0</v>
      </c>
      <c r="M1269" s="24">
        <v>0</v>
      </c>
    </row>
    <row r="1270" spans="2:13" ht="14" x14ac:dyDescent="0.2">
      <c r="B1270" s="24">
        <v>9</v>
      </c>
      <c r="C1270" s="24">
        <v>14</v>
      </c>
      <c r="D1270" s="24">
        <v>3</v>
      </c>
      <c r="E1270" s="24">
        <v>0.9</v>
      </c>
      <c r="F1270" s="24">
        <v>0</v>
      </c>
      <c r="G1270" s="24">
        <v>0</v>
      </c>
      <c r="H1270" s="24">
        <v>114</v>
      </c>
      <c r="I1270" s="24">
        <v>0</v>
      </c>
      <c r="J1270" s="24">
        <v>0</v>
      </c>
      <c r="K1270" s="24">
        <v>0</v>
      </c>
      <c r="L1270" s="24">
        <v>0</v>
      </c>
      <c r="M1270" s="24">
        <v>0</v>
      </c>
    </row>
    <row r="1271" spans="2:13" ht="14" x14ac:dyDescent="0.2">
      <c r="B1271" s="24">
        <v>23</v>
      </c>
      <c r="C1271" s="24">
        <v>125</v>
      </c>
      <c r="D1271" s="24">
        <v>1</v>
      </c>
      <c r="E1271" s="24">
        <v>7.3</v>
      </c>
      <c r="F1271" s="24">
        <v>1</v>
      </c>
      <c r="G1271" s="24">
        <v>0</v>
      </c>
      <c r="H1271" s="24">
        <v>0</v>
      </c>
      <c r="I1271" s="24">
        <v>0</v>
      </c>
      <c r="J1271" s="24">
        <v>0</v>
      </c>
      <c r="K1271" s="24">
        <v>0</v>
      </c>
      <c r="L1271" s="24">
        <v>0</v>
      </c>
      <c r="M1271" s="24">
        <v>0</v>
      </c>
    </row>
    <row r="1272" spans="2:13" ht="14" x14ac:dyDescent="0.2">
      <c r="B1272" s="24">
        <v>28</v>
      </c>
      <c r="C1272" s="24">
        <v>90</v>
      </c>
      <c r="D1272" s="24">
        <v>1</v>
      </c>
      <c r="E1272" s="24">
        <v>2.6</v>
      </c>
      <c r="F1272" s="24">
        <v>0</v>
      </c>
      <c r="G1272" s="24">
        <v>1</v>
      </c>
      <c r="H1272" s="24">
        <v>0</v>
      </c>
      <c r="I1272" s="24">
        <v>1</v>
      </c>
      <c r="J1272" s="24">
        <v>0</v>
      </c>
      <c r="K1272" s="24">
        <v>1</v>
      </c>
      <c r="L1272" s="24">
        <v>0</v>
      </c>
      <c r="M1272" s="24">
        <v>0</v>
      </c>
    </row>
    <row r="1273" spans="2:13" ht="14" x14ac:dyDescent="0.2">
      <c r="B1273" s="24">
        <v>37</v>
      </c>
      <c r="C1273" s="24">
        <v>41</v>
      </c>
      <c r="D1273" s="24">
        <v>3</v>
      </c>
      <c r="E1273" s="24">
        <v>0.9</v>
      </c>
      <c r="F1273" s="24">
        <v>0</v>
      </c>
      <c r="G1273" s="24">
        <v>0</v>
      </c>
      <c r="H1273" s="24">
        <v>0</v>
      </c>
      <c r="I1273" s="24">
        <v>0</v>
      </c>
      <c r="J1273" s="24">
        <v>0</v>
      </c>
      <c r="K1273" s="24">
        <v>1</v>
      </c>
      <c r="L1273" s="24">
        <v>1</v>
      </c>
      <c r="M1273" s="24">
        <v>0</v>
      </c>
    </row>
    <row r="1274" spans="2:13" ht="14" x14ac:dyDescent="0.2">
      <c r="B1274" s="24">
        <v>25</v>
      </c>
      <c r="C1274" s="24">
        <v>181</v>
      </c>
      <c r="D1274" s="24">
        <v>1</v>
      </c>
      <c r="E1274" s="24">
        <v>1.7</v>
      </c>
      <c r="F1274" s="24">
        <v>1</v>
      </c>
      <c r="G1274" s="24">
        <v>0</v>
      </c>
      <c r="H1274" s="24">
        <v>0</v>
      </c>
      <c r="I1274" s="24">
        <v>0</v>
      </c>
      <c r="J1274" s="24">
        <v>0</v>
      </c>
      <c r="K1274" s="24">
        <v>1</v>
      </c>
      <c r="L1274" s="24">
        <v>1</v>
      </c>
      <c r="M1274" s="24">
        <v>0</v>
      </c>
    </row>
    <row r="1275" spans="2:13" ht="14" x14ac:dyDescent="0.2">
      <c r="B1275" s="24">
        <v>5</v>
      </c>
      <c r="C1275" s="24">
        <v>135</v>
      </c>
      <c r="D1275" s="24">
        <v>2</v>
      </c>
      <c r="E1275" s="24">
        <v>0.6</v>
      </c>
      <c r="F1275" s="24">
        <v>1</v>
      </c>
      <c r="G1275" s="24">
        <v>0</v>
      </c>
      <c r="H1275" s="24">
        <v>0</v>
      </c>
      <c r="I1275" s="24">
        <v>0</v>
      </c>
      <c r="J1275" s="24">
        <v>0</v>
      </c>
      <c r="K1275" s="24">
        <v>0</v>
      </c>
      <c r="L1275" s="24">
        <v>0</v>
      </c>
      <c r="M1275" s="24">
        <v>0</v>
      </c>
    </row>
    <row r="1276" spans="2:13" ht="14" x14ac:dyDescent="0.2">
      <c r="B1276" s="24">
        <v>16</v>
      </c>
      <c r="C1276" s="24">
        <v>23</v>
      </c>
      <c r="D1276" s="24">
        <v>2</v>
      </c>
      <c r="E1276" s="24">
        <v>1.4</v>
      </c>
      <c r="F1276" s="24">
        <v>0</v>
      </c>
      <c r="G1276" s="24">
        <v>1</v>
      </c>
      <c r="H1276" s="24">
        <v>0</v>
      </c>
      <c r="I1276" s="24">
        <v>1</v>
      </c>
      <c r="J1276" s="24">
        <v>0</v>
      </c>
      <c r="K1276" s="24">
        <v>1</v>
      </c>
      <c r="L1276" s="24">
        <v>0</v>
      </c>
      <c r="M1276" s="24">
        <v>0</v>
      </c>
    </row>
    <row r="1277" spans="2:13" ht="14" x14ac:dyDescent="0.2">
      <c r="B1277" s="24">
        <v>17</v>
      </c>
      <c r="C1277" s="24">
        <v>28</v>
      </c>
      <c r="D1277" s="24">
        <v>1</v>
      </c>
      <c r="E1277" s="24">
        <v>0.7</v>
      </c>
      <c r="F1277" s="24">
        <v>1</v>
      </c>
      <c r="G1277" s="24">
        <v>0</v>
      </c>
      <c r="H1277" s="24">
        <v>0</v>
      </c>
      <c r="I1277" s="24">
        <v>0</v>
      </c>
      <c r="J1277" s="24">
        <v>0</v>
      </c>
      <c r="K1277" s="24">
        <v>0</v>
      </c>
      <c r="L1277" s="24">
        <v>1</v>
      </c>
      <c r="M1277" s="24">
        <v>0</v>
      </c>
    </row>
    <row r="1278" spans="2:13" ht="14" x14ac:dyDescent="0.2">
      <c r="B1278" s="24">
        <v>41</v>
      </c>
      <c r="C1278" s="24">
        <v>121</v>
      </c>
      <c r="D1278" s="24">
        <v>2</v>
      </c>
      <c r="E1278" s="24">
        <v>2.1</v>
      </c>
      <c r="F1278" s="24">
        <v>1</v>
      </c>
      <c r="G1278" s="24">
        <v>0</v>
      </c>
      <c r="H1278" s="24">
        <v>0</v>
      </c>
      <c r="I1278" s="24">
        <v>0</v>
      </c>
      <c r="J1278" s="24">
        <v>0</v>
      </c>
      <c r="K1278" s="24">
        <v>1</v>
      </c>
      <c r="L1278" s="24">
        <v>0</v>
      </c>
      <c r="M1278" s="24">
        <v>0</v>
      </c>
    </row>
    <row r="1279" spans="2:13" ht="14" x14ac:dyDescent="0.2">
      <c r="B1279" s="24">
        <v>18</v>
      </c>
      <c r="C1279" s="24">
        <v>50</v>
      </c>
      <c r="D1279" s="24">
        <v>4</v>
      </c>
      <c r="E1279" s="24">
        <v>1.9</v>
      </c>
      <c r="F1279" s="24">
        <v>0</v>
      </c>
      <c r="G1279" s="24">
        <v>0</v>
      </c>
      <c r="H1279" s="24">
        <v>0</v>
      </c>
      <c r="I1279" s="24">
        <v>0</v>
      </c>
      <c r="J1279" s="24">
        <v>0</v>
      </c>
      <c r="K1279" s="24">
        <v>0</v>
      </c>
      <c r="L1279" s="24">
        <v>0</v>
      </c>
      <c r="M1279" s="24">
        <v>0</v>
      </c>
    </row>
    <row r="1280" spans="2:13" ht="14" x14ac:dyDescent="0.2">
      <c r="B1280" s="24">
        <v>22</v>
      </c>
      <c r="C1280" s="24">
        <v>79</v>
      </c>
      <c r="D1280" s="24">
        <v>3</v>
      </c>
      <c r="E1280" s="24">
        <v>0.7</v>
      </c>
      <c r="F1280" s="24">
        <v>0</v>
      </c>
      <c r="G1280" s="24">
        <v>1</v>
      </c>
      <c r="H1280" s="24">
        <v>0</v>
      </c>
      <c r="I1280" s="24">
        <v>0</v>
      </c>
      <c r="J1280" s="24">
        <v>0</v>
      </c>
      <c r="K1280" s="24">
        <v>1</v>
      </c>
      <c r="L1280" s="24">
        <v>0</v>
      </c>
      <c r="M1280" s="24">
        <v>0</v>
      </c>
    </row>
    <row r="1281" spans="2:13" ht="14" x14ac:dyDescent="0.2">
      <c r="B1281" s="24">
        <v>38</v>
      </c>
      <c r="C1281" s="24">
        <v>78</v>
      </c>
      <c r="D1281" s="24">
        <v>1</v>
      </c>
      <c r="E1281" s="24">
        <v>1.8</v>
      </c>
      <c r="F1281" s="24">
        <v>0</v>
      </c>
      <c r="G1281" s="24">
        <v>0</v>
      </c>
      <c r="H1281" s="24">
        <v>0</v>
      </c>
      <c r="I1281" s="24">
        <v>0</v>
      </c>
      <c r="J1281" s="24">
        <v>0</v>
      </c>
      <c r="K1281" s="24">
        <v>0</v>
      </c>
      <c r="L1281" s="24">
        <v>0</v>
      </c>
      <c r="M1281" s="24">
        <v>0</v>
      </c>
    </row>
    <row r="1282" spans="2:13" ht="14" x14ac:dyDescent="0.2">
      <c r="B1282" s="24">
        <v>16</v>
      </c>
      <c r="C1282" s="24">
        <v>161</v>
      </c>
      <c r="D1282" s="24">
        <v>3</v>
      </c>
      <c r="E1282" s="24">
        <v>8</v>
      </c>
      <c r="F1282" s="24">
        <v>0</v>
      </c>
      <c r="G1282" s="24">
        <v>1</v>
      </c>
      <c r="H1282" s="24">
        <v>0</v>
      </c>
      <c r="I1282" s="24">
        <v>0</v>
      </c>
      <c r="J1282" s="24">
        <v>1</v>
      </c>
      <c r="K1282" s="24">
        <v>1</v>
      </c>
      <c r="L1282" s="24">
        <v>1</v>
      </c>
      <c r="M1282" s="24">
        <v>1</v>
      </c>
    </row>
    <row r="1283" spans="2:13" ht="14" x14ac:dyDescent="0.2">
      <c r="B1283" s="24">
        <v>10</v>
      </c>
      <c r="C1283" s="24">
        <v>42</v>
      </c>
      <c r="D1283" s="24">
        <v>4</v>
      </c>
      <c r="E1283" s="24">
        <v>1.2</v>
      </c>
      <c r="F1283" s="24">
        <v>0</v>
      </c>
      <c r="G1283" s="24">
        <v>1</v>
      </c>
      <c r="H1283" s="24">
        <v>0</v>
      </c>
      <c r="I1283" s="24">
        <v>0</v>
      </c>
      <c r="J1283" s="24">
        <v>0</v>
      </c>
      <c r="K1283" s="24">
        <v>1</v>
      </c>
      <c r="L1283" s="24">
        <v>1</v>
      </c>
      <c r="M1283" s="24">
        <v>0</v>
      </c>
    </row>
    <row r="1284" spans="2:13" ht="14" x14ac:dyDescent="0.2">
      <c r="B1284" s="24">
        <v>24</v>
      </c>
      <c r="C1284" s="24">
        <v>91</v>
      </c>
      <c r="D1284" s="24">
        <v>1</v>
      </c>
      <c r="E1284" s="24">
        <v>2.8</v>
      </c>
      <c r="F1284" s="24">
        <v>0</v>
      </c>
      <c r="G1284" s="24">
        <v>1</v>
      </c>
      <c r="H1284" s="24">
        <v>0</v>
      </c>
      <c r="I1284" s="24">
        <v>0</v>
      </c>
      <c r="J1284" s="24">
        <v>0</v>
      </c>
      <c r="K1284" s="24">
        <v>0</v>
      </c>
      <c r="L1284" s="24">
        <v>0</v>
      </c>
      <c r="M1284" s="24">
        <v>0</v>
      </c>
    </row>
    <row r="1285" spans="2:13" ht="14" x14ac:dyDescent="0.2">
      <c r="B1285" s="24">
        <v>39</v>
      </c>
      <c r="C1285" s="24">
        <v>75</v>
      </c>
      <c r="D1285" s="24">
        <v>4</v>
      </c>
      <c r="E1285" s="24">
        <v>0.1</v>
      </c>
      <c r="F1285" s="24">
        <v>0</v>
      </c>
      <c r="G1285" s="24">
        <v>1</v>
      </c>
      <c r="H1285" s="24">
        <v>0</v>
      </c>
      <c r="I1285" s="24">
        <v>0</v>
      </c>
      <c r="J1285" s="24">
        <v>1</v>
      </c>
      <c r="K1285" s="24">
        <v>1</v>
      </c>
      <c r="L1285" s="24">
        <v>1</v>
      </c>
      <c r="M1285" s="24">
        <v>0</v>
      </c>
    </row>
    <row r="1286" spans="2:13" ht="14" x14ac:dyDescent="0.2">
      <c r="B1286" s="24">
        <v>4</v>
      </c>
      <c r="C1286" s="24">
        <v>103</v>
      </c>
      <c r="D1286" s="24">
        <v>2</v>
      </c>
      <c r="E1286" s="24">
        <v>2.5</v>
      </c>
      <c r="F1286" s="24">
        <v>1</v>
      </c>
      <c r="G1286" s="24">
        <v>0</v>
      </c>
      <c r="H1286" s="24">
        <v>0</v>
      </c>
      <c r="I1286" s="24">
        <v>0</v>
      </c>
      <c r="J1286" s="24">
        <v>0</v>
      </c>
      <c r="K1286" s="24">
        <v>1</v>
      </c>
      <c r="L1286" s="24">
        <v>1</v>
      </c>
      <c r="M1286" s="24">
        <v>0</v>
      </c>
    </row>
    <row r="1287" spans="2:13" ht="14" x14ac:dyDescent="0.2">
      <c r="B1287" s="24">
        <v>29</v>
      </c>
      <c r="C1287" s="24">
        <v>10</v>
      </c>
      <c r="D1287" s="24">
        <v>2</v>
      </c>
      <c r="E1287" s="24">
        <v>0.4</v>
      </c>
      <c r="F1287" s="24">
        <v>1</v>
      </c>
      <c r="G1287" s="24">
        <v>0</v>
      </c>
      <c r="H1287" s="24">
        <v>0</v>
      </c>
      <c r="I1287" s="24">
        <v>0</v>
      </c>
      <c r="J1287" s="24">
        <v>0</v>
      </c>
      <c r="K1287" s="24">
        <v>0</v>
      </c>
      <c r="L1287" s="24">
        <v>0</v>
      </c>
      <c r="M1287" s="24">
        <v>0</v>
      </c>
    </row>
    <row r="1288" spans="2:13" ht="14" x14ac:dyDescent="0.2">
      <c r="B1288" s="24">
        <v>19</v>
      </c>
      <c r="C1288" s="24">
        <v>34</v>
      </c>
      <c r="D1288" s="24">
        <v>1</v>
      </c>
      <c r="E1288" s="24">
        <v>0.3</v>
      </c>
      <c r="F1288" s="24">
        <v>0</v>
      </c>
      <c r="G1288" s="24">
        <v>0</v>
      </c>
      <c r="H1288" s="24">
        <v>78</v>
      </c>
      <c r="I1288" s="24">
        <v>0</v>
      </c>
      <c r="J1288" s="24">
        <v>0</v>
      </c>
      <c r="K1288" s="24">
        <v>1</v>
      </c>
      <c r="L1288" s="24">
        <v>0</v>
      </c>
      <c r="M1288" s="24">
        <v>0</v>
      </c>
    </row>
    <row r="1289" spans="2:13" ht="14" x14ac:dyDescent="0.2">
      <c r="B1289" s="24">
        <v>25</v>
      </c>
      <c r="C1289" s="24">
        <v>93</v>
      </c>
      <c r="D1289" s="24">
        <v>1</v>
      </c>
      <c r="E1289" s="24">
        <v>2.7</v>
      </c>
      <c r="F1289" s="24">
        <v>1</v>
      </c>
      <c r="G1289" s="24">
        <v>0</v>
      </c>
      <c r="H1289" s="24">
        <v>0</v>
      </c>
      <c r="I1289" s="24">
        <v>1</v>
      </c>
      <c r="J1289" s="24">
        <v>0</v>
      </c>
      <c r="K1289" s="24">
        <v>1</v>
      </c>
      <c r="L1289" s="24">
        <v>0</v>
      </c>
      <c r="M1289" s="24">
        <v>0</v>
      </c>
    </row>
    <row r="1290" spans="2:13" ht="14" x14ac:dyDescent="0.2">
      <c r="B1290" s="24">
        <v>9</v>
      </c>
      <c r="C1290" s="24">
        <v>44</v>
      </c>
      <c r="D1290" s="24">
        <v>3</v>
      </c>
      <c r="E1290" s="24">
        <v>0.9</v>
      </c>
      <c r="F1290" s="24">
        <v>1</v>
      </c>
      <c r="G1290" s="24">
        <v>0</v>
      </c>
      <c r="H1290" s="24">
        <v>89</v>
      </c>
      <c r="I1290" s="24">
        <v>0</v>
      </c>
      <c r="J1290" s="24">
        <v>0</v>
      </c>
      <c r="K1290" s="24">
        <v>0</v>
      </c>
      <c r="L1290" s="24">
        <v>0</v>
      </c>
      <c r="M1290" s="24">
        <v>0</v>
      </c>
    </row>
    <row r="1291" spans="2:13" ht="14" x14ac:dyDescent="0.2">
      <c r="B1291" s="24">
        <v>35</v>
      </c>
      <c r="C1291" s="24">
        <v>41</v>
      </c>
      <c r="D1291" s="24">
        <v>4</v>
      </c>
      <c r="E1291" s="24">
        <v>1.7</v>
      </c>
      <c r="F1291" s="24">
        <v>0</v>
      </c>
      <c r="G1291" s="24">
        <v>1</v>
      </c>
      <c r="H1291" s="24">
        <v>0</v>
      </c>
      <c r="I1291" s="24">
        <v>1</v>
      </c>
      <c r="J1291" s="24">
        <v>0</v>
      </c>
      <c r="K1291" s="24">
        <v>1</v>
      </c>
      <c r="L1291" s="24">
        <v>0</v>
      </c>
      <c r="M1291" s="24">
        <v>0</v>
      </c>
    </row>
    <row r="1292" spans="2:13" ht="14" x14ac:dyDescent="0.2">
      <c r="B1292" s="24">
        <v>30</v>
      </c>
      <c r="C1292" s="24">
        <v>28</v>
      </c>
      <c r="D1292" s="24">
        <v>1</v>
      </c>
      <c r="E1292" s="24">
        <v>1.5</v>
      </c>
      <c r="F1292" s="24">
        <v>0</v>
      </c>
      <c r="G1292" s="24">
        <v>0</v>
      </c>
      <c r="H1292" s="24">
        <v>124</v>
      </c>
      <c r="I1292" s="24">
        <v>1</v>
      </c>
      <c r="J1292" s="24">
        <v>0</v>
      </c>
      <c r="K1292" s="24">
        <v>1</v>
      </c>
      <c r="L1292" s="24">
        <v>0</v>
      </c>
      <c r="M1292" s="24">
        <v>0</v>
      </c>
    </row>
    <row r="1293" spans="2:13" ht="14" x14ac:dyDescent="0.2">
      <c r="B1293" s="24">
        <v>27</v>
      </c>
      <c r="C1293" s="24">
        <v>38</v>
      </c>
      <c r="D1293" s="24">
        <v>2</v>
      </c>
      <c r="E1293" s="24">
        <v>1</v>
      </c>
      <c r="F1293" s="24">
        <v>0</v>
      </c>
      <c r="G1293" s="24">
        <v>0</v>
      </c>
      <c r="H1293" s="24">
        <v>164</v>
      </c>
      <c r="I1293" s="24">
        <v>0</v>
      </c>
      <c r="J1293" s="24">
        <v>0</v>
      </c>
      <c r="K1293" s="24">
        <v>1</v>
      </c>
      <c r="L1293" s="24">
        <v>0</v>
      </c>
      <c r="M1293" s="24">
        <v>0</v>
      </c>
    </row>
    <row r="1294" spans="2:13" ht="14" x14ac:dyDescent="0.2">
      <c r="B1294" s="24">
        <v>29</v>
      </c>
      <c r="C1294" s="24">
        <v>58</v>
      </c>
      <c r="D1294" s="24">
        <v>4</v>
      </c>
      <c r="E1294" s="24">
        <v>1.3</v>
      </c>
      <c r="F1294" s="24">
        <v>0</v>
      </c>
      <c r="G1294" s="24">
        <v>0</v>
      </c>
      <c r="H1294" s="24">
        <v>0</v>
      </c>
      <c r="I1294" s="24">
        <v>0</v>
      </c>
      <c r="J1294" s="24">
        <v>0</v>
      </c>
      <c r="K1294" s="24">
        <v>0</v>
      </c>
      <c r="L1294" s="24">
        <v>0</v>
      </c>
      <c r="M1294" s="24">
        <v>0</v>
      </c>
    </row>
    <row r="1295" spans="2:13" ht="14" x14ac:dyDescent="0.2">
      <c r="B1295" s="24">
        <v>29</v>
      </c>
      <c r="C1295" s="24">
        <v>23</v>
      </c>
      <c r="D1295" s="24">
        <v>1</v>
      </c>
      <c r="E1295" s="24">
        <v>1.5</v>
      </c>
      <c r="F1295" s="24">
        <v>0</v>
      </c>
      <c r="G1295" s="24">
        <v>1</v>
      </c>
      <c r="H1295" s="24">
        <v>0</v>
      </c>
      <c r="I1295" s="24">
        <v>0</v>
      </c>
      <c r="J1295" s="24">
        <v>0</v>
      </c>
      <c r="K1295" s="24">
        <v>0</v>
      </c>
      <c r="L1295" s="24">
        <v>0</v>
      </c>
      <c r="M1295" s="24">
        <v>0</v>
      </c>
    </row>
    <row r="1296" spans="2:13" ht="14" x14ac:dyDescent="0.2">
      <c r="B1296" s="24">
        <v>27</v>
      </c>
      <c r="C1296" s="24">
        <v>33</v>
      </c>
      <c r="D1296" s="24">
        <v>2</v>
      </c>
      <c r="E1296" s="24">
        <v>0.7</v>
      </c>
      <c r="F1296" s="24">
        <v>0</v>
      </c>
      <c r="G1296" s="24">
        <v>1</v>
      </c>
      <c r="H1296" s="24">
        <v>0</v>
      </c>
      <c r="I1296" s="24">
        <v>0</v>
      </c>
      <c r="J1296" s="24">
        <v>0</v>
      </c>
      <c r="K1296" s="24">
        <v>0</v>
      </c>
      <c r="L1296" s="24">
        <v>1</v>
      </c>
      <c r="M1296" s="24">
        <v>0</v>
      </c>
    </row>
    <row r="1297" spans="2:13" ht="14" x14ac:dyDescent="0.2">
      <c r="B1297" s="24">
        <v>20</v>
      </c>
      <c r="C1297" s="24">
        <v>55</v>
      </c>
      <c r="D1297" s="24">
        <v>1</v>
      </c>
      <c r="E1297" s="24">
        <v>0.3</v>
      </c>
      <c r="F1297" s="24">
        <v>1</v>
      </c>
      <c r="G1297" s="24">
        <v>0</v>
      </c>
      <c r="H1297" s="24">
        <v>0</v>
      </c>
      <c r="I1297" s="24">
        <v>0</v>
      </c>
      <c r="J1297" s="24">
        <v>0</v>
      </c>
      <c r="K1297" s="24">
        <v>1</v>
      </c>
      <c r="L1297" s="24">
        <v>1</v>
      </c>
      <c r="M1297" s="24">
        <v>0</v>
      </c>
    </row>
    <row r="1298" spans="2:13" ht="14" x14ac:dyDescent="0.2">
      <c r="B1298" s="24">
        <v>7</v>
      </c>
      <c r="C1298" s="24">
        <v>30</v>
      </c>
      <c r="D1298" s="24">
        <v>2</v>
      </c>
      <c r="E1298" s="24">
        <v>2</v>
      </c>
      <c r="F1298" s="24">
        <v>0</v>
      </c>
      <c r="G1298" s="24">
        <v>0</v>
      </c>
      <c r="H1298" s="24">
        <v>132</v>
      </c>
      <c r="I1298" s="24">
        <v>0</v>
      </c>
      <c r="J1298" s="24">
        <v>0</v>
      </c>
      <c r="K1298" s="24">
        <v>0</v>
      </c>
      <c r="L1298" s="24">
        <v>0</v>
      </c>
      <c r="M1298" s="24">
        <v>0</v>
      </c>
    </row>
    <row r="1299" spans="2:13" ht="14" x14ac:dyDescent="0.2">
      <c r="B1299" s="24">
        <v>29</v>
      </c>
      <c r="C1299" s="24">
        <v>79</v>
      </c>
      <c r="D1299" s="24">
        <v>3</v>
      </c>
      <c r="E1299" s="24">
        <v>0.8</v>
      </c>
      <c r="F1299" s="24">
        <v>1</v>
      </c>
      <c r="G1299" s="24">
        <v>0</v>
      </c>
      <c r="H1299" s="24">
        <v>0</v>
      </c>
      <c r="I1299" s="24">
        <v>0</v>
      </c>
      <c r="J1299" s="24">
        <v>0</v>
      </c>
      <c r="K1299" s="24">
        <v>1</v>
      </c>
      <c r="L1299" s="24">
        <v>0</v>
      </c>
      <c r="M1299" s="24">
        <v>0</v>
      </c>
    </row>
    <row r="1300" spans="2:13" ht="14" x14ac:dyDescent="0.2">
      <c r="B1300" s="24">
        <v>24</v>
      </c>
      <c r="C1300" s="24">
        <v>51</v>
      </c>
      <c r="D1300" s="24">
        <v>1</v>
      </c>
      <c r="E1300" s="24">
        <v>1.3</v>
      </c>
      <c r="F1300" s="24">
        <v>0</v>
      </c>
      <c r="G1300" s="24">
        <v>1</v>
      </c>
      <c r="H1300" s="24">
        <v>0</v>
      </c>
      <c r="I1300" s="24">
        <v>0</v>
      </c>
      <c r="J1300" s="24">
        <v>0</v>
      </c>
      <c r="K1300" s="24">
        <v>0</v>
      </c>
      <c r="L1300" s="24">
        <v>0</v>
      </c>
      <c r="M1300" s="24">
        <v>0</v>
      </c>
    </row>
    <row r="1301" spans="2:13" ht="14" x14ac:dyDescent="0.2">
      <c r="B1301" s="24">
        <v>20</v>
      </c>
      <c r="C1301" s="24">
        <v>82</v>
      </c>
      <c r="D1301" s="24">
        <v>3</v>
      </c>
      <c r="E1301" s="24">
        <v>0.7</v>
      </c>
      <c r="F1301" s="24">
        <v>0</v>
      </c>
      <c r="G1301" s="24">
        <v>1</v>
      </c>
      <c r="H1301" s="24">
        <v>0</v>
      </c>
      <c r="I1301" s="24">
        <v>0</v>
      </c>
      <c r="J1301" s="24">
        <v>0</v>
      </c>
      <c r="K1301" s="24">
        <v>1</v>
      </c>
      <c r="L1301" s="24">
        <v>1</v>
      </c>
      <c r="M1301" s="24">
        <v>0</v>
      </c>
    </row>
    <row r="1302" spans="2:13" ht="14" x14ac:dyDescent="0.2">
      <c r="B1302" s="24">
        <v>7</v>
      </c>
      <c r="C1302" s="24">
        <v>28</v>
      </c>
      <c r="D1302" s="24">
        <v>4</v>
      </c>
      <c r="E1302" s="24">
        <v>1.1000000000000001</v>
      </c>
      <c r="F1302" s="24">
        <v>0</v>
      </c>
      <c r="G1302" s="24">
        <v>0</v>
      </c>
      <c r="H1302" s="24">
        <v>0</v>
      </c>
      <c r="I1302" s="24">
        <v>0</v>
      </c>
      <c r="J1302" s="24">
        <v>0</v>
      </c>
      <c r="K1302" s="24">
        <v>0</v>
      </c>
      <c r="L1302" s="24">
        <v>0</v>
      </c>
      <c r="M1302" s="24">
        <v>0</v>
      </c>
    </row>
    <row r="1303" spans="2:13" ht="14" x14ac:dyDescent="0.2">
      <c r="B1303" s="24">
        <v>21</v>
      </c>
      <c r="C1303" s="24">
        <v>79</v>
      </c>
      <c r="D1303" s="24">
        <v>3</v>
      </c>
      <c r="E1303" s="24">
        <v>1.1000000000000001</v>
      </c>
      <c r="F1303" s="24">
        <v>1</v>
      </c>
      <c r="G1303" s="24">
        <v>0</v>
      </c>
      <c r="H1303" s="24">
        <v>185</v>
      </c>
      <c r="I1303" s="24">
        <v>0</v>
      </c>
      <c r="J1303" s="24">
        <v>0</v>
      </c>
      <c r="K1303" s="24">
        <v>1</v>
      </c>
      <c r="L1303" s="24">
        <v>1</v>
      </c>
      <c r="M1303" s="24">
        <v>0</v>
      </c>
    </row>
    <row r="1304" spans="2:13" ht="14" x14ac:dyDescent="0.2">
      <c r="B1304" s="24">
        <v>13</v>
      </c>
      <c r="C1304" s="24">
        <v>88</v>
      </c>
      <c r="D1304" s="24">
        <v>4</v>
      </c>
      <c r="E1304" s="24">
        <v>1.4</v>
      </c>
      <c r="F1304" s="24">
        <v>0</v>
      </c>
      <c r="G1304" s="24">
        <v>1</v>
      </c>
      <c r="H1304" s="24">
        <v>0</v>
      </c>
      <c r="I1304" s="24">
        <v>0</v>
      </c>
      <c r="J1304" s="24">
        <v>0</v>
      </c>
      <c r="K1304" s="24">
        <v>1</v>
      </c>
      <c r="L1304" s="24">
        <v>1</v>
      </c>
      <c r="M1304" s="24">
        <v>0</v>
      </c>
    </row>
    <row r="1305" spans="2:13" ht="14" x14ac:dyDescent="0.2">
      <c r="B1305" s="24">
        <v>29</v>
      </c>
      <c r="C1305" s="24">
        <v>20</v>
      </c>
      <c r="D1305" s="24">
        <v>4</v>
      </c>
      <c r="E1305" s="24">
        <v>0.2</v>
      </c>
      <c r="F1305" s="24">
        <v>1</v>
      </c>
      <c r="G1305" s="24">
        <v>0</v>
      </c>
      <c r="H1305" s="24">
        <v>0</v>
      </c>
      <c r="I1305" s="24">
        <v>0</v>
      </c>
      <c r="J1305" s="24">
        <v>0</v>
      </c>
      <c r="K1305" s="24">
        <v>1</v>
      </c>
      <c r="L1305" s="24">
        <v>0</v>
      </c>
      <c r="M1305" s="24">
        <v>0</v>
      </c>
    </row>
    <row r="1306" spans="2:13" ht="14" x14ac:dyDescent="0.2">
      <c r="B1306" s="24">
        <v>1</v>
      </c>
      <c r="C1306" s="24">
        <v>98</v>
      </c>
      <c r="D1306" s="24">
        <v>1</v>
      </c>
      <c r="E1306" s="24">
        <v>5.4</v>
      </c>
      <c r="F1306" s="24">
        <v>1</v>
      </c>
      <c r="G1306" s="24">
        <v>0</v>
      </c>
      <c r="H1306" s="24">
        <v>0</v>
      </c>
      <c r="I1306" s="24">
        <v>0</v>
      </c>
      <c r="J1306" s="24">
        <v>0</v>
      </c>
      <c r="K1306" s="24">
        <v>1</v>
      </c>
      <c r="L1306" s="24">
        <v>0</v>
      </c>
      <c r="M1306" s="24">
        <v>0</v>
      </c>
    </row>
    <row r="1307" spans="2:13" ht="14" x14ac:dyDescent="0.2">
      <c r="B1307" s="24">
        <v>0</v>
      </c>
      <c r="C1307" s="24">
        <v>51</v>
      </c>
      <c r="D1307" s="24">
        <v>3</v>
      </c>
      <c r="E1307" s="24">
        <v>0.3</v>
      </c>
      <c r="F1307" s="24">
        <v>0</v>
      </c>
      <c r="G1307" s="24">
        <v>0</v>
      </c>
      <c r="H1307" s="24">
        <v>0</v>
      </c>
      <c r="I1307" s="24">
        <v>0</v>
      </c>
      <c r="J1307" s="24">
        <v>0</v>
      </c>
      <c r="K1307" s="24">
        <v>1</v>
      </c>
      <c r="L1307" s="24">
        <v>0</v>
      </c>
      <c r="M1307" s="24">
        <v>0</v>
      </c>
    </row>
    <row r="1308" spans="2:13" ht="14" x14ac:dyDescent="0.2">
      <c r="B1308" s="24">
        <v>25</v>
      </c>
      <c r="C1308" s="24">
        <v>132</v>
      </c>
      <c r="D1308" s="24">
        <v>1</v>
      </c>
      <c r="E1308" s="24">
        <v>0.3</v>
      </c>
      <c r="F1308" s="24">
        <v>1</v>
      </c>
      <c r="G1308" s="24">
        <v>0</v>
      </c>
      <c r="H1308" s="24">
        <v>0</v>
      </c>
      <c r="I1308" s="24">
        <v>0</v>
      </c>
      <c r="J1308" s="24">
        <v>0</v>
      </c>
      <c r="K1308" s="24">
        <v>1</v>
      </c>
      <c r="L1308" s="24">
        <v>0</v>
      </c>
      <c r="M1308" s="24">
        <v>0</v>
      </c>
    </row>
    <row r="1309" spans="2:13" ht="14" x14ac:dyDescent="0.2">
      <c r="B1309" s="24">
        <v>15</v>
      </c>
      <c r="C1309" s="24">
        <v>45</v>
      </c>
      <c r="D1309" s="24">
        <v>1</v>
      </c>
      <c r="E1309" s="24">
        <v>0.7</v>
      </c>
      <c r="F1309" s="24">
        <v>1</v>
      </c>
      <c r="G1309" s="24">
        <v>0</v>
      </c>
      <c r="H1309" s="24">
        <v>0</v>
      </c>
      <c r="I1309" s="24">
        <v>0</v>
      </c>
      <c r="J1309" s="24">
        <v>0</v>
      </c>
      <c r="K1309" s="24">
        <v>1</v>
      </c>
      <c r="L1309" s="24">
        <v>0</v>
      </c>
      <c r="M1309" s="24">
        <v>0</v>
      </c>
    </row>
    <row r="1310" spans="2:13" ht="14" x14ac:dyDescent="0.2">
      <c r="B1310" s="24">
        <v>5</v>
      </c>
      <c r="C1310" s="24">
        <v>129</v>
      </c>
      <c r="D1310" s="24">
        <v>3</v>
      </c>
      <c r="E1310" s="24">
        <v>5.9</v>
      </c>
      <c r="F1310" s="24">
        <v>0</v>
      </c>
      <c r="G1310" s="24">
        <v>0</v>
      </c>
      <c r="H1310" s="24">
        <v>319</v>
      </c>
      <c r="I1310" s="24">
        <v>1</v>
      </c>
      <c r="J1310" s="24">
        <v>1</v>
      </c>
      <c r="K1310" s="24">
        <v>0</v>
      </c>
      <c r="L1310" s="24">
        <v>1</v>
      </c>
      <c r="M1310" s="24">
        <v>1</v>
      </c>
    </row>
    <row r="1311" spans="2:13" ht="14" x14ac:dyDescent="0.2">
      <c r="B1311" s="24">
        <v>19</v>
      </c>
      <c r="C1311" s="24">
        <v>58</v>
      </c>
      <c r="D1311" s="24">
        <v>2</v>
      </c>
      <c r="E1311" s="24">
        <v>3.2</v>
      </c>
      <c r="F1311" s="24">
        <v>1</v>
      </c>
      <c r="G1311" s="24">
        <v>0</v>
      </c>
      <c r="H1311" s="24">
        <v>0</v>
      </c>
      <c r="I1311" s="24">
        <v>0</v>
      </c>
      <c r="J1311" s="24">
        <v>0</v>
      </c>
      <c r="K1311" s="24">
        <v>1</v>
      </c>
      <c r="L1311" s="24">
        <v>0</v>
      </c>
      <c r="M1311" s="24">
        <v>0</v>
      </c>
    </row>
    <row r="1312" spans="2:13" ht="14" x14ac:dyDescent="0.2">
      <c r="B1312" s="24">
        <v>36</v>
      </c>
      <c r="C1312" s="24">
        <v>41</v>
      </c>
      <c r="D1312" s="24">
        <v>2</v>
      </c>
      <c r="E1312" s="24">
        <v>1</v>
      </c>
      <c r="F1312" s="24">
        <v>0</v>
      </c>
      <c r="G1312" s="24">
        <v>0</v>
      </c>
      <c r="H1312" s="24">
        <v>154</v>
      </c>
      <c r="I1312" s="24">
        <v>1</v>
      </c>
      <c r="J1312" s="24">
        <v>0</v>
      </c>
      <c r="K1312" s="24">
        <v>1</v>
      </c>
      <c r="L1312" s="24">
        <v>0</v>
      </c>
      <c r="M1312" s="24">
        <v>0</v>
      </c>
    </row>
    <row r="1313" spans="2:13" ht="14" x14ac:dyDescent="0.2">
      <c r="B1313" s="24">
        <v>19</v>
      </c>
      <c r="C1313" s="24">
        <v>29</v>
      </c>
      <c r="D1313" s="24">
        <v>3</v>
      </c>
      <c r="E1313" s="24">
        <v>0.5</v>
      </c>
      <c r="F1313" s="24">
        <v>1</v>
      </c>
      <c r="G1313" s="24">
        <v>0</v>
      </c>
      <c r="H1313" s="24">
        <v>97</v>
      </c>
      <c r="I1313" s="24">
        <v>0</v>
      </c>
      <c r="J1313" s="24">
        <v>0</v>
      </c>
      <c r="K1313" s="24">
        <v>1</v>
      </c>
      <c r="L1313" s="24">
        <v>0</v>
      </c>
      <c r="M1313" s="24">
        <v>0</v>
      </c>
    </row>
    <row r="1314" spans="2:13" ht="14" x14ac:dyDescent="0.2">
      <c r="B1314" s="24">
        <v>2</v>
      </c>
      <c r="C1314" s="24">
        <v>48</v>
      </c>
      <c r="D1314" s="24">
        <v>3</v>
      </c>
      <c r="E1314" s="24">
        <v>0.7</v>
      </c>
      <c r="F1314" s="24">
        <v>0</v>
      </c>
      <c r="G1314" s="24">
        <v>1</v>
      </c>
      <c r="H1314" s="24">
        <v>0</v>
      </c>
      <c r="I1314" s="24">
        <v>0</v>
      </c>
      <c r="J1314" s="24">
        <v>0</v>
      </c>
      <c r="K1314" s="24">
        <v>1</v>
      </c>
      <c r="L1314" s="24">
        <v>0</v>
      </c>
      <c r="M1314" s="24">
        <v>0</v>
      </c>
    </row>
    <row r="1315" spans="2:13" ht="14" x14ac:dyDescent="0.2">
      <c r="B1315" s="24">
        <v>31</v>
      </c>
      <c r="C1315" s="24">
        <v>41</v>
      </c>
      <c r="D1315" s="24">
        <v>1</v>
      </c>
      <c r="E1315" s="24">
        <v>0.2</v>
      </c>
      <c r="F1315" s="24">
        <v>1</v>
      </c>
      <c r="G1315" s="24">
        <v>0</v>
      </c>
      <c r="H1315" s="24">
        <v>0</v>
      </c>
      <c r="I1315" s="24">
        <v>0</v>
      </c>
      <c r="J1315" s="24">
        <v>0</v>
      </c>
      <c r="K1315" s="24">
        <v>1</v>
      </c>
      <c r="L1315" s="24">
        <v>1</v>
      </c>
      <c r="M1315" s="24">
        <v>0</v>
      </c>
    </row>
    <row r="1316" spans="2:13" ht="14" x14ac:dyDescent="0.2">
      <c r="B1316" s="24">
        <v>26</v>
      </c>
      <c r="C1316" s="24">
        <v>23</v>
      </c>
      <c r="D1316" s="24">
        <v>4</v>
      </c>
      <c r="E1316" s="24">
        <v>0.2</v>
      </c>
      <c r="F1316" s="24">
        <v>1</v>
      </c>
      <c r="G1316" s="24">
        <v>0</v>
      </c>
      <c r="H1316" s="24">
        <v>0</v>
      </c>
      <c r="I1316" s="24">
        <v>0</v>
      </c>
      <c r="J1316" s="24">
        <v>0</v>
      </c>
      <c r="K1316" s="24">
        <v>0</v>
      </c>
      <c r="L1316" s="24">
        <v>1</v>
      </c>
      <c r="M1316" s="24">
        <v>0</v>
      </c>
    </row>
    <row r="1317" spans="2:13" ht="14" x14ac:dyDescent="0.2">
      <c r="B1317" s="24">
        <v>18</v>
      </c>
      <c r="C1317" s="24">
        <v>122</v>
      </c>
      <c r="D1317" s="24">
        <v>1</v>
      </c>
      <c r="E1317" s="24">
        <v>7</v>
      </c>
      <c r="F1317" s="24">
        <v>1</v>
      </c>
      <c r="G1317" s="24">
        <v>0</v>
      </c>
      <c r="H1317" s="24">
        <v>0</v>
      </c>
      <c r="I1317" s="24">
        <v>0</v>
      </c>
      <c r="J1317" s="24">
        <v>0</v>
      </c>
      <c r="K1317" s="24">
        <v>1</v>
      </c>
      <c r="L1317" s="24">
        <v>1</v>
      </c>
      <c r="M1317" s="24">
        <v>0</v>
      </c>
    </row>
    <row r="1318" spans="2:13" ht="14" x14ac:dyDescent="0.2">
      <c r="B1318" s="24">
        <v>29</v>
      </c>
      <c r="C1318" s="24">
        <v>120</v>
      </c>
      <c r="D1318" s="24">
        <v>4</v>
      </c>
      <c r="E1318" s="24">
        <v>2.7</v>
      </c>
      <c r="F1318" s="24">
        <v>0</v>
      </c>
      <c r="G1318" s="24">
        <v>1</v>
      </c>
      <c r="H1318" s="24">
        <v>111</v>
      </c>
      <c r="I1318" s="24">
        <v>1</v>
      </c>
      <c r="J1318" s="24">
        <v>1</v>
      </c>
      <c r="K1318" s="24">
        <v>1</v>
      </c>
      <c r="L1318" s="24">
        <v>0</v>
      </c>
      <c r="M1318" s="24">
        <v>1</v>
      </c>
    </row>
    <row r="1319" spans="2:13" ht="14" x14ac:dyDescent="0.2">
      <c r="B1319" s="24">
        <v>23</v>
      </c>
      <c r="C1319" s="24">
        <v>39</v>
      </c>
      <c r="D1319" s="24">
        <v>3</v>
      </c>
      <c r="E1319" s="24">
        <v>1</v>
      </c>
      <c r="F1319" s="24">
        <v>0</v>
      </c>
      <c r="G1319" s="24">
        <v>0</v>
      </c>
      <c r="H1319" s="24">
        <v>87</v>
      </c>
      <c r="I1319" s="24">
        <v>0</v>
      </c>
      <c r="J1319" s="24">
        <v>0</v>
      </c>
      <c r="K1319" s="24">
        <v>1</v>
      </c>
      <c r="L1319" s="24">
        <v>0</v>
      </c>
      <c r="M1319" s="24">
        <v>0</v>
      </c>
    </row>
    <row r="1320" spans="2:13" ht="14" x14ac:dyDescent="0.2">
      <c r="B1320" s="24">
        <v>9</v>
      </c>
      <c r="C1320" s="24">
        <v>55</v>
      </c>
      <c r="D1320" s="24">
        <v>3</v>
      </c>
      <c r="E1320" s="24">
        <v>2.2999999999999998</v>
      </c>
      <c r="F1320" s="24">
        <v>1</v>
      </c>
      <c r="G1320" s="24">
        <v>0</v>
      </c>
      <c r="H1320" s="24">
        <v>0</v>
      </c>
      <c r="I1320" s="24">
        <v>1</v>
      </c>
      <c r="J1320" s="24">
        <v>1</v>
      </c>
      <c r="K1320" s="24">
        <v>1</v>
      </c>
      <c r="L1320" s="24">
        <v>1</v>
      </c>
      <c r="M1320" s="24">
        <v>0</v>
      </c>
    </row>
    <row r="1321" spans="2:13" ht="14" x14ac:dyDescent="0.2">
      <c r="B1321" s="24">
        <v>20</v>
      </c>
      <c r="C1321" s="24">
        <v>70</v>
      </c>
      <c r="D1321" s="24">
        <v>4</v>
      </c>
      <c r="E1321" s="24">
        <v>1.9</v>
      </c>
      <c r="F1321" s="24">
        <v>1</v>
      </c>
      <c r="G1321" s="24">
        <v>0</v>
      </c>
      <c r="H1321" s="24">
        <v>0</v>
      </c>
      <c r="I1321" s="24">
        <v>0</v>
      </c>
      <c r="J1321" s="24">
        <v>0</v>
      </c>
      <c r="K1321" s="24">
        <v>1</v>
      </c>
      <c r="L1321" s="24">
        <v>0</v>
      </c>
      <c r="M1321" s="24">
        <v>0</v>
      </c>
    </row>
    <row r="1322" spans="2:13" ht="14" x14ac:dyDescent="0.2">
      <c r="B1322" s="24">
        <v>9</v>
      </c>
      <c r="C1322" s="24">
        <v>41</v>
      </c>
      <c r="D1322" s="24">
        <v>3</v>
      </c>
      <c r="E1322" s="24">
        <v>2</v>
      </c>
      <c r="F1322" s="24">
        <v>1</v>
      </c>
      <c r="G1322" s="24">
        <v>0</v>
      </c>
      <c r="H1322" s="24">
        <v>108</v>
      </c>
      <c r="I1322" s="24">
        <v>0</v>
      </c>
      <c r="J1322" s="24">
        <v>0</v>
      </c>
      <c r="K1322" s="24">
        <v>1</v>
      </c>
      <c r="L1322" s="24">
        <v>0</v>
      </c>
      <c r="M1322" s="24">
        <v>0</v>
      </c>
    </row>
    <row r="1323" spans="2:13" ht="14" x14ac:dyDescent="0.2">
      <c r="B1323" s="24">
        <v>26</v>
      </c>
      <c r="C1323" s="24">
        <v>48</v>
      </c>
      <c r="D1323" s="24">
        <v>4</v>
      </c>
      <c r="E1323" s="24">
        <v>0.1</v>
      </c>
      <c r="F1323" s="24">
        <v>0</v>
      </c>
      <c r="G1323" s="24">
        <v>0</v>
      </c>
      <c r="H1323" s="24">
        <v>0</v>
      </c>
      <c r="I1323" s="24">
        <v>0</v>
      </c>
      <c r="J1323" s="24">
        <v>0</v>
      </c>
      <c r="K1323" s="24">
        <v>0</v>
      </c>
      <c r="L1323" s="24">
        <v>1</v>
      </c>
      <c r="M1323" s="24">
        <v>0</v>
      </c>
    </row>
    <row r="1324" spans="2:13" ht="14" x14ac:dyDescent="0.2">
      <c r="B1324" s="24">
        <v>13</v>
      </c>
      <c r="C1324" s="24">
        <v>52</v>
      </c>
      <c r="D1324" s="24">
        <v>3</v>
      </c>
      <c r="E1324" s="24">
        <v>0.5</v>
      </c>
      <c r="F1324" s="24">
        <v>0</v>
      </c>
      <c r="G1324" s="24">
        <v>0</v>
      </c>
      <c r="H1324" s="24">
        <v>0</v>
      </c>
      <c r="I1324" s="24">
        <v>1</v>
      </c>
      <c r="J1324" s="24">
        <v>0</v>
      </c>
      <c r="K1324" s="24">
        <v>0</v>
      </c>
      <c r="L1324" s="24">
        <v>1</v>
      </c>
      <c r="M1324" s="24">
        <v>0</v>
      </c>
    </row>
    <row r="1325" spans="2:13" ht="14" x14ac:dyDescent="0.2">
      <c r="B1325" s="24">
        <v>32</v>
      </c>
      <c r="C1325" s="24">
        <v>85</v>
      </c>
      <c r="D1325" s="24">
        <v>3</v>
      </c>
      <c r="E1325" s="24">
        <v>2.6666666666666701</v>
      </c>
      <c r="F1325" s="24">
        <v>1</v>
      </c>
      <c r="G1325" s="24">
        <v>0</v>
      </c>
      <c r="H1325" s="24">
        <v>0</v>
      </c>
      <c r="I1325" s="24">
        <v>1</v>
      </c>
      <c r="J1325" s="24">
        <v>0</v>
      </c>
      <c r="K1325" s="24">
        <v>1</v>
      </c>
      <c r="L1325" s="24">
        <v>0</v>
      </c>
      <c r="M1325" s="24">
        <v>0</v>
      </c>
    </row>
    <row r="1326" spans="2:13" ht="14" x14ac:dyDescent="0.2">
      <c r="B1326" s="24">
        <v>10</v>
      </c>
      <c r="C1326" s="24">
        <v>61</v>
      </c>
      <c r="D1326" s="24">
        <v>4</v>
      </c>
      <c r="E1326" s="24">
        <v>2.1</v>
      </c>
      <c r="F1326" s="24">
        <v>0</v>
      </c>
      <c r="G1326" s="24">
        <v>0</v>
      </c>
      <c r="H1326" s="24">
        <v>0</v>
      </c>
      <c r="I1326" s="24">
        <v>0</v>
      </c>
      <c r="J1326" s="24">
        <v>0</v>
      </c>
      <c r="K1326" s="24">
        <v>1</v>
      </c>
      <c r="L1326" s="24">
        <v>0</v>
      </c>
      <c r="M1326" s="24">
        <v>0</v>
      </c>
    </row>
    <row r="1327" spans="2:13" ht="14" x14ac:dyDescent="0.2">
      <c r="B1327" s="24">
        <v>33</v>
      </c>
      <c r="C1327" s="24">
        <v>73</v>
      </c>
      <c r="D1327" s="24">
        <v>2</v>
      </c>
      <c r="E1327" s="24">
        <v>1.7</v>
      </c>
      <c r="F1327" s="24">
        <v>0</v>
      </c>
      <c r="G1327" s="24">
        <v>0</v>
      </c>
      <c r="H1327" s="24">
        <v>0</v>
      </c>
      <c r="I1327" s="24">
        <v>0</v>
      </c>
      <c r="J1327" s="24">
        <v>0</v>
      </c>
      <c r="K1327" s="24">
        <v>1</v>
      </c>
      <c r="L1327" s="24">
        <v>1</v>
      </c>
      <c r="M1327" s="24">
        <v>0</v>
      </c>
    </row>
    <row r="1328" spans="2:13" ht="14" x14ac:dyDescent="0.2">
      <c r="B1328" s="24">
        <v>38</v>
      </c>
      <c r="C1328" s="24">
        <v>28</v>
      </c>
      <c r="D1328" s="24">
        <v>2</v>
      </c>
      <c r="E1328" s="24">
        <v>0.5</v>
      </c>
      <c r="F1328" s="24">
        <v>0</v>
      </c>
      <c r="G1328" s="24">
        <v>1</v>
      </c>
      <c r="H1328" s="24">
        <v>89</v>
      </c>
      <c r="I1328" s="24">
        <v>0</v>
      </c>
      <c r="J1328" s="24">
        <v>0</v>
      </c>
      <c r="K1328" s="24">
        <v>1</v>
      </c>
      <c r="L1328" s="24">
        <v>0</v>
      </c>
      <c r="M1328" s="24">
        <v>0</v>
      </c>
    </row>
    <row r="1329" spans="2:13" ht="14" x14ac:dyDescent="0.2">
      <c r="B1329" s="24">
        <v>29</v>
      </c>
      <c r="C1329" s="24">
        <v>22</v>
      </c>
      <c r="D1329" s="24">
        <v>2</v>
      </c>
      <c r="E1329" s="24">
        <v>0.4</v>
      </c>
      <c r="F1329" s="24">
        <v>1</v>
      </c>
      <c r="G1329" s="24">
        <v>0</v>
      </c>
      <c r="H1329" s="24">
        <v>0</v>
      </c>
      <c r="I1329" s="24">
        <v>0</v>
      </c>
      <c r="J1329" s="24">
        <v>0</v>
      </c>
      <c r="K1329" s="24">
        <v>1</v>
      </c>
      <c r="L1329" s="24">
        <v>0</v>
      </c>
      <c r="M1329" s="24">
        <v>0</v>
      </c>
    </row>
    <row r="1330" spans="2:13" ht="14" x14ac:dyDescent="0.2">
      <c r="B1330" s="24">
        <v>33</v>
      </c>
      <c r="C1330" s="24">
        <v>93</v>
      </c>
      <c r="D1330" s="24">
        <v>2</v>
      </c>
      <c r="E1330" s="24">
        <v>0.7</v>
      </c>
      <c r="F1330" s="24">
        <v>0</v>
      </c>
      <c r="G1330" s="24">
        <v>1</v>
      </c>
      <c r="H1330" s="24">
        <v>0</v>
      </c>
      <c r="I1330" s="24">
        <v>0</v>
      </c>
      <c r="J1330" s="24">
        <v>0</v>
      </c>
      <c r="K1330" s="24">
        <v>0</v>
      </c>
      <c r="L1330" s="24">
        <v>0</v>
      </c>
      <c r="M1330" s="24">
        <v>0</v>
      </c>
    </row>
    <row r="1331" spans="2:13" ht="14" x14ac:dyDescent="0.2">
      <c r="B1331" s="24">
        <v>13</v>
      </c>
      <c r="C1331" s="24">
        <v>70</v>
      </c>
      <c r="D1331" s="24">
        <v>2</v>
      </c>
      <c r="E1331" s="24">
        <v>2.7</v>
      </c>
      <c r="F1331" s="24">
        <v>1</v>
      </c>
      <c r="G1331" s="24">
        <v>0</v>
      </c>
      <c r="H1331" s="24">
        <v>0</v>
      </c>
      <c r="I1331" s="24">
        <v>0</v>
      </c>
      <c r="J1331" s="24">
        <v>0</v>
      </c>
      <c r="K1331" s="24">
        <v>0</v>
      </c>
      <c r="L1331" s="24">
        <v>0</v>
      </c>
      <c r="M1331" s="24">
        <v>0</v>
      </c>
    </row>
    <row r="1332" spans="2:13" ht="14" x14ac:dyDescent="0.2">
      <c r="B1332" s="24">
        <v>25</v>
      </c>
      <c r="C1332" s="24">
        <v>190</v>
      </c>
      <c r="D1332" s="24">
        <v>2</v>
      </c>
      <c r="E1332" s="24">
        <v>4.2</v>
      </c>
      <c r="F1332" s="24">
        <v>0</v>
      </c>
      <c r="G1332" s="24">
        <v>1</v>
      </c>
      <c r="H1332" s="24">
        <v>0</v>
      </c>
      <c r="I1332" s="24">
        <v>0</v>
      </c>
      <c r="J1332" s="24">
        <v>0</v>
      </c>
      <c r="K1332" s="24">
        <v>1</v>
      </c>
      <c r="L1332" s="24">
        <v>0</v>
      </c>
      <c r="M1332" s="24">
        <v>1</v>
      </c>
    </row>
    <row r="1333" spans="2:13" ht="14" x14ac:dyDescent="0.2">
      <c r="B1333" s="24">
        <v>2</v>
      </c>
      <c r="C1333" s="24">
        <v>72</v>
      </c>
      <c r="D1333" s="24">
        <v>4</v>
      </c>
      <c r="E1333" s="24">
        <v>2.6</v>
      </c>
      <c r="F1333" s="24">
        <v>1</v>
      </c>
      <c r="G1333" s="24">
        <v>0</v>
      </c>
      <c r="H1333" s="24">
        <v>0</v>
      </c>
      <c r="I1333" s="24">
        <v>0</v>
      </c>
      <c r="J1333" s="24">
        <v>0</v>
      </c>
      <c r="K1333" s="24">
        <v>1</v>
      </c>
      <c r="L1333" s="24">
        <v>0</v>
      </c>
      <c r="M1333" s="24">
        <v>0</v>
      </c>
    </row>
    <row r="1334" spans="2:13" ht="14" x14ac:dyDescent="0.2">
      <c r="B1334" s="24">
        <v>27</v>
      </c>
      <c r="C1334" s="24">
        <v>15</v>
      </c>
      <c r="D1334" s="24">
        <v>4</v>
      </c>
      <c r="E1334" s="24">
        <v>0.8</v>
      </c>
      <c r="F1334" s="24">
        <v>1</v>
      </c>
      <c r="G1334" s="24">
        <v>0</v>
      </c>
      <c r="H1334" s="24">
        <v>101</v>
      </c>
      <c r="I1334" s="24">
        <v>0</v>
      </c>
      <c r="J1334" s="24">
        <v>0</v>
      </c>
      <c r="K1334" s="24">
        <v>0</v>
      </c>
      <c r="L1334" s="24">
        <v>0</v>
      </c>
      <c r="M1334" s="24">
        <v>0</v>
      </c>
    </row>
    <row r="1335" spans="2:13" ht="14" x14ac:dyDescent="0.2">
      <c r="B1335" s="24">
        <v>24</v>
      </c>
      <c r="C1335" s="24">
        <v>84</v>
      </c>
      <c r="D1335" s="24">
        <v>3</v>
      </c>
      <c r="E1335" s="24">
        <v>0.7</v>
      </c>
      <c r="F1335" s="24">
        <v>1</v>
      </c>
      <c r="G1335" s="24">
        <v>0</v>
      </c>
      <c r="H1335" s="24">
        <v>166</v>
      </c>
      <c r="I1335" s="24">
        <v>0</v>
      </c>
      <c r="J1335" s="24">
        <v>0</v>
      </c>
      <c r="K1335" s="24">
        <v>1</v>
      </c>
      <c r="L1335" s="24">
        <v>0</v>
      </c>
      <c r="M1335" s="24">
        <v>0</v>
      </c>
    </row>
    <row r="1336" spans="2:13" ht="14" x14ac:dyDescent="0.2">
      <c r="B1336" s="24">
        <v>29</v>
      </c>
      <c r="C1336" s="24">
        <v>154</v>
      </c>
      <c r="D1336" s="24">
        <v>4</v>
      </c>
      <c r="E1336" s="24">
        <v>7.4</v>
      </c>
      <c r="F1336" s="24">
        <v>0</v>
      </c>
      <c r="G1336" s="24">
        <v>0</v>
      </c>
      <c r="H1336" s="24">
        <v>0</v>
      </c>
      <c r="I1336" s="24">
        <v>0</v>
      </c>
      <c r="J1336" s="24">
        <v>0</v>
      </c>
      <c r="K1336" s="24">
        <v>0</v>
      </c>
      <c r="L1336" s="24">
        <v>0</v>
      </c>
      <c r="M1336" s="24">
        <v>1</v>
      </c>
    </row>
    <row r="1337" spans="2:13" ht="14" x14ac:dyDescent="0.2">
      <c r="B1337" s="24">
        <v>34</v>
      </c>
      <c r="C1337" s="24">
        <v>42</v>
      </c>
      <c r="D1337" s="24">
        <v>4</v>
      </c>
      <c r="E1337" s="24">
        <v>1.5</v>
      </c>
      <c r="F1337" s="24">
        <v>1</v>
      </c>
      <c r="G1337" s="24">
        <v>0</v>
      </c>
      <c r="H1337" s="24">
        <v>0</v>
      </c>
      <c r="I1337" s="24">
        <v>0</v>
      </c>
      <c r="J1337" s="24">
        <v>0</v>
      </c>
      <c r="K1337" s="24">
        <v>1</v>
      </c>
      <c r="L1337" s="24">
        <v>1</v>
      </c>
      <c r="M1337" s="24">
        <v>0</v>
      </c>
    </row>
    <row r="1338" spans="2:13" ht="14" x14ac:dyDescent="0.2">
      <c r="B1338" s="24">
        <v>17</v>
      </c>
      <c r="C1338" s="24">
        <v>141</v>
      </c>
      <c r="D1338" s="24">
        <v>2</v>
      </c>
      <c r="E1338" s="24">
        <v>7.6</v>
      </c>
      <c r="F1338" s="24">
        <v>1</v>
      </c>
      <c r="G1338" s="24">
        <v>0</v>
      </c>
      <c r="H1338" s="24">
        <v>92</v>
      </c>
      <c r="I1338" s="24">
        <v>0</v>
      </c>
      <c r="J1338" s="24">
        <v>0</v>
      </c>
      <c r="K1338" s="24">
        <v>0</v>
      </c>
      <c r="L1338" s="24">
        <v>0</v>
      </c>
      <c r="M1338" s="24">
        <v>0</v>
      </c>
    </row>
    <row r="1339" spans="2:13" ht="14" x14ac:dyDescent="0.2">
      <c r="B1339" s="24">
        <v>13</v>
      </c>
      <c r="C1339" s="24">
        <v>58</v>
      </c>
      <c r="D1339" s="24">
        <v>3</v>
      </c>
      <c r="E1339" s="24">
        <v>2.1</v>
      </c>
      <c r="F1339" s="24">
        <v>1</v>
      </c>
      <c r="G1339" s="24">
        <v>0</v>
      </c>
      <c r="H1339" s="24">
        <v>169</v>
      </c>
      <c r="I1339" s="24">
        <v>0</v>
      </c>
      <c r="J1339" s="24">
        <v>0</v>
      </c>
      <c r="K1339" s="24">
        <v>1</v>
      </c>
      <c r="L1339" s="24">
        <v>0</v>
      </c>
      <c r="M1339" s="24">
        <v>0</v>
      </c>
    </row>
    <row r="1340" spans="2:13" ht="14" x14ac:dyDescent="0.2">
      <c r="B1340" s="24">
        <v>12</v>
      </c>
      <c r="C1340" s="24">
        <v>138</v>
      </c>
      <c r="D1340" s="24">
        <v>2</v>
      </c>
      <c r="E1340" s="24">
        <v>0</v>
      </c>
      <c r="F1340" s="24">
        <v>1</v>
      </c>
      <c r="G1340" s="24">
        <v>0</v>
      </c>
      <c r="H1340" s="24">
        <v>0</v>
      </c>
      <c r="I1340" s="24">
        <v>1</v>
      </c>
      <c r="J1340" s="24">
        <v>0</v>
      </c>
      <c r="K1340" s="24">
        <v>1</v>
      </c>
      <c r="L1340" s="24">
        <v>0</v>
      </c>
      <c r="M1340" s="24">
        <v>0</v>
      </c>
    </row>
    <row r="1341" spans="2:13" ht="14" x14ac:dyDescent="0.2">
      <c r="B1341" s="24">
        <v>14</v>
      </c>
      <c r="C1341" s="24">
        <v>74</v>
      </c>
      <c r="D1341" s="24">
        <v>3</v>
      </c>
      <c r="E1341" s="24">
        <v>3</v>
      </c>
      <c r="F1341" s="24">
        <v>1</v>
      </c>
      <c r="G1341" s="24">
        <v>0</v>
      </c>
      <c r="H1341" s="24">
        <v>0</v>
      </c>
      <c r="I1341" s="24">
        <v>0</v>
      </c>
      <c r="J1341" s="24">
        <v>0</v>
      </c>
      <c r="K1341" s="24">
        <v>0</v>
      </c>
      <c r="L1341" s="24">
        <v>0</v>
      </c>
      <c r="M1341" s="24">
        <v>0</v>
      </c>
    </row>
    <row r="1342" spans="2:13" ht="14" x14ac:dyDescent="0.2">
      <c r="B1342" s="24">
        <v>7</v>
      </c>
      <c r="C1342" s="24">
        <v>143</v>
      </c>
      <c r="D1342" s="24">
        <v>3</v>
      </c>
      <c r="E1342" s="24">
        <v>2.9</v>
      </c>
      <c r="F1342" s="24">
        <v>0</v>
      </c>
      <c r="G1342" s="24">
        <v>0</v>
      </c>
      <c r="H1342" s="24">
        <v>0</v>
      </c>
      <c r="I1342" s="24">
        <v>0</v>
      </c>
      <c r="J1342" s="24">
        <v>0</v>
      </c>
      <c r="K1342" s="24">
        <v>1</v>
      </c>
      <c r="L1342" s="24">
        <v>0</v>
      </c>
      <c r="M1342" s="24">
        <v>1</v>
      </c>
    </row>
    <row r="1343" spans="2:13" ht="14" x14ac:dyDescent="0.2">
      <c r="B1343" s="24">
        <v>38</v>
      </c>
      <c r="C1343" s="24">
        <v>59</v>
      </c>
      <c r="D1343" s="24">
        <v>1</v>
      </c>
      <c r="E1343" s="24">
        <v>2.5</v>
      </c>
      <c r="F1343" s="24">
        <v>0</v>
      </c>
      <c r="G1343" s="24">
        <v>0</v>
      </c>
      <c r="H1343" s="24">
        <v>220</v>
      </c>
      <c r="I1343" s="24">
        <v>0</v>
      </c>
      <c r="J1343" s="24">
        <v>0</v>
      </c>
      <c r="K1343" s="24">
        <v>0</v>
      </c>
      <c r="L1343" s="24">
        <v>0</v>
      </c>
      <c r="M1343" s="24">
        <v>0</v>
      </c>
    </row>
    <row r="1344" spans="2:13" ht="14" x14ac:dyDescent="0.2">
      <c r="B1344" s="24">
        <v>24</v>
      </c>
      <c r="C1344" s="24">
        <v>51</v>
      </c>
      <c r="D1344" s="24">
        <v>1</v>
      </c>
      <c r="E1344" s="24">
        <v>1.3</v>
      </c>
      <c r="F1344" s="24">
        <v>0</v>
      </c>
      <c r="G1344" s="24">
        <v>1</v>
      </c>
      <c r="H1344" s="24">
        <v>98</v>
      </c>
      <c r="I1344" s="24">
        <v>0</v>
      </c>
      <c r="J1344" s="24">
        <v>0</v>
      </c>
      <c r="K1344" s="24">
        <v>0</v>
      </c>
      <c r="L1344" s="24">
        <v>1</v>
      </c>
      <c r="M1344" s="24">
        <v>0</v>
      </c>
    </row>
    <row r="1345" spans="2:13" ht="14" x14ac:dyDescent="0.2">
      <c r="B1345" s="24">
        <v>28</v>
      </c>
      <c r="C1345" s="24">
        <v>21</v>
      </c>
      <c r="D1345" s="24">
        <v>1</v>
      </c>
      <c r="E1345" s="24">
        <v>0.5</v>
      </c>
      <c r="F1345" s="24">
        <v>0</v>
      </c>
      <c r="G1345" s="24">
        <v>1</v>
      </c>
      <c r="H1345" s="24">
        <v>0</v>
      </c>
      <c r="I1345" s="24">
        <v>1</v>
      </c>
      <c r="J1345" s="24">
        <v>0</v>
      </c>
      <c r="K1345" s="24">
        <v>0</v>
      </c>
      <c r="L1345" s="24">
        <v>1</v>
      </c>
      <c r="M1345" s="24">
        <v>0</v>
      </c>
    </row>
    <row r="1346" spans="2:13" ht="14" x14ac:dyDescent="0.2">
      <c r="B1346" s="24">
        <v>20</v>
      </c>
      <c r="C1346" s="24">
        <v>55</v>
      </c>
      <c r="D1346" s="24">
        <v>4</v>
      </c>
      <c r="E1346" s="24">
        <v>1.9</v>
      </c>
      <c r="F1346" s="24">
        <v>0</v>
      </c>
      <c r="G1346" s="24">
        <v>0</v>
      </c>
      <c r="H1346" s="24">
        <v>164</v>
      </c>
      <c r="I1346" s="24">
        <v>1</v>
      </c>
      <c r="J1346" s="24">
        <v>0</v>
      </c>
      <c r="K1346" s="24">
        <v>0</v>
      </c>
      <c r="L1346" s="24">
        <v>0</v>
      </c>
      <c r="M1346" s="24">
        <v>0</v>
      </c>
    </row>
    <row r="1347" spans="2:13" ht="14" x14ac:dyDescent="0.2">
      <c r="B1347" s="24">
        <v>24</v>
      </c>
      <c r="C1347" s="24">
        <v>81</v>
      </c>
      <c r="D1347" s="24">
        <v>3</v>
      </c>
      <c r="E1347" s="24">
        <v>0.7</v>
      </c>
      <c r="F1347" s="24">
        <v>1</v>
      </c>
      <c r="G1347" s="24">
        <v>0</v>
      </c>
      <c r="H1347" s="24">
        <v>0</v>
      </c>
      <c r="I1347" s="24">
        <v>0</v>
      </c>
      <c r="J1347" s="24">
        <v>0</v>
      </c>
      <c r="K1347" s="24">
        <v>0</v>
      </c>
      <c r="L1347" s="24">
        <v>0</v>
      </c>
      <c r="M1347" s="24">
        <v>0</v>
      </c>
    </row>
    <row r="1348" spans="2:13" ht="14" x14ac:dyDescent="0.2">
      <c r="B1348" s="24">
        <v>24</v>
      </c>
      <c r="C1348" s="24">
        <v>12</v>
      </c>
      <c r="D1348" s="24">
        <v>3</v>
      </c>
      <c r="E1348" s="24">
        <v>0.4</v>
      </c>
      <c r="F1348" s="24">
        <v>1</v>
      </c>
      <c r="G1348" s="24">
        <v>0</v>
      </c>
      <c r="H1348" s="24">
        <v>0</v>
      </c>
      <c r="I1348" s="24">
        <v>0</v>
      </c>
      <c r="J1348" s="24">
        <v>0</v>
      </c>
      <c r="K1348" s="24">
        <v>0</v>
      </c>
      <c r="L1348" s="24">
        <v>0</v>
      </c>
      <c r="M1348" s="24">
        <v>0</v>
      </c>
    </row>
    <row r="1349" spans="2:13" ht="14" x14ac:dyDescent="0.2">
      <c r="B1349" s="24">
        <v>14</v>
      </c>
      <c r="C1349" s="24">
        <v>64</v>
      </c>
      <c r="D1349" s="24">
        <v>4</v>
      </c>
      <c r="E1349" s="24">
        <v>0.2</v>
      </c>
      <c r="F1349" s="24">
        <v>0</v>
      </c>
      <c r="G1349" s="24">
        <v>0</v>
      </c>
      <c r="H1349" s="24">
        <v>0</v>
      </c>
      <c r="I1349" s="24">
        <v>0</v>
      </c>
      <c r="J1349" s="24">
        <v>0</v>
      </c>
      <c r="K1349" s="24">
        <v>1</v>
      </c>
      <c r="L1349" s="24">
        <v>1</v>
      </c>
      <c r="M1349" s="24">
        <v>0</v>
      </c>
    </row>
    <row r="1350" spans="2:13" ht="14" x14ac:dyDescent="0.2">
      <c r="B1350" s="24">
        <v>3</v>
      </c>
      <c r="C1350" s="24">
        <v>109</v>
      </c>
      <c r="D1350" s="24">
        <v>2</v>
      </c>
      <c r="E1350" s="24">
        <v>2.5</v>
      </c>
      <c r="F1350" s="24">
        <v>1</v>
      </c>
      <c r="G1350" s="24">
        <v>0</v>
      </c>
      <c r="H1350" s="24">
        <v>0</v>
      </c>
      <c r="I1350" s="24">
        <v>0</v>
      </c>
      <c r="J1350" s="24">
        <v>0</v>
      </c>
      <c r="K1350" s="24">
        <v>1</v>
      </c>
      <c r="L1350" s="24">
        <v>0</v>
      </c>
      <c r="M1350" s="24">
        <v>0</v>
      </c>
    </row>
    <row r="1351" spans="2:13" ht="14" x14ac:dyDescent="0.2">
      <c r="B1351" s="24">
        <v>23</v>
      </c>
      <c r="C1351" s="24">
        <v>194</v>
      </c>
      <c r="D1351" s="24">
        <v>4</v>
      </c>
      <c r="E1351" s="24">
        <v>8.3000000000000007</v>
      </c>
      <c r="F1351" s="24">
        <v>0</v>
      </c>
      <c r="G1351" s="24">
        <v>1</v>
      </c>
      <c r="H1351" s="24">
        <v>0</v>
      </c>
      <c r="I1351" s="24">
        <v>0</v>
      </c>
      <c r="J1351" s="24">
        <v>0</v>
      </c>
      <c r="K1351" s="24">
        <v>0</v>
      </c>
      <c r="L1351" s="24">
        <v>1</v>
      </c>
      <c r="M1351" s="24">
        <v>1</v>
      </c>
    </row>
    <row r="1352" spans="2:13" ht="14" x14ac:dyDescent="0.2">
      <c r="B1352" s="24">
        <v>2</v>
      </c>
      <c r="C1352" s="24">
        <v>205</v>
      </c>
      <c r="D1352" s="24">
        <v>1</v>
      </c>
      <c r="E1352" s="24">
        <v>6.3333333333333304</v>
      </c>
      <c r="F1352" s="24">
        <v>1</v>
      </c>
      <c r="G1352" s="24">
        <v>0</v>
      </c>
      <c r="H1352" s="24">
        <v>271</v>
      </c>
      <c r="I1352" s="24">
        <v>0</v>
      </c>
      <c r="J1352" s="24">
        <v>0</v>
      </c>
      <c r="K1352" s="24">
        <v>0</v>
      </c>
      <c r="L1352" s="24">
        <v>1</v>
      </c>
      <c r="M1352" s="24">
        <v>0</v>
      </c>
    </row>
    <row r="1353" spans="2:13" ht="14" x14ac:dyDescent="0.2">
      <c r="B1353" s="24">
        <v>6</v>
      </c>
      <c r="C1353" s="24">
        <v>73</v>
      </c>
      <c r="D1353" s="24">
        <v>4</v>
      </c>
      <c r="E1353" s="24">
        <v>2.2000000000000002</v>
      </c>
      <c r="F1353" s="24">
        <v>0</v>
      </c>
      <c r="G1353" s="24">
        <v>1</v>
      </c>
      <c r="H1353" s="24">
        <v>0</v>
      </c>
      <c r="I1353" s="24">
        <v>0</v>
      </c>
      <c r="J1353" s="24">
        <v>0</v>
      </c>
      <c r="K1353" s="24">
        <v>0</v>
      </c>
      <c r="L1353" s="24">
        <v>0</v>
      </c>
      <c r="M1353" s="24">
        <v>0</v>
      </c>
    </row>
    <row r="1354" spans="2:13" ht="14" x14ac:dyDescent="0.2">
      <c r="B1354" s="24">
        <v>0</v>
      </c>
      <c r="C1354" s="24">
        <v>35</v>
      </c>
      <c r="D1354" s="24">
        <v>3</v>
      </c>
      <c r="E1354" s="24">
        <v>0.1</v>
      </c>
      <c r="F1354" s="24">
        <v>0</v>
      </c>
      <c r="G1354" s="24">
        <v>1</v>
      </c>
      <c r="H1354" s="24">
        <v>0</v>
      </c>
      <c r="I1354" s="24">
        <v>1</v>
      </c>
      <c r="J1354" s="24">
        <v>0</v>
      </c>
      <c r="K1354" s="24">
        <v>1</v>
      </c>
      <c r="L1354" s="24">
        <v>0</v>
      </c>
      <c r="M1354" s="24">
        <v>0</v>
      </c>
    </row>
    <row r="1355" spans="2:13" ht="14" x14ac:dyDescent="0.2">
      <c r="B1355" s="24">
        <v>5</v>
      </c>
      <c r="C1355" s="24">
        <v>69</v>
      </c>
      <c r="D1355" s="24">
        <v>1</v>
      </c>
      <c r="E1355" s="24">
        <v>0.8</v>
      </c>
      <c r="F1355" s="24">
        <v>0</v>
      </c>
      <c r="G1355" s="24">
        <v>1</v>
      </c>
      <c r="H1355" s="24">
        <v>0</v>
      </c>
      <c r="I1355" s="24">
        <v>1</v>
      </c>
      <c r="J1355" s="24">
        <v>0</v>
      </c>
      <c r="K1355" s="24">
        <v>1</v>
      </c>
      <c r="L1355" s="24">
        <v>0</v>
      </c>
      <c r="M1355" s="24">
        <v>0</v>
      </c>
    </row>
    <row r="1356" spans="2:13" ht="14" x14ac:dyDescent="0.2">
      <c r="B1356" s="24">
        <v>14</v>
      </c>
      <c r="C1356" s="24">
        <v>42</v>
      </c>
      <c r="D1356" s="24">
        <v>1</v>
      </c>
      <c r="E1356" s="24">
        <v>2</v>
      </c>
      <c r="F1356" s="24">
        <v>0</v>
      </c>
      <c r="G1356" s="24">
        <v>1</v>
      </c>
      <c r="H1356" s="24">
        <v>81</v>
      </c>
      <c r="I1356" s="24">
        <v>0</v>
      </c>
      <c r="J1356" s="24">
        <v>0</v>
      </c>
      <c r="K1356" s="24">
        <v>1</v>
      </c>
      <c r="L1356" s="24">
        <v>0</v>
      </c>
      <c r="M1356" s="24">
        <v>0</v>
      </c>
    </row>
    <row r="1357" spans="2:13" ht="14" x14ac:dyDescent="0.2">
      <c r="B1357" s="24">
        <v>23</v>
      </c>
      <c r="C1357" s="24">
        <v>22</v>
      </c>
      <c r="D1357" s="24">
        <v>4</v>
      </c>
      <c r="E1357" s="24">
        <v>0.6</v>
      </c>
      <c r="F1357" s="24">
        <v>1</v>
      </c>
      <c r="G1357" s="24">
        <v>0</v>
      </c>
      <c r="H1357" s="24">
        <v>0</v>
      </c>
      <c r="I1357" s="24">
        <v>0</v>
      </c>
      <c r="J1357" s="24">
        <v>0</v>
      </c>
      <c r="K1357" s="24">
        <v>1</v>
      </c>
      <c r="L1357" s="24">
        <v>1</v>
      </c>
      <c r="M1357" s="24">
        <v>0</v>
      </c>
    </row>
    <row r="1358" spans="2:13" ht="14" x14ac:dyDescent="0.2">
      <c r="B1358" s="24">
        <v>30</v>
      </c>
      <c r="C1358" s="24">
        <v>48</v>
      </c>
      <c r="D1358" s="24">
        <v>1</v>
      </c>
      <c r="E1358" s="24">
        <v>2.2000000000000002</v>
      </c>
      <c r="F1358" s="24">
        <v>0</v>
      </c>
      <c r="G1358" s="24">
        <v>0</v>
      </c>
      <c r="H1358" s="24">
        <v>0</v>
      </c>
      <c r="I1358" s="24">
        <v>0</v>
      </c>
      <c r="J1358" s="24">
        <v>0</v>
      </c>
      <c r="K1358" s="24">
        <v>1</v>
      </c>
      <c r="L1358" s="24">
        <v>1</v>
      </c>
      <c r="M1358" s="24">
        <v>0</v>
      </c>
    </row>
    <row r="1359" spans="2:13" ht="14" x14ac:dyDescent="0.2">
      <c r="B1359" s="24">
        <v>25</v>
      </c>
      <c r="C1359" s="24">
        <v>34</v>
      </c>
      <c r="D1359" s="24">
        <v>1</v>
      </c>
      <c r="E1359" s="24">
        <v>1.3</v>
      </c>
      <c r="F1359" s="24">
        <v>0</v>
      </c>
      <c r="G1359" s="24">
        <v>1</v>
      </c>
      <c r="H1359" s="24">
        <v>0</v>
      </c>
      <c r="I1359" s="24">
        <v>0</v>
      </c>
      <c r="J1359" s="24">
        <v>0</v>
      </c>
      <c r="K1359" s="24">
        <v>1</v>
      </c>
      <c r="L1359" s="24">
        <v>0</v>
      </c>
      <c r="M1359" s="24">
        <v>0</v>
      </c>
    </row>
    <row r="1360" spans="2:13" ht="14" x14ac:dyDescent="0.2">
      <c r="B1360" s="24">
        <v>21</v>
      </c>
      <c r="C1360" s="24">
        <v>30</v>
      </c>
      <c r="D1360" s="24">
        <v>1</v>
      </c>
      <c r="E1360" s="24">
        <v>1.4</v>
      </c>
      <c r="F1360" s="24">
        <v>0</v>
      </c>
      <c r="G1360" s="24">
        <v>0</v>
      </c>
      <c r="H1360" s="24">
        <v>112</v>
      </c>
      <c r="I1360" s="24">
        <v>1</v>
      </c>
      <c r="J1360" s="24">
        <v>0</v>
      </c>
      <c r="K1360" s="24">
        <v>0</v>
      </c>
      <c r="L1360" s="24">
        <v>0</v>
      </c>
      <c r="M1360" s="24">
        <v>0</v>
      </c>
    </row>
    <row r="1361" spans="2:13" ht="14" x14ac:dyDescent="0.2">
      <c r="B1361" s="24">
        <v>32</v>
      </c>
      <c r="C1361" s="24">
        <v>65</v>
      </c>
      <c r="D1361" s="24">
        <v>3</v>
      </c>
      <c r="E1361" s="24">
        <v>2.2000000000000002</v>
      </c>
      <c r="F1361" s="24">
        <v>0</v>
      </c>
      <c r="G1361" s="24">
        <v>0</v>
      </c>
      <c r="H1361" s="24">
        <v>0</v>
      </c>
      <c r="I1361" s="24">
        <v>0</v>
      </c>
      <c r="J1361" s="24">
        <v>0</v>
      </c>
      <c r="K1361" s="24">
        <v>0</v>
      </c>
      <c r="L1361" s="24">
        <v>0</v>
      </c>
      <c r="M1361" s="24">
        <v>0</v>
      </c>
    </row>
    <row r="1362" spans="2:13" ht="14" x14ac:dyDescent="0.2">
      <c r="B1362" s="24">
        <v>7</v>
      </c>
      <c r="C1362" s="24">
        <v>10</v>
      </c>
      <c r="D1362" s="24">
        <v>1</v>
      </c>
      <c r="E1362" s="24">
        <v>0.5</v>
      </c>
      <c r="F1362" s="24">
        <v>0</v>
      </c>
      <c r="G1362" s="24">
        <v>0</v>
      </c>
      <c r="H1362" s="24">
        <v>81</v>
      </c>
      <c r="I1362" s="24">
        <v>0</v>
      </c>
      <c r="J1362" s="24">
        <v>0</v>
      </c>
      <c r="K1362" s="24">
        <v>1</v>
      </c>
      <c r="L1362" s="24">
        <v>0</v>
      </c>
      <c r="M1362" s="24">
        <v>0</v>
      </c>
    </row>
    <row r="1363" spans="2:13" ht="14" x14ac:dyDescent="0.2">
      <c r="B1363" s="24">
        <v>27</v>
      </c>
      <c r="C1363" s="24">
        <v>81</v>
      </c>
      <c r="D1363" s="24">
        <v>1</v>
      </c>
      <c r="E1363" s="24">
        <v>1.3</v>
      </c>
      <c r="F1363" s="24">
        <v>0</v>
      </c>
      <c r="G1363" s="24">
        <v>0</v>
      </c>
      <c r="H1363" s="24">
        <v>293</v>
      </c>
      <c r="I1363" s="24">
        <v>0</v>
      </c>
      <c r="J1363" s="24">
        <v>0</v>
      </c>
      <c r="K1363" s="24">
        <v>0</v>
      </c>
      <c r="L1363" s="24">
        <v>1</v>
      </c>
      <c r="M1363" s="24">
        <v>0</v>
      </c>
    </row>
    <row r="1364" spans="2:13" ht="14" x14ac:dyDescent="0.2">
      <c r="B1364" s="24">
        <v>0</v>
      </c>
      <c r="C1364" s="24">
        <v>21</v>
      </c>
      <c r="D1364" s="24">
        <v>4</v>
      </c>
      <c r="E1364" s="24">
        <v>0.4</v>
      </c>
      <c r="F1364" s="24">
        <v>1</v>
      </c>
      <c r="G1364" s="24">
        <v>0</v>
      </c>
      <c r="H1364" s="24">
        <v>90</v>
      </c>
      <c r="I1364" s="24">
        <v>0</v>
      </c>
      <c r="J1364" s="24">
        <v>0</v>
      </c>
      <c r="K1364" s="24">
        <v>1</v>
      </c>
      <c r="L1364" s="24">
        <v>0</v>
      </c>
      <c r="M1364" s="24">
        <v>0</v>
      </c>
    </row>
    <row r="1365" spans="2:13" ht="14" x14ac:dyDescent="0.2">
      <c r="B1365" s="24">
        <v>21</v>
      </c>
      <c r="C1365" s="24">
        <v>125</v>
      </c>
      <c r="D1365" s="24">
        <v>1</v>
      </c>
      <c r="E1365" s="24">
        <v>5.7</v>
      </c>
      <c r="F1365" s="24">
        <v>1</v>
      </c>
      <c r="G1365" s="24">
        <v>0</v>
      </c>
      <c r="H1365" s="24">
        <v>112</v>
      </c>
      <c r="I1365" s="24">
        <v>1</v>
      </c>
      <c r="J1365" s="24">
        <v>0</v>
      </c>
      <c r="K1365" s="24">
        <v>0</v>
      </c>
      <c r="L1365" s="24">
        <v>0</v>
      </c>
      <c r="M1365" s="24">
        <v>0</v>
      </c>
    </row>
    <row r="1366" spans="2:13" ht="14" x14ac:dyDescent="0.2">
      <c r="B1366" s="24">
        <v>24</v>
      </c>
      <c r="C1366" s="24">
        <v>83</v>
      </c>
      <c r="D1366" s="24">
        <v>2</v>
      </c>
      <c r="E1366" s="24">
        <v>0.4</v>
      </c>
      <c r="F1366" s="24">
        <v>0</v>
      </c>
      <c r="G1366" s="24">
        <v>0</v>
      </c>
      <c r="H1366" s="24">
        <v>0</v>
      </c>
      <c r="I1366" s="24">
        <v>0</v>
      </c>
      <c r="J1366" s="24">
        <v>0</v>
      </c>
      <c r="K1366" s="24">
        <v>1</v>
      </c>
      <c r="L1366" s="24">
        <v>0</v>
      </c>
      <c r="M1366" s="24">
        <v>0</v>
      </c>
    </row>
    <row r="1367" spans="2:13" ht="14" x14ac:dyDescent="0.2">
      <c r="B1367" s="24">
        <v>5</v>
      </c>
      <c r="C1367" s="24">
        <v>141</v>
      </c>
      <c r="D1367" s="24">
        <v>1</v>
      </c>
      <c r="E1367" s="24">
        <v>0.8</v>
      </c>
      <c r="F1367" s="24">
        <v>1</v>
      </c>
      <c r="G1367" s="24">
        <v>0</v>
      </c>
      <c r="H1367" s="24">
        <v>0</v>
      </c>
      <c r="I1367" s="24">
        <v>0</v>
      </c>
      <c r="J1367" s="24">
        <v>0</v>
      </c>
      <c r="K1367" s="24">
        <v>1</v>
      </c>
      <c r="L1367" s="24">
        <v>0</v>
      </c>
      <c r="M1367" s="24">
        <v>0</v>
      </c>
    </row>
    <row r="1368" spans="2:13" ht="14" x14ac:dyDescent="0.2">
      <c r="B1368" s="24">
        <v>2</v>
      </c>
      <c r="C1368" s="24">
        <v>40</v>
      </c>
      <c r="D1368" s="24">
        <v>1</v>
      </c>
      <c r="E1368" s="24">
        <v>1</v>
      </c>
      <c r="F1368" s="24">
        <v>0</v>
      </c>
      <c r="G1368" s="24">
        <v>0</v>
      </c>
      <c r="H1368" s="24">
        <v>0</v>
      </c>
      <c r="I1368" s="24">
        <v>0</v>
      </c>
      <c r="J1368" s="24">
        <v>0</v>
      </c>
      <c r="K1368" s="24">
        <v>1</v>
      </c>
      <c r="L1368" s="24">
        <v>0</v>
      </c>
      <c r="M1368" s="24">
        <v>0</v>
      </c>
    </row>
    <row r="1369" spans="2:13" ht="14" x14ac:dyDescent="0.2">
      <c r="B1369" s="24">
        <v>11</v>
      </c>
      <c r="C1369" s="24">
        <v>69</v>
      </c>
      <c r="D1369" s="24">
        <v>3</v>
      </c>
      <c r="E1369" s="24">
        <v>2.1</v>
      </c>
      <c r="F1369" s="24">
        <v>1</v>
      </c>
      <c r="G1369" s="24">
        <v>0</v>
      </c>
      <c r="H1369" s="24">
        <v>0</v>
      </c>
      <c r="I1369" s="24">
        <v>1</v>
      </c>
      <c r="J1369" s="24">
        <v>0</v>
      </c>
      <c r="K1369" s="24">
        <v>0</v>
      </c>
      <c r="L1369" s="24">
        <v>0</v>
      </c>
      <c r="M1369" s="24">
        <v>0</v>
      </c>
    </row>
    <row r="1370" spans="2:13" ht="14" x14ac:dyDescent="0.2">
      <c r="B1370" s="24">
        <v>34</v>
      </c>
      <c r="C1370" s="24">
        <v>152</v>
      </c>
      <c r="D1370" s="24">
        <v>4</v>
      </c>
      <c r="E1370" s="24">
        <v>3.6</v>
      </c>
      <c r="F1370" s="24">
        <v>0</v>
      </c>
      <c r="G1370" s="24">
        <v>0</v>
      </c>
      <c r="H1370" s="24">
        <v>0</v>
      </c>
      <c r="I1370" s="24">
        <v>0</v>
      </c>
      <c r="J1370" s="24">
        <v>0</v>
      </c>
      <c r="K1370" s="24">
        <v>0</v>
      </c>
      <c r="L1370" s="24">
        <v>0</v>
      </c>
      <c r="M1370" s="24">
        <v>1</v>
      </c>
    </row>
    <row r="1371" spans="2:13" ht="14" x14ac:dyDescent="0.2">
      <c r="B1371" s="24">
        <v>30</v>
      </c>
      <c r="C1371" s="24">
        <v>158</v>
      </c>
      <c r="D1371" s="24">
        <v>4</v>
      </c>
      <c r="E1371" s="24">
        <v>6.1</v>
      </c>
      <c r="F1371" s="24">
        <v>1</v>
      </c>
      <c r="G1371" s="24">
        <v>0</v>
      </c>
      <c r="H1371" s="24">
        <v>0</v>
      </c>
      <c r="I1371" s="24">
        <v>0</v>
      </c>
      <c r="J1371" s="24">
        <v>0</v>
      </c>
      <c r="K1371" s="24">
        <v>0</v>
      </c>
      <c r="L1371" s="24">
        <v>0</v>
      </c>
      <c r="M1371" s="24">
        <v>1</v>
      </c>
    </row>
    <row r="1372" spans="2:13" ht="14" x14ac:dyDescent="0.2">
      <c r="B1372" s="24">
        <v>38</v>
      </c>
      <c r="C1372" s="24">
        <v>43</v>
      </c>
      <c r="D1372" s="24">
        <v>4</v>
      </c>
      <c r="E1372" s="24">
        <v>1.2</v>
      </c>
      <c r="F1372" s="24">
        <v>0</v>
      </c>
      <c r="G1372" s="24">
        <v>1</v>
      </c>
      <c r="H1372" s="24">
        <v>0</v>
      </c>
      <c r="I1372" s="24">
        <v>0</v>
      </c>
      <c r="J1372" s="24">
        <v>0</v>
      </c>
      <c r="K1372" s="24">
        <v>1</v>
      </c>
      <c r="L1372" s="24">
        <v>0</v>
      </c>
      <c r="M1372" s="24">
        <v>0</v>
      </c>
    </row>
    <row r="1373" spans="2:13" ht="14" x14ac:dyDescent="0.2">
      <c r="B1373" s="24">
        <v>37</v>
      </c>
      <c r="C1373" s="24">
        <v>32</v>
      </c>
      <c r="D1373" s="24">
        <v>3</v>
      </c>
      <c r="E1373" s="24">
        <v>0.2</v>
      </c>
      <c r="F1373" s="24">
        <v>1</v>
      </c>
      <c r="G1373" s="24">
        <v>0</v>
      </c>
      <c r="H1373" s="24">
        <v>0</v>
      </c>
      <c r="I1373" s="24">
        <v>1</v>
      </c>
      <c r="J1373" s="24">
        <v>0</v>
      </c>
      <c r="K1373" s="24">
        <v>0</v>
      </c>
      <c r="L1373" s="24">
        <v>1</v>
      </c>
      <c r="M1373" s="24">
        <v>0</v>
      </c>
    </row>
    <row r="1374" spans="2:13" ht="14" x14ac:dyDescent="0.2">
      <c r="B1374" s="24">
        <v>28</v>
      </c>
      <c r="C1374" s="24">
        <v>18</v>
      </c>
      <c r="D1374" s="24">
        <v>1</v>
      </c>
      <c r="E1374" s="24">
        <v>0.3</v>
      </c>
      <c r="F1374" s="24">
        <v>1</v>
      </c>
      <c r="G1374" s="24">
        <v>0</v>
      </c>
      <c r="H1374" s="24">
        <v>120</v>
      </c>
      <c r="I1374" s="24">
        <v>0</v>
      </c>
      <c r="J1374" s="24">
        <v>0</v>
      </c>
      <c r="K1374" s="24">
        <v>1</v>
      </c>
      <c r="L1374" s="24">
        <v>0</v>
      </c>
      <c r="M1374" s="24">
        <v>0</v>
      </c>
    </row>
    <row r="1375" spans="2:13" ht="14" x14ac:dyDescent="0.2">
      <c r="B1375" s="24">
        <v>11</v>
      </c>
      <c r="C1375" s="24">
        <v>34</v>
      </c>
      <c r="D1375" s="24">
        <v>1</v>
      </c>
      <c r="E1375" s="24">
        <v>1.5</v>
      </c>
      <c r="F1375" s="24">
        <v>0</v>
      </c>
      <c r="G1375" s="24">
        <v>1</v>
      </c>
      <c r="H1375" s="24">
        <v>0</v>
      </c>
      <c r="I1375" s="24">
        <v>0</v>
      </c>
      <c r="J1375" s="24">
        <v>0</v>
      </c>
      <c r="K1375" s="24">
        <v>0</v>
      </c>
      <c r="L1375" s="24">
        <v>0</v>
      </c>
      <c r="M1375" s="24">
        <v>0</v>
      </c>
    </row>
    <row r="1376" spans="2:13" ht="14" x14ac:dyDescent="0.2">
      <c r="B1376" s="24">
        <v>34</v>
      </c>
      <c r="C1376" s="24">
        <v>101</v>
      </c>
      <c r="D1376" s="24">
        <v>3</v>
      </c>
      <c r="E1376" s="24">
        <v>4.4000000000000004</v>
      </c>
      <c r="F1376" s="24">
        <v>1</v>
      </c>
      <c r="G1376" s="24">
        <v>0</v>
      </c>
      <c r="H1376" s="24">
        <v>0</v>
      </c>
      <c r="I1376" s="24">
        <v>0</v>
      </c>
      <c r="J1376" s="24">
        <v>0</v>
      </c>
      <c r="K1376" s="24">
        <v>1</v>
      </c>
      <c r="L1376" s="24">
        <v>1</v>
      </c>
      <c r="M1376" s="24">
        <v>0</v>
      </c>
    </row>
    <row r="1377" spans="2:13" ht="14" x14ac:dyDescent="0.2">
      <c r="B1377" s="24">
        <v>17</v>
      </c>
      <c r="C1377" s="24">
        <v>91</v>
      </c>
      <c r="D1377" s="24">
        <v>1</v>
      </c>
      <c r="E1377" s="24">
        <v>5.7</v>
      </c>
      <c r="F1377" s="24">
        <v>1</v>
      </c>
      <c r="G1377" s="24">
        <v>0</v>
      </c>
      <c r="H1377" s="24">
        <v>0</v>
      </c>
      <c r="I1377" s="24">
        <v>0</v>
      </c>
      <c r="J1377" s="24">
        <v>0</v>
      </c>
      <c r="K1377" s="24">
        <v>1</v>
      </c>
      <c r="L1377" s="24">
        <v>0</v>
      </c>
      <c r="M1377" s="24">
        <v>0</v>
      </c>
    </row>
    <row r="1378" spans="2:13" ht="14" x14ac:dyDescent="0.2">
      <c r="B1378" s="24">
        <v>26</v>
      </c>
      <c r="C1378" s="24">
        <v>38</v>
      </c>
      <c r="D1378" s="24">
        <v>4</v>
      </c>
      <c r="E1378" s="24">
        <v>0.9</v>
      </c>
      <c r="F1378" s="24">
        <v>0</v>
      </c>
      <c r="G1378" s="24">
        <v>1</v>
      </c>
      <c r="H1378" s="24">
        <v>0</v>
      </c>
      <c r="I1378" s="24">
        <v>0</v>
      </c>
      <c r="J1378" s="24">
        <v>0</v>
      </c>
      <c r="K1378" s="24">
        <v>1</v>
      </c>
      <c r="L1378" s="24">
        <v>0</v>
      </c>
      <c r="M1378" s="24">
        <v>0</v>
      </c>
    </row>
    <row r="1379" spans="2:13" ht="14" x14ac:dyDescent="0.2">
      <c r="B1379" s="24">
        <v>34</v>
      </c>
      <c r="C1379" s="24">
        <v>21</v>
      </c>
      <c r="D1379" s="24">
        <v>3</v>
      </c>
      <c r="E1379" s="24">
        <v>1.3</v>
      </c>
      <c r="F1379" s="24">
        <v>0</v>
      </c>
      <c r="G1379" s="24">
        <v>1</v>
      </c>
      <c r="H1379" s="24">
        <v>0</v>
      </c>
      <c r="I1379" s="24">
        <v>0</v>
      </c>
      <c r="J1379" s="24">
        <v>0</v>
      </c>
      <c r="K1379" s="24">
        <v>1</v>
      </c>
      <c r="L1379" s="24">
        <v>1</v>
      </c>
      <c r="M1379" s="24">
        <v>0</v>
      </c>
    </row>
    <row r="1380" spans="2:13" ht="14" x14ac:dyDescent="0.2">
      <c r="B1380" s="24">
        <v>37</v>
      </c>
      <c r="C1380" s="24">
        <v>58</v>
      </c>
      <c r="D1380" s="24">
        <v>4</v>
      </c>
      <c r="E1380" s="24">
        <v>1.7</v>
      </c>
      <c r="F1380" s="24">
        <v>1</v>
      </c>
      <c r="G1380" s="24">
        <v>0</v>
      </c>
      <c r="H1380" s="24">
        <v>0</v>
      </c>
      <c r="I1380" s="24">
        <v>0</v>
      </c>
      <c r="J1380" s="24">
        <v>0</v>
      </c>
      <c r="K1380" s="24">
        <v>1</v>
      </c>
      <c r="L1380" s="24">
        <v>0</v>
      </c>
      <c r="M1380" s="24">
        <v>0</v>
      </c>
    </row>
    <row r="1381" spans="2:13" ht="14" x14ac:dyDescent="0.2">
      <c r="B1381" s="24">
        <v>30</v>
      </c>
      <c r="C1381" s="24">
        <v>81</v>
      </c>
      <c r="D1381" s="24">
        <v>4</v>
      </c>
      <c r="E1381" s="24">
        <v>3.8</v>
      </c>
      <c r="F1381" s="24">
        <v>0</v>
      </c>
      <c r="G1381" s="24">
        <v>1</v>
      </c>
      <c r="H1381" s="24">
        <v>0</v>
      </c>
      <c r="I1381" s="24">
        <v>0</v>
      </c>
      <c r="J1381" s="24">
        <v>0</v>
      </c>
      <c r="K1381" s="24">
        <v>1</v>
      </c>
      <c r="L1381" s="24">
        <v>0</v>
      </c>
      <c r="M1381" s="24">
        <v>0</v>
      </c>
    </row>
    <row r="1382" spans="2:13" ht="14" x14ac:dyDescent="0.2">
      <c r="B1382" s="24">
        <v>20</v>
      </c>
      <c r="C1382" s="24">
        <v>72</v>
      </c>
      <c r="D1382" s="24">
        <v>2</v>
      </c>
      <c r="E1382" s="24">
        <v>0.8</v>
      </c>
      <c r="F1382" s="24">
        <v>0</v>
      </c>
      <c r="G1382" s="24">
        <v>0</v>
      </c>
      <c r="H1382" s="24">
        <v>0</v>
      </c>
      <c r="I1382" s="24">
        <v>0</v>
      </c>
      <c r="J1382" s="24">
        <v>0</v>
      </c>
      <c r="K1382" s="24">
        <v>1</v>
      </c>
      <c r="L1382" s="24">
        <v>1</v>
      </c>
      <c r="M1382" s="24">
        <v>0</v>
      </c>
    </row>
    <row r="1383" spans="2:13" ht="14" x14ac:dyDescent="0.2">
      <c r="B1383" s="24">
        <v>9</v>
      </c>
      <c r="C1383" s="24">
        <v>8</v>
      </c>
      <c r="D1383" s="24">
        <v>1</v>
      </c>
      <c r="E1383" s="24">
        <v>0.4</v>
      </c>
      <c r="F1383" s="24">
        <v>0</v>
      </c>
      <c r="G1383" s="24">
        <v>1</v>
      </c>
      <c r="H1383" s="24">
        <v>0</v>
      </c>
      <c r="I1383" s="24">
        <v>0</v>
      </c>
      <c r="J1383" s="24">
        <v>0</v>
      </c>
      <c r="K1383" s="24">
        <v>1</v>
      </c>
      <c r="L1383" s="24">
        <v>0</v>
      </c>
      <c r="M1383" s="24">
        <v>0</v>
      </c>
    </row>
    <row r="1384" spans="2:13" ht="14" x14ac:dyDescent="0.2">
      <c r="B1384" s="24">
        <v>36</v>
      </c>
      <c r="C1384" s="24">
        <v>69</v>
      </c>
      <c r="D1384" s="24">
        <v>2</v>
      </c>
      <c r="E1384" s="24">
        <v>1.7</v>
      </c>
      <c r="F1384" s="24">
        <v>0</v>
      </c>
      <c r="G1384" s="24">
        <v>0</v>
      </c>
      <c r="H1384" s="24">
        <v>0</v>
      </c>
      <c r="I1384" s="24">
        <v>0</v>
      </c>
      <c r="J1384" s="24">
        <v>0</v>
      </c>
      <c r="K1384" s="24">
        <v>1</v>
      </c>
      <c r="L1384" s="24">
        <v>0</v>
      </c>
      <c r="M1384" s="24">
        <v>0</v>
      </c>
    </row>
    <row r="1385" spans="2:13" ht="14" x14ac:dyDescent="0.2">
      <c r="B1385" s="24">
        <v>3</v>
      </c>
      <c r="C1385" s="24">
        <v>29</v>
      </c>
      <c r="D1385" s="24">
        <v>4</v>
      </c>
      <c r="E1385" s="24">
        <v>0.8</v>
      </c>
      <c r="F1385" s="24">
        <v>1</v>
      </c>
      <c r="G1385" s="24">
        <v>0</v>
      </c>
      <c r="H1385" s="24">
        <v>135</v>
      </c>
      <c r="I1385" s="24">
        <v>0</v>
      </c>
      <c r="J1385" s="24">
        <v>0</v>
      </c>
      <c r="K1385" s="24">
        <v>1</v>
      </c>
      <c r="L1385" s="24">
        <v>0</v>
      </c>
      <c r="M1385" s="24">
        <v>0</v>
      </c>
    </row>
    <row r="1386" spans="2:13" ht="14" x14ac:dyDescent="0.2">
      <c r="B1386" s="24">
        <v>3</v>
      </c>
      <c r="C1386" s="24">
        <v>31</v>
      </c>
      <c r="D1386" s="24">
        <v>4</v>
      </c>
      <c r="E1386" s="24">
        <v>0.3</v>
      </c>
      <c r="F1386" s="24">
        <v>0</v>
      </c>
      <c r="G1386" s="24">
        <v>1</v>
      </c>
      <c r="H1386" s="24">
        <v>0</v>
      </c>
      <c r="I1386" s="24">
        <v>0</v>
      </c>
      <c r="J1386" s="24">
        <v>0</v>
      </c>
      <c r="K1386" s="24">
        <v>1</v>
      </c>
      <c r="L1386" s="24">
        <v>0</v>
      </c>
      <c r="M1386" s="24">
        <v>0</v>
      </c>
    </row>
    <row r="1387" spans="2:13" ht="14" x14ac:dyDescent="0.2">
      <c r="B1387" s="24">
        <v>32</v>
      </c>
      <c r="C1387" s="24">
        <v>165</v>
      </c>
      <c r="D1387" s="24">
        <v>4</v>
      </c>
      <c r="E1387" s="24">
        <v>2.7</v>
      </c>
      <c r="F1387" s="24">
        <v>0</v>
      </c>
      <c r="G1387" s="24">
        <v>0</v>
      </c>
      <c r="H1387" s="24">
        <v>0</v>
      </c>
      <c r="I1387" s="24">
        <v>0</v>
      </c>
      <c r="J1387" s="24">
        <v>0</v>
      </c>
      <c r="K1387" s="24">
        <v>1</v>
      </c>
      <c r="L1387" s="24">
        <v>0</v>
      </c>
      <c r="M1387" s="24">
        <v>1</v>
      </c>
    </row>
    <row r="1388" spans="2:13" ht="14" x14ac:dyDescent="0.2">
      <c r="B1388" s="24">
        <v>28</v>
      </c>
      <c r="C1388" s="24">
        <v>79</v>
      </c>
      <c r="D1388" s="24">
        <v>4</v>
      </c>
      <c r="E1388" s="24">
        <v>2.6</v>
      </c>
      <c r="F1388" s="24">
        <v>0</v>
      </c>
      <c r="G1388" s="24">
        <v>0</v>
      </c>
      <c r="H1388" s="24">
        <v>0</v>
      </c>
      <c r="I1388" s="24">
        <v>0</v>
      </c>
      <c r="J1388" s="24">
        <v>0</v>
      </c>
      <c r="K1388" s="24">
        <v>0</v>
      </c>
      <c r="L1388" s="24">
        <v>0</v>
      </c>
      <c r="M1388" s="24">
        <v>0</v>
      </c>
    </row>
    <row r="1389" spans="2:13" ht="14" x14ac:dyDescent="0.2">
      <c r="B1389" s="24">
        <v>15</v>
      </c>
      <c r="C1389" s="24">
        <v>59</v>
      </c>
      <c r="D1389" s="24">
        <v>4</v>
      </c>
      <c r="E1389" s="24">
        <v>0.2</v>
      </c>
      <c r="F1389" s="24">
        <v>0</v>
      </c>
      <c r="G1389" s="24">
        <v>0</v>
      </c>
      <c r="H1389" s="24">
        <v>0</v>
      </c>
      <c r="I1389" s="24">
        <v>0</v>
      </c>
      <c r="J1389" s="24">
        <v>0</v>
      </c>
      <c r="K1389" s="24">
        <v>0</v>
      </c>
      <c r="L1389" s="24">
        <v>0</v>
      </c>
      <c r="M1389" s="24">
        <v>0</v>
      </c>
    </row>
    <row r="1390" spans="2:13" ht="14" x14ac:dyDescent="0.2">
      <c r="B1390" s="24">
        <v>18</v>
      </c>
      <c r="C1390" s="24">
        <v>145</v>
      </c>
      <c r="D1390" s="24">
        <v>2</v>
      </c>
      <c r="E1390" s="24">
        <v>8</v>
      </c>
      <c r="F1390" s="24">
        <v>1</v>
      </c>
      <c r="G1390" s="24">
        <v>0</v>
      </c>
      <c r="H1390" s="24">
        <v>505</v>
      </c>
      <c r="I1390" s="24">
        <v>0</v>
      </c>
      <c r="J1390" s="24">
        <v>0</v>
      </c>
      <c r="K1390" s="24">
        <v>0</v>
      </c>
      <c r="L1390" s="24">
        <v>0</v>
      </c>
      <c r="M1390" s="24">
        <v>0</v>
      </c>
    </row>
    <row r="1391" spans="2:13" ht="14" x14ac:dyDescent="0.2">
      <c r="B1391" s="24">
        <v>6</v>
      </c>
      <c r="C1391" s="24">
        <v>141</v>
      </c>
      <c r="D1391" s="24">
        <v>2</v>
      </c>
      <c r="E1391" s="24">
        <v>4.3333333333333304</v>
      </c>
      <c r="F1391" s="24">
        <v>1</v>
      </c>
      <c r="G1391" s="24">
        <v>0</v>
      </c>
      <c r="H1391" s="24">
        <v>0</v>
      </c>
      <c r="I1391" s="24">
        <v>0</v>
      </c>
      <c r="J1391" s="24">
        <v>0</v>
      </c>
      <c r="K1391" s="24">
        <v>0</v>
      </c>
      <c r="L1391" s="24">
        <v>0</v>
      </c>
      <c r="M1391" s="24">
        <v>0</v>
      </c>
    </row>
    <row r="1392" spans="2:13" ht="14" x14ac:dyDescent="0.2">
      <c r="B1392" s="24">
        <v>29</v>
      </c>
      <c r="C1392" s="24">
        <v>65</v>
      </c>
      <c r="D1392" s="24">
        <v>4</v>
      </c>
      <c r="E1392" s="24">
        <v>2.8</v>
      </c>
      <c r="F1392" s="24">
        <v>0</v>
      </c>
      <c r="G1392" s="24">
        <v>1</v>
      </c>
      <c r="H1392" s="24">
        <v>0</v>
      </c>
      <c r="I1392" s="24">
        <v>0</v>
      </c>
      <c r="J1392" s="24">
        <v>0</v>
      </c>
      <c r="K1392" s="24">
        <v>1</v>
      </c>
      <c r="L1392" s="24">
        <v>0</v>
      </c>
      <c r="M1392" s="24">
        <v>0</v>
      </c>
    </row>
    <row r="1393" spans="2:13" ht="14" x14ac:dyDescent="0.2">
      <c r="B1393" s="24">
        <v>35</v>
      </c>
      <c r="C1393" s="24">
        <v>50</v>
      </c>
      <c r="D1393" s="24">
        <v>3</v>
      </c>
      <c r="E1393" s="24">
        <v>1.4</v>
      </c>
      <c r="F1393" s="24">
        <v>0</v>
      </c>
      <c r="G1393" s="24">
        <v>0</v>
      </c>
      <c r="H1393" s="24">
        <v>112</v>
      </c>
      <c r="I1393" s="24">
        <v>0</v>
      </c>
      <c r="J1393" s="24">
        <v>0</v>
      </c>
      <c r="K1393" s="24">
        <v>1</v>
      </c>
      <c r="L1393" s="24">
        <v>0</v>
      </c>
      <c r="M1393" s="24">
        <v>0</v>
      </c>
    </row>
    <row r="1394" spans="2:13" ht="14" x14ac:dyDescent="0.2">
      <c r="B1394" s="24">
        <v>23</v>
      </c>
      <c r="C1394" s="24">
        <v>119</v>
      </c>
      <c r="D1394" s="24">
        <v>1</v>
      </c>
      <c r="E1394" s="24">
        <v>7.3</v>
      </c>
      <c r="F1394" s="24">
        <v>1</v>
      </c>
      <c r="G1394" s="24">
        <v>0</v>
      </c>
      <c r="H1394" s="24">
        <v>398</v>
      </c>
      <c r="I1394" s="24">
        <v>0</v>
      </c>
      <c r="J1394" s="24">
        <v>0</v>
      </c>
      <c r="K1394" s="24">
        <v>0</v>
      </c>
      <c r="L1394" s="24">
        <v>0</v>
      </c>
      <c r="M1394" s="24">
        <v>0</v>
      </c>
    </row>
    <row r="1395" spans="2:13" ht="14" x14ac:dyDescent="0.2">
      <c r="B1395" s="24">
        <v>31</v>
      </c>
      <c r="C1395" s="24">
        <v>74</v>
      </c>
      <c r="D1395" s="24">
        <v>3</v>
      </c>
      <c r="E1395" s="24">
        <v>1.6</v>
      </c>
      <c r="F1395" s="24">
        <v>0</v>
      </c>
      <c r="G1395" s="24">
        <v>0</v>
      </c>
      <c r="H1395" s="24">
        <v>0</v>
      </c>
      <c r="I1395" s="24">
        <v>0</v>
      </c>
      <c r="J1395" s="24">
        <v>0</v>
      </c>
      <c r="K1395" s="24">
        <v>1</v>
      </c>
      <c r="L1395" s="24">
        <v>1</v>
      </c>
      <c r="M1395" s="24">
        <v>0</v>
      </c>
    </row>
    <row r="1396" spans="2:13" ht="14" x14ac:dyDescent="0.2">
      <c r="B1396" s="24">
        <v>32</v>
      </c>
      <c r="C1396" s="24">
        <v>125</v>
      </c>
      <c r="D1396" s="24">
        <v>3</v>
      </c>
      <c r="E1396" s="24">
        <v>0.6</v>
      </c>
      <c r="F1396" s="24">
        <v>1</v>
      </c>
      <c r="G1396" s="24">
        <v>0</v>
      </c>
      <c r="H1396" s="24">
        <v>342</v>
      </c>
      <c r="I1396" s="24">
        <v>0</v>
      </c>
      <c r="J1396" s="24">
        <v>1</v>
      </c>
      <c r="K1396" s="24">
        <v>1</v>
      </c>
      <c r="L1396" s="24">
        <v>1</v>
      </c>
      <c r="M1396" s="24">
        <v>1</v>
      </c>
    </row>
    <row r="1397" spans="2:13" ht="14" x14ac:dyDescent="0.2">
      <c r="B1397" s="24">
        <v>10</v>
      </c>
      <c r="C1397" s="24">
        <v>31</v>
      </c>
      <c r="D1397" s="24">
        <v>4</v>
      </c>
      <c r="E1397" s="24">
        <v>1.2</v>
      </c>
      <c r="F1397" s="24">
        <v>0</v>
      </c>
      <c r="G1397" s="24">
        <v>1</v>
      </c>
      <c r="H1397" s="24">
        <v>0</v>
      </c>
      <c r="I1397" s="24">
        <v>0</v>
      </c>
      <c r="J1397" s="24">
        <v>0</v>
      </c>
      <c r="K1397" s="24">
        <v>0</v>
      </c>
      <c r="L1397" s="24">
        <v>0</v>
      </c>
      <c r="M1397" s="24">
        <v>0</v>
      </c>
    </row>
    <row r="1398" spans="2:13" ht="14" x14ac:dyDescent="0.2">
      <c r="B1398" s="24">
        <v>13</v>
      </c>
      <c r="C1398" s="24">
        <v>33</v>
      </c>
      <c r="D1398" s="24">
        <v>1</v>
      </c>
      <c r="E1398" s="24">
        <v>0.75</v>
      </c>
      <c r="F1398" s="24">
        <v>0</v>
      </c>
      <c r="G1398" s="24">
        <v>0</v>
      </c>
      <c r="H1398" s="24">
        <v>0</v>
      </c>
      <c r="I1398" s="24">
        <v>0</v>
      </c>
      <c r="J1398" s="24">
        <v>0</v>
      </c>
      <c r="K1398" s="24">
        <v>0</v>
      </c>
      <c r="L1398" s="24">
        <v>0</v>
      </c>
      <c r="M1398" s="24">
        <v>0</v>
      </c>
    </row>
    <row r="1399" spans="2:13" ht="14" x14ac:dyDescent="0.2">
      <c r="B1399" s="24">
        <v>32</v>
      </c>
      <c r="C1399" s="24">
        <v>39</v>
      </c>
      <c r="D1399" s="24">
        <v>4</v>
      </c>
      <c r="E1399" s="24">
        <v>0.9</v>
      </c>
      <c r="F1399" s="24">
        <v>1</v>
      </c>
      <c r="G1399" s="24">
        <v>0</v>
      </c>
      <c r="H1399" s="24">
        <v>147</v>
      </c>
      <c r="I1399" s="24">
        <v>0</v>
      </c>
      <c r="J1399" s="24">
        <v>0</v>
      </c>
      <c r="K1399" s="24">
        <v>0</v>
      </c>
      <c r="L1399" s="24">
        <v>0</v>
      </c>
      <c r="M1399" s="24">
        <v>0</v>
      </c>
    </row>
    <row r="1400" spans="2:13" ht="14" x14ac:dyDescent="0.2">
      <c r="B1400" s="24">
        <v>29</v>
      </c>
      <c r="C1400" s="24">
        <v>99</v>
      </c>
      <c r="D1400" s="24">
        <v>2</v>
      </c>
      <c r="E1400" s="24">
        <v>1.4</v>
      </c>
      <c r="F1400" s="24">
        <v>1</v>
      </c>
      <c r="G1400" s="24">
        <v>0</v>
      </c>
      <c r="H1400" s="24">
        <v>264</v>
      </c>
      <c r="I1400" s="24">
        <v>0</v>
      </c>
      <c r="J1400" s="24">
        <v>0</v>
      </c>
      <c r="K1400" s="24">
        <v>1</v>
      </c>
      <c r="L1400" s="24">
        <v>1</v>
      </c>
      <c r="M1400" s="24">
        <v>0</v>
      </c>
    </row>
    <row r="1401" spans="2:13" ht="14" x14ac:dyDescent="0.2">
      <c r="B1401" s="24">
        <v>26</v>
      </c>
      <c r="C1401" s="24">
        <v>190</v>
      </c>
      <c r="D1401" s="24">
        <v>3</v>
      </c>
      <c r="E1401" s="24">
        <v>2.1</v>
      </c>
      <c r="F1401" s="24">
        <v>0</v>
      </c>
      <c r="G1401" s="24">
        <v>0</v>
      </c>
      <c r="H1401" s="24">
        <v>240</v>
      </c>
      <c r="I1401" s="24">
        <v>0</v>
      </c>
      <c r="J1401" s="24">
        <v>0</v>
      </c>
      <c r="K1401" s="24">
        <v>1</v>
      </c>
      <c r="L1401" s="24">
        <v>0</v>
      </c>
      <c r="M1401" s="24">
        <v>1</v>
      </c>
    </row>
    <row r="1402" spans="2:13" ht="14" x14ac:dyDescent="0.2">
      <c r="B1402" s="24">
        <v>33</v>
      </c>
      <c r="C1402" s="24">
        <v>182</v>
      </c>
      <c r="D1402" s="24">
        <v>2</v>
      </c>
      <c r="E1402" s="24">
        <v>3.3</v>
      </c>
      <c r="F1402" s="24">
        <v>0</v>
      </c>
      <c r="G1402" s="24">
        <v>0</v>
      </c>
      <c r="H1402" s="24">
        <v>372</v>
      </c>
      <c r="I1402" s="24">
        <v>0</v>
      </c>
      <c r="J1402" s="24">
        <v>0</v>
      </c>
      <c r="K1402" s="24">
        <v>0</v>
      </c>
      <c r="L1402" s="24">
        <v>0</v>
      </c>
      <c r="M1402" s="24">
        <v>1</v>
      </c>
    </row>
    <row r="1403" spans="2:13" ht="14" x14ac:dyDescent="0.2">
      <c r="B1403" s="24">
        <v>14</v>
      </c>
      <c r="C1403" s="24">
        <v>44</v>
      </c>
      <c r="D1403" s="24">
        <v>3</v>
      </c>
      <c r="E1403" s="24">
        <v>2</v>
      </c>
      <c r="F1403" s="24">
        <v>0</v>
      </c>
      <c r="G1403" s="24">
        <v>0</v>
      </c>
      <c r="H1403" s="24">
        <v>180</v>
      </c>
      <c r="I1403" s="24">
        <v>1</v>
      </c>
      <c r="J1403" s="24">
        <v>1</v>
      </c>
      <c r="K1403" s="24">
        <v>1</v>
      </c>
      <c r="L1403" s="24">
        <v>1</v>
      </c>
      <c r="M1403" s="24">
        <v>0</v>
      </c>
    </row>
    <row r="1404" spans="2:13" ht="14" x14ac:dyDescent="0.2">
      <c r="B1404" s="24">
        <v>35</v>
      </c>
      <c r="C1404" s="24">
        <v>42</v>
      </c>
      <c r="D1404" s="24">
        <v>1</v>
      </c>
      <c r="E1404" s="24">
        <v>1.8</v>
      </c>
      <c r="F1404" s="24">
        <v>0</v>
      </c>
      <c r="G1404" s="24">
        <v>0</v>
      </c>
      <c r="H1404" s="24">
        <v>0</v>
      </c>
      <c r="I1404" s="24">
        <v>0</v>
      </c>
      <c r="J1404" s="24">
        <v>0</v>
      </c>
      <c r="K1404" s="24">
        <v>1</v>
      </c>
      <c r="L1404" s="24">
        <v>0</v>
      </c>
      <c r="M1404" s="24">
        <v>0</v>
      </c>
    </row>
    <row r="1405" spans="2:13" ht="14" x14ac:dyDescent="0.2">
      <c r="B1405" s="24">
        <v>25</v>
      </c>
      <c r="C1405" s="24">
        <v>180</v>
      </c>
      <c r="D1405" s="24">
        <v>2</v>
      </c>
      <c r="E1405" s="24">
        <v>9</v>
      </c>
      <c r="F1405" s="24">
        <v>0</v>
      </c>
      <c r="G1405" s="24">
        <v>1</v>
      </c>
      <c r="H1405" s="24">
        <v>297</v>
      </c>
      <c r="I1405" s="24">
        <v>0</v>
      </c>
      <c r="J1405" s="24">
        <v>0</v>
      </c>
      <c r="K1405" s="24">
        <v>1</v>
      </c>
      <c r="L1405" s="24">
        <v>0</v>
      </c>
      <c r="M1405" s="24">
        <v>1</v>
      </c>
    </row>
    <row r="1406" spans="2:13" ht="14" x14ac:dyDescent="0.2">
      <c r="B1406" s="24">
        <v>35</v>
      </c>
      <c r="C1406" s="24">
        <v>55</v>
      </c>
      <c r="D1406" s="24">
        <v>1</v>
      </c>
      <c r="E1406" s="24">
        <v>1.8</v>
      </c>
      <c r="F1406" s="24">
        <v>0</v>
      </c>
      <c r="G1406" s="24">
        <v>0</v>
      </c>
      <c r="H1406" s="24">
        <v>0</v>
      </c>
      <c r="I1406" s="24">
        <v>1</v>
      </c>
      <c r="J1406" s="24">
        <v>0</v>
      </c>
      <c r="K1406" s="24">
        <v>0</v>
      </c>
      <c r="L1406" s="24">
        <v>0</v>
      </c>
      <c r="M1406" s="24">
        <v>0</v>
      </c>
    </row>
    <row r="1407" spans="2:13" ht="14" x14ac:dyDescent="0.2">
      <c r="B1407" s="24">
        <v>17</v>
      </c>
      <c r="C1407" s="24">
        <v>69</v>
      </c>
      <c r="D1407" s="24">
        <v>4</v>
      </c>
      <c r="E1407" s="24">
        <v>2.9</v>
      </c>
      <c r="F1407" s="24">
        <v>1</v>
      </c>
      <c r="G1407" s="24">
        <v>0</v>
      </c>
      <c r="H1407" s="24">
        <v>0</v>
      </c>
      <c r="I1407" s="24">
        <v>0</v>
      </c>
      <c r="J1407" s="24">
        <v>0</v>
      </c>
      <c r="K1407" s="24">
        <v>1</v>
      </c>
      <c r="L1407" s="24">
        <v>1</v>
      </c>
      <c r="M1407" s="24">
        <v>0</v>
      </c>
    </row>
    <row r="1408" spans="2:13" ht="14" x14ac:dyDescent="0.2">
      <c r="B1408" s="24">
        <v>30</v>
      </c>
      <c r="C1408" s="24">
        <v>22</v>
      </c>
      <c r="D1408" s="24">
        <v>1</v>
      </c>
      <c r="E1408" s="24">
        <v>1.5</v>
      </c>
      <c r="F1408" s="24">
        <v>0</v>
      </c>
      <c r="G1408" s="24">
        <v>1</v>
      </c>
      <c r="H1408" s="24">
        <v>91</v>
      </c>
      <c r="I1408" s="24">
        <v>0</v>
      </c>
      <c r="J1408" s="24">
        <v>0</v>
      </c>
      <c r="K1408" s="24">
        <v>0</v>
      </c>
      <c r="L1408" s="24">
        <v>1</v>
      </c>
      <c r="M1408" s="24">
        <v>0</v>
      </c>
    </row>
    <row r="1409" spans="2:13" ht="14" x14ac:dyDescent="0.2">
      <c r="B1409" s="24">
        <v>13</v>
      </c>
      <c r="C1409" s="24">
        <v>30</v>
      </c>
      <c r="D1409" s="24">
        <v>3</v>
      </c>
      <c r="E1409" s="24">
        <v>0.2</v>
      </c>
      <c r="F1409" s="24">
        <v>0</v>
      </c>
      <c r="G1409" s="24">
        <v>1</v>
      </c>
      <c r="H1409" s="24">
        <v>0</v>
      </c>
      <c r="I1409" s="24">
        <v>0</v>
      </c>
      <c r="J1409" s="24">
        <v>0</v>
      </c>
      <c r="K1409" s="24">
        <v>0</v>
      </c>
      <c r="L1409" s="24">
        <v>0</v>
      </c>
      <c r="M1409" s="24">
        <v>0</v>
      </c>
    </row>
    <row r="1410" spans="2:13" ht="14" x14ac:dyDescent="0.2">
      <c r="B1410" s="24">
        <v>23</v>
      </c>
      <c r="C1410" s="24">
        <v>33</v>
      </c>
      <c r="D1410" s="24">
        <v>1</v>
      </c>
      <c r="E1410" s="24">
        <v>1</v>
      </c>
      <c r="F1410" s="24">
        <v>1</v>
      </c>
      <c r="G1410" s="24">
        <v>0</v>
      </c>
      <c r="H1410" s="24">
        <v>0</v>
      </c>
      <c r="I1410" s="24">
        <v>0</v>
      </c>
      <c r="J1410" s="24">
        <v>0</v>
      </c>
      <c r="K1410" s="24">
        <v>1</v>
      </c>
      <c r="L1410" s="24">
        <v>1</v>
      </c>
      <c r="M1410" s="24">
        <v>0</v>
      </c>
    </row>
    <row r="1411" spans="2:13" ht="14" x14ac:dyDescent="0.2">
      <c r="B1411" s="24">
        <v>16</v>
      </c>
      <c r="C1411" s="24">
        <v>89</v>
      </c>
      <c r="D1411" s="24">
        <v>4</v>
      </c>
      <c r="E1411" s="24">
        <v>0.8</v>
      </c>
      <c r="F1411" s="24">
        <v>1</v>
      </c>
      <c r="G1411" s="24">
        <v>0</v>
      </c>
      <c r="H1411" s="24">
        <v>155</v>
      </c>
      <c r="I1411" s="24">
        <v>0</v>
      </c>
      <c r="J1411" s="24">
        <v>0</v>
      </c>
      <c r="K1411" s="24">
        <v>1</v>
      </c>
      <c r="L1411" s="24">
        <v>0</v>
      </c>
      <c r="M1411" s="24">
        <v>0</v>
      </c>
    </row>
    <row r="1412" spans="2:13" ht="14" x14ac:dyDescent="0.2">
      <c r="B1412" s="24">
        <v>23</v>
      </c>
      <c r="C1412" s="24">
        <v>45</v>
      </c>
      <c r="D1412" s="24">
        <v>1</v>
      </c>
      <c r="E1412" s="24">
        <v>1.3</v>
      </c>
      <c r="F1412" s="24">
        <v>0</v>
      </c>
      <c r="G1412" s="24">
        <v>1</v>
      </c>
      <c r="H1412" s="24">
        <v>0</v>
      </c>
      <c r="I1412" s="24">
        <v>0</v>
      </c>
      <c r="J1412" s="24">
        <v>0</v>
      </c>
      <c r="K1412" s="24">
        <v>1</v>
      </c>
      <c r="L1412" s="24">
        <v>0</v>
      </c>
      <c r="M1412" s="24">
        <v>0</v>
      </c>
    </row>
    <row r="1413" spans="2:13" ht="14" x14ac:dyDescent="0.2">
      <c r="B1413" s="24">
        <v>20</v>
      </c>
      <c r="C1413" s="24">
        <v>118</v>
      </c>
      <c r="D1413" s="24">
        <v>1</v>
      </c>
      <c r="E1413" s="24">
        <v>5.7</v>
      </c>
      <c r="F1413" s="24">
        <v>1</v>
      </c>
      <c r="G1413" s="24">
        <v>0</v>
      </c>
      <c r="H1413" s="24">
        <v>0</v>
      </c>
      <c r="I1413" s="24">
        <v>0</v>
      </c>
      <c r="J1413" s="24">
        <v>1</v>
      </c>
      <c r="K1413" s="24">
        <v>1</v>
      </c>
      <c r="L1413" s="24">
        <v>1</v>
      </c>
      <c r="M1413" s="24">
        <v>0</v>
      </c>
    </row>
    <row r="1414" spans="2:13" ht="14" x14ac:dyDescent="0.2">
      <c r="B1414" s="24">
        <v>2</v>
      </c>
      <c r="C1414" s="24">
        <v>42</v>
      </c>
      <c r="D1414" s="24">
        <v>1</v>
      </c>
      <c r="E1414" s="24">
        <v>1.5</v>
      </c>
      <c r="F1414" s="24">
        <v>1</v>
      </c>
      <c r="G1414" s="24">
        <v>0</v>
      </c>
      <c r="H1414" s="24">
        <v>0</v>
      </c>
      <c r="I1414" s="24">
        <v>0</v>
      </c>
      <c r="J1414" s="24">
        <v>0</v>
      </c>
      <c r="K1414" s="24">
        <v>1</v>
      </c>
      <c r="L1414" s="24">
        <v>1</v>
      </c>
      <c r="M1414" s="24">
        <v>0</v>
      </c>
    </row>
    <row r="1415" spans="2:13" ht="14" x14ac:dyDescent="0.2">
      <c r="B1415" s="24">
        <v>35</v>
      </c>
      <c r="C1415" s="24">
        <v>152</v>
      </c>
      <c r="D1415" s="24">
        <v>3</v>
      </c>
      <c r="E1415" s="24">
        <v>3.3</v>
      </c>
      <c r="F1415" s="24">
        <v>0</v>
      </c>
      <c r="G1415" s="24">
        <v>0</v>
      </c>
      <c r="H1415" s="24">
        <v>0</v>
      </c>
      <c r="I1415" s="24">
        <v>0</v>
      </c>
      <c r="J1415" s="24">
        <v>0</v>
      </c>
      <c r="K1415" s="24">
        <v>1</v>
      </c>
      <c r="L1415" s="24">
        <v>0</v>
      </c>
      <c r="M1415" s="24">
        <v>1</v>
      </c>
    </row>
    <row r="1416" spans="2:13" ht="14" x14ac:dyDescent="0.2">
      <c r="B1416" s="24">
        <v>23</v>
      </c>
      <c r="C1416" s="24">
        <v>79</v>
      </c>
      <c r="D1416" s="24">
        <v>3</v>
      </c>
      <c r="E1416" s="24">
        <v>0.7</v>
      </c>
      <c r="F1416" s="24">
        <v>0</v>
      </c>
      <c r="G1416" s="24">
        <v>1</v>
      </c>
      <c r="H1416" s="24">
        <v>151</v>
      </c>
      <c r="I1416" s="24">
        <v>0</v>
      </c>
      <c r="J1416" s="24">
        <v>0</v>
      </c>
      <c r="K1416" s="24">
        <v>1</v>
      </c>
      <c r="L1416" s="24">
        <v>0</v>
      </c>
      <c r="M1416" s="24">
        <v>0</v>
      </c>
    </row>
    <row r="1417" spans="2:13" ht="14" x14ac:dyDescent="0.2">
      <c r="B1417" s="24">
        <v>10</v>
      </c>
      <c r="C1417" s="24">
        <v>33</v>
      </c>
      <c r="D1417" s="24">
        <v>4</v>
      </c>
      <c r="E1417" s="24">
        <v>1.7</v>
      </c>
      <c r="F1417" s="24">
        <v>1</v>
      </c>
      <c r="G1417" s="24">
        <v>0</v>
      </c>
      <c r="H1417" s="24">
        <v>87</v>
      </c>
      <c r="I1417" s="24">
        <v>0</v>
      </c>
      <c r="J1417" s="24">
        <v>0</v>
      </c>
      <c r="K1417" s="24">
        <v>1</v>
      </c>
      <c r="L1417" s="24">
        <v>0</v>
      </c>
      <c r="M1417" s="24">
        <v>0</v>
      </c>
    </row>
    <row r="1418" spans="2:13" ht="14" x14ac:dyDescent="0.2">
      <c r="B1418" s="24">
        <v>32</v>
      </c>
      <c r="C1418" s="24">
        <v>51</v>
      </c>
      <c r="D1418" s="24">
        <v>1</v>
      </c>
      <c r="E1418" s="24">
        <v>2.8</v>
      </c>
      <c r="F1418" s="24">
        <v>0</v>
      </c>
      <c r="G1418" s="24">
        <v>1</v>
      </c>
      <c r="H1418" s="24">
        <v>0</v>
      </c>
      <c r="I1418" s="24">
        <v>0</v>
      </c>
      <c r="J1418" s="24">
        <v>0</v>
      </c>
      <c r="K1418" s="24">
        <v>1</v>
      </c>
      <c r="L1418" s="24">
        <v>0</v>
      </c>
      <c r="M1418" s="24">
        <v>0</v>
      </c>
    </row>
    <row r="1419" spans="2:13" ht="14" x14ac:dyDescent="0.2">
      <c r="B1419" s="24">
        <v>4</v>
      </c>
      <c r="C1419" s="24">
        <v>40</v>
      </c>
      <c r="D1419" s="24">
        <v>4</v>
      </c>
      <c r="E1419" s="24">
        <v>2.1</v>
      </c>
      <c r="F1419" s="24">
        <v>0</v>
      </c>
      <c r="G1419" s="24">
        <v>0</v>
      </c>
      <c r="H1419" s="24">
        <v>0</v>
      </c>
      <c r="I1419" s="24">
        <v>0</v>
      </c>
      <c r="J1419" s="24">
        <v>0</v>
      </c>
      <c r="K1419" s="24">
        <v>1</v>
      </c>
      <c r="L1419" s="24">
        <v>1</v>
      </c>
      <c r="M1419" s="24">
        <v>0</v>
      </c>
    </row>
    <row r="1420" spans="2:13" ht="14" x14ac:dyDescent="0.2">
      <c r="B1420" s="24">
        <v>15</v>
      </c>
      <c r="C1420" s="24">
        <v>62</v>
      </c>
      <c r="D1420" s="24">
        <v>4</v>
      </c>
      <c r="E1420" s="24">
        <v>2.4</v>
      </c>
      <c r="F1420" s="24">
        <v>1</v>
      </c>
      <c r="G1420" s="24">
        <v>0</v>
      </c>
      <c r="H1420" s="24">
        <v>86</v>
      </c>
      <c r="I1420" s="24">
        <v>0</v>
      </c>
      <c r="J1420" s="24">
        <v>0</v>
      </c>
      <c r="K1420" s="24">
        <v>0</v>
      </c>
      <c r="L1420" s="24">
        <v>0</v>
      </c>
      <c r="M1420" s="24">
        <v>0</v>
      </c>
    </row>
    <row r="1421" spans="2:13" ht="14" x14ac:dyDescent="0.2">
      <c r="B1421" s="24">
        <v>1</v>
      </c>
      <c r="C1421" s="24">
        <v>78</v>
      </c>
      <c r="D1421" s="24">
        <v>4</v>
      </c>
      <c r="E1421" s="24">
        <v>2.2999999999999998</v>
      </c>
      <c r="F1421" s="24">
        <v>0</v>
      </c>
      <c r="G1421" s="24">
        <v>0</v>
      </c>
      <c r="H1421" s="24">
        <v>157</v>
      </c>
      <c r="I1421" s="24">
        <v>1</v>
      </c>
      <c r="J1421" s="24">
        <v>0</v>
      </c>
      <c r="K1421" s="24">
        <v>1</v>
      </c>
      <c r="L1421" s="24">
        <v>0</v>
      </c>
      <c r="M1421" s="24">
        <v>0</v>
      </c>
    </row>
    <row r="1422" spans="2:13" ht="14" x14ac:dyDescent="0.2">
      <c r="B1422" s="24">
        <v>37</v>
      </c>
      <c r="C1422" s="24">
        <v>20</v>
      </c>
      <c r="D1422" s="24">
        <v>3</v>
      </c>
      <c r="E1422" s="24">
        <v>0.4</v>
      </c>
      <c r="F1422" s="24">
        <v>0</v>
      </c>
      <c r="G1422" s="24">
        <v>1</v>
      </c>
      <c r="H1422" s="24">
        <v>94</v>
      </c>
      <c r="I1422" s="24">
        <v>0</v>
      </c>
      <c r="J1422" s="24">
        <v>0</v>
      </c>
      <c r="K1422" s="24">
        <v>0</v>
      </c>
      <c r="L1422" s="24">
        <v>0</v>
      </c>
      <c r="M1422" s="24">
        <v>0</v>
      </c>
    </row>
    <row r="1423" spans="2:13" ht="14" x14ac:dyDescent="0.2">
      <c r="B1423" s="24">
        <v>11</v>
      </c>
      <c r="C1423" s="24">
        <v>81</v>
      </c>
      <c r="D1423" s="24">
        <v>1</v>
      </c>
      <c r="E1423" s="24">
        <v>2.8</v>
      </c>
      <c r="F1423" s="24">
        <v>0</v>
      </c>
      <c r="G1423" s="24">
        <v>0</v>
      </c>
      <c r="H1423" s="24">
        <v>145</v>
      </c>
      <c r="I1423" s="24">
        <v>0</v>
      </c>
      <c r="J1423" s="24">
        <v>0</v>
      </c>
      <c r="K1423" s="24">
        <v>0</v>
      </c>
      <c r="L1423" s="24">
        <v>0</v>
      </c>
      <c r="M1423" s="24">
        <v>0</v>
      </c>
    </row>
    <row r="1424" spans="2:13" ht="14" x14ac:dyDescent="0.2">
      <c r="B1424" s="24">
        <v>18</v>
      </c>
      <c r="C1424" s="24">
        <v>33</v>
      </c>
      <c r="D1424" s="24">
        <v>1</v>
      </c>
      <c r="E1424" s="24">
        <v>1.4</v>
      </c>
      <c r="F1424" s="24">
        <v>0</v>
      </c>
      <c r="G1424" s="24">
        <v>0</v>
      </c>
      <c r="H1424" s="24">
        <v>0</v>
      </c>
      <c r="I1424" s="24">
        <v>0</v>
      </c>
      <c r="J1424" s="24">
        <v>0</v>
      </c>
      <c r="K1424" s="24">
        <v>1</v>
      </c>
      <c r="L1424" s="24">
        <v>0</v>
      </c>
      <c r="M1424" s="24">
        <v>0</v>
      </c>
    </row>
    <row r="1425" spans="2:13" ht="14" x14ac:dyDescent="0.2">
      <c r="B1425" s="24">
        <v>29</v>
      </c>
      <c r="C1425" s="24">
        <v>55</v>
      </c>
      <c r="D1425" s="24">
        <v>1</v>
      </c>
      <c r="E1425" s="24">
        <v>0.2</v>
      </c>
      <c r="F1425" s="24">
        <v>1</v>
      </c>
      <c r="G1425" s="24">
        <v>0</v>
      </c>
      <c r="H1425" s="24">
        <v>151</v>
      </c>
      <c r="I1425" s="24">
        <v>0</v>
      </c>
      <c r="J1425" s="24">
        <v>0</v>
      </c>
      <c r="K1425" s="24">
        <v>1</v>
      </c>
      <c r="L1425" s="24">
        <v>0</v>
      </c>
      <c r="M1425" s="24">
        <v>0</v>
      </c>
    </row>
    <row r="1426" spans="2:13" ht="14" x14ac:dyDescent="0.2">
      <c r="B1426" s="24">
        <v>1</v>
      </c>
      <c r="C1426" s="24">
        <v>51</v>
      </c>
      <c r="D1426" s="24">
        <v>2</v>
      </c>
      <c r="E1426" s="24">
        <v>1.75</v>
      </c>
      <c r="F1426" s="24">
        <v>0</v>
      </c>
      <c r="G1426" s="24">
        <v>0</v>
      </c>
      <c r="H1426" s="24">
        <v>0</v>
      </c>
      <c r="I1426" s="24">
        <v>0</v>
      </c>
      <c r="J1426" s="24">
        <v>0</v>
      </c>
      <c r="K1426" s="24">
        <v>0</v>
      </c>
      <c r="L1426" s="24">
        <v>0</v>
      </c>
      <c r="M1426" s="24">
        <v>0</v>
      </c>
    </row>
    <row r="1427" spans="2:13" ht="14" x14ac:dyDescent="0.2">
      <c r="B1427" s="24">
        <v>33</v>
      </c>
      <c r="C1427" s="24">
        <v>45</v>
      </c>
      <c r="D1427" s="24">
        <v>3</v>
      </c>
      <c r="E1427" s="24">
        <v>1.5</v>
      </c>
      <c r="F1427" s="24">
        <v>1</v>
      </c>
      <c r="G1427" s="24">
        <v>0</v>
      </c>
      <c r="H1427" s="24">
        <v>181</v>
      </c>
      <c r="I1427" s="24">
        <v>1</v>
      </c>
      <c r="J1427" s="24">
        <v>1</v>
      </c>
      <c r="K1427" s="24">
        <v>1</v>
      </c>
      <c r="L1427" s="24">
        <v>1</v>
      </c>
      <c r="M1427" s="24">
        <v>0</v>
      </c>
    </row>
    <row r="1428" spans="2:13" ht="14" x14ac:dyDescent="0.2">
      <c r="B1428" s="24">
        <v>8</v>
      </c>
      <c r="C1428" s="24">
        <v>183</v>
      </c>
      <c r="D1428" s="24">
        <v>1</v>
      </c>
      <c r="E1428" s="24">
        <v>6</v>
      </c>
      <c r="F1428" s="24">
        <v>1</v>
      </c>
      <c r="G1428" s="24">
        <v>0</v>
      </c>
      <c r="H1428" s="24">
        <v>0</v>
      </c>
      <c r="I1428" s="24">
        <v>0</v>
      </c>
      <c r="J1428" s="24">
        <v>0</v>
      </c>
      <c r="K1428" s="24">
        <v>0</v>
      </c>
      <c r="L1428" s="24">
        <v>0</v>
      </c>
      <c r="M1428" s="24">
        <v>0</v>
      </c>
    </row>
    <row r="1429" spans="2:13" ht="14" x14ac:dyDescent="0.2">
      <c r="B1429" s="24">
        <v>2</v>
      </c>
      <c r="C1429" s="24">
        <v>93</v>
      </c>
      <c r="D1429" s="24">
        <v>2</v>
      </c>
      <c r="E1429" s="24">
        <v>0.2</v>
      </c>
      <c r="F1429" s="24">
        <v>1</v>
      </c>
      <c r="G1429" s="24">
        <v>0</v>
      </c>
      <c r="H1429" s="24">
        <v>0</v>
      </c>
      <c r="I1429" s="24">
        <v>0</v>
      </c>
      <c r="J1429" s="24">
        <v>0</v>
      </c>
      <c r="K1429" s="24">
        <v>0</v>
      </c>
      <c r="L1429" s="24">
        <v>0</v>
      </c>
      <c r="M1429" s="24">
        <v>0</v>
      </c>
    </row>
    <row r="1430" spans="2:13" ht="14" x14ac:dyDescent="0.2">
      <c r="B1430" s="24">
        <v>29</v>
      </c>
      <c r="C1430" s="24">
        <v>34</v>
      </c>
      <c r="D1430" s="24">
        <v>4</v>
      </c>
      <c r="E1430" s="24">
        <v>0.1</v>
      </c>
      <c r="F1430" s="24">
        <v>0</v>
      </c>
      <c r="G1430" s="24">
        <v>0</v>
      </c>
      <c r="H1430" s="24">
        <v>0</v>
      </c>
      <c r="I1430" s="24">
        <v>0</v>
      </c>
      <c r="J1430" s="24">
        <v>0</v>
      </c>
      <c r="K1430" s="24">
        <v>1</v>
      </c>
      <c r="L1430" s="24">
        <v>0</v>
      </c>
      <c r="M1430" s="24">
        <v>0</v>
      </c>
    </row>
    <row r="1431" spans="2:13" ht="14" x14ac:dyDescent="0.2">
      <c r="B1431" s="24">
        <v>7</v>
      </c>
      <c r="C1431" s="24">
        <v>192</v>
      </c>
      <c r="D1431" s="24">
        <v>1</v>
      </c>
      <c r="E1431" s="24">
        <v>0</v>
      </c>
      <c r="F1431" s="24">
        <v>0</v>
      </c>
      <c r="G1431" s="24">
        <v>1</v>
      </c>
      <c r="H1431" s="24">
        <v>0</v>
      </c>
      <c r="I1431" s="24">
        <v>0</v>
      </c>
      <c r="J1431" s="24">
        <v>0</v>
      </c>
      <c r="K1431" s="24">
        <v>1</v>
      </c>
      <c r="L1431" s="24">
        <v>0</v>
      </c>
      <c r="M1431" s="24">
        <v>1</v>
      </c>
    </row>
    <row r="1432" spans="2:13" ht="14" x14ac:dyDescent="0.2">
      <c r="B1432" s="24">
        <v>16</v>
      </c>
      <c r="C1432" s="24">
        <v>85</v>
      </c>
      <c r="D1432" s="24">
        <v>1</v>
      </c>
      <c r="E1432" s="24">
        <v>4</v>
      </c>
      <c r="F1432" s="24">
        <v>0</v>
      </c>
      <c r="G1432" s="24">
        <v>0</v>
      </c>
      <c r="H1432" s="24">
        <v>0</v>
      </c>
      <c r="I1432" s="24">
        <v>0</v>
      </c>
      <c r="J1432" s="24">
        <v>0</v>
      </c>
      <c r="K1432" s="24">
        <v>1</v>
      </c>
      <c r="L1432" s="24">
        <v>1</v>
      </c>
      <c r="M1432" s="24">
        <v>0</v>
      </c>
    </row>
    <row r="1433" spans="2:13" ht="14" x14ac:dyDescent="0.2">
      <c r="B1433" s="24">
        <v>16</v>
      </c>
      <c r="C1433" s="24">
        <v>29</v>
      </c>
      <c r="D1433" s="24">
        <v>1</v>
      </c>
      <c r="E1433" s="24">
        <v>2</v>
      </c>
      <c r="F1433" s="24">
        <v>0</v>
      </c>
      <c r="G1433" s="24">
        <v>1</v>
      </c>
      <c r="H1433" s="24">
        <v>0</v>
      </c>
      <c r="I1433" s="24">
        <v>0</v>
      </c>
      <c r="J1433" s="24">
        <v>0</v>
      </c>
      <c r="K1433" s="24">
        <v>1</v>
      </c>
      <c r="L1433" s="24">
        <v>0</v>
      </c>
      <c r="M1433" s="24">
        <v>0</v>
      </c>
    </row>
    <row r="1434" spans="2:13" ht="14" x14ac:dyDescent="0.2">
      <c r="B1434" s="24">
        <v>5</v>
      </c>
      <c r="C1434" s="24">
        <v>195</v>
      </c>
      <c r="D1434" s="24">
        <v>1</v>
      </c>
      <c r="E1434" s="24">
        <v>4.3</v>
      </c>
      <c r="F1434" s="24">
        <v>1</v>
      </c>
      <c r="G1434" s="24">
        <v>0</v>
      </c>
      <c r="H1434" s="24">
        <v>0</v>
      </c>
      <c r="I1434" s="24">
        <v>0</v>
      </c>
      <c r="J1434" s="24">
        <v>0</v>
      </c>
      <c r="K1434" s="24">
        <v>0</v>
      </c>
      <c r="L1434" s="24">
        <v>0</v>
      </c>
      <c r="M1434" s="24">
        <v>0</v>
      </c>
    </row>
    <row r="1435" spans="2:13" ht="14" x14ac:dyDescent="0.2">
      <c r="B1435" s="24">
        <v>11</v>
      </c>
      <c r="C1435" s="24">
        <v>93</v>
      </c>
      <c r="D1435" s="24">
        <v>2</v>
      </c>
      <c r="E1435" s="24">
        <v>2.7</v>
      </c>
      <c r="F1435" s="24">
        <v>1</v>
      </c>
      <c r="G1435" s="24">
        <v>0</v>
      </c>
      <c r="H1435" s="24">
        <v>0</v>
      </c>
      <c r="I1435" s="24">
        <v>0</v>
      </c>
      <c r="J1435" s="24">
        <v>0</v>
      </c>
      <c r="K1435" s="24">
        <v>1</v>
      </c>
      <c r="L1435" s="24">
        <v>1</v>
      </c>
      <c r="M1435" s="24">
        <v>0</v>
      </c>
    </row>
    <row r="1436" spans="2:13" ht="14" x14ac:dyDescent="0.2">
      <c r="B1436" s="24">
        <v>16</v>
      </c>
      <c r="C1436" s="24">
        <v>81</v>
      </c>
      <c r="D1436" s="24">
        <v>2</v>
      </c>
      <c r="E1436" s="24">
        <v>0.4</v>
      </c>
      <c r="F1436" s="24">
        <v>1</v>
      </c>
      <c r="G1436" s="24">
        <v>0</v>
      </c>
      <c r="H1436" s="24">
        <v>0</v>
      </c>
      <c r="I1436" s="24">
        <v>0</v>
      </c>
      <c r="J1436" s="24">
        <v>0</v>
      </c>
      <c r="K1436" s="24">
        <v>0</v>
      </c>
      <c r="L1436" s="24">
        <v>1</v>
      </c>
      <c r="M1436" s="24">
        <v>0</v>
      </c>
    </row>
    <row r="1437" spans="2:13" ht="14" x14ac:dyDescent="0.2">
      <c r="B1437" s="24">
        <v>7</v>
      </c>
      <c r="C1437" s="24">
        <v>132</v>
      </c>
      <c r="D1437" s="24">
        <v>4</v>
      </c>
      <c r="E1437" s="24">
        <v>1.1000000000000001</v>
      </c>
      <c r="F1437" s="24">
        <v>0</v>
      </c>
      <c r="G1437" s="24">
        <v>1</v>
      </c>
      <c r="H1437" s="24">
        <v>412</v>
      </c>
      <c r="I1437" s="24">
        <v>0</v>
      </c>
      <c r="J1437" s="24">
        <v>0</v>
      </c>
      <c r="K1437" s="24">
        <v>1</v>
      </c>
      <c r="L1437" s="24">
        <v>0</v>
      </c>
      <c r="M1437" s="24">
        <v>1</v>
      </c>
    </row>
    <row r="1438" spans="2:13" ht="14" x14ac:dyDescent="0.2">
      <c r="B1438" s="24">
        <v>5</v>
      </c>
      <c r="C1438" s="24">
        <v>171</v>
      </c>
      <c r="D1438" s="24">
        <v>2</v>
      </c>
      <c r="E1438" s="24">
        <v>1.9</v>
      </c>
      <c r="F1438" s="24">
        <v>0</v>
      </c>
      <c r="G1438" s="24">
        <v>1</v>
      </c>
      <c r="H1438" s="24">
        <v>0</v>
      </c>
      <c r="I1438" s="24">
        <v>0</v>
      </c>
      <c r="J1438" s="24">
        <v>0</v>
      </c>
      <c r="K1438" s="24">
        <v>0</v>
      </c>
      <c r="L1438" s="24">
        <v>0</v>
      </c>
      <c r="M1438" s="24">
        <v>1</v>
      </c>
    </row>
    <row r="1439" spans="2:13" ht="14" x14ac:dyDescent="0.2">
      <c r="B1439" s="24">
        <v>31</v>
      </c>
      <c r="C1439" s="24">
        <v>68</v>
      </c>
      <c r="D1439" s="24">
        <v>2</v>
      </c>
      <c r="E1439" s="24">
        <v>0</v>
      </c>
      <c r="F1439" s="24">
        <v>0</v>
      </c>
      <c r="G1439" s="24">
        <v>0</v>
      </c>
      <c r="H1439" s="24">
        <v>0</v>
      </c>
      <c r="I1439" s="24">
        <v>1</v>
      </c>
      <c r="J1439" s="24">
        <v>0</v>
      </c>
      <c r="K1439" s="24">
        <v>1</v>
      </c>
      <c r="L1439" s="24">
        <v>0</v>
      </c>
      <c r="M1439" s="24">
        <v>0</v>
      </c>
    </row>
    <row r="1440" spans="2:13" ht="14" x14ac:dyDescent="0.2">
      <c r="B1440" s="24">
        <v>9</v>
      </c>
      <c r="C1440" s="24">
        <v>31</v>
      </c>
      <c r="D1440" s="24">
        <v>4</v>
      </c>
      <c r="E1440" s="24">
        <v>1</v>
      </c>
      <c r="F1440" s="24">
        <v>0</v>
      </c>
      <c r="G1440" s="24">
        <v>1</v>
      </c>
      <c r="H1440" s="24">
        <v>0</v>
      </c>
      <c r="I1440" s="24">
        <v>1</v>
      </c>
      <c r="J1440" s="24">
        <v>0</v>
      </c>
      <c r="K1440" s="24">
        <v>1</v>
      </c>
      <c r="L1440" s="24">
        <v>0</v>
      </c>
      <c r="M1440" s="24">
        <v>0</v>
      </c>
    </row>
    <row r="1441" spans="2:13" ht="14" x14ac:dyDescent="0.2">
      <c r="B1441" s="24">
        <v>18</v>
      </c>
      <c r="C1441" s="24">
        <v>145</v>
      </c>
      <c r="D1441" s="24">
        <v>1</v>
      </c>
      <c r="E1441" s="24">
        <v>1.7</v>
      </c>
      <c r="F1441" s="24">
        <v>1</v>
      </c>
      <c r="G1441" s="24">
        <v>0</v>
      </c>
      <c r="H1441" s="24">
        <v>132</v>
      </c>
      <c r="I1441" s="24">
        <v>0</v>
      </c>
      <c r="J1441" s="24">
        <v>0</v>
      </c>
      <c r="K1441" s="24">
        <v>1</v>
      </c>
      <c r="L1441" s="24">
        <v>1</v>
      </c>
      <c r="M1441" s="24">
        <v>0</v>
      </c>
    </row>
    <row r="1442" spans="2:13" ht="14" x14ac:dyDescent="0.2">
      <c r="B1442" s="24">
        <v>4</v>
      </c>
      <c r="C1442" s="24">
        <v>32</v>
      </c>
      <c r="D1442" s="24">
        <v>3</v>
      </c>
      <c r="E1442" s="24">
        <v>1</v>
      </c>
      <c r="F1442" s="24">
        <v>0</v>
      </c>
      <c r="G1442" s="24">
        <v>1</v>
      </c>
      <c r="H1442" s="24">
        <v>0</v>
      </c>
      <c r="I1442" s="24">
        <v>0</v>
      </c>
      <c r="J1442" s="24">
        <v>0</v>
      </c>
      <c r="K1442" s="24">
        <v>0</v>
      </c>
      <c r="L1442" s="24">
        <v>0</v>
      </c>
      <c r="M1442" s="24">
        <v>0</v>
      </c>
    </row>
    <row r="1443" spans="2:13" ht="14" x14ac:dyDescent="0.2">
      <c r="B1443" s="24">
        <v>32</v>
      </c>
      <c r="C1443" s="24">
        <v>40</v>
      </c>
      <c r="D1443" s="24">
        <v>3</v>
      </c>
      <c r="E1443" s="24">
        <v>1.7</v>
      </c>
      <c r="F1443" s="24">
        <v>1</v>
      </c>
      <c r="G1443" s="24">
        <v>0</v>
      </c>
      <c r="H1443" s="24">
        <v>0</v>
      </c>
      <c r="I1443" s="24">
        <v>0</v>
      </c>
      <c r="J1443" s="24">
        <v>0</v>
      </c>
      <c r="K1443" s="24">
        <v>1</v>
      </c>
      <c r="L1443" s="24">
        <v>1</v>
      </c>
      <c r="M1443" s="24">
        <v>0</v>
      </c>
    </row>
    <row r="1444" spans="2:13" ht="14" x14ac:dyDescent="0.2">
      <c r="B1444" s="24">
        <v>36</v>
      </c>
      <c r="C1444" s="24">
        <v>93</v>
      </c>
      <c r="D1444" s="24">
        <v>1</v>
      </c>
      <c r="E1444" s="24">
        <v>4.3</v>
      </c>
      <c r="F1444" s="24">
        <v>1</v>
      </c>
      <c r="G1444" s="24">
        <v>0</v>
      </c>
      <c r="H1444" s="24">
        <v>0</v>
      </c>
      <c r="I1444" s="24">
        <v>0</v>
      </c>
      <c r="J1444" s="24">
        <v>0</v>
      </c>
      <c r="K1444" s="24">
        <v>1</v>
      </c>
      <c r="L1444" s="24">
        <v>0</v>
      </c>
      <c r="M1444" s="24">
        <v>0</v>
      </c>
    </row>
    <row r="1445" spans="2:13" ht="14" x14ac:dyDescent="0.2">
      <c r="B1445" s="24">
        <v>37</v>
      </c>
      <c r="C1445" s="24">
        <v>42</v>
      </c>
      <c r="D1445" s="24">
        <v>2</v>
      </c>
      <c r="E1445" s="24">
        <v>0.7</v>
      </c>
      <c r="F1445" s="24">
        <v>0</v>
      </c>
      <c r="G1445" s="24">
        <v>0</v>
      </c>
      <c r="H1445" s="24">
        <v>115</v>
      </c>
      <c r="I1445" s="24">
        <v>0</v>
      </c>
      <c r="J1445" s="24">
        <v>0</v>
      </c>
      <c r="K1445" s="24">
        <v>1</v>
      </c>
      <c r="L1445" s="24">
        <v>0</v>
      </c>
      <c r="M1445" s="24">
        <v>0</v>
      </c>
    </row>
    <row r="1446" spans="2:13" ht="14" x14ac:dyDescent="0.2">
      <c r="B1446" s="24">
        <v>31</v>
      </c>
      <c r="C1446" s="24">
        <v>13</v>
      </c>
      <c r="D1446" s="24">
        <v>4</v>
      </c>
      <c r="E1446" s="24">
        <v>0.9</v>
      </c>
      <c r="F1446" s="24">
        <v>0</v>
      </c>
      <c r="G1446" s="24">
        <v>1</v>
      </c>
      <c r="H1446" s="24">
        <v>76</v>
      </c>
      <c r="I1446" s="24">
        <v>0</v>
      </c>
      <c r="J1446" s="24">
        <v>1</v>
      </c>
      <c r="K1446" s="24">
        <v>1</v>
      </c>
      <c r="L1446" s="24">
        <v>1</v>
      </c>
      <c r="M1446" s="24">
        <v>0</v>
      </c>
    </row>
    <row r="1447" spans="2:13" ht="14" x14ac:dyDescent="0.2">
      <c r="B1447" s="24">
        <v>10</v>
      </c>
      <c r="C1447" s="24">
        <v>13</v>
      </c>
      <c r="D1447" s="24">
        <v>4</v>
      </c>
      <c r="E1447" s="24">
        <v>1</v>
      </c>
      <c r="F1447" s="24">
        <v>1</v>
      </c>
      <c r="G1447" s="24">
        <v>0</v>
      </c>
      <c r="H1447" s="24">
        <v>95</v>
      </c>
      <c r="I1447" s="24">
        <v>1</v>
      </c>
      <c r="J1447" s="24">
        <v>0</v>
      </c>
      <c r="K1447" s="24">
        <v>1</v>
      </c>
      <c r="L1447" s="24">
        <v>0</v>
      </c>
      <c r="M1447" s="24">
        <v>0</v>
      </c>
    </row>
    <row r="1448" spans="2:13" ht="14" x14ac:dyDescent="0.2">
      <c r="B1448" s="24">
        <v>3</v>
      </c>
      <c r="C1448" s="24">
        <v>52</v>
      </c>
      <c r="D1448" s="24">
        <v>4</v>
      </c>
      <c r="E1448" s="24">
        <v>1.7</v>
      </c>
      <c r="F1448" s="24">
        <v>0</v>
      </c>
      <c r="G1448" s="24">
        <v>1</v>
      </c>
      <c r="H1448" s="24">
        <v>0</v>
      </c>
      <c r="I1448" s="24">
        <v>0</v>
      </c>
      <c r="J1448" s="24">
        <v>0</v>
      </c>
      <c r="K1448" s="24">
        <v>0</v>
      </c>
      <c r="L1448" s="24">
        <v>0</v>
      </c>
      <c r="M1448" s="24">
        <v>0</v>
      </c>
    </row>
    <row r="1449" spans="2:13" ht="14" x14ac:dyDescent="0.2">
      <c r="B1449" s="24">
        <v>33</v>
      </c>
      <c r="C1449" s="24">
        <v>25</v>
      </c>
      <c r="D1449" s="24">
        <v>2</v>
      </c>
      <c r="E1449" s="24">
        <v>1</v>
      </c>
      <c r="F1449" s="24">
        <v>1</v>
      </c>
      <c r="G1449" s="24">
        <v>0</v>
      </c>
      <c r="H1449" s="24">
        <v>0</v>
      </c>
      <c r="I1449" s="24">
        <v>0</v>
      </c>
      <c r="J1449" s="24">
        <v>0</v>
      </c>
      <c r="K1449" s="24">
        <v>1</v>
      </c>
      <c r="L1449" s="24">
        <v>0</v>
      </c>
      <c r="M1449" s="24">
        <v>0</v>
      </c>
    </row>
    <row r="1450" spans="2:13" ht="14" x14ac:dyDescent="0.2">
      <c r="B1450" s="24">
        <v>2</v>
      </c>
      <c r="C1450" s="24">
        <v>30</v>
      </c>
      <c r="D1450" s="24">
        <v>4</v>
      </c>
      <c r="E1450" s="24">
        <v>1</v>
      </c>
      <c r="F1450" s="24">
        <v>0</v>
      </c>
      <c r="G1450" s="24">
        <v>0</v>
      </c>
      <c r="H1450" s="24">
        <v>0</v>
      </c>
      <c r="I1450" s="24">
        <v>0</v>
      </c>
      <c r="J1450" s="24">
        <v>0</v>
      </c>
      <c r="K1450" s="24">
        <v>0</v>
      </c>
      <c r="L1450" s="24">
        <v>0</v>
      </c>
      <c r="M1450" s="24">
        <v>0</v>
      </c>
    </row>
    <row r="1451" spans="2:13" ht="14" x14ac:dyDescent="0.2">
      <c r="B1451" s="24">
        <v>28</v>
      </c>
      <c r="C1451" s="24">
        <v>15</v>
      </c>
      <c r="D1451" s="24">
        <v>1</v>
      </c>
      <c r="E1451" s="24">
        <v>0.2</v>
      </c>
      <c r="F1451" s="24">
        <v>1</v>
      </c>
      <c r="G1451" s="24">
        <v>0</v>
      </c>
      <c r="H1451" s="24">
        <v>0</v>
      </c>
      <c r="I1451" s="24">
        <v>0</v>
      </c>
      <c r="J1451" s="24">
        <v>0</v>
      </c>
      <c r="K1451" s="24">
        <v>1</v>
      </c>
      <c r="L1451" s="24">
        <v>0</v>
      </c>
      <c r="M1451" s="24">
        <v>0</v>
      </c>
    </row>
    <row r="1452" spans="2:13" ht="14" x14ac:dyDescent="0.2">
      <c r="B1452" s="24">
        <v>1</v>
      </c>
      <c r="C1452" s="24">
        <v>74</v>
      </c>
      <c r="D1452" s="24">
        <v>4</v>
      </c>
      <c r="E1452" s="24">
        <v>1.8</v>
      </c>
      <c r="F1452" s="24">
        <v>0</v>
      </c>
      <c r="G1452" s="24">
        <v>1</v>
      </c>
      <c r="H1452" s="24">
        <v>112</v>
      </c>
      <c r="I1452" s="24">
        <v>0</v>
      </c>
      <c r="J1452" s="24">
        <v>0</v>
      </c>
      <c r="K1452" s="24">
        <v>1</v>
      </c>
      <c r="L1452" s="24">
        <v>1</v>
      </c>
      <c r="M1452" s="24">
        <v>0</v>
      </c>
    </row>
    <row r="1453" spans="2:13" ht="14" x14ac:dyDescent="0.2">
      <c r="B1453" s="24">
        <v>10</v>
      </c>
      <c r="C1453" s="24">
        <v>21</v>
      </c>
      <c r="D1453" s="24">
        <v>1</v>
      </c>
      <c r="E1453" s="24">
        <v>0.5</v>
      </c>
      <c r="F1453" s="24">
        <v>0</v>
      </c>
      <c r="G1453" s="24">
        <v>0</v>
      </c>
      <c r="H1453" s="24">
        <v>0</v>
      </c>
      <c r="I1453" s="24">
        <v>0</v>
      </c>
      <c r="J1453" s="24">
        <v>0</v>
      </c>
      <c r="K1453" s="24">
        <v>1</v>
      </c>
      <c r="L1453" s="24">
        <v>0</v>
      </c>
      <c r="M1453" s="24">
        <v>0</v>
      </c>
    </row>
    <row r="1454" spans="2:13" ht="14" x14ac:dyDescent="0.2">
      <c r="B1454" s="24">
        <v>20</v>
      </c>
      <c r="C1454" s="24">
        <v>38</v>
      </c>
      <c r="D1454" s="24">
        <v>3</v>
      </c>
      <c r="E1454" s="24">
        <v>2.5</v>
      </c>
      <c r="F1454" s="24">
        <v>0</v>
      </c>
      <c r="G1454" s="24">
        <v>1</v>
      </c>
      <c r="H1454" s="24">
        <v>0</v>
      </c>
      <c r="I1454" s="24">
        <v>0</v>
      </c>
      <c r="J1454" s="24">
        <v>0</v>
      </c>
      <c r="K1454" s="24">
        <v>0</v>
      </c>
      <c r="L1454" s="24">
        <v>0</v>
      </c>
      <c r="M1454" s="24">
        <v>0</v>
      </c>
    </row>
    <row r="1455" spans="2:13" ht="14" x14ac:dyDescent="0.2">
      <c r="B1455" s="24">
        <v>24</v>
      </c>
      <c r="C1455" s="24">
        <v>25</v>
      </c>
      <c r="D1455" s="24">
        <v>4</v>
      </c>
      <c r="E1455" s="24">
        <v>0.4</v>
      </c>
      <c r="F1455" s="24">
        <v>0</v>
      </c>
      <c r="G1455" s="24">
        <v>0</v>
      </c>
      <c r="H1455" s="24">
        <v>115</v>
      </c>
      <c r="I1455" s="24">
        <v>0</v>
      </c>
      <c r="J1455" s="24">
        <v>0</v>
      </c>
      <c r="K1455" s="24">
        <v>0</v>
      </c>
      <c r="L1455" s="24">
        <v>0</v>
      </c>
      <c r="M1455" s="24">
        <v>0</v>
      </c>
    </row>
    <row r="1456" spans="2:13" ht="14" x14ac:dyDescent="0.2">
      <c r="B1456" s="24">
        <v>3</v>
      </c>
      <c r="C1456" s="24">
        <v>45</v>
      </c>
      <c r="D1456" s="24">
        <v>4</v>
      </c>
      <c r="E1456" s="24">
        <v>0.2</v>
      </c>
      <c r="F1456" s="24">
        <v>1</v>
      </c>
      <c r="G1456" s="24">
        <v>0</v>
      </c>
      <c r="H1456" s="24">
        <v>158</v>
      </c>
      <c r="I1456" s="24">
        <v>0</v>
      </c>
      <c r="J1456" s="24">
        <v>0</v>
      </c>
      <c r="K1456" s="24">
        <v>1</v>
      </c>
      <c r="L1456" s="24">
        <v>1</v>
      </c>
      <c r="M1456" s="24">
        <v>0</v>
      </c>
    </row>
    <row r="1457" spans="2:13" ht="14" x14ac:dyDescent="0.2">
      <c r="B1457" s="24">
        <v>21</v>
      </c>
      <c r="C1457" s="24">
        <v>159</v>
      </c>
      <c r="D1457" s="24">
        <v>3</v>
      </c>
      <c r="E1457" s="24">
        <v>1.9</v>
      </c>
      <c r="F1457" s="24">
        <v>0</v>
      </c>
      <c r="G1457" s="24">
        <v>0</v>
      </c>
      <c r="H1457" s="24">
        <v>315</v>
      </c>
      <c r="I1457" s="24">
        <v>0</v>
      </c>
      <c r="J1457" s="24">
        <v>0</v>
      </c>
      <c r="K1457" s="24">
        <v>1</v>
      </c>
      <c r="L1457" s="24">
        <v>0</v>
      </c>
      <c r="M1457" s="24">
        <v>1</v>
      </c>
    </row>
    <row r="1458" spans="2:13" ht="14" x14ac:dyDescent="0.2">
      <c r="B1458" s="24">
        <v>24</v>
      </c>
      <c r="C1458" s="24">
        <v>82</v>
      </c>
      <c r="D1458" s="24">
        <v>3</v>
      </c>
      <c r="E1458" s="24">
        <v>3</v>
      </c>
      <c r="F1458" s="24">
        <v>0</v>
      </c>
      <c r="G1458" s="24">
        <v>1</v>
      </c>
      <c r="H1458" s="24">
        <v>0</v>
      </c>
      <c r="I1458" s="24">
        <v>0</v>
      </c>
      <c r="J1458" s="24">
        <v>0</v>
      </c>
      <c r="K1458" s="24">
        <v>1</v>
      </c>
      <c r="L1458" s="24">
        <v>0</v>
      </c>
      <c r="M1458" s="24">
        <v>0</v>
      </c>
    </row>
    <row r="1459" spans="2:13" ht="14" x14ac:dyDescent="0.2">
      <c r="B1459" s="24">
        <v>31</v>
      </c>
      <c r="C1459" s="24">
        <v>103</v>
      </c>
      <c r="D1459" s="24">
        <v>3</v>
      </c>
      <c r="E1459" s="24">
        <v>1.8</v>
      </c>
      <c r="F1459" s="24">
        <v>0</v>
      </c>
      <c r="G1459" s="24">
        <v>1</v>
      </c>
      <c r="H1459" s="24">
        <v>364</v>
      </c>
      <c r="I1459" s="24">
        <v>0</v>
      </c>
      <c r="J1459" s="24">
        <v>0</v>
      </c>
      <c r="K1459" s="24">
        <v>0</v>
      </c>
      <c r="L1459" s="24">
        <v>0</v>
      </c>
      <c r="M1459" s="24">
        <v>0</v>
      </c>
    </row>
    <row r="1460" spans="2:13" ht="14" x14ac:dyDescent="0.2">
      <c r="B1460" s="24">
        <v>28</v>
      </c>
      <c r="C1460" s="24">
        <v>101</v>
      </c>
      <c r="D1460" s="24">
        <v>2</v>
      </c>
      <c r="E1460" s="24">
        <v>0.3</v>
      </c>
      <c r="F1460" s="24">
        <v>1</v>
      </c>
      <c r="G1460" s="24">
        <v>0</v>
      </c>
      <c r="H1460" s="24">
        <v>0</v>
      </c>
      <c r="I1460" s="24">
        <v>0</v>
      </c>
      <c r="J1460" s="24">
        <v>0</v>
      </c>
      <c r="K1460" s="24">
        <v>0</v>
      </c>
      <c r="L1460" s="24">
        <v>0</v>
      </c>
      <c r="M1460" s="24">
        <v>0</v>
      </c>
    </row>
    <row r="1461" spans="2:13" ht="14" x14ac:dyDescent="0.2">
      <c r="B1461" s="24">
        <v>38</v>
      </c>
      <c r="C1461" s="24">
        <v>161</v>
      </c>
      <c r="D1461" s="24">
        <v>1</v>
      </c>
      <c r="E1461" s="24">
        <v>2.9</v>
      </c>
      <c r="F1461" s="24">
        <v>1</v>
      </c>
      <c r="G1461" s="24">
        <v>0</v>
      </c>
      <c r="H1461" s="24">
        <v>0</v>
      </c>
      <c r="I1461" s="24">
        <v>1</v>
      </c>
      <c r="J1461" s="24">
        <v>1</v>
      </c>
      <c r="K1461" s="24">
        <v>1</v>
      </c>
      <c r="L1461" s="24">
        <v>1</v>
      </c>
      <c r="M1461" s="24">
        <v>0</v>
      </c>
    </row>
    <row r="1462" spans="2:13" ht="14" x14ac:dyDescent="0.2">
      <c r="B1462" s="24">
        <v>4</v>
      </c>
      <c r="C1462" s="24">
        <v>73</v>
      </c>
      <c r="D1462" s="24">
        <v>3</v>
      </c>
      <c r="E1462" s="24">
        <v>3.3</v>
      </c>
      <c r="F1462" s="24">
        <v>1</v>
      </c>
      <c r="G1462" s="24">
        <v>0</v>
      </c>
      <c r="H1462" s="24">
        <v>0</v>
      </c>
      <c r="I1462" s="24">
        <v>0</v>
      </c>
      <c r="J1462" s="24">
        <v>1</v>
      </c>
      <c r="K1462" s="24">
        <v>1</v>
      </c>
      <c r="L1462" s="24">
        <v>1</v>
      </c>
      <c r="M1462" s="24">
        <v>1</v>
      </c>
    </row>
    <row r="1463" spans="2:13" ht="14" x14ac:dyDescent="0.2">
      <c r="B1463" s="24">
        <v>7</v>
      </c>
      <c r="C1463" s="24">
        <v>55</v>
      </c>
      <c r="D1463" s="24">
        <v>4</v>
      </c>
      <c r="E1463" s="24">
        <v>2</v>
      </c>
      <c r="F1463" s="24">
        <v>0</v>
      </c>
      <c r="G1463" s="24">
        <v>1</v>
      </c>
      <c r="H1463" s="24">
        <v>0</v>
      </c>
      <c r="I1463" s="24">
        <v>0</v>
      </c>
      <c r="J1463" s="24">
        <v>0</v>
      </c>
      <c r="K1463" s="24">
        <v>1</v>
      </c>
      <c r="L1463" s="24">
        <v>0</v>
      </c>
      <c r="M1463" s="24">
        <v>0</v>
      </c>
    </row>
    <row r="1464" spans="2:13" ht="14" x14ac:dyDescent="0.2">
      <c r="B1464" s="24">
        <v>6</v>
      </c>
      <c r="C1464" s="24">
        <v>90</v>
      </c>
      <c r="D1464" s="24">
        <v>4</v>
      </c>
      <c r="E1464" s="24">
        <v>1.8</v>
      </c>
      <c r="F1464" s="24">
        <v>0</v>
      </c>
      <c r="G1464" s="24">
        <v>0</v>
      </c>
      <c r="H1464" s="24">
        <v>0</v>
      </c>
      <c r="I1464" s="24">
        <v>1</v>
      </c>
      <c r="J1464" s="24">
        <v>0</v>
      </c>
      <c r="K1464" s="24">
        <v>0</v>
      </c>
      <c r="L1464" s="24">
        <v>0</v>
      </c>
      <c r="M1464" s="24">
        <v>0</v>
      </c>
    </row>
    <row r="1465" spans="2:13" ht="14" x14ac:dyDescent="0.2">
      <c r="B1465" s="24">
        <v>19</v>
      </c>
      <c r="C1465" s="24">
        <v>83</v>
      </c>
      <c r="D1465" s="24">
        <v>2</v>
      </c>
      <c r="E1465" s="24">
        <v>1.7</v>
      </c>
      <c r="F1465" s="24">
        <v>0</v>
      </c>
      <c r="G1465" s="24">
        <v>1</v>
      </c>
      <c r="H1465" s="24">
        <v>0</v>
      </c>
      <c r="I1465" s="24">
        <v>0</v>
      </c>
      <c r="J1465" s="24">
        <v>0</v>
      </c>
      <c r="K1465" s="24">
        <v>1</v>
      </c>
      <c r="L1465" s="24">
        <v>0</v>
      </c>
      <c r="M1465" s="24">
        <v>0</v>
      </c>
    </row>
    <row r="1466" spans="2:13" ht="14" x14ac:dyDescent="0.2">
      <c r="B1466" s="24">
        <v>35</v>
      </c>
      <c r="C1466" s="24">
        <v>43</v>
      </c>
      <c r="D1466" s="24">
        <v>3</v>
      </c>
      <c r="E1466" s="24">
        <v>0.9</v>
      </c>
      <c r="F1466" s="24">
        <v>0</v>
      </c>
      <c r="G1466" s="24">
        <v>0</v>
      </c>
      <c r="H1466" s="24">
        <v>0</v>
      </c>
      <c r="I1466" s="24">
        <v>0</v>
      </c>
      <c r="J1466" s="24">
        <v>0</v>
      </c>
      <c r="K1466" s="24">
        <v>1</v>
      </c>
      <c r="L1466" s="24">
        <v>1</v>
      </c>
      <c r="M1466" s="24">
        <v>0</v>
      </c>
    </row>
    <row r="1467" spans="2:13" ht="14" x14ac:dyDescent="0.2">
      <c r="B1467" s="24">
        <v>9</v>
      </c>
      <c r="C1467" s="24">
        <v>20</v>
      </c>
      <c r="D1467" s="24">
        <v>2</v>
      </c>
      <c r="E1467" s="24">
        <v>1.4</v>
      </c>
      <c r="F1467" s="24">
        <v>0</v>
      </c>
      <c r="G1467" s="24">
        <v>0</v>
      </c>
      <c r="H1467" s="24">
        <v>0</v>
      </c>
      <c r="I1467" s="24">
        <v>0</v>
      </c>
      <c r="J1467" s="24">
        <v>0</v>
      </c>
      <c r="K1467" s="24">
        <v>1</v>
      </c>
      <c r="L1467" s="24">
        <v>1</v>
      </c>
      <c r="M1467" s="24">
        <v>0</v>
      </c>
    </row>
    <row r="1468" spans="2:13" ht="14" x14ac:dyDescent="0.2">
      <c r="B1468" s="24">
        <v>32</v>
      </c>
      <c r="C1468" s="24">
        <v>21</v>
      </c>
      <c r="D1468" s="24">
        <v>3</v>
      </c>
      <c r="E1468" s="24">
        <v>0.1</v>
      </c>
      <c r="F1468" s="24">
        <v>0</v>
      </c>
      <c r="G1468" s="24">
        <v>1</v>
      </c>
      <c r="H1468" s="24">
        <v>0</v>
      </c>
      <c r="I1468" s="24">
        <v>1</v>
      </c>
      <c r="J1468" s="24">
        <v>1</v>
      </c>
      <c r="K1468" s="24">
        <v>1</v>
      </c>
      <c r="L1468" s="24">
        <v>0</v>
      </c>
      <c r="M1468" s="24">
        <v>0</v>
      </c>
    </row>
    <row r="1469" spans="2:13" ht="14" x14ac:dyDescent="0.2">
      <c r="B1469" s="24">
        <v>20</v>
      </c>
      <c r="C1469" s="24">
        <v>29</v>
      </c>
      <c r="D1469" s="24">
        <v>3</v>
      </c>
      <c r="E1469" s="24">
        <v>0.5</v>
      </c>
      <c r="F1469" s="24">
        <v>0</v>
      </c>
      <c r="G1469" s="24">
        <v>1</v>
      </c>
      <c r="H1469" s="24">
        <v>0</v>
      </c>
      <c r="I1469" s="24">
        <v>0</v>
      </c>
      <c r="J1469" s="24">
        <v>0</v>
      </c>
      <c r="K1469" s="24">
        <v>0</v>
      </c>
      <c r="L1469" s="24">
        <v>0</v>
      </c>
      <c r="M1469" s="24">
        <v>0</v>
      </c>
    </row>
    <row r="1470" spans="2:13" ht="14" x14ac:dyDescent="0.2">
      <c r="B1470" s="24">
        <v>30</v>
      </c>
      <c r="C1470" s="24">
        <v>84</v>
      </c>
      <c r="D1470" s="24">
        <v>2</v>
      </c>
      <c r="E1470" s="24">
        <v>3.7</v>
      </c>
      <c r="F1470" s="24">
        <v>1</v>
      </c>
      <c r="G1470" s="24">
        <v>0</v>
      </c>
      <c r="H1470" s="24">
        <v>304</v>
      </c>
      <c r="I1470" s="24">
        <v>1</v>
      </c>
      <c r="J1470" s="24">
        <v>0</v>
      </c>
      <c r="K1470" s="24">
        <v>1</v>
      </c>
      <c r="L1470" s="24">
        <v>0</v>
      </c>
      <c r="M1470" s="24">
        <v>0</v>
      </c>
    </row>
    <row r="1471" spans="2:13" ht="14" x14ac:dyDescent="0.2">
      <c r="B1471" s="24">
        <v>18</v>
      </c>
      <c r="C1471" s="24">
        <v>81</v>
      </c>
      <c r="D1471" s="24">
        <v>4</v>
      </c>
      <c r="E1471" s="24">
        <v>2.4</v>
      </c>
      <c r="F1471" s="24">
        <v>1</v>
      </c>
      <c r="G1471" s="24">
        <v>0</v>
      </c>
      <c r="H1471" s="24">
        <v>0</v>
      </c>
      <c r="I1471" s="24">
        <v>0</v>
      </c>
      <c r="J1471" s="24">
        <v>0</v>
      </c>
      <c r="K1471" s="24">
        <v>0</v>
      </c>
      <c r="L1471" s="24">
        <v>0</v>
      </c>
      <c r="M1471" s="24">
        <v>0</v>
      </c>
    </row>
    <row r="1472" spans="2:13" ht="14" x14ac:dyDescent="0.2">
      <c r="B1472" s="24">
        <v>14</v>
      </c>
      <c r="C1472" s="24">
        <v>38</v>
      </c>
      <c r="D1472" s="24">
        <v>3</v>
      </c>
      <c r="E1472" s="24">
        <v>1</v>
      </c>
      <c r="F1472" s="24">
        <v>0</v>
      </c>
      <c r="G1472" s="24">
        <v>1</v>
      </c>
      <c r="H1472" s="24">
        <v>150</v>
      </c>
      <c r="I1472" s="24">
        <v>0</v>
      </c>
      <c r="J1472" s="24">
        <v>0</v>
      </c>
      <c r="K1472" s="24">
        <v>1</v>
      </c>
      <c r="L1472" s="24">
        <v>0</v>
      </c>
      <c r="M1472" s="24">
        <v>0</v>
      </c>
    </row>
    <row r="1473" spans="2:13" ht="14" x14ac:dyDescent="0.2">
      <c r="B1473" s="24">
        <v>30</v>
      </c>
      <c r="C1473" s="24">
        <v>18</v>
      </c>
      <c r="D1473" s="24">
        <v>1</v>
      </c>
      <c r="E1473" s="24">
        <v>0.3</v>
      </c>
      <c r="F1473" s="24">
        <v>1</v>
      </c>
      <c r="G1473" s="24">
        <v>0</v>
      </c>
      <c r="H1473" s="24">
        <v>0</v>
      </c>
      <c r="I1473" s="24">
        <v>1</v>
      </c>
      <c r="J1473" s="24">
        <v>1</v>
      </c>
      <c r="K1473" s="24">
        <v>1</v>
      </c>
      <c r="L1473" s="24">
        <v>0</v>
      </c>
      <c r="M1473" s="24">
        <v>0</v>
      </c>
    </row>
    <row r="1474" spans="2:13" ht="14" x14ac:dyDescent="0.2">
      <c r="B1474" s="24">
        <v>8</v>
      </c>
      <c r="C1474" s="24">
        <v>141</v>
      </c>
      <c r="D1474" s="24">
        <v>2</v>
      </c>
      <c r="E1474" s="24">
        <v>4.3333333333333304</v>
      </c>
      <c r="F1474" s="24">
        <v>1</v>
      </c>
      <c r="G1474" s="24">
        <v>0</v>
      </c>
      <c r="H1474" s="24">
        <v>0</v>
      </c>
      <c r="I1474" s="24">
        <v>0</v>
      </c>
      <c r="J1474" s="24">
        <v>0</v>
      </c>
      <c r="K1474" s="24">
        <v>0</v>
      </c>
      <c r="L1474" s="24">
        <v>0</v>
      </c>
      <c r="M1474" s="24">
        <v>0</v>
      </c>
    </row>
    <row r="1475" spans="2:13" ht="14" x14ac:dyDescent="0.2">
      <c r="B1475" s="24">
        <v>0</v>
      </c>
      <c r="C1475" s="24">
        <v>112</v>
      </c>
      <c r="D1475" s="24">
        <v>2</v>
      </c>
      <c r="E1475" s="24">
        <v>2</v>
      </c>
      <c r="F1475" s="24">
        <v>1</v>
      </c>
      <c r="G1475" s="24">
        <v>0</v>
      </c>
      <c r="H1475" s="24">
        <v>241</v>
      </c>
      <c r="I1475" s="24">
        <v>0</v>
      </c>
      <c r="J1475" s="24">
        <v>0</v>
      </c>
      <c r="K1475" s="24">
        <v>1</v>
      </c>
      <c r="L1475" s="24">
        <v>0</v>
      </c>
      <c r="M1475" s="24">
        <v>0</v>
      </c>
    </row>
    <row r="1476" spans="2:13" ht="14" x14ac:dyDescent="0.2">
      <c r="B1476" s="24">
        <v>9</v>
      </c>
      <c r="C1476" s="24">
        <v>138</v>
      </c>
      <c r="D1476" s="24">
        <v>2</v>
      </c>
      <c r="E1476" s="24">
        <v>7.8</v>
      </c>
      <c r="F1476" s="24">
        <v>1</v>
      </c>
      <c r="G1476" s="24">
        <v>0</v>
      </c>
      <c r="H1476" s="24">
        <v>227</v>
      </c>
      <c r="I1476" s="24">
        <v>0</v>
      </c>
      <c r="J1476" s="24">
        <v>0</v>
      </c>
      <c r="K1476" s="24">
        <v>1</v>
      </c>
      <c r="L1476" s="24">
        <v>0</v>
      </c>
      <c r="M1476" s="24">
        <v>0</v>
      </c>
    </row>
    <row r="1477" spans="2:13" ht="14" x14ac:dyDescent="0.2">
      <c r="B1477" s="24">
        <v>9</v>
      </c>
      <c r="C1477" s="24">
        <v>118</v>
      </c>
      <c r="D1477" s="24">
        <v>2</v>
      </c>
      <c r="E1477" s="24">
        <v>6</v>
      </c>
      <c r="F1477" s="24">
        <v>0</v>
      </c>
      <c r="G1477" s="24">
        <v>0</v>
      </c>
      <c r="H1477" s="24">
        <v>246</v>
      </c>
      <c r="I1477" s="24">
        <v>0</v>
      </c>
      <c r="J1477" s="24">
        <v>1</v>
      </c>
      <c r="K1477" s="24">
        <v>1</v>
      </c>
      <c r="L1477" s="24">
        <v>1</v>
      </c>
      <c r="M1477" s="24">
        <v>1</v>
      </c>
    </row>
    <row r="1478" spans="2:13" ht="14" x14ac:dyDescent="0.2">
      <c r="B1478" s="24">
        <v>18</v>
      </c>
      <c r="C1478" s="24">
        <v>75</v>
      </c>
      <c r="D1478" s="24">
        <v>3</v>
      </c>
      <c r="E1478" s="24">
        <v>2.3333333333333299</v>
      </c>
      <c r="F1478" s="24">
        <v>1</v>
      </c>
      <c r="G1478" s="24">
        <v>0</v>
      </c>
      <c r="H1478" s="24">
        <v>0</v>
      </c>
      <c r="I1478" s="24">
        <v>0</v>
      </c>
      <c r="J1478" s="24">
        <v>0</v>
      </c>
      <c r="K1478" s="24">
        <v>0</v>
      </c>
      <c r="L1478" s="24">
        <v>1</v>
      </c>
      <c r="M1478" s="24">
        <v>0</v>
      </c>
    </row>
    <row r="1479" spans="2:13" ht="14" x14ac:dyDescent="0.2">
      <c r="B1479" s="24">
        <v>19</v>
      </c>
      <c r="C1479" s="24">
        <v>49</v>
      </c>
      <c r="D1479" s="24">
        <v>4</v>
      </c>
      <c r="E1479" s="24">
        <v>1.9</v>
      </c>
      <c r="F1479" s="24">
        <v>0</v>
      </c>
      <c r="G1479" s="24">
        <v>0</v>
      </c>
      <c r="H1479" s="24">
        <v>89</v>
      </c>
      <c r="I1479" s="24">
        <v>0</v>
      </c>
      <c r="J1479" s="24">
        <v>0</v>
      </c>
      <c r="K1479" s="24">
        <v>1</v>
      </c>
      <c r="L1479" s="24">
        <v>0</v>
      </c>
      <c r="M1479" s="24">
        <v>0</v>
      </c>
    </row>
    <row r="1480" spans="2:13" ht="14" x14ac:dyDescent="0.2">
      <c r="B1480" s="24">
        <v>24</v>
      </c>
      <c r="C1480" s="24">
        <v>162</v>
      </c>
      <c r="D1480" s="24">
        <v>4</v>
      </c>
      <c r="E1480" s="24">
        <v>3.3</v>
      </c>
      <c r="F1480" s="24">
        <v>0</v>
      </c>
      <c r="G1480" s="24">
        <v>1</v>
      </c>
      <c r="H1480" s="24">
        <v>446</v>
      </c>
      <c r="I1480" s="24">
        <v>0</v>
      </c>
      <c r="J1480" s="24">
        <v>1</v>
      </c>
      <c r="K1480" s="24">
        <v>1</v>
      </c>
      <c r="L1480" s="24">
        <v>0</v>
      </c>
      <c r="M1480" s="24">
        <v>1</v>
      </c>
    </row>
    <row r="1481" spans="2:13" ht="14" x14ac:dyDescent="0.2">
      <c r="B1481" s="24">
        <v>32</v>
      </c>
      <c r="C1481" s="24">
        <v>40</v>
      </c>
      <c r="D1481" s="24">
        <v>4</v>
      </c>
      <c r="E1481" s="24">
        <v>2.5</v>
      </c>
      <c r="F1481" s="24">
        <v>0</v>
      </c>
      <c r="G1481" s="24">
        <v>1</v>
      </c>
      <c r="H1481" s="24">
        <v>0</v>
      </c>
      <c r="I1481" s="24">
        <v>0</v>
      </c>
      <c r="J1481" s="24">
        <v>0</v>
      </c>
      <c r="K1481" s="24">
        <v>1</v>
      </c>
      <c r="L1481" s="24">
        <v>0</v>
      </c>
      <c r="M1481" s="24">
        <v>0</v>
      </c>
    </row>
    <row r="1482" spans="2:13" ht="14" x14ac:dyDescent="0.2">
      <c r="B1482" s="24">
        <v>34</v>
      </c>
      <c r="C1482" s="24">
        <v>44</v>
      </c>
      <c r="D1482" s="24">
        <v>4</v>
      </c>
      <c r="E1482" s="24">
        <v>2.2000000000000002</v>
      </c>
      <c r="F1482" s="24">
        <v>1</v>
      </c>
      <c r="G1482" s="24">
        <v>0</v>
      </c>
      <c r="H1482" s="24">
        <v>0</v>
      </c>
      <c r="I1482" s="24">
        <v>1</v>
      </c>
      <c r="J1482" s="24">
        <v>0</v>
      </c>
      <c r="K1482" s="24">
        <v>0</v>
      </c>
      <c r="L1482" s="24">
        <v>0</v>
      </c>
      <c r="M1482" s="24">
        <v>0</v>
      </c>
    </row>
    <row r="1483" spans="2:13" ht="14" x14ac:dyDescent="0.2">
      <c r="B1483" s="24">
        <v>4</v>
      </c>
      <c r="C1483" s="24">
        <v>81</v>
      </c>
      <c r="D1483" s="24">
        <v>3</v>
      </c>
      <c r="E1483" s="24">
        <v>1.5</v>
      </c>
      <c r="F1483" s="24">
        <v>1</v>
      </c>
      <c r="G1483" s="24">
        <v>0</v>
      </c>
      <c r="H1483" s="24">
        <v>276</v>
      </c>
      <c r="I1483" s="24">
        <v>0</v>
      </c>
      <c r="J1483" s="24">
        <v>0</v>
      </c>
      <c r="K1483" s="24">
        <v>1</v>
      </c>
      <c r="L1483" s="24">
        <v>0</v>
      </c>
      <c r="M1483" s="24">
        <v>0</v>
      </c>
    </row>
    <row r="1484" spans="2:13" ht="14" x14ac:dyDescent="0.2">
      <c r="B1484" s="24">
        <v>14</v>
      </c>
      <c r="C1484" s="24">
        <v>22</v>
      </c>
      <c r="D1484" s="24">
        <v>2</v>
      </c>
      <c r="E1484" s="24">
        <v>0.3</v>
      </c>
      <c r="F1484" s="24">
        <v>0</v>
      </c>
      <c r="G1484" s="24">
        <v>1</v>
      </c>
      <c r="H1484" s="24">
        <v>0</v>
      </c>
      <c r="I1484" s="24">
        <v>0</v>
      </c>
      <c r="J1484" s="24">
        <v>0</v>
      </c>
      <c r="K1484" s="24">
        <v>1</v>
      </c>
      <c r="L1484" s="24">
        <v>0</v>
      </c>
      <c r="M1484" s="24">
        <v>0</v>
      </c>
    </row>
    <row r="1485" spans="2:13" ht="14" x14ac:dyDescent="0.2">
      <c r="B1485" s="24">
        <v>3</v>
      </c>
      <c r="C1485" s="24">
        <v>55</v>
      </c>
      <c r="D1485" s="24">
        <v>4</v>
      </c>
      <c r="E1485" s="24">
        <v>1.7</v>
      </c>
      <c r="F1485" s="24">
        <v>0</v>
      </c>
      <c r="G1485" s="24">
        <v>1</v>
      </c>
      <c r="H1485" s="24">
        <v>0</v>
      </c>
      <c r="I1485" s="24">
        <v>0</v>
      </c>
      <c r="J1485" s="24">
        <v>0</v>
      </c>
      <c r="K1485" s="24">
        <v>1</v>
      </c>
      <c r="L1485" s="24">
        <v>1</v>
      </c>
      <c r="M1485" s="24">
        <v>0</v>
      </c>
    </row>
    <row r="1486" spans="2:13" ht="14" x14ac:dyDescent="0.2">
      <c r="B1486" s="24">
        <v>34</v>
      </c>
      <c r="C1486" s="24">
        <v>114</v>
      </c>
      <c r="D1486" s="24">
        <v>2</v>
      </c>
      <c r="E1486" s="24">
        <v>6.9</v>
      </c>
      <c r="F1486" s="24">
        <v>1</v>
      </c>
      <c r="G1486" s="24">
        <v>0</v>
      </c>
      <c r="H1486" s="24">
        <v>0</v>
      </c>
      <c r="I1486" s="24">
        <v>0</v>
      </c>
      <c r="J1486" s="24">
        <v>0</v>
      </c>
      <c r="K1486" s="24">
        <v>1</v>
      </c>
      <c r="L1486" s="24">
        <v>0</v>
      </c>
      <c r="M1486" s="24">
        <v>0</v>
      </c>
    </row>
    <row r="1487" spans="2:13" ht="14" x14ac:dyDescent="0.2">
      <c r="B1487" s="24">
        <v>16</v>
      </c>
      <c r="C1487" s="24">
        <v>85</v>
      </c>
      <c r="D1487" s="24">
        <v>4</v>
      </c>
      <c r="E1487" s="24">
        <v>0.2</v>
      </c>
      <c r="F1487" s="24">
        <v>0</v>
      </c>
      <c r="G1487" s="24">
        <v>0</v>
      </c>
      <c r="H1487" s="24">
        <v>0</v>
      </c>
      <c r="I1487" s="24">
        <v>0</v>
      </c>
      <c r="J1487" s="24">
        <v>0</v>
      </c>
      <c r="K1487" s="24">
        <v>1</v>
      </c>
      <c r="L1487" s="24">
        <v>1</v>
      </c>
      <c r="M1487" s="24">
        <v>0</v>
      </c>
    </row>
    <row r="1488" spans="2:13" ht="14" x14ac:dyDescent="0.2">
      <c r="B1488" s="24">
        <v>14</v>
      </c>
      <c r="C1488" s="24">
        <v>101</v>
      </c>
      <c r="D1488" s="24">
        <v>2</v>
      </c>
      <c r="E1488" s="24">
        <v>0.4</v>
      </c>
      <c r="F1488" s="24">
        <v>1</v>
      </c>
      <c r="G1488" s="24">
        <v>0</v>
      </c>
      <c r="H1488" s="24">
        <v>0</v>
      </c>
      <c r="I1488" s="24">
        <v>0</v>
      </c>
      <c r="J1488" s="24">
        <v>0</v>
      </c>
      <c r="K1488" s="24">
        <v>1</v>
      </c>
      <c r="L1488" s="24">
        <v>1</v>
      </c>
      <c r="M1488" s="24">
        <v>0</v>
      </c>
    </row>
    <row r="1489" spans="2:13" ht="14" x14ac:dyDescent="0.2">
      <c r="B1489" s="24">
        <v>23</v>
      </c>
      <c r="C1489" s="24">
        <v>85</v>
      </c>
      <c r="D1489" s="24">
        <v>1</v>
      </c>
      <c r="E1489" s="24">
        <v>2.6666666666666701</v>
      </c>
      <c r="F1489" s="24">
        <v>0</v>
      </c>
      <c r="G1489" s="24">
        <v>1</v>
      </c>
      <c r="H1489" s="24">
        <v>0</v>
      </c>
      <c r="I1489" s="24">
        <v>0</v>
      </c>
      <c r="J1489" s="24">
        <v>0</v>
      </c>
      <c r="K1489" s="24">
        <v>1</v>
      </c>
      <c r="L1489" s="24">
        <v>0</v>
      </c>
      <c r="M1489" s="24">
        <v>0</v>
      </c>
    </row>
    <row r="1490" spans="2:13" ht="14" x14ac:dyDescent="0.2">
      <c r="B1490" s="24">
        <v>6</v>
      </c>
      <c r="C1490" s="24">
        <v>184</v>
      </c>
      <c r="D1490" s="24">
        <v>1</v>
      </c>
      <c r="E1490" s="24">
        <v>6</v>
      </c>
      <c r="F1490" s="24">
        <v>1</v>
      </c>
      <c r="G1490" s="24">
        <v>0</v>
      </c>
      <c r="H1490" s="24">
        <v>0</v>
      </c>
      <c r="I1490" s="24">
        <v>0</v>
      </c>
      <c r="J1490" s="24">
        <v>0</v>
      </c>
      <c r="K1490" s="24">
        <v>1</v>
      </c>
      <c r="L1490" s="24">
        <v>0</v>
      </c>
      <c r="M1490" s="24">
        <v>0</v>
      </c>
    </row>
    <row r="1491" spans="2:13" ht="14" x14ac:dyDescent="0.2">
      <c r="B1491" s="24">
        <v>29</v>
      </c>
      <c r="C1491" s="24">
        <v>119</v>
      </c>
      <c r="D1491" s="24">
        <v>3</v>
      </c>
      <c r="E1491" s="24">
        <v>2</v>
      </c>
      <c r="F1491" s="24">
        <v>1</v>
      </c>
      <c r="G1491" s="24">
        <v>0</v>
      </c>
      <c r="H1491" s="24">
        <v>0</v>
      </c>
      <c r="I1491" s="24">
        <v>1</v>
      </c>
      <c r="J1491" s="24">
        <v>1</v>
      </c>
      <c r="K1491" s="24">
        <v>0</v>
      </c>
      <c r="L1491" s="24">
        <v>0</v>
      </c>
      <c r="M1491" s="24">
        <v>1</v>
      </c>
    </row>
    <row r="1492" spans="2:13" ht="14" x14ac:dyDescent="0.2">
      <c r="B1492" s="24">
        <v>32</v>
      </c>
      <c r="C1492" s="24">
        <v>85</v>
      </c>
      <c r="D1492" s="24">
        <v>2</v>
      </c>
      <c r="E1492" s="24">
        <v>2</v>
      </c>
      <c r="F1492" s="24">
        <v>1</v>
      </c>
      <c r="G1492" s="24">
        <v>0</v>
      </c>
      <c r="H1492" s="24">
        <v>161</v>
      </c>
      <c r="I1492" s="24">
        <v>1</v>
      </c>
      <c r="J1492" s="24">
        <v>1</v>
      </c>
      <c r="K1492" s="24">
        <v>1</v>
      </c>
      <c r="L1492" s="24">
        <v>1</v>
      </c>
      <c r="M1492" s="24">
        <v>0</v>
      </c>
    </row>
    <row r="1493" spans="2:13" ht="14" x14ac:dyDescent="0.2">
      <c r="B1493" s="24">
        <v>36</v>
      </c>
      <c r="C1493" s="24">
        <v>41</v>
      </c>
      <c r="D1493" s="24">
        <v>2</v>
      </c>
      <c r="E1493" s="24">
        <v>1.5</v>
      </c>
      <c r="F1493" s="24">
        <v>1</v>
      </c>
      <c r="G1493" s="24">
        <v>0</v>
      </c>
      <c r="H1493" s="24">
        <v>0</v>
      </c>
      <c r="I1493" s="24">
        <v>0</v>
      </c>
      <c r="J1493" s="24">
        <v>0</v>
      </c>
      <c r="K1493" s="24">
        <v>0</v>
      </c>
      <c r="L1493" s="24">
        <v>0</v>
      </c>
      <c r="M1493" s="24">
        <v>0</v>
      </c>
    </row>
    <row r="1494" spans="2:13" ht="14" x14ac:dyDescent="0.2">
      <c r="B1494" s="24">
        <v>28</v>
      </c>
      <c r="C1494" s="24">
        <v>53</v>
      </c>
      <c r="D1494" s="24">
        <v>4</v>
      </c>
      <c r="E1494" s="24">
        <v>2.8</v>
      </c>
      <c r="F1494" s="24">
        <v>0</v>
      </c>
      <c r="G1494" s="24">
        <v>1</v>
      </c>
      <c r="H1494" s="24">
        <v>0</v>
      </c>
      <c r="I1494" s="24">
        <v>1</v>
      </c>
      <c r="J1494" s="24">
        <v>0</v>
      </c>
      <c r="K1494" s="24">
        <v>0</v>
      </c>
      <c r="L1494" s="24">
        <v>0</v>
      </c>
      <c r="M1494" s="24">
        <v>0</v>
      </c>
    </row>
    <row r="1495" spans="2:13" ht="14" x14ac:dyDescent="0.2">
      <c r="B1495" s="24">
        <v>17</v>
      </c>
      <c r="C1495" s="24">
        <v>49</v>
      </c>
      <c r="D1495" s="24">
        <v>4</v>
      </c>
      <c r="E1495" s="24">
        <v>2.2000000000000002</v>
      </c>
      <c r="F1495" s="24">
        <v>0</v>
      </c>
      <c r="G1495" s="24">
        <v>1</v>
      </c>
      <c r="H1495" s="24">
        <v>0</v>
      </c>
      <c r="I1495" s="24">
        <v>0</v>
      </c>
      <c r="J1495" s="24">
        <v>0</v>
      </c>
      <c r="K1495" s="24">
        <v>0</v>
      </c>
      <c r="L1495" s="24">
        <v>0</v>
      </c>
      <c r="M1495" s="24">
        <v>0</v>
      </c>
    </row>
    <row r="1496" spans="2:13" ht="14" x14ac:dyDescent="0.2">
      <c r="B1496" s="24">
        <v>4</v>
      </c>
      <c r="C1496" s="24">
        <v>183</v>
      </c>
      <c r="D1496" s="24">
        <v>3</v>
      </c>
      <c r="E1496" s="24">
        <v>8.3000000000000007</v>
      </c>
      <c r="F1496" s="24">
        <v>0</v>
      </c>
      <c r="G1496" s="24">
        <v>0</v>
      </c>
      <c r="H1496" s="24">
        <v>0</v>
      </c>
      <c r="I1496" s="24">
        <v>0</v>
      </c>
      <c r="J1496" s="24">
        <v>0</v>
      </c>
      <c r="K1496" s="24">
        <v>1</v>
      </c>
      <c r="L1496" s="24">
        <v>0</v>
      </c>
      <c r="M1496" s="24">
        <v>1</v>
      </c>
    </row>
    <row r="1497" spans="2:13" ht="14" x14ac:dyDescent="0.2">
      <c r="B1497" s="24">
        <v>27</v>
      </c>
      <c r="C1497" s="24">
        <v>94</v>
      </c>
      <c r="D1497" s="24">
        <v>1</v>
      </c>
      <c r="E1497" s="24">
        <v>2.8</v>
      </c>
      <c r="F1497" s="24">
        <v>0</v>
      </c>
      <c r="G1497" s="24">
        <v>1</v>
      </c>
      <c r="H1497" s="24">
        <v>333</v>
      </c>
      <c r="I1497" s="24">
        <v>0</v>
      </c>
      <c r="J1497" s="24">
        <v>0</v>
      </c>
      <c r="K1497" s="24">
        <v>1</v>
      </c>
      <c r="L1497" s="24">
        <v>0</v>
      </c>
      <c r="M1497" s="24">
        <v>0</v>
      </c>
    </row>
    <row r="1498" spans="2:13" ht="14" x14ac:dyDescent="0.2">
      <c r="B1498" s="24">
        <v>6</v>
      </c>
      <c r="C1498" s="24">
        <v>41</v>
      </c>
      <c r="D1498" s="24">
        <v>2</v>
      </c>
      <c r="E1498" s="24">
        <v>2</v>
      </c>
      <c r="F1498" s="24">
        <v>0</v>
      </c>
      <c r="G1498" s="24">
        <v>0</v>
      </c>
      <c r="H1498" s="24">
        <v>0</v>
      </c>
      <c r="I1498" s="24">
        <v>0</v>
      </c>
      <c r="J1498" s="24">
        <v>0</v>
      </c>
      <c r="K1498" s="24">
        <v>0</v>
      </c>
      <c r="L1498" s="24">
        <v>0</v>
      </c>
      <c r="M1498" s="24">
        <v>0</v>
      </c>
    </row>
    <row r="1499" spans="2:13" ht="14" x14ac:dyDescent="0.2">
      <c r="B1499" s="24">
        <v>29</v>
      </c>
      <c r="C1499" s="24">
        <v>98</v>
      </c>
      <c r="D1499" s="24">
        <v>3</v>
      </c>
      <c r="E1499" s="24">
        <v>1.8</v>
      </c>
      <c r="F1499" s="24">
        <v>0</v>
      </c>
      <c r="G1499" s="24">
        <v>1</v>
      </c>
      <c r="H1499" s="24">
        <v>0</v>
      </c>
      <c r="I1499" s="24">
        <v>0</v>
      </c>
      <c r="J1499" s="24">
        <v>0</v>
      </c>
      <c r="K1499" s="24">
        <v>0</v>
      </c>
      <c r="L1499" s="24">
        <v>0</v>
      </c>
      <c r="M1499" s="24">
        <v>0</v>
      </c>
    </row>
    <row r="1500" spans="2:13" ht="14" x14ac:dyDescent="0.2">
      <c r="B1500" s="24">
        <v>13</v>
      </c>
      <c r="C1500" s="24">
        <v>113</v>
      </c>
      <c r="D1500" s="24">
        <v>4</v>
      </c>
      <c r="E1500" s="24">
        <v>1.7</v>
      </c>
      <c r="F1500" s="24">
        <v>0</v>
      </c>
      <c r="G1500" s="24">
        <v>1</v>
      </c>
      <c r="H1500" s="24">
        <v>0</v>
      </c>
      <c r="I1500" s="24">
        <v>0</v>
      </c>
      <c r="J1500" s="24">
        <v>0</v>
      </c>
      <c r="K1500" s="24">
        <v>0</v>
      </c>
      <c r="L1500" s="24">
        <v>1</v>
      </c>
      <c r="M1500" s="24">
        <v>1</v>
      </c>
    </row>
    <row r="1501" spans="2:13" ht="14" x14ac:dyDescent="0.2">
      <c r="B1501" s="24">
        <v>22</v>
      </c>
      <c r="C1501" s="24">
        <v>198</v>
      </c>
      <c r="D1501" s="24">
        <v>2</v>
      </c>
      <c r="E1501" s="24">
        <v>6.6666666666666696</v>
      </c>
      <c r="F1501" s="24">
        <v>1</v>
      </c>
      <c r="G1501" s="24">
        <v>0</v>
      </c>
      <c r="H1501" s="24">
        <v>0</v>
      </c>
      <c r="I1501" s="24">
        <v>0</v>
      </c>
      <c r="J1501" s="24">
        <v>0</v>
      </c>
      <c r="K1501" s="24">
        <v>0</v>
      </c>
      <c r="L1501" s="24">
        <v>1</v>
      </c>
      <c r="M1501" s="24">
        <v>0</v>
      </c>
    </row>
    <row r="1502" spans="2:13" ht="14" x14ac:dyDescent="0.2">
      <c r="B1502" s="24">
        <v>36</v>
      </c>
      <c r="C1502" s="24">
        <v>61</v>
      </c>
      <c r="D1502" s="24">
        <v>2</v>
      </c>
      <c r="E1502" s="24">
        <v>2.8</v>
      </c>
      <c r="F1502" s="24">
        <v>1</v>
      </c>
      <c r="G1502" s="24">
        <v>0</v>
      </c>
      <c r="H1502" s="24">
        <v>0</v>
      </c>
      <c r="I1502" s="24">
        <v>0</v>
      </c>
      <c r="J1502" s="24">
        <v>0</v>
      </c>
      <c r="K1502" s="24">
        <v>0</v>
      </c>
      <c r="L1502" s="24">
        <v>0</v>
      </c>
      <c r="M1502" s="24">
        <v>0</v>
      </c>
    </row>
    <row r="1503" spans="2:13" ht="14" x14ac:dyDescent="0.2">
      <c r="B1503" s="24">
        <v>15</v>
      </c>
      <c r="C1503" s="24">
        <v>75</v>
      </c>
      <c r="D1503" s="24">
        <v>1</v>
      </c>
      <c r="E1503" s="24">
        <v>1.5</v>
      </c>
      <c r="F1503" s="24">
        <v>0</v>
      </c>
      <c r="G1503" s="24">
        <v>0</v>
      </c>
      <c r="H1503" s="24">
        <v>0</v>
      </c>
      <c r="I1503" s="24">
        <v>0</v>
      </c>
      <c r="J1503" s="24">
        <v>0</v>
      </c>
      <c r="K1503" s="24">
        <v>1</v>
      </c>
      <c r="L1503" s="24">
        <v>0</v>
      </c>
      <c r="M1503" s="24">
        <v>0</v>
      </c>
    </row>
    <row r="1504" spans="2:13" ht="14" x14ac:dyDescent="0.2">
      <c r="B1504" s="24">
        <v>16</v>
      </c>
      <c r="C1504" s="24">
        <v>191</v>
      </c>
      <c r="D1504" s="24">
        <v>3</v>
      </c>
      <c r="E1504" s="24">
        <v>4.8</v>
      </c>
      <c r="F1504" s="24">
        <v>0</v>
      </c>
      <c r="G1504" s="24">
        <v>1</v>
      </c>
      <c r="H1504" s="24">
        <v>0</v>
      </c>
      <c r="I1504" s="24">
        <v>1</v>
      </c>
      <c r="J1504" s="24">
        <v>1</v>
      </c>
      <c r="K1504" s="24">
        <v>1</v>
      </c>
      <c r="L1504" s="24">
        <v>0</v>
      </c>
      <c r="M1504" s="24">
        <v>1</v>
      </c>
    </row>
    <row r="1505" spans="2:13" ht="14" x14ac:dyDescent="0.2">
      <c r="B1505" s="24">
        <v>33</v>
      </c>
      <c r="C1505" s="24">
        <v>68</v>
      </c>
      <c r="D1505" s="24">
        <v>2</v>
      </c>
      <c r="E1505" s="24">
        <v>2.2999999999999998</v>
      </c>
      <c r="F1505" s="24">
        <v>0</v>
      </c>
      <c r="G1505" s="24">
        <v>0</v>
      </c>
      <c r="H1505" s="24">
        <v>128</v>
      </c>
      <c r="I1505" s="24">
        <v>1</v>
      </c>
      <c r="J1505" s="24">
        <v>0</v>
      </c>
      <c r="K1505" s="24">
        <v>1</v>
      </c>
      <c r="L1505" s="24">
        <v>0</v>
      </c>
      <c r="M1505" s="24">
        <v>0</v>
      </c>
    </row>
    <row r="1506" spans="2:13" ht="14" x14ac:dyDescent="0.2">
      <c r="B1506" s="24">
        <v>11</v>
      </c>
      <c r="C1506" s="24">
        <v>15</v>
      </c>
      <c r="D1506" s="24">
        <v>2</v>
      </c>
      <c r="E1506" s="24">
        <v>0.3</v>
      </c>
      <c r="F1506" s="24">
        <v>0</v>
      </c>
      <c r="G1506" s="24">
        <v>1</v>
      </c>
      <c r="H1506" s="24">
        <v>119</v>
      </c>
      <c r="I1506" s="24">
        <v>0</v>
      </c>
      <c r="J1506" s="24">
        <v>0</v>
      </c>
      <c r="K1506" s="24">
        <v>0</v>
      </c>
      <c r="L1506" s="24">
        <v>0</v>
      </c>
      <c r="M1506" s="24">
        <v>0</v>
      </c>
    </row>
    <row r="1507" spans="2:13" ht="14" x14ac:dyDescent="0.2">
      <c r="B1507" s="24">
        <v>27</v>
      </c>
      <c r="C1507" s="24">
        <v>188</v>
      </c>
      <c r="D1507" s="24">
        <v>2</v>
      </c>
      <c r="E1507" s="24">
        <v>6.9</v>
      </c>
      <c r="F1507" s="24">
        <v>0</v>
      </c>
      <c r="G1507" s="24">
        <v>1</v>
      </c>
      <c r="H1507" s="24">
        <v>343</v>
      </c>
      <c r="I1507" s="24">
        <v>0</v>
      </c>
      <c r="J1507" s="24">
        <v>0</v>
      </c>
      <c r="K1507" s="24">
        <v>1</v>
      </c>
      <c r="L1507" s="24">
        <v>0</v>
      </c>
      <c r="M1507" s="24">
        <v>1</v>
      </c>
    </row>
    <row r="1508" spans="2:13" ht="14" x14ac:dyDescent="0.2">
      <c r="B1508" s="24">
        <v>7</v>
      </c>
      <c r="C1508" s="24">
        <v>128</v>
      </c>
      <c r="D1508" s="24">
        <v>1</v>
      </c>
      <c r="E1508" s="24">
        <v>6</v>
      </c>
      <c r="F1508" s="24">
        <v>1</v>
      </c>
      <c r="G1508" s="24">
        <v>0</v>
      </c>
      <c r="H1508" s="24">
        <v>0</v>
      </c>
      <c r="I1508" s="24">
        <v>0</v>
      </c>
      <c r="J1508" s="24">
        <v>0</v>
      </c>
      <c r="K1508" s="24">
        <v>0</v>
      </c>
      <c r="L1508" s="24">
        <v>0</v>
      </c>
      <c r="M1508" s="24">
        <v>0</v>
      </c>
    </row>
    <row r="1509" spans="2:13" ht="14" x14ac:dyDescent="0.2">
      <c r="B1509" s="24">
        <v>15</v>
      </c>
      <c r="C1509" s="24">
        <v>175</v>
      </c>
      <c r="D1509" s="24">
        <v>2</v>
      </c>
      <c r="E1509" s="24">
        <v>3.3</v>
      </c>
      <c r="F1509" s="24">
        <v>1</v>
      </c>
      <c r="G1509" s="24">
        <v>0</v>
      </c>
      <c r="H1509" s="24">
        <v>0</v>
      </c>
      <c r="I1509" s="24">
        <v>0</v>
      </c>
      <c r="J1509" s="24">
        <v>0</v>
      </c>
      <c r="K1509" s="24">
        <v>1</v>
      </c>
      <c r="L1509" s="24">
        <v>0</v>
      </c>
      <c r="M1509" s="24">
        <v>0</v>
      </c>
    </row>
    <row r="1510" spans="2:13" ht="14" x14ac:dyDescent="0.2">
      <c r="B1510" s="24">
        <v>36</v>
      </c>
      <c r="C1510" s="24">
        <v>84</v>
      </c>
      <c r="D1510" s="24">
        <v>2</v>
      </c>
      <c r="E1510" s="24">
        <v>2.8</v>
      </c>
      <c r="F1510" s="24">
        <v>1</v>
      </c>
      <c r="G1510" s="24">
        <v>0</v>
      </c>
      <c r="H1510" s="24">
        <v>0</v>
      </c>
      <c r="I1510" s="24">
        <v>0</v>
      </c>
      <c r="J1510" s="24">
        <v>0</v>
      </c>
      <c r="K1510" s="24">
        <v>1</v>
      </c>
      <c r="L1510" s="24">
        <v>0</v>
      </c>
      <c r="M1510" s="24">
        <v>0</v>
      </c>
    </row>
    <row r="1511" spans="2:13" ht="14" x14ac:dyDescent="0.2">
      <c r="B1511" s="24">
        <v>37</v>
      </c>
      <c r="C1511" s="24">
        <v>40</v>
      </c>
      <c r="D1511" s="24">
        <v>4</v>
      </c>
      <c r="E1511" s="24">
        <v>2.2000000000000002</v>
      </c>
      <c r="F1511" s="24">
        <v>1</v>
      </c>
      <c r="G1511" s="24">
        <v>0</v>
      </c>
      <c r="H1511" s="24">
        <v>0</v>
      </c>
      <c r="I1511" s="24">
        <v>1</v>
      </c>
      <c r="J1511" s="24">
        <v>1</v>
      </c>
      <c r="K1511" s="24">
        <v>1</v>
      </c>
      <c r="L1511" s="24">
        <v>1</v>
      </c>
      <c r="M1511" s="24">
        <v>0</v>
      </c>
    </row>
    <row r="1512" spans="2:13" ht="14" x14ac:dyDescent="0.2">
      <c r="B1512" s="24">
        <v>21</v>
      </c>
      <c r="C1512" s="24">
        <v>61</v>
      </c>
      <c r="D1512" s="24">
        <v>3</v>
      </c>
      <c r="E1512" s="24">
        <v>0.7</v>
      </c>
      <c r="F1512" s="24">
        <v>1</v>
      </c>
      <c r="G1512" s="24">
        <v>0</v>
      </c>
      <c r="H1512" s="24">
        <v>0</v>
      </c>
      <c r="I1512" s="24">
        <v>1</v>
      </c>
      <c r="J1512" s="24">
        <v>1</v>
      </c>
      <c r="K1512" s="24">
        <v>1</v>
      </c>
      <c r="L1512" s="24">
        <v>1</v>
      </c>
      <c r="M1512" s="24">
        <v>0</v>
      </c>
    </row>
    <row r="1513" spans="2:13" ht="14" x14ac:dyDescent="0.2">
      <c r="B1513" s="24">
        <v>10</v>
      </c>
      <c r="C1513" s="24">
        <v>79</v>
      </c>
      <c r="D1513" s="24">
        <v>4</v>
      </c>
      <c r="E1513" s="24">
        <v>2.1</v>
      </c>
      <c r="F1513" s="24">
        <v>0</v>
      </c>
      <c r="G1513" s="24">
        <v>0</v>
      </c>
      <c r="H1513" s="24">
        <v>182</v>
      </c>
      <c r="I1513" s="24">
        <v>0</v>
      </c>
      <c r="J1513" s="24">
        <v>0</v>
      </c>
      <c r="K1513" s="24">
        <v>1</v>
      </c>
      <c r="L1513" s="24">
        <v>0</v>
      </c>
      <c r="M1513" s="24">
        <v>0</v>
      </c>
    </row>
    <row r="1514" spans="2:13" ht="14" x14ac:dyDescent="0.2">
      <c r="B1514" s="24">
        <v>31</v>
      </c>
      <c r="C1514" s="24">
        <v>81</v>
      </c>
      <c r="D1514" s="24">
        <v>3</v>
      </c>
      <c r="E1514" s="24">
        <v>2.6666666666666701</v>
      </c>
      <c r="F1514" s="24">
        <v>1</v>
      </c>
      <c r="G1514" s="24">
        <v>0</v>
      </c>
      <c r="H1514" s="24">
        <v>0</v>
      </c>
      <c r="I1514" s="24">
        <v>0</v>
      </c>
      <c r="J1514" s="24">
        <v>0</v>
      </c>
      <c r="K1514" s="24">
        <v>1</v>
      </c>
      <c r="L1514" s="24">
        <v>0</v>
      </c>
      <c r="M1514" s="24">
        <v>0</v>
      </c>
    </row>
    <row r="1515" spans="2:13" ht="14" x14ac:dyDescent="0.2">
      <c r="B1515" s="24">
        <v>25</v>
      </c>
      <c r="C1515" s="24">
        <v>18</v>
      </c>
      <c r="D1515" s="24">
        <v>1</v>
      </c>
      <c r="E1515" s="24">
        <v>0.3</v>
      </c>
      <c r="F1515" s="24">
        <v>0</v>
      </c>
      <c r="G1515" s="24">
        <v>0</v>
      </c>
      <c r="H1515" s="24">
        <v>93</v>
      </c>
      <c r="I1515" s="24">
        <v>0</v>
      </c>
      <c r="J1515" s="24">
        <v>0</v>
      </c>
      <c r="K1515" s="24">
        <v>0</v>
      </c>
      <c r="L1515" s="24">
        <v>1</v>
      </c>
      <c r="M1515" s="24">
        <v>0</v>
      </c>
    </row>
    <row r="1516" spans="2:13" ht="14" x14ac:dyDescent="0.2">
      <c r="B1516" s="24">
        <v>35</v>
      </c>
      <c r="C1516" s="24">
        <v>95</v>
      </c>
      <c r="D1516" s="24">
        <v>1</v>
      </c>
      <c r="E1516" s="24">
        <v>3.8</v>
      </c>
      <c r="F1516" s="24">
        <v>1</v>
      </c>
      <c r="G1516" s="24">
        <v>0</v>
      </c>
      <c r="H1516" s="24">
        <v>0</v>
      </c>
      <c r="I1516" s="24">
        <v>0</v>
      </c>
      <c r="J1516" s="24">
        <v>0</v>
      </c>
      <c r="K1516" s="24">
        <v>1</v>
      </c>
      <c r="L1516" s="24">
        <v>1</v>
      </c>
      <c r="M1516" s="24">
        <v>0</v>
      </c>
    </row>
    <row r="1517" spans="2:13" ht="14" x14ac:dyDescent="0.2">
      <c r="B1517" s="24">
        <v>21</v>
      </c>
      <c r="C1517" s="24">
        <v>140</v>
      </c>
      <c r="D1517" s="24">
        <v>2</v>
      </c>
      <c r="E1517" s="24">
        <v>7.6</v>
      </c>
      <c r="F1517" s="24">
        <v>1</v>
      </c>
      <c r="G1517" s="24">
        <v>0</v>
      </c>
      <c r="H1517" s="24">
        <v>132</v>
      </c>
      <c r="I1517" s="24">
        <v>0</v>
      </c>
      <c r="J1517" s="24">
        <v>0</v>
      </c>
      <c r="K1517" s="24">
        <v>0</v>
      </c>
      <c r="L1517" s="24">
        <v>0</v>
      </c>
      <c r="M1517" s="24">
        <v>0</v>
      </c>
    </row>
    <row r="1518" spans="2:13" ht="14" x14ac:dyDescent="0.2">
      <c r="B1518" s="24">
        <v>12</v>
      </c>
      <c r="C1518" s="24">
        <v>84</v>
      </c>
      <c r="D1518" s="24">
        <v>1</v>
      </c>
      <c r="E1518" s="24">
        <v>0.8</v>
      </c>
      <c r="F1518" s="24">
        <v>0</v>
      </c>
      <c r="G1518" s="24">
        <v>1</v>
      </c>
      <c r="H1518" s="24">
        <v>0</v>
      </c>
      <c r="I1518" s="24">
        <v>0</v>
      </c>
      <c r="J1518" s="24">
        <v>0</v>
      </c>
      <c r="K1518" s="24">
        <v>1</v>
      </c>
      <c r="L1518" s="24">
        <v>1</v>
      </c>
      <c r="M1518" s="24">
        <v>0</v>
      </c>
    </row>
    <row r="1519" spans="2:13" ht="14" x14ac:dyDescent="0.2">
      <c r="B1519" s="24">
        <v>27</v>
      </c>
      <c r="C1519" s="24">
        <v>35</v>
      </c>
      <c r="D1519" s="24">
        <v>4</v>
      </c>
      <c r="E1519" s="24">
        <v>0.2</v>
      </c>
      <c r="F1519" s="24">
        <v>0</v>
      </c>
      <c r="G1519" s="24">
        <v>1</v>
      </c>
      <c r="H1519" s="24">
        <v>0</v>
      </c>
      <c r="I1519" s="24">
        <v>0</v>
      </c>
      <c r="J1519" s="24">
        <v>0</v>
      </c>
      <c r="K1519" s="24">
        <v>1</v>
      </c>
      <c r="L1519" s="24">
        <v>0</v>
      </c>
      <c r="M1519" s="24">
        <v>0</v>
      </c>
    </row>
    <row r="1520" spans="2:13" ht="14" x14ac:dyDescent="0.2">
      <c r="B1520" s="24">
        <v>0</v>
      </c>
      <c r="C1520" s="24">
        <v>149</v>
      </c>
      <c r="D1520" s="24">
        <v>1</v>
      </c>
      <c r="E1520" s="24">
        <v>6.3333333333333304</v>
      </c>
      <c r="F1520" s="24">
        <v>1</v>
      </c>
      <c r="G1520" s="24">
        <v>0</v>
      </c>
      <c r="H1520" s="24">
        <v>305</v>
      </c>
      <c r="I1520" s="24">
        <v>0</v>
      </c>
      <c r="J1520" s="24">
        <v>0</v>
      </c>
      <c r="K1520" s="24">
        <v>0</v>
      </c>
      <c r="L1520" s="24">
        <v>1</v>
      </c>
      <c r="M1520" s="24">
        <v>0</v>
      </c>
    </row>
    <row r="1521" spans="2:13" ht="14" x14ac:dyDescent="0.2">
      <c r="B1521" s="24">
        <v>4</v>
      </c>
      <c r="C1521" s="24">
        <v>69</v>
      </c>
      <c r="D1521" s="24">
        <v>3</v>
      </c>
      <c r="E1521" s="24">
        <v>0.7</v>
      </c>
      <c r="F1521" s="24">
        <v>0</v>
      </c>
      <c r="G1521" s="24">
        <v>1</v>
      </c>
      <c r="H1521" s="24">
        <v>80</v>
      </c>
      <c r="I1521" s="24">
        <v>0</v>
      </c>
      <c r="J1521" s="24">
        <v>0</v>
      </c>
      <c r="K1521" s="24">
        <v>1</v>
      </c>
      <c r="L1521" s="24">
        <v>0</v>
      </c>
      <c r="M1521" s="24">
        <v>0</v>
      </c>
    </row>
    <row r="1522" spans="2:13" ht="14" x14ac:dyDescent="0.2">
      <c r="B1522" s="24">
        <v>27</v>
      </c>
      <c r="C1522" s="24">
        <v>145</v>
      </c>
      <c r="D1522" s="24">
        <v>2</v>
      </c>
      <c r="E1522" s="24">
        <v>6.1</v>
      </c>
      <c r="F1522" s="24">
        <v>0</v>
      </c>
      <c r="G1522" s="24">
        <v>0</v>
      </c>
      <c r="H1522" s="24">
        <v>294</v>
      </c>
      <c r="I1522" s="24">
        <v>0</v>
      </c>
      <c r="J1522" s="24">
        <v>1</v>
      </c>
      <c r="K1522" s="24">
        <v>1</v>
      </c>
      <c r="L1522" s="24">
        <v>1</v>
      </c>
      <c r="M1522" s="24">
        <v>1</v>
      </c>
    </row>
    <row r="1523" spans="2:13" ht="14" x14ac:dyDescent="0.2">
      <c r="B1523" s="24">
        <v>2</v>
      </c>
      <c r="C1523" s="24">
        <v>38</v>
      </c>
      <c r="D1523" s="24">
        <v>1</v>
      </c>
      <c r="E1523" s="24">
        <v>2</v>
      </c>
      <c r="F1523" s="24">
        <v>0</v>
      </c>
      <c r="G1523" s="24">
        <v>1</v>
      </c>
      <c r="H1523" s="24">
        <v>0</v>
      </c>
      <c r="I1523" s="24">
        <v>0</v>
      </c>
      <c r="J1523" s="24">
        <v>0</v>
      </c>
      <c r="K1523" s="24">
        <v>0</v>
      </c>
      <c r="L1523" s="24">
        <v>0</v>
      </c>
      <c r="M1523" s="24">
        <v>0</v>
      </c>
    </row>
    <row r="1524" spans="2:13" ht="14" x14ac:dyDescent="0.2">
      <c r="B1524" s="24">
        <v>2</v>
      </c>
      <c r="C1524" s="24">
        <v>170</v>
      </c>
      <c r="D1524" s="24">
        <v>3</v>
      </c>
      <c r="E1524" s="24">
        <v>4.7</v>
      </c>
      <c r="F1524" s="24">
        <v>1</v>
      </c>
      <c r="G1524" s="24">
        <v>0</v>
      </c>
      <c r="H1524" s="24">
        <v>0</v>
      </c>
      <c r="I1524" s="24">
        <v>0</v>
      </c>
      <c r="J1524" s="24">
        <v>0</v>
      </c>
      <c r="K1524" s="24">
        <v>1</v>
      </c>
      <c r="L1524" s="24">
        <v>0</v>
      </c>
      <c r="M1524" s="24">
        <v>1</v>
      </c>
    </row>
    <row r="1525" spans="2:13" ht="14" x14ac:dyDescent="0.2">
      <c r="B1525" s="24">
        <v>24</v>
      </c>
      <c r="C1525" s="24">
        <v>61</v>
      </c>
      <c r="D1525" s="24">
        <v>4</v>
      </c>
      <c r="E1525" s="24">
        <v>2</v>
      </c>
      <c r="F1525" s="24">
        <v>0</v>
      </c>
      <c r="G1525" s="24">
        <v>0</v>
      </c>
      <c r="H1525" s="24">
        <v>0</v>
      </c>
      <c r="I1525" s="24">
        <v>1</v>
      </c>
      <c r="J1525" s="24">
        <v>0</v>
      </c>
      <c r="K1525" s="24">
        <v>1</v>
      </c>
      <c r="L1525" s="24">
        <v>0</v>
      </c>
      <c r="M1525" s="24">
        <v>0</v>
      </c>
    </row>
    <row r="1526" spans="2:13" ht="14" x14ac:dyDescent="0.2">
      <c r="B1526" s="24">
        <v>30</v>
      </c>
      <c r="C1526" s="24">
        <v>185</v>
      </c>
      <c r="D1526" s="24">
        <v>1</v>
      </c>
      <c r="E1526" s="24">
        <v>2.9</v>
      </c>
      <c r="F1526" s="24">
        <v>1</v>
      </c>
      <c r="G1526" s="24">
        <v>0</v>
      </c>
      <c r="H1526" s="24">
        <v>0</v>
      </c>
      <c r="I1526" s="24">
        <v>0</v>
      </c>
      <c r="J1526" s="24">
        <v>0</v>
      </c>
      <c r="K1526" s="24">
        <v>0</v>
      </c>
      <c r="L1526" s="24">
        <v>0</v>
      </c>
      <c r="M1526" s="24">
        <v>0</v>
      </c>
    </row>
    <row r="1527" spans="2:13" ht="14" x14ac:dyDescent="0.2">
      <c r="B1527" s="24">
        <v>35</v>
      </c>
      <c r="C1527" s="24">
        <v>23</v>
      </c>
      <c r="D1527" s="24">
        <v>1</v>
      </c>
      <c r="E1527" s="24">
        <v>1.5</v>
      </c>
      <c r="F1527" s="24">
        <v>0</v>
      </c>
      <c r="G1527" s="24">
        <v>0</v>
      </c>
      <c r="H1527" s="24">
        <v>0</v>
      </c>
      <c r="I1527" s="24">
        <v>0</v>
      </c>
      <c r="J1527" s="24">
        <v>0</v>
      </c>
      <c r="K1527" s="24">
        <v>1</v>
      </c>
      <c r="L1527" s="24">
        <v>0</v>
      </c>
      <c r="M1527" s="24">
        <v>0</v>
      </c>
    </row>
    <row r="1528" spans="2:13" ht="14" x14ac:dyDescent="0.2">
      <c r="B1528" s="24">
        <v>10</v>
      </c>
      <c r="C1528" s="24">
        <v>93</v>
      </c>
      <c r="D1528" s="24">
        <v>1</v>
      </c>
      <c r="E1528" s="24">
        <v>2.8</v>
      </c>
      <c r="F1528" s="24">
        <v>0</v>
      </c>
      <c r="G1528" s="24">
        <v>0</v>
      </c>
      <c r="H1528" s="24">
        <v>0</v>
      </c>
      <c r="I1528" s="24">
        <v>0</v>
      </c>
      <c r="J1528" s="24">
        <v>0</v>
      </c>
      <c r="K1528" s="24">
        <v>1</v>
      </c>
      <c r="L1528" s="24">
        <v>0</v>
      </c>
      <c r="M1528" s="24">
        <v>0</v>
      </c>
    </row>
    <row r="1529" spans="2:13" ht="14" x14ac:dyDescent="0.2">
      <c r="B1529" s="24">
        <v>11</v>
      </c>
      <c r="C1529" s="24">
        <v>84</v>
      </c>
      <c r="D1529" s="24">
        <v>2</v>
      </c>
      <c r="E1529" s="24">
        <v>1.8</v>
      </c>
      <c r="F1529" s="24">
        <v>1</v>
      </c>
      <c r="G1529" s="24">
        <v>0</v>
      </c>
      <c r="H1529" s="24">
        <v>0</v>
      </c>
      <c r="I1529" s="24">
        <v>0</v>
      </c>
      <c r="J1529" s="24">
        <v>0</v>
      </c>
      <c r="K1529" s="24">
        <v>1</v>
      </c>
      <c r="L1529" s="24">
        <v>1</v>
      </c>
      <c r="M1529" s="24">
        <v>0</v>
      </c>
    </row>
    <row r="1530" spans="2:13" ht="14" x14ac:dyDescent="0.2">
      <c r="B1530" s="24">
        <v>13</v>
      </c>
      <c r="C1530" s="24">
        <v>75</v>
      </c>
      <c r="D1530" s="24">
        <v>3</v>
      </c>
      <c r="E1530" s="24">
        <v>2.1</v>
      </c>
      <c r="F1530" s="24">
        <v>1</v>
      </c>
      <c r="G1530" s="24">
        <v>0</v>
      </c>
      <c r="H1530" s="24">
        <v>224</v>
      </c>
      <c r="I1530" s="24">
        <v>0</v>
      </c>
      <c r="J1530" s="24">
        <v>0</v>
      </c>
      <c r="K1530" s="24">
        <v>1</v>
      </c>
      <c r="L1530" s="24">
        <v>0</v>
      </c>
      <c r="M1530" s="24">
        <v>0</v>
      </c>
    </row>
    <row r="1531" spans="2:13" ht="14" x14ac:dyDescent="0.2">
      <c r="B1531" s="24">
        <v>4</v>
      </c>
      <c r="C1531" s="24">
        <v>24</v>
      </c>
      <c r="D1531" s="24">
        <v>1</v>
      </c>
      <c r="E1531" s="24">
        <v>0.4</v>
      </c>
      <c r="F1531" s="24">
        <v>0</v>
      </c>
      <c r="G1531" s="24">
        <v>1</v>
      </c>
      <c r="H1531" s="24">
        <v>81</v>
      </c>
      <c r="I1531" s="24">
        <v>0</v>
      </c>
      <c r="J1531" s="24">
        <v>0</v>
      </c>
      <c r="K1531" s="24">
        <v>1</v>
      </c>
      <c r="L1531" s="24">
        <v>0</v>
      </c>
      <c r="M1531" s="24">
        <v>0</v>
      </c>
    </row>
  </sheetData>
  <mergeCells count="32">
    <mergeCell ref="B4:G4"/>
    <mergeCell ref="J4:L4"/>
    <mergeCell ref="F18:Q18"/>
    <mergeCell ref="F19:Q19"/>
    <mergeCell ref="F20:Q20"/>
    <mergeCell ref="B15:E15"/>
    <mergeCell ref="B16:E16"/>
    <mergeCell ref="B17:E17"/>
    <mergeCell ref="B18:E18"/>
    <mergeCell ref="B19:E19"/>
    <mergeCell ref="B8:Q8"/>
    <mergeCell ref="B9:E9"/>
    <mergeCell ref="B10:E10"/>
    <mergeCell ref="B11:E11"/>
    <mergeCell ref="B12:E12"/>
    <mergeCell ref="B13:E13"/>
    <mergeCell ref="F21:Q21"/>
    <mergeCell ref="B24:M24"/>
    <mergeCell ref="B5:C5"/>
    <mergeCell ref="D5:E5"/>
    <mergeCell ref="F5:G5"/>
    <mergeCell ref="B20:E20"/>
    <mergeCell ref="B21:E21"/>
    <mergeCell ref="F9:Q9"/>
    <mergeCell ref="F10:Q10"/>
    <mergeCell ref="F11:Q11"/>
    <mergeCell ref="F13:Q13"/>
    <mergeCell ref="F14:Q14"/>
    <mergeCell ref="F15:Q15"/>
    <mergeCell ref="F16:Q16"/>
    <mergeCell ref="F17:Q17"/>
    <mergeCell ref="B14:E14"/>
  </mergeCells>
  <hyperlinks>
    <hyperlink ref="B5" location="'Data_Partition'!$B$26:$M$281" display="Train. Data" xr:uid="{00000000-0004-0000-0200-000000000000}"/>
    <hyperlink ref="D5" location="'Data_Partition'!$B$282:$M$1531" display="Valid. Data" xr:uid="{00000000-0004-0000-0200-000001000000}"/>
    <hyperlink ref="F5" location="'Data_Partition'!$B$25:$M$1531" display="All Data" xr:uid="{00000000-0004-0000-0200-000002000000}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O15"/>
  <sheetViews>
    <sheetView workbookViewId="0">
      <selection activeCell="F21" sqref="F21"/>
    </sheetView>
  </sheetViews>
  <sheetFormatPr baseColWidth="10" defaultColWidth="8.83203125" defaultRowHeight="13" x14ac:dyDescent="0.15"/>
  <cols>
    <col min="1" max="1" width="16.5" bestFit="1" customWidth="1"/>
    <col min="2" max="2" width="8.5" bestFit="1" customWidth="1"/>
    <col min="3" max="3" width="11.5" bestFit="1" customWidth="1"/>
    <col min="4" max="4" width="8.5" bestFit="1" customWidth="1"/>
    <col min="5" max="5" width="7.5" bestFit="1" customWidth="1"/>
    <col min="6" max="6" width="12" bestFit="1" customWidth="1"/>
    <col min="7" max="9" width="10" customWidth="1"/>
    <col min="10" max="10" width="9.5" bestFit="1" customWidth="1"/>
    <col min="11" max="11" width="10.33203125" bestFit="1" customWidth="1"/>
    <col min="12" max="13" width="9" bestFit="1" customWidth="1"/>
    <col min="14" max="14" width="6.83203125" bestFit="1" customWidth="1"/>
    <col min="15" max="15" width="9.5" bestFit="1" customWidth="1"/>
  </cols>
  <sheetData>
    <row r="1" spans="1:15" ht="29" thickBot="1" x14ac:dyDescent="0.2">
      <c r="A1" s="18" t="s">
        <v>41</v>
      </c>
      <c r="B1" s="18" t="s">
        <v>1</v>
      </c>
      <c r="C1" s="18" t="s">
        <v>18</v>
      </c>
      <c r="D1" s="18" t="s">
        <v>2</v>
      </c>
      <c r="E1" s="18" t="s">
        <v>22</v>
      </c>
      <c r="F1" s="18" t="s">
        <v>21</v>
      </c>
      <c r="G1" s="18" t="s">
        <v>3</v>
      </c>
      <c r="H1" s="18" t="s">
        <v>43</v>
      </c>
      <c r="I1" s="18" t="s">
        <v>44</v>
      </c>
      <c r="J1" s="18" t="s">
        <v>7</v>
      </c>
      <c r="K1" s="18" t="s">
        <v>6</v>
      </c>
      <c r="L1" s="18" t="s">
        <v>5</v>
      </c>
      <c r="M1" s="18" t="s">
        <v>19</v>
      </c>
      <c r="N1" s="18" t="s">
        <v>20</v>
      </c>
      <c r="O1" s="18" t="s">
        <v>8</v>
      </c>
    </row>
    <row r="2" spans="1:15" x14ac:dyDescent="0.15">
      <c r="A2" s="12" t="s">
        <v>28</v>
      </c>
      <c r="B2" s="15">
        <f>AVERAGE(Data!B$4:B$2503)</f>
        <v>45.345999999999997</v>
      </c>
      <c r="C2" s="15">
        <f>AVERAGE(Data!C$4:C$2503)</f>
        <v>20.132400000000001</v>
      </c>
      <c r="D2" s="15">
        <f>AVERAGE(Data!D$4:D$2503)</f>
        <v>74.447199999999995</v>
      </c>
      <c r="E2" s="15">
        <f>AVERAGE(Data!E$4:E$2503)</f>
        <v>2.4079999999999999</v>
      </c>
      <c r="F2" s="15">
        <f>AVERAGE(Data!F$4:F$2503)</f>
        <v>1.9512533333333368</v>
      </c>
      <c r="G2" s="15">
        <f>AVERAGE(Data!G$4:G$2503)</f>
        <v>1.8655999999999999</v>
      </c>
      <c r="H2" s="15">
        <f>AVERAGE(Data!H$4:H$2503)</f>
        <v>0.42599999999999999</v>
      </c>
      <c r="I2" s="15">
        <f>AVERAGE(Data!I$4:I$2503)</f>
        <v>0.28239999999999998</v>
      </c>
      <c r="J2" s="15">
        <f>AVERAGE(Data!J$4:J$2503)</f>
        <v>57.388399999999997</v>
      </c>
      <c r="K2" s="15">
        <f>AVERAGE(Data!K$4:K$2503)</f>
        <v>0.1096</v>
      </c>
      <c r="L2" s="15">
        <f>AVERAGE(Data!L$4:L$2503)</f>
        <v>6.2399999999999997E-2</v>
      </c>
      <c r="M2" s="15">
        <f>AVERAGE(Data!M$4:M$2503)</f>
        <v>0.59760000000000002</v>
      </c>
      <c r="N2" s="15">
        <f>AVERAGE(Data!N$4:N$2503)</f>
        <v>0.29039999999999999</v>
      </c>
      <c r="O2" s="15">
        <f>AVERAGE(Data!O$4:O$2503)</f>
        <v>0.1024</v>
      </c>
    </row>
    <row r="3" spans="1:15" x14ac:dyDescent="0.15">
      <c r="A3" s="16" t="s">
        <v>29</v>
      </c>
      <c r="B3" s="15">
        <f>_xlfn.STDEV.S(Data!B$4:B$2503)/SQRT(B15)</f>
        <v>0.23039041971878796</v>
      </c>
      <c r="C3" s="15">
        <f>_xlfn.STDEV.S(Data!C$4:C$2503)/SQRT(C15)</f>
        <v>0.23005651152575132</v>
      </c>
      <c r="D3" s="15">
        <f>_xlfn.STDEV.S(Data!D$4:D$2503)/SQRT(D15)</f>
        <v>0.933448003337076</v>
      </c>
      <c r="E3" s="15">
        <f>_xlfn.STDEV.S(Data!E$4:E$2503)/SQRT(E15)</f>
        <v>2.3197190430255622E-2</v>
      </c>
      <c r="F3" s="15">
        <f>_xlfn.STDEV.S(Data!F$4:F$2503)/SQRT(F15)</f>
        <v>3.5909337186787939E-2</v>
      </c>
      <c r="G3" s="15">
        <f>_xlfn.STDEV.S(Data!G$4:G$2503)/SQRT(G15)</f>
        <v>1.6731007938873863E-2</v>
      </c>
      <c r="H3" s="15">
        <f>_xlfn.STDEV.S(Data!H$4:H$2503)/SQRT(H15)</f>
        <v>9.8918521772112175E-3</v>
      </c>
      <c r="I3" s="15">
        <f>_xlfn.STDEV.S(Data!I$4:I$2503)/SQRT(I15)</f>
        <v>9.0051392556253825E-3</v>
      </c>
      <c r="J3" s="15">
        <f>_xlfn.STDEV.S(Data!J$4:J$2503)/SQRT(J15)</f>
        <v>2.0163280610346832</v>
      </c>
      <c r="K3" s="15">
        <f>_xlfn.STDEV.S(Data!K$4:K$2503)/SQRT(K15)</f>
        <v>6.2490604335788758E-3</v>
      </c>
      <c r="L3" s="15">
        <f>_xlfn.STDEV.S(Data!L$4:L$2503)/SQRT(L15)</f>
        <v>4.8385804472280622E-3</v>
      </c>
      <c r="M3" s="15">
        <f>_xlfn.STDEV.S(Data!M$4:M$2503)/SQRT(M15)</f>
        <v>9.8095966927753946E-3</v>
      </c>
      <c r="N3" s="15">
        <f>_xlfn.STDEV.S(Data!N$4:N$2503)/SQRT(N15)</f>
        <v>9.080755477823374E-3</v>
      </c>
      <c r="O3" s="15">
        <f>_xlfn.STDEV.S(Data!O$4:O$2503)/SQRT(O15)</f>
        <v>6.0646853309355882E-3</v>
      </c>
    </row>
    <row r="4" spans="1:15" x14ac:dyDescent="0.15">
      <c r="A4" s="12" t="s">
        <v>30</v>
      </c>
      <c r="B4" s="17">
        <f>MEDIAN(Data!B$4:B$2503)</f>
        <v>45</v>
      </c>
      <c r="C4" s="17">
        <f>MEDIAN(Data!C$4:C$2503)</f>
        <v>20</v>
      </c>
      <c r="D4" s="17">
        <f>MEDIAN(Data!D$4:D$2503)</f>
        <v>64</v>
      </c>
      <c r="E4" s="17">
        <f>MEDIAN(Data!E$4:E$2503)</f>
        <v>2</v>
      </c>
      <c r="F4" s="17">
        <f>MEDIAN(Data!F$4:F$2503)</f>
        <v>1.5</v>
      </c>
      <c r="G4" s="17">
        <f>MEDIAN(Data!G$4:G$2503)</f>
        <v>2</v>
      </c>
      <c r="H4" s="17">
        <f>MEDIAN(Data!H$4:H$2503)</f>
        <v>0</v>
      </c>
      <c r="I4" s="17">
        <f>MEDIAN(Data!I$4:I$2503)</f>
        <v>0</v>
      </c>
      <c r="J4" s="17">
        <f>MEDIAN(Data!J$4:J$2503)</f>
        <v>0</v>
      </c>
      <c r="K4" s="17">
        <f>MEDIAN(Data!K$4:K$2503)</f>
        <v>0</v>
      </c>
      <c r="L4" s="17">
        <f>MEDIAN(Data!L$4:L$2503)</f>
        <v>0</v>
      </c>
      <c r="M4" s="17">
        <f>MEDIAN(Data!M$4:M$2503)</f>
        <v>1</v>
      </c>
      <c r="N4" s="17">
        <f>MEDIAN(Data!N$4:N$2503)</f>
        <v>0</v>
      </c>
      <c r="O4" s="17">
        <f>MEDIAN(Data!O$4:O$2503)</f>
        <v>0</v>
      </c>
    </row>
    <row r="5" spans="1:15" x14ac:dyDescent="0.15">
      <c r="A5" s="12" t="s">
        <v>31</v>
      </c>
      <c r="B5" s="17">
        <f>MODE(Data!B$4:B$2503)</f>
        <v>52</v>
      </c>
      <c r="C5" s="17">
        <f>MODE(Data!C$4:C$2503)</f>
        <v>20</v>
      </c>
      <c r="D5" s="17">
        <f>MODE(Data!D$4:D$2503)</f>
        <v>38</v>
      </c>
      <c r="E5" s="17">
        <f>MODE(Data!E$4:E$2503)</f>
        <v>1</v>
      </c>
      <c r="F5" s="17">
        <f>MODE(Data!F$4:F$2503)</f>
        <v>1</v>
      </c>
      <c r="G5" s="17">
        <f>MODE(Data!G$4:G$2503)</f>
        <v>1</v>
      </c>
      <c r="H5" s="17">
        <f>MODE(Data!H$4:H$2503)</f>
        <v>0</v>
      </c>
      <c r="I5" s="17">
        <f>MODE(Data!I$4:I$2503)</f>
        <v>0</v>
      </c>
      <c r="J5" s="17">
        <f>MODE(Data!J$4:J$2503)</f>
        <v>0</v>
      </c>
      <c r="K5" s="17">
        <f>MODE(Data!K$4:K$2503)</f>
        <v>0</v>
      </c>
      <c r="L5" s="17">
        <f>MODE(Data!L$4:L$2503)</f>
        <v>0</v>
      </c>
      <c r="M5" s="17">
        <f>MODE(Data!M$4:M$2503)</f>
        <v>1</v>
      </c>
      <c r="N5" s="17">
        <f>MODE(Data!N$4:N$2503)</f>
        <v>0</v>
      </c>
      <c r="O5" s="17">
        <f>MODE(Data!O$4:O$2503)</f>
        <v>0</v>
      </c>
    </row>
    <row r="6" spans="1:15" x14ac:dyDescent="0.15">
      <c r="A6" s="12" t="s">
        <v>32</v>
      </c>
      <c r="B6" s="14">
        <f>_xlfn.STDEV.S(Data!B$4:B$2503)</f>
        <v>11.519520985939398</v>
      </c>
      <c r="C6" s="14">
        <f>_xlfn.STDEV.S(Data!C$4:C$2503)</f>
        <v>11.502825576287567</v>
      </c>
      <c r="D6" s="14">
        <f>_xlfn.STDEV.S(Data!D$4:D$2503)</f>
        <v>46.672400166853798</v>
      </c>
      <c r="E6" s="14">
        <f>_xlfn.STDEV.S(Data!E$4:E$2503)</f>
        <v>1.1598595215127812</v>
      </c>
      <c r="F6" s="14">
        <f>_xlfn.STDEV.S(Data!F$4:F$2503)</f>
        <v>1.795466859339397</v>
      </c>
      <c r="G6" s="14">
        <f>_xlfn.STDEV.S(Data!G$4:G$2503)</f>
        <v>0.83655039694369315</v>
      </c>
      <c r="H6" s="14">
        <f>_xlfn.STDEV.S(Data!H$4:H$2503)</f>
        <v>0.49459260886056089</v>
      </c>
      <c r="I6" s="14">
        <f>_xlfn.STDEV.S(Data!I$4:I$2503)</f>
        <v>0.45025696278126914</v>
      </c>
      <c r="J6" s="14">
        <f>_xlfn.STDEV.S(Data!J$4:J$2503)</f>
        <v>100.81640305173417</v>
      </c>
      <c r="K6" s="14">
        <f>_xlfn.STDEV.S(Data!K$4:K$2503)</f>
        <v>0.31245302167894379</v>
      </c>
      <c r="L6" s="14">
        <f>_xlfn.STDEV.S(Data!L$4:L$2503)</f>
        <v>0.24192902236140312</v>
      </c>
      <c r="M6" s="14">
        <f>_xlfn.STDEV.S(Data!M$4:M$2503)</f>
        <v>0.49047983463876976</v>
      </c>
      <c r="N6" s="14">
        <f>_xlfn.STDEV.S(Data!N$4:N$2503)</f>
        <v>0.45403777389116867</v>
      </c>
      <c r="O6" s="14">
        <f>_xlfn.STDEV.S(Data!O$4:O$2503)</f>
        <v>0.30323426654677943</v>
      </c>
    </row>
    <row r="7" spans="1:15" x14ac:dyDescent="0.15">
      <c r="A7" s="12" t="s">
        <v>33</v>
      </c>
      <c r="B7" s="14">
        <f>_xlfn.VAR.S(Data!B$4:B$2503)</f>
        <v>132.69936374549818</v>
      </c>
      <c r="C7" s="14">
        <f>_xlfn.VAR.S(Data!C$4:C$2503)</f>
        <v>132.31499623849538</v>
      </c>
      <c r="D7" s="14">
        <f>_xlfn.VAR.S(Data!D$4:D$2503)</f>
        <v>2178.3129373349343</v>
      </c>
      <c r="E7" s="14">
        <f>_xlfn.VAR.S(Data!E$4:E$2503)</f>
        <v>1.3452741096438576</v>
      </c>
      <c r="F7" s="14">
        <f>_xlfn.VAR.S(Data!F$4:F$2503)</f>
        <v>3.2237012429860781</v>
      </c>
      <c r="G7" s="14">
        <f>_xlfn.VAR.S(Data!G$4:G$2503)</f>
        <v>0.69981656662665059</v>
      </c>
      <c r="H7" s="14">
        <f>_xlfn.VAR.S(Data!H$4:H$2503)</f>
        <v>0.24462184873949577</v>
      </c>
      <c r="I7" s="14">
        <f>_xlfn.VAR.S(Data!I$4:I$2503)</f>
        <v>0.2027313325330132</v>
      </c>
      <c r="J7" s="14">
        <f>_xlfn.VAR.S(Data!J$4:J$2503)</f>
        <v>10163.947124289716</v>
      </c>
      <c r="K7" s="14">
        <f>_xlfn.VAR.S(Data!K$4:K$2503)</f>
        <v>9.7626890756302528E-2</v>
      </c>
      <c r="L7" s="14">
        <f>_xlfn.VAR.S(Data!L$4:L$2503)</f>
        <v>5.8529651860744297E-2</v>
      </c>
      <c r="M7" s="14">
        <f>_xlfn.VAR.S(Data!M$4:M$2503)</f>
        <v>0.24057046818727493</v>
      </c>
      <c r="N7" s="14">
        <f>_xlfn.VAR.S(Data!N$4:N$2503)</f>
        <v>0.20615030012004801</v>
      </c>
      <c r="O7" s="14">
        <f>_xlfn.VAR.S(Data!O$4:O$2503)</f>
        <v>9.1951020408163261E-2</v>
      </c>
    </row>
    <row r="8" spans="1:15" x14ac:dyDescent="0.15">
      <c r="A8" s="12" t="s">
        <v>34</v>
      </c>
      <c r="B8" s="14">
        <f>KURT(Data!B$4:B$2503)</f>
        <v>-1.1676923581536733</v>
      </c>
      <c r="C8" s="14">
        <f>KURT(Data!C$4:C$2503)</f>
        <v>-1.1567028573490168</v>
      </c>
      <c r="D8" s="14">
        <f>KURT(Data!D$4:D$2503)</f>
        <v>-9.0577797823731654E-2</v>
      </c>
      <c r="E8" s="14">
        <f>KURT(Data!E$4:E$2503)</f>
        <v>-1.4336539485644242</v>
      </c>
      <c r="F8" s="14">
        <f>KURT(Data!F$4:F$2503)</f>
        <v>2.6761844817452705</v>
      </c>
      <c r="G8" s="14">
        <f>KURT(Data!G$4:G$2503)</f>
        <v>-1.524938331794498</v>
      </c>
      <c r="H8" s="14">
        <f>KURT(Data!H$4:H$2503)</f>
        <v>-1.911844388617814</v>
      </c>
      <c r="I8" s="14">
        <f>KURT(Data!I$4:I$2503)</f>
        <v>-1.0651195165744032</v>
      </c>
      <c r="J8" s="14">
        <f>KURT(Data!J$4:J$2503)</f>
        <v>4.3021594261229836</v>
      </c>
      <c r="K8" s="14">
        <f>KURT(Data!K$4:K$2503)</f>
        <v>4.2580887872333628</v>
      </c>
      <c r="L8" s="14">
        <f>KURT(Data!L$4:L$2503)</f>
        <v>11.116814148068489</v>
      </c>
      <c r="M8" s="14">
        <f>KURT(Data!M$4:M$2503)</f>
        <v>-1.8428349959063357</v>
      </c>
      <c r="N8" s="14">
        <f>KURT(Data!N$4:N$2503)</f>
        <v>-1.1471231057472677</v>
      </c>
      <c r="O8" s="14">
        <f>KURT(Data!O$4:O$2503)</f>
        <v>4.8918843281299083</v>
      </c>
    </row>
    <row r="9" spans="1:15" x14ac:dyDescent="0.15">
      <c r="A9" s="12" t="s">
        <v>35</v>
      </c>
      <c r="B9" s="14">
        <f>SKEW(Data!B$4:B$2503)</f>
        <v>-3.6096864124231055E-2</v>
      </c>
      <c r="C9" s="14">
        <f>SKEW(Data!C$4:C$2503)</f>
        <v>-2.2204099567925451E-2</v>
      </c>
      <c r="D9" s="14">
        <f>SKEW(Data!D$4:D$2503)</f>
        <v>0.83454904208366143</v>
      </c>
      <c r="E9" s="14">
        <f>SKEW(Data!E$4:E$2503)</f>
        <v>0.14150266020555144</v>
      </c>
      <c r="F9" s="14">
        <f>SKEW(Data!F$4:F$2503)</f>
        <v>1.6385003825822759</v>
      </c>
      <c r="G9" s="14">
        <f>SKEW(Data!G$4:G$2503)</f>
        <v>0.25666721094791634</v>
      </c>
      <c r="H9" s="14">
        <f>SKEW(Data!H$4:H$2503)</f>
        <v>0.29947575467631438</v>
      </c>
      <c r="I9" s="14">
        <f>SKEW(Data!I$4:I$2503)</f>
        <v>0.96733304480306692</v>
      </c>
      <c r="J9" s="14">
        <f>SKEW(Data!J$4:J$2503)</f>
        <v>2.0196642294336757</v>
      </c>
      <c r="K9" s="14">
        <f>SKEW(Data!K$4:K$2503)</f>
        <v>2.5009364156989777</v>
      </c>
      <c r="L9" s="14">
        <f>SKEW(Data!L$4:L$2503)</f>
        <v>3.6204863394520643</v>
      </c>
      <c r="M9" s="14">
        <f>SKEW(Data!M$4:M$2503)</f>
        <v>-0.39829626262189904</v>
      </c>
      <c r="N9" s="14">
        <f>SKEW(Data!N$4:N$2503)</f>
        <v>0.92401040756443198</v>
      </c>
      <c r="O9" s="14">
        <f>SKEW(Data!O$4:O$2503)</f>
        <v>2.6244945150773487</v>
      </c>
    </row>
    <row r="10" spans="1:15" x14ac:dyDescent="0.15">
      <c r="A10" s="12" t="s">
        <v>36</v>
      </c>
      <c r="B10" s="17">
        <f>MAX(Data!B$4:B$2503)-MIN(Data!B$4:B$2503)</f>
        <v>44</v>
      </c>
      <c r="C10" s="17">
        <f>MAX(Data!C$4:C$2503)-MIN(Data!C$4:C$2503)</f>
        <v>42</v>
      </c>
      <c r="D10" s="17">
        <f>MAX(Data!D$4:D$2503)-MIN(Data!D$4:D$2503)</f>
        <v>197</v>
      </c>
      <c r="E10" s="17">
        <f>MAX(Data!E$4:E$2503)-MIN(Data!E$4:E$2503)</f>
        <v>3</v>
      </c>
      <c r="F10" s="17">
        <f>MAX(Data!F$4:F$2503)-MIN(Data!F$4:F$2503)</f>
        <v>10</v>
      </c>
      <c r="G10" s="17">
        <f>MAX(Data!G$4:G$2503)-MIN(Data!G$4:G$2503)</f>
        <v>2</v>
      </c>
      <c r="H10" s="17">
        <f>MAX(Data!H$4:H$2503)-MIN(Data!H$4:H$2503)</f>
        <v>1</v>
      </c>
      <c r="I10" s="17">
        <f>MAX(Data!I$4:I$2503)-MIN(Data!I$4:I$2503)</f>
        <v>1</v>
      </c>
      <c r="J10" s="17">
        <f>MAX(Data!J$4:J$2503)-MIN(Data!J$4:J$2503)</f>
        <v>617</v>
      </c>
      <c r="K10" s="17">
        <f>MAX(Data!K$4:K$2503)-MIN(Data!K$4:K$2503)</f>
        <v>1</v>
      </c>
      <c r="L10" s="17">
        <f>MAX(Data!L$4:L$2503)-MIN(Data!L$4:L$2503)</f>
        <v>1</v>
      </c>
      <c r="M10" s="17">
        <f>MAX(Data!M$4:M$2503)-MIN(Data!M$4:M$2503)</f>
        <v>1</v>
      </c>
      <c r="N10" s="17">
        <f>MAX(Data!N$4:N$2503)-MIN(Data!N$4:N$2503)</f>
        <v>1</v>
      </c>
      <c r="O10" s="17">
        <f>MAX(Data!O$4:O$2503)-MIN(Data!O$4:O$2503)</f>
        <v>1</v>
      </c>
    </row>
    <row r="11" spans="1:15" x14ac:dyDescent="0.15">
      <c r="A11" s="12" t="s">
        <v>37</v>
      </c>
      <c r="B11" s="17">
        <f>MIN(Data!B$4:B$2503)</f>
        <v>23</v>
      </c>
      <c r="C11" s="17">
        <f>MIN(Data!C$4:C$2503)</f>
        <v>0</v>
      </c>
      <c r="D11" s="17">
        <f>MIN(Data!D$4:D$2503)</f>
        <v>8</v>
      </c>
      <c r="E11" s="17">
        <f>MIN(Data!E$4:E$2503)</f>
        <v>1</v>
      </c>
      <c r="F11" s="17">
        <f>MIN(Data!F$4:F$2503)</f>
        <v>0</v>
      </c>
      <c r="G11" s="17">
        <f>MIN(Data!G$4:G$2503)</f>
        <v>1</v>
      </c>
      <c r="H11" s="17">
        <f>MIN(Data!H$4:H$2503)</f>
        <v>0</v>
      </c>
      <c r="I11" s="17">
        <f>MIN(Data!I$4:I$2503)</f>
        <v>0</v>
      </c>
      <c r="J11" s="17">
        <f>MIN(Data!J$4:J$2503)</f>
        <v>0</v>
      </c>
      <c r="K11" s="17">
        <f>MIN(Data!K$4:K$2503)</f>
        <v>0</v>
      </c>
      <c r="L11" s="17">
        <f>MIN(Data!L$4:L$2503)</f>
        <v>0</v>
      </c>
      <c r="M11" s="17">
        <f>MIN(Data!M$4:M$2503)</f>
        <v>0</v>
      </c>
      <c r="N11" s="17">
        <f>MIN(Data!N$4:N$2503)</f>
        <v>0</v>
      </c>
      <c r="O11" s="17">
        <f>MIN(Data!O$4:O$2503)</f>
        <v>0</v>
      </c>
    </row>
    <row r="12" spans="1:15" x14ac:dyDescent="0.15">
      <c r="A12" s="12" t="s">
        <v>38</v>
      </c>
      <c r="B12" s="17">
        <f>MAX(Data!B$4:B$2503)</f>
        <v>67</v>
      </c>
      <c r="C12" s="17">
        <f>MAX(Data!C$4:C$2503)</f>
        <v>42</v>
      </c>
      <c r="D12" s="17">
        <f>MAX(Data!D$4:D$2503)</f>
        <v>205</v>
      </c>
      <c r="E12" s="17">
        <f>MAX(Data!E$4:E$2503)</f>
        <v>4</v>
      </c>
      <c r="F12" s="17">
        <f>MAX(Data!F$4:F$2503)</f>
        <v>10</v>
      </c>
      <c r="G12" s="17">
        <f>MAX(Data!G$4:G$2503)</f>
        <v>3</v>
      </c>
      <c r="H12" s="17">
        <f>MAX(Data!H$4:H$2503)</f>
        <v>1</v>
      </c>
      <c r="I12" s="17">
        <f>MAX(Data!I$4:I$2503)</f>
        <v>1</v>
      </c>
      <c r="J12" s="17">
        <f>MAX(Data!J$4:J$2503)</f>
        <v>617</v>
      </c>
      <c r="K12" s="17">
        <f>MAX(Data!K$4:K$2503)</f>
        <v>1</v>
      </c>
      <c r="L12" s="17">
        <f>MAX(Data!L$4:L$2503)</f>
        <v>1</v>
      </c>
      <c r="M12" s="17">
        <f>MAX(Data!M$4:M$2503)</f>
        <v>1</v>
      </c>
      <c r="N12" s="17">
        <f>MAX(Data!N$4:N$2503)</f>
        <v>1</v>
      </c>
      <c r="O12" s="17">
        <f>MAX(Data!O$4:O$2503)</f>
        <v>1</v>
      </c>
    </row>
    <row r="13" spans="1:15" x14ac:dyDescent="0.15">
      <c r="A13" s="19" t="s">
        <v>42</v>
      </c>
      <c r="B13" s="17">
        <f>COUNTIF(Data!B$4:B$2503,"")</f>
        <v>0</v>
      </c>
      <c r="C13" s="17">
        <f>COUNTIF(Data!C$4:C$2503,"")</f>
        <v>0</v>
      </c>
      <c r="D13" s="17">
        <f>COUNTIF(Data!D$4:D$2503,"")</f>
        <v>0</v>
      </c>
      <c r="E13" s="17">
        <f>COUNTIF(Data!E$4:E$2503,"")</f>
        <v>0</v>
      </c>
      <c r="F13" s="17">
        <f>COUNTIF(Data!F$4:F$2503,"")</f>
        <v>0</v>
      </c>
      <c r="G13" s="17">
        <f>COUNTIF(Data!G$4:G$2503,"")</f>
        <v>0</v>
      </c>
      <c r="H13" s="17">
        <f>COUNTIF(Data!H$4:H$2503,"")</f>
        <v>0</v>
      </c>
      <c r="I13" s="17">
        <f>COUNTIF(Data!I$4:I$2503,"")</f>
        <v>0</v>
      </c>
      <c r="J13" s="17">
        <f>COUNTIF(Data!J$4:J$2503,"")</f>
        <v>0</v>
      </c>
      <c r="K13" s="17">
        <f>COUNTIF(Data!K$4:K$2503,"")</f>
        <v>0</v>
      </c>
      <c r="L13" s="17">
        <f>COUNTIF(Data!L$4:L$2503,"")</f>
        <v>0</v>
      </c>
      <c r="M13" s="17">
        <f>COUNTIF(Data!M$4:M$2503,"")</f>
        <v>0</v>
      </c>
      <c r="N13" s="17">
        <f>COUNTIF(Data!N$4:N$2503,"")</f>
        <v>0</v>
      </c>
      <c r="O13" s="17">
        <f>COUNTIF(Data!O$4:O$2503,"")</f>
        <v>0</v>
      </c>
    </row>
    <row r="14" spans="1:15" x14ac:dyDescent="0.15">
      <c r="A14" s="12" t="s">
        <v>39</v>
      </c>
      <c r="B14" s="17">
        <f>SUM(Data!B$4:B$2503)</f>
        <v>113365</v>
      </c>
      <c r="C14" s="17">
        <f>SUM(Data!C$4:C$2503)</f>
        <v>50331</v>
      </c>
      <c r="D14" s="17">
        <f>SUM(Data!D$4:D$2503)</f>
        <v>186118</v>
      </c>
      <c r="E14" s="17">
        <f>SUM(Data!E$4:E$2503)</f>
        <v>6020</v>
      </c>
      <c r="F14" s="17">
        <f>SUM(Data!F$4:F$2503)</f>
        <v>4878.1333333333423</v>
      </c>
      <c r="G14" s="17">
        <f>SUM(Data!G$4:G$2503)</f>
        <v>4664</v>
      </c>
      <c r="H14" s="17">
        <f>SUM(Data!H$4:H$2503)</f>
        <v>1065</v>
      </c>
      <c r="I14" s="17">
        <f>SUM(Data!I$4:I$2503)</f>
        <v>706</v>
      </c>
      <c r="J14" s="17">
        <f>SUM(Data!J$4:J$2503)</f>
        <v>143471</v>
      </c>
      <c r="K14" s="17">
        <f>SUM(Data!K$4:K$2503)</f>
        <v>274</v>
      </c>
      <c r="L14" s="17">
        <f>SUM(Data!L$4:L$2503)</f>
        <v>156</v>
      </c>
      <c r="M14" s="17">
        <f>SUM(Data!M$4:M$2503)</f>
        <v>1494</v>
      </c>
      <c r="N14" s="17">
        <f>SUM(Data!N$4:N$2503)</f>
        <v>726</v>
      </c>
      <c r="O14" s="17">
        <f>SUM(Data!O$4:O$2503)</f>
        <v>256</v>
      </c>
    </row>
    <row r="15" spans="1:15" ht="14" thickBot="1" x14ac:dyDescent="0.2">
      <c r="A15" s="13" t="s">
        <v>40</v>
      </c>
      <c r="B15" s="13">
        <f>COUNT(Data!B$4:B$2503)</f>
        <v>2500</v>
      </c>
      <c r="C15" s="13">
        <f>COUNT(Data!C$4:C$2503)</f>
        <v>2500</v>
      </c>
      <c r="D15" s="13">
        <f>COUNT(Data!D$4:D$2503)</f>
        <v>2500</v>
      </c>
      <c r="E15" s="13">
        <f>COUNT(Data!E$4:E$2503)</f>
        <v>2500</v>
      </c>
      <c r="F15" s="13">
        <f>COUNT(Data!F$4:F$2503)</f>
        <v>2500</v>
      </c>
      <c r="G15" s="13">
        <f>COUNT(Data!G$4:G$2503)</f>
        <v>2500</v>
      </c>
      <c r="H15" s="13">
        <f>COUNT(Data!H$4:H$2503)</f>
        <v>2500</v>
      </c>
      <c r="I15" s="13">
        <f>COUNT(Data!I$4:I$2503)</f>
        <v>2500</v>
      </c>
      <c r="J15" s="13">
        <f>COUNT(Data!J$4:J$2503)</f>
        <v>2500</v>
      </c>
      <c r="K15" s="13">
        <f>COUNT(Data!K$4:K$2503)</f>
        <v>2500</v>
      </c>
      <c r="L15" s="13">
        <f>COUNT(Data!L$4:L$2503)</f>
        <v>2500</v>
      </c>
      <c r="M15" s="13">
        <f>COUNT(Data!M$4:M$2503)</f>
        <v>2500</v>
      </c>
      <c r="N15" s="13">
        <f>COUNT(Data!N$4:N$2503)</f>
        <v>2500</v>
      </c>
      <c r="O15" s="13">
        <f>COUNT(Data!O$4:O$2503)</f>
        <v>2500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O15"/>
  <sheetViews>
    <sheetView zoomScaleNormal="100" workbookViewId="0">
      <selection activeCell="S19" sqref="S19"/>
    </sheetView>
  </sheetViews>
  <sheetFormatPr baseColWidth="10" defaultColWidth="8.83203125" defaultRowHeight="13" x14ac:dyDescent="0.15"/>
  <cols>
    <col min="1" max="1" width="17.6640625" bestFit="1" customWidth="1"/>
    <col min="3" max="3" width="11.33203125" bestFit="1" customWidth="1"/>
    <col min="4" max="4" width="8.1640625" bestFit="1" customWidth="1"/>
    <col min="5" max="5" width="7.5" bestFit="1" customWidth="1"/>
    <col min="6" max="6" width="9.5" bestFit="1" customWidth="1"/>
    <col min="7" max="7" width="10.5" customWidth="1"/>
    <col min="8" max="9" width="10.33203125" customWidth="1"/>
    <col min="10" max="10" width="9.5" bestFit="1" customWidth="1"/>
    <col min="11" max="11" width="10" customWidth="1"/>
  </cols>
  <sheetData>
    <row r="1" spans="1:15" s="20" customFormat="1" ht="29" thickBot="1" x14ac:dyDescent="0.2">
      <c r="A1" s="22"/>
      <c r="B1" s="22" t="s">
        <v>1</v>
      </c>
      <c r="C1" s="22" t="s">
        <v>18</v>
      </c>
      <c r="D1" s="22" t="s">
        <v>2</v>
      </c>
      <c r="E1" s="22" t="s">
        <v>22</v>
      </c>
      <c r="F1" s="22" t="s">
        <v>21</v>
      </c>
      <c r="G1" s="22" t="s">
        <v>3</v>
      </c>
      <c r="H1" s="22" t="s">
        <v>43</v>
      </c>
      <c r="I1" s="22" t="s">
        <v>44</v>
      </c>
      <c r="J1" s="22" t="s">
        <v>7</v>
      </c>
      <c r="K1" s="22" t="s">
        <v>6</v>
      </c>
      <c r="L1" s="22" t="s">
        <v>5</v>
      </c>
      <c r="M1" s="22" t="s">
        <v>19</v>
      </c>
      <c r="N1" s="22" t="s">
        <v>20</v>
      </c>
      <c r="O1" s="22" t="s">
        <v>8</v>
      </c>
    </row>
    <row r="2" spans="1:15" x14ac:dyDescent="0.15">
      <c r="A2" s="12" t="s">
        <v>1</v>
      </c>
      <c r="B2" s="14">
        <v>1</v>
      </c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</row>
    <row r="3" spans="1:15" x14ac:dyDescent="0.15">
      <c r="A3" s="12" t="s">
        <v>18</v>
      </c>
      <c r="B3" s="14">
        <v>0.99423612733870903</v>
      </c>
      <c r="C3" s="14">
        <v>1</v>
      </c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</row>
    <row r="4" spans="1:15" x14ac:dyDescent="0.15">
      <c r="A4" s="12" t="s">
        <v>2</v>
      </c>
      <c r="B4" s="14">
        <v>-6.8093005784339564E-2</v>
      </c>
      <c r="C4" s="14">
        <v>-5.8757896197754012E-2</v>
      </c>
      <c r="D4" s="14">
        <v>1</v>
      </c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</row>
    <row r="5" spans="1:15" x14ac:dyDescent="0.15">
      <c r="A5" s="12" t="s">
        <v>22</v>
      </c>
      <c r="B5" s="14">
        <v>-5.6452977660932775E-2</v>
      </c>
      <c r="C5" s="14">
        <v>-6.3197259620747612E-2</v>
      </c>
      <c r="D5" s="14">
        <v>-0.16378796862160899</v>
      </c>
      <c r="E5" s="14">
        <v>1</v>
      </c>
      <c r="F5" s="14"/>
      <c r="G5" s="14"/>
      <c r="H5" s="14"/>
      <c r="I5" s="14"/>
      <c r="J5" s="14"/>
      <c r="K5" s="14"/>
      <c r="L5" s="14"/>
      <c r="M5" s="14"/>
      <c r="N5" s="14"/>
      <c r="O5" s="14"/>
    </row>
    <row r="6" spans="1:15" x14ac:dyDescent="0.15">
      <c r="A6" s="12" t="s">
        <v>21</v>
      </c>
      <c r="B6" s="14">
        <v>-5.2536508047157364E-2</v>
      </c>
      <c r="C6" s="14">
        <v>-5.1062027939764866E-2</v>
      </c>
      <c r="D6" s="14">
        <v>0.64280705295758933</v>
      </c>
      <c r="E6" s="14">
        <v>-0.11461291142768108</v>
      </c>
      <c r="F6" s="14">
        <v>1</v>
      </c>
      <c r="G6" s="14"/>
      <c r="H6" s="14"/>
      <c r="I6" s="14"/>
      <c r="J6" s="14"/>
      <c r="K6" s="14"/>
      <c r="L6" s="14"/>
      <c r="M6" s="14"/>
      <c r="N6" s="14"/>
      <c r="O6" s="14"/>
    </row>
    <row r="7" spans="1:15" x14ac:dyDescent="0.15">
      <c r="A7" s="12" t="s">
        <v>3</v>
      </c>
      <c r="B7" s="14">
        <v>4.5480251223177205E-2</v>
      </c>
      <c r="C7" s="14">
        <v>1.7735453035567252E-2</v>
      </c>
      <c r="D7" s="14">
        <v>-0.18143539284414567</v>
      </c>
      <c r="E7" s="14">
        <v>5.8599463980416662E-2</v>
      </c>
      <c r="F7" s="14">
        <v>-0.12578826838884619</v>
      </c>
      <c r="G7" s="14">
        <v>1</v>
      </c>
      <c r="H7" s="14"/>
      <c r="I7" s="14"/>
      <c r="J7" s="14"/>
      <c r="K7" s="14"/>
      <c r="L7" s="14"/>
      <c r="M7" s="14"/>
      <c r="N7" s="14"/>
      <c r="O7" s="14"/>
    </row>
    <row r="8" spans="1:15" x14ac:dyDescent="0.15">
      <c r="A8" s="12" t="s">
        <v>43</v>
      </c>
      <c r="B8" s="14">
        <v>-2.8338997135867624E-2</v>
      </c>
      <c r="C8" s="14">
        <v>-3.9392735817678519E-3</v>
      </c>
      <c r="D8" s="14">
        <v>0.20595350427100548</v>
      </c>
      <c r="E8" s="14">
        <v>-0.11127455618000696</v>
      </c>
      <c r="F8" s="14">
        <v>0.14443749282049084</v>
      </c>
      <c r="G8" s="14">
        <v>-0.89158112907894282</v>
      </c>
      <c r="H8" s="14">
        <v>1</v>
      </c>
      <c r="I8" s="14"/>
      <c r="J8" s="14"/>
      <c r="K8" s="14"/>
      <c r="L8" s="14"/>
      <c r="M8" s="14"/>
      <c r="N8" s="14"/>
      <c r="O8" s="14"/>
    </row>
    <row r="9" spans="1:15" x14ac:dyDescent="0.15">
      <c r="A9" s="12" t="s">
        <v>44</v>
      </c>
      <c r="B9" s="14">
        <v>-2.224064476460225E-2</v>
      </c>
      <c r="C9" s="14">
        <v>-2.4297079191533805E-2</v>
      </c>
      <c r="D9" s="14">
        <v>-0.11537036926304486</v>
      </c>
      <c r="E9" s="14">
        <v>0.13558866663854668</v>
      </c>
      <c r="F9" s="14">
        <v>-8.3612714612180991E-2</v>
      </c>
      <c r="G9" s="14">
        <v>0.10080571782820726</v>
      </c>
      <c r="H9" s="14">
        <v>-0.54043066603463175</v>
      </c>
      <c r="I9" s="14">
        <v>1</v>
      </c>
      <c r="J9" s="14"/>
      <c r="K9" s="14"/>
      <c r="L9" s="14"/>
      <c r="M9" s="14"/>
      <c r="N9" s="14"/>
      <c r="O9" s="14"/>
    </row>
    <row r="10" spans="1:15" x14ac:dyDescent="0.15">
      <c r="A10" s="12" t="s">
        <v>7</v>
      </c>
      <c r="B10" s="14">
        <v>-1.0602868348385553E-2</v>
      </c>
      <c r="C10" s="14">
        <v>-7.2796360042592483E-3</v>
      </c>
      <c r="D10" s="14">
        <v>0.19260477261494638</v>
      </c>
      <c r="E10" s="14">
        <v>-6.6155621058656845E-3</v>
      </c>
      <c r="F10" s="14">
        <v>8.8472222100297135E-2</v>
      </c>
      <c r="G10" s="14">
        <v>-3.9298118186951662E-2</v>
      </c>
      <c r="H10" s="14">
        <v>4.8892253366097704E-2</v>
      </c>
      <c r="I10" s="14">
        <v>-3.4399552261688691E-2</v>
      </c>
      <c r="J10" s="14">
        <v>1</v>
      </c>
      <c r="K10" s="14"/>
      <c r="L10" s="14"/>
      <c r="M10" s="14"/>
      <c r="N10" s="14"/>
      <c r="O10" s="14"/>
    </row>
    <row r="11" spans="1:15" x14ac:dyDescent="0.15">
      <c r="A11" s="12" t="s">
        <v>6</v>
      </c>
      <c r="B11" s="14">
        <v>3.5376047671271511E-2</v>
      </c>
      <c r="C11" s="14">
        <v>3.4595295391499949E-2</v>
      </c>
      <c r="D11" s="14">
        <v>-1.8372181920826836E-2</v>
      </c>
      <c r="E11" s="14">
        <v>3.3355357168651213E-2</v>
      </c>
      <c r="F11" s="14">
        <v>-5.7492470879929904E-3</v>
      </c>
      <c r="G11" s="14">
        <v>1.2639403821652451E-3</v>
      </c>
      <c r="H11" s="14">
        <v>-1.4821802360664561E-2</v>
      </c>
      <c r="I11" s="14">
        <v>3.0214208976814875E-2</v>
      </c>
      <c r="J11" s="14">
        <v>1.1376834144585884E-2</v>
      </c>
      <c r="K11" s="14">
        <v>1</v>
      </c>
      <c r="L11" s="14"/>
      <c r="M11" s="14"/>
      <c r="N11" s="14"/>
      <c r="O11" s="14"/>
    </row>
    <row r="12" spans="1:15" x14ac:dyDescent="0.15">
      <c r="A12" s="12" t="s">
        <v>5</v>
      </c>
      <c r="B12" s="14">
        <v>3.589988456223922E-2</v>
      </c>
      <c r="C12" s="14">
        <v>3.9017911803307562E-2</v>
      </c>
      <c r="D12" s="14">
        <v>0.18337154257773175</v>
      </c>
      <c r="E12" s="14">
        <v>1.1910523958055169E-2</v>
      </c>
      <c r="F12" s="14">
        <v>0.13559392534207368</v>
      </c>
      <c r="G12" s="14">
        <v>1.1796849253942655E-2</v>
      </c>
      <c r="H12" s="14">
        <v>-1.4901957949447596E-2</v>
      </c>
      <c r="I12" s="14">
        <v>1.08207934476539E-2</v>
      </c>
      <c r="J12" s="14">
        <v>9.1751579097725786E-2</v>
      </c>
      <c r="K12" s="14">
        <v>0.30651914792104956</v>
      </c>
      <c r="L12" s="14">
        <v>1</v>
      </c>
      <c r="M12" s="14"/>
      <c r="N12" s="14"/>
      <c r="O12" s="14"/>
    </row>
    <row r="13" spans="1:15" x14ac:dyDescent="0.15">
      <c r="A13" s="12" t="s">
        <v>19</v>
      </c>
      <c r="B13" s="14">
        <v>-1.411089953885085E-3</v>
      </c>
      <c r="C13" s="14">
        <v>-1.191961080521117E-3</v>
      </c>
      <c r="D13" s="14">
        <v>-3.3058455734235504E-3</v>
      </c>
      <c r="E13" s="14">
        <v>1.7219423549839315E-3</v>
      </c>
      <c r="F13" s="14">
        <v>-2.6637862998832654E-2</v>
      </c>
      <c r="G13" s="14">
        <v>-1.1904415457532982E-2</v>
      </c>
      <c r="H13" s="14">
        <v>-4.0314953825643695E-3</v>
      </c>
      <c r="I13" s="14">
        <v>3.0974621753713315E-2</v>
      </c>
      <c r="J13" s="14">
        <v>-1.9351290446643798E-2</v>
      </c>
      <c r="K13" s="14">
        <v>1.1117130798280033E-2</v>
      </c>
      <c r="L13" s="14">
        <v>0.18471503463833519</v>
      </c>
      <c r="M13" s="14">
        <v>1</v>
      </c>
      <c r="N13" s="14"/>
      <c r="O13" s="14"/>
    </row>
    <row r="14" spans="1:15" x14ac:dyDescent="0.15">
      <c r="A14" s="12" t="s">
        <v>20</v>
      </c>
      <c r="B14" s="14">
        <v>2.6150769858867603E-2</v>
      </c>
      <c r="C14" s="14">
        <v>2.7803366486211338E-2</v>
      </c>
      <c r="D14" s="14">
        <v>9.1647635728854277E-3</v>
      </c>
      <c r="E14" s="14">
        <v>3.6412724521134414E-3</v>
      </c>
      <c r="F14" s="14">
        <v>-1.3438279320325279E-2</v>
      </c>
      <c r="G14" s="14">
        <v>-1.4144361657676413E-2</v>
      </c>
      <c r="H14" s="14">
        <v>2.9801237256290997E-2</v>
      </c>
      <c r="I14" s="14">
        <v>-3.919200248559216E-2</v>
      </c>
      <c r="J14" s="14">
        <v>-9.546069842277587E-3</v>
      </c>
      <c r="K14" s="14">
        <v>-3.5455081384259991E-2</v>
      </c>
      <c r="L14" s="14">
        <v>0.2539052093693891</v>
      </c>
      <c r="M14" s="14">
        <v>1.2834080826367439E-2</v>
      </c>
      <c r="N14" s="14">
        <v>1</v>
      </c>
      <c r="O14" s="14"/>
    </row>
    <row r="15" spans="1:15" ht="14" thickBot="1" x14ac:dyDescent="0.2">
      <c r="A15" s="13" t="s">
        <v>8</v>
      </c>
      <c r="B15" s="21">
        <v>-2.9299058865089817E-3</v>
      </c>
      <c r="C15" s="21">
        <v>-3.0854093606792064E-3</v>
      </c>
      <c r="D15" s="21">
        <v>0.51724051503022195</v>
      </c>
      <c r="E15" s="21">
        <v>5.7515965910090949E-2</v>
      </c>
      <c r="F15" s="21">
        <v>0.37689688211282174</v>
      </c>
      <c r="G15" s="21">
        <v>0.13472673150065412</v>
      </c>
      <c r="H15" s="21">
        <v>-0.15223312648896983</v>
      </c>
      <c r="I15" s="21">
        <v>8.4132086310346535E-2</v>
      </c>
      <c r="J15" s="21">
        <v>0.12455439568987166</v>
      </c>
      <c r="K15" s="21">
        <v>1.2427176032306676E-2</v>
      </c>
      <c r="L15" s="21">
        <v>0.33832841249557194</v>
      </c>
      <c r="M15" s="21">
        <v>1.3491284026638373E-2</v>
      </c>
      <c r="N15" s="21">
        <v>-9.9516991328233882E-4</v>
      </c>
      <c r="O15" s="21">
        <v>1</v>
      </c>
    </row>
  </sheetData>
  <conditionalFormatting sqref="B2:O15">
    <cfRule type="colorScale" priority="3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Description</vt:lpstr>
      <vt:lpstr>Data</vt:lpstr>
      <vt:lpstr>OSPartition</vt:lpstr>
      <vt:lpstr>LogReg_Output</vt:lpstr>
      <vt:lpstr>LogReg_TrainingScore</vt:lpstr>
      <vt:lpstr>LogReg_ValidationScore</vt:lpstr>
      <vt:lpstr>LogReg_ValidationLiftChart</vt:lpstr>
      <vt:lpstr>LogReg_Stored</vt:lpstr>
      <vt:lpstr>DA_Output</vt:lpstr>
      <vt:lpstr>DA_TrainingScore</vt:lpstr>
      <vt:lpstr>DA_ValidationScore</vt:lpstr>
      <vt:lpstr>DA_ValidationLiftChart</vt:lpstr>
      <vt:lpstr>DA_Stored</vt:lpstr>
      <vt:lpstr>Data_Partition</vt:lpstr>
      <vt:lpstr>Statistics</vt:lpstr>
      <vt:lpstr>Correlation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SMDA</dc:creator>
  <cp:lastModifiedBy>Microsoft Office User</cp:lastModifiedBy>
  <cp:lastPrinted>2013-07-10T15:35:19Z</cp:lastPrinted>
  <dcterms:created xsi:type="dcterms:W3CDTF">2003-08-20T10:58:10Z</dcterms:created>
  <dcterms:modified xsi:type="dcterms:W3CDTF">2021-10-21T01:03:03Z</dcterms:modified>
</cp:coreProperties>
</file>